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PI\26Fall\ME4322\Lab2 Yun Zhao\processed data\"/>
    </mc:Choice>
  </mc:AlternateContent>
  <xr:revisionPtr revIDLastSave="0" documentId="13_ncr:1_{8735ED5C-246D-429A-BABC-9D39279A53A0}" xr6:coauthVersionLast="47" xr6:coauthVersionMax="47" xr10:uidLastSave="{00000000-0000-0000-0000-000000000000}"/>
  <bookViews>
    <workbookView xWindow="-120" yWindow="-120" windowWidth="29040" windowHeight="15720" firstSheet="5" activeTab="12" xr2:uid="{00000000-000D-0000-FFFF-FFFF00000000}"/>
  </bookViews>
  <sheets>
    <sheet name="Summary" sheetId="1" r:id="rId1"/>
    <sheet name="Paired Data" sheetId="2" r:id="rId2"/>
    <sheet name="Raw Data" sheetId="3" r:id="rId3"/>
    <sheet name="Native PMKS" sheetId="4" r:id="rId4"/>
    <sheet name="TimeStep" sheetId="5" r:id="rId5"/>
    <sheet name="Instructor 360" sheetId="6" r:id="rId6"/>
    <sheet name="BNO1 Rate" sheetId="7" r:id="rId7"/>
    <sheet name="MPU Rate" sheetId="8" r:id="rId8"/>
    <sheet name="BNO2 Rate" sheetId="9" r:id="rId9"/>
    <sheet name="Comparison Charts" sheetId="10" r:id="rId10"/>
    <sheet name="Wireless Summary" sheetId="11" r:id="rId11"/>
    <sheet name="Wireless Cycles" sheetId="12" r:id="rId12"/>
    <sheet name="Wireless Charts" sheetId="13" r:id="rId13"/>
    <sheet name="Original input" sheetId="14" r:id="rId14"/>
    <sheet name="Original follower" sheetId="15" r:id="rId15"/>
    <sheet name="Replacement input" sheetId="16" r:id="rId16"/>
    <sheet name="Replacement follower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8" i="17" l="1"/>
  <c r="AF38" i="17"/>
  <c r="AE38" i="17"/>
  <c r="AD38" i="17"/>
  <c r="AC38" i="17"/>
  <c r="AG37" i="17"/>
  <c r="AF37" i="17"/>
  <c r="AE37" i="17"/>
  <c r="AD37" i="17"/>
  <c r="AC37" i="17"/>
  <c r="AG36" i="17"/>
  <c r="AF36" i="17"/>
  <c r="AE36" i="17"/>
  <c r="AD36" i="17"/>
  <c r="AC36" i="17"/>
  <c r="AG35" i="17"/>
  <c r="AF35" i="17"/>
  <c r="AE35" i="17"/>
  <c r="AD35" i="17"/>
  <c r="AC35" i="17"/>
  <c r="AG34" i="17"/>
  <c r="AF34" i="17"/>
  <c r="AE34" i="17"/>
  <c r="AD34" i="17"/>
  <c r="AC34" i="17"/>
  <c r="AG33" i="17"/>
  <c r="AF33" i="17"/>
  <c r="AE33" i="17"/>
  <c r="AD33" i="17"/>
  <c r="AC33" i="17"/>
  <c r="AG32" i="17"/>
  <c r="AF32" i="17"/>
  <c r="AE32" i="17"/>
  <c r="AD32" i="17"/>
  <c r="AC32" i="17"/>
  <c r="AG31" i="17"/>
  <c r="AF31" i="17"/>
  <c r="AE31" i="17"/>
  <c r="AD31" i="17"/>
  <c r="AC31" i="17"/>
  <c r="AG30" i="17"/>
  <c r="AF30" i="17"/>
  <c r="AE30" i="17"/>
  <c r="AD30" i="17"/>
  <c r="AC30" i="17"/>
  <c r="AG29" i="17"/>
  <c r="AF29" i="17"/>
  <c r="AE29" i="17"/>
  <c r="AD29" i="17"/>
  <c r="AC29" i="17"/>
  <c r="AG28" i="17"/>
  <c r="AF28" i="17"/>
  <c r="AE28" i="17"/>
  <c r="AD28" i="17"/>
  <c r="AC28" i="17"/>
  <c r="AG27" i="17"/>
  <c r="AF27" i="17"/>
  <c r="AE27" i="17"/>
  <c r="AD27" i="17"/>
  <c r="AC27" i="17"/>
  <c r="AG26" i="17"/>
  <c r="AF26" i="17"/>
  <c r="AE26" i="17"/>
  <c r="AD26" i="17"/>
  <c r="AC26" i="17"/>
  <c r="AG25" i="17"/>
  <c r="AF25" i="17"/>
  <c r="AE25" i="17"/>
  <c r="AD25" i="17"/>
  <c r="AC25" i="17"/>
  <c r="AG24" i="17"/>
  <c r="AF24" i="17"/>
  <c r="AE24" i="17"/>
  <c r="AD24" i="17"/>
  <c r="AC24" i="17"/>
  <c r="AG23" i="17"/>
  <c r="AF23" i="17"/>
  <c r="AE23" i="17"/>
  <c r="AD23" i="17"/>
  <c r="AC23" i="17"/>
  <c r="AG22" i="17"/>
  <c r="AF22" i="17"/>
  <c r="AE22" i="17"/>
  <c r="AD22" i="17"/>
  <c r="AC22" i="17"/>
  <c r="AG21" i="17"/>
  <c r="AF21" i="17"/>
  <c r="AE21" i="17"/>
  <c r="AD21" i="17"/>
  <c r="AC21" i="17"/>
  <c r="AG20" i="17"/>
  <c r="AF20" i="17"/>
  <c r="AE20" i="17"/>
  <c r="AD20" i="17"/>
  <c r="AC20" i="17"/>
  <c r="AG19" i="17"/>
  <c r="AF19" i="17"/>
  <c r="AE19" i="17"/>
  <c r="AD19" i="17"/>
  <c r="AC19" i="17"/>
  <c r="AG18" i="17"/>
  <c r="AF18" i="17"/>
  <c r="AE18" i="17"/>
  <c r="AD18" i="17"/>
  <c r="AC18" i="17"/>
  <c r="AG17" i="17"/>
  <c r="AF17" i="17"/>
  <c r="AE17" i="17"/>
  <c r="AD17" i="17"/>
  <c r="AC17" i="17"/>
  <c r="AG16" i="17"/>
  <c r="AF16" i="17"/>
  <c r="AE16" i="17"/>
  <c r="AD16" i="17"/>
  <c r="AC16" i="17"/>
  <c r="AG15" i="17"/>
  <c r="AF15" i="17"/>
  <c r="AE15" i="17"/>
  <c r="AD15" i="17"/>
  <c r="AC15" i="17"/>
  <c r="AG14" i="17"/>
  <c r="AF14" i="17"/>
  <c r="AE14" i="17"/>
  <c r="AD14" i="17"/>
  <c r="AC14" i="17"/>
  <c r="AG13" i="17"/>
  <c r="AF13" i="17"/>
  <c r="AE13" i="17"/>
  <c r="AD13" i="17"/>
  <c r="AC13" i="17"/>
  <c r="AG12" i="17"/>
  <c r="AF12" i="17"/>
  <c r="AE12" i="17"/>
  <c r="AD12" i="17"/>
  <c r="AC12" i="17"/>
  <c r="AG11" i="17"/>
  <c r="AF11" i="17"/>
  <c r="AE11" i="17"/>
  <c r="AD11" i="17"/>
  <c r="AC11" i="17"/>
  <c r="AG10" i="17"/>
  <c r="AF10" i="17"/>
  <c r="AE10" i="17"/>
  <c r="AD10" i="17"/>
  <c r="AC10" i="17"/>
  <c r="AG9" i="17"/>
  <c r="AF9" i="17"/>
  <c r="AE9" i="17"/>
  <c r="AD9" i="17"/>
  <c r="AC9" i="17"/>
  <c r="AG8" i="17"/>
  <c r="AF8" i="17"/>
  <c r="AE8" i="17"/>
  <c r="AD8" i="17"/>
  <c r="AC8" i="17"/>
  <c r="AG7" i="17"/>
  <c r="AF7" i="17"/>
  <c r="AE7" i="17"/>
  <c r="AD7" i="17"/>
  <c r="AC7" i="17"/>
  <c r="AG6" i="17"/>
  <c r="AF6" i="17"/>
  <c r="AE6" i="17"/>
  <c r="AD6" i="17"/>
  <c r="AC6" i="17"/>
  <c r="AJ66" i="16"/>
  <c r="AI66" i="16"/>
  <c r="AH66" i="16"/>
  <c r="AG66" i="16"/>
  <c r="AF66" i="16"/>
  <c r="AE66" i="16"/>
  <c r="AD66" i="16"/>
  <c r="AC66" i="16"/>
  <c r="AJ65" i="16"/>
  <c r="AI65" i="16"/>
  <c r="AH65" i="16"/>
  <c r="AG65" i="16"/>
  <c r="AF65" i="16"/>
  <c r="AE65" i="16"/>
  <c r="AD65" i="16"/>
  <c r="AC65" i="16"/>
  <c r="AJ64" i="16"/>
  <c r="AI64" i="16"/>
  <c r="AH64" i="16"/>
  <c r="AG64" i="16"/>
  <c r="AF64" i="16"/>
  <c r="AE64" i="16"/>
  <c r="AD64" i="16"/>
  <c r="AC64" i="16"/>
  <c r="AJ63" i="16"/>
  <c r="AI63" i="16"/>
  <c r="AH63" i="16"/>
  <c r="AG63" i="16"/>
  <c r="AF63" i="16"/>
  <c r="AE63" i="16"/>
  <c r="AD63" i="16"/>
  <c r="AC63" i="16"/>
  <c r="AJ62" i="16"/>
  <c r="AI62" i="16"/>
  <c r="AH62" i="16"/>
  <c r="AG62" i="16"/>
  <c r="AF62" i="16"/>
  <c r="AE62" i="16"/>
  <c r="AD62" i="16"/>
  <c r="AC62" i="16"/>
  <c r="AJ61" i="16"/>
  <c r="AI61" i="16"/>
  <c r="AH61" i="16"/>
  <c r="AG61" i="16"/>
  <c r="AF61" i="16"/>
  <c r="AE61" i="16"/>
  <c r="AD61" i="16"/>
  <c r="AC61" i="16"/>
  <c r="AJ60" i="16"/>
  <c r="AI60" i="16"/>
  <c r="AH60" i="16"/>
  <c r="AG60" i="16"/>
  <c r="AF60" i="16"/>
  <c r="AE60" i="16"/>
  <c r="AD60" i="16"/>
  <c r="AC60" i="16"/>
  <c r="AJ59" i="16"/>
  <c r="AI59" i="16"/>
  <c r="AH59" i="16"/>
  <c r="AG59" i="16"/>
  <c r="AF59" i="16"/>
  <c r="AE59" i="16"/>
  <c r="AD59" i="16"/>
  <c r="AC59" i="16"/>
  <c r="AJ58" i="16"/>
  <c r="AI58" i="16"/>
  <c r="AH58" i="16"/>
  <c r="AG58" i="16"/>
  <c r="AF58" i="16"/>
  <c r="AE58" i="16"/>
  <c r="AD58" i="16"/>
  <c r="AC58" i="16"/>
  <c r="AJ57" i="16"/>
  <c r="AI57" i="16"/>
  <c r="AH57" i="16"/>
  <c r="AG57" i="16"/>
  <c r="AF57" i="16"/>
  <c r="AE57" i="16"/>
  <c r="AD57" i="16"/>
  <c r="AC57" i="16"/>
  <c r="AJ56" i="16"/>
  <c r="AI56" i="16"/>
  <c r="AH56" i="16"/>
  <c r="AG56" i="16"/>
  <c r="AF56" i="16"/>
  <c r="AE56" i="16"/>
  <c r="AD56" i="16"/>
  <c r="AC56" i="16"/>
  <c r="AJ55" i="16"/>
  <c r="AI55" i="16"/>
  <c r="AH55" i="16"/>
  <c r="AG55" i="16"/>
  <c r="AF55" i="16"/>
  <c r="AE55" i="16"/>
  <c r="AD55" i="16"/>
  <c r="AC55" i="16"/>
  <c r="AJ54" i="16"/>
  <c r="AI54" i="16"/>
  <c r="AH54" i="16"/>
  <c r="AG54" i="16"/>
  <c r="AF54" i="16"/>
  <c r="AE54" i="16"/>
  <c r="AD54" i="16"/>
  <c r="AC54" i="16"/>
  <c r="AJ53" i="16"/>
  <c r="AI53" i="16"/>
  <c r="AH53" i="16"/>
  <c r="AG53" i="16"/>
  <c r="AF53" i="16"/>
  <c r="AE53" i="16"/>
  <c r="AD53" i="16"/>
  <c r="AC53" i="16"/>
  <c r="AJ52" i="16"/>
  <c r="AI52" i="16"/>
  <c r="AH52" i="16"/>
  <c r="AG52" i="16"/>
  <c r="AF52" i="16"/>
  <c r="AE52" i="16"/>
  <c r="AD52" i="16"/>
  <c r="AC52" i="16"/>
  <c r="AJ51" i="16"/>
  <c r="AI51" i="16"/>
  <c r="AH51" i="16"/>
  <c r="AG51" i="16"/>
  <c r="AF51" i="16"/>
  <c r="AE51" i="16"/>
  <c r="AD51" i="16"/>
  <c r="AC51" i="16"/>
  <c r="AJ50" i="16"/>
  <c r="AI50" i="16"/>
  <c r="AH50" i="16"/>
  <c r="AG50" i="16"/>
  <c r="AF50" i="16"/>
  <c r="AE50" i="16"/>
  <c r="AD50" i="16"/>
  <c r="AC50" i="16"/>
  <c r="AJ49" i="16"/>
  <c r="AI49" i="16"/>
  <c r="AH49" i="16"/>
  <c r="AG49" i="16"/>
  <c r="AF49" i="16"/>
  <c r="AE49" i="16"/>
  <c r="AD49" i="16"/>
  <c r="AC49" i="16"/>
  <c r="AJ48" i="16"/>
  <c r="AI48" i="16"/>
  <c r="AH48" i="16"/>
  <c r="AG48" i="16"/>
  <c r="AF48" i="16"/>
  <c r="AE48" i="16"/>
  <c r="AD48" i="16"/>
  <c r="AC48" i="16"/>
  <c r="AJ47" i="16"/>
  <c r="AI47" i="16"/>
  <c r="AH47" i="16"/>
  <c r="AG47" i="16"/>
  <c r="AF47" i="16"/>
  <c r="AE47" i="16"/>
  <c r="AD47" i="16"/>
  <c r="AC47" i="16"/>
  <c r="AJ46" i="16"/>
  <c r="AI46" i="16"/>
  <c r="AH46" i="16"/>
  <c r="AG46" i="16"/>
  <c r="AF46" i="16"/>
  <c r="AE46" i="16"/>
  <c r="AD46" i="16"/>
  <c r="AC46" i="16"/>
  <c r="AJ45" i="16"/>
  <c r="AI45" i="16"/>
  <c r="AH45" i="16"/>
  <c r="AG45" i="16"/>
  <c r="AF45" i="16"/>
  <c r="AE45" i="16"/>
  <c r="AD45" i="16"/>
  <c r="AC45" i="16"/>
  <c r="AJ44" i="16"/>
  <c r="AI44" i="16"/>
  <c r="AH44" i="16"/>
  <c r="AG44" i="16"/>
  <c r="AF44" i="16"/>
  <c r="AE44" i="16"/>
  <c r="AD44" i="16"/>
  <c r="AC44" i="16"/>
  <c r="AJ43" i="16"/>
  <c r="AI43" i="16"/>
  <c r="AH43" i="16"/>
  <c r="AG43" i="16"/>
  <c r="AF43" i="16"/>
  <c r="AE43" i="16"/>
  <c r="AD43" i="16"/>
  <c r="AC43" i="16"/>
  <c r="AJ42" i="16"/>
  <c r="AI42" i="16"/>
  <c r="AH42" i="16"/>
  <c r="AG42" i="16"/>
  <c r="AF42" i="16"/>
  <c r="AE42" i="16"/>
  <c r="AD42" i="16"/>
  <c r="AC42" i="16"/>
  <c r="AJ41" i="16"/>
  <c r="AI41" i="16"/>
  <c r="AH41" i="16"/>
  <c r="AG41" i="16"/>
  <c r="AF41" i="16"/>
  <c r="AE41" i="16"/>
  <c r="AD41" i="16"/>
  <c r="AC41" i="16"/>
  <c r="AJ40" i="16"/>
  <c r="AI40" i="16"/>
  <c r="AH40" i="16"/>
  <c r="AG40" i="16"/>
  <c r="AF40" i="16"/>
  <c r="AE40" i="16"/>
  <c r="AD40" i="16"/>
  <c r="AC40" i="16"/>
  <c r="AJ39" i="16"/>
  <c r="AI39" i="16"/>
  <c r="AH39" i="16"/>
  <c r="AG39" i="16"/>
  <c r="AF39" i="16"/>
  <c r="AE39" i="16"/>
  <c r="AD39" i="16"/>
  <c r="AC39" i="16"/>
  <c r="AJ38" i="16"/>
  <c r="AI38" i="16"/>
  <c r="AH38" i="16"/>
  <c r="AG38" i="16"/>
  <c r="AF38" i="16"/>
  <c r="AE38" i="16"/>
  <c r="AD38" i="16"/>
  <c r="AC38" i="16"/>
  <c r="AJ37" i="16"/>
  <c r="AI37" i="16"/>
  <c r="AH37" i="16"/>
  <c r="AG37" i="16"/>
  <c r="AF37" i="16"/>
  <c r="AE37" i="16"/>
  <c r="AD37" i="16"/>
  <c r="AC37" i="16"/>
  <c r="AJ36" i="16"/>
  <c r="AI36" i="16"/>
  <c r="AH36" i="16"/>
  <c r="AG36" i="16"/>
  <c r="AF36" i="16"/>
  <c r="AE36" i="16"/>
  <c r="AD36" i="16"/>
  <c r="AC36" i="16"/>
  <c r="AJ35" i="16"/>
  <c r="AI35" i="16"/>
  <c r="AH35" i="16"/>
  <c r="AG35" i="16"/>
  <c r="AF35" i="16"/>
  <c r="AE35" i="16"/>
  <c r="AD35" i="16"/>
  <c r="AC35" i="16"/>
  <c r="AJ34" i="16"/>
  <c r="AI34" i="16"/>
  <c r="AH34" i="16"/>
  <c r="AG34" i="16"/>
  <c r="AF34" i="16"/>
  <c r="AE34" i="16"/>
  <c r="AD34" i="16"/>
  <c r="AC34" i="16"/>
  <c r="AJ33" i="16"/>
  <c r="AI33" i="16"/>
  <c r="AH33" i="16"/>
  <c r="AG33" i="16"/>
  <c r="AF33" i="16"/>
  <c r="AE33" i="16"/>
  <c r="AD33" i="16"/>
  <c r="AC33" i="16"/>
  <c r="AJ32" i="16"/>
  <c r="AI32" i="16"/>
  <c r="AH32" i="16"/>
  <c r="AG32" i="16"/>
  <c r="AF32" i="16"/>
  <c r="AE32" i="16"/>
  <c r="AD32" i="16"/>
  <c r="AC32" i="16"/>
  <c r="AJ31" i="16"/>
  <c r="AI31" i="16"/>
  <c r="AH31" i="16"/>
  <c r="AG31" i="16"/>
  <c r="AF31" i="16"/>
  <c r="AE31" i="16"/>
  <c r="AD31" i="16"/>
  <c r="AC31" i="16"/>
  <c r="AJ30" i="16"/>
  <c r="AI30" i="16"/>
  <c r="AH30" i="16"/>
  <c r="AG30" i="16"/>
  <c r="AF30" i="16"/>
  <c r="AE30" i="16"/>
  <c r="AD30" i="16"/>
  <c r="AC30" i="16"/>
  <c r="AJ29" i="16"/>
  <c r="AI29" i="16"/>
  <c r="AH29" i="16"/>
  <c r="AG29" i="16"/>
  <c r="AF29" i="16"/>
  <c r="AE29" i="16"/>
  <c r="AD29" i="16"/>
  <c r="AC29" i="16"/>
  <c r="AJ28" i="16"/>
  <c r="AI28" i="16"/>
  <c r="AH28" i="16"/>
  <c r="AG28" i="16"/>
  <c r="AF28" i="16"/>
  <c r="AE28" i="16"/>
  <c r="AD28" i="16"/>
  <c r="AC28" i="16"/>
  <c r="AJ27" i="16"/>
  <c r="AI27" i="16"/>
  <c r="AH27" i="16"/>
  <c r="AG27" i="16"/>
  <c r="AF27" i="16"/>
  <c r="AE27" i="16"/>
  <c r="AD27" i="16"/>
  <c r="AC27" i="16"/>
  <c r="AJ26" i="16"/>
  <c r="AI26" i="16"/>
  <c r="AH26" i="16"/>
  <c r="AG26" i="16"/>
  <c r="AF26" i="16"/>
  <c r="AE26" i="16"/>
  <c r="AD26" i="16"/>
  <c r="AC26" i="16"/>
  <c r="AJ25" i="16"/>
  <c r="AI25" i="16"/>
  <c r="AH25" i="16"/>
  <c r="AG25" i="16"/>
  <c r="AF25" i="16"/>
  <c r="AE25" i="16"/>
  <c r="AD25" i="16"/>
  <c r="AC25" i="16"/>
  <c r="AJ24" i="16"/>
  <c r="AI24" i="16"/>
  <c r="AH24" i="16"/>
  <c r="AG24" i="16"/>
  <c r="AF24" i="16"/>
  <c r="AE24" i="16"/>
  <c r="AD24" i="16"/>
  <c r="AC24" i="16"/>
  <c r="AJ23" i="16"/>
  <c r="AI23" i="16"/>
  <c r="AH23" i="16"/>
  <c r="AG23" i="16"/>
  <c r="AF23" i="16"/>
  <c r="AE23" i="16"/>
  <c r="AD23" i="16"/>
  <c r="AC23" i="16"/>
  <c r="AJ22" i="16"/>
  <c r="AI22" i="16"/>
  <c r="AH22" i="16"/>
  <c r="AG22" i="16"/>
  <c r="AF22" i="16"/>
  <c r="AE22" i="16"/>
  <c r="AD22" i="16"/>
  <c r="AC22" i="16"/>
  <c r="AJ21" i="16"/>
  <c r="AI21" i="16"/>
  <c r="AH21" i="16"/>
  <c r="AG21" i="16"/>
  <c r="AF21" i="16"/>
  <c r="AE21" i="16"/>
  <c r="AD21" i="16"/>
  <c r="AC21" i="16"/>
  <c r="AJ20" i="16"/>
  <c r="AI20" i="16"/>
  <c r="AH20" i="16"/>
  <c r="AG20" i="16"/>
  <c r="AF20" i="16"/>
  <c r="AE20" i="16"/>
  <c r="AD20" i="16"/>
  <c r="AC20" i="16"/>
  <c r="AJ19" i="16"/>
  <c r="AI19" i="16"/>
  <c r="AH19" i="16"/>
  <c r="AG19" i="16"/>
  <c r="AF19" i="16"/>
  <c r="AE19" i="16"/>
  <c r="AD19" i="16"/>
  <c r="AC19" i="16"/>
  <c r="AJ18" i="16"/>
  <c r="AI18" i="16"/>
  <c r="AH18" i="16"/>
  <c r="AG18" i="16"/>
  <c r="AF18" i="16"/>
  <c r="AE18" i="16"/>
  <c r="AD18" i="16"/>
  <c r="AC18" i="16"/>
  <c r="AJ17" i="16"/>
  <c r="AI17" i="16"/>
  <c r="AH17" i="16"/>
  <c r="AG17" i="16"/>
  <c r="AF17" i="16"/>
  <c r="AE17" i="16"/>
  <c r="AD17" i="16"/>
  <c r="AC17" i="16"/>
  <c r="AJ16" i="16"/>
  <c r="AI16" i="16"/>
  <c r="AH16" i="16"/>
  <c r="AG16" i="16"/>
  <c r="AF16" i="16"/>
  <c r="AE16" i="16"/>
  <c r="AD16" i="16"/>
  <c r="AC16" i="16"/>
  <c r="AJ15" i="16"/>
  <c r="AI15" i="16"/>
  <c r="AH15" i="16"/>
  <c r="AG15" i="16"/>
  <c r="AF15" i="16"/>
  <c r="AE15" i="16"/>
  <c r="AD15" i="16"/>
  <c r="AC15" i="16"/>
  <c r="AJ14" i="16"/>
  <c r="AI14" i="16"/>
  <c r="AH14" i="16"/>
  <c r="AG14" i="16"/>
  <c r="AF14" i="16"/>
  <c r="AE14" i="16"/>
  <c r="AD14" i="16"/>
  <c r="AC14" i="16"/>
  <c r="AJ13" i="16"/>
  <c r="AI13" i="16"/>
  <c r="AH13" i="16"/>
  <c r="AG13" i="16"/>
  <c r="AF13" i="16"/>
  <c r="AE13" i="16"/>
  <c r="AD13" i="16"/>
  <c r="AC13" i="16"/>
  <c r="AJ12" i="16"/>
  <c r="AI12" i="16"/>
  <c r="AH12" i="16"/>
  <c r="AG12" i="16"/>
  <c r="AF12" i="16"/>
  <c r="AE12" i="16"/>
  <c r="AD12" i="16"/>
  <c r="AC12" i="16"/>
  <c r="AJ11" i="16"/>
  <c r="AI11" i="16"/>
  <c r="AH11" i="16"/>
  <c r="AG11" i="16"/>
  <c r="AF11" i="16"/>
  <c r="AE11" i="16"/>
  <c r="AD11" i="16"/>
  <c r="AC11" i="16"/>
  <c r="AJ10" i="16"/>
  <c r="AI10" i="16"/>
  <c r="AH10" i="16"/>
  <c r="AG10" i="16"/>
  <c r="AF10" i="16"/>
  <c r="AE10" i="16"/>
  <c r="AD10" i="16"/>
  <c r="AC10" i="16"/>
  <c r="AJ9" i="16"/>
  <c r="AI9" i="16"/>
  <c r="AH9" i="16"/>
  <c r="AG9" i="16"/>
  <c r="AF9" i="16"/>
  <c r="AE9" i="16"/>
  <c r="AD9" i="16"/>
  <c r="AC9" i="16"/>
  <c r="AJ8" i="16"/>
  <c r="AI8" i="16"/>
  <c r="AH8" i="16"/>
  <c r="AG8" i="16"/>
  <c r="AF8" i="16"/>
  <c r="AE8" i="16"/>
  <c r="AD8" i="16"/>
  <c r="AC8" i="16"/>
  <c r="AJ7" i="16"/>
  <c r="AI7" i="16"/>
  <c r="AH7" i="16"/>
  <c r="AG7" i="16"/>
  <c r="AF7" i="16"/>
  <c r="AE7" i="16"/>
  <c r="AD7" i="16"/>
  <c r="AC7" i="16"/>
  <c r="AJ6" i="16"/>
  <c r="AI6" i="16"/>
  <c r="AH6" i="16"/>
  <c r="AG6" i="16"/>
  <c r="AF6" i="16"/>
  <c r="AE6" i="16"/>
  <c r="AD6" i="16"/>
  <c r="AC6" i="16"/>
  <c r="AG63" i="15"/>
  <c r="AF63" i="15"/>
  <c r="AE63" i="15"/>
  <c r="AD63" i="15"/>
  <c r="AC63" i="15"/>
  <c r="AG62" i="15"/>
  <c r="AF62" i="15"/>
  <c r="AE62" i="15"/>
  <c r="AD62" i="15"/>
  <c r="AC62" i="15"/>
  <c r="AG61" i="15"/>
  <c r="AF61" i="15"/>
  <c r="AE61" i="15"/>
  <c r="AD61" i="15"/>
  <c r="AC61" i="15"/>
  <c r="AG60" i="15"/>
  <c r="AF60" i="15"/>
  <c r="AE60" i="15"/>
  <c r="AD60" i="15"/>
  <c r="AC60" i="15"/>
  <c r="AG59" i="15"/>
  <c r="AF59" i="15"/>
  <c r="AE59" i="15"/>
  <c r="AD59" i="15"/>
  <c r="AC59" i="15"/>
  <c r="AG58" i="15"/>
  <c r="AF58" i="15"/>
  <c r="AE58" i="15"/>
  <c r="AD58" i="15"/>
  <c r="AC58" i="15"/>
  <c r="AG57" i="15"/>
  <c r="AF57" i="15"/>
  <c r="AE57" i="15"/>
  <c r="AD57" i="15"/>
  <c r="AC57" i="15"/>
  <c r="AG56" i="15"/>
  <c r="AF56" i="15"/>
  <c r="AE56" i="15"/>
  <c r="AD56" i="15"/>
  <c r="AC56" i="15"/>
  <c r="AG55" i="15"/>
  <c r="AF55" i="15"/>
  <c r="AE55" i="15"/>
  <c r="AD55" i="15"/>
  <c r="AC55" i="15"/>
  <c r="AG54" i="15"/>
  <c r="AF54" i="15"/>
  <c r="AE54" i="15"/>
  <c r="AD54" i="15"/>
  <c r="AC54" i="15"/>
  <c r="AG53" i="15"/>
  <c r="AF53" i="15"/>
  <c r="AE53" i="15"/>
  <c r="AD53" i="15"/>
  <c r="AC53" i="15"/>
  <c r="AG52" i="15"/>
  <c r="AF52" i="15"/>
  <c r="AE52" i="15"/>
  <c r="AD52" i="15"/>
  <c r="AC52" i="15"/>
  <c r="AG51" i="15"/>
  <c r="AF51" i="15"/>
  <c r="AE51" i="15"/>
  <c r="AD51" i="15"/>
  <c r="AC51" i="15"/>
  <c r="AG50" i="15"/>
  <c r="AF50" i="15"/>
  <c r="AE50" i="15"/>
  <c r="AD50" i="15"/>
  <c r="AC50" i="15"/>
  <c r="AG49" i="15"/>
  <c r="AF49" i="15"/>
  <c r="AE49" i="15"/>
  <c r="AD49" i="15"/>
  <c r="AC49" i="15"/>
  <c r="AG48" i="15"/>
  <c r="AF48" i="15"/>
  <c r="AE48" i="15"/>
  <c r="AD48" i="15"/>
  <c r="AC48" i="15"/>
  <c r="AG47" i="15"/>
  <c r="AF47" i="15"/>
  <c r="AE47" i="15"/>
  <c r="AD47" i="15"/>
  <c r="AC47" i="15"/>
  <c r="AG46" i="15"/>
  <c r="AF46" i="15"/>
  <c r="AE46" i="15"/>
  <c r="AD46" i="15"/>
  <c r="AC46" i="15"/>
  <c r="AG45" i="15"/>
  <c r="AF45" i="15"/>
  <c r="AE45" i="15"/>
  <c r="AD45" i="15"/>
  <c r="AC45" i="15"/>
  <c r="AG44" i="15"/>
  <c r="AF44" i="15"/>
  <c r="AE44" i="15"/>
  <c r="AD44" i="15"/>
  <c r="AC44" i="15"/>
  <c r="AG43" i="15"/>
  <c r="AF43" i="15"/>
  <c r="AE43" i="15"/>
  <c r="AD43" i="15"/>
  <c r="AC43" i="15"/>
  <c r="AG42" i="15"/>
  <c r="AF42" i="15"/>
  <c r="AE42" i="15"/>
  <c r="AD42" i="15"/>
  <c r="AC42" i="15"/>
  <c r="AG41" i="15"/>
  <c r="AF41" i="15"/>
  <c r="AE41" i="15"/>
  <c r="AD41" i="15"/>
  <c r="AC41" i="15"/>
  <c r="AG40" i="15"/>
  <c r="AF40" i="15"/>
  <c r="AE40" i="15"/>
  <c r="AD40" i="15"/>
  <c r="AC40" i="15"/>
  <c r="AG39" i="15"/>
  <c r="AF39" i="15"/>
  <c r="AE39" i="15"/>
  <c r="AD39" i="15"/>
  <c r="AC39" i="15"/>
  <c r="AG38" i="15"/>
  <c r="AF38" i="15"/>
  <c r="AE38" i="15"/>
  <c r="AD38" i="15"/>
  <c r="AC38" i="15"/>
  <c r="AG37" i="15"/>
  <c r="AF37" i="15"/>
  <c r="AE37" i="15"/>
  <c r="AD37" i="15"/>
  <c r="AC37" i="15"/>
  <c r="AG36" i="15"/>
  <c r="AF36" i="15"/>
  <c r="AE36" i="15"/>
  <c r="AD36" i="15"/>
  <c r="AC36" i="15"/>
  <c r="AG35" i="15"/>
  <c r="AF35" i="15"/>
  <c r="AE35" i="15"/>
  <c r="AD35" i="15"/>
  <c r="AC35" i="15"/>
  <c r="AG34" i="15"/>
  <c r="AF34" i="15"/>
  <c r="AE34" i="15"/>
  <c r="AD34" i="15"/>
  <c r="AC34" i="15"/>
  <c r="AG33" i="15"/>
  <c r="AF33" i="15"/>
  <c r="AE33" i="15"/>
  <c r="AD33" i="15"/>
  <c r="AC33" i="15"/>
  <c r="AG32" i="15"/>
  <c r="AF32" i="15"/>
  <c r="AE32" i="15"/>
  <c r="AD32" i="15"/>
  <c r="AC32" i="15"/>
  <c r="AG31" i="15"/>
  <c r="AF31" i="15"/>
  <c r="AE31" i="15"/>
  <c r="AD31" i="15"/>
  <c r="AC31" i="15"/>
  <c r="AG30" i="15"/>
  <c r="AF30" i="15"/>
  <c r="AE30" i="15"/>
  <c r="AD30" i="15"/>
  <c r="AC30" i="15"/>
  <c r="AG29" i="15"/>
  <c r="AF29" i="15"/>
  <c r="AE29" i="15"/>
  <c r="AD29" i="15"/>
  <c r="AC29" i="15"/>
  <c r="AG28" i="15"/>
  <c r="AF28" i="15"/>
  <c r="AE28" i="15"/>
  <c r="AD28" i="15"/>
  <c r="AC28" i="15"/>
  <c r="AG27" i="15"/>
  <c r="AF27" i="15"/>
  <c r="AE27" i="15"/>
  <c r="AD27" i="15"/>
  <c r="AC27" i="15"/>
  <c r="AG26" i="15"/>
  <c r="AF26" i="15"/>
  <c r="AE26" i="15"/>
  <c r="AD26" i="15"/>
  <c r="AC26" i="15"/>
  <c r="AG25" i="15"/>
  <c r="AF25" i="15"/>
  <c r="AE25" i="15"/>
  <c r="AD25" i="15"/>
  <c r="AC25" i="15"/>
  <c r="AG24" i="15"/>
  <c r="AF24" i="15"/>
  <c r="AE24" i="15"/>
  <c r="AD24" i="15"/>
  <c r="AC24" i="15"/>
  <c r="AG23" i="15"/>
  <c r="AF23" i="15"/>
  <c r="AE23" i="15"/>
  <c r="AD23" i="15"/>
  <c r="AC23" i="15"/>
  <c r="AG22" i="15"/>
  <c r="AF22" i="15"/>
  <c r="AE22" i="15"/>
  <c r="AD22" i="15"/>
  <c r="AC22" i="15"/>
  <c r="AG21" i="15"/>
  <c r="AF21" i="15"/>
  <c r="AE21" i="15"/>
  <c r="AD21" i="15"/>
  <c r="AC21" i="15"/>
  <c r="AG20" i="15"/>
  <c r="AF20" i="15"/>
  <c r="AE20" i="15"/>
  <c r="AD20" i="15"/>
  <c r="AC20" i="15"/>
  <c r="AG19" i="15"/>
  <c r="AF19" i="15"/>
  <c r="AE19" i="15"/>
  <c r="AD19" i="15"/>
  <c r="AC19" i="15"/>
  <c r="AG18" i="15"/>
  <c r="AF18" i="15"/>
  <c r="AE18" i="15"/>
  <c r="AD18" i="15"/>
  <c r="AC18" i="15"/>
  <c r="AG17" i="15"/>
  <c r="AF17" i="15"/>
  <c r="AE17" i="15"/>
  <c r="AD17" i="15"/>
  <c r="AC17" i="15"/>
  <c r="AG16" i="15"/>
  <c r="AF16" i="15"/>
  <c r="AE16" i="15"/>
  <c r="AD16" i="15"/>
  <c r="AC16" i="15"/>
  <c r="AG15" i="15"/>
  <c r="AF15" i="15"/>
  <c r="AE15" i="15"/>
  <c r="AD15" i="15"/>
  <c r="AC15" i="15"/>
  <c r="AG14" i="15"/>
  <c r="AF14" i="15"/>
  <c r="AE14" i="15"/>
  <c r="AD14" i="15"/>
  <c r="AC14" i="15"/>
  <c r="AG13" i="15"/>
  <c r="AF13" i="15"/>
  <c r="AE13" i="15"/>
  <c r="AD13" i="15"/>
  <c r="AC13" i="15"/>
  <c r="AG12" i="15"/>
  <c r="AF12" i="15"/>
  <c r="AE12" i="15"/>
  <c r="AD12" i="15"/>
  <c r="AC12" i="15"/>
  <c r="AG11" i="15"/>
  <c r="AF11" i="15"/>
  <c r="AE11" i="15"/>
  <c r="AD11" i="15"/>
  <c r="AC11" i="15"/>
  <c r="AG10" i="15"/>
  <c r="AF10" i="15"/>
  <c r="AE10" i="15"/>
  <c r="AD10" i="15"/>
  <c r="AC10" i="15"/>
  <c r="AG9" i="15"/>
  <c r="AF9" i="15"/>
  <c r="AE9" i="15"/>
  <c r="AD9" i="15"/>
  <c r="AC9" i="15"/>
  <c r="AG8" i="15"/>
  <c r="AF8" i="15"/>
  <c r="AE8" i="15"/>
  <c r="AD8" i="15"/>
  <c r="AC8" i="15"/>
  <c r="AG7" i="15"/>
  <c r="AF7" i="15"/>
  <c r="AE7" i="15"/>
  <c r="AD7" i="15"/>
  <c r="AC7" i="15"/>
  <c r="AG6" i="15"/>
  <c r="AF6" i="15"/>
  <c r="AE6" i="15"/>
  <c r="AD6" i="15"/>
  <c r="AC6" i="15"/>
  <c r="AJ64" i="14"/>
  <c r="AI64" i="14"/>
  <c r="AH64" i="14"/>
  <c r="AG64" i="14"/>
  <c r="AF64" i="14"/>
  <c r="AE64" i="14"/>
  <c r="AD64" i="14"/>
  <c r="AC64" i="14"/>
  <c r="AJ63" i="14"/>
  <c r="AI63" i="14"/>
  <c r="AH63" i="14"/>
  <c r="AG63" i="14"/>
  <c r="AF63" i="14"/>
  <c r="AE63" i="14"/>
  <c r="AD63" i="14"/>
  <c r="AC63" i="14"/>
  <c r="AJ62" i="14"/>
  <c r="AI62" i="14"/>
  <c r="AH62" i="14"/>
  <c r="AG62" i="14"/>
  <c r="AF62" i="14"/>
  <c r="AE62" i="14"/>
  <c r="AD62" i="14"/>
  <c r="AC62" i="14"/>
  <c r="AJ61" i="14"/>
  <c r="AI61" i="14"/>
  <c r="AH61" i="14"/>
  <c r="AG61" i="14"/>
  <c r="AF61" i="14"/>
  <c r="AE61" i="14"/>
  <c r="AD61" i="14"/>
  <c r="AC61" i="14"/>
  <c r="AJ60" i="14"/>
  <c r="AI60" i="14"/>
  <c r="AH60" i="14"/>
  <c r="AG60" i="14"/>
  <c r="AF60" i="14"/>
  <c r="AE60" i="14"/>
  <c r="AD60" i="14"/>
  <c r="AC60" i="14"/>
  <c r="AJ59" i="14"/>
  <c r="AI59" i="14"/>
  <c r="AH59" i="14"/>
  <c r="AG59" i="14"/>
  <c r="AF59" i="14"/>
  <c r="AE59" i="14"/>
  <c r="AD59" i="14"/>
  <c r="AC59" i="14"/>
  <c r="AJ58" i="14"/>
  <c r="AI58" i="14"/>
  <c r="AH58" i="14"/>
  <c r="AG58" i="14"/>
  <c r="AF58" i="14"/>
  <c r="AE58" i="14"/>
  <c r="AD58" i="14"/>
  <c r="AC58" i="14"/>
  <c r="AJ57" i="14"/>
  <c r="AI57" i="14"/>
  <c r="AH57" i="14"/>
  <c r="AG57" i="14"/>
  <c r="AF57" i="14"/>
  <c r="AE57" i="14"/>
  <c r="AD57" i="14"/>
  <c r="AC57" i="14"/>
  <c r="AJ56" i="14"/>
  <c r="AI56" i="14"/>
  <c r="AH56" i="14"/>
  <c r="AG56" i="14"/>
  <c r="AF56" i="14"/>
  <c r="AE56" i="14"/>
  <c r="AD56" i="14"/>
  <c r="AC56" i="14"/>
  <c r="AJ55" i="14"/>
  <c r="AI55" i="14"/>
  <c r="AH55" i="14"/>
  <c r="AG55" i="14"/>
  <c r="AF55" i="14"/>
  <c r="AE55" i="14"/>
  <c r="AD55" i="14"/>
  <c r="AC55" i="14"/>
  <c r="AJ54" i="14"/>
  <c r="AI54" i="14"/>
  <c r="AH54" i="14"/>
  <c r="AG54" i="14"/>
  <c r="AF54" i="14"/>
  <c r="AE54" i="14"/>
  <c r="AD54" i="14"/>
  <c r="AC54" i="14"/>
  <c r="AJ53" i="14"/>
  <c r="AI53" i="14"/>
  <c r="AH53" i="14"/>
  <c r="AG53" i="14"/>
  <c r="AF53" i="14"/>
  <c r="AE53" i="14"/>
  <c r="AD53" i="14"/>
  <c r="AC53" i="14"/>
  <c r="AJ52" i="14"/>
  <c r="AI52" i="14"/>
  <c r="AH52" i="14"/>
  <c r="AG52" i="14"/>
  <c r="AF52" i="14"/>
  <c r="AE52" i="14"/>
  <c r="AD52" i="14"/>
  <c r="AC52" i="14"/>
  <c r="AJ51" i="14"/>
  <c r="AI51" i="14"/>
  <c r="AH51" i="14"/>
  <c r="AG51" i="14"/>
  <c r="AF51" i="14"/>
  <c r="AE51" i="14"/>
  <c r="AD51" i="14"/>
  <c r="AC51" i="14"/>
  <c r="AJ50" i="14"/>
  <c r="AI50" i="14"/>
  <c r="AH50" i="14"/>
  <c r="AG50" i="14"/>
  <c r="AF50" i="14"/>
  <c r="AE50" i="14"/>
  <c r="AD50" i="14"/>
  <c r="AC50" i="14"/>
  <c r="AJ49" i="14"/>
  <c r="AI49" i="14"/>
  <c r="AH49" i="14"/>
  <c r="AG49" i="14"/>
  <c r="AF49" i="14"/>
  <c r="AE49" i="14"/>
  <c r="AD49" i="14"/>
  <c r="AC49" i="14"/>
  <c r="AJ48" i="14"/>
  <c r="AI48" i="14"/>
  <c r="AH48" i="14"/>
  <c r="AG48" i="14"/>
  <c r="AF48" i="14"/>
  <c r="AE48" i="14"/>
  <c r="AD48" i="14"/>
  <c r="AC48" i="14"/>
  <c r="AJ47" i="14"/>
  <c r="AI47" i="14"/>
  <c r="AH47" i="14"/>
  <c r="AG47" i="14"/>
  <c r="AF47" i="14"/>
  <c r="AE47" i="14"/>
  <c r="AD47" i="14"/>
  <c r="AC47" i="14"/>
  <c r="AJ46" i="14"/>
  <c r="AI46" i="14"/>
  <c r="AH46" i="14"/>
  <c r="AG46" i="14"/>
  <c r="AF46" i="14"/>
  <c r="AE46" i="14"/>
  <c r="AD46" i="14"/>
  <c r="AC46" i="14"/>
  <c r="AJ45" i="14"/>
  <c r="AI45" i="14"/>
  <c r="AH45" i="14"/>
  <c r="AG45" i="14"/>
  <c r="AF45" i="14"/>
  <c r="AE45" i="14"/>
  <c r="AD45" i="14"/>
  <c r="AC45" i="14"/>
  <c r="AJ44" i="14"/>
  <c r="AI44" i="14"/>
  <c r="AH44" i="14"/>
  <c r="AG44" i="14"/>
  <c r="AF44" i="14"/>
  <c r="AE44" i="14"/>
  <c r="AD44" i="14"/>
  <c r="AC44" i="14"/>
  <c r="AJ43" i="14"/>
  <c r="AI43" i="14"/>
  <c r="AH43" i="14"/>
  <c r="AG43" i="14"/>
  <c r="AF43" i="14"/>
  <c r="AE43" i="14"/>
  <c r="AD43" i="14"/>
  <c r="AC43" i="14"/>
  <c r="AJ42" i="14"/>
  <c r="AI42" i="14"/>
  <c r="AH42" i="14"/>
  <c r="AG42" i="14"/>
  <c r="AF42" i="14"/>
  <c r="AE42" i="14"/>
  <c r="AD42" i="14"/>
  <c r="AC42" i="14"/>
  <c r="AJ41" i="14"/>
  <c r="AI41" i="14"/>
  <c r="AH41" i="14"/>
  <c r="AG41" i="14"/>
  <c r="AF41" i="14"/>
  <c r="AE41" i="14"/>
  <c r="AD41" i="14"/>
  <c r="AC41" i="14"/>
  <c r="AJ40" i="14"/>
  <c r="AI40" i="14"/>
  <c r="AH40" i="14"/>
  <c r="AG40" i="14"/>
  <c r="AF40" i="14"/>
  <c r="AE40" i="14"/>
  <c r="AD40" i="14"/>
  <c r="AC40" i="14"/>
  <c r="AJ39" i="14"/>
  <c r="AI39" i="14"/>
  <c r="AH39" i="14"/>
  <c r="AG39" i="14"/>
  <c r="AF39" i="14"/>
  <c r="AE39" i="14"/>
  <c r="AD39" i="14"/>
  <c r="AC39" i="14"/>
  <c r="AJ38" i="14"/>
  <c r="AI38" i="14"/>
  <c r="AH38" i="14"/>
  <c r="AG38" i="14"/>
  <c r="AF38" i="14"/>
  <c r="AE38" i="14"/>
  <c r="AD38" i="14"/>
  <c r="AC38" i="14"/>
  <c r="AJ37" i="14"/>
  <c r="AI37" i="14"/>
  <c r="AH37" i="14"/>
  <c r="AG37" i="14"/>
  <c r="AF37" i="14"/>
  <c r="AE37" i="14"/>
  <c r="AD37" i="14"/>
  <c r="AC37" i="14"/>
  <c r="AJ36" i="14"/>
  <c r="AI36" i="14"/>
  <c r="AH36" i="14"/>
  <c r="AG36" i="14"/>
  <c r="AF36" i="14"/>
  <c r="AE36" i="14"/>
  <c r="AD36" i="14"/>
  <c r="AC36" i="14"/>
  <c r="AJ35" i="14"/>
  <c r="AI35" i="14"/>
  <c r="AH35" i="14"/>
  <c r="AG35" i="14"/>
  <c r="AF35" i="14"/>
  <c r="AE35" i="14"/>
  <c r="AD35" i="14"/>
  <c r="AC35" i="14"/>
  <c r="AJ34" i="14"/>
  <c r="AI34" i="14"/>
  <c r="AH34" i="14"/>
  <c r="AG34" i="14"/>
  <c r="AF34" i="14"/>
  <c r="AE34" i="14"/>
  <c r="AD34" i="14"/>
  <c r="AC34" i="14"/>
  <c r="AJ33" i="14"/>
  <c r="AI33" i="14"/>
  <c r="AH33" i="14"/>
  <c r="AG33" i="14"/>
  <c r="AF33" i="14"/>
  <c r="AE33" i="14"/>
  <c r="AD33" i="14"/>
  <c r="AC33" i="14"/>
  <c r="AJ32" i="14"/>
  <c r="AI32" i="14"/>
  <c r="AH32" i="14"/>
  <c r="AG32" i="14"/>
  <c r="AF32" i="14"/>
  <c r="AE32" i="14"/>
  <c r="AD32" i="14"/>
  <c r="AC32" i="14"/>
  <c r="AJ31" i="14"/>
  <c r="AI31" i="14"/>
  <c r="AH31" i="14"/>
  <c r="AG31" i="14"/>
  <c r="AF31" i="14"/>
  <c r="AE31" i="14"/>
  <c r="AD31" i="14"/>
  <c r="AC31" i="14"/>
  <c r="AJ30" i="14"/>
  <c r="AI30" i="14"/>
  <c r="AH30" i="14"/>
  <c r="AG30" i="14"/>
  <c r="AF30" i="14"/>
  <c r="AE30" i="14"/>
  <c r="AD30" i="14"/>
  <c r="AC30" i="14"/>
  <c r="AJ29" i="14"/>
  <c r="AI29" i="14"/>
  <c r="AH29" i="14"/>
  <c r="AG29" i="14"/>
  <c r="AF29" i="14"/>
  <c r="AE29" i="14"/>
  <c r="AD29" i="14"/>
  <c r="AC29" i="14"/>
  <c r="AJ28" i="14"/>
  <c r="AI28" i="14"/>
  <c r="AH28" i="14"/>
  <c r="AG28" i="14"/>
  <c r="AF28" i="14"/>
  <c r="AE28" i="14"/>
  <c r="AD28" i="14"/>
  <c r="AC28" i="14"/>
  <c r="AJ27" i="14"/>
  <c r="AI27" i="14"/>
  <c r="AH27" i="14"/>
  <c r="AG27" i="14"/>
  <c r="AF27" i="14"/>
  <c r="AE27" i="14"/>
  <c r="AD27" i="14"/>
  <c r="AC27" i="14"/>
  <c r="AJ26" i="14"/>
  <c r="AI26" i="14"/>
  <c r="AH26" i="14"/>
  <c r="AG26" i="14"/>
  <c r="AF26" i="14"/>
  <c r="AE26" i="14"/>
  <c r="AD26" i="14"/>
  <c r="AC26" i="14"/>
  <c r="AJ25" i="14"/>
  <c r="AI25" i="14"/>
  <c r="AH25" i="14"/>
  <c r="AG25" i="14"/>
  <c r="AF25" i="14"/>
  <c r="AE25" i="14"/>
  <c r="AD25" i="14"/>
  <c r="AC25" i="14"/>
  <c r="AJ24" i="14"/>
  <c r="AI24" i="14"/>
  <c r="AH24" i="14"/>
  <c r="AG24" i="14"/>
  <c r="AF24" i="14"/>
  <c r="AE24" i="14"/>
  <c r="AD24" i="14"/>
  <c r="AC24" i="14"/>
  <c r="AJ23" i="14"/>
  <c r="AI23" i="14"/>
  <c r="AH23" i="14"/>
  <c r="AG23" i="14"/>
  <c r="AF23" i="14"/>
  <c r="AE23" i="14"/>
  <c r="AD23" i="14"/>
  <c r="AC23" i="14"/>
  <c r="AJ22" i="14"/>
  <c r="AI22" i="14"/>
  <c r="AH22" i="14"/>
  <c r="AG22" i="14"/>
  <c r="AF22" i="14"/>
  <c r="AE22" i="14"/>
  <c r="AD22" i="14"/>
  <c r="AC22" i="14"/>
  <c r="AJ21" i="14"/>
  <c r="AI21" i="14"/>
  <c r="AH21" i="14"/>
  <c r="AG21" i="14"/>
  <c r="AF21" i="14"/>
  <c r="AE21" i="14"/>
  <c r="AD21" i="14"/>
  <c r="AC21" i="14"/>
  <c r="AJ20" i="14"/>
  <c r="AI20" i="14"/>
  <c r="AH20" i="14"/>
  <c r="AG20" i="14"/>
  <c r="AF20" i="14"/>
  <c r="AE20" i="14"/>
  <c r="AD20" i="14"/>
  <c r="AC20" i="14"/>
  <c r="AJ19" i="14"/>
  <c r="AI19" i="14"/>
  <c r="AH19" i="14"/>
  <c r="AG19" i="14"/>
  <c r="AF19" i="14"/>
  <c r="AE19" i="14"/>
  <c r="AD19" i="14"/>
  <c r="AC19" i="14"/>
  <c r="AJ18" i="14"/>
  <c r="AI18" i="14"/>
  <c r="AH18" i="14"/>
  <c r="AG18" i="14"/>
  <c r="AF18" i="14"/>
  <c r="AE18" i="14"/>
  <c r="AD18" i="14"/>
  <c r="AC18" i="14"/>
  <c r="AJ17" i="14"/>
  <c r="AI17" i="14"/>
  <c r="AH17" i="14"/>
  <c r="AG17" i="14"/>
  <c r="AF17" i="14"/>
  <c r="AE17" i="14"/>
  <c r="AD17" i="14"/>
  <c r="AC17" i="14"/>
  <c r="AJ16" i="14"/>
  <c r="AI16" i="14"/>
  <c r="AH16" i="14"/>
  <c r="AG16" i="14"/>
  <c r="AF16" i="14"/>
  <c r="AE16" i="14"/>
  <c r="AD16" i="14"/>
  <c r="AC16" i="14"/>
  <c r="AJ15" i="14"/>
  <c r="AI15" i="14"/>
  <c r="AH15" i="14"/>
  <c r="AG15" i="14"/>
  <c r="AF15" i="14"/>
  <c r="AE15" i="14"/>
  <c r="AD15" i="14"/>
  <c r="AC15" i="14"/>
  <c r="AJ14" i="14"/>
  <c r="AI14" i="14"/>
  <c r="AH14" i="14"/>
  <c r="AG14" i="14"/>
  <c r="AF14" i="14"/>
  <c r="AE14" i="14"/>
  <c r="AD14" i="14"/>
  <c r="AC14" i="14"/>
  <c r="AJ13" i="14"/>
  <c r="AI13" i="14"/>
  <c r="AH13" i="14"/>
  <c r="AG13" i="14"/>
  <c r="AF13" i="14"/>
  <c r="AE13" i="14"/>
  <c r="AD13" i="14"/>
  <c r="AC13" i="14"/>
  <c r="AJ12" i="14"/>
  <c r="AI12" i="14"/>
  <c r="AH12" i="14"/>
  <c r="AG12" i="14"/>
  <c r="AF12" i="14"/>
  <c r="AE12" i="14"/>
  <c r="AD12" i="14"/>
  <c r="AC12" i="14"/>
  <c r="AJ11" i="14"/>
  <c r="AI11" i="14"/>
  <c r="AH11" i="14"/>
  <c r="AG11" i="14"/>
  <c r="AF11" i="14"/>
  <c r="AE11" i="14"/>
  <c r="AD11" i="14"/>
  <c r="AC11" i="14"/>
  <c r="AJ10" i="14"/>
  <c r="AI10" i="14"/>
  <c r="AH10" i="14"/>
  <c r="AG10" i="14"/>
  <c r="AF10" i="14"/>
  <c r="AE10" i="14"/>
  <c r="AD10" i="14"/>
  <c r="AC10" i="14"/>
  <c r="AJ9" i="14"/>
  <c r="AI9" i="14"/>
  <c r="AH9" i="14"/>
  <c r="AG9" i="14"/>
  <c r="AF9" i="14"/>
  <c r="AE9" i="14"/>
  <c r="AD9" i="14"/>
  <c r="AC9" i="14"/>
  <c r="AJ8" i="14"/>
  <c r="AI8" i="14"/>
  <c r="AH8" i="14"/>
  <c r="AG8" i="14"/>
  <c r="AF8" i="14"/>
  <c r="AE8" i="14"/>
  <c r="AD8" i="14"/>
  <c r="AC8" i="14"/>
  <c r="AJ7" i="14"/>
  <c r="AI7" i="14"/>
  <c r="AH7" i="14"/>
  <c r="AG7" i="14"/>
  <c r="AF7" i="14"/>
  <c r="AE7" i="14"/>
  <c r="AD7" i="14"/>
  <c r="AC7" i="14"/>
  <c r="AJ6" i="14"/>
  <c r="AI6" i="14"/>
  <c r="AH6" i="14"/>
  <c r="AG6" i="14"/>
  <c r="AF6" i="14"/>
  <c r="AE6" i="14"/>
  <c r="AD6" i="14"/>
  <c r="AC6" i="14"/>
  <c r="F14" i="12"/>
  <c r="E14" i="12"/>
  <c r="E13" i="12"/>
  <c r="F13" i="12" s="1"/>
  <c r="E12" i="12"/>
  <c r="F12" i="12" s="1"/>
  <c r="E11" i="12"/>
  <c r="F11" i="12" s="1"/>
  <c r="E10" i="12"/>
  <c r="F10" i="12" s="1"/>
  <c r="E9" i="12"/>
  <c r="F9" i="12" s="1"/>
  <c r="E8" i="12"/>
  <c r="F8" i="12" s="1"/>
  <c r="E7" i="12"/>
  <c r="F7" i="12" s="1"/>
  <c r="E6" i="12"/>
  <c r="E7" i="11"/>
  <c r="C7" i="11"/>
  <c r="B7" i="11"/>
  <c r="D7" i="11" s="1"/>
  <c r="F7" i="11" s="1"/>
  <c r="E6" i="11"/>
  <c r="B6" i="11"/>
  <c r="A6" i="9"/>
  <c r="B6" i="9" s="1"/>
  <c r="C6" i="9" s="1"/>
  <c r="A6" i="8"/>
  <c r="A7" i="8" s="1"/>
  <c r="A6" i="7"/>
  <c r="B6" i="7" s="1"/>
  <c r="C6" i="7" s="1"/>
  <c r="AA6" i="7" s="1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R366" i="4"/>
  <c r="Q366" i="4"/>
  <c r="P366" i="4"/>
  <c r="R365" i="4"/>
  <c r="Q365" i="4"/>
  <c r="P365" i="4"/>
  <c r="R364" i="4"/>
  <c r="Q364" i="4"/>
  <c r="P364" i="4"/>
  <c r="R363" i="4"/>
  <c r="Q363" i="4"/>
  <c r="P363" i="4"/>
  <c r="R362" i="4"/>
  <c r="Q362" i="4"/>
  <c r="P362" i="4"/>
  <c r="R361" i="4"/>
  <c r="Q361" i="4"/>
  <c r="P361" i="4"/>
  <c r="R360" i="4"/>
  <c r="Q360" i="4"/>
  <c r="P360" i="4"/>
  <c r="R359" i="4"/>
  <c r="Q359" i="4"/>
  <c r="P359" i="4"/>
  <c r="R358" i="4"/>
  <c r="Q358" i="4"/>
  <c r="P358" i="4"/>
  <c r="R357" i="4"/>
  <c r="Q357" i="4"/>
  <c r="P357" i="4"/>
  <c r="R356" i="4"/>
  <c r="Q356" i="4"/>
  <c r="P356" i="4"/>
  <c r="R355" i="4"/>
  <c r="Q355" i="4"/>
  <c r="P355" i="4"/>
  <c r="R354" i="4"/>
  <c r="Q354" i="4"/>
  <c r="P354" i="4"/>
  <c r="R353" i="4"/>
  <c r="Q353" i="4"/>
  <c r="P353" i="4"/>
  <c r="R352" i="4"/>
  <c r="Q352" i="4"/>
  <c r="P352" i="4"/>
  <c r="R351" i="4"/>
  <c r="Q351" i="4"/>
  <c r="P351" i="4"/>
  <c r="R350" i="4"/>
  <c r="Q350" i="4"/>
  <c r="P350" i="4"/>
  <c r="R349" i="4"/>
  <c r="Q349" i="4"/>
  <c r="P349" i="4"/>
  <c r="R348" i="4"/>
  <c r="Q348" i="4"/>
  <c r="P348" i="4"/>
  <c r="R347" i="4"/>
  <c r="Q347" i="4"/>
  <c r="P347" i="4"/>
  <c r="R346" i="4"/>
  <c r="Q346" i="4"/>
  <c r="P346" i="4"/>
  <c r="R345" i="4"/>
  <c r="Q345" i="4"/>
  <c r="P345" i="4"/>
  <c r="R344" i="4"/>
  <c r="Q344" i="4"/>
  <c r="P344" i="4"/>
  <c r="R343" i="4"/>
  <c r="Q343" i="4"/>
  <c r="P343" i="4"/>
  <c r="R342" i="4"/>
  <c r="Q342" i="4"/>
  <c r="P342" i="4"/>
  <c r="R341" i="4"/>
  <c r="Q341" i="4"/>
  <c r="P341" i="4"/>
  <c r="R340" i="4"/>
  <c r="Q340" i="4"/>
  <c r="P340" i="4"/>
  <c r="R339" i="4"/>
  <c r="Q339" i="4"/>
  <c r="P339" i="4"/>
  <c r="R338" i="4"/>
  <c r="Q338" i="4"/>
  <c r="P338" i="4"/>
  <c r="R337" i="4"/>
  <c r="Q337" i="4"/>
  <c r="P337" i="4"/>
  <c r="R336" i="4"/>
  <c r="Q336" i="4"/>
  <c r="P336" i="4"/>
  <c r="R335" i="4"/>
  <c r="Q335" i="4"/>
  <c r="P335" i="4"/>
  <c r="R334" i="4"/>
  <c r="Q334" i="4"/>
  <c r="P334" i="4"/>
  <c r="R333" i="4"/>
  <c r="Q333" i="4"/>
  <c r="P333" i="4"/>
  <c r="R332" i="4"/>
  <c r="Q332" i="4"/>
  <c r="P332" i="4"/>
  <c r="R331" i="4"/>
  <c r="Q331" i="4"/>
  <c r="P331" i="4"/>
  <c r="R330" i="4"/>
  <c r="Q330" i="4"/>
  <c r="P330" i="4"/>
  <c r="R329" i="4"/>
  <c r="Q329" i="4"/>
  <c r="P329" i="4"/>
  <c r="R328" i="4"/>
  <c r="Q328" i="4"/>
  <c r="P328" i="4"/>
  <c r="R327" i="4"/>
  <c r="Q327" i="4"/>
  <c r="P327" i="4"/>
  <c r="R326" i="4"/>
  <c r="Q326" i="4"/>
  <c r="P326" i="4"/>
  <c r="R325" i="4"/>
  <c r="Q325" i="4"/>
  <c r="P325" i="4"/>
  <c r="R324" i="4"/>
  <c r="Q324" i="4"/>
  <c r="P324" i="4"/>
  <c r="R323" i="4"/>
  <c r="Q323" i="4"/>
  <c r="P323" i="4"/>
  <c r="R322" i="4"/>
  <c r="Q322" i="4"/>
  <c r="P322" i="4"/>
  <c r="R321" i="4"/>
  <c r="Q321" i="4"/>
  <c r="P321" i="4"/>
  <c r="R320" i="4"/>
  <c r="Q320" i="4"/>
  <c r="P320" i="4"/>
  <c r="R319" i="4"/>
  <c r="Q319" i="4"/>
  <c r="P319" i="4"/>
  <c r="R318" i="4"/>
  <c r="Q318" i="4"/>
  <c r="P318" i="4"/>
  <c r="R317" i="4"/>
  <c r="Q317" i="4"/>
  <c r="P317" i="4"/>
  <c r="R316" i="4"/>
  <c r="Q316" i="4"/>
  <c r="P316" i="4"/>
  <c r="R315" i="4"/>
  <c r="Q315" i="4"/>
  <c r="P315" i="4"/>
  <c r="R314" i="4"/>
  <c r="Q314" i="4"/>
  <c r="P314" i="4"/>
  <c r="R313" i="4"/>
  <c r="Q313" i="4"/>
  <c r="P313" i="4"/>
  <c r="R312" i="4"/>
  <c r="Q312" i="4"/>
  <c r="P312" i="4"/>
  <c r="R311" i="4"/>
  <c r="Q311" i="4"/>
  <c r="P311" i="4"/>
  <c r="R310" i="4"/>
  <c r="Q310" i="4"/>
  <c r="P310" i="4"/>
  <c r="R309" i="4"/>
  <c r="Q309" i="4"/>
  <c r="P309" i="4"/>
  <c r="R308" i="4"/>
  <c r="Q308" i="4"/>
  <c r="P308" i="4"/>
  <c r="R307" i="4"/>
  <c r="Q307" i="4"/>
  <c r="P307" i="4"/>
  <c r="R306" i="4"/>
  <c r="Q306" i="4"/>
  <c r="P306" i="4"/>
  <c r="R305" i="4"/>
  <c r="Q305" i="4"/>
  <c r="P305" i="4"/>
  <c r="R304" i="4"/>
  <c r="Q304" i="4"/>
  <c r="P304" i="4"/>
  <c r="R303" i="4"/>
  <c r="Q303" i="4"/>
  <c r="P303" i="4"/>
  <c r="R302" i="4"/>
  <c r="Q302" i="4"/>
  <c r="P302" i="4"/>
  <c r="R301" i="4"/>
  <c r="Q301" i="4"/>
  <c r="P301" i="4"/>
  <c r="R300" i="4"/>
  <c r="Q300" i="4"/>
  <c r="P300" i="4"/>
  <c r="R299" i="4"/>
  <c r="Q299" i="4"/>
  <c r="P299" i="4"/>
  <c r="R298" i="4"/>
  <c r="Q298" i="4"/>
  <c r="P298" i="4"/>
  <c r="R297" i="4"/>
  <c r="Q297" i="4"/>
  <c r="P297" i="4"/>
  <c r="R296" i="4"/>
  <c r="Q296" i="4"/>
  <c r="P296" i="4"/>
  <c r="R295" i="4"/>
  <c r="Q295" i="4"/>
  <c r="P295" i="4"/>
  <c r="R294" i="4"/>
  <c r="Q294" i="4"/>
  <c r="P294" i="4"/>
  <c r="R293" i="4"/>
  <c r="Q293" i="4"/>
  <c r="P293" i="4"/>
  <c r="R292" i="4"/>
  <c r="Q292" i="4"/>
  <c r="P292" i="4"/>
  <c r="R291" i="4"/>
  <c r="Q291" i="4"/>
  <c r="P291" i="4"/>
  <c r="R290" i="4"/>
  <c r="Q290" i="4"/>
  <c r="P290" i="4"/>
  <c r="R289" i="4"/>
  <c r="Q289" i="4"/>
  <c r="P289" i="4"/>
  <c r="R288" i="4"/>
  <c r="Q288" i="4"/>
  <c r="P288" i="4"/>
  <c r="R287" i="4"/>
  <c r="Q287" i="4"/>
  <c r="P287" i="4"/>
  <c r="R286" i="4"/>
  <c r="Q286" i="4"/>
  <c r="P286" i="4"/>
  <c r="R285" i="4"/>
  <c r="Q285" i="4"/>
  <c r="P285" i="4"/>
  <c r="R284" i="4"/>
  <c r="Q284" i="4"/>
  <c r="P284" i="4"/>
  <c r="R283" i="4"/>
  <c r="Q283" i="4"/>
  <c r="P283" i="4"/>
  <c r="R282" i="4"/>
  <c r="Q282" i="4"/>
  <c r="P282" i="4"/>
  <c r="R281" i="4"/>
  <c r="Q281" i="4"/>
  <c r="P281" i="4"/>
  <c r="R280" i="4"/>
  <c r="Q280" i="4"/>
  <c r="P280" i="4"/>
  <c r="R279" i="4"/>
  <c r="Q279" i="4"/>
  <c r="P279" i="4"/>
  <c r="R278" i="4"/>
  <c r="Q278" i="4"/>
  <c r="P278" i="4"/>
  <c r="R277" i="4"/>
  <c r="Q277" i="4"/>
  <c r="P277" i="4"/>
  <c r="R276" i="4"/>
  <c r="Q276" i="4"/>
  <c r="P276" i="4"/>
  <c r="R275" i="4"/>
  <c r="Q275" i="4"/>
  <c r="P275" i="4"/>
  <c r="R274" i="4"/>
  <c r="Q274" i="4"/>
  <c r="P274" i="4"/>
  <c r="R273" i="4"/>
  <c r="Q273" i="4"/>
  <c r="P273" i="4"/>
  <c r="R272" i="4"/>
  <c r="Q272" i="4"/>
  <c r="P272" i="4"/>
  <c r="R271" i="4"/>
  <c r="Q271" i="4"/>
  <c r="P271" i="4"/>
  <c r="R270" i="4"/>
  <c r="Q270" i="4"/>
  <c r="P270" i="4"/>
  <c r="R269" i="4"/>
  <c r="Q269" i="4"/>
  <c r="P269" i="4"/>
  <c r="R268" i="4"/>
  <c r="Q268" i="4"/>
  <c r="P268" i="4"/>
  <c r="R267" i="4"/>
  <c r="Q267" i="4"/>
  <c r="P267" i="4"/>
  <c r="R266" i="4"/>
  <c r="Q266" i="4"/>
  <c r="P266" i="4"/>
  <c r="R265" i="4"/>
  <c r="Q265" i="4"/>
  <c r="P265" i="4"/>
  <c r="R264" i="4"/>
  <c r="Q264" i="4"/>
  <c r="P264" i="4"/>
  <c r="R263" i="4"/>
  <c r="Q263" i="4"/>
  <c r="P263" i="4"/>
  <c r="R262" i="4"/>
  <c r="Q262" i="4"/>
  <c r="P262" i="4"/>
  <c r="R261" i="4"/>
  <c r="Q261" i="4"/>
  <c r="P261" i="4"/>
  <c r="R260" i="4"/>
  <c r="Q260" i="4"/>
  <c r="P260" i="4"/>
  <c r="R259" i="4"/>
  <c r="Q259" i="4"/>
  <c r="P259" i="4"/>
  <c r="R258" i="4"/>
  <c r="Q258" i="4"/>
  <c r="P258" i="4"/>
  <c r="R257" i="4"/>
  <c r="Q257" i="4"/>
  <c r="P257" i="4"/>
  <c r="R256" i="4"/>
  <c r="Q256" i="4"/>
  <c r="P256" i="4"/>
  <c r="R255" i="4"/>
  <c r="Q255" i="4"/>
  <c r="P255" i="4"/>
  <c r="R254" i="4"/>
  <c r="Q254" i="4"/>
  <c r="P254" i="4"/>
  <c r="R253" i="4"/>
  <c r="Q253" i="4"/>
  <c r="P253" i="4"/>
  <c r="R252" i="4"/>
  <c r="Q252" i="4"/>
  <c r="P252" i="4"/>
  <c r="R251" i="4"/>
  <c r="Q251" i="4"/>
  <c r="P251" i="4"/>
  <c r="R250" i="4"/>
  <c r="Q250" i="4"/>
  <c r="P250" i="4"/>
  <c r="R249" i="4"/>
  <c r="Q249" i="4"/>
  <c r="P249" i="4"/>
  <c r="R248" i="4"/>
  <c r="Q248" i="4"/>
  <c r="P248" i="4"/>
  <c r="R247" i="4"/>
  <c r="Q247" i="4"/>
  <c r="P247" i="4"/>
  <c r="R246" i="4"/>
  <c r="Q246" i="4"/>
  <c r="P246" i="4"/>
  <c r="R245" i="4"/>
  <c r="Q245" i="4"/>
  <c r="P245" i="4"/>
  <c r="R244" i="4"/>
  <c r="Q244" i="4"/>
  <c r="P244" i="4"/>
  <c r="R243" i="4"/>
  <c r="Q243" i="4"/>
  <c r="P243" i="4"/>
  <c r="R242" i="4"/>
  <c r="Q242" i="4"/>
  <c r="P242" i="4"/>
  <c r="R241" i="4"/>
  <c r="Q241" i="4"/>
  <c r="P241" i="4"/>
  <c r="R240" i="4"/>
  <c r="Q240" i="4"/>
  <c r="P240" i="4"/>
  <c r="R239" i="4"/>
  <c r="Q239" i="4"/>
  <c r="P239" i="4"/>
  <c r="R238" i="4"/>
  <c r="Q238" i="4"/>
  <c r="P238" i="4"/>
  <c r="R237" i="4"/>
  <c r="Q237" i="4"/>
  <c r="P237" i="4"/>
  <c r="R236" i="4"/>
  <c r="Q236" i="4"/>
  <c r="P236" i="4"/>
  <c r="R235" i="4"/>
  <c r="Q235" i="4"/>
  <c r="P235" i="4"/>
  <c r="R234" i="4"/>
  <c r="Q234" i="4"/>
  <c r="P234" i="4"/>
  <c r="R233" i="4"/>
  <c r="Q233" i="4"/>
  <c r="P233" i="4"/>
  <c r="R232" i="4"/>
  <c r="Q232" i="4"/>
  <c r="P232" i="4"/>
  <c r="R231" i="4"/>
  <c r="Q231" i="4"/>
  <c r="P231" i="4"/>
  <c r="R230" i="4"/>
  <c r="Q230" i="4"/>
  <c r="P230" i="4"/>
  <c r="R229" i="4"/>
  <c r="Q229" i="4"/>
  <c r="P229" i="4"/>
  <c r="R228" i="4"/>
  <c r="Q228" i="4"/>
  <c r="P228" i="4"/>
  <c r="R227" i="4"/>
  <c r="Q227" i="4"/>
  <c r="P227" i="4"/>
  <c r="R226" i="4"/>
  <c r="Q226" i="4"/>
  <c r="P226" i="4"/>
  <c r="R225" i="4"/>
  <c r="Q225" i="4"/>
  <c r="P225" i="4"/>
  <c r="R224" i="4"/>
  <c r="Q224" i="4"/>
  <c r="P224" i="4"/>
  <c r="R223" i="4"/>
  <c r="Q223" i="4"/>
  <c r="P223" i="4"/>
  <c r="R222" i="4"/>
  <c r="Q222" i="4"/>
  <c r="P222" i="4"/>
  <c r="R221" i="4"/>
  <c r="Q221" i="4"/>
  <c r="P221" i="4"/>
  <c r="R220" i="4"/>
  <c r="Q220" i="4"/>
  <c r="P220" i="4"/>
  <c r="R219" i="4"/>
  <c r="Q219" i="4"/>
  <c r="P219" i="4"/>
  <c r="R218" i="4"/>
  <c r="Q218" i="4"/>
  <c r="P218" i="4"/>
  <c r="R217" i="4"/>
  <c r="Q217" i="4"/>
  <c r="P217" i="4"/>
  <c r="R216" i="4"/>
  <c r="Q216" i="4"/>
  <c r="P216" i="4"/>
  <c r="R215" i="4"/>
  <c r="Q215" i="4"/>
  <c r="P215" i="4"/>
  <c r="R214" i="4"/>
  <c r="Q214" i="4"/>
  <c r="P214" i="4"/>
  <c r="R213" i="4"/>
  <c r="Q213" i="4"/>
  <c r="P213" i="4"/>
  <c r="R212" i="4"/>
  <c r="Q212" i="4"/>
  <c r="P212" i="4"/>
  <c r="R211" i="4"/>
  <c r="Q211" i="4"/>
  <c r="P211" i="4"/>
  <c r="R210" i="4"/>
  <c r="Q210" i="4"/>
  <c r="P210" i="4"/>
  <c r="R209" i="4"/>
  <c r="Q209" i="4"/>
  <c r="P209" i="4"/>
  <c r="R208" i="4"/>
  <c r="Q208" i="4"/>
  <c r="P208" i="4"/>
  <c r="R207" i="4"/>
  <c r="Q207" i="4"/>
  <c r="P207" i="4"/>
  <c r="R206" i="4"/>
  <c r="Q206" i="4"/>
  <c r="P206" i="4"/>
  <c r="R205" i="4"/>
  <c r="Q205" i="4"/>
  <c r="P205" i="4"/>
  <c r="R204" i="4"/>
  <c r="Q204" i="4"/>
  <c r="P204" i="4"/>
  <c r="R203" i="4"/>
  <c r="Q203" i="4"/>
  <c r="P203" i="4"/>
  <c r="R202" i="4"/>
  <c r="Q202" i="4"/>
  <c r="P202" i="4"/>
  <c r="R201" i="4"/>
  <c r="Q201" i="4"/>
  <c r="P201" i="4"/>
  <c r="R200" i="4"/>
  <c r="Q200" i="4"/>
  <c r="P200" i="4"/>
  <c r="R199" i="4"/>
  <c r="Q199" i="4"/>
  <c r="P199" i="4"/>
  <c r="R198" i="4"/>
  <c r="Q198" i="4"/>
  <c r="P198" i="4"/>
  <c r="R197" i="4"/>
  <c r="Q197" i="4"/>
  <c r="P197" i="4"/>
  <c r="R196" i="4"/>
  <c r="Q196" i="4"/>
  <c r="P196" i="4"/>
  <c r="R195" i="4"/>
  <c r="Q195" i="4"/>
  <c r="P195" i="4"/>
  <c r="R194" i="4"/>
  <c r="Q194" i="4"/>
  <c r="P194" i="4"/>
  <c r="R193" i="4"/>
  <c r="Q193" i="4"/>
  <c r="P193" i="4"/>
  <c r="R192" i="4"/>
  <c r="Q192" i="4"/>
  <c r="P192" i="4"/>
  <c r="R191" i="4"/>
  <c r="Q191" i="4"/>
  <c r="P191" i="4"/>
  <c r="R190" i="4"/>
  <c r="Q190" i="4"/>
  <c r="P190" i="4"/>
  <c r="R189" i="4"/>
  <c r="Q189" i="4"/>
  <c r="P189" i="4"/>
  <c r="R188" i="4"/>
  <c r="Q188" i="4"/>
  <c r="P188" i="4"/>
  <c r="R187" i="4"/>
  <c r="Q187" i="4"/>
  <c r="P187" i="4"/>
  <c r="R186" i="4"/>
  <c r="Q186" i="4"/>
  <c r="P186" i="4"/>
  <c r="R185" i="4"/>
  <c r="Q185" i="4"/>
  <c r="P185" i="4"/>
  <c r="R184" i="4"/>
  <c r="Q184" i="4"/>
  <c r="P184" i="4"/>
  <c r="R183" i="4"/>
  <c r="Q183" i="4"/>
  <c r="P183" i="4"/>
  <c r="R182" i="4"/>
  <c r="Q182" i="4"/>
  <c r="P182" i="4"/>
  <c r="R181" i="4"/>
  <c r="Q181" i="4"/>
  <c r="P181" i="4"/>
  <c r="R180" i="4"/>
  <c r="Q180" i="4"/>
  <c r="P180" i="4"/>
  <c r="R179" i="4"/>
  <c r="Q179" i="4"/>
  <c r="P179" i="4"/>
  <c r="R178" i="4"/>
  <c r="Q178" i="4"/>
  <c r="P178" i="4"/>
  <c r="R177" i="4"/>
  <c r="Q177" i="4"/>
  <c r="P177" i="4"/>
  <c r="R176" i="4"/>
  <c r="Q176" i="4"/>
  <c r="P176" i="4"/>
  <c r="R175" i="4"/>
  <c r="Q175" i="4"/>
  <c r="P175" i="4"/>
  <c r="R174" i="4"/>
  <c r="Q174" i="4"/>
  <c r="P174" i="4"/>
  <c r="R173" i="4"/>
  <c r="Q173" i="4"/>
  <c r="P173" i="4"/>
  <c r="R172" i="4"/>
  <c r="Q172" i="4"/>
  <c r="P172" i="4"/>
  <c r="R171" i="4"/>
  <c r="Q171" i="4"/>
  <c r="P171" i="4"/>
  <c r="R170" i="4"/>
  <c r="Q170" i="4"/>
  <c r="P170" i="4"/>
  <c r="R169" i="4"/>
  <c r="Q169" i="4"/>
  <c r="P169" i="4"/>
  <c r="R168" i="4"/>
  <c r="Q168" i="4"/>
  <c r="P168" i="4"/>
  <c r="R167" i="4"/>
  <c r="Q167" i="4"/>
  <c r="P167" i="4"/>
  <c r="R166" i="4"/>
  <c r="Q166" i="4"/>
  <c r="P166" i="4"/>
  <c r="R165" i="4"/>
  <c r="Q165" i="4"/>
  <c r="P165" i="4"/>
  <c r="R164" i="4"/>
  <c r="Q164" i="4"/>
  <c r="P164" i="4"/>
  <c r="R163" i="4"/>
  <c r="Q163" i="4"/>
  <c r="P163" i="4"/>
  <c r="R162" i="4"/>
  <c r="Q162" i="4"/>
  <c r="P162" i="4"/>
  <c r="R161" i="4"/>
  <c r="Q161" i="4"/>
  <c r="P161" i="4"/>
  <c r="R160" i="4"/>
  <c r="Q160" i="4"/>
  <c r="P160" i="4"/>
  <c r="R159" i="4"/>
  <c r="Q159" i="4"/>
  <c r="P159" i="4"/>
  <c r="R158" i="4"/>
  <c r="Q158" i="4"/>
  <c r="P158" i="4"/>
  <c r="R157" i="4"/>
  <c r="Q157" i="4"/>
  <c r="P157" i="4"/>
  <c r="R156" i="4"/>
  <c r="Q156" i="4"/>
  <c r="P156" i="4"/>
  <c r="R155" i="4"/>
  <c r="Q155" i="4"/>
  <c r="P155" i="4"/>
  <c r="R154" i="4"/>
  <c r="Q154" i="4"/>
  <c r="P154" i="4"/>
  <c r="R153" i="4"/>
  <c r="Q153" i="4"/>
  <c r="P153" i="4"/>
  <c r="R152" i="4"/>
  <c r="Q152" i="4"/>
  <c r="P152" i="4"/>
  <c r="R151" i="4"/>
  <c r="Q151" i="4"/>
  <c r="P151" i="4"/>
  <c r="R150" i="4"/>
  <c r="Q150" i="4"/>
  <c r="P150" i="4"/>
  <c r="R149" i="4"/>
  <c r="Q149" i="4"/>
  <c r="P149" i="4"/>
  <c r="R148" i="4"/>
  <c r="Q148" i="4"/>
  <c r="P148" i="4"/>
  <c r="R147" i="4"/>
  <c r="Q147" i="4"/>
  <c r="P147" i="4"/>
  <c r="R146" i="4"/>
  <c r="Q146" i="4"/>
  <c r="P146" i="4"/>
  <c r="R145" i="4"/>
  <c r="Q145" i="4"/>
  <c r="P145" i="4"/>
  <c r="R144" i="4"/>
  <c r="Q144" i="4"/>
  <c r="P144" i="4"/>
  <c r="R143" i="4"/>
  <c r="Q143" i="4"/>
  <c r="P143" i="4"/>
  <c r="R142" i="4"/>
  <c r="Q142" i="4"/>
  <c r="P142" i="4"/>
  <c r="R141" i="4"/>
  <c r="Q141" i="4"/>
  <c r="P141" i="4"/>
  <c r="R140" i="4"/>
  <c r="Q140" i="4"/>
  <c r="P140" i="4"/>
  <c r="R139" i="4"/>
  <c r="Q139" i="4"/>
  <c r="P139" i="4"/>
  <c r="R138" i="4"/>
  <c r="Q138" i="4"/>
  <c r="P138" i="4"/>
  <c r="R137" i="4"/>
  <c r="Q137" i="4"/>
  <c r="P137" i="4"/>
  <c r="R136" i="4"/>
  <c r="Q136" i="4"/>
  <c r="P136" i="4"/>
  <c r="R135" i="4"/>
  <c r="Q135" i="4"/>
  <c r="P135" i="4"/>
  <c r="R134" i="4"/>
  <c r="Q134" i="4"/>
  <c r="P134" i="4"/>
  <c r="R133" i="4"/>
  <c r="Q133" i="4"/>
  <c r="P133" i="4"/>
  <c r="R132" i="4"/>
  <c r="Q132" i="4"/>
  <c r="P132" i="4"/>
  <c r="R131" i="4"/>
  <c r="Q131" i="4"/>
  <c r="P131" i="4"/>
  <c r="R130" i="4"/>
  <c r="Q130" i="4"/>
  <c r="P130" i="4"/>
  <c r="R129" i="4"/>
  <c r="Q129" i="4"/>
  <c r="P129" i="4"/>
  <c r="R128" i="4"/>
  <c r="Q128" i="4"/>
  <c r="P128" i="4"/>
  <c r="R127" i="4"/>
  <c r="Q127" i="4"/>
  <c r="P127" i="4"/>
  <c r="R126" i="4"/>
  <c r="Q126" i="4"/>
  <c r="P126" i="4"/>
  <c r="R125" i="4"/>
  <c r="Q125" i="4"/>
  <c r="P125" i="4"/>
  <c r="R124" i="4"/>
  <c r="Q124" i="4"/>
  <c r="P124" i="4"/>
  <c r="R123" i="4"/>
  <c r="Q123" i="4"/>
  <c r="P123" i="4"/>
  <c r="R122" i="4"/>
  <c r="Q122" i="4"/>
  <c r="P122" i="4"/>
  <c r="R121" i="4"/>
  <c r="Q121" i="4"/>
  <c r="P121" i="4"/>
  <c r="R120" i="4"/>
  <c r="Q120" i="4"/>
  <c r="P120" i="4"/>
  <c r="R119" i="4"/>
  <c r="Q119" i="4"/>
  <c r="P119" i="4"/>
  <c r="R118" i="4"/>
  <c r="Q118" i="4"/>
  <c r="P118" i="4"/>
  <c r="R117" i="4"/>
  <c r="Q117" i="4"/>
  <c r="P117" i="4"/>
  <c r="R116" i="4"/>
  <c r="Q116" i="4"/>
  <c r="P116" i="4"/>
  <c r="R115" i="4"/>
  <c r="Q115" i="4"/>
  <c r="P115" i="4"/>
  <c r="R114" i="4"/>
  <c r="Q114" i="4"/>
  <c r="P114" i="4"/>
  <c r="R113" i="4"/>
  <c r="Q113" i="4"/>
  <c r="P113" i="4"/>
  <c r="R112" i="4"/>
  <c r="Q112" i="4"/>
  <c r="P112" i="4"/>
  <c r="R111" i="4"/>
  <c r="Q111" i="4"/>
  <c r="P111" i="4"/>
  <c r="R110" i="4"/>
  <c r="Q110" i="4"/>
  <c r="P110" i="4"/>
  <c r="R109" i="4"/>
  <c r="Q109" i="4"/>
  <c r="P109" i="4"/>
  <c r="R108" i="4"/>
  <c r="Q108" i="4"/>
  <c r="P108" i="4"/>
  <c r="R107" i="4"/>
  <c r="Q107" i="4"/>
  <c r="P107" i="4"/>
  <c r="R106" i="4"/>
  <c r="Q106" i="4"/>
  <c r="P106" i="4"/>
  <c r="R105" i="4"/>
  <c r="Q105" i="4"/>
  <c r="P105" i="4"/>
  <c r="R104" i="4"/>
  <c r="Q104" i="4"/>
  <c r="P104" i="4"/>
  <c r="R103" i="4"/>
  <c r="Q103" i="4"/>
  <c r="P103" i="4"/>
  <c r="R102" i="4"/>
  <c r="Q102" i="4"/>
  <c r="P102" i="4"/>
  <c r="R101" i="4"/>
  <c r="Q101" i="4"/>
  <c r="P101" i="4"/>
  <c r="R100" i="4"/>
  <c r="Q100" i="4"/>
  <c r="P100" i="4"/>
  <c r="R99" i="4"/>
  <c r="Q99" i="4"/>
  <c r="P99" i="4"/>
  <c r="R98" i="4"/>
  <c r="Q98" i="4"/>
  <c r="P98" i="4"/>
  <c r="R97" i="4"/>
  <c r="Q97" i="4"/>
  <c r="P97" i="4"/>
  <c r="R96" i="4"/>
  <c r="Q96" i="4"/>
  <c r="P96" i="4"/>
  <c r="R95" i="4"/>
  <c r="Q95" i="4"/>
  <c r="P95" i="4"/>
  <c r="R94" i="4"/>
  <c r="Q94" i="4"/>
  <c r="P94" i="4"/>
  <c r="R93" i="4"/>
  <c r="Q93" i="4"/>
  <c r="P93" i="4"/>
  <c r="R92" i="4"/>
  <c r="Q92" i="4"/>
  <c r="P92" i="4"/>
  <c r="R91" i="4"/>
  <c r="Q91" i="4"/>
  <c r="P91" i="4"/>
  <c r="R90" i="4"/>
  <c r="Q90" i="4"/>
  <c r="P90" i="4"/>
  <c r="R89" i="4"/>
  <c r="Q89" i="4"/>
  <c r="P89" i="4"/>
  <c r="R88" i="4"/>
  <c r="Q88" i="4"/>
  <c r="P88" i="4"/>
  <c r="R87" i="4"/>
  <c r="Q87" i="4"/>
  <c r="P87" i="4"/>
  <c r="R86" i="4"/>
  <c r="Q86" i="4"/>
  <c r="P86" i="4"/>
  <c r="R85" i="4"/>
  <c r="Q85" i="4"/>
  <c r="P85" i="4"/>
  <c r="R84" i="4"/>
  <c r="Q84" i="4"/>
  <c r="P84" i="4"/>
  <c r="R83" i="4"/>
  <c r="Q83" i="4"/>
  <c r="P83" i="4"/>
  <c r="R82" i="4"/>
  <c r="Q82" i="4"/>
  <c r="P82" i="4"/>
  <c r="R81" i="4"/>
  <c r="Q81" i="4"/>
  <c r="P81" i="4"/>
  <c r="R80" i="4"/>
  <c r="Q80" i="4"/>
  <c r="P80" i="4"/>
  <c r="R79" i="4"/>
  <c r="Q79" i="4"/>
  <c r="P79" i="4"/>
  <c r="R78" i="4"/>
  <c r="Q78" i="4"/>
  <c r="P78" i="4"/>
  <c r="R77" i="4"/>
  <c r="Q77" i="4"/>
  <c r="P77" i="4"/>
  <c r="R76" i="4"/>
  <c r="Q76" i="4"/>
  <c r="P76" i="4"/>
  <c r="R75" i="4"/>
  <c r="Q75" i="4"/>
  <c r="P75" i="4"/>
  <c r="R74" i="4"/>
  <c r="Q74" i="4"/>
  <c r="P74" i="4"/>
  <c r="R73" i="4"/>
  <c r="Q73" i="4"/>
  <c r="P73" i="4"/>
  <c r="R72" i="4"/>
  <c r="Q72" i="4"/>
  <c r="P72" i="4"/>
  <c r="R71" i="4"/>
  <c r="Q71" i="4"/>
  <c r="P71" i="4"/>
  <c r="R70" i="4"/>
  <c r="Q70" i="4"/>
  <c r="P70" i="4"/>
  <c r="R69" i="4"/>
  <c r="Q69" i="4"/>
  <c r="P69" i="4"/>
  <c r="R68" i="4"/>
  <c r="Q68" i="4"/>
  <c r="P68" i="4"/>
  <c r="R67" i="4"/>
  <c r="Q67" i="4"/>
  <c r="P67" i="4"/>
  <c r="R66" i="4"/>
  <c r="Q66" i="4"/>
  <c r="P66" i="4"/>
  <c r="R65" i="4"/>
  <c r="Q65" i="4"/>
  <c r="P65" i="4"/>
  <c r="R64" i="4"/>
  <c r="Q64" i="4"/>
  <c r="P64" i="4"/>
  <c r="R63" i="4"/>
  <c r="Q63" i="4"/>
  <c r="P63" i="4"/>
  <c r="R62" i="4"/>
  <c r="Q62" i="4"/>
  <c r="P62" i="4"/>
  <c r="R61" i="4"/>
  <c r="Q61" i="4"/>
  <c r="P61" i="4"/>
  <c r="R60" i="4"/>
  <c r="Q60" i="4"/>
  <c r="P60" i="4"/>
  <c r="R59" i="4"/>
  <c r="Q59" i="4"/>
  <c r="P59" i="4"/>
  <c r="R58" i="4"/>
  <c r="Q58" i="4"/>
  <c r="P58" i="4"/>
  <c r="R57" i="4"/>
  <c r="Q57" i="4"/>
  <c r="P57" i="4"/>
  <c r="R56" i="4"/>
  <c r="Q56" i="4"/>
  <c r="P56" i="4"/>
  <c r="R55" i="4"/>
  <c r="Q55" i="4"/>
  <c r="P55" i="4"/>
  <c r="R54" i="4"/>
  <c r="Q54" i="4"/>
  <c r="P54" i="4"/>
  <c r="R53" i="4"/>
  <c r="Q53" i="4"/>
  <c r="P53" i="4"/>
  <c r="R52" i="4"/>
  <c r="Q52" i="4"/>
  <c r="P52" i="4"/>
  <c r="R51" i="4"/>
  <c r="Q51" i="4"/>
  <c r="P51" i="4"/>
  <c r="R50" i="4"/>
  <c r="Q50" i="4"/>
  <c r="P50" i="4"/>
  <c r="R49" i="4"/>
  <c r="Q49" i="4"/>
  <c r="P49" i="4"/>
  <c r="R48" i="4"/>
  <c r="Q48" i="4"/>
  <c r="P48" i="4"/>
  <c r="R47" i="4"/>
  <c r="Q47" i="4"/>
  <c r="P47" i="4"/>
  <c r="R46" i="4"/>
  <c r="Q46" i="4"/>
  <c r="P46" i="4"/>
  <c r="R45" i="4"/>
  <c r="Q45" i="4"/>
  <c r="P45" i="4"/>
  <c r="R44" i="4"/>
  <c r="Q44" i="4"/>
  <c r="P44" i="4"/>
  <c r="R43" i="4"/>
  <c r="Q43" i="4"/>
  <c r="P43" i="4"/>
  <c r="R42" i="4"/>
  <c r="Q42" i="4"/>
  <c r="P42" i="4"/>
  <c r="R41" i="4"/>
  <c r="Q41" i="4"/>
  <c r="P41" i="4"/>
  <c r="R40" i="4"/>
  <c r="Q40" i="4"/>
  <c r="P40" i="4"/>
  <c r="R39" i="4"/>
  <c r="Q39" i="4"/>
  <c r="P39" i="4"/>
  <c r="R38" i="4"/>
  <c r="Q38" i="4"/>
  <c r="P38" i="4"/>
  <c r="R37" i="4"/>
  <c r="Q37" i="4"/>
  <c r="P37" i="4"/>
  <c r="R36" i="4"/>
  <c r="Q36" i="4"/>
  <c r="P36" i="4"/>
  <c r="R35" i="4"/>
  <c r="Q35" i="4"/>
  <c r="P35" i="4"/>
  <c r="R34" i="4"/>
  <c r="Q34" i="4"/>
  <c r="P34" i="4"/>
  <c r="R33" i="4"/>
  <c r="Q33" i="4"/>
  <c r="P33" i="4"/>
  <c r="R32" i="4"/>
  <c r="Q32" i="4"/>
  <c r="P32" i="4"/>
  <c r="R31" i="4"/>
  <c r="Q31" i="4"/>
  <c r="P31" i="4"/>
  <c r="R30" i="4"/>
  <c r="Q30" i="4"/>
  <c r="P30" i="4"/>
  <c r="R29" i="4"/>
  <c r="Q29" i="4"/>
  <c r="P29" i="4"/>
  <c r="R28" i="4"/>
  <c r="Q28" i="4"/>
  <c r="P28" i="4"/>
  <c r="R27" i="4"/>
  <c r="Q27" i="4"/>
  <c r="P27" i="4"/>
  <c r="R26" i="4"/>
  <c r="Q26" i="4"/>
  <c r="P26" i="4"/>
  <c r="R25" i="4"/>
  <c r="Q25" i="4"/>
  <c r="P25" i="4"/>
  <c r="R24" i="4"/>
  <c r="Q24" i="4"/>
  <c r="P24" i="4"/>
  <c r="R23" i="4"/>
  <c r="Q23" i="4"/>
  <c r="P23" i="4"/>
  <c r="R22" i="4"/>
  <c r="Q22" i="4"/>
  <c r="P22" i="4"/>
  <c r="R21" i="4"/>
  <c r="Q21" i="4"/>
  <c r="P21" i="4"/>
  <c r="R20" i="4"/>
  <c r="Q20" i="4"/>
  <c r="P20" i="4"/>
  <c r="R19" i="4"/>
  <c r="Q19" i="4"/>
  <c r="P19" i="4"/>
  <c r="R18" i="4"/>
  <c r="Q18" i="4"/>
  <c r="P18" i="4"/>
  <c r="R17" i="4"/>
  <c r="Q17" i="4"/>
  <c r="P17" i="4"/>
  <c r="R16" i="4"/>
  <c r="Q16" i="4"/>
  <c r="P16" i="4"/>
  <c r="R15" i="4"/>
  <c r="Q15" i="4"/>
  <c r="P15" i="4"/>
  <c r="R14" i="4"/>
  <c r="Q14" i="4"/>
  <c r="P14" i="4"/>
  <c r="R13" i="4"/>
  <c r="Q13" i="4"/>
  <c r="P13" i="4"/>
  <c r="R12" i="4"/>
  <c r="Q12" i="4"/>
  <c r="P12" i="4"/>
  <c r="R11" i="4"/>
  <c r="Q11" i="4"/>
  <c r="P11" i="4"/>
  <c r="R10" i="4"/>
  <c r="Q10" i="4"/>
  <c r="P10" i="4"/>
  <c r="R9" i="4"/>
  <c r="Q9" i="4"/>
  <c r="P9" i="4"/>
  <c r="R8" i="4"/>
  <c r="Q8" i="4"/>
  <c r="P8" i="4"/>
  <c r="R7" i="4"/>
  <c r="Q7" i="4"/>
  <c r="P7" i="4"/>
  <c r="R6" i="4"/>
  <c r="U6" i="4" s="1"/>
  <c r="U7" i="4" s="1"/>
  <c r="Q6" i="4"/>
  <c r="T6" i="4" s="1"/>
  <c r="T7" i="4" s="1"/>
  <c r="T8" i="4" s="1"/>
  <c r="P6" i="4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B6" i="2"/>
  <c r="A6" i="2"/>
  <c r="B24" i="1"/>
  <c r="B25" i="1" s="1"/>
  <c r="B19" i="1"/>
  <c r="B16" i="1"/>
  <c r="B12" i="1"/>
  <c r="B13" i="1" s="1"/>
  <c r="B11" i="1"/>
  <c r="J6" i="7" l="1"/>
  <c r="K6" i="7" s="1"/>
  <c r="B6" i="8"/>
  <c r="C6" i="8" s="1"/>
  <c r="AA6" i="8" s="1"/>
  <c r="J6" i="8"/>
  <c r="K6" i="8" s="1"/>
  <c r="T9" i="4"/>
  <c r="T10" i="4" s="1"/>
  <c r="A7" i="7"/>
  <c r="A7" i="2" s="1"/>
  <c r="AE6" i="9"/>
  <c r="AA6" i="9"/>
  <c r="S18" i="4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S203" i="4" s="1"/>
  <c r="S204" i="4" s="1"/>
  <c r="S205" i="4" s="1"/>
  <c r="S206" i="4" s="1"/>
  <c r="S207" i="4" s="1"/>
  <c r="S208" i="4" s="1"/>
  <c r="S209" i="4" s="1"/>
  <c r="S210" i="4" s="1"/>
  <c r="S211" i="4" s="1"/>
  <c r="S212" i="4" s="1"/>
  <c r="S213" i="4" s="1"/>
  <c r="S214" i="4" s="1"/>
  <c r="S215" i="4" s="1"/>
  <c r="S216" i="4" s="1"/>
  <c r="S217" i="4" s="1"/>
  <c r="S218" i="4" s="1"/>
  <c r="S219" i="4" s="1"/>
  <c r="S220" i="4" s="1"/>
  <c r="S221" i="4" s="1"/>
  <c r="S222" i="4" s="1"/>
  <c r="S223" i="4" s="1"/>
  <c r="S224" i="4" s="1"/>
  <c r="S225" i="4" s="1"/>
  <c r="S226" i="4" s="1"/>
  <c r="S227" i="4" s="1"/>
  <c r="S228" i="4" s="1"/>
  <c r="S229" i="4" s="1"/>
  <c r="S230" i="4" s="1"/>
  <c r="S231" i="4" s="1"/>
  <c r="S232" i="4" s="1"/>
  <c r="S233" i="4" s="1"/>
  <c r="S234" i="4" s="1"/>
  <c r="S235" i="4" s="1"/>
  <c r="S236" i="4" s="1"/>
  <c r="S237" i="4" s="1"/>
  <c r="S238" i="4" s="1"/>
  <c r="S239" i="4" s="1"/>
  <c r="S240" i="4" s="1"/>
  <c r="S241" i="4" s="1"/>
  <c r="S242" i="4" s="1"/>
  <c r="S243" i="4" s="1"/>
  <c r="S244" i="4" s="1"/>
  <c r="S245" i="4" s="1"/>
  <c r="S246" i="4" s="1"/>
  <c r="S247" i="4" s="1"/>
  <c r="S248" i="4" s="1"/>
  <c r="S249" i="4" s="1"/>
  <c r="S250" i="4" s="1"/>
  <c r="S251" i="4" s="1"/>
  <c r="S252" i="4" s="1"/>
  <c r="S253" i="4" s="1"/>
  <c r="S254" i="4" s="1"/>
  <c r="S255" i="4" s="1"/>
  <c r="S256" i="4" s="1"/>
  <c r="S257" i="4" s="1"/>
  <c r="S258" i="4" s="1"/>
  <c r="S259" i="4" s="1"/>
  <c r="S260" i="4" s="1"/>
  <c r="S261" i="4" s="1"/>
  <c r="S262" i="4" s="1"/>
  <c r="S263" i="4" s="1"/>
  <c r="S264" i="4" s="1"/>
  <c r="S265" i="4" s="1"/>
  <c r="S266" i="4" s="1"/>
  <c r="S267" i="4" s="1"/>
  <c r="S268" i="4" s="1"/>
  <c r="S269" i="4" s="1"/>
  <c r="S270" i="4" s="1"/>
  <c r="S271" i="4" s="1"/>
  <c r="S272" i="4" s="1"/>
  <c r="S273" i="4" s="1"/>
  <c r="S274" i="4" s="1"/>
  <c r="S275" i="4" s="1"/>
  <c r="S276" i="4" s="1"/>
  <c r="S277" i="4" s="1"/>
  <c r="S278" i="4" s="1"/>
  <c r="S279" i="4" s="1"/>
  <c r="S280" i="4" s="1"/>
  <c r="S281" i="4" s="1"/>
  <c r="S282" i="4" s="1"/>
  <c r="S283" i="4" s="1"/>
  <c r="S284" i="4" s="1"/>
  <c r="S285" i="4" s="1"/>
  <c r="S286" i="4" s="1"/>
  <c r="S287" i="4" s="1"/>
  <c r="S288" i="4" s="1"/>
  <c r="S289" i="4" s="1"/>
  <c r="S290" i="4" s="1"/>
  <c r="S291" i="4" s="1"/>
  <c r="S292" i="4" s="1"/>
  <c r="S293" i="4" s="1"/>
  <c r="S294" i="4" s="1"/>
  <c r="S295" i="4" s="1"/>
  <c r="S296" i="4" s="1"/>
  <c r="S297" i="4" s="1"/>
  <c r="S298" i="4" s="1"/>
  <c r="S299" i="4" s="1"/>
  <c r="S300" i="4" s="1"/>
  <c r="S301" i="4" s="1"/>
  <c r="S302" i="4" s="1"/>
  <c r="S303" i="4" s="1"/>
  <c r="S304" i="4" s="1"/>
  <c r="S305" i="4" s="1"/>
  <c r="S306" i="4" s="1"/>
  <c r="S307" i="4" s="1"/>
  <c r="S308" i="4" s="1"/>
  <c r="S309" i="4" s="1"/>
  <c r="S310" i="4" s="1"/>
  <c r="S311" i="4" s="1"/>
  <c r="S312" i="4" s="1"/>
  <c r="S313" i="4" s="1"/>
  <c r="S314" i="4" s="1"/>
  <c r="S315" i="4" s="1"/>
  <c r="S316" i="4" s="1"/>
  <c r="S317" i="4" s="1"/>
  <c r="S318" i="4" s="1"/>
  <c r="S319" i="4" s="1"/>
  <c r="S320" i="4" s="1"/>
  <c r="S321" i="4" s="1"/>
  <c r="S322" i="4" s="1"/>
  <c r="S323" i="4" s="1"/>
  <c r="S324" i="4" s="1"/>
  <c r="S325" i="4" s="1"/>
  <c r="S326" i="4" s="1"/>
  <c r="S327" i="4" s="1"/>
  <c r="S328" i="4" s="1"/>
  <c r="S329" i="4" s="1"/>
  <c r="S330" i="4" s="1"/>
  <c r="S331" i="4" s="1"/>
  <c r="S332" i="4" s="1"/>
  <c r="S333" i="4" s="1"/>
  <c r="S334" i="4" s="1"/>
  <c r="S335" i="4" s="1"/>
  <c r="S336" i="4" s="1"/>
  <c r="S337" i="4" s="1"/>
  <c r="S338" i="4" s="1"/>
  <c r="S339" i="4" s="1"/>
  <c r="S340" i="4" s="1"/>
  <c r="S341" i="4" s="1"/>
  <c r="S342" i="4" s="1"/>
  <c r="S343" i="4" s="1"/>
  <c r="S344" i="4" s="1"/>
  <c r="S345" i="4" s="1"/>
  <c r="S346" i="4" s="1"/>
  <c r="S347" i="4" s="1"/>
  <c r="S348" i="4" s="1"/>
  <c r="S349" i="4" s="1"/>
  <c r="S350" i="4" s="1"/>
  <c r="S351" i="4" s="1"/>
  <c r="S352" i="4" s="1"/>
  <c r="S353" i="4" s="1"/>
  <c r="S354" i="4" s="1"/>
  <c r="S355" i="4" s="1"/>
  <c r="S356" i="4" s="1"/>
  <c r="S357" i="4" s="1"/>
  <c r="S358" i="4" s="1"/>
  <c r="S359" i="4" s="1"/>
  <c r="S360" i="4" s="1"/>
  <c r="S361" i="4" s="1"/>
  <c r="S362" i="4" s="1"/>
  <c r="S363" i="4" s="1"/>
  <c r="S364" i="4" s="1"/>
  <c r="S365" i="4" s="1"/>
  <c r="S366" i="4" s="1"/>
  <c r="B17" i="1"/>
  <c r="B14" i="1"/>
  <c r="B20" i="1"/>
  <c r="D6" i="9" s="1"/>
  <c r="C6" i="11"/>
  <c r="D6" i="11" s="1"/>
  <c r="F6" i="11" s="1"/>
  <c r="F6" i="12"/>
  <c r="T11" i="4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T113" i="4" s="1"/>
  <c r="T114" i="4" s="1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T125" i="4" s="1"/>
  <c r="T126" i="4" s="1"/>
  <c r="T127" i="4" s="1"/>
  <c r="T128" i="4" s="1"/>
  <c r="T129" i="4" s="1"/>
  <c r="T130" i="4" s="1"/>
  <c r="T131" i="4" s="1"/>
  <c r="T132" i="4" s="1"/>
  <c r="T133" i="4" s="1"/>
  <c r="T134" i="4" s="1"/>
  <c r="T135" i="4" s="1"/>
  <c r="T136" i="4" s="1"/>
  <c r="T137" i="4" s="1"/>
  <c r="T138" i="4" s="1"/>
  <c r="T139" i="4" s="1"/>
  <c r="T140" i="4" s="1"/>
  <c r="T141" i="4" s="1"/>
  <c r="T142" i="4" s="1"/>
  <c r="T143" i="4" s="1"/>
  <c r="T144" i="4" s="1"/>
  <c r="T145" i="4" s="1"/>
  <c r="T146" i="4" s="1"/>
  <c r="T147" i="4" s="1"/>
  <c r="T148" i="4" s="1"/>
  <c r="T149" i="4" s="1"/>
  <c r="T150" i="4" s="1"/>
  <c r="T151" i="4" s="1"/>
  <c r="T152" i="4" s="1"/>
  <c r="T153" i="4" s="1"/>
  <c r="T154" i="4" s="1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65" i="4" s="1"/>
  <c r="T166" i="4" s="1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T177" i="4" s="1"/>
  <c r="T178" i="4" s="1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89" i="4" s="1"/>
  <c r="T190" i="4" s="1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T201" i="4" s="1"/>
  <c r="T202" i="4" s="1"/>
  <c r="T203" i="4" s="1"/>
  <c r="T204" i="4" s="1"/>
  <c r="T205" i="4" s="1"/>
  <c r="T206" i="4" s="1"/>
  <c r="T207" i="4" s="1"/>
  <c r="T208" i="4" s="1"/>
  <c r="T209" i="4" s="1"/>
  <c r="T210" i="4" s="1"/>
  <c r="T211" i="4" s="1"/>
  <c r="T212" i="4" s="1"/>
  <c r="T213" i="4" s="1"/>
  <c r="T214" i="4" s="1"/>
  <c r="T215" i="4" s="1"/>
  <c r="T216" i="4" s="1"/>
  <c r="T217" i="4" s="1"/>
  <c r="T218" i="4" s="1"/>
  <c r="T219" i="4" s="1"/>
  <c r="T220" i="4" s="1"/>
  <c r="T221" i="4" s="1"/>
  <c r="T222" i="4" s="1"/>
  <c r="T223" i="4" s="1"/>
  <c r="T224" i="4" s="1"/>
  <c r="T225" i="4" s="1"/>
  <c r="T226" i="4" s="1"/>
  <c r="T227" i="4" s="1"/>
  <c r="T228" i="4" s="1"/>
  <c r="T229" i="4" s="1"/>
  <c r="T230" i="4" s="1"/>
  <c r="T231" i="4" s="1"/>
  <c r="T232" i="4" s="1"/>
  <c r="T233" i="4" s="1"/>
  <c r="T234" i="4" s="1"/>
  <c r="T235" i="4" s="1"/>
  <c r="T236" i="4" s="1"/>
  <c r="T237" i="4" s="1"/>
  <c r="T238" i="4" s="1"/>
  <c r="T239" i="4" s="1"/>
  <c r="T240" i="4" s="1"/>
  <c r="T241" i="4" s="1"/>
  <c r="T242" i="4" s="1"/>
  <c r="T243" i="4" s="1"/>
  <c r="T244" i="4" s="1"/>
  <c r="T245" i="4" s="1"/>
  <c r="T246" i="4" s="1"/>
  <c r="T247" i="4" s="1"/>
  <c r="T248" i="4" s="1"/>
  <c r="T249" i="4" s="1"/>
  <c r="T250" i="4" s="1"/>
  <c r="T251" i="4" s="1"/>
  <c r="T252" i="4" s="1"/>
  <c r="T253" i="4" s="1"/>
  <c r="T254" i="4" s="1"/>
  <c r="T255" i="4" s="1"/>
  <c r="T256" i="4" s="1"/>
  <c r="T257" i="4" s="1"/>
  <c r="T258" i="4" s="1"/>
  <c r="T259" i="4" s="1"/>
  <c r="T260" i="4" s="1"/>
  <c r="T261" i="4" s="1"/>
  <c r="T262" i="4" s="1"/>
  <c r="T263" i="4" s="1"/>
  <c r="T264" i="4" s="1"/>
  <c r="T265" i="4" s="1"/>
  <c r="T266" i="4" s="1"/>
  <c r="T267" i="4" s="1"/>
  <c r="T268" i="4" s="1"/>
  <c r="T269" i="4" s="1"/>
  <c r="T270" i="4" s="1"/>
  <c r="T271" i="4" s="1"/>
  <c r="T272" i="4" s="1"/>
  <c r="T273" i="4" s="1"/>
  <c r="T274" i="4" s="1"/>
  <c r="T275" i="4" s="1"/>
  <c r="T276" i="4" s="1"/>
  <c r="T277" i="4" s="1"/>
  <c r="T278" i="4" s="1"/>
  <c r="T279" i="4" s="1"/>
  <c r="T280" i="4" s="1"/>
  <c r="T281" i="4" s="1"/>
  <c r="T282" i="4" s="1"/>
  <c r="T283" i="4" s="1"/>
  <c r="T284" i="4" s="1"/>
  <c r="T285" i="4" s="1"/>
  <c r="T286" i="4" s="1"/>
  <c r="T287" i="4" s="1"/>
  <c r="T288" i="4" s="1"/>
  <c r="T289" i="4" s="1"/>
  <c r="T290" i="4" s="1"/>
  <c r="T291" i="4" s="1"/>
  <c r="T292" i="4" s="1"/>
  <c r="T293" i="4" s="1"/>
  <c r="T294" i="4" s="1"/>
  <c r="T295" i="4" s="1"/>
  <c r="T296" i="4" s="1"/>
  <c r="T297" i="4" s="1"/>
  <c r="T298" i="4" s="1"/>
  <c r="T299" i="4" s="1"/>
  <c r="T300" i="4" s="1"/>
  <c r="T301" i="4" s="1"/>
  <c r="T302" i="4" s="1"/>
  <c r="T303" i="4" s="1"/>
  <c r="T304" i="4" s="1"/>
  <c r="T305" i="4" s="1"/>
  <c r="T306" i="4" s="1"/>
  <c r="T307" i="4" s="1"/>
  <c r="T308" i="4" s="1"/>
  <c r="T309" i="4" s="1"/>
  <c r="T310" i="4" s="1"/>
  <c r="T311" i="4" s="1"/>
  <c r="T312" i="4" s="1"/>
  <c r="T313" i="4" s="1"/>
  <c r="T314" i="4" s="1"/>
  <c r="T315" i="4" s="1"/>
  <c r="T316" i="4" s="1"/>
  <c r="T317" i="4" s="1"/>
  <c r="T318" i="4" s="1"/>
  <c r="T319" i="4" s="1"/>
  <c r="T320" i="4" s="1"/>
  <c r="T321" i="4" s="1"/>
  <c r="T322" i="4" s="1"/>
  <c r="T323" i="4" s="1"/>
  <c r="T324" i="4" s="1"/>
  <c r="T325" i="4" s="1"/>
  <c r="T326" i="4" s="1"/>
  <c r="T327" i="4" s="1"/>
  <c r="T328" i="4" s="1"/>
  <c r="T329" i="4" s="1"/>
  <c r="T330" i="4" s="1"/>
  <c r="T331" i="4" s="1"/>
  <c r="T332" i="4" s="1"/>
  <c r="T333" i="4" s="1"/>
  <c r="T334" i="4" s="1"/>
  <c r="T335" i="4" s="1"/>
  <c r="T336" i="4" s="1"/>
  <c r="T337" i="4" s="1"/>
  <c r="T338" i="4" s="1"/>
  <c r="T339" i="4" s="1"/>
  <c r="T340" i="4" s="1"/>
  <c r="T341" i="4" s="1"/>
  <c r="T342" i="4" s="1"/>
  <c r="T343" i="4" s="1"/>
  <c r="T344" i="4" s="1"/>
  <c r="T345" i="4" s="1"/>
  <c r="T346" i="4" s="1"/>
  <c r="T347" i="4" s="1"/>
  <c r="T348" i="4" s="1"/>
  <c r="T349" i="4" s="1"/>
  <c r="T350" i="4" s="1"/>
  <c r="T351" i="4" s="1"/>
  <c r="T352" i="4" s="1"/>
  <c r="T353" i="4" s="1"/>
  <c r="T354" i="4" s="1"/>
  <c r="T355" i="4" s="1"/>
  <c r="T356" i="4" s="1"/>
  <c r="T357" i="4" s="1"/>
  <c r="T358" i="4" s="1"/>
  <c r="T359" i="4" s="1"/>
  <c r="T360" i="4" s="1"/>
  <c r="T361" i="4" s="1"/>
  <c r="T362" i="4" s="1"/>
  <c r="T363" i="4" s="1"/>
  <c r="T364" i="4" s="1"/>
  <c r="T365" i="4" s="1"/>
  <c r="T366" i="4" s="1"/>
  <c r="U8" i="4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38" i="4" s="1"/>
  <c r="U139" i="4" s="1"/>
  <c r="U140" i="4" s="1"/>
  <c r="U141" i="4" s="1"/>
  <c r="U142" i="4" s="1"/>
  <c r="U143" i="4" s="1"/>
  <c r="U144" i="4" s="1"/>
  <c r="U145" i="4" s="1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U245" i="4" s="1"/>
  <c r="U246" i="4" s="1"/>
  <c r="U247" i="4" s="1"/>
  <c r="U248" i="4" s="1"/>
  <c r="U249" i="4" s="1"/>
  <c r="U250" i="4" s="1"/>
  <c r="U251" i="4" s="1"/>
  <c r="U252" i="4" s="1"/>
  <c r="U253" i="4" s="1"/>
  <c r="U254" i="4" s="1"/>
  <c r="U255" i="4" s="1"/>
  <c r="U256" i="4" s="1"/>
  <c r="U257" i="4" s="1"/>
  <c r="U258" i="4" s="1"/>
  <c r="U259" i="4" s="1"/>
  <c r="U260" i="4" s="1"/>
  <c r="U261" i="4" s="1"/>
  <c r="U262" i="4" s="1"/>
  <c r="U263" i="4" s="1"/>
  <c r="U264" i="4" s="1"/>
  <c r="U265" i="4" s="1"/>
  <c r="U266" i="4" s="1"/>
  <c r="U267" i="4" s="1"/>
  <c r="U268" i="4" s="1"/>
  <c r="U269" i="4" s="1"/>
  <c r="U270" i="4" s="1"/>
  <c r="U271" i="4" s="1"/>
  <c r="U272" i="4" s="1"/>
  <c r="U273" i="4" s="1"/>
  <c r="U274" i="4" s="1"/>
  <c r="U275" i="4" s="1"/>
  <c r="U276" i="4" s="1"/>
  <c r="U277" i="4" s="1"/>
  <c r="U278" i="4" s="1"/>
  <c r="U279" i="4" s="1"/>
  <c r="U280" i="4" s="1"/>
  <c r="U281" i="4" s="1"/>
  <c r="U282" i="4" s="1"/>
  <c r="U283" i="4" s="1"/>
  <c r="U284" i="4" s="1"/>
  <c r="U285" i="4" s="1"/>
  <c r="U286" i="4" s="1"/>
  <c r="U287" i="4" s="1"/>
  <c r="U288" i="4" s="1"/>
  <c r="U289" i="4" s="1"/>
  <c r="U290" i="4" s="1"/>
  <c r="U291" i="4" s="1"/>
  <c r="U292" i="4" s="1"/>
  <c r="U293" i="4" s="1"/>
  <c r="U294" i="4" s="1"/>
  <c r="U295" i="4" s="1"/>
  <c r="U296" i="4" s="1"/>
  <c r="U297" i="4" s="1"/>
  <c r="U298" i="4" s="1"/>
  <c r="U299" i="4" s="1"/>
  <c r="U300" i="4" s="1"/>
  <c r="U301" i="4" s="1"/>
  <c r="U302" i="4" s="1"/>
  <c r="U303" i="4" s="1"/>
  <c r="U304" i="4" s="1"/>
  <c r="U305" i="4" s="1"/>
  <c r="U306" i="4" s="1"/>
  <c r="U307" i="4" s="1"/>
  <c r="U308" i="4" s="1"/>
  <c r="U309" i="4" s="1"/>
  <c r="U310" i="4" s="1"/>
  <c r="U311" i="4" s="1"/>
  <c r="U312" i="4" s="1"/>
  <c r="U313" i="4" s="1"/>
  <c r="U314" i="4" s="1"/>
  <c r="U315" i="4" s="1"/>
  <c r="U316" i="4" s="1"/>
  <c r="U317" i="4" s="1"/>
  <c r="U318" i="4" s="1"/>
  <c r="U319" i="4" s="1"/>
  <c r="U320" i="4" s="1"/>
  <c r="U321" i="4" s="1"/>
  <c r="U322" i="4" s="1"/>
  <c r="U323" i="4" s="1"/>
  <c r="U324" i="4" s="1"/>
  <c r="U325" i="4" s="1"/>
  <c r="U326" i="4" s="1"/>
  <c r="U327" i="4" s="1"/>
  <c r="U328" i="4" s="1"/>
  <c r="U329" i="4" s="1"/>
  <c r="U330" i="4" s="1"/>
  <c r="U331" i="4" s="1"/>
  <c r="U332" i="4" s="1"/>
  <c r="U333" i="4" s="1"/>
  <c r="U334" i="4" s="1"/>
  <c r="U335" i="4" s="1"/>
  <c r="U336" i="4" s="1"/>
  <c r="U337" i="4" s="1"/>
  <c r="U338" i="4" s="1"/>
  <c r="U339" i="4" s="1"/>
  <c r="U340" i="4" s="1"/>
  <c r="U341" i="4" s="1"/>
  <c r="U342" i="4" s="1"/>
  <c r="U343" i="4" s="1"/>
  <c r="U344" i="4" s="1"/>
  <c r="U345" i="4" s="1"/>
  <c r="U346" i="4" s="1"/>
  <c r="U347" i="4" s="1"/>
  <c r="U348" i="4" s="1"/>
  <c r="U349" i="4" s="1"/>
  <c r="U350" i="4" s="1"/>
  <c r="U351" i="4" s="1"/>
  <c r="U352" i="4" s="1"/>
  <c r="U353" i="4" s="1"/>
  <c r="U354" i="4" s="1"/>
  <c r="U355" i="4" s="1"/>
  <c r="U356" i="4" s="1"/>
  <c r="U357" i="4" s="1"/>
  <c r="U358" i="4" s="1"/>
  <c r="U359" i="4" s="1"/>
  <c r="U360" i="4" s="1"/>
  <c r="U361" i="4" s="1"/>
  <c r="U362" i="4" s="1"/>
  <c r="U363" i="4" s="1"/>
  <c r="U364" i="4" s="1"/>
  <c r="U365" i="4" s="1"/>
  <c r="U366" i="4" s="1"/>
  <c r="D6" i="8"/>
  <c r="A8" i="7"/>
  <c r="B7" i="7"/>
  <c r="C7" i="7" s="1"/>
  <c r="J7" i="7"/>
  <c r="K7" i="7" s="1"/>
  <c r="A8" i="8"/>
  <c r="B7" i="8"/>
  <c r="J7" i="8"/>
  <c r="K7" i="8" s="1"/>
  <c r="J6" i="9"/>
  <c r="K6" i="9" s="1"/>
  <c r="A7" i="9"/>
  <c r="F6" i="2" l="1"/>
  <c r="AB6" i="8"/>
  <c r="AB6" i="7"/>
  <c r="C6" i="2"/>
  <c r="C7" i="8"/>
  <c r="D7" i="8" s="1"/>
  <c r="C7" i="2"/>
  <c r="AB7" i="7"/>
  <c r="A9" i="7"/>
  <c r="B8" i="7"/>
  <c r="C8" i="7" s="1"/>
  <c r="A8" i="2"/>
  <c r="J8" i="7"/>
  <c r="K8" i="7" s="1"/>
  <c r="B365" i="5"/>
  <c r="B359" i="5"/>
  <c r="B353" i="5"/>
  <c r="B347" i="5"/>
  <c r="B341" i="5"/>
  <c r="B335" i="5"/>
  <c r="B329" i="5"/>
  <c r="B323" i="5"/>
  <c r="B317" i="5"/>
  <c r="B311" i="5"/>
  <c r="B305" i="5"/>
  <c r="B299" i="5"/>
  <c r="B293" i="5"/>
  <c r="B287" i="5"/>
  <c r="B281" i="5"/>
  <c r="B275" i="5"/>
  <c r="B269" i="5"/>
  <c r="B263" i="5"/>
  <c r="B257" i="5"/>
  <c r="B251" i="5"/>
  <c r="B245" i="5"/>
  <c r="B239" i="5"/>
  <c r="B233" i="5"/>
  <c r="B227" i="5"/>
  <c r="B221" i="5"/>
  <c r="B215" i="5"/>
  <c r="B209" i="5"/>
  <c r="B203" i="5"/>
  <c r="B197" i="5"/>
  <c r="B191" i="5"/>
  <c r="B185" i="5"/>
  <c r="B179" i="5"/>
  <c r="B173" i="5"/>
  <c r="B167" i="5"/>
  <c r="B161" i="5"/>
  <c r="B155" i="5"/>
  <c r="B149" i="5"/>
  <c r="B143" i="5"/>
  <c r="B137" i="5"/>
  <c r="B131" i="5"/>
  <c r="B125" i="5"/>
  <c r="B119" i="5"/>
  <c r="B113" i="5"/>
  <c r="B107" i="5"/>
  <c r="B101" i="5"/>
  <c r="B95" i="5"/>
  <c r="B89" i="5"/>
  <c r="B83" i="5"/>
  <c r="B77" i="5"/>
  <c r="B71" i="5"/>
  <c r="B65" i="5"/>
  <c r="B59" i="5"/>
  <c r="B53" i="5"/>
  <c r="B47" i="5"/>
  <c r="B41" i="5"/>
  <c r="B35" i="5"/>
  <c r="B29" i="5"/>
  <c r="B23" i="5"/>
  <c r="B17" i="5"/>
  <c r="B11" i="5"/>
  <c r="B360" i="5"/>
  <c r="B340" i="5"/>
  <c r="B327" i="5"/>
  <c r="B314" i="5"/>
  <c r="B301" i="5"/>
  <c r="B288" i="5"/>
  <c r="B268" i="5"/>
  <c r="B255" i="5"/>
  <c r="B242" i="5"/>
  <c r="B229" i="5"/>
  <c r="B216" i="5"/>
  <c r="B196" i="5"/>
  <c r="B183" i="5"/>
  <c r="B170" i="5"/>
  <c r="B157" i="5"/>
  <c r="B144" i="5"/>
  <c r="B124" i="5"/>
  <c r="B111" i="5"/>
  <c r="B98" i="5"/>
  <c r="B85" i="5"/>
  <c r="B72" i="5"/>
  <c r="B52" i="5"/>
  <c r="B39" i="5"/>
  <c r="B26" i="5"/>
  <c r="B13" i="5"/>
  <c r="B342" i="5"/>
  <c r="B320" i="5"/>
  <c r="B313" i="5"/>
  <c r="B306" i="5"/>
  <c r="B178" i="5"/>
  <c r="B171" i="5"/>
  <c r="B164" i="5"/>
  <c r="B142" i="5"/>
  <c r="B135" i="5"/>
  <c r="B57" i="5"/>
  <c r="B50" i="5"/>
  <c r="B43" i="5"/>
  <c r="B36" i="5"/>
  <c r="B256" i="5"/>
  <c r="B249" i="5"/>
  <c r="B220" i="5"/>
  <c r="B213" i="5"/>
  <c r="B206" i="5"/>
  <c r="B128" i="5"/>
  <c r="B121" i="5"/>
  <c r="B114" i="5"/>
  <c r="B78" i="5"/>
  <c r="B344" i="5"/>
  <c r="B276" i="5"/>
  <c r="B253" i="5"/>
  <c r="B238" i="5"/>
  <c r="B223" i="5"/>
  <c r="B186" i="5"/>
  <c r="B140" i="5"/>
  <c r="B110" i="5"/>
  <c r="B49" i="5"/>
  <c r="B351" i="5"/>
  <c r="B283" i="5"/>
  <c r="B260" i="5"/>
  <c r="B193" i="5"/>
  <c r="B117" i="5"/>
  <c r="B87" i="5"/>
  <c r="B64" i="5"/>
  <c r="B328" i="5"/>
  <c r="B343" i="5"/>
  <c r="B312" i="5"/>
  <c r="B304" i="5"/>
  <c r="B252" i="5"/>
  <c r="B237" i="5"/>
  <c r="B192" i="5"/>
  <c r="B139" i="5"/>
  <c r="B109" i="5"/>
  <c r="B48" i="5"/>
  <c r="B40" i="5"/>
  <c r="B32" i="5"/>
  <c r="B336" i="5"/>
  <c r="B321" i="5"/>
  <c r="B290" i="5"/>
  <c r="B230" i="5"/>
  <c r="B222" i="5"/>
  <c r="B207" i="5"/>
  <c r="B200" i="5"/>
  <c r="B162" i="5"/>
  <c r="B147" i="5"/>
  <c r="B132" i="5"/>
  <c r="B56" i="5"/>
  <c r="B33" i="5"/>
  <c r="B18" i="5"/>
  <c r="B366" i="5"/>
  <c r="B358" i="5"/>
  <c r="B297" i="5"/>
  <c r="B267" i="5"/>
  <c r="B214" i="5"/>
  <c r="B177" i="5"/>
  <c r="B169" i="5"/>
  <c r="B154" i="5"/>
  <c r="B102" i="5"/>
  <c r="B94" i="5"/>
  <c r="B79" i="5"/>
  <c r="B63" i="5"/>
  <c r="B25" i="5"/>
  <c r="B10" i="5"/>
  <c r="B303" i="5"/>
  <c r="B198" i="5"/>
  <c r="B189" i="5"/>
  <c r="B181" i="5"/>
  <c r="B355" i="5"/>
  <c r="B346" i="5"/>
  <c r="B319" i="5"/>
  <c r="B302" i="5"/>
  <c r="B188" i="5"/>
  <c r="B180" i="5"/>
  <c r="B153" i="5"/>
  <c r="B280" i="5"/>
  <c r="B235" i="5"/>
  <c r="B217" i="5"/>
  <c r="B152" i="5"/>
  <c r="B116" i="5"/>
  <c r="B81" i="5"/>
  <c r="B73" i="5"/>
  <c r="B37" i="5"/>
  <c r="B28" i="5"/>
  <c r="B20" i="5"/>
  <c r="B326" i="5"/>
  <c r="B289" i="5"/>
  <c r="B272" i="5"/>
  <c r="B254" i="5"/>
  <c r="B244" i="5"/>
  <c r="B225" i="5"/>
  <c r="B160" i="5"/>
  <c r="B45" i="5"/>
  <c r="B364" i="5"/>
  <c r="B345" i="5"/>
  <c r="B308" i="5"/>
  <c r="B298" i="5"/>
  <c r="B234" i="5"/>
  <c r="B19" i="5"/>
  <c r="B354" i="5"/>
  <c r="B316" i="5"/>
  <c r="B307" i="5"/>
  <c r="B279" i="5"/>
  <c r="B168" i="5"/>
  <c r="B151" i="5"/>
  <c r="B123" i="5"/>
  <c r="B115" i="5"/>
  <c r="B106" i="5"/>
  <c r="B97" i="5"/>
  <c r="B80" i="5"/>
  <c r="B62" i="5"/>
  <c r="B27" i="5"/>
  <c r="B9" i="5"/>
  <c r="B352" i="5"/>
  <c r="B315" i="5"/>
  <c r="B278" i="5"/>
  <c r="B232" i="5"/>
  <c r="B204" i="5"/>
  <c r="B130" i="5"/>
  <c r="B122" i="5"/>
  <c r="B105" i="5"/>
  <c r="B96" i="5"/>
  <c r="B61" i="5"/>
  <c r="B34" i="5"/>
  <c r="B16" i="5"/>
  <c r="B8" i="5"/>
  <c r="B284" i="5"/>
  <c r="B264" i="5"/>
  <c r="B159" i="5"/>
  <c r="B273" i="5"/>
  <c r="B243" i="5"/>
  <c r="B211" i="5"/>
  <c r="B201" i="5"/>
  <c r="B108" i="5"/>
  <c r="B15" i="5"/>
  <c r="B333" i="5"/>
  <c r="B158" i="5"/>
  <c r="B118" i="5"/>
  <c r="B14" i="5"/>
  <c r="B332" i="5"/>
  <c r="B291" i="5"/>
  <c r="B250" i="5"/>
  <c r="B240" i="5"/>
  <c r="B187" i="5"/>
  <c r="B176" i="5"/>
  <c r="B104" i="5"/>
  <c r="B218" i="5"/>
  <c r="B103" i="5"/>
  <c r="B22" i="5"/>
  <c r="B309" i="5"/>
  <c r="B296" i="5"/>
  <c r="B285" i="5"/>
  <c r="B241" i="5"/>
  <c r="B195" i="5"/>
  <c r="B172" i="5"/>
  <c r="B148" i="5"/>
  <c r="B68" i="5"/>
  <c r="B44" i="5"/>
  <c r="B331" i="5"/>
  <c r="B228" i="5"/>
  <c r="B90" i="5"/>
  <c r="B363" i="5"/>
  <c r="B271" i="5"/>
  <c r="B145" i="5"/>
  <c r="B134" i="5"/>
  <c r="B99" i="5"/>
  <c r="B75" i="5"/>
  <c r="B30" i="5"/>
  <c r="B350" i="5"/>
  <c r="B248" i="5"/>
  <c r="B156" i="5"/>
  <c r="B7" i="5"/>
  <c r="B361" i="5"/>
  <c r="B224" i="5"/>
  <c r="B199" i="5"/>
  <c r="B146" i="5"/>
  <c r="B55" i="5"/>
  <c r="B42" i="5"/>
  <c r="B334" i="5"/>
  <c r="B210" i="5"/>
  <c r="B348" i="5"/>
  <c r="B133" i="5"/>
  <c r="B92" i="5"/>
  <c r="B67" i="5"/>
  <c r="B310" i="5"/>
  <c r="B294" i="5"/>
  <c r="B182" i="5"/>
  <c r="B76" i="5"/>
  <c r="B51" i="5"/>
  <c r="B357" i="5"/>
  <c r="B258" i="5"/>
  <c r="B129" i="5"/>
  <c r="B219" i="5"/>
  <c r="B194" i="5"/>
  <c r="B88" i="5"/>
  <c r="B38" i="5"/>
  <c r="B266" i="5"/>
  <c r="B165" i="5"/>
  <c r="B136" i="5"/>
  <c r="B91" i="5"/>
  <c r="B324" i="5"/>
  <c r="B208" i="5"/>
  <c r="B337" i="5"/>
  <c r="B150" i="5"/>
  <c r="B6" i="5"/>
  <c r="B292" i="5"/>
  <c r="B236" i="5"/>
  <c r="B190" i="5"/>
  <c r="B86" i="5"/>
  <c r="B362" i="5"/>
  <c r="B318" i="5"/>
  <c r="B274" i="5"/>
  <c r="B100" i="5"/>
  <c r="B84" i="5"/>
  <c r="B166" i="5"/>
  <c r="B66" i="5"/>
  <c r="B277" i="5"/>
  <c r="B112" i="5"/>
  <c r="B262" i="5"/>
  <c r="B163" i="5"/>
  <c r="B46" i="5"/>
  <c r="B325" i="5"/>
  <c r="B127" i="5"/>
  <c r="B93" i="5"/>
  <c r="B70" i="5"/>
  <c r="B286" i="5"/>
  <c r="B205" i="5"/>
  <c r="B138" i="5"/>
  <c r="B212" i="5"/>
  <c r="B338" i="5"/>
  <c r="B295" i="5"/>
  <c r="B231" i="5"/>
  <c r="B31" i="5"/>
  <c r="B247" i="5"/>
  <c r="B261" i="5"/>
  <c r="B58" i="5"/>
  <c r="B24" i="5"/>
  <c r="B246" i="5"/>
  <c r="B259" i="5"/>
  <c r="B226" i="5"/>
  <c r="B141" i="5"/>
  <c r="B60" i="5"/>
  <c r="B12" i="5"/>
  <c r="B126" i="5"/>
  <c r="B74" i="5"/>
  <c r="B322" i="5"/>
  <c r="B174" i="5"/>
  <c r="B356" i="5"/>
  <c r="B339" i="5"/>
  <c r="B175" i="5"/>
  <c r="B270" i="5"/>
  <c r="B265" i="5"/>
  <c r="B69" i="5"/>
  <c r="B282" i="5"/>
  <c r="B300" i="5"/>
  <c r="B202" i="5"/>
  <c r="B21" i="5"/>
  <c r="B82" i="5"/>
  <c r="B330" i="5"/>
  <c r="B120" i="5"/>
  <c r="B184" i="5"/>
  <c r="B349" i="5"/>
  <c r="B54" i="5"/>
  <c r="G364" i="5"/>
  <c r="B364" i="6" s="1"/>
  <c r="G358" i="5"/>
  <c r="B358" i="6" s="1"/>
  <c r="G352" i="5"/>
  <c r="B352" i="6" s="1"/>
  <c r="G346" i="5"/>
  <c r="B346" i="6" s="1"/>
  <c r="G340" i="5"/>
  <c r="B340" i="6" s="1"/>
  <c r="G334" i="5"/>
  <c r="B334" i="6" s="1"/>
  <c r="G328" i="5"/>
  <c r="B328" i="6" s="1"/>
  <c r="G322" i="5"/>
  <c r="B322" i="6" s="1"/>
  <c r="G316" i="5"/>
  <c r="B316" i="6" s="1"/>
  <c r="G310" i="5"/>
  <c r="B310" i="6" s="1"/>
  <c r="G304" i="5"/>
  <c r="B304" i="6" s="1"/>
  <c r="G298" i="5"/>
  <c r="B298" i="6" s="1"/>
  <c r="G292" i="5"/>
  <c r="B292" i="6" s="1"/>
  <c r="G286" i="5"/>
  <c r="B286" i="6" s="1"/>
  <c r="G280" i="5"/>
  <c r="B280" i="6" s="1"/>
  <c r="G274" i="5"/>
  <c r="B274" i="6" s="1"/>
  <c r="G268" i="5"/>
  <c r="B268" i="6" s="1"/>
  <c r="G262" i="5"/>
  <c r="B262" i="6" s="1"/>
  <c r="G256" i="5"/>
  <c r="B256" i="6" s="1"/>
  <c r="G250" i="5"/>
  <c r="B250" i="6" s="1"/>
  <c r="G244" i="5"/>
  <c r="B244" i="6" s="1"/>
  <c r="G238" i="5"/>
  <c r="B238" i="6" s="1"/>
  <c r="G232" i="5"/>
  <c r="B232" i="6" s="1"/>
  <c r="G226" i="5"/>
  <c r="B226" i="6" s="1"/>
  <c r="G220" i="5"/>
  <c r="B220" i="6" s="1"/>
  <c r="G214" i="5"/>
  <c r="B214" i="6" s="1"/>
  <c r="G208" i="5"/>
  <c r="B208" i="6" s="1"/>
  <c r="G202" i="5"/>
  <c r="B202" i="6" s="1"/>
  <c r="G196" i="5"/>
  <c r="B196" i="6" s="1"/>
  <c r="G190" i="5"/>
  <c r="B190" i="6" s="1"/>
  <c r="G184" i="5"/>
  <c r="B184" i="6" s="1"/>
  <c r="G178" i="5"/>
  <c r="B178" i="6" s="1"/>
  <c r="G172" i="5"/>
  <c r="B172" i="6" s="1"/>
  <c r="G166" i="5"/>
  <c r="B166" i="6" s="1"/>
  <c r="G160" i="5"/>
  <c r="B160" i="6" s="1"/>
  <c r="G154" i="5"/>
  <c r="B154" i="6" s="1"/>
  <c r="G148" i="5"/>
  <c r="B148" i="6" s="1"/>
  <c r="G142" i="5"/>
  <c r="B142" i="6" s="1"/>
  <c r="G136" i="5"/>
  <c r="B136" i="6" s="1"/>
  <c r="G130" i="5"/>
  <c r="B130" i="6" s="1"/>
  <c r="G124" i="5"/>
  <c r="B124" i="6" s="1"/>
  <c r="G118" i="5"/>
  <c r="B118" i="6" s="1"/>
  <c r="G112" i="5"/>
  <c r="B112" i="6" s="1"/>
  <c r="G106" i="5"/>
  <c r="B106" i="6" s="1"/>
  <c r="G100" i="5"/>
  <c r="B100" i="6" s="1"/>
  <c r="G94" i="5"/>
  <c r="B94" i="6" s="1"/>
  <c r="G88" i="5"/>
  <c r="B88" i="6" s="1"/>
  <c r="G82" i="5"/>
  <c r="B82" i="6" s="1"/>
  <c r="G76" i="5"/>
  <c r="B76" i="6" s="1"/>
  <c r="G70" i="5"/>
  <c r="B70" i="6" s="1"/>
  <c r="G64" i="5"/>
  <c r="B64" i="6" s="1"/>
  <c r="G58" i="5"/>
  <c r="B58" i="6" s="1"/>
  <c r="G52" i="5"/>
  <c r="B52" i="6" s="1"/>
  <c r="G46" i="5"/>
  <c r="B46" i="6" s="1"/>
  <c r="G40" i="5"/>
  <c r="B40" i="6" s="1"/>
  <c r="G34" i="5"/>
  <c r="B34" i="6" s="1"/>
  <c r="G28" i="5"/>
  <c r="B28" i="6" s="1"/>
  <c r="G22" i="5"/>
  <c r="B22" i="6" s="1"/>
  <c r="G16" i="5"/>
  <c r="B16" i="6" s="1"/>
  <c r="G10" i="5"/>
  <c r="B10" i="6" s="1"/>
  <c r="G353" i="5"/>
  <c r="B353" i="6" s="1"/>
  <c r="G333" i="5"/>
  <c r="B333" i="6" s="1"/>
  <c r="G320" i="5"/>
  <c r="B320" i="6" s="1"/>
  <c r="G307" i="5"/>
  <c r="B307" i="6" s="1"/>
  <c r="G294" i="5"/>
  <c r="B294" i="6" s="1"/>
  <c r="G281" i="5"/>
  <c r="B281" i="6" s="1"/>
  <c r="G261" i="5"/>
  <c r="B261" i="6" s="1"/>
  <c r="G248" i="5"/>
  <c r="B248" i="6" s="1"/>
  <c r="G235" i="5"/>
  <c r="B235" i="6" s="1"/>
  <c r="G222" i="5"/>
  <c r="B222" i="6" s="1"/>
  <c r="G209" i="5"/>
  <c r="B209" i="6" s="1"/>
  <c r="G189" i="5"/>
  <c r="B189" i="6" s="1"/>
  <c r="G176" i="5"/>
  <c r="B176" i="6" s="1"/>
  <c r="G163" i="5"/>
  <c r="B163" i="6" s="1"/>
  <c r="G150" i="5"/>
  <c r="B150" i="6" s="1"/>
  <c r="G137" i="5"/>
  <c r="B137" i="6" s="1"/>
  <c r="G117" i="5"/>
  <c r="B117" i="6" s="1"/>
  <c r="G104" i="5"/>
  <c r="B104" i="6" s="1"/>
  <c r="G91" i="5"/>
  <c r="B91" i="6" s="1"/>
  <c r="G78" i="5"/>
  <c r="B78" i="6" s="1"/>
  <c r="G65" i="5"/>
  <c r="B65" i="6" s="1"/>
  <c r="G45" i="5"/>
  <c r="B45" i="6" s="1"/>
  <c r="G32" i="5"/>
  <c r="B32" i="6" s="1"/>
  <c r="G19" i="5"/>
  <c r="B19" i="6" s="1"/>
  <c r="G6" i="5"/>
  <c r="B6" i="6" s="1"/>
  <c r="G359" i="5"/>
  <c r="B359" i="6" s="1"/>
  <c r="G339" i="5"/>
  <c r="B339" i="6" s="1"/>
  <c r="G326" i="5"/>
  <c r="B326" i="6" s="1"/>
  <c r="G313" i="5"/>
  <c r="B313" i="6" s="1"/>
  <c r="G300" i="5"/>
  <c r="B300" i="6" s="1"/>
  <c r="G287" i="5"/>
  <c r="B287" i="6" s="1"/>
  <c r="G267" i="5"/>
  <c r="B267" i="6" s="1"/>
  <c r="G254" i="5"/>
  <c r="B254" i="6" s="1"/>
  <c r="G241" i="5"/>
  <c r="B241" i="6" s="1"/>
  <c r="G228" i="5"/>
  <c r="B228" i="6" s="1"/>
  <c r="G215" i="5"/>
  <c r="B215" i="6" s="1"/>
  <c r="G195" i="5"/>
  <c r="B195" i="6" s="1"/>
  <c r="G182" i="5"/>
  <c r="B182" i="6" s="1"/>
  <c r="G169" i="5"/>
  <c r="B169" i="6" s="1"/>
  <c r="G156" i="5"/>
  <c r="B156" i="6" s="1"/>
  <c r="G143" i="5"/>
  <c r="B143" i="6" s="1"/>
  <c r="G123" i="5"/>
  <c r="B123" i="6" s="1"/>
  <c r="G110" i="5"/>
  <c r="B110" i="6" s="1"/>
  <c r="G97" i="5"/>
  <c r="B97" i="6" s="1"/>
  <c r="G84" i="5"/>
  <c r="B84" i="6" s="1"/>
  <c r="G71" i="5"/>
  <c r="B71" i="6" s="1"/>
  <c r="G51" i="5"/>
  <c r="B51" i="6" s="1"/>
  <c r="G38" i="5"/>
  <c r="B38" i="6" s="1"/>
  <c r="G25" i="5"/>
  <c r="B25" i="6" s="1"/>
  <c r="G12" i="5"/>
  <c r="B12" i="6" s="1"/>
  <c r="G362" i="5"/>
  <c r="B362" i="6" s="1"/>
  <c r="G355" i="5"/>
  <c r="B355" i="6" s="1"/>
  <c r="G348" i="5"/>
  <c r="B348" i="6" s="1"/>
  <c r="G270" i="5"/>
  <c r="B270" i="6" s="1"/>
  <c r="G263" i="5"/>
  <c r="B263" i="6" s="1"/>
  <c r="G234" i="5"/>
  <c r="B234" i="6" s="1"/>
  <c r="G227" i="5"/>
  <c r="B227" i="6" s="1"/>
  <c r="G99" i="5"/>
  <c r="B99" i="6" s="1"/>
  <c r="G92" i="5"/>
  <c r="B92" i="6" s="1"/>
  <c r="G85" i="5"/>
  <c r="B85" i="6" s="1"/>
  <c r="G63" i="5"/>
  <c r="B63" i="6" s="1"/>
  <c r="G341" i="5"/>
  <c r="B341" i="6" s="1"/>
  <c r="G319" i="5"/>
  <c r="B319" i="6" s="1"/>
  <c r="G312" i="5"/>
  <c r="B312" i="6" s="1"/>
  <c r="G305" i="5"/>
  <c r="B305" i="6" s="1"/>
  <c r="G177" i="5"/>
  <c r="B177" i="6" s="1"/>
  <c r="G170" i="5"/>
  <c r="B170" i="6" s="1"/>
  <c r="G141" i="5"/>
  <c r="B141" i="6" s="1"/>
  <c r="G134" i="5"/>
  <c r="B134" i="6" s="1"/>
  <c r="G56" i="5"/>
  <c r="B56" i="6" s="1"/>
  <c r="G49" i="5"/>
  <c r="B49" i="6" s="1"/>
  <c r="G42" i="5"/>
  <c r="B42" i="6" s="1"/>
  <c r="G35" i="5"/>
  <c r="B35" i="6" s="1"/>
  <c r="G297" i="5"/>
  <c r="B297" i="6" s="1"/>
  <c r="G245" i="5"/>
  <c r="B245" i="6" s="1"/>
  <c r="G102" i="5"/>
  <c r="B102" i="6" s="1"/>
  <c r="G79" i="5"/>
  <c r="B79" i="6" s="1"/>
  <c r="G343" i="5"/>
  <c r="B343" i="6" s="1"/>
  <c r="G275" i="5"/>
  <c r="B275" i="6" s="1"/>
  <c r="G252" i="5"/>
  <c r="B252" i="6" s="1"/>
  <c r="G237" i="5"/>
  <c r="B237" i="6" s="1"/>
  <c r="G185" i="5"/>
  <c r="B185" i="6" s="1"/>
  <c r="G139" i="5"/>
  <c r="B139" i="6" s="1"/>
  <c r="G109" i="5"/>
  <c r="B109" i="6" s="1"/>
  <c r="G48" i="5"/>
  <c r="B48" i="6" s="1"/>
  <c r="G365" i="5"/>
  <c r="B365" i="6" s="1"/>
  <c r="G357" i="5"/>
  <c r="B357" i="6" s="1"/>
  <c r="G327" i="5"/>
  <c r="B327" i="6" s="1"/>
  <c r="G296" i="5"/>
  <c r="B296" i="6" s="1"/>
  <c r="G266" i="5"/>
  <c r="B266" i="6" s="1"/>
  <c r="G213" i="5"/>
  <c r="B213" i="6" s="1"/>
  <c r="G168" i="5"/>
  <c r="B168" i="6" s="1"/>
  <c r="G153" i="5"/>
  <c r="B153" i="6" s="1"/>
  <c r="G101" i="5"/>
  <c r="B101" i="6" s="1"/>
  <c r="G93" i="5"/>
  <c r="B93" i="6" s="1"/>
  <c r="G24" i="5"/>
  <c r="B24" i="6" s="1"/>
  <c r="G9" i="5"/>
  <c r="B9" i="6" s="1"/>
  <c r="G350" i="5"/>
  <c r="B350" i="6" s="1"/>
  <c r="G282" i="5"/>
  <c r="B282" i="6" s="1"/>
  <c r="G259" i="5"/>
  <c r="B259" i="6" s="1"/>
  <c r="G192" i="5"/>
  <c r="B192" i="6" s="1"/>
  <c r="G116" i="5"/>
  <c r="B116" i="6" s="1"/>
  <c r="G86" i="5"/>
  <c r="B86" i="6" s="1"/>
  <c r="G335" i="5"/>
  <c r="B335" i="6" s="1"/>
  <c r="G289" i="5"/>
  <c r="B289" i="6" s="1"/>
  <c r="G229" i="5"/>
  <c r="B229" i="6" s="1"/>
  <c r="G221" i="5"/>
  <c r="B221" i="6" s="1"/>
  <c r="G206" i="5"/>
  <c r="B206" i="6" s="1"/>
  <c r="G199" i="5"/>
  <c r="B199" i="6" s="1"/>
  <c r="G161" i="5"/>
  <c r="B161" i="6" s="1"/>
  <c r="G146" i="5"/>
  <c r="B146" i="6" s="1"/>
  <c r="G131" i="5"/>
  <c r="B131" i="6" s="1"/>
  <c r="G55" i="5"/>
  <c r="B55" i="6" s="1"/>
  <c r="G17" i="5"/>
  <c r="B17" i="6" s="1"/>
  <c r="G62" i="5"/>
  <c r="B62" i="6" s="1"/>
  <c r="G347" i="5"/>
  <c r="B347" i="6" s="1"/>
  <c r="G321" i="5"/>
  <c r="B321" i="6" s="1"/>
  <c r="G311" i="5"/>
  <c r="B311" i="6" s="1"/>
  <c r="G205" i="5"/>
  <c r="B205" i="6" s="1"/>
  <c r="G363" i="5"/>
  <c r="B363" i="6" s="1"/>
  <c r="G240" i="5"/>
  <c r="B240" i="6" s="1"/>
  <c r="G231" i="5"/>
  <c r="B231" i="6" s="1"/>
  <c r="G204" i="5"/>
  <c r="B204" i="6" s="1"/>
  <c r="G207" i="5"/>
  <c r="B207" i="6" s="1"/>
  <c r="G179" i="5"/>
  <c r="B179" i="6" s="1"/>
  <c r="G133" i="5"/>
  <c r="B133" i="6" s="1"/>
  <c r="G125" i="5"/>
  <c r="B125" i="6" s="1"/>
  <c r="G107" i="5"/>
  <c r="B107" i="6" s="1"/>
  <c r="G89" i="5"/>
  <c r="B89" i="6" s="1"/>
  <c r="G54" i="5"/>
  <c r="B54" i="6" s="1"/>
  <c r="G354" i="5"/>
  <c r="B354" i="6" s="1"/>
  <c r="G279" i="5"/>
  <c r="B279" i="6" s="1"/>
  <c r="G216" i="5"/>
  <c r="B216" i="6" s="1"/>
  <c r="G197" i="5"/>
  <c r="B197" i="6" s="1"/>
  <c r="G151" i="5"/>
  <c r="B151" i="6" s="1"/>
  <c r="G115" i="5"/>
  <c r="B115" i="6" s="1"/>
  <c r="G80" i="5"/>
  <c r="B80" i="6" s="1"/>
  <c r="G72" i="5"/>
  <c r="B72" i="6" s="1"/>
  <c r="G36" i="5"/>
  <c r="B36" i="6" s="1"/>
  <c r="G27" i="5"/>
  <c r="B27" i="6" s="1"/>
  <c r="G325" i="5"/>
  <c r="B325" i="6" s="1"/>
  <c r="G288" i="5"/>
  <c r="B288" i="6" s="1"/>
  <c r="G271" i="5"/>
  <c r="B271" i="6" s="1"/>
  <c r="G253" i="5"/>
  <c r="B253" i="6" s="1"/>
  <c r="G243" i="5"/>
  <c r="B243" i="6" s="1"/>
  <c r="G224" i="5"/>
  <c r="B224" i="6" s="1"/>
  <c r="G187" i="5"/>
  <c r="B187" i="6" s="1"/>
  <c r="G159" i="5"/>
  <c r="B159" i="6" s="1"/>
  <c r="G44" i="5"/>
  <c r="B44" i="6" s="1"/>
  <c r="G132" i="5"/>
  <c r="B132" i="6" s="1"/>
  <c r="G53" i="5"/>
  <c r="B53" i="6" s="1"/>
  <c r="G361" i="5"/>
  <c r="B361" i="6" s="1"/>
  <c r="G269" i="5"/>
  <c r="B269" i="6" s="1"/>
  <c r="G212" i="5"/>
  <c r="B212" i="6" s="1"/>
  <c r="G194" i="5"/>
  <c r="B194" i="6" s="1"/>
  <c r="G175" i="5"/>
  <c r="B175" i="6" s="1"/>
  <c r="G113" i="5"/>
  <c r="B113" i="6" s="1"/>
  <c r="G303" i="5"/>
  <c r="B303" i="6" s="1"/>
  <c r="G293" i="5"/>
  <c r="B293" i="6" s="1"/>
  <c r="G180" i="5"/>
  <c r="B180" i="6" s="1"/>
  <c r="G138" i="5"/>
  <c r="B138" i="6" s="1"/>
  <c r="G96" i="5"/>
  <c r="B96" i="6" s="1"/>
  <c r="G75" i="5"/>
  <c r="B75" i="6" s="1"/>
  <c r="G57" i="5"/>
  <c r="B57" i="6" s="1"/>
  <c r="G283" i="5"/>
  <c r="B283" i="6" s="1"/>
  <c r="G158" i="5"/>
  <c r="B158" i="6" s="1"/>
  <c r="G356" i="5"/>
  <c r="B356" i="6" s="1"/>
  <c r="G344" i="5"/>
  <c r="B344" i="6" s="1"/>
  <c r="G251" i="5"/>
  <c r="B251" i="6" s="1"/>
  <c r="G230" i="5"/>
  <c r="B230" i="6" s="1"/>
  <c r="G188" i="5"/>
  <c r="B188" i="6" s="1"/>
  <c r="G105" i="5"/>
  <c r="B105" i="6" s="1"/>
  <c r="G74" i="5"/>
  <c r="B74" i="6" s="1"/>
  <c r="G23" i="5"/>
  <c r="B23" i="6" s="1"/>
  <c r="G165" i="5"/>
  <c r="B165" i="6" s="1"/>
  <c r="G135" i="5"/>
  <c r="B135" i="6" s="1"/>
  <c r="G114" i="5"/>
  <c r="B114" i="6" s="1"/>
  <c r="G73" i="5"/>
  <c r="B73" i="6" s="1"/>
  <c r="G31" i="5"/>
  <c r="B31" i="6" s="1"/>
  <c r="G273" i="5"/>
  <c r="B273" i="6" s="1"/>
  <c r="G183" i="5"/>
  <c r="B183" i="6" s="1"/>
  <c r="G126" i="5"/>
  <c r="B126" i="6" s="1"/>
  <c r="G284" i="5"/>
  <c r="B284" i="6" s="1"/>
  <c r="G67" i="5"/>
  <c r="B67" i="6" s="1"/>
  <c r="G217" i="5"/>
  <c r="B217" i="6" s="1"/>
  <c r="G21" i="5"/>
  <c r="B21" i="6" s="1"/>
  <c r="G308" i="5"/>
  <c r="B308" i="6" s="1"/>
  <c r="G295" i="5"/>
  <c r="B295" i="6" s="1"/>
  <c r="G171" i="5"/>
  <c r="B171" i="6" s="1"/>
  <c r="G147" i="5"/>
  <c r="B147" i="6" s="1"/>
  <c r="G77" i="5"/>
  <c r="B77" i="6" s="1"/>
  <c r="G43" i="5"/>
  <c r="B43" i="6" s="1"/>
  <c r="G338" i="5"/>
  <c r="B338" i="6" s="1"/>
  <c r="G167" i="5"/>
  <c r="B167" i="6" s="1"/>
  <c r="G18" i="5"/>
  <c r="B18" i="6" s="1"/>
  <c r="G191" i="5"/>
  <c r="B191" i="6" s="1"/>
  <c r="G144" i="5"/>
  <c r="B144" i="6" s="1"/>
  <c r="G98" i="5"/>
  <c r="B98" i="6" s="1"/>
  <c r="G29" i="5"/>
  <c r="B29" i="6" s="1"/>
  <c r="G323" i="5"/>
  <c r="B323" i="6" s="1"/>
  <c r="G260" i="5"/>
  <c r="B260" i="6" s="1"/>
  <c r="G249" i="5"/>
  <c r="B249" i="6" s="1"/>
  <c r="G360" i="5"/>
  <c r="B360" i="6" s="1"/>
  <c r="G236" i="5"/>
  <c r="B236" i="6" s="1"/>
  <c r="G223" i="5"/>
  <c r="B223" i="6" s="1"/>
  <c r="G198" i="5"/>
  <c r="B198" i="6" s="1"/>
  <c r="G145" i="5"/>
  <c r="B145" i="6" s="1"/>
  <c r="G120" i="5"/>
  <c r="B120" i="6" s="1"/>
  <c r="G41" i="5"/>
  <c r="B41" i="6" s="1"/>
  <c r="G15" i="5"/>
  <c r="B15" i="6" s="1"/>
  <c r="G331" i="5"/>
  <c r="B331" i="6" s="1"/>
  <c r="G246" i="5"/>
  <c r="B246" i="6" s="1"/>
  <c r="G233" i="5"/>
  <c r="B233" i="6" s="1"/>
  <c r="G219" i="5"/>
  <c r="B219" i="6" s="1"/>
  <c r="G155" i="5"/>
  <c r="B155" i="6" s="1"/>
  <c r="G318" i="5"/>
  <c r="B318" i="6" s="1"/>
  <c r="G306" i="5"/>
  <c r="B306" i="6" s="1"/>
  <c r="G181" i="5"/>
  <c r="B181" i="6" s="1"/>
  <c r="G50" i="5"/>
  <c r="B50" i="6" s="1"/>
  <c r="G342" i="5"/>
  <c r="B342" i="6" s="1"/>
  <c r="G330" i="5"/>
  <c r="B330" i="6" s="1"/>
  <c r="G278" i="5"/>
  <c r="B278" i="6" s="1"/>
  <c r="G257" i="5"/>
  <c r="B257" i="6" s="1"/>
  <c r="G128" i="5"/>
  <c r="B128" i="6" s="1"/>
  <c r="G61" i="5"/>
  <c r="B61" i="6" s="1"/>
  <c r="G351" i="5"/>
  <c r="B351" i="6" s="1"/>
  <c r="G337" i="5"/>
  <c r="B337" i="6" s="1"/>
  <c r="G121" i="5"/>
  <c r="B121" i="6" s="1"/>
  <c r="G20" i="5"/>
  <c r="B20" i="6" s="1"/>
  <c r="G265" i="5"/>
  <c r="B265" i="6" s="1"/>
  <c r="G239" i="5"/>
  <c r="B239" i="6" s="1"/>
  <c r="G193" i="5"/>
  <c r="B193" i="6" s="1"/>
  <c r="G164" i="5"/>
  <c r="B164" i="6" s="1"/>
  <c r="G90" i="5"/>
  <c r="B90" i="6" s="1"/>
  <c r="G33" i="5"/>
  <c r="B33" i="6" s="1"/>
  <c r="G47" i="5"/>
  <c r="B47" i="6" s="1"/>
  <c r="G336" i="5"/>
  <c r="B336" i="6" s="1"/>
  <c r="G277" i="5"/>
  <c r="B277" i="6" s="1"/>
  <c r="G149" i="5"/>
  <c r="B149" i="6" s="1"/>
  <c r="G332" i="5"/>
  <c r="B332" i="6" s="1"/>
  <c r="G302" i="5"/>
  <c r="B302" i="6" s="1"/>
  <c r="G203" i="5"/>
  <c r="B203" i="6" s="1"/>
  <c r="G59" i="5"/>
  <c r="B59" i="6" s="1"/>
  <c r="G129" i="5"/>
  <c r="B129" i="6" s="1"/>
  <c r="G345" i="5"/>
  <c r="B345" i="6" s="1"/>
  <c r="G247" i="5"/>
  <c r="B247" i="6" s="1"/>
  <c r="G173" i="5"/>
  <c r="B173" i="6" s="1"/>
  <c r="G69" i="5"/>
  <c r="B69" i="6" s="1"/>
  <c r="G329" i="5"/>
  <c r="B329" i="6" s="1"/>
  <c r="G264" i="5"/>
  <c r="B264" i="6" s="1"/>
  <c r="G200" i="5"/>
  <c r="B200" i="6" s="1"/>
  <c r="G127" i="5"/>
  <c r="B127" i="6" s="1"/>
  <c r="G30" i="5"/>
  <c r="B30" i="6" s="1"/>
  <c r="G211" i="5"/>
  <c r="B211" i="6" s="1"/>
  <c r="G14" i="5"/>
  <c r="B14" i="6" s="1"/>
  <c r="G309" i="5"/>
  <c r="B309" i="6" s="1"/>
  <c r="G162" i="5"/>
  <c r="B162" i="6" s="1"/>
  <c r="G291" i="5"/>
  <c r="B291" i="6" s="1"/>
  <c r="G60" i="5"/>
  <c r="B60" i="6" s="1"/>
  <c r="G95" i="5"/>
  <c r="B95" i="6" s="1"/>
  <c r="G122" i="5"/>
  <c r="B122" i="6" s="1"/>
  <c r="G39" i="5"/>
  <c r="B39" i="6" s="1"/>
  <c r="G276" i="5"/>
  <c r="B276" i="6" s="1"/>
  <c r="G111" i="5"/>
  <c r="B111" i="6" s="1"/>
  <c r="G13" i="5"/>
  <c r="B13" i="6" s="1"/>
  <c r="G242" i="5"/>
  <c r="B242" i="6" s="1"/>
  <c r="G324" i="5"/>
  <c r="B324" i="6" s="1"/>
  <c r="G210" i="5"/>
  <c r="B210" i="6" s="1"/>
  <c r="G108" i="5"/>
  <c r="B108" i="6" s="1"/>
  <c r="G26" i="5"/>
  <c r="B26" i="6" s="1"/>
  <c r="G290" i="5"/>
  <c r="B290" i="6" s="1"/>
  <c r="G174" i="5"/>
  <c r="B174" i="6" s="1"/>
  <c r="G157" i="5"/>
  <c r="B157" i="6" s="1"/>
  <c r="G87" i="5"/>
  <c r="B87" i="6" s="1"/>
  <c r="G8" i="5"/>
  <c r="B8" i="6" s="1"/>
  <c r="G272" i="5"/>
  <c r="B272" i="6" s="1"/>
  <c r="G258" i="5"/>
  <c r="B258" i="6" s="1"/>
  <c r="G225" i="5"/>
  <c r="B225" i="6" s="1"/>
  <c r="G140" i="5"/>
  <c r="B140" i="6" s="1"/>
  <c r="G11" i="5"/>
  <c r="B11" i="6" s="1"/>
  <c r="G301" i="5"/>
  <c r="B301" i="6" s="1"/>
  <c r="G285" i="5"/>
  <c r="B285" i="6" s="1"/>
  <c r="G218" i="5"/>
  <c r="B218" i="6" s="1"/>
  <c r="G7" i="5"/>
  <c r="B7" i="6" s="1"/>
  <c r="G68" i="5"/>
  <c r="B68" i="6" s="1"/>
  <c r="G299" i="5"/>
  <c r="B299" i="6" s="1"/>
  <c r="G66" i="5"/>
  <c r="B66" i="6" s="1"/>
  <c r="G152" i="5"/>
  <c r="B152" i="6" s="1"/>
  <c r="G317" i="5"/>
  <c r="B317" i="6" s="1"/>
  <c r="G83" i="5"/>
  <c r="B83" i="6" s="1"/>
  <c r="G255" i="5"/>
  <c r="B255" i="6" s="1"/>
  <c r="G315" i="5"/>
  <c r="B315" i="6" s="1"/>
  <c r="G103" i="5"/>
  <c r="B103" i="6" s="1"/>
  <c r="G119" i="5"/>
  <c r="B119" i="6" s="1"/>
  <c r="G314" i="5"/>
  <c r="B314" i="6" s="1"/>
  <c r="G201" i="5"/>
  <c r="B201" i="6" s="1"/>
  <c r="G37" i="5"/>
  <c r="B37" i="6" s="1"/>
  <c r="G349" i="5"/>
  <c r="B349" i="6" s="1"/>
  <c r="G81" i="5"/>
  <c r="B81" i="6" s="1"/>
  <c r="G186" i="5"/>
  <c r="B186" i="6" s="1"/>
  <c r="D7" i="7"/>
  <c r="B7" i="2"/>
  <c r="AA7" i="7"/>
  <c r="J7" i="9"/>
  <c r="K7" i="9" s="1"/>
  <c r="A8" i="9"/>
  <c r="B7" i="9"/>
  <c r="C7" i="9" s="1"/>
  <c r="AF6" i="9"/>
  <c r="I6" i="2"/>
  <c r="AB6" i="9"/>
  <c r="D6" i="7"/>
  <c r="J8" i="8"/>
  <c r="K8" i="8" s="1"/>
  <c r="B8" i="8"/>
  <c r="C8" i="8" s="1"/>
  <c r="A9" i="8"/>
  <c r="F7" i="2"/>
  <c r="AB7" i="8"/>
  <c r="AA7" i="8"/>
  <c r="D85" i="5" l="1"/>
  <c r="C85" i="4"/>
  <c r="V85" i="4" s="1"/>
  <c r="C35" i="4"/>
  <c r="V35" i="4" s="1"/>
  <c r="D35" i="5"/>
  <c r="C22" i="4"/>
  <c r="V22" i="4" s="1"/>
  <c r="D22" i="5"/>
  <c r="D297" i="5"/>
  <c r="C297" i="4"/>
  <c r="V297" i="4" s="1"/>
  <c r="D185" i="5"/>
  <c r="C185" i="4"/>
  <c r="V185" i="4" s="1"/>
  <c r="D163" i="5"/>
  <c r="C163" i="4"/>
  <c r="V163" i="4" s="1"/>
  <c r="C34" i="4"/>
  <c r="V34" i="4" s="1"/>
  <c r="D34" i="5"/>
  <c r="C358" i="4"/>
  <c r="V358" i="4" s="1"/>
  <c r="D358" i="5"/>
  <c r="C191" i="4"/>
  <c r="V191" i="4" s="1"/>
  <c r="D191" i="5"/>
  <c r="P7" i="8"/>
  <c r="O7" i="8"/>
  <c r="D262" i="5"/>
  <c r="C262" i="4"/>
  <c r="V262" i="4" s="1"/>
  <c r="D218" i="5"/>
  <c r="C218" i="4"/>
  <c r="V218" i="4" s="1"/>
  <c r="D366" i="5"/>
  <c r="C366" i="4"/>
  <c r="V366" i="4" s="1"/>
  <c r="D197" i="5"/>
  <c r="C197" i="4"/>
  <c r="V197" i="4" s="1"/>
  <c r="D248" i="5"/>
  <c r="C248" i="4"/>
  <c r="V248" i="4" s="1"/>
  <c r="D203" i="5"/>
  <c r="C203" i="4"/>
  <c r="V203" i="4" s="1"/>
  <c r="D141" i="5"/>
  <c r="C141" i="4"/>
  <c r="V141" i="4" s="1"/>
  <c r="D277" i="5"/>
  <c r="C277" i="4"/>
  <c r="V277" i="4" s="1"/>
  <c r="D219" i="5"/>
  <c r="C219" i="4"/>
  <c r="V219" i="4" s="1"/>
  <c r="D350" i="5"/>
  <c r="C350" i="4"/>
  <c r="V350" i="4" s="1"/>
  <c r="D176" i="5"/>
  <c r="C176" i="4"/>
  <c r="V176" i="4" s="1"/>
  <c r="C105" i="4"/>
  <c r="V105" i="4" s="1"/>
  <c r="D105" i="5"/>
  <c r="D298" i="5"/>
  <c r="C298" i="4"/>
  <c r="V298" i="4" s="1"/>
  <c r="C188" i="4"/>
  <c r="V188" i="4" s="1"/>
  <c r="D188" i="5"/>
  <c r="D33" i="5"/>
  <c r="C33" i="4"/>
  <c r="V33" i="4" s="1"/>
  <c r="D64" i="5"/>
  <c r="C64" i="4"/>
  <c r="V64" i="4" s="1"/>
  <c r="C256" i="4"/>
  <c r="V256" i="4" s="1"/>
  <c r="D256" i="5"/>
  <c r="D65" i="5"/>
  <c r="C65" i="4"/>
  <c r="V65" i="4" s="1"/>
  <c r="D353" i="5"/>
  <c r="C353" i="4"/>
  <c r="V353" i="4" s="1"/>
  <c r="P7" i="7"/>
  <c r="O7" i="7"/>
  <c r="C364" i="6"/>
  <c r="C226" i="4"/>
  <c r="V226" i="4" s="1"/>
  <c r="D226" i="5"/>
  <c r="D66" i="5"/>
  <c r="C66" i="4"/>
  <c r="V66" i="4" s="1"/>
  <c r="C129" i="4"/>
  <c r="V129" i="4" s="1"/>
  <c r="D129" i="5"/>
  <c r="C30" i="4"/>
  <c r="V30" i="4" s="1"/>
  <c r="D30" i="5"/>
  <c r="D187" i="5"/>
  <c r="C187" i="4"/>
  <c r="V187" i="4" s="1"/>
  <c r="C122" i="4"/>
  <c r="V122" i="4" s="1"/>
  <c r="D122" i="5"/>
  <c r="D308" i="5"/>
  <c r="C308" i="4"/>
  <c r="V308" i="4" s="1"/>
  <c r="C302" i="4"/>
  <c r="V302" i="4" s="1"/>
  <c r="D302" i="5"/>
  <c r="C56" i="4"/>
  <c r="V56" i="4" s="1"/>
  <c r="D56" i="5"/>
  <c r="D87" i="5"/>
  <c r="C87" i="4"/>
  <c r="V87" i="4" s="1"/>
  <c r="D36" i="5"/>
  <c r="C36" i="4"/>
  <c r="V36" i="4" s="1"/>
  <c r="C170" i="4"/>
  <c r="V170" i="4" s="1"/>
  <c r="D170" i="5"/>
  <c r="D71" i="5"/>
  <c r="C71" i="4"/>
  <c r="V71" i="4" s="1"/>
  <c r="D215" i="5"/>
  <c r="C215" i="4"/>
  <c r="V215" i="4" s="1"/>
  <c r="C359" i="4"/>
  <c r="V359" i="4" s="1"/>
  <c r="D359" i="5"/>
  <c r="C54" i="4"/>
  <c r="V54" i="4" s="1"/>
  <c r="D54" i="5"/>
  <c r="C259" i="4"/>
  <c r="V259" i="4" s="1"/>
  <c r="D259" i="5"/>
  <c r="D166" i="5"/>
  <c r="C166" i="4"/>
  <c r="V166" i="4" s="1"/>
  <c r="C258" i="4"/>
  <c r="V258" i="4" s="1"/>
  <c r="D258" i="5"/>
  <c r="D75" i="5"/>
  <c r="C75" i="4"/>
  <c r="V75" i="4" s="1"/>
  <c r="D240" i="5"/>
  <c r="C240" i="4"/>
  <c r="V240" i="4" s="1"/>
  <c r="D130" i="5"/>
  <c r="C130" i="4"/>
  <c r="V130" i="4" s="1"/>
  <c r="C345" i="4"/>
  <c r="V345" i="4" s="1"/>
  <c r="D345" i="5"/>
  <c r="D319" i="5"/>
  <c r="C319" i="4"/>
  <c r="V319" i="4" s="1"/>
  <c r="D132" i="5"/>
  <c r="C132" i="4"/>
  <c r="V132" i="4" s="1"/>
  <c r="D117" i="5"/>
  <c r="C117" i="4"/>
  <c r="V117" i="4" s="1"/>
  <c r="D43" i="5"/>
  <c r="C43" i="4"/>
  <c r="V43" i="4" s="1"/>
  <c r="C183" i="4"/>
  <c r="V183" i="4" s="1"/>
  <c r="D183" i="5"/>
  <c r="D77" i="5"/>
  <c r="C77" i="4"/>
  <c r="V77" i="4" s="1"/>
  <c r="D221" i="5"/>
  <c r="C221" i="4"/>
  <c r="V221" i="4" s="1"/>
  <c r="C365" i="4"/>
  <c r="V365" i="4" s="1"/>
  <c r="D365" i="5"/>
  <c r="J9" i="8"/>
  <c r="K9" i="8" s="1"/>
  <c r="A10" i="8"/>
  <c r="B9" i="8"/>
  <c r="C9" i="8" s="1"/>
  <c r="C349" i="4"/>
  <c r="V349" i="4" s="1"/>
  <c r="D349" i="5"/>
  <c r="D246" i="5"/>
  <c r="C246" i="4"/>
  <c r="V246" i="4" s="1"/>
  <c r="C84" i="4"/>
  <c r="V84" i="4" s="1"/>
  <c r="D84" i="5"/>
  <c r="C357" i="4"/>
  <c r="V357" i="4" s="1"/>
  <c r="D357" i="5"/>
  <c r="D99" i="5"/>
  <c r="C99" i="4"/>
  <c r="V99" i="4" s="1"/>
  <c r="D250" i="5"/>
  <c r="C250" i="4"/>
  <c r="V250" i="4" s="1"/>
  <c r="C204" i="4"/>
  <c r="V204" i="4" s="1"/>
  <c r="D204" i="5"/>
  <c r="C364" i="4"/>
  <c r="V364" i="4" s="1"/>
  <c r="D364" i="5"/>
  <c r="D346" i="5"/>
  <c r="C346" i="4"/>
  <c r="V346" i="4" s="1"/>
  <c r="D147" i="5"/>
  <c r="C147" i="4"/>
  <c r="V147" i="4" s="1"/>
  <c r="D193" i="5"/>
  <c r="C193" i="4"/>
  <c r="V193" i="4" s="1"/>
  <c r="D50" i="5"/>
  <c r="C50" i="4"/>
  <c r="V50" i="4" s="1"/>
  <c r="D196" i="5"/>
  <c r="C196" i="4"/>
  <c r="V196" i="4" s="1"/>
  <c r="D83" i="5"/>
  <c r="C83" i="4"/>
  <c r="V83" i="4" s="1"/>
  <c r="D227" i="5"/>
  <c r="C227" i="4"/>
  <c r="V227" i="4" s="1"/>
  <c r="AB8" i="7"/>
  <c r="C8" i="2"/>
  <c r="D8" i="8"/>
  <c r="AA8" i="8"/>
  <c r="C184" i="4"/>
  <c r="V184" i="4" s="1"/>
  <c r="D184" i="5"/>
  <c r="D24" i="5"/>
  <c r="C24" i="4"/>
  <c r="V24" i="4" s="1"/>
  <c r="C100" i="4"/>
  <c r="V100" i="4" s="1"/>
  <c r="D100" i="5"/>
  <c r="C51" i="4"/>
  <c r="V51" i="4" s="1"/>
  <c r="D51" i="5"/>
  <c r="C134" i="4"/>
  <c r="V134" i="4" s="1"/>
  <c r="D134" i="5"/>
  <c r="D291" i="5"/>
  <c r="C291" i="4"/>
  <c r="V291" i="4" s="1"/>
  <c r="D232" i="5"/>
  <c r="C232" i="4"/>
  <c r="V232" i="4" s="1"/>
  <c r="D45" i="5"/>
  <c r="C45" i="4"/>
  <c r="V45" i="4" s="1"/>
  <c r="D355" i="5"/>
  <c r="C355" i="4"/>
  <c r="V355" i="4" s="1"/>
  <c r="D162" i="5"/>
  <c r="C162" i="4"/>
  <c r="V162" i="4" s="1"/>
  <c r="D260" i="5"/>
  <c r="C260" i="4"/>
  <c r="V260" i="4" s="1"/>
  <c r="D57" i="5"/>
  <c r="C57" i="4"/>
  <c r="V57" i="4" s="1"/>
  <c r="C216" i="4"/>
  <c r="V216" i="4" s="1"/>
  <c r="D216" i="5"/>
  <c r="D89" i="5"/>
  <c r="C89" i="4"/>
  <c r="V89" i="4" s="1"/>
  <c r="D233" i="5"/>
  <c r="C233" i="4"/>
  <c r="V233" i="4" s="1"/>
  <c r="F8" i="2"/>
  <c r="AB8" i="8"/>
  <c r="C120" i="4"/>
  <c r="V120" i="4" s="1"/>
  <c r="D120" i="5"/>
  <c r="D58" i="5"/>
  <c r="C58" i="4"/>
  <c r="V58" i="4" s="1"/>
  <c r="D274" i="5"/>
  <c r="C274" i="4"/>
  <c r="V274" i="4" s="1"/>
  <c r="C76" i="4"/>
  <c r="V76" i="4" s="1"/>
  <c r="D76" i="5"/>
  <c r="C145" i="4"/>
  <c r="V145" i="4" s="1"/>
  <c r="D145" i="5"/>
  <c r="C332" i="4"/>
  <c r="V332" i="4" s="1"/>
  <c r="D332" i="5"/>
  <c r="D278" i="5"/>
  <c r="C278" i="4"/>
  <c r="V278" i="4" s="1"/>
  <c r="D160" i="5"/>
  <c r="C160" i="4"/>
  <c r="V160" i="4" s="1"/>
  <c r="C181" i="4"/>
  <c r="V181" i="4" s="1"/>
  <c r="D181" i="5"/>
  <c r="D200" i="5"/>
  <c r="C200" i="4"/>
  <c r="V200" i="4" s="1"/>
  <c r="C283" i="4"/>
  <c r="V283" i="4" s="1"/>
  <c r="D283" i="5"/>
  <c r="C135" i="4"/>
  <c r="V135" i="4" s="1"/>
  <c r="D135" i="5"/>
  <c r="D229" i="5"/>
  <c r="C229" i="4"/>
  <c r="V229" i="4" s="1"/>
  <c r="C95" i="4"/>
  <c r="V95" i="4" s="1"/>
  <c r="D95" i="5"/>
  <c r="C239" i="4"/>
  <c r="V239" i="4" s="1"/>
  <c r="D239" i="5"/>
  <c r="AA8" i="7"/>
  <c r="D8" i="7"/>
  <c r="B8" i="2"/>
  <c r="D322" i="5"/>
  <c r="C322" i="4"/>
  <c r="V322" i="4" s="1"/>
  <c r="C165" i="4"/>
  <c r="V165" i="4" s="1"/>
  <c r="D165" i="5"/>
  <c r="C309" i="4"/>
  <c r="V309" i="4" s="1"/>
  <c r="D309" i="5"/>
  <c r="D307" i="5"/>
  <c r="C307" i="4"/>
  <c r="V307" i="4" s="1"/>
  <c r="C252" i="4"/>
  <c r="V252" i="4" s="1"/>
  <c r="D252" i="5"/>
  <c r="D179" i="5"/>
  <c r="C179" i="4"/>
  <c r="V179" i="4" s="1"/>
  <c r="C74" i="4"/>
  <c r="V74" i="4" s="1"/>
  <c r="D74" i="5"/>
  <c r="C46" i="4"/>
  <c r="V46" i="4" s="1"/>
  <c r="D46" i="5"/>
  <c r="C266" i="4"/>
  <c r="V266" i="4" s="1"/>
  <c r="D266" i="5"/>
  <c r="C16" i="4"/>
  <c r="V16" i="4" s="1"/>
  <c r="D16" i="5"/>
  <c r="D235" i="5"/>
  <c r="C235" i="4"/>
  <c r="V235" i="4" s="1"/>
  <c r="D304" i="5"/>
  <c r="C304" i="4"/>
  <c r="V304" i="4" s="1"/>
  <c r="D206" i="5"/>
  <c r="C206" i="4"/>
  <c r="V206" i="4" s="1"/>
  <c r="C98" i="4"/>
  <c r="V98" i="4" s="1"/>
  <c r="D98" i="5"/>
  <c r="D41" i="5"/>
  <c r="C41" i="4"/>
  <c r="V41" i="4" s="1"/>
  <c r="D7" i="5"/>
  <c r="C7" i="4"/>
  <c r="V7" i="4" s="1"/>
  <c r="D111" i="5"/>
  <c r="C111" i="4"/>
  <c r="V111" i="4" s="1"/>
  <c r="C88" i="4"/>
  <c r="V88" i="4" s="1"/>
  <c r="D88" i="5"/>
  <c r="D61" i="5"/>
  <c r="C61" i="4"/>
  <c r="V61" i="4" s="1"/>
  <c r="C153" i="4"/>
  <c r="V153" i="4" s="1"/>
  <c r="D153" i="5"/>
  <c r="C220" i="4"/>
  <c r="V220" i="4" s="1"/>
  <c r="D220" i="5"/>
  <c r="C53" i="4"/>
  <c r="V53" i="4" s="1"/>
  <c r="D53" i="5"/>
  <c r="C112" i="4"/>
  <c r="V112" i="4" s="1"/>
  <c r="D112" i="5"/>
  <c r="D194" i="5"/>
  <c r="C194" i="4"/>
  <c r="V194" i="4" s="1"/>
  <c r="D104" i="5"/>
  <c r="C104" i="4"/>
  <c r="V104" i="4" s="1"/>
  <c r="D96" i="5"/>
  <c r="C96" i="4"/>
  <c r="V96" i="4" s="1"/>
  <c r="D234" i="5"/>
  <c r="C234" i="4"/>
  <c r="V234" i="4" s="1"/>
  <c r="D180" i="5"/>
  <c r="C180" i="4"/>
  <c r="V180" i="4" s="1"/>
  <c r="D18" i="5"/>
  <c r="C18" i="4"/>
  <c r="V18" i="4" s="1"/>
  <c r="D328" i="5"/>
  <c r="C328" i="4"/>
  <c r="V328" i="4" s="1"/>
  <c r="D249" i="5"/>
  <c r="C249" i="4"/>
  <c r="V249" i="4" s="1"/>
  <c r="C347" i="4"/>
  <c r="V347" i="4" s="1"/>
  <c r="D347" i="5"/>
  <c r="C157" i="4"/>
  <c r="V157" i="4" s="1"/>
  <c r="D157" i="5"/>
  <c r="P6" i="7"/>
  <c r="O6" i="7"/>
  <c r="D261" i="5"/>
  <c r="C261" i="4"/>
  <c r="V261" i="4" s="1"/>
  <c r="C271" i="4"/>
  <c r="V271" i="4" s="1"/>
  <c r="D271" i="5"/>
  <c r="C225" i="4"/>
  <c r="V225" i="4" s="1"/>
  <c r="D225" i="5"/>
  <c r="C351" i="4"/>
  <c r="V351" i="4" s="1"/>
  <c r="D351" i="5"/>
  <c r="C101" i="4"/>
  <c r="V101" i="4" s="1"/>
  <c r="D101" i="5"/>
  <c r="J9" i="7"/>
  <c r="K9" i="7" s="1"/>
  <c r="B9" i="7"/>
  <c r="C9" i="7" s="1"/>
  <c r="A10" i="7"/>
  <c r="A9" i="2"/>
  <c r="D294" i="5"/>
  <c r="C294" i="4"/>
  <c r="V294" i="4" s="1"/>
  <c r="D244" i="5"/>
  <c r="C244" i="4"/>
  <c r="V244" i="4" s="1"/>
  <c r="D164" i="5"/>
  <c r="C164" i="4"/>
  <c r="V164" i="4" s="1"/>
  <c r="D21" i="5"/>
  <c r="C21" i="4"/>
  <c r="V21" i="4" s="1"/>
  <c r="D31" i="5"/>
  <c r="C31" i="4"/>
  <c r="V31" i="4" s="1"/>
  <c r="C86" i="4"/>
  <c r="V86" i="4" s="1"/>
  <c r="D86" i="5"/>
  <c r="C310" i="4"/>
  <c r="V310" i="4" s="1"/>
  <c r="D310" i="5"/>
  <c r="D90" i="5"/>
  <c r="C90" i="4"/>
  <c r="V90" i="4" s="1"/>
  <c r="D158" i="5"/>
  <c r="C158" i="4"/>
  <c r="V158" i="4" s="1"/>
  <c r="D9" i="5"/>
  <c r="C9" i="4"/>
  <c r="V9" i="4" s="1"/>
  <c r="C254" i="4"/>
  <c r="V254" i="4" s="1"/>
  <c r="D254" i="5"/>
  <c r="D303" i="5"/>
  <c r="C303" i="4"/>
  <c r="V303" i="4" s="1"/>
  <c r="D230" i="5"/>
  <c r="C230" i="4"/>
  <c r="V230" i="4" s="1"/>
  <c r="C110" i="4"/>
  <c r="V110" i="4" s="1"/>
  <c r="D110" i="5"/>
  <c r="D171" i="5"/>
  <c r="C171" i="4"/>
  <c r="V171" i="4" s="1"/>
  <c r="D268" i="5"/>
  <c r="C268" i="4"/>
  <c r="V268" i="4" s="1"/>
  <c r="C113" i="4"/>
  <c r="V113" i="4" s="1"/>
  <c r="D113" i="5"/>
  <c r="D202" i="5"/>
  <c r="C202" i="4"/>
  <c r="V202" i="4" s="1"/>
  <c r="D231" i="5"/>
  <c r="C231" i="4"/>
  <c r="V231" i="4" s="1"/>
  <c r="D190" i="5"/>
  <c r="C190" i="4"/>
  <c r="V190" i="4" s="1"/>
  <c r="C67" i="4"/>
  <c r="V67" i="4" s="1"/>
  <c r="D67" i="5"/>
  <c r="D228" i="5"/>
  <c r="C228" i="4"/>
  <c r="V228" i="4" s="1"/>
  <c r="D333" i="5"/>
  <c r="C333" i="4"/>
  <c r="V333" i="4" s="1"/>
  <c r="D27" i="5"/>
  <c r="C27" i="4"/>
  <c r="V27" i="4" s="1"/>
  <c r="C272" i="4"/>
  <c r="V272" i="4" s="1"/>
  <c r="D272" i="5"/>
  <c r="D10" i="5"/>
  <c r="C10" i="4"/>
  <c r="V10" i="4" s="1"/>
  <c r="D290" i="5"/>
  <c r="C290" i="4"/>
  <c r="V290" i="4" s="1"/>
  <c r="C140" i="4"/>
  <c r="V140" i="4" s="1"/>
  <c r="D140" i="5"/>
  <c r="D178" i="5"/>
  <c r="C178" i="4"/>
  <c r="V178" i="4" s="1"/>
  <c r="C288" i="4"/>
  <c r="V288" i="4" s="1"/>
  <c r="D288" i="5"/>
  <c r="D119" i="5"/>
  <c r="C119" i="4"/>
  <c r="V119" i="4" s="1"/>
  <c r="D263" i="5"/>
  <c r="C263" i="4"/>
  <c r="V263" i="4" s="1"/>
  <c r="C300" i="4"/>
  <c r="V300" i="4" s="1"/>
  <c r="D300" i="5"/>
  <c r="C295" i="4"/>
  <c r="V295" i="4" s="1"/>
  <c r="D295" i="5"/>
  <c r="D236" i="5"/>
  <c r="C236" i="4"/>
  <c r="V236" i="4" s="1"/>
  <c r="D92" i="5"/>
  <c r="C92" i="4"/>
  <c r="V92" i="4" s="1"/>
  <c r="D331" i="5"/>
  <c r="C331" i="4"/>
  <c r="V331" i="4" s="1"/>
  <c r="D15" i="5"/>
  <c r="C15" i="4"/>
  <c r="V15" i="4" s="1"/>
  <c r="D62" i="5"/>
  <c r="C62" i="4"/>
  <c r="V62" i="4" s="1"/>
  <c r="C289" i="4"/>
  <c r="V289" i="4" s="1"/>
  <c r="D289" i="5"/>
  <c r="D25" i="5"/>
  <c r="C25" i="4"/>
  <c r="V25" i="4" s="1"/>
  <c r="D321" i="5"/>
  <c r="C321" i="4"/>
  <c r="V321" i="4" s="1"/>
  <c r="C186" i="4"/>
  <c r="V186" i="4" s="1"/>
  <c r="D186" i="5"/>
  <c r="C306" i="4"/>
  <c r="V306" i="4" s="1"/>
  <c r="D306" i="5"/>
  <c r="D301" i="5"/>
  <c r="C301" i="4"/>
  <c r="V301" i="4" s="1"/>
  <c r="D125" i="5"/>
  <c r="C125" i="4"/>
  <c r="V125" i="4" s="1"/>
  <c r="C269" i="4"/>
  <c r="V269" i="4" s="1"/>
  <c r="D269" i="5"/>
  <c r="D282" i="5"/>
  <c r="C282" i="4"/>
  <c r="V282" i="4" s="1"/>
  <c r="D338" i="5"/>
  <c r="C338" i="4"/>
  <c r="V338" i="4" s="1"/>
  <c r="C292" i="4"/>
  <c r="V292" i="4" s="1"/>
  <c r="D292" i="5"/>
  <c r="D133" i="5"/>
  <c r="C133" i="4"/>
  <c r="V133" i="4" s="1"/>
  <c r="D44" i="5"/>
  <c r="C44" i="4"/>
  <c r="V44" i="4" s="1"/>
  <c r="C108" i="4"/>
  <c r="V108" i="4" s="1"/>
  <c r="D108" i="5"/>
  <c r="D80" i="5"/>
  <c r="C80" i="4"/>
  <c r="V80" i="4" s="1"/>
  <c r="D326" i="5"/>
  <c r="C326" i="4"/>
  <c r="V326" i="4" s="1"/>
  <c r="D63" i="5"/>
  <c r="C63" i="4"/>
  <c r="V63" i="4" s="1"/>
  <c r="C336" i="4"/>
  <c r="V336" i="4" s="1"/>
  <c r="D336" i="5"/>
  <c r="C223" i="4"/>
  <c r="V223" i="4" s="1"/>
  <c r="D223" i="5"/>
  <c r="D313" i="5"/>
  <c r="C313" i="4"/>
  <c r="V313" i="4" s="1"/>
  <c r="C314" i="4"/>
  <c r="V314" i="4" s="1"/>
  <c r="D314" i="5"/>
  <c r="C131" i="4"/>
  <c r="V131" i="4" s="1"/>
  <c r="D131" i="5"/>
  <c r="D275" i="5"/>
  <c r="C275" i="4"/>
  <c r="V275" i="4" s="1"/>
  <c r="D7" i="9"/>
  <c r="AE7" i="9"/>
  <c r="AA7" i="9"/>
  <c r="C297" i="6"/>
  <c r="C69" i="4"/>
  <c r="V69" i="4" s="1"/>
  <c r="D69" i="5"/>
  <c r="D212" i="5"/>
  <c r="C212" i="4"/>
  <c r="V212" i="4" s="1"/>
  <c r="D6" i="5"/>
  <c r="C6" i="4"/>
  <c r="D348" i="5"/>
  <c r="C348" i="4"/>
  <c r="V348" i="4" s="1"/>
  <c r="C68" i="4"/>
  <c r="V68" i="4" s="1"/>
  <c r="D68" i="5"/>
  <c r="C201" i="4"/>
  <c r="V201" i="4" s="1"/>
  <c r="D201" i="5"/>
  <c r="D97" i="5"/>
  <c r="C97" i="4"/>
  <c r="V97" i="4" s="1"/>
  <c r="D20" i="5"/>
  <c r="C20" i="4"/>
  <c r="V20" i="4" s="1"/>
  <c r="D79" i="5"/>
  <c r="C79" i="4"/>
  <c r="V79" i="4" s="1"/>
  <c r="D32" i="5"/>
  <c r="C32" i="4"/>
  <c r="V32" i="4" s="1"/>
  <c r="C238" i="4"/>
  <c r="V238" i="4" s="1"/>
  <c r="D238" i="5"/>
  <c r="D320" i="5"/>
  <c r="C320" i="4"/>
  <c r="V320" i="4" s="1"/>
  <c r="D327" i="5"/>
  <c r="C327" i="4"/>
  <c r="V327" i="4" s="1"/>
  <c r="D137" i="5"/>
  <c r="C137" i="4"/>
  <c r="V137" i="4" s="1"/>
  <c r="D281" i="5"/>
  <c r="C281" i="4"/>
  <c r="V281" i="4" s="1"/>
  <c r="C325" i="4"/>
  <c r="V325" i="4" s="1"/>
  <c r="D325" i="5"/>
  <c r="D224" i="5"/>
  <c r="C224" i="4"/>
  <c r="V224" i="4" s="1"/>
  <c r="C8" i="4"/>
  <c r="V8" i="4" s="1"/>
  <c r="D8" i="5"/>
  <c r="C217" i="4"/>
  <c r="V217" i="4" s="1"/>
  <c r="D217" i="5"/>
  <c r="C267" i="4"/>
  <c r="V267" i="4" s="1"/>
  <c r="D267" i="5"/>
  <c r="D128" i="5"/>
  <c r="C128" i="4"/>
  <c r="V128" i="4" s="1"/>
  <c r="C323" i="4"/>
  <c r="V323" i="4" s="1"/>
  <c r="D323" i="5"/>
  <c r="C361" i="4"/>
  <c r="V361" i="4" s="1"/>
  <c r="D361" i="5"/>
  <c r="D329" i="5"/>
  <c r="C329" i="4"/>
  <c r="V329" i="4" s="1"/>
  <c r="C126" i="4"/>
  <c r="V126" i="4" s="1"/>
  <c r="D126" i="5"/>
  <c r="C38" i="4"/>
  <c r="V38" i="4" s="1"/>
  <c r="D38" i="5"/>
  <c r="D103" i="5"/>
  <c r="C103" i="4"/>
  <c r="V103" i="4" s="1"/>
  <c r="D354" i="5"/>
  <c r="C354" i="4"/>
  <c r="V354" i="4" s="1"/>
  <c r="C280" i="4"/>
  <c r="V280" i="4" s="1"/>
  <c r="D280" i="5"/>
  <c r="D312" i="5"/>
  <c r="C312" i="4"/>
  <c r="V312" i="4" s="1"/>
  <c r="C213" i="4"/>
  <c r="V213" i="4" s="1"/>
  <c r="D213" i="5"/>
  <c r="D335" i="5"/>
  <c r="C335" i="4"/>
  <c r="V335" i="4" s="1"/>
  <c r="D12" i="5"/>
  <c r="C12" i="4"/>
  <c r="V12" i="4" s="1"/>
  <c r="D156" i="5"/>
  <c r="C156" i="4"/>
  <c r="V156" i="4" s="1"/>
  <c r="D19" i="5"/>
  <c r="C19" i="4"/>
  <c r="V19" i="4" s="1"/>
  <c r="D343" i="5"/>
  <c r="C343" i="4"/>
  <c r="V343" i="4" s="1"/>
  <c r="C124" i="4"/>
  <c r="V124" i="4" s="1"/>
  <c r="D124" i="5"/>
  <c r="C341" i="4"/>
  <c r="V341" i="4" s="1"/>
  <c r="D341" i="5"/>
  <c r="C60" i="4"/>
  <c r="V60" i="4" s="1"/>
  <c r="D60" i="5"/>
  <c r="C144" i="4"/>
  <c r="V144" i="4" s="1"/>
  <c r="D144" i="5"/>
  <c r="D209" i="5"/>
  <c r="C209" i="4"/>
  <c r="V209" i="4" s="1"/>
  <c r="C330" i="4"/>
  <c r="V330" i="4" s="1"/>
  <c r="D330" i="5"/>
  <c r="D318" i="5"/>
  <c r="C318" i="4"/>
  <c r="V318" i="4" s="1"/>
  <c r="D182" i="5"/>
  <c r="C182" i="4"/>
  <c r="V182" i="4" s="1"/>
  <c r="D14" i="5"/>
  <c r="C14" i="4"/>
  <c r="V14" i="4" s="1"/>
  <c r="D315" i="5"/>
  <c r="C315" i="4"/>
  <c r="V315" i="4" s="1"/>
  <c r="D207" i="5"/>
  <c r="C207" i="4"/>
  <c r="V207" i="4" s="1"/>
  <c r="C142" i="4"/>
  <c r="V142" i="4" s="1"/>
  <c r="D142" i="5"/>
  <c r="C242" i="4"/>
  <c r="V242" i="4" s="1"/>
  <c r="D242" i="5"/>
  <c r="C245" i="4"/>
  <c r="V245" i="4" s="1"/>
  <c r="D245" i="5"/>
  <c r="C82" i="4"/>
  <c r="V82" i="4" s="1"/>
  <c r="D82" i="5"/>
  <c r="C247" i="4"/>
  <c r="V247" i="4" s="1"/>
  <c r="D247" i="5"/>
  <c r="D362" i="5"/>
  <c r="C362" i="4"/>
  <c r="V362" i="4" s="1"/>
  <c r="D363" i="5"/>
  <c r="C363" i="4"/>
  <c r="V363" i="4" s="1"/>
  <c r="C118" i="4"/>
  <c r="V118" i="4" s="1"/>
  <c r="D118" i="5"/>
  <c r="C352" i="4"/>
  <c r="V352" i="4" s="1"/>
  <c r="D352" i="5"/>
  <c r="C198" i="4"/>
  <c r="V198" i="4" s="1"/>
  <c r="D198" i="5"/>
  <c r="D222" i="5"/>
  <c r="C222" i="4"/>
  <c r="V222" i="4" s="1"/>
  <c r="D49" i="5"/>
  <c r="C49" i="4"/>
  <c r="V49" i="4" s="1"/>
  <c r="C255" i="4"/>
  <c r="V255" i="4" s="1"/>
  <c r="D255" i="5"/>
  <c r="C251" i="4"/>
  <c r="V251" i="4" s="1"/>
  <c r="D251" i="5"/>
  <c r="D257" i="5"/>
  <c r="C257" i="4"/>
  <c r="V257" i="4" s="1"/>
  <c r="C265" i="4"/>
  <c r="V265" i="4" s="1"/>
  <c r="D265" i="5"/>
  <c r="C138" i="4"/>
  <c r="V138" i="4" s="1"/>
  <c r="D138" i="5"/>
  <c r="D150" i="5"/>
  <c r="C150" i="4"/>
  <c r="V150" i="4" s="1"/>
  <c r="D210" i="5"/>
  <c r="C210" i="4"/>
  <c r="V210" i="4" s="1"/>
  <c r="C148" i="4"/>
  <c r="V148" i="4" s="1"/>
  <c r="D148" i="5"/>
  <c r="D106" i="5"/>
  <c r="C106" i="4"/>
  <c r="V106" i="4" s="1"/>
  <c r="D28" i="5"/>
  <c r="C28" i="4"/>
  <c r="V28" i="4" s="1"/>
  <c r="D94" i="5"/>
  <c r="C94" i="4"/>
  <c r="V94" i="4" s="1"/>
  <c r="D40" i="5"/>
  <c r="C40" i="4"/>
  <c r="V40" i="4" s="1"/>
  <c r="D253" i="5"/>
  <c r="C253" i="4"/>
  <c r="V253" i="4" s="1"/>
  <c r="C342" i="4"/>
  <c r="V342" i="4" s="1"/>
  <c r="D342" i="5"/>
  <c r="C340" i="4"/>
  <c r="V340" i="4" s="1"/>
  <c r="D340" i="5"/>
  <c r="C143" i="4"/>
  <c r="V143" i="4" s="1"/>
  <c r="D143" i="5"/>
  <c r="C287" i="4"/>
  <c r="V287" i="4" s="1"/>
  <c r="D287" i="5"/>
  <c r="C270" i="4"/>
  <c r="V270" i="4" s="1"/>
  <c r="D270" i="5"/>
  <c r="D205" i="5"/>
  <c r="C205" i="4"/>
  <c r="V205" i="4" s="1"/>
  <c r="D337" i="5"/>
  <c r="C337" i="4"/>
  <c r="V337" i="4" s="1"/>
  <c r="D334" i="5"/>
  <c r="C334" i="4"/>
  <c r="V334" i="4" s="1"/>
  <c r="D172" i="5"/>
  <c r="C172" i="4"/>
  <c r="V172" i="4" s="1"/>
  <c r="C243" i="4"/>
  <c r="V243" i="4" s="1"/>
  <c r="D243" i="5"/>
  <c r="D115" i="5"/>
  <c r="C115" i="4"/>
  <c r="V115" i="4" s="1"/>
  <c r="C37" i="4"/>
  <c r="V37" i="4" s="1"/>
  <c r="D37" i="5"/>
  <c r="D102" i="5"/>
  <c r="C102" i="4"/>
  <c r="V102" i="4" s="1"/>
  <c r="C48" i="4"/>
  <c r="V48" i="4" s="1"/>
  <c r="D48" i="5"/>
  <c r="C276" i="4"/>
  <c r="V276" i="4" s="1"/>
  <c r="D276" i="5"/>
  <c r="C13" i="4"/>
  <c r="V13" i="4" s="1"/>
  <c r="D13" i="5"/>
  <c r="C360" i="4"/>
  <c r="V360" i="4" s="1"/>
  <c r="D360" i="5"/>
  <c r="D149" i="5"/>
  <c r="C149" i="4"/>
  <c r="V149" i="4" s="1"/>
  <c r="C293" i="4"/>
  <c r="V293" i="4" s="1"/>
  <c r="D293" i="5"/>
  <c r="P6" i="8"/>
  <c r="C175" i="4"/>
  <c r="V175" i="4" s="1"/>
  <c r="D175" i="5"/>
  <c r="C286" i="4"/>
  <c r="V286" i="4" s="1"/>
  <c r="D286" i="5"/>
  <c r="C208" i="4"/>
  <c r="V208" i="4" s="1"/>
  <c r="D208" i="5"/>
  <c r="C42" i="4"/>
  <c r="V42" i="4" s="1"/>
  <c r="D42" i="5"/>
  <c r="C195" i="4"/>
  <c r="V195" i="4" s="1"/>
  <c r="D195" i="5"/>
  <c r="D273" i="5"/>
  <c r="C273" i="4"/>
  <c r="V273" i="4" s="1"/>
  <c r="C123" i="4"/>
  <c r="V123" i="4" s="1"/>
  <c r="D123" i="5"/>
  <c r="C73" i="4"/>
  <c r="V73" i="4" s="1"/>
  <c r="D73" i="5"/>
  <c r="D154" i="5"/>
  <c r="C154" i="4"/>
  <c r="V154" i="4" s="1"/>
  <c r="D109" i="5"/>
  <c r="C109" i="4"/>
  <c r="V109" i="4" s="1"/>
  <c r="C344" i="4"/>
  <c r="V344" i="4" s="1"/>
  <c r="D344" i="5"/>
  <c r="C26" i="4"/>
  <c r="V26" i="4" s="1"/>
  <c r="D26" i="5"/>
  <c r="D11" i="5"/>
  <c r="C11" i="4"/>
  <c r="V11" i="4" s="1"/>
  <c r="D155" i="5"/>
  <c r="C155" i="4"/>
  <c r="V155" i="4" s="1"/>
  <c r="C299" i="4"/>
  <c r="V299" i="4" s="1"/>
  <c r="D299" i="5"/>
  <c r="O6" i="9"/>
  <c r="O6" i="8"/>
  <c r="C339" i="4"/>
  <c r="V339" i="4" s="1"/>
  <c r="D339" i="5"/>
  <c r="C70" i="4"/>
  <c r="V70" i="4" s="1"/>
  <c r="D70" i="5"/>
  <c r="D324" i="5"/>
  <c r="C324" i="4"/>
  <c r="V324" i="4" s="1"/>
  <c r="D55" i="5"/>
  <c r="C55" i="4"/>
  <c r="V55" i="4" s="1"/>
  <c r="D241" i="5"/>
  <c r="C241" i="4"/>
  <c r="V241" i="4" s="1"/>
  <c r="C159" i="4"/>
  <c r="V159" i="4" s="1"/>
  <c r="D159" i="5"/>
  <c r="D151" i="5"/>
  <c r="C151" i="4"/>
  <c r="V151" i="4" s="1"/>
  <c r="C81" i="4"/>
  <c r="V81" i="4" s="1"/>
  <c r="D81" i="5"/>
  <c r="D169" i="5"/>
  <c r="C169" i="4"/>
  <c r="V169" i="4" s="1"/>
  <c r="D139" i="5"/>
  <c r="C139" i="4"/>
  <c r="V139" i="4" s="1"/>
  <c r="D78" i="5"/>
  <c r="C78" i="4"/>
  <c r="V78" i="4" s="1"/>
  <c r="D39" i="5"/>
  <c r="C39" i="4"/>
  <c r="V39" i="4" s="1"/>
  <c r="D17" i="5"/>
  <c r="C17" i="4"/>
  <c r="V17" i="4" s="1"/>
  <c r="D161" i="5"/>
  <c r="C161" i="4"/>
  <c r="V161" i="4" s="1"/>
  <c r="D305" i="5"/>
  <c r="C305" i="4"/>
  <c r="V305" i="4" s="1"/>
  <c r="P6" i="9"/>
  <c r="D316" i="5"/>
  <c r="C316" i="4"/>
  <c r="V316" i="4" s="1"/>
  <c r="D47" i="5"/>
  <c r="C47" i="4"/>
  <c r="V47" i="4" s="1"/>
  <c r="C59" i="4"/>
  <c r="V59" i="4" s="1"/>
  <c r="D59" i="5"/>
  <c r="D189" i="5"/>
  <c r="C189" i="4"/>
  <c r="V189" i="4" s="1"/>
  <c r="D107" i="5"/>
  <c r="C107" i="4"/>
  <c r="V107" i="4" s="1"/>
  <c r="J8" i="9"/>
  <c r="K8" i="9" s="1"/>
  <c r="B8" i="9"/>
  <c r="C8" i="9" s="1"/>
  <c r="A9" i="9"/>
  <c r="C211" i="4"/>
  <c r="V211" i="4" s="1"/>
  <c r="D211" i="5"/>
  <c r="AF7" i="9"/>
  <c r="AB7" i="9"/>
  <c r="I7" i="2"/>
  <c r="D356" i="5"/>
  <c r="C356" i="4"/>
  <c r="V356" i="4" s="1"/>
  <c r="C93" i="4"/>
  <c r="V93" i="4" s="1"/>
  <c r="D93" i="5"/>
  <c r="D91" i="5"/>
  <c r="C91" i="4"/>
  <c r="V91" i="4" s="1"/>
  <c r="D146" i="5"/>
  <c r="C146" i="4"/>
  <c r="V146" i="4" s="1"/>
  <c r="D285" i="5"/>
  <c r="C285" i="4"/>
  <c r="V285" i="4" s="1"/>
  <c r="C264" i="4"/>
  <c r="V264" i="4" s="1"/>
  <c r="D264" i="5"/>
  <c r="D168" i="5"/>
  <c r="C168" i="4"/>
  <c r="V168" i="4" s="1"/>
  <c r="D116" i="5"/>
  <c r="C116" i="4"/>
  <c r="V116" i="4" s="1"/>
  <c r="D177" i="5"/>
  <c r="C177" i="4"/>
  <c r="V177" i="4" s="1"/>
  <c r="C192" i="4"/>
  <c r="V192" i="4" s="1"/>
  <c r="D192" i="5"/>
  <c r="D114" i="5"/>
  <c r="C114" i="4"/>
  <c r="V114" i="4" s="1"/>
  <c r="C52" i="4"/>
  <c r="V52" i="4" s="1"/>
  <c r="D52" i="5"/>
  <c r="C23" i="4"/>
  <c r="V23" i="4" s="1"/>
  <c r="D23" i="5"/>
  <c r="C167" i="4"/>
  <c r="V167" i="4" s="1"/>
  <c r="D167" i="5"/>
  <c r="C311" i="4"/>
  <c r="V311" i="4" s="1"/>
  <c r="D311" i="5"/>
  <c r="C174" i="4"/>
  <c r="V174" i="4" s="1"/>
  <c r="D174" i="5"/>
  <c r="C127" i="4"/>
  <c r="V127" i="4" s="1"/>
  <c r="D127" i="5"/>
  <c r="D136" i="5"/>
  <c r="C136" i="4"/>
  <c r="V136" i="4" s="1"/>
  <c r="D199" i="5"/>
  <c r="C199" i="4"/>
  <c r="V199" i="4" s="1"/>
  <c r="D296" i="5"/>
  <c r="C296" i="4"/>
  <c r="V296" i="4" s="1"/>
  <c r="D284" i="5"/>
  <c r="C284" i="4"/>
  <c r="V284" i="4" s="1"/>
  <c r="C279" i="4"/>
  <c r="V279" i="4" s="1"/>
  <c r="D279" i="5"/>
  <c r="C152" i="4"/>
  <c r="V152" i="4" s="1"/>
  <c r="D152" i="5"/>
  <c r="C214" i="4"/>
  <c r="V214" i="4" s="1"/>
  <c r="D214" i="5"/>
  <c r="D237" i="5"/>
  <c r="C237" i="4"/>
  <c r="V237" i="4" s="1"/>
  <c r="C121" i="4"/>
  <c r="V121" i="4" s="1"/>
  <c r="D121" i="5"/>
  <c r="D72" i="5"/>
  <c r="C72" i="4"/>
  <c r="V72" i="4" s="1"/>
  <c r="C29" i="4"/>
  <c r="V29" i="4" s="1"/>
  <c r="D29" i="5"/>
  <c r="C173" i="4"/>
  <c r="V173" i="4" s="1"/>
  <c r="D173" i="5"/>
  <c r="C317" i="4"/>
  <c r="V317" i="4" s="1"/>
  <c r="D317" i="5"/>
  <c r="C322" i="6" l="1"/>
  <c r="C27" i="6"/>
  <c r="C16" i="6"/>
  <c r="C20" i="6"/>
  <c r="C102" i="6"/>
  <c r="C92" i="6"/>
  <c r="D92" i="6" s="1"/>
  <c r="E92" i="6" s="1"/>
  <c r="G92" i="6" s="1"/>
  <c r="C30" i="6"/>
  <c r="C51" i="6"/>
  <c r="D51" i="6" s="1"/>
  <c r="E51" i="6" s="1"/>
  <c r="C346" i="6"/>
  <c r="C266" i="6"/>
  <c r="C81" i="6"/>
  <c r="C66" i="6"/>
  <c r="D66" i="6" s="1"/>
  <c r="C137" i="6"/>
  <c r="D137" i="6" s="1"/>
  <c r="C90" i="6"/>
  <c r="D90" i="6" s="1"/>
  <c r="E90" i="6" s="1"/>
  <c r="C46" i="6"/>
  <c r="C74" i="6"/>
  <c r="D74" i="6" s="1"/>
  <c r="E74" i="6" s="1"/>
  <c r="C28" i="6"/>
  <c r="C65" i="6"/>
  <c r="D65" i="6" s="1"/>
  <c r="C15" i="6"/>
  <c r="D15" i="6" s="1"/>
  <c r="E15" i="6" s="1"/>
  <c r="G15" i="6" s="1"/>
  <c r="C84" i="6"/>
  <c r="D84" i="6" s="1"/>
  <c r="C43" i="6"/>
  <c r="D43" i="6" s="1"/>
  <c r="E43" i="6" s="1"/>
  <c r="C135" i="6"/>
  <c r="D135" i="6" s="1"/>
  <c r="E135" i="6" s="1"/>
  <c r="C188" i="6"/>
  <c r="E188" i="6" s="1"/>
  <c r="F188" i="6" s="1"/>
  <c r="C23" i="6"/>
  <c r="D23" i="6" s="1"/>
  <c r="E23" i="6" s="1"/>
  <c r="G23" i="6" s="1"/>
  <c r="C106" i="6"/>
  <c r="C158" i="6"/>
  <c r="C128" i="6"/>
  <c r="C18" i="6"/>
  <c r="C352" i="6"/>
  <c r="D352" i="6" s="1"/>
  <c r="E352" i="6" s="1"/>
  <c r="C206" i="6"/>
  <c r="C50" i="6"/>
  <c r="C64" i="6"/>
  <c r="C279" i="6"/>
  <c r="D279" i="6" s="1"/>
  <c r="E279" i="6" s="1"/>
  <c r="C29" i="6"/>
  <c r="C173" i="6"/>
  <c r="C326" i="6"/>
  <c r="D326" i="6" s="1"/>
  <c r="E326" i="6" s="1"/>
  <c r="G326" i="6" s="1"/>
  <c r="C228" i="6"/>
  <c r="D228" i="6" s="1"/>
  <c r="C57" i="6"/>
  <c r="C174" i="6"/>
  <c r="D174" i="6" s="1"/>
  <c r="C32" i="6"/>
  <c r="D32" i="6" s="1"/>
  <c r="C89" i="6"/>
  <c r="D89" i="6" s="1"/>
  <c r="E89" i="6" s="1"/>
  <c r="C139" i="6"/>
  <c r="D139" i="6" s="1"/>
  <c r="C350" i="6"/>
  <c r="C59" i="6"/>
  <c r="C6" i="6"/>
  <c r="D6" i="6" s="1"/>
  <c r="E6" i="6" s="1"/>
  <c r="C125" i="6"/>
  <c r="D125" i="6" s="1"/>
  <c r="C49" i="6"/>
  <c r="D49" i="6" s="1"/>
  <c r="E49" i="6" s="1"/>
  <c r="C172" i="6"/>
  <c r="D172" i="6" s="1"/>
  <c r="E172" i="6" s="1"/>
  <c r="C351" i="6"/>
  <c r="C122" i="6"/>
  <c r="C363" i="6"/>
  <c r="C87" i="6"/>
  <c r="C253" i="6"/>
  <c r="C270" i="6"/>
  <c r="D270" i="6" s="1"/>
  <c r="E270" i="6" s="1"/>
  <c r="G270" i="6" s="1"/>
  <c r="C349" i="6"/>
  <c r="E349" i="6" s="1"/>
  <c r="C91" i="6"/>
  <c r="D91" i="6" s="1"/>
  <c r="E106" i="6"/>
  <c r="G106" i="6" s="1"/>
  <c r="C147" i="6"/>
  <c r="C45" i="6"/>
  <c r="C321" i="6"/>
  <c r="C52" i="6"/>
  <c r="D27" i="6"/>
  <c r="E27" i="6" s="1"/>
  <c r="D16" i="6"/>
  <c r="E16" i="6" s="1"/>
  <c r="D363" i="6"/>
  <c r="D188" i="6"/>
  <c r="D122" i="6"/>
  <c r="E122" i="6" s="1"/>
  <c r="F122" i="6"/>
  <c r="D297" i="6"/>
  <c r="E297" i="6" s="1"/>
  <c r="C96" i="6"/>
  <c r="D351" i="6"/>
  <c r="E351" i="6" s="1"/>
  <c r="C209" i="6"/>
  <c r="D206" i="6"/>
  <c r="D28" i="6"/>
  <c r="D18" i="6"/>
  <c r="E18" i="6" s="1"/>
  <c r="C355" i="6"/>
  <c r="C343" i="6"/>
  <c r="D29" i="6"/>
  <c r="E29" i="6" s="1"/>
  <c r="C198" i="6"/>
  <c r="P8" i="7"/>
  <c r="O8" i="7"/>
  <c r="H8" i="7"/>
  <c r="G8" i="7"/>
  <c r="F8" i="7"/>
  <c r="E8" i="7"/>
  <c r="I8" i="7" s="1"/>
  <c r="L8" i="7" s="1"/>
  <c r="M8" i="7" s="1"/>
  <c r="N8" i="7" s="1"/>
  <c r="C238" i="6"/>
  <c r="D364" i="6"/>
  <c r="E364" i="6" s="1"/>
  <c r="G364" i="6"/>
  <c r="Q6" i="9" s="1"/>
  <c r="F364" i="6"/>
  <c r="E28" i="6"/>
  <c r="C262" i="6"/>
  <c r="D128" i="6"/>
  <c r="E128" i="6" s="1"/>
  <c r="D350" i="6"/>
  <c r="C144" i="6"/>
  <c r="C234" i="6"/>
  <c r="C269" i="6"/>
  <c r="B10" i="8"/>
  <c r="C10" i="8" s="1"/>
  <c r="J10" i="8"/>
  <c r="K10" i="8" s="1"/>
  <c r="A11" i="8"/>
  <c r="C220" i="6"/>
  <c r="C197" i="6"/>
  <c r="C344" i="6"/>
  <c r="AB9" i="8"/>
  <c r="F9" i="2"/>
  <c r="C295" i="6"/>
  <c r="C265" i="6"/>
  <c r="C132" i="6"/>
  <c r="C225" i="6"/>
  <c r="C258" i="6"/>
  <c r="C246" i="6"/>
  <c r="C277" i="6"/>
  <c r="D46" i="6"/>
  <c r="E46" i="6" s="1"/>
  <c r="C280" i="6"/>
  <c r="C330" i="6"/>
  <c r="C361" i="6"/>
  <c r="C260" i="6"/>
  <c r="C222" i="6"/>
  <c r="C126" i="6"/>
  <c r="C202" i="6"/>
  <c r="C310" i="6"/>
  <c r="C112" i="6"/>
  <c r="C177" i="6"/>
  <c r="C211" i="6"/>
  <c r="C156" i="6"/>
  <c r="C166" i="6"/>
  <c r="C332" i="6"/>
  <c r="C261" i="6"/>
  <c r="C161" i="6"/>
  <c r="V6" i="4"/>
  <c r="E6" i="8"/>
  <c r="H6" i="9"/>
  <c r="G6" i="9"/>
  <c r="F6" i="8"/>
  <c r="F6" i="9"/>
  <c r="E6" i="9"/>
  <c r="H6" i="8"/>
  <c r="G6" i="8"/>
  <c r="C98" i="6"/>
  <c r="C117" i="6"/>
  <c r="C244" i="6"/>
  <c r="C354" i="6"/>
  <c r="C236" i="6"/>
  <c r="H7" i="7"/>
  <c r="C115" i="6"/>
  <c r="C36" i="6"/>
  <c r="C178" i="6"/>
  <c r="C95" i="6"/>
  <c r="C287" i="6"/>
  <c r="J10" i="7"/>
  <c r="K10" i="7" s="1"/>
  <c r="A11" i="7"/>
  <c r="A10" i="2"/>
  <c r="B10" i="7"/>
  <c r="C10" i="7" s="1"/>
  <c r="C293" i="6"/>
  <c r="C296" i="6"/>
  <c r="C271" i="6"/>
  <c r="C58" i="6"/>
  <c r="C105" i="6"/>
  <c r="C103" i="6"/>
  <c r="C100" i="6"/>
  <c r="F7" i="7"/>
  <c r="AB8" i="9"/>
  <c r="I8" i="2"/>
  <c r="AF8" i="9"/>
  <c r="C152" i="6"/>
  <c r="C251" i="6"/>
  <c r="C285" i="6"/>
  <c r="C181" i="6"/>
  <c r="C339" i="6"/>
  <c r="C313" i="6"/>
  <c r="C119" i="6"/>
  <c r="C164" i="6"/>
  <c r="C78" i="6"/>
  <c r="C71" i="6"/>
  <c r="C235" i="6"/>
  <c r="C229" i="6"/>
  <c r="C31" i="6"/>
  <c r="C226" i="6"/>
  <c r="C208" i="6"/>
  <c r="C325" i="6"/>
  <c r="C19" i="6"/>
  <c r="C338" i="6"/>
  <c r="C86" i="6"/>
  <c r="C250" i="6"/>
  <c r="C180" i="6"/>
  <c r="C305" i="6"/>
  <c r="C203" i="6"/>
  <c r="C272" i="6"/>
  <c r="C199" i="6"/>
  <c r="F7" i="8"/>
  <c r="C56" i="6"/>
  <c r="C286" i="6"/>
  <c r="C248" i="6"/>
  <c r="C80" i="6"/>
  <c r="C242" i="6"/>
  <c r="C184" i="6"/>
  <c r="C150" i="6"/>
  <c r="C141" i="6"/>
  <c r="C357" i="6"/>
  <c r="C334" i="6"/>
  <c r="C168" i="6"/>
  <c r="C162" i="6"/>
  <c r="C276" i="6"/>
  <c r="C14" i="6"/>
  <c r="C187" i="6"/>
  <c r="C300" i="6"/>
  <c r="C263" i="6"/>
  <c r="C182" i="6"/>
  <c r="C123" i="6"/>
  <c r="C249" i="6"/>
  <c r="C88" i="6"/>
  <c r="C8" i="6"/>
  <c r="C85" i="6"/>
  <c r="C70" i="6"/>
  <c r="C17" i="6"/>
  <c r="C218" i="6"/>
  <c r="D106" i="6"/>
  <c r="D346" i="6"/>
  <c r="E346" i="6" s="1"/>
  <c r="D266" i="6"/>
  <c r="D81" i="6"/>
  <c r="E81" i="6" s="1"/>
  <c r="C109" i="6"/>
  <c r="D158" i="6"/>
  <c r="E158" i="6" s="1"/>
  <c r="F158" i="6"/>
  <c r="G158" i="6"/>
  <c r="C303" i="6"/>
  <c r="D20" i="6"/>
  <c r="C341" i="6"/>
  <c r="D57" i="6"/>
  <c r="E57" i="6" s="1"/>
  <c r="F57" i="6" s="1"/>
  <c r="C68" i="6"/>
  <c r="C365" i="6"/>
  <c r="AA9" i="8"/>
  <c r="D9" i="8"/>
  <c r="C25" i="6"/>
  <c r="C264" i="6"/>
  <c r="D30" i="6"/>
  <c r="C219" i="6"/>
  <c r="D50" i="6"/>
  <c r="D102" i="6"/>
  <c r="E102" i="6" s="1"/>
  <c r="C133" i="6"/>
  <c r="D173" i="6"/>
  <c r="E173" i="6" s="1"/>
  <c r="D64" i="6"/>
  <c r="E64" i="6" s="1"/>
  <c r="C94" i="6"/>
  <c r="D87" i="6"/>
  <c r="C35" i="6"/>
  <c r="C201" i="6"/>
  <c r="C231" i="6"/>
  <c r="C335" i="6"/>
  <c r="C327" i="6"/>
  <c r="C114" i="6"/>
  <c r="C175" i="6"/>
  <c r="C76" i="6"/>
  <c r="C328" i="6"/>
  <c r="C259" i="6"/>
  <c r="C319" i="6"/>
  <c r="D349" i="6"/>
  <c r="C340" i="6"/>
  <c r="C318" i="6"/>
  <c r="C9" i="6"/>
  <c r="C278" i="6"/>
  <c r="C40" i="6"/>
  <c r="C224" i="6"/>
  <c r="C345" i="6"/>
  <c r="C290" i="6"/>
  <c r="C67" i="6"/>
  <c r="C273" i="6"/>
  <c r="D322" i="6"/>
  <c r="E322" i="6" s="1"/>
  <c r="F322" i="6" s="1"/>
  <c r="C47" i="6"/>
  <c r="C134" i="6"/>
  <c r="C39" i="6"/>
  <c r="C93" i="6"/>
  <c r="C136" i="6"/>
  <c r="C324" i="6"/>
  <c r="C207" i="6"/>
  <c r="C268" i="6"/>
  <c r="C323" i="6"/>
  <c r="C146" i="6"/>
  <c r="C61" i="6"/>
  <c r="C241" i="6"/>
  <c r="C176" i="6"/>
  <c r="C170" i="6"/>
  <c r="C72" i="6"/>
  <c r="C230" i="6"/>
  <c r="C124" i="6"/>
  <c r="C108" i="6"/>
  <c r="C314" i="6"/>
  <c r="C309" i="6"/>
  <c r="H8" i="8"/>
  <c r="O8" i="8"/>
  <c r="G8" i="8"/>
  <c r="F8" i="8"/>
  <c r="E8" i="8"/>
  <c r="I8" i="8" s="1"/>
  <c r="L8" i="8" s="1"/>
  <c r="M8" i="8" s="1"/>
  <c r="N8" i="8" s="1"/>
  <c r="P8" i="8"/>
  <c r="C221" i="6"/>
  <c r="C195" i="6"/>
  <c r="G7" i="7"/>
  <c r="C153" i="6"/>
  <c r="C299" i="6"/>
  <c r="C298" i="6"/>
  <c r="C240" i="6"/>
  <c r="C320" i="6"/>
  <c r="C255" i="6"/>
  <c r="C159" i="6"/>
  <c r="C247" i="6"/>
  <c r="C329" i="6"/>
  <c r="A10" i="9"/>
  <c r="J9" i="9"/>
  <c r="K9" i="9" s="1"/>
  <c r="B9" i="9"/>
  <c r="C9" i="9" s="1"/>
  <c r="C239" i="6"/>
  <c r="C22" i="6"/>
  <c r="C205" i="6"/>
  <c r="C154" i="6"/>
  <c r="C111" i="6"/>
  <c r="C243" i="6"/>
  <c r="C21" i="6"/>
  <c r="C167" i="6"/>
  <c r="C294" i="6"/>
  <c r="C69" i="6"/>
  <c r="C99" i="6"/>
  <c r="C63" i="6"/>
  <c r="E7" i="7"/>
  <c r="C34" i="6"/>
  <c r="C7" i="6"/>
  <c r="AA8" i="9"/>
  <c r="AE8" i="9"/>
  <c r="D8" i="9"/>
  <c r="D9" i="7"/>
  <c r="AA9" i="7"/>
  <c r="B9" i="2"/>
  <c r="E6" i="7"/>
  <c r="C140" i="6"/>
  <c r="C157" i="6"/>
  <c r="C121" i="6"/>
  <c r="C120" i="6"/>
  <c r="C10" i="6"/>
  <c r="AB9" i="7"/>
  <c r="C9" i="2"/>
  <c r="F6" i="7"/>
  <c r="C185" i="6"/>
  <c r="C194" i="6"/>
  <c r="C127" i="6"/>
  <c r="C48" i="6"/>
  <c r="C75" i="6"/>
  <c r="C116" i="6"/>
  <c r="C131" i="6"/>
  <c r="C275" i="6"/>
  <c r="C312" i="6"/>
  <c r="C362" i="6"/>
  <c r="C191" i="6"/>
  <c r="C308" i="6"/>
  <c r="C356" i="6"/>
  <c r="C37" i="6"/>
  <c r="C82" i="6"/>
  <c r="C97" i="6"/>
  <c r="C26" i="6"/>
  <c r="C169" i="6"/>
  <c r="C342" i="6"/>
  <c r="C348" i="6"/>
  <c r="G6" i="7"/>
  <c r="C196" i="6"/>
  <c r="C254" i="6"/>
  <c r="C54" i="6"/>
  <c r="C331" i="6"/>
  <c r="C283" i="6"/>
  <c r="C41" i="6"/>
  <c r="C77" i="6"/>
  <c r="C53" i="6"/>
  <c r="C245" i="6"/>
  <c r="C79" i="6"/>
  <c r="H6" i="7"/>
  <c r="C360" i="6"/>
  <c r="C189" i="6"/>
  <c r="C186" i="6"/>
  <c r="C171" i="6"/>
  <c r="C38" i="6"/>
  <c r="C306" i="6"/>
  <c r="C151" i="6"/>
  <c r="C193" i="6"/>
  <c r="C142" i="6"/>
  <c r="C274" i="6"/>
  <c r="C129" i="6"/>
  <c r="C118" i="6"/>
  <c r="C143" i="6"/>
  <c r="C190" i="6"/>
  <c r="C227" i="6"/>
  <c r="C337" i="6"/>
  <c r="C216" i="6"/>
  <c r="C358" i="6"/>
  <c r="E7" i="8"/>
  <c r="C33" i="6"/>
  <c r="C101" i="6"/>
  <c r="C155" i="6"/>
  <c r="C42" i="6"/>
  <c r="C292" i="6"/>
  <c r="C302" i="6"/>
  <c r="C267" i="6"/>
  <c r="C11" i="6"/>
  <c r="C83" i="6"/>
  <c r="C282" i="6"/>
  <c r="C192" i="6"/>
  <c r="C104" i="6"/>
  <c r="C110" i="6"/>
  <c r="C212" i="6"/>
  <c r="C215" i="6"/>
  <c r="C113" i="6"/>
  <c r="H7" i="8"/>
  <c r="C311" i="6"/>
  <c r="C304" i="6"/>
  <c r="C149" i="6"/>
  <c r="C257" i="6"/>
  <c r="C145" i="6"/>
  <c r="C217" i="6"/>
  <c r="C333" i="6"/>
  <c r="C204" i="6"/>
  <c r="C130" i="6"/>
  <c r="C281" i="6"/>
  <c r="C256" i="6"/>
  <c r="C55" i="6"/>
  <c r="C237" i="6"/>
  <c r="C73" i="6"/>
  <c r="C232" i="6"/>
  <c r="C214" i="6"/>
  <c r="G7" i="8"/>
  <c r="C60" i="6"/>
  <c r="C233" i="6"/>
  <c r="C165" i="6"/>
  <c r="C24" i="6"/>
  <c r="C148" i="6"/>
  <c r="C13" i="6"/>
  <c r="C252" i="6"/>
  <c r="C359" i="6"/>
  <c r="C210" i="6"/>
  <c r="C179" i="6"/>
  <c r="C138" i="6"/>
  <c r="C213" i="6"/>
  <c r="C200" i="6"/>
  <c r="C183" i="6"/>
  <c r="C284" i="6"/>
  <c r="C347" i="6"/>
  <c r="C291" i="6"/>
  <c r="C288" i="6"/>
  <c r="C160" i="6"/>
  <c r="C316" i="6"/>
  <c r="C336" i="6"/>
  <c r="C353" i="6"/>
  <c r="C317" i="6"/>
  <c r="C107" i="6"/>
  <c r="C301" i="6"/>
  <c r="C12" i="6"/>
  <c r="P7" i="9"/>
  <c r="O7" i="9"/>
  <c r="H7" i="9"/>
  <c r="F7" i="9"/>
  <c r="E7" i="9"/>
  <c r="G7" i="9"/>
  <c r="C307" i="6"/>
  <c r="C315" i="6"/>
  <c r="C44" i="6"/>
  <c r="E266" i="6"/>
  <c r="G266" i="6" s="1"/>
  <c r="C62" i="6"/>
  <c r="C289" i="6"/>
  <c r="C223" i="6"/>
  <c r="C163" i="6"/>
  <c r="E66" i="6" l="1"/>
  <c r="G66" i="6" s="1"/>
  <c r="E91" i="6"/>
  <c r="F91" i="6" s="1"/>
  <c r="G102" i="6"/>
  <c r="F102" i="6"/>
  <c r="G188" i="6"/>
  <c r="F363" i="6"/>
  <c r="D59" i="6"/>
  <c r="F59" i="6" s="1"/>
  <c r="E228" i="6"/>
  <c r="F228" i="6" s="1"/>
  <c r="F266" i="6"/>
  <c r="F106" i="6"/>
  <c r="D253" i="6"/>
  <c r="F349" i="6"/>
  <c r="G6" i="6"/>
  <c r="E137" i="6"/>
  <c r="F137" i="6" s="1"/>
  <c r="E139" i="6"/>
  <c r="G139" i="6" s="1"/>
  <c r="E59" i="6"/>
  <c r="G59" i="6" s="1"/>
  <c r="F6" i="6"/>
  <c r="E363" i="6"/>
  <c r="G363" i="6" s="1"/>
  <c r="G28" i="6"/>
  <c r="F43" i="6"/>
  <c r="G43" i="6"/>
  <c r="G206" i="6"/>
  <c r="E206" i="6"/>
  <c r="F206" i="6" s="1"/>
  <c r="G351" i="6"/>
  <c r="E174" i="6"/>
  <c r="F174" i="6" s="1"/>
  <c r="G174" i="6"/>
  <c r="G122" i="6"/>
  <c r="G51" i="6"/>
  <c r="F51" i="6"/>
  <c r="G81" i="6"/>
  <c r="F81" i="6"/>
  <c r="F18" i="6"/>
  <c r="G18" i="6"/>
  <c r="F89" i="6"/>
  <c r="G89" i="6"/>
  <c r="G125" i="6"/>
  <c r="F173" i="6"/>
  <c r="G173" i="6"/>
  <c r="G65" i="6"/>
  <c r="G74" i="6"/>
  <c r="F74" i="6"/>
  <c r="G29" i="6"/>
  <c r="F29" i="6"/>
  <c r="G27" i="6"/>
  <c r="F27" i="6"/>
  <c r="F346" i="6"/>
  <c r="G346" i="6"/>
  <c r="F297" i="6"/>
  <c r="G297" i="6"/>
  <c r="F128" i="6"/>
  <c r="F352" i="6"/>
  <c r="D24" i="6"/>
  <c r="E24" i="6"/>
  <c r="D212" i="6"/>
  <c r="E212" i="6"/>
  <c r="G212" i="6" s="1"/>
  <c r="D274" i="6"/>
  <c r="E274" i="6"/>
  <c r="F274" i="6" s="1"/>
  <c r="D342" i="6"/>
  <c r="E342" i="6" s="1"/>
  <c r="D10" i="6"/>
  <c r="E10" i="6"/>
  <c r="F10" i="6" s="1"/>
  <c r="D154" i="6"/>
  <c r="G322" i="6"/>
  <c r="D94" i="6"/>
  <c r="E94" i="6" s="1"/>
  <c r="D264" i="6"/>
  <c r="E264" i="6"/>
  <c r="G264" i="6" s="1"/>
  <c r="G20" i="6"/>
  <c r="D168" i="6"/>
  <c r="E168" i="6"/>
  <c r="F168" i="6" s="1"/>
  <c r="D226" i="6"/>
  <c r="E226" i="6"/>
  <c r="D58" i="6"/>
  <c r="E58" i="6"/>
  <c r="F23" i="6"/>
  <c r="E350" i="6"/>
  <c r="F350" i="6" s="1"/>
  <c r="G128" i="6"/>
  <c r="G352" i="6"/>
  <c r="F351" i="6"/>
  <c r="F270" i="6"/>
  <c r="D147" i="6"/>
  <c r="E147" i="6"/>
  <c r="G147" i="6" s="1"/>
  <c r="D39" i="6"/>
  <c r="E39" i="6"/>
  <c r="G39" i="6" s="1"/>
  <c r="D14" i="6"/>
  <c r="E14" i="6" s="1"/>
  <c r="D100" i="6"/>
  <c r="D276" i="6"/>
  <c r="E276" i="6" s="1"/>
  <c r="F276" i="6" s="1"/>
  <c r="D344" i="6"/>
  <c r="E344" i="6"/>
  <c r="D198" i="6"/>
  <c r="E198" i="6"/>
  <c r="G198" i="6" s="1"/>
  <c r="D104" i="6"/>
  <c r="E104" i="6"/>
  <c r="D26" i="6"/>
  <c r="D22" i="6"/>
  <c r="E22" i="6" s="1"/>
  <c r="F22" i="6" s="1"/>
  <c r="D328" i="6"/>
  <c r="E328" i="6"/>
  <c r="F90" i="6"/>
  <c r="D330" i="6"/>
  <c r="E330" i="6"/>
  <c r="G330" i="6" s="1"/>
  <c r="D60" i="6"/>
  <c r="E60" i="6"/>
  <c r="D97" i="6"/>
  <c r="E97" i="6"/>
  <c r="F97" i="6" s="1"/>
  <c r="D273" i="6"/>
  <c r="G90" i="6"/>
  <c r="D235" i="6"/>
  <c r="Q6" i="7"/>
  <c r="Q6" i="8"/>
  <c r="F326" i="6"/>
  <c r="D317" i="6"/>
  <c r="E317" i="6"/>
  <c r="F317" i="6" s="1"/>
  <c r="I6" i="7"/>
  <c r="L6" i="7" s="1"/>
  <c r="M6" i="7" s="1"/>
  <c r="N6" i="7" s="1"/>
  <c r="D76" i="6"/>
  <c r="E76" i="6"/>
  <c r="D25" i="6"/>
  <c r="E25" i="6" s="1"/>
  <c r="D164" i="6"/>
  <c r="E164" i="6"/>
  <c r="D197" i="6"/>
  <c r="D332" i="6"/>
  <c r="E332" i="6"/>
  <c r="D302" i="6"/>
  <c r="E302" i="6"/>
  <c r="G302" i="6" s="1"/>
  <c r="D329" i="6"/>
  <c r="E329" i="6"/>
  <c r="D133" i="6"/>
  <c r="E133" i="6"/>
  <c r="D248" i="6"/>
  <c r="E248" i="6"/>
  <c r="G248" i="6" s="1"/>
  <c r="F49" i="6"/>
  <c r="D55" i="6"/>
  <c r="E55" i="6"/>
  <c r="D156" i="6"/>
  <c r="E156" i="6"/>
  <c r="D42" i="6"/>
  <c r="E42" i="6"/>
  <c r="G42" i="6" s="1"/>
  <c r="D312" i="6"/>
  <c r="E312" i="6"/>
  <c r="G312" i="6" s="1"/>
  <c r="G8" i="9"/>
  <c r="F8" i="9"/>
  <c r="P8" i="9"/>
  <c r="H8" i="9"/>
  <c r="O8" i="9"/>
  <c r="E8" i="9"/>
  <c r="D159" i="6"/>
  <c r="E159" i="6"/>
  <c r="G159" i="6" s="1"/>
  <c r="D170" i="6"/>
  <c r="E170" i="6"/>
  <c r="D335" i="6"/>
  <c r="E335" i="6" s="1"/>
  <c r="G335" i="6" s="1"/>
  <c r="F15" i="6"/>
  <c r="D17" i="6"/>
  <c r="E17" i="6"/>
  <c r="F17" i="6" s="1"/>
  <c r="D286" i="6"/>
  <c r="D339" i="6"/>
  <c r="E339" i="6"/>
  <c r="G339" i="6" s="1"/>
  <c r="D95" i="6"/>
  <c r="E95" i="6"/>
  <c r="F95" i="6" s="1"/>
  <c r="D277" i="6"/>
  <c r="E277" i="6"/>
  <c r="G279" i="6"/>
  <c r="D238" i="6"/>
  <c r="E238" i="6"/>
  <c r="G238" i="6" s="1"/>
  <c r="F135" i="6"/>
  <c r="E87" i="6"/>
  <c r="G87" i="6" s="1"/>
  <c r="D289" i="6"/>
  <c r="E289" i="6"/>
  <c r="D291" i="6"/>
  <c r="E291" i="6"/>
  <c r="F291" i="6" s="1"/>
  <c r="D281" i="6"/>
  <c r="E281" i="6"/>
  <c r="D155" i="6"/>
  <c r="D275" i="6"/>
  <c r="E275" i="6" s="1"/>
  <c r="G275" i="6" s="1"/>
  <c r="D255" i="6"/>
  <c r="E255" i="6"/>
  <c r="G255" i="6" s="1"/>
  <c r="D176" i="6"/>
  <c r="F176" i="6" s="1"/>
  <c r="E176" i="6"/>
  <c r="G176" i="6" s="1"/>
  <c r="D224" i="6"/>
  <c r="E224" i="6"/>
  <c r="F224" i="6" s="1"/>
  <c r="D109" i="6"/>
  <c r="E109" i="6"/>
  <c r="D70" i="6"/>
  <c r="E70" i="6"/>
  <c r="D56" i="6"/>
  <c r="E56" i="6"/>
  <c r="D181" i="6"/>
  <c r="E181" i="6"/>
  <c r="D178" i="6"/>
  <c r="E178" i="6"/>
  <c r="D211" i="6"/>
  <c r="E211" i="6"/>
  <c r="F211" i="6" s="1"/>
  <c r="A12" i="8"/>
  <c r="J11" i="8"/>
  <c r="K11" i="8" s="1"/>
  <c r="B11" i="8"/>
  <c r="C11" i="8" s="1"/>
  <c r="G135" i="6"/>
  <c r="D111" i="6"/>
  <c r="E111" i="6"/>
  <c r="F111" i="6" s="1"/>
  <c r="D169" i="6"/>
  <c r="E169" i="6"/>
  <c r="F169" i="6" s="1"/>
  <c r="D31" i="6"/>
  <c r="E31" i="6" s="1"/>
  <c r="F31" i="6" s="1"/>
  <c r="D309" i="6"/>
  <c r="D252" i="6"/>
  <c r="E252" i="6"/>
  <c r="G252" i="6" s="1"/>
  <c r="D319" i="6"/>
  <c r="E319" i="6" s="1"/>
  <c r="F319" i="6" s="1"/>
  <c r="D118" i="6"/>
  <c r="E118" i="6"/>
  <c r="F118" i="6" s="1"/>
  <c r="D243" i="6"/>
  <c r="E243" i="6"/>
  <c r="G243" i="6" s="1"/>
  <c r="D325" i="6"/>
  <c r="D303" i="6"/>
  <c r="E303" i="6"/>
  <c r="F303" i="6" s="1"/>
  <c r="D262" i="6"/>
  <c r="E262" i="6"/>
  <c r="F262" i="6" s="1"/>
  <c r="D107" i="6"/>
  <c r="E107" i="6"/>
  <c r="F107" i="6" s="1"/>
  <c r="D121" i="6"/>
  <c r="E121" i="6"/>
  <c r="D141" i="6"/>
  <c r="E141" i="6"/>
  <c r="D296" i="6"/>
  <c r="D280" i="6"/>
  <c r="E280" i="6"/>
  <c r="F280" i="6" s="1"/>
  <c r="E125" i="6"/>
  <c r="F125" i="6" s="1"/>
  <c r="D282" i="6"/>
  <c r="E282" i="6"/>
  <c r="G282" i="6" s="1"/>
  <c r="AA10" i="7"/>
  <c r="B10" i="2"/>
  <c r="D10" i="7"/>
  <c r="F46" i="6"/>
  <c r="D171" i="6"/>
  <c r="E171" i="6"/>
  <c r="G171" i="6" s="1"/>
  <c r="D124" i="6"/>
  <c r="E124" i="6"/>
  <c r="D175" i="6"/>
  <c r="G175" i="6" s="1"/>
  <c r="E175" i="6"/>
  <c r="B11" i="7"/>
  <c r="C11" i="7" s="1"/>
  <c r="A11" i="2"/>
  <c r="A12" i="7"/>
  <c r="J11" i="7"/>
  <c r="K11" i="7" s="1"/>
  <c r="D316" i="6"/>
  <c r="E316" i="6" s="1"/>
  <c r="G316" i="6" s="1"/>
  <c r="E20" i="6"/>
  <c r="F20" i="6" s="1"/>
  <c r="D163" i="6"/>
  <c r="E163" i="6"/>
  <c r="G163" i="6" s="1"/>
  <c r="D362" i="6"/>
  <c r="E362" i="6"/>
  <c r="G362" i="6" s="1"/>
  <c r="D247" i="6"/>
  <c r="E247" i="6"/>
  <c r="D345" i="6"/>
  <c r="E345" i="6"/>
  <c r="G345" i="6" s="1"/>
  <c r="D218" i="6"/>
  <c r="E218" i="6" s="1"/>
  <c r="D287" i="6"/>
  <c r="E287" i="6"/>
  <c r="F279" i="6"/>
  <c r="D223" i="6"/>
  <c r="E223" i="6"/>
  <c r="G223" i="6" s="1"/>
  <c r="D256" i="6"/>
  <c r="E256" i="6"/>
  <c r="D347" i="6"/>
  <c r="E347" i="6" s="1"/>
  <c r="G347" i="6" s="1"/>
  <c r="D101" i="6"/>
  <c r="D131" i="6"/>
  <c r="E131" i="6"/>
  <c r="F131" i="6" s="1"/>
  <c r="D320" i="6"/>
  <c r="E320" i="6"/>
  <c r="D231" i="6"/>
  <c r="E231" i="6"/>
  <c r="D246" i="6"/>
  <c r="E246" i="6"/>
  <c r="F16" i="6"/>
  <c r="D183" i="6"/>
  <c r="G183" i="6" s="1"/>
  <c r="E183" i="6"/>
  <c r="D53" i="6"/>
  <c r="E53" i="6" s="1"/>
  <c r="F53" i="6" s="1"/>
  <c r="D310" i="6"/>
  <c r="E310" i="6"/>
  <c r="F310" i="6" s="1"/>
  <c r="D225" i="6"/>
  <c r="E225" i="6"/>
  <c r="G225" i="6" s="1"/>
  <c r="D269" i="6"/>
  <c r="E269" i="6"/>
  <c r="G16" i="6"/>
  <c r="E32" i="6"/>
  <c r="G32" i="6" s="1"/>
  <c r="D19" i="6"/>
  <c r="E19" i="6"/>
  <c r="F19" i="6" s="1"/>
  <c r="D260" i="6"/>
  <c r="E260" i="6" s="1"/>
  <c r="F260" i="6" s="1"/>
  <c r="D13" i="6"/>
  <c r="E13" i="6" s="1"/>
  <c r="D12" i="6"/>
  <c r="E12" i="6"/>
  <c r="D357" i="6"/>
  <c r="E357" i="6"/>
  <c r="F357" i="6" s="1"/>
  <c r="D192" i="6"/>
  <c r="E192" i="6"/>
  <c r="F192" i="6" s="1"/>
  <c r="D239" i="6"/>
  <c r="E239" i="6" s="1"/>
  <c r="F239" i="6" s="1"/>
  <c r="F64" i="6"/>
  <c r="D37" i="6"/>
  <c r="E37" i="6"/>
  <c r="F37" i="6" s="1"/>
  <c r="D78" i="6"/>
  <c r="E78" i="6"/>
  <c r="E84" i="6"/>
  <c r="G84" i="6" s="1"/>
  <c r="B10" i="9"/>
  <c r="C10" i="9" s="1"/>
  <c r="J10" i="9"/>
  <c r="K10" i="9" s="1"/>
  <c r="A11" i="9"/>
  <c r="D242" i="6"/>
  <c r="E242" i="6"/>
  <c r="F242" i="6" s="1"/>
  <c r="D336" i="6"/>
  <c r="E336" i="6"/>
  <c r="G336" i="6" s="1"/>
  <c r="G308" i="6"/>
  <c r="F308" i="6"/>
  <c r="D308" i="6"/>
  <c r="E308" i="6"/>
  <c r="AB10" i="7"/>
  <c r="C10" i="2"/>
  <c r="D360" i="6"/>
  <c r="E360" i="6"/>
  <c r="D62" i="6"/>
  <c r="E62" i="6"/>
  <c r="F62" i="6" s="1"/>
  <c r="D284" i="6"/>
  <c r="E284" i="6"/>
  <c r="F284" i="6" s="1"/>
  <c r="D33" i="6"/>
  <c r="E33" i="6"/>
  <c r="G33" i="6" s="1"/>
  <c r="D245" i="6"/>
  <c r="D7" i="6"/>
  <c r="E7" i="6"/>
  <c r="D240" i="6"/>
  <c r="E240" i="6"/>
  <c r="G240" i="6" s="1"/>
  <c r="D61" i="6"/>
  <c r="E61" i="6"/>
  <c r="D278" i="6"/>
  <c r="E278" i="6"/>
  <c r="G278" i="6" s="1"/>
  <c r="D8" i="6"/>
  <c r="E8" i="6"/>
  <c r="D199" i="6"/>
  <c r="D251" i="6"/>
  <c r="D115" i="6"/>
  <c r="E115" i="6"/>
  <c r="F115" i="6" s="1"/>
  <c r="D112" i="6"/>
  <c r="E112" i="6"/>
  <c r="D258" i="6"/>
  <c r="E258" i="6"/>
  <c r="G258" i="6" s="1"/>
  <c r="E50" i="6"/>
  <c r="F50" i="6" s="1"/>
  <c r="D44" i="6"/>
  <c r="E44" i="6" s="1"/>
  <c r="D333" i="6"/>
  <c r="I7" i="8"/>
  <c r="L7" i="8" s="1"/>
  <c r="M7" i="8" s="1"/>
  <c r="N7" i="8" s="1"/>
  <c r="D75" i="6"/>
  <c r="E75" i="6"/>
  <c r="D34" i="6"/>
  <c r="E34" i="6"/>
  <c r="F34" i="6" s="1"/>
  <c r="D298" i="6"/>
  <c r="E298" i="6"/>
  <c r="G298" i="6" s="1"/>
  <c r="D146" i="6"/>
  <c r="E146" i="6"/>
  <c r="G146" i="6" s="1"/>
  <c r="D9" i="6"/>
  <c r="D35" i="6"/>
  <c r="E35" i="6"/>
  <c r="F35" i="6" s="1"/>
  <c r="D88" i="6"/>
  <c r="D272" i="6"/>
  <c r="E272" i="6" s="1"/>
  <c r="F272" i="6" s="1"/>
  <c r="D152" i="6"/>
  <c r="E152" i="6"/>
  <c r="D315" i="6"/>
  <c r="E315" i="6"/>
  <c r="D200" i="6"/>
  <c r="D217" i="6"/>
  <c r="E217" i="6"/>
  <c r="F217" i="6" s="1"/>
  <c r="D358" i="6"/>
  <c r="E358" i="6"/>
  <c r="F358" i="6" s="1"/>
  <c r="D77" i="6"/>
  <c r="E77" i="6"/>
  <c r="G77" i="6" s="1"/>
  <c r="D48" i="6"/>
  <c r="E48" i="6"/>
  <c r="I7" i="7"/>
  <c r="L7" i="7" s="1"/>
  <c r="M7" i="7" s="1"/>
  <c r="N7" i="7" s="1"/>
  <c r="D299" i="6"/>
  <c r="E299" i="6"/>
  <c r="F299" i="6" s="1"/>
  <c r="D323" i="6"/>
  <c r="G323" i="6" s="1"/>
  <c r="E323" i="6"/>
  <c r="F323" i="6" s="1"/>
  <c r="D318" i="6"/>
  <c r="E318" i="6"/>
  <c r="F318" i="6" s="1"/>
  <c r="D365" i="6"/>
  <c r="E365" i="6"/>
  <c r="D249" i="6"/>
  <c r="E249" i="6"/>
  <c r="G249" i="6" s="1"/>
  <c r="D203" i="6"/>
  <c r="E203" i="6"/>
  <c r="F203" i="6" s="1"/>
  <c r="D236" i="6"/>
  <c r="E236" i="6"/>
  <c r="G236" i="6" s="1"/>
  <c r="D202" i="6"/>
  <c r="F202" i="6" s="1"/>
  <c r="E202" i="6"/>
  <c r="G202" i="6" s="1"/>
  <c r="D132" i="6"/>
  <c r="E132" i="6" s="1"/>
  <c r="D301" i="6"/>
  <c r="E301" i="6"/>
  <c r="G301" i="6" s="1"/>
  <c r="D96" i="6"/>
  <c r="E96" i="6"/>
  <c r="I9" i="2"/>
  <c r="AF9" i="9"/>
  <c r="AB9" i="9"/>
  <c r="G46" i="6"/>
  <c r="D73" i="6"/>
  <c r="E73" i="6" s="1"/>
  <c r="D219" i="6"/>
  <c r="E219" i="6" s="1"/>
  <c r="E65" i="6"/>
  <c r="D113" i="6"/>
  <c r="E113" i="6"/>
  <c r="D259" i="6"/>
  <c r="E259" i="6"/>
  <c r="F259" i="6" s="1"/>
  <c r="D361" i="6"/>
  <c r="E361" i="6"/>
  <c r="D209" i="6"/>
  <c r="E209" i="6"/>
  <c r="F209" i="6" s="1"/>
  <c r="F215" i="6"/>
  <c r="D215" i="6"/>
  <c r="E215" i="6"/>
  <c r="G215" i="6" s="1"/>
  <c r="D162" i="6"/>
  <c r="E162" i="6"/>
  <c r="G162" i="6" s="1"/>
  <c r="D142" i="6"/>
  <c r="E142" i="6"/>
  <c r="I6" i="8"/>
  <c r="L6" i="8" s="1"/>
  <c r="M6" i="8" s="1"/>
  <c r="N6" i="8" s="1"/>
  <c r="E30" i="6"/>
  <c r="G30" i="6" s="1"/>
  <c r="D82" i="6"/>
  <c r="E82" i="6"/>
  <c r="G82" i="6" s="1"/>
  <c r="D83" i="6"/>
  <c r="E83" i="6"/>
  <c r="G83" i="6" s="1"/>
  <c r="D314" i="6"/>
  <c r="E314" i="6"/>
  <c r="F314" i="6" s="1"/>
  <c r="D161" i="6"/>
  <c r="E161" i="6"/>
  <c r="G161" i="6" s="1"/>
  <c r="D11" i="6"/>
  <c r="D67" i="6"/>
  <c r="E67" i="6"/>
  <c r="D290" i="6"/>
  <c r="E290" i="6"/>
  <c r="F290" i="6" s="1"/>
  <c r="D191" i="6"/>
  <c r="E191" i="6"/>
  <c r="D160" i="6"/>
  <c r="E160" i="6" s="1"/>
  <c r="G49" i="6"/>
  <c r="AB10" i="8"/>
  <c r="F10" i="2"/>
  <c r="D204" i="6"/>
  <c r="E204" i="6"/>
  <c r="G204" i="6" s="1"/>
  <c r="D116" i="6"/>
  <c r="E116" i="6"/>
  <c r="D201" i="6"/>
  <c r="E201" i="6"/>
  <c r="F201" i="6" s="1"/>
  <c r="D307" i="6"/>
  <c r="E307" i="6"/>
  <c r="G307" i="6" s="1"/>
  <c r="D216" i="6"/>
  <c r="E216" i="6" s="1"/>
  <c r="D123" i="6"/>
  <c r="G123" i="6" s="1"/>
  <c r="E123" i="6"/>
  <c r="F123" i="6" s="1"/>
  <c r="D138" i="6"/>
  <c r="E138" i="6"/>
  <c r="G138" i="6" s="1"/>
  <c r="D257" i="6"/>
  <c r="E257" i="6"/>
  <c r="F257" i="6" s="1"/>
  <c r="D337" i="6"/>
  <c r="E337" i="6"/>
  <c r="G337" i="6" s="1"/>
  <c r="D283" i="6"/>
  <c r="E283" i="6"/>
  <c r="G283" i="6" s="1"/>
  <c r="D194" i="6"/>
  <c r="E194" i="6" s="1"/>
  <c r="D99" i="6"/>
  <c r="D207" i="6"/>
  <c r="E207" i="6"/>
  <c r="G207" i="6" s="1"/>
  <c r="D340" i="6"/>
  <c r="E340" i="6"/>
  <c r="F340" i="6" s="1"/>
  <c r="F65" i="6"/>
  <c r="G57" i="6"/>
  <c r="D182" i="6"/>
  <c r="E182" i="6"/>
  <c r="G182" i="6" s="1"/>
  <c r="D180" i="6"/>
  <c r="E180" i="6"/>
  <c r="F180" i="6" s="1"/>
  <c r="D244" i="6"/>
  <c r="E244" i="6"/>
  <c r="G244" i="6" s="1"/>
  <c r="D265" i="6"/>
  <c r="E265" i="6"/>
  <c r="G265" i="6" s="1"/>
  <c r="D144" i="6"/>
  <c r="E144" i="6"/>
  <c r="F28" i="6"/>
  <c r="F172" i="6"/>
  <c r="D196" i="6"/>
  <c r="E196" i="6"/>
  <c r="D134" i="6"/>
  <c r="E134" i="6" s="1"/>
  <c r="G134" i="6" s="1"/>
  <c r="D103" i="6"/>
  <c r="E103" i="6"/>
  <c r="D148" i="6"/>
  <c r="D348" i="6"/>
  <c r="E348" i="6"/>
  <c r="G348" i="6" s="1"/>
  <c r="D47" i="6"/>
  <c r="E47" i="6"/>
  <c r="G47" i="6" s="1"/>
  <c r="D208" i="6"/>
  <c r="E208" i="6"/>
  <c r="D110" i="6"/>
  <c r="E110" i="6"/>
  <c r="D334" i="6"/>
  <c r="E334" i="6"/>
  <c r="G334" i="6" s="1"/>
  <c r="D271" i="6"/>
  <c r="D233" i="6"/>
  <c r="E233" i="6"/>
  <c r="D193" i="6"/>
  <c r="E193" i="6"/>
  <c r="G193" i="6" s="1"/>
  <c r="D120" i="6"/>
  <c r="E120" i="6"/>
  <c r="D229" i="6"/>
  <c r="E229" i="6"/>
  <c r="D151" i="6"/>
  <c r="E151" i="6" s="1"/>
  <c r="D306" i="6"/>
  <c r="E306" i="6" s="1"/>
  <c r="D157" i="6"/>
  <c r="E157" i="6"/>
  <c r="F84" i="6"/>
  <c r="D150" i="6"/>
  <c r="E150" i="6"/>
  <c r="F150" i="6" s="1"/>
  <c r="D214" i="6"/>
  <c r="E214" i="6"/>
  <c r="D140" i="6"/>
  <c r="E140" i="6" s="1"/>
  <c r="D232" i="6"/>
  <c r="D186" i="6"/>
  <c r="D355" i="6"/>
  <c r="E355" i="6" s="1"/>
  <c r="D237" i="6"/>
  <c r="E237" i="6"/>
  <c r="D230" i="6"/>
  <c r="E230" i="6"/>
  <c r="F230" i="6" s="1"/>
  <c r="D119" i="6"/>
  <c r="E119" i="6" s="1"/>
  <c r="P9" i="7"/>
  <c r="O9" i="7"/>
  <c r="H9" i="7"/>
  <c r="F9" i="7"/>
  <c r="G9" i="7"/>
  <c r="E9" i="7"/>
  <c r="D327" i="6"/>
  <c r="E327" i="6"/>
  <c r="D313" i="6"/>
  <c r="E313" i="6"/>
  <c r="D288" i="6"/>
  <c r="E288" i="6"/>
  <c r="D130" i="6"/>
  <c r="E130" i="6" s="1"/>
  <c r="D79" i="6"/>
  <c r="E79" i="6"/>
  <c r="F79" i="6" s="1"/>
  <c r="D241" i="6"/>
  <c r="E241" i="6"/>
  <c r="D40" i="6"/>
  <c r="E40" i="6"/>
  <c r="D85" i="6"/>
  <c r="E85" i="6"/>
  <c r="D285" i="6"/>
  <c r="E285" i="6"/>
  <c r="F285" i="6" s="1"/>
  <c r="D36" i="6"/>
  <c r="E36" i="6" s="1"/>
  <c r="D177" i="6"/>
  <c r="E177" i="6"/>
  <c r="G177" i="6" s="1"/>
  <c r="AA10" i="8"/>
  <c r="D10" i="8"/>
  <c r="D213" i="6"/>
  <c r="E213" i="6"/>
  <c r="D145" i="6"/>
  <c r="E145" i="6"/>
  <c r="G145" i="6" s="1"/>
  <c r="D41" i="6"/>
  <c r="E41" i="6"/>
  <c r="G41" i="6" s="1"/>
  <c r="D127" i="6"/>
  <c r="E127" i="6"/>
  <c r="D63" i="6"/>
  <c r="E63" i="6" s="1"/>
  <c r="G63" i="6" s="1"/>
  <c r="D153" i="6"/>
  <c r="E153" i="6" s="1"/>
  <c r="D268" i="6"/>
  <c r="E268" i="6"/>
  <c r="F268" i="6" s="1"/>
  <c r="D68" i="6"/>
  <c r="E68" i="6"/>
  <c r="D305" i="6"/>
  <c r="E305" i="6"/>
  <c r="D354" i="6"/>
  <c r="E354" i="6"/>
  <c r="F354" i="6" s="1"/>
  <c r="D126" i="6"/>
  <c r="D234" i="6"/>
  <c r="E234" i="6"/>
  <c r="G234" i="6" s="1"/>
  <c r="D179" i="6"/>
  <c r="E179" i="6"/>
  <c r="D149" i="6"/>
  <c r="E149" i="6"/>
  <c r="F149" i="6" s="1"/>
  <c r="D227" i="6"/>
  <c r="E227" i="6"/>
  <c r="D331" i="6"/>
  <c r="E331" i="6"/>
  <c r="G331" i="6" s="1"/>
  <c r="D185" i="6"/>
  <c r="D69" i="6"/>
  <c r="E69" i="6" s="1"/>
  <c r="D195" i="6"/>
  <c r="E195" i="6"/>
  <c r="G195" i="6" s="1"/>
  <c r="D324" i="6"/>
  <c r="E324" i="6"/>
  <c r="G324" i="6" s="1"/>
  <c r="G349" i="6"/>
  <c r="D263" i="6"/>
  <c r="E263" i="6"/>
  <c r="D250" i="6"/>
  <c r="E250" i="6"/>
  <c r="D117" i="6"/>
  <c r="E117" i="6"/>
  <c r="F117" i="6" s="1"/>
  <c r="D295" i="6"/>
  <c r="G172" i="6"/>
  <c r="D52" i="6"/>
  <c r="E52" i="6"/>
  <c r="D21" i="6"/>
  <c r="E21" i="6"/>
  <c r="G21" i="6" s="1"/>
  <c r="D341" i="6"/>
  <c r="E341" i="6"/>
  <c r="I6" i="9"/>
  <c r="L6" i="9" s="1"/>
  <c r="M6" i="9" s="1"/>
  <c r="N6" i="9" s="1"/>
  <c r="D129" i="6"/>
  <c r="D105" i="6"/>
  <c r="E105" i="6"/>
  <c r="F105" i="6" s="1"/>
  <c r="D165" i="6"/>
  <c r="E165" i="6"/>
  <c r="F165" i="6" s="1"/>
  <c r="D205" i="6"/>
  <c r="E205" i="6"/>
  <c r="AE9" i="9"/>
  <c r="D9" i="9"/>
  <c r="AA9" i="9"/>
  <c r="G64" i="6"/>
  <c r="F66" i="6"/>
  <c r="D71" i="6"/>
  <c r="E71" i="6" s="1"/>
  <c r="D293" i="6"/>
  <c r="D353" i="6"/>
  <c r="E353" i="6"/>
  <c r="G353" i="6" s="1"/>
  <c r="D38" i="6"/>
  <c r="E38" i="6"/>
  <c r="G38" i="6" s="1"/>
  <c r="D184" i="6"/>
  <c r="E184" i="6"/>
  <c r="F184" i="6" s="1"/>
  <c r="D343" i="6"/>
  <c r="E343" i="6"/>
  <c r="G343" i="6" s="1"/>
  <c r="D356" i="6"/>
  <c r="E356" i="6"/>
  <c r="G356" i="6" s="1"/>
  <c r="D108" i="6"/>
  <c r="E108" i="6" s="1"/>
  <c r="D261" i="6"/>
  <c r="E261" i="6"/>
  <c r="F261" i="6" s="1"/>
  <c r="D267" i="6"/>
  <c r="E267" i="6"/>
  <c r="G267" i="6" s="1"/>
  <c r="P9" i="8"/>
  <c r="O9" i="8"/>
  <c r="G9" i="8"/>
  <c r="F9" i="8"/>
  <c r="E9" i="8"/>
  <c r="H9" i="8"/>
  <c r="D80" i="6"/>
  <c r="E80" i="6"/>
  <c r="D220" i="6"/>
  <c r="D189" i="6"/>
  <c r="E189" i="6"/>
  <c r="D114" i="6"/>
  <c r="E114" i="6"/>
  <c r="F114" i="6" s="1"/>
  <c r="D166" i="6"/>
  <c r="E166" i="6"/>
  <c r="G166" i="6" s="1"/>
  <c r="D292" i="6"/>
  <c r="E292" i="6"/>
  <c r="D72" i="6"/>
  <c r="E72" i="6"/>
  <c r="D210" i="6"/>
  <c r="E210" i="6"/>
  <c r="D304" i="6"/>
  <c r="E304" i="6"/>
  <c r="F304" i="6" s="1"/>
  <c r="D190" i="6"/>
  <c r="E190" i="6"/>
  <c r="F190" i="6" s="1"/>
  <c r="D54" i="6"/>
  <c r="E54" i="6"/>
  <c r="D294" i="6"/>
  <c r="E294" i="6" s="1"/>
  <c r="G294" i="6" s="1"/>
  <c r="D221" i="6"/>
  <c r="E221" i="6"/>
  <c r="F221" i="6" s="1"/>
  <c r="D136" i="6"/>
  <c r="E136" i="6"/>
  <c r="F92" i="6"/>
  <c r="D300" i="6"/>
  <c r="E300" i="6"/>
  <c r="F300" i="6" s="1"/>
  <c r="D86" i="6"/>
  <c r="E86" i="6" s="1"/>
  <c r="F86" i="6" s="1"/>
  <c r="D98" i="6"/>
  <c r="E98" i="6" s="1"/>
  <c r="D321" i="6"/>
  <c r="E321" i="6"/>
  <c r="I7" i="9"/>
  <c r="L7" i="9" s="1"/>
  <c r="M7" i="9" s="1"/>
  <c r="N7" i="9" s="1"/>
  <c r="D359" i="6"/>
  <c r="D311" i="6"/>
  <c r="E311" i="6"/>
  <c r="F311" i="6" s="1"/>
  <c r="D143" i="6"/>
  <c r="E143" i="6"/>
  <c r="D254" i="6"/>
  <c r="E254" i="6"/>
  <c r="F254" i="6" s="1"/>
  <c r="D167" i="6"/>
  <c r="E167" i="6"/>
  <c r="D93" i="6"/>
  <c r="E93" i="6"/>
  <c r="D187" i="6"/>
  <c r="F187" i="6" s="1"/>
  <c r="E187" i="6"/>
  <c r="G187" i="6" s="1"/>
  <c r="D338" i="6"/>
  <c r="E338" i="6"/>
  <c r="F338" i="6" s="1"/>
  <c r="D222" i="6"/>
  <c r="D45" i="6"/>
  <c r="E45" i="6" s="1"/>
  <c r="F45" i="6" s="1"/>
  <c r="G219" i="6" l="1"/>
  <c r="F219" i="6"/>
  <c r="G318" i="6"/>
  <c r="F8" i="6"/>
  <c r="G262" i="6"/>
  <c r="F178" i="6"/>
  <c r="G184" i="6"/>
  <c r="F256" i="6"/>
  <c r="F136" i="6"/>
  <c r="F52" i="6"/>
  <c r="G313" i="6"/>
  <c r="F204" i="6"/>
  <c r="F223" i="6"/>
  <c r="G136" i="6"/>
  <c r="F167" i="6"/>
  <c r="G80" i="6"/>
  <c r="G103" i="6"/>
  <c r="F301" i="6"/>
  <c r="G7" i="6"/>
  <c r="Q7" i="9" s="1"/>
  <c r="G310" i="6"/>
  <c r="G287" i="6"/>
  <c r="G164" i="6"/>
  <c r="G328" i="6"/>
  <c r="G24" i="6"/>
  <c r="G117" i="6"/>
  <c r="G75" i="6"/>
  <c r="G78" i="6"/>
  <c r="F70" i="6"/>
  <c r="F238" i="6"/>
  <c r="G58" i="6"/>
  <c r="G273" i="6"/>
  <c r="F356" i="6"/>
  <c r="F63" i="6"/>
  <c r="G35" i="6"/>
  <c r="F82" i="6"/>
  <c r="G214" i="6"/>
  <c r="F116" i="6"/>
  <c r="F146" i="6"/>
  <c r="G60" i="6"/>
  <c r="F93" i="6"/>
  <c r="G332" i="6"/>
  <c r="E253" i="6"/>
  <c r="G253" i="6" s="1"/>
  <c r="F253" i="6"/>
  <c r="G96" i="6"/>
  <c r="F240" i="6"/>
  <c r="F213" i="6"/>
  <c r="F207" i="6"/>
  <c r="G151" i="6"/>
  <c r="G143" i="6"/>
  <c r="G226" i="6"/>
  <c r="F229" i="6"/>
  <c r="F277" i="6"/>
  <c r="G76" i="6"/>
  <c r="G311" i="6"/>
  <c r="G284" i="6"/>
  <c r="F183" i="6"/>
  <c r="G247" i="6"/>
  <c r="F104" i="6"/>
  <c r="G95" i="6"/>
  <c r="F222" i="6"/>
  <c r="G338" i="6"/>
  <c r="G300" i="6"/>
  <c r="G211" i="6"/>
  <c r="F170" i="6"/>
  <c r="G10" i="6"/>
  <c r="Q8" i="9" s="1"/>
  <c r="G341" i="6"/>
  <c r="F208" i="6"/>
  <c r="F336" i="6"/>
  <c r="G329" i="6"/>
  <c r="F175" i="6"/>
  <c r="G291" i="6"/>
  <c r="F227" i="6"/>
  <c r="G303" i="6"/>
  <c r="G178" i="6"/>
  <c r="G299" i="6"/>
  <c r="F269" i="6"/>
  <c r="G137" i="6"/>
  <c r="G189" i="6"/>
  <c r="G149" i="6"/>
  <c r="G142" i="6"/>
  <c r="F225" i="6"/>
  <c r="F212" i="6"/>
  <c r="F157" i="6"/>
  <c r="F48" i="6"/>
  <c r="F56" i="6"/>
  <c r="G71" i="6"/>
  <c r="G132" i="6"/>
  <c r="G62" i="6"/>
  <c r="F339" i="6"/>
  <c r="G91" i="6"/>
  <c r="G154" i="6"/>
  <c r="G292" i="6"/>
  <c r="G110" i="6"/>
  <c r="G133" i="6"/>
  <c r="G288" i="6"/>
  <c r="G179" i="6"/>
  <c r="G53" i="6"/>
  <c r="F25" i="6"/>
  <c r="G22" i="6"/>
  <c r="G37" i="6"/>
  <c r="F109" i="6"/>
  <c r="G54" i="6"/>
  <c r="F177" i="6"/>
  <c r="F226" i="6"/>
  <c r="F337" i="6"/>
  <c r="G305" i="6"/>
  <c r="G285" i="6"/>
  <c r="G230" i="6"/>
  <c r="F315" i="6"/>
  <c r="G280" i="6"/>
  <c r="G144" i="6"/>
  <c r="F67" i="6"/>
  <c r="F321" i="6"/>
  <c r="F344" i="6"/>
  <c r="G350" i="6"/>
  <c r="G233" i="6"/>
  <c r="F152" i="6"/>
  <c r="F255" i="6"/>
  <c r="G228" i="6"/>
  <c r="F155" i="6"/>
  <c r="G79" i="6"/>
  <c r="F281" i="6"/>
  <c r="G127" i="6"/>
  <c r="F61" i="6"/>
  <c r="F289" i="6"/>
  <c r="G124" i="6"/>
  <c r="F181" i="6"/>
  <c r="G289" i="6"/>
  <c r="F353" i="6"/>
  <c r="F327" i="6"/>
  <c r="G160" i="6"/>
  <c r="G250" i="6"/>
  <c r="G358" i="6"/>
  <c r="G196" i="6"/>
  <c r="F191" i="6"/>
  <c r="G263" i="6"/>
  <c r="G217" i="6"/>
  <c r="F120" i="6"/>
  <c r="G361" i="6"/>
  <c r="F236" i="6"/>
  <c r="G192" i="6"/>
  <c r="F156" i="6"/>
  <c r="G317" i="6"/>
  <c r="G304" i="6"/>
  <c r="F85" i="6"/>
  <c r="F138" i="6"/>
  <c r="G203" i="6"/>
  <c r="G360" i="6"/>
  <c r="F163" i="6"/>
  <c r="F264" i="6"/>
  <c r="F210" i="6"/>
  <c r="F195" i="6"/>
  <c r="F237" i="6"/>
  <c r="G210" i="6"/>
  <c r="F40" i="6"/>
  <c r="F139" i="6"/>
  <c r="F161" i="6"/>
  <c r="F113" i="6"/>
  <c r="F249" i="6"/>
  <c r="G12" i="6"/>
  <c r="Q9" i="9" s="1"/>
  <c r="G231" i="6"/>
  <c r="F141" i="6"/>
  <c r="F94" i="6"/>
  <c r="G68" i="6"/>
  <c r="G205" i="6"/>
  <c r="G259" i="6"/>
  <c r="G112" i="6"/>
  <c r="F246" i="6"/>
  <c r="G55" i="6"/>
  <c r="F108" i="6"/>
  <c r="F355" i="6"/>
  <c r="G45" i="6"/>
  <c r="F98" i="6"/>
  <c r="G69" i="6"/>
  <c r="F153" i="6"/>
  <c r="E222" i="6"/>
  <c r="G222" i="6" s="1"/>
  <c r="G72" i="6"/>
  <c r="G108" i="6"/>
  <c r="G105" i="6"/>
  <c r="E185" i="6"/>
  <c r="F185" i="6" s="1"/>
  <c r="G241" i="6"/>
  <c r="E186" i="6"/>
  <c r="G186" i="6" s="1"/>
  <c r="F365" i="6"/>
  <c r="R6" i="7" s="1"/>
  <c r="S6" i="7" s="1"/>
  <c r="T6" i="7" s="1"/>
  <c r="E88" i="6"/>
  <c r="F88" i="6" s="1"/>
  <c r="E199" i="6"/>
  <c r="G199" i="6" s="1"/>
  <c r="G320" i="6"/>
  <c r="F121" i="6"/>
  <c r="E155" i="6"/>
  <c r="F248" i="6"/>
  <c r="E273" i="6"/>
  <c r="F273" i="6" s="1"/>
  <c r="E154" i="6"/>
  <c r="G13" i="6"/>
  <c r="F13" i="6"/>
  <c r="G235" i="6"/>
  <c r="G333" i="6"/>
  <c r="G216" i="6"/>
  <c r="F216" i="6"/>
  <c r="Q8" i="7"/>
  <c r="Q8" i="8"/>
  <c r="R7" i="8"/>
  <c r="R7" i="7"/>
  <c r="G126" i="6"/>
  <c r="G359" i="6"/>
  <c r="G342" i="6"/>
  <c r="F342" i="6"/>
  <c r="S7" i="9"/>
  <c r="T7" i="9" s="1"/>
  <c r="G130" i="6"/>
  <c r="F130" i="6"/>
  <c r="G306" i="6"/>
  <c r="F306" i="6"/>
  <c r="G194" i="6"/>
  <c r="F194" i="6"/>
  <c r="F218" i="6"/>
  <c r="G218" i="6"/>
  <c r="F73" i="6"/>
  <c r="G25" i="6"/>
  <c r="F80" i="6"/>
  <c r="G169" i="6"/>
  <c r="F335" i="6"/>
  <c r="G150" i="6"/>
  <c r="F71" i="6"/>
  <c r="G97" i="6"/>
  <c r="F307" i="6"/>
  <c r="G321" i="6"/>
  <c r="F343" i="6"/>
  <c r="F305" i="6"/>
  <c r="G269" i="6"/>
  <c r="G237" i="6"/>
  <c r="F330" i="6"/>
  <c r="G94" i="6"/>
  <c r="G276" i="6"/>
  <c r="F143" i="6"/>
  <c r="E295" i="6"/>
  <c r="G295" i="6" s="1"/>
  <c r="F179" i="6"/>
  <c r="G213" i="6"/>
  <c r="F241" i="6"/>
  <c r="I9" i="7"/>
  <c r="L9" i="7" s="1"/>
  <c r="M9" i="7" s="1"/>
  <c r="N9" i="7" s="1"/>
  <c r="E271" i="6"/>
  <c r="G271" i="6" s="1"/>
  <c r="E148" i="6"/>
  <c r="F148" i="6" s="1"/>
  <c r="E11" i="6"/>
  <c r="G11" i="6" s="1"/>
  <c r="R8" i="9" s="1"/>
  <c r="F142" i="6"/>
  <c r="G113" i="6"/>
  <c r="G365" i="6"/>
  <c r="R6" i="9" s="1"/>
  <c r="S6" i="9" s="1"/>
  <c r="T6" i="9" s="1"/>
  <c r="F75" i="6"/>
  <c r="E251" i="6"/>
  <c r="G251" i="6" s="1"/>
  <c r="F360" i="6"/>
  <c r="F78" i="6"/>
  <c r="G109" i="6"/>
  <c r="G281" i="6"/>
  <c r="F55" i="6"/>
  <c r="E197" i="6"/>
  <c r="G197" i="6" s="1"/>
  <c r="E235" i="6"/>
  <c r="F328" i="6"/>
  <c r="F154" i="6"/>
  <c r="F119" i="6"/>
  <c r="G221" i="6"/>
  <c r="G229" i="6"/>
  <c r="G314" i="6"/>
  <c r="G44" i="6"/>
  <c r="F87" i="6"/>
  <c r="G31" i="6"/>
  <c r="G17" i="6"/>
  <c r="F133" i="6"/>
  <c r="G354" i="6"/>
  <c r="G8" i="6"/>
  <c r="R7" i="9" s="1"/>
  <c r="G93" i="6"/>
  <c r="F283" i="6"/>
  <c r="G315" i="6"/>
  <c r="F32" i="6"/>
  <c r="F243" i="6"/>
  <c r="F39" i="6"/>
  <c r="F288" i="6"/>
  <c r="F83" i="6"/>
  <c r="G141" i="6"/>
  <c r="F36" i="6"/>
  <c r="F134" i="6"/>
  <c r="F247" i="6"/>
  <c r="F312" i="6"/>
  <c r="F214" i="6"/>
  <c r="G246" i="6"/>
  <c r="G256" i="6"/>
  <c r="F171" i="6"/>
  <c r="F329" i="6"/>
  <c r="G120" i="6"/>
  <c r="G208" i="6"/>
  <c r="G191" i="6"/>
  <c r="F298" i="6"/>
  <c r="G242" i="6"/>
  <c r="F198" i="6"/>
  <c r="G118" i="6"/>
  <c r="F147" i="6"/>
  <c r="F145" i="6"/>
  <c r="F77" i="6"/>
  <c r="F205" i="6"/>
  <c r="G272" i="6"/>
  <c r="G70" i="6"/>
  <c r="G327" i="6"/>
  <c r="F144" i="6"/>
  <c r="G61" i="6"/>
  <c r="G319" i="6"/>
  <c r="F38" i="6"/>
  <c r="G355" i="6"/>
  <c r="G67" i="6"/>
  <c r="F316" i="6"/>
  <c r="F10" i="8"/>
  <c r="E10" i="8"/>
  <c r="P10" i="8"/>
  <c r="O10" i="8"/>
  <c r="Q10" i="8"/>
  <c r="H10" i="8"/>
  <c r="G10" i="8"/>
  <c r="R10" i="8"/>
  <c r="F252" i="6"/>
  <c r="G131" i="6"/>
  <c r="G224" i="6"/>
  <c r="I8" i="9"/>
  <c r="L8" i="9" s="1"/>
  <c r="M8" i="9" s="1"/>
  <c r="N8" i="9" s="1"/>
  <c r="F235" i="6"/>
  <c r="F30" i="6"/>
  <c r="F140" i="6"/>
  <c r="F14" i="6"/>
  <c r="F331" i="6"/>
  <c r="F127" i="6"/>
  <c r="G168" i="6"/>
  <c r="G181" i="6"/>
  <c r="G274" i="6"/>
  <c r="F258" i="6"/>
  <c r="F60" i="6"/>
  <c r="G357" i="6"/>
  <c r="G121" i="6"/>
  <c r="G56" i="6"/>
  <c r="F42" i="6"/>
  <c r="F313" i="6"/>
  <c r="F47" i="6"/>
  <c r="G48" i="6"/>
  <c r="G152" i="6"/>
  <c r="F231" i="6"/>
  <c r="G111" i="6"/>
  <c r="F166" i="6"/>
  <c r="F112" i="6"/>
  <c r="F96" i="6"/>
  <c r="D10" i="9"/>
  <c r="AE10" i="9"/>
  <c r="AA10" i="9"/>
  <c r="G107" i="6"/>
  <c r="AA11" i="8"/>
  <c r="D11" i="8"/>
  <c r="G170" i="6"/>
  <c r="G156" i="6"/>
  <c r="G344" i="6"/>
  <c r="F348" i="6"/>
  <c r="AB11" i="8"/>
  <c r="F11" i="2"/>
  <c r="F332" i="6"/>
  <c r="F267" i="6"/>
  <c r="G268" i="6"/>
  <c r="F265" i="6"/>
  <c r="F159" i="6"/>
  <c r="G261" i="6"/>
  <c r="F189" i="6"/>
  <c r="F69" i="6"/>
  <c r="G153" i="6"/>
  <c r="E232" i="6"/>
  <c r="G232" i="6" s="1"/>
  <c r="F271" i="6"/>
  <c r="E99" i="6"/>
  <c r="G99" i="6" s="1"/>
  <c r="F162" i="6"/>
  <c r="F132" i="6"/>
  <c r="E333" i="6"/>
  <c r="F7" i="6"/>
  <c r="E101" i="6"/>
  <c r="F101" i="6" s="1"/>
  <c r="E309" i="6"/>
  <c r="G309" i="6" s="1"/>
  <c r="E100" i="6"/>
  <c r="G100" i="6" s="1"/>
  <c r="F58" i="6"/>
  <c r="F44" i="6"/>
  <c r="G19" i="6"/>
  <c r="G119" i="6"/>
  <c r="G73" i="6"/>
  <c r="G14" i="6"/>
  <c r="G180" i="6"/>
  <c r="G50" i="6"/>
  <c r="F294" i="6"/>
  <c r="F263" i="6"/>
  <c r="F41" i="6"/>
  <c r="F196" i="6"/>
  <c r="H9" i="9"/>
  <c r="G9" i="9"/>
  <c r="F9" i="9"/>
  <c r="E9" i="9"/>
  <c r="I9" i="9" s="1"/>
  <c r="L9" i="9" s="1"/>
  <c r="M9" i="9" s="1"/>
  <c r="N9" i="9" s="1"/>
  <c r="R9" i="9"/>
  <c r="O9" i="9"/>
  <c r="P9" i="9"/>
  <c r="G98" i="6"/>
  <c r="G257" i="6"/>
  <c r="F320" i="6"/>
  <c r="G86" i="6"/>
  <c r="G190" i="6"/>
  <c r="G40" i="6"/>
  <c r="F233" i="6"/>
  <c r="F12" i="6"/>
  <c r="F287" i="6"/>
  <c r="F282" i="6"/>
  <c r="C11" i="2"/>
  <c r="AB11" i="7"/>
  <c r="B11" i="2"/>
  <c r="D11" i="7"/>
  <c r="AA11" i="7"/>
  <c r="F250" i="6"/>
  <c r="G36" i="6"/>
  <c r="G140" i="6"/>
  <c r="F110" i="6"/>
  <c r="F160" i="6"/>
  <c r="G239" i="6"/>
  <c r="F347" i="6"/>
  <c r="G209" i="6"/>
  <c r="F33" i="6"/>
  <c r="F124" i="6"/>
  <c r="F341" i="6"/>
  <c r="F362" i="6"/>
  <c r="G104" i="6"/>
  <c r="F182" i="6"/>
  <c r="G167" i="6"/>
  <c r="F278" i="6"/>
  <c r="F21" i="6"/>
  <c r="F361" i="6"/>
  <c r="G290" i="6"/>
  <c r="F302" i="6"/>
  <c r="G85" i="6"/>
  <c r="AF10" i="9"/>
  <c r="AB10" i="9"/>
  <c r="I10" i="2"/>
  <c r="G277" i="6"/>
  <c r="G254" i="6"/>
  <c r="G340" i="6"/>
  <c r="F24" i="6"/>
  <c r="G114" i="6"/>
  <c r="G157" i="6"/>
  <c r="G115" i="6"/>
  <c r="F234" i="6"/>
  <c r="F334" i="6"/>
  <c r="F244" i="6"/>
  <c r="F333" i="6"/>
  <c r="G260" i="6"/>
  <c r="F345" i="6"/>
  <c r="F309" i="6"/>
  <c r="E286" i="6"/>
  <c r="G286" i="6" s="1"/>
  <c r="F100" i="6"/>
  <c r="F275" i="6"/>
  <c r="F76" i="6"/>
  <c r="F292" i="6"/>
  <c r="G227" i="6"/>
  <c r="G201" i="6"/>
  <c r="F193" i="6"/>
  <c r="F324" i="6"/>
  <c r="P10" i="7"/>
  <c r="O10" i="7"/>
  <c r="R10" i="7"/>
  <c r="Q10" i="7"/>
  <c r="H10" i="7"/>
  <c r="G10" i="7"/>
  <c r="E10" i="7"/>
  <c r="F10" i="7"/>
  <c r="F68" i="6"/>
  <c r="G34" i="6"/>
  <c r="G155" i="6"/>
  <c r="G52" i="6"/>
  <c r="G116" i="6"/>
  <c r="G165" i="6"/>
  <c r="E126" i="6"/>
  <c r="F151" i="6"/>
  <c r="F103" i="6"/>
  <c r="E200" i="6"/>
  <c r="F200" i="6" s="1"/>
  <c r="E9" i="6"/>
  <c r="F9" i="6" s="1"/>
  <c r="E245" i="6"/>
  <c r="G245" i="6" s="1"/>
  <c r="E296" i="6"/>
  <c r="G296" i="6" s="1"/>
  <c r="E325" i="6"/>
  <c r="F325" i="6" s="1"/>
  <c r="F286" i="6"/>
  <c r="F164" i="6"/>
  <c r="E26" i="6"/>
  <c r="G26" i="6" s="1"/>
  <c r="G200" i="6"/>
  <c r="F72" i="6"/>
  <c r="I9" i="8"/>
  <c r="L9" i="8" s="1"/>
  <c r="M9" i="8" s="1"/>
  <c r="N9" i="8" s="1"/>
  <c r="J11" i="9"/>
  <c r="K11" i="9" s="1"/>
  <c r="A12" i="9"/>
  <c r="B11" i="9"/>
  <c r="C11" i="9" s="1"/>
  <c r="F54" i="6"/>
  <c r="A13" i="8"/>
  <c r="B12" i="8"/>
  <c r="C12" i="8" s="1"/>
  <c r="J12" i="8"/>
  <c r="K12" i="8" s="1"/>
  <c r="B12" i="7"/>
  <c r="C12" i="7" s="1"/>
  <c r="A12" i="2"/>
  <c r="J12" i="7"/>
  <c r="K12" i="7" s="1"/>
  <c r="A13" i="7"/>
  <c r="E220" i="6"/>
  <c r="G220" i="6" s="1"/>
  <c r="E293" i="6"/>
  <c r="F293" i="6" s="1"/>
  <c r="E359" i="6"/>
  <c r="F359" i="6" s="1"/>
  <c r="F220" i="6"/>
  <c r="G293" i="6"/>
  <c r="E129" i="6"/>
  <c r="G129" i="6" s="1"/>
  <c r="F126" i="6"/>
  <c r="F186" i="6" l="1"/>
  <c r="G185" i="6"/>
  <c r="F99" i="6"/>
  <c r="F197" i="6"/>
  <c r="G88" i="6"/>
  <c r="F251" i="6"/>
  <c r="F232" i="6"/>
  <c r="R6" i="8"/>
  <c r="S6" i="8" s="1"/>
  <c r="T6" i="8" s="1"/>
  <c r="F245" i="6"/>
  <c r="S8" i="9"/>
  <c r="T8" i="9" s="1"/>
  <c r="F199" i="6"/>
  <c r="AC8" i="9"/>
  <c r="J8" i="2"/>
  <c r="K8" i="2" s="1"/>
  <c r="AG8" i="9"/>
  <c r="U8" i="9"/>
  <c r="W8" i="9" s="1"/>
  <c r="H11" i="8"/>
  <c r="P11" i="8"/>
  <c r="O11" i="8"/>
  <c r="R11" i="8"/>
  <c r="Q11" i="8"/>
  <c r="G11" i="8"/>
  <c r="E11" i="8"/>
  <c r="F11" i="8"/>
  <c r="S10" i="7"/>
  <c r="T10" i="7" s="1"/>
  <c r="F26" i="6"/>
  <c r="Q7" i="8"/>
  <c r="S7" i="8" s="1"/>
  <c r="T7" i="8" s="1"/>
  <c r="Q7" i="7"/>
  <c r="S7" i="7" s="1"/>
  <c r="T7" i="7" s="1"/>
  <c r="S9" i="9"/>
  <c r="T9" i="9" s="1"/>
  <c r="G101" i="6"/>
  <c r="J13" i="7"/>
  <c r="K13" i="7" s="1"/>
  <c r="A14" i="7"/>
  <c r="A13" i="2"/>
  <c r="B13" i="7"/>
  <c r="C13" i="7" s="1"/>
  <c r="F295" i="6"/>
  <c r="AC6" i="7"/>
  <c r="U6" i="7"/>
  <c r="W6" i="7" s="1"/>
  <c r="D6" i="2"/>
  <c r="F129" i="6"/>
  <c r="H10" i="9"/>
  <c r="R10" i="9"/>
  <c r="P10" i="9"/>
  <c r="O10" i="9"/>
  <c r="Q10" i="9"/>
  <c r="E10" i="9"/>
  <c r="F10" i="9"/>
  <c r="G10" i="9"/>
  <c r="G148" i="6"/>
  <c r="P11" i="7"/>
  <c r="O11" i="7"/>
  <c r="E11" i="7"/>
  <c r="H11" i="7"/>
  <c r="G11" i="7"/>
  <c r="F11" i="7"/>
  <c r="R11" i="7"/>
  <c r="Q11" i="7"/>
  <c r="AB12" i="7"/>
  <c r="C12" i="2"/>
  <c r="D12" i="7"/>
  <c r="AA12" i="7"/>
  <c r="B12" i="2"/>
  <c r="AB12" i="8"/>
  <c r="F12" i="2"/>
  <c r="D12" i="8"/>
  <c r="AA12" i="8"/>
  <c r="F11" i="6"/>
  <c r="G6" i="2"/>
  <c r="AC6" i="8"/>
  <c r="U6" i="8"/>
  <c r="W6" i="8" s="1"/>
  <c r="Q9" i="7"/>
  <c r="Q9" i="8"/>
  <c r="AC6" i="9"/>
  <c r="AG6" i="9"/>
  <c r="J6" i="2"/>
  <c r="U6" i="9"/>
  <c r="W6" i="9" s="1"/>
  <c r="AA11" i="9"/>
  <c r="D11" i="9"/>
  <c r="AE11" i="9"/>
  <c r="R9" i="8"/>
  <c r="R9" i="7"/>
  <c r="AB11" i="9"/>
  <c r="AF11" i="9"/>
  <c r="I11" i="2"/>
  <c r="G325" i="6"/>
  <c r="J13" i="8"/>
  <c r="K13" i="8" s="1"/>
  <c r="B13" i="8"/>
  <c r="C13" i="8" s="1"/>
  <c r="A14" i="8"/>
  <c r="J12" i="9"/>
  <c r="K12" i="9" s="1"/>
  <c r="A13" i="9"/>
  <c r="B12" i="9"/>
  <c r="C12" i="9" s="1"/>
  <c r="AC7" i="9"/>
  <c r="AG7" i="9"/>
  <c r="J7" i="2"/>
  <c r="K7" i="2" s="1"/>
  <c r="U7" i="9"/>
  <c r="W7" i="9" s="1"/>
  <c r="I10" i="7"/>
  <c r="L10" i="7" s="1"/>
  <c r="M10" i="7" s="1"/>
  <c r="N10" i="7" s="1"/>
  <c r="S10" i="8"/>
  <c r="T10" i="8" s="1"/>
  <c r="I10" i="8"/>
  <c r="L10" i="8" s="1"/>
  <c r="M10" i="8" s="1"/>
  <c r="N10" i="8" s="1"/>
  <c r="G9" i="6"/>
  <c r="F296" i="6"/>
  <c r="E11" i="9" l="1"/>
  <c r="R11" i="9"/>
  <c r="H11" i="9"/>
  <c r="G11" i="9"/>
  <c r="P11" i="9"/>
  <c r="O11" i="9"/>
  <c r="Q11" i="9"/>
  <c r="F11" i="9"/>
  <c r="S11" i="7"/>
  <c r="T11" i="7" s="1"/>
  <c r="AC7" i="8"/>
  <c r="G7" i="2"/>
  <c r="H7" i="2" s="1"/>
  <c r="U7" i="8"/>
  <c r="W7" i="8" s="1"/>
  <c r="J14" i="7"/>
  <c r="K14" i="7" s="1"/>
  <c r="A15" i="7"/>
  <c r="B14" i="7"/>
  <c r="C14" i="7" s="1"/>
  <c r="A14" i="2"/>
  <c r="K6" i="2"/>
  <c r="AC10" i="7"/>
  <c r="D10" i="2"/>
  <c r="E10" i="2" s="1"/>
  <c r="U10" i="7"/>
  <c r="W10" i="7" s="1"/>
  <c r="S10" i="9"/>
  <c r="T10" i="9" s="1"/>
  <c r="S11" i="8"/>
  <c r="T11" i="8" s="1"/>
  <c r="E6" i="2"/>
  <c r="S9" i="7"/>
  <c r="T9" i="7" s="1"/>
  <c r="AE12" i="9"/>
  <c r="AA12" i="9"/>
  <c r="D12" i="9"/>
  <c r="J13" i="9"/>
  <c r="K13" i="9" s="1"/>
  <c r="A14" i="9"/>
  <c r="B13" i="9"/>
  <c r="C13" i="9" s="1"/>
  <c r="H6" i="2"/>
  <c r="R8" i="7"/>
  <c r="S8" i="7" s="1"/>
  <c r="T8" i="7" s="1"/>
  <c r="R8" i="8"/>
  <c r="S8" i="8" s="1"/>
  <c r="T8" i="8" s="1"/>
  <c r="P12" i="7"/>
  <c r="O12" i="7"/>
  <c r="R12" i="7"/>
  <c r="Q12" i="7"/>
  <c r="G12" i="7"/>
  <c r="F12" i="7"/>
  <c r="E12" i="7"/>
  <c r="H12" i="7"/>
  <c r="B13" i="2"/>
  <c r="AA13" i="7"/>
  <c r="D13" i="7"/>
  <c r="C13" i="2"/>
  <c r="AB13" i="7"/>
  <c r="I11" i="7"/>
  <c r="L11" i="7" s="1"/>
  <c r="M11" i="7" s="1"/>
  <c r="N11" i="7" s="1"/>
  <c r="AF12" i="9"/>
  <c r="AB12" i="9"/>
  <c r="I12" i="2"/>
  <c r="A15" i="8"/>
  <c r="J14" i="8"/>
  <c r="K14" i="8" s="1"/>
  <c r="B14" i="8"/>
  <c r="C14" i="8" s="1"/>
  <c r="AC10" i="8"/>
  <c r="G10" i="2"/>
  <c r="H10" i="2" s="1"/>
  <c r="U10" i="8"/>
  <c r="W10" i="8" s="1"/>
  <c r="S9" i="8"/>
  <c r="T9" i="8" s="1"/>
  <c r="AC9" i="9"/>
  <c r="J9" i="2"/>
  <c r="K9" i="2" s="1"/>
  <c r="AG9" i="9"/>
  <c r="U9" i="9"/>
  <c r="W9" i="9" s="1"/>
  <c r="D13" i="8"/>
  <c r="AA13" i="8"/>
  <c r="G12" i="8"/>
  <c r="E12" i="8"/>
  <c r="Q12" i="8"/>
  <c r="R12" i="8"/>
  <c r="P12" i="8"/>
  <c r="H12" i="8"/>
  <c r="F12" i="8"/>
  <c r="O12" i="8"/>
  <c r="S12" i="8" s="1"/>
  <c r="T12" i="8" s="1"/>
  <c r="I10" i="9"/>
  <c r="L10" i="9" s="1"/>
  <c r="M10" i="9" s="1"/>
  <c r="N10" i="9" s="1"/>
  <c r="D7" i="2"/>
  <c r="E7" i="2" s="1"/>
  <c r="AC7" i="7"/>
  <c r="U7" i="7"/>
  <c r="W7" i="7" s="1"/>
  <c r="AB13" i="8"/>
  <c r="F13" i="2"/>
  <c r="I11" i="8"/>
  <c r="L11" i="8" s="1"/>
  <c r="M11" i="8" s="1"/>
  <c r="N11" i="8" s="1"/>
  <c r="AB14" i="8" l="1"/>
  <c r="F14" i="2"/>
  <c r="AC11" i="7"/>
  <c r="D11" i="2"/>
  <c r="E11" i="2" s="1"/>
  <c r="U11" i="7"/>
  <c r="W11" i="7" s="1"/>
  <c r="S11" i="9"/>
  <c r="T11" i="9" s="1"/>
  <c r="I11" i="9"/>
  <c r="L11" i="9" s="1"/>
  <c r="M11" i="9" s="1"/>
  <c r="N11" i="9" s="1"/>
  <c r="F13" i="8"/>
  <c r="H13" i="8"/>
  <c r="G13" i="8"/>
  <c r="Q13" i="8"/>
  <c r="P13" i="8"/>
  <c r="O13" i="8"/>
  <c r="R13" i="8"/>
  <c r="E13" i="8"/>
  <c r="AE13" i="9"/>
  <c r="D13" i="9"/>
  <c r="AA13" i="9"/>
  <c r="J14" i="9"/>
  <c r="K14" i="9" s="1"/>
  <c r="A15" i="9"/>
  <c r="B14" i="9"/>
  <c r="C14" i="9" s="1"/>
  <c r="AC8" i="7"/>
  <c r="D8" i="2"/>
  <c r="E8" i="2" s="1"/>
  <c r="U8" i="7"/>
  <c r="W8" i="7" s="1"/>
  <c r="I12" i="7"/>
  <c r="L12" i="7" s="1"/>
  <c r="M12" i="7" s="1"/>
  <c r="N12" i="7" s="1"/>
  <c r="AC12" i="8"/>
  <c r="G12" i="2"/>
  <c r="H12" i="2" s="1"/>
  <c r="U12" i="8"/>
  <c r="W12" i="8" s="1"/>
  <c r="S12" i="7"/>
  <c r="T12" i="7" s="1"/>
  <c r="I12" i="8"/>
  <c r="L12" i="8" s="1"/>
  <c r="M12" i="8" s="1"/>
  <c r="N12" i="8" s="1"/>
  <c r="AC11" i="8"/>
  <c r="G11" i="2"/>
  <c r="H11" i="2" s="1"/>
  <c r="U11" i="8"/>
  <c r="W11" i="8" s="1"/>
  <c r="AG10" i="9"/>
  <c r="AC10" i="9"/>
  <c r="J10" i="2"/>
  <c r="K10" i="2" s="1"/>
  <c r="U10" i="9"/>
  <c r="W10" i="9" s="1"/>
  <c r="AA14" i="7"/>
  <c r="D14" i="7"/>
  <c r="B14" i="2"/>
  <c r="AB13" i="9"/>
  <c r="AF13" i="9"/>
  <c r="I13" i="2"/>
  <c r="R12" i="9"/>
  <c r="Q12" i="9"/>
  <c r="H12" i="9"/>
  <c r="G12" i="9"/>
  <c r="P12" i="9"/>
  <c r="O12" i="9"/>
  <c r="F12" i="9"/>
  <c r="E12" i="9"/>
  <c r="AC9" i="7"/>
  <c r="D9" i="2"/>
  <c r="E9" i="2" s="1"/>
  <c r="U9" i="7"/>
  <c r="W9" i="7" s="1"/>
  <c r="AC9" i="8"/>
  <c r="G9" i="2"/>
  <c r="H9" i="2" s="1"/>
  <c r="U9" i="8"/>
  <c r="W9" i="8" s="1"/>
  <c r="AA14" i="8"/>
  <c r="D14" i="8"/>
  <c r="A16" i="7"/>
  <c r="A15" i="2"/>
  <c r="B15" i="7"/>
  <c r="C15" i="7" s="1"/>
  <c r="J15" i="7"/>
  <c r="K15" i="7" s="1"/>
  <c r="AB14" i="7"/>
  <c r="C14" i="2"/>
  <c r="AC8" i="8"/>
  <c r="G8" i="2"/>
  <c r="H8" i="2" s="1"/>
  <c r="U8" i="8"/>
  <c r="W8" i="8" s="1"/>
  <c r="J15" i="8"/>
  <c r="K15" i="8" s="1"/>
  <c r="B15" i="8"/>
  <c r="C15" i="8" s="1"/>
  <c r="A16" i="8"/>
  <c r="P13" i="7"/>
  <c r="O13" i="7"/>
  <c r="R13" i="7"/>
  <c r="Q13" i="7"/>
  <c r="G13" i="7"/>
  <c r="F13" i="7"/>
  <c r="H13" i="7"/>
  <c r="E13" i="7"/>
  <c r="S13" i="8" l="1"/>
  <c r="T13" i="8" s="1"/>
  <c r="S12" i="9"/>
  <c r="T12" i="9" s="1"/>
  <c r="AA15" i="7"/>
  <c r="B15" i="2"/>
  <c r="D15" i="7"/>
  <c r="A16" i="9"/>
  <c r="J15" i="9"/>
  <c r="K15" i="9" s="1"/>
  <c r="B15" i="9"/>
  <c r="C15" i="9" s="1"/>
  <c r="E14" i="8"/>
  <c r="O14" i="8"/>
  <c r="H14" i="8"/>
  <c r="G14" i="8"/>
  <c r="Q14" i="8"/>
  <c r="P14" i="8"/>
  <c r="R14" i="8"/>
  <c r="F14" i="8"/>
  <c r="P14" i="7"/>
  <c r="O14" i="7"/>
  <c r="R14" i="7"/>
  <c r="Q14" i="7"/>
  <c r="F14" i="7"/>
  <c r="H14" i="7"/>
  <c r="G14" i="7"/>
  <c r="E14" i="7"/>
  <c r="I14" i="7" s="1"/>
  <c r="L14" i="7" s="1"/>
  <c r="M14" i="7" s="1"/>
  <c r="N14" i="7" s="1"/>
  <c r="P13" i="9"/>
  <c r="O13" i="9"/>
  <c r="R13" i="9"/>
  <c r="F13" i="9"/>
  <c r="E13" i="9"/>
  <c r="H13" i="9"/>
  <c r="G13" i="9"/>
  <c r="Q13" i="9"/>
  <c r="AC12" i="9"/>
  <c r="J12" i="2"/>
  <c r="K12" i="2" s="1"/>
  <c r="AG12" i="9"/>
  <c r="U12" i="9"/>
  <c r="W12" i="9" s="1"/>
  <c r="AF14" i="9"/>
  <c r="AB14" i="9"/>
  <c r="I14" i="2"/>
  <c r="A17" i="7"/>
  <c r="B16" i="7"/>
  <c r="C16" i="7" s="1"/>
  <c r="A16" i="2"/>
  <c r="J16" i="7"/>
  <c r="K16" i="7" s="1"/>
  <c r="I12" i="9"/>
  <c r="L12" i="9" s="1"/>
  <c r="M12" i="9" s="1"/>
  <c r="N12" i="9" s="1"/>
  <c r="D12" i="2"/>
  <c r="E12" i="2" s="1"/>
  <c r="AC12" i="7"/>
  <c r="U12" i="7"/>
  <c r="W12" i="7" s="1"/>
  <c r="I13" i="7"/>
  <c r="L13" i="7" s="1"/>
  <c r="M13" i="7" s="1"/>
  <c r="N13" i="7" s="1"/>
  <c r="I13" i="8"/>
  <c r="L13" i="8" s="1"/>
  <c r="M13" i="8" s="1"/>
  <c r="N13" i="8" s="1"/>
  <c r="S13" i="7"/>
  <c r="T13" i="7" s="1"/>
  <c r="D15" i="8"/>
  <c r="AA15" i="8"/>
  <c r="AG11" i="9"/>
  <c r="AC11" i="9"/>
  <c r="J11" i="2"/>
  <c r="U11" i="9"/>
  <c r="W11" i="9" s="1"/>
  <c r="B16" i="8"/>
  <c r="C16" i="8" s="1"/>
  <c r="A17" i="8"/>
  <c r="J16" i="8"/>
  <c r="K16" i="8" s="1"/>
  <c r="AB15" i="8"/>
  <c r="F15" i="2"/>
  <c r="AC13" i="8"/>
  <c r="G13" i="2"/>
  <c r="H13" i="2" s="1"/>
  <c r="U13" i="8"/>
  <c r="W13" i="8" s="1"/>
  <c r="AB15" i="7"/>
  <c r="C15" i="2"/>
  <c r="D14" i="9"/>
  <c r="AA14" i="9"/>
  <c r="AE14" i="9"/>
  <c r="S14" i="7" l="1"/>
  <c r="T14" i="7" s="1"/>
  <c r="AF15" i="9"/>
  <c r="AB15" i="9"/>
  <c r="I15" i="2"/>
  <c r="B16" i="9"/>
  <c r="C16" i="9" s="1"/>
  <c r="A17" i="9"/>
  <c r="J16" i="9"/>
  <c r="K16" i="9" s="1"/>
  <c r="R14" i="9"/>
  <c r="P14" i="9"/>
  <c r="Q14" i="9"/>
  <c r="O14" i="9"/>
  <c r="H14" i="9"/>
  <c r="G14" i="9"/>
  <c r="F14" i="9"/>
  <c r="E14" i="9"/>
  <c r="D16" i="8"/>
  <c r="AA16" i="8"/>
  <c r="S14" i="8"/>
  <c r="T14" i="8" s="1"/>
  <c r="K11" i="2"/>
  <c r="AB16" i="7"/>
  <c r="C16" i="2"/>
  <c r="I13" i="9"/>
  <c r="L13" i="9" s="1"/>
  <c r="M13" i="9" s="1"/>
  <c r="N13" i="9" s="1"/>
  <c r="AB16" i="8"/>
  <c r="F16" i="2"/>
  <c r="R15" i="8"/>
  <c r="P15" i="8"/>
  <c r="Q15" i="8"/>
  <c r="O15" i="8"/>
  <c r="S15" i="8" s="1"/>
  <c r="T15" i="8" s="1"/>
  <c r="G15" i="8"/>
  <c r="H15" i="8"/>
  <c r="E15" i="8"/>
  <c r="F15" i="8"/>
  <c r="R15" i="7"/>
  <c r="P15" i="7"/>
  <c r="O15" i="7"/>
  <c r="H15" i="7"/>
  <c r="F15" i="7"/>
  <c r="E15" i="7"/>
  <c r="Q15" i="7"/>
  <c r="G15" i="7"/>
  <c r="D13" i="2"/>
  <c r="AC13" i="7"/>
  <c r="U13" i="7"/>
  <c r="W13" i="7" s="1"/>
  <c r="B16" i="2"/>
  <c r="D16" i="7"/>
  <c r="AA16" i="7"/>
  <c r="I14" i="8"/>
  <c r="L14" i="8" s="1"/>
  <c r="M14" i="8" s="1"/>
  <c r="N14" i="8" s="1"/>
  <c r="B17" i="7"/>
  <c r="C17" i="7" s="1"/>
  <c r="A18" i="7"/>
  <c r="J17" i="7"/>
  <c r="K17" i="7" s="1"/>
  <c r="A17" i="2"/>
  <c r="AC14" i="7"/>
  <c r="D14" i="2"/>
  <c r="E14" i="2" s="1"/>
  <c r="U14" i="7"/>
  <c r="W14" i="7" s="1"/>
  <c r="A18" i="8"/>
  <c r="B17" i="8"/>
  <c r="C17" i="8" s="1"/>
  <c r="J17" i="8"/>
  <c r="K17" i="8" s="1"/>
  <c r="AA15" i="9"/>
  <c r="AE15" i="9"/>
  <c r="D15" i="9"/>
  <c r="S13" i="9"/>
  <c r="T13" i="9" s="1"/>
  <c r="S14" i="9" l="1"/>
  <c r="T14" i="9" s="1"/>
  <c r="B18" i="7"/>
  <c r="C18" i="7" s="1"/>
  <c r="J18" i="7"/>
  <c r="K18" i="7" s="1"/>
  <c r="A19" i="7"/>
  <c r="A18" i="2"/>
  <c r="D16" i="9"/>
  <c r="AE16" i="9"/>
  <c r="AA16" i="9"/>
  <c r="Q16" i="7"/>
  <c r="P16" i="7"/>
  <c r="O16" i="7"/>
  <c r="R16" i="7"/>
  <c r="G16" i="7"/>
  <c r="F16" i="7"/>
  <c r="E16" i="7"/>
  <c r="H16" i="7"/>
  <c r="E13" i="2"/>
  <c r="AB17" i="7"/>
  <c r="C17" i="2"/>
  <c r="B17" i="9"/>
  <c r="C17" i="9" s="1"/>
  <c r="A18" i="9"/>
  <c r="J17" i="9"/>
  <c r="K17" i="9" s="1"/>
  <c r="AC13" i="9"/>
  <c r="AG13" i="9"/>
  <c r="J13" i="2"/>
  <c r="U13" i="9"/>
  <c r="W13" i="9" s="1"/>
  <c r="I15" i="8"/>
  <c r="L15" i="8" s="1"/>
  <c r="M15" i="8" s="1"/>
  <c r="N15" i="8" s="1"/>
  <c r="AF16" i="9"/>
  <c r="AB16" i="9"/>
  <c r="I16" i="2"/>
  <c r="H15" i="9"/>
  <c r="G15" i="9"/>
  <c r="F15" i="9"/>
  <c r="E15" i="9"/>
  <c r="I15" i="9" s="1"/>
  <c r="L15" i="9" s="1"/>
  <c r="M15" i="9" s="1"/>
  <c r="N15" i="9" s="1"/>
  <c r="R15" i="9"/>
  <c r="Q15" i="9"/>
  <c r="P15" i="9"/>
  <c r="O15" i="9"/>
  <c r="S15" i="9" s="1"/>
  <c r="T15" i="9" s="1"/>
  <c r="I15" i="7"/>
  <c r="L15" i="7" s="1"/>
  <c r="M15" i="7" s="1"/>
  <c r="N15" i="7" s="1"/>
  <c r="AG14" i="9"/>
  <c r="AC14" i="9"/>
  <c r="J14" i="2"/>
  <c r="K14" i="2" s="1"/>
  <c r="U14" i="9"/>
  <c r="W14" i="9" s="1"/>
  <c r="AC15" i="8"/>
  <c r="G15" i="2"/>
  <c r="H15" i="2" s="1"/>
  <c r="U15" i="8"/>
  <c r="W15" i="8" s="1"/>
  <c r="AA17" i="7"/>
  <c r="B17" i="2"/>
  <c r="D17" i="7"/>
  <c r="AC14" i="8"/>
  <c r="G14" i="2"/>
  <c r="U14" i="8"/>
  <c r="W14" i="8" s="1"/>
  <c r="F17" i="2"/>
  <c r="AB17" i="8"/>
  <c r="D17" i="8"/>
  <c r="AA17" i="8"/>
  <c r="S15" i="7"/>
  <c r="T15" i="7" s="1"/>
  <c r="Q16" i="8"/>
  <c r="R16" i="8"/>
  <c r="P16" i="8"/>
  <c r="O16" i="8"/>
  <c r="S16" i="8" s="1"/>
  <c r="T16" i="8" s="1"/>
  <c r="H16" i="8"/>
  <c r="F16" i="8"/>
  <c r="E16" i="8"/>
  <c r="G16" i="8"/>
  <c r="J18" i="8"/>
  <c r="K18" i="8" s="1"/>
  <c r="B18" i="8"/>
  <c r="C18" i="8" s="1"/>
  <c r="A19" i="8"/>
  <c r="I14" i="9"/>
  <c r="L14" i="9" s="1"/>
  <c r="M14" i="9" s="1"/>
  <c r="N14" i="9" s="1"/>
  <c r="S16" i="7" l="1"/>
  <c r="T16" i="7" s="1"/>
  <c r="R16" i="9"/>
  <c r="H16" i="9"/>
  <c r="G16" i="9"/>
  <c r="P16" i="9"/>
  <c r="O16" i="9"/>
  <c r="F16" i="9"/>
  <c r="E16" i="9"/>
  <c r="I16" i="9" s="1"/>
  <c r="L16" i="9" s="1"/>
  <c r="M16" i="9" s="1"/>
  <c r="N16" i="9" s="1"/>
  <c r="Q16" i="9"/>
  <c r="AB17" i="9"/>
  <c r="I17" i="2"/>
  <c r="AF17" i="9"/>
  <c r="B18" i="9"/>
  <c r="C18" i="9" s="1"/>
  <c r="J18" i="9"/>
  <c r="K18" i="9" s="1"/>
  <c r="A19" i="9"/>
  <c r="AC16" i="8"/>
  <c r="G16" i="2"/>
  <c r="H16" i="2" s="1"/>
  <c r="U16" i="8"/>
  <c r="W16" i="8" s="1"/>
  <c r="AG15" i="9"/>
  <c r="AC15" i="9"/>
  <c r="J15" i="2"/>
  <c r="K15" i="2" s="1"/>
  <c r="U15" i="9"/>
  <c r="W15" i="9" s="1"/>
  <c r="I16" i="7"/>
  <c r="L16" i="7" s="1"/>
  <c r="M16" i="7" s="1"/>
  <c r="N16" i="7" s="1"/>
  <c r="P17" i="8"/>
  <c r="R17" i="8"/>
  <c r="Q17" i="8"/>
  <c r="E17" i="8"/>
  <c r="H17" i="8"/>
  <c r="O17" i="8"/>
  <c r="G17" i="8"/>
  <c r="F17" i="8"/>
  <c r="P17" i="7"/>
  <c r="Q17" i="7"/>
  <c r="O17" i="7"/>
  <c r="H17" i="7"/>
  <c r="G17" i="7"/>
  <c r="F17" i="7"/>
  <c r="E17" i="7"/>
  <c r="I17" i="7" s="1"/>
  <c r="L17" i="7" s="1"/>
  <c r="M17" i="7" s="1"/>
  <c r="N17" i="7" s="1"/>
  <c r="R17" i="7"/>
  <c r="F18" i="2"/>
  <c r="AB18" i="8"/>
  <c r="I16" i="8"/>
  <c r="L16" i="8" s="1"/>
  <c r="M16" i="8" s="1"/>
  <c r="N16" i="8" s="1"/>
  <c r="AA17" i="9"/>
  <c r="AE17" i="9"/>
  <c r="D17" i="9"/>
  <c r="AC15" i="7"/>
  <c r="D15" i="2"/>
  <c r="U15" i="7"/>
  <c r="W15" i="7" s="1"/>
  <c r="H14" i="2"/>
  <c r="K13" i="2"/>
  <c r="J19" i="7"/>
  <c r="K19" i="7" s="1"/>
  <c r="B19" i="7"/>
  <c r="C19" i="7" s="1"/>
  <c r="A20" i="7"/>
  <c r="A19" i="2"/>
  <c r="A20" i="8"/>
  <c r="J19" i="8"/>
  <c r="K19" i="8" s="1"/>
  <c r="B19" i="8"/>
  <c r="C19" i="8" s="1"/>
  <c r="AB18" i="7"/>
  <c r="C18" i="2"/>
  <c r="D18" i="8"/>
  <c r="AA18" i="8"/>
  <c r="D18" i="7"/>
  <c r="AA18" i="7"/>
  <c r="B18" i="2"/>
  <c r="S17" i="8" l="1"/>
  <c r="T17" i="8" s="1"/>
  <c r="C19" i="2"/>
  <c r="AB19" i="7"/>
  <c r="G17" i="2"/>
  <c r="H17" i="2" s="1"/>
  <c r="AC17" i="8"/>
  <c r="U17" i="8"/>
  <c r="W17" i="8" s="1"/>
  <c r="I17" i="8"/>
  <c r="L17" i="8" s="1"/>
  <c r="M17" i="8" s="1"/>
  <c r="N17" i="8" s="1"/>
  <c r="R17" i="9"/>
  <c r="E17" i="9"/>
  <c r="Q17" i="9"/>
  <c r="H17" i="9"/>
  <c r="P17" i="9"/>
  <c r="O17" i="9"/>
  <c r="G17" i="9"/>
  <c r="F17" i="9"/>
  <c r="O18" i="8"/>
  <c r="E18" i="8"/>
  <c r="H18" i="8"/>
  <c r="R18" i="8"/>
  <c r="Q18" i="8"/>
  <c r="F18" i="8"/>
  <c r="G18" i="8"/>
  <c r="P18" i="8"/>
  <c r="A20" i="9"/>
  <c r="B19" i="9"/>
  <c r="C19" i="9" s="1"/>
  <c r="J19" i="9"/>
  <c r="K19" i="9" s="1"/>
  <c r="D18" i="9"/>
  <c r="AE18" i="9"/>
  <c r="AA18" i="9"/>
  <c r="A21" i="8"/>
  <c r="J20" i="8"/>
  <c r="K20" i="8" s="1"/>
  <c r="B20" i="8"/>
  <c r="C20" i="8" s="1"/>
  <c r="E15" i="2"/>
  <c r="D19" i="8"/>
  <c r="AA19" i="8"/>
  <c r="AF18" i="9"/>
  <c r="AB18" i="9"/>
  <c r="I18" i="2"/>
  <c r="AB19" i="8"/>
  <c r="F19" i="2"/>
  <c r="S17" i="7"/>
  <c r="T17" i="7" s="1"/>
  <c r="A21" i="7"/>
  <c r="B20" i="7"/>
  <c r="C20" i="7" s="1"/>
  <c r="J20" i="7"/>
  <c r="K20" i="7" s="1"/>
  <c r="A20" i="2"/>
  <c r="D19" i="7"/>
  <c r="AA19" i="7"/>
  <c r="B19" i="2"/>
  <c r="S16" i="9"/>
  <c r="T16" i="9" s="1"/>
  <c r="O18" i="7"/>
  <c r="Q18" i="7"/>
  <c r="P18" i="7"/>
  <c r="G18" i="7"/>
  <c r="E18" i="7"/>
  <c r="R18" i="7"/>
  <c r="F18" i="7"/>
  <c r="H18" i="7"/>
  <c r="AC16" i="7"/>
  <c r="D16" i="2"/>
  <c r="E16" i="2" s="1"/>
  <c r="U16" i="7"/>
  <c r="W16" i="7" s="1"/>
  <c r="S18" i="8" l="1"/>
  <c r="T18" i="8" s="1"/>
  <c r="I18" i="7"/>
  <c r="L18" i="7" s="1"/>
  <c r="M18" i="7" s="1"/>
  <c r="N18" i="7" s="1"/>
  <c r="F19" i="8"/>
  <c r="P19" i="8"/>
  <c r="O19" i="8"/>
  <c r="R19" i="8"/>
  <c r="Q19" i="8"/>
  <c r="E19" i="8"/>
  <c r="H19" i="8"/>
  <c r="G19" i="8"/>
  <c r="I18" i="8"/>
  <c r="L18" i="8" s="1"/>
  <c r="M18" i="8" s="1"/>
  <c r="N18" i="8" s="1"/>
  <c r="I17" i="9"/>
  <c r="L17" i="9" s="1"/>
  <c r="M17" i="9" s="1"/>
  <c r="N17" i="9" s="1"/>
  <c r="AB20" i="7"/>
  <c r="C20" i="2"/>
  <c r="S17" i="9"/>
  <c r="T17" i="9" s="1"/>
  <c r="Q19" i="7"/>
  <c r="P19" i="7"/>
  <c r="F19" i="7"/>
  <c r="E19" i="7"/>
  <c r="R19" i="7"/>
  <c r="O19" i="7"/>
  <c r="H19" i="7"/>
  <c r="G19" i="7"/>
  <c r="A22" i="8"/>
  <c r="J21" i="8"/>
  <c r="K21" i="8" s="1"/>
  <c r="B21" i="8"/>
  <c r="C21" i="8" s="1"/>
  <c r="AF19" i="9"/>
  <c r="I19" i="2"/>
  <c r="AB19" i="9"/>
  <c r="S18" i="7"/>
  <c r="T18" i="7" s="1"/>
  <c r="AG16" i="9"/>
  <c r="AC16" i="9"/>
  <c r="J16" i="2"/>
  <c r="U16" i="9"/>
  <c r="W16" i="9" s="1"/>
  <c r="AA20" i="8"/>
  <c r="D20" i="8"/>
  <c r="AB20" i="8"/>
  <c r="F20" i="2"/>
  <c r="AA20" i="7"/>
  <c r="B20" i="2"/>
  <c r="D20" i="7"/>
  <c r="R18" i="9"/>
  <c r="Q18" i="9"/>
  <c r="F18" i="9"/>
  <c r="E18" i="9"/>
  <c r="O18" i="9"/>
  <c r="H18" i="9"/>
  <c r="P18" i="9"/>
  <c r="G18" i="9"/>
  <c r="J21" i="7"/>
  <c r="K21" i="7" s="1"/>
  <c r="A21" i="2"/>
  <c r="B21" i="7"/>
  <c r="C21" i="7" s="1"/>
  <c r="A22" i="7"/>
  <c r="AE19" i="9"/>
  <c r="D19" i="9"/>
  <c r="AA19" i="9"/>
  <c r="D17" i="2"/>
  <c r="E17" i="2" s="1"/>
  <c r="AC17" i="7"/>
  <c r="U17" i="7"/>
  <c r="W17" i="7" s="1"/>
  <c r="J20" i="9"/>
  <c r="K20" i="9" s="1"/>
  <c r="A21" i="9"/>
  <c r="B20" i="9"/>
  <c r="C20" i="9" s="1"/>
  <c r="I19" i="7" l="1"/>
  <c r="L19" i="7" s="1"/>
  <c r="M19" i="7" s="1"/>
  <c r="N19" i="7" s="1"/>
  <c r="A22" i="9"/>
  <c r="J21" i="9"/>
  <c r="K21" i="9" s="1"/>
  <c r="B21" i="9"/>
  <c r="C21" i="9" s="1"/>
  <c r="AG17" i="9"/>
  <c r="J17" i="2"/>
  <c r="K17" i="2" s="1"/>
  <c r="AC17" i="9"/>
  <c r="U17" i="9"/>
  <c r="W17" i="9" s="1"/>
  <c r="K16" i="2"/>
  <c r="AB21" i="7"/>
  <c r="C21" i="2"/>
  <c r="I19" i="8"/>
  <c r="L19" i="8" s="1"/>
  <c r="M19" i="8" s="1"/>
  <c r="N19" i="8" s="1"/>
  <c r="AB21" i="8"/>
  <c r="F21" i="2"/>
  <c r="D20" i="9"/>
  <c r="AA20" i="9"/>
  <c r="AE20" i="9"/>
  <c r="AF20" i="9"/>
  <c r="AB20" i="9"/>
  <c r="I20" i="2"/>
  <c r="D21" i="7"/>
  <c r="AA21" i="7"/>
  <c r="B21" i="2"/>
  <c r="AC18" i="7"/>
  <c r="D18" i="2"/>
  <c r="E18" i="2" s="1"/>
  <c r="U18" i="7"/>
  <c r="W18" i="7" s="1"/>
  <c r="D21" i="8"/>
  <c r="AA21" i="8"/>
  <c r="S19" i="8"/>
  <c r="T19" i="8" s="1"/>
  <c r="Q20" i="7"/>
  <c r="P20" i="7"/>
  <c r="H20" i="7"/>
  <c r="G20" i="7"/>
  <c r="F20" i="7"/>
  <c r="R20" i="7"/>
  <c r="O20" i="7"/>
  <c r="S20" i="7" s="1"/>
  <c r="T20" i="7" s="1"/>
  <c r="E20" i="7"/>
  <c r="I20" i="7" s="1"/>
  <c r="L20" i="7" s="1"/>
  <c r="M20" i="7" s="1"/>
  <c r="N20" i="7" s="1"/>
  <c r="G20" i="8"/>
  <c r="F20" i="8"/>
  <c r="E20" i="8"/>
  <c r="Q20" i="8"/>
  <c r="O20" i="8"/>
  <c r="R20" i="8"/>
  <c r="P20" i="8"/>
  <c r="H20" i="8"/>
  <c r="P19" i="9"/>
  <c r="O19" i="9"/>
  <c r="G19" i="9"/>
  <c r="H19" i="9"/>
  <c r="R19" i="9"/>
  <c r="Q19" i="9"/>
  <c r="F19" i="9"/>
  <c r="E19" i="9"/>
  <c r="J22" i="7"/>
  <c r="K22" i="7" s="1"/>
  <c r="A22" i="2"/>
  <c r="A23" i="7"/>
  <c r="B22" i="7"/>
  <c r="C22" i="7" s="1"/>
  <c r="S18" i="9"/>
  <c r="T18" i="9" s="1"/>
  <c r="I18" i="9"/>
  <c r="L18" i="9" s="1"/>
  <c r="M18" i="9" s="1"/>
  <c r="N18" i="9" s="1"/>
  <c r="B22" i="8"/>
  <c r="C22" i="8" s="1"/>
  <c r="A23" i="8"/>
  <c r="J22" i="8"/>
  <c r="K22" i="8" s="1"/>
  <c r="S19" i="7"/>
  <c r="T19" i="7" s="1"/>
  <c r="AC18" i="8"/>
  <c r="G18" i="2"/>
  <c r="H18" i="2" s="1"/>
  <c r="U18" i="8"/>
  <c r="W18" i="8" s="1"/>
  <c r="D19" i="2" l="1"/>
  <c r="E19" i="2" s="1"/>
  <c r="AC19" i="7"/>
  <c r="U19" i="7"/>
  <c r="W19" i="7" s="1"/>
  <c r="AB22" i="8"/>
  <c r="F22" i="2"/>
  <c r="J23" i="8"/>
  <c r="K23" i="8" s="1"/>
  <c r="A24" i="8"/>
  <c r="B23" i="8"/>
  <c r="C23" i="8" s="1"/>
  <c r="AA22" i="8"/>
  <c r="D22" i="8"/>
  <c r="AB22" i="7"/>
  <c r="C22" i="2"/>
  <c r="H21" i="8"/>
  <c r="P21" i="8"/>
  <c r="O21" i="8"/>
  <c r="R21" i="8"/>
  <c r="Q21" i="8"/>
  <c r="G21" i="8"/>
  <c r="F21" i="8"/>
  <c r="E21" i="8"/>
  <c r="I21" i="8" s="1"/>
  <c r="L21" i="8" s="1"/>
  <c r="M21" i="8" s="1"/>
  <c r="N21" i="8" s="1"/>
  <c r="D21" i="9"/>
  <c r="AE21" i="9"/>
  <c r="AA21" i="9"/>
  <c r="I20" i="8"/>
  <c r="L20" i="8" s="1"/>
  <c r="M20" i="8" s="1"/>
  <c r="N20" i="8" s="1"/>
  <c r="AC20" i="7"/>
  <c r="D20" i="2"/>
  <c r="E20" i="2" s="1"/>
  <c r="U20" i="7"/>
  <c r="W20" i="7" s="1"/>
  <c r="H20" i="9"/>
  <c r="P20" i="9"/>
  <c r="O20" i="9"/>
  <c r="R20" i="9"/>
  <c r="Q20" i="9"/>
  <c r="F20" i="9"/>
  <c r="E20" i="9"/>
  <c r="G20" i="9"/>
  <c r="AC18" i="9"/>
  <c r="AG18" i="9"/>
  <c r="J18" i="2"/>
  <c r="K18" i="2" s="1"/>
  <c r="U18" i="9"/>
  <c r="W18" i="9" s="1"/>
  <c r="D22" i="7"/>
  <c r="AA22" i="7"/>
  <c r="B22" i="2"/>
  <c r="I19" i="9"/>
  <c r="L19" i="9" s="1"/>
  <c r="M19" i="9" s="1"/>
  <c r="N19" i="9" s="1"/>
  <c r="AC19" i="8"/>
  <c r="G19" i="2"/>
  <c r="H19" i="2" s="1"/>
  <c r="U19" i="8"/>
  <c r="W19" i="8" s="1"/>
  <c r="S19" i="9"/>
  <c r="T19" i="9" s="1"/>
  <c r="S20" i="8"/>
  <c r="T20" i="8" s="1"/>
  <c r="AF21" i="9"/>
  <c r="AB21" i="9"/>
  <c r="I21" i="2"/>
  <c r="J23" i="7"/>
  <c r="K23" i="7" s="1"/>
  <c r="B23" i="7"/>
  <c r="C23" i="7" s="1"/>
  <c r="A23" i="2"/>
  <c r="A24" i="7"/>
  <c r="Q21" i="7"/>
  <c r="P21" i="7"/>
  <c r="H21" i="7"/>
  <c r="G21" i="7"/>
  <c r="E21" i="7"/>
  <c r="F21" i="7"/>
  <c r="R21" i="7"/>
  <c r="O21" i="7"/>
  <c r="S21" i="7" s="1"/>
  <c r="T21" i="7" s="1"/>
  <c r="B22" i="9"/>
  <c r="C22" i="9" s="1"/>
  <c r="A23" i="9"/>
  <c r="J22" i="9"/>
  <c r="K22" i="9" s="1"/>
  <c r="I21" i="7" l="1"/>
  <c r="L21" i="7" s="1"/>
  <c r="M21" i="7" s="1"/>
  <c r="N21" i="7" s="1"/>
  <c r="Q22" i="7"/>
  <c r="P22" i="7"/>
  <c r="F22" i="7"/>
  <c r="E22" i="7"/>
  <c r="R22" i="7"/>
  <c r="O22" i="7"/>
  <c r="S22" i="7" s="1"/>
  <c r="T22" i="7" s="1"/>
  <c r="H22" i="7"/>
  <c r="G22" i="7"/>
  <c r="I20" i="9"/>
  <c r="L20" i="9" s="1"/>
  <c r="M20" i="9" s="1"/>
  <c r="N20" i="9" s="1"/>
  <c r="AA23" i="7"/>
  <c r="D23" i="7"/>
  <c r="B23" i="2"/>
  <c r="D23" i="8"/>
  <c r="AA23" i="8"/>
  <c r="F23" i="2"/>
  <c r="AB23" i="8"/>
  <c r="AC20" i="8"/>
  <c r="G20" i="2"/>
  <c r="H20" i="2" s="1"/>
  <c r="U20" i="8"/>
  <c r="W20" i="8" s="1"/>
  <c r="AC19" i="9"/>
  <c r="J19" i="2"/>
  <c r="K19" i="2" s="1"/>
  <c r="AG19" i="9"/>
  <c r="U19" i="9"/>
  <c r="W19" i="9" s="1"/>
  <c r="AF22" i="9"/>
  <c r="AB22" i="9"/>
  <c r="I22" i="2"/>
  <c r="AC21" i="7"/>
  <c r="D21" i="2"/>
  <c r="E21" i="2" s="1"/>
  <c r="U21" i="7"/>
  <c r="W21" i="7" s="1"/>
  <c r="S21" i="8"/>
  <c r="T21" i="8" s="1"/>
  <c r="AB23" i="7"/>
  <c r="C23" i="2"/>
  <c r="S20" i="9"/>
  <c r="T20" i="9" s="1"/>
  <c r="A24" i="9"/>
  <c r="B23" i="9"/>
  <c r="C23" i="9" s="1"/>
  <c r="J23" i="9"/>
  <c r="K23" i="9" s="1"/>
  <c r="A24" i="2"/>
  <c r="A25" i="7"/>
  <c r="B24" i="7"/>
  <c r="C24" i="7" s="1"/>
  <c r="J24" i="7"/>
  <c r="K24" i="7" s="1"/>
  <c r="G22" i="8"/>
  <c r="F22" i="8"/>
  <c r="Q22" i="8"/>
  <c r="P22" i="8"/>
  <c r="R22" i="8"/>
  <c r="O22" i="8"/>
  <c r="H22" i="8"/>
  <c r="E22" i="8"/>
  <c r="J24" i="8"/>
  <c r="K24" i="8" s="1"/>
  <c r="A25" i="8"/>
  <c r="B24" i="8"/>
  <c r="C24" i="8" s="1"/>
  <c r="D22" i="9"/>
  <c r="AE22" i="9"/>
  <c r="AA22" i="9"/>
  <c r="H21" i="9"/>
  <c r="G21" i="9"/>
  <c r="F21" i="9"/>
  <c r="E21" i="9"/>
  <c r="R21" i="9"/>
  <c r="O21" i="9"/>
  <c r="Q21" i="9"/>
  <c r="P21" i="9"/>
  <c r="I22" i="8" l="1"/>
  <c r="L22" i="8" s="1"/>
  <c r="M22" i="8" s="1"/>
  <c r="N22" i="8" s="1"/>
  <c r="AB24" i="8"/>
  <c r="F24" i="2"/>
  <c r="A26" i="7"/>
  <c r="J25" i="7"/>
  <c r="K25" i="7" s="1"/>
  <c r="B25" i="7"/>
  <c r="C25" i="7" s="1"/>
  <c r="A25" i="2"/>
  <c r="Q22" i="9"/>
  <c r="P22" i="9"/>
  <c r="E22" i="9"/>
  <c r="H22" i="9"/>
  <c r="G22" i="9"/>
  <c r="F22" i="9"/>
  <c r="R22" i="9"/>
  <c r="O22" i="9"/>
  <c r="S22" i="9" s="1"/>
  <c r="T22" i="9" s="1"/>
  <c r="H23" i="8"/>
  <c r="G23" i="8"/>
  <c r="F23" i="8"/>
  <c r="R23" i="8"/>
  <c r="Q23" i="8"/>
  <c r="P23" i="8"/>
  <c r="O23" i="8"/>
  <c r="E23" i="8"/>
  <c r="AC21" i="8"/>
  <c r="G21" i="2"/>
  <c r="H21" i="2" s="1"/>
  <c r="U21" i="8"/>
  <c r="W21" i="8" s="1"/>
  <c r="AC22" i="7"/>
  <c r="D22" i="2"/>
  <c r="E22" i="2" s="1"/>
  <c r="U22" i="7"/>
  <c r="W22" i="7" s="1"/>
  <c r="C24" i="2"/>
  <c r="AB24" i="7"/>
  <c r="S21" i="9"/>
  <c r="T21" i="9" s="1"/>
  <c r="AB23" i="9"/>
  <c r="AF23" i="9"/>
  <c r="I23" i="2"/>
  <c r="I21" i="9"/>
  <c r="L21" i="9" s="1"/>
  <c r="M21" i="9" s="1"/>
  <c r="N21" i="9" s="1"/>
  <c r="AA23" i="9"/>
  <c r="AE23" i="9"/>
  <c r="D23" i="9"/>
  <c r="B24" i="9"/>
  <c r="C24" i="9" s="1"/>
  <c r="J24" i="9"/>
  <c r="K24" i="9" s="1"/>
  <c r="A25" i="9"/>
  <c r="AG20" i="9"/>
  <c r="AC20" i="9"/>
  <c r="J20" i="2"/>
  <c r="K20" i="2" s="1"/>
  <c r="U20" i="9"/>
  <c r="W20" i="9" s="1"/>
  <c r="AA24" i="8"/>
  <c r="D24" i="8"/>
  <c r="B25" i="8"/>
  <c r="C25" i="8" s="1"/>
  <c r="J25" i="8"/>
  <c r="K25" i="8" s="1"/>
  <c r="A26" i="8"/>
  <c r="Q23" i="7"/>
  <c r="P23" i="7"/>
  <c r="O23" i="7"/>
  <c r="H23" i="7"/>
  <c r="G23" i="7"/>
  <c r="R23" i="7"/>
  <c r="F23" i="7"/>
  <c r="E23" i="7"/>
  <c r="I23" i="7" s="1"/>
  <c r="L23" i="7" s="1"/>
  <c r="M23" i="7" s="1"/>
  <c r="N23" i="7" s="1"/>
  <c r="S22" i="8"/>
  <c r="T22" i="8" s="1"/>
  <c r="I22" i="7"/>
  <c r="L22" i="7" s="1"/>
  <c r="M22" i="7" s="1"/>
  <c r="N22" i="7" s="1"/>
  <c r="B24" i="2"/>
  <c r="D24" i="7"/>
  <c r="AA24" i="7"/>
  <c r="AF24" i="9" l="1"/>
  <c r="AB24" i="9"/>
  <c r="I24" i="2"/>
  <c r="O23" i="9"/>
  <c r="E23" i="9"/>
  <c r="F23" i="9"/>
  <c r="R23" i="9"/>
  <c r="Q23" i="9"/>
  <c r="P23" i="9"/>
  <c r="H23" i="9"/>
  <c r="G23" i="9"/>
  <c r="AG21" i="9"/>
  <c r="J21" i="2"/>
  <c r="K21" i="2" s="1"/>
  <c r="AC21" i="9"/>
  <c r="U21" i="9"/>
  <c r="W21" i="9" s="1"/>
  <c r="D25" i="7"/>
  <c r="AA25" i="7"/>
  <c r="B25" i="2"/>
  <c r="I23" i="8"/>
  <c r="L23" i="8" s="1"/>
  <c r="M23" i="8" s="1"/>
  <c r="N23" i="8" s="1"/>
  <c r="Q24" i="7"/>
  <c r="P24" i="7"/>
  <c r="R24" i="7"/>
  <c r="O24" i="7"/>
  <c r="F24" i="7"/>
  <c r="E24" i="7"/>
  <c r="H24" i="7"/>
  <c r="G24" i="7"/>
  <c r="AE24" i="9"/>
  <c r="D24" i="9"/>
  <c r="AA24" i="9"/>
  <c r="AC22" i="8"/>
  <c r="G22" i="2"/>
  <c r="H22" i="2" s="1"/>
  <c r="U22" i="8"/>
  <c r="W22" i="8" s="1"/>
  <c r="AG22" i="9"/>
  <c r="AC22" i="9"/>
  <c r="J22" i="2"/>
  <c r="K22" i="2" s="1"/>
  <c r="U22" i="9"/>
  <c r="W22" i="9" s="1"/>
  <c r="S23" i="7"/>
  <c r="T23" i="7" s="1"/>
  <c r="I22" i="9"/>
  <c r="L22" i="9" s="1"/>
  <c r="M22" i="9" s="1"/>
  <c r="N22" i="9" s="1"/>
  <c r="A27" i="8"/>
  <c r="J26" i="8"/>
  <c r="K26" i="8" s="1"/>
  <c r="B26" i="8"/>
  <c r="C26" i="8" s="1"/>
  <c r="AB25" i="8"/>
  <c r="F25" i="2"/>
  <c r="AA25" i="8"/>
  <c r="D25" i="8"/>
  <c r="O24" i="8"/>
  <c r="Q24" i="8"/>
  <c r="P24" i="8"/>
  <c r="H24" i="8"/>
  <c r="G24" i="8"/>
  <c r="F24" i="8"/>
  <c r="E24" i="8"/>
  <c r="R24" i="8"/>
  <c r="AB25" i="7"/>
  <c r="C25" i="2"/>
  <c r="B26" i="7"/>
  <c r="C26" i="7" s="1"/>
  <c r="J26" i="7"/>
  <c r="K26" i="7" s="1"/>
  <c r="A27" i="7"/>
  <c r="A26" i="2"/>
  <c r="J25" i="9"/>
  <c r="K25" i="9" s="1"/>
  <c r="B25" i="9"/>
  <c r="C25" i="9" s="1"/>
  <c r="A26" i="9"/>
  <c r="S23" i="8"/>
  <c r="T23" i="8" s="1"/>
  <c r="I24" i="8" l="1"/>
  <c r="L24" i="8" s="1"/>
  <c r="M24" i="8" s="1"/>
  <c r="N24" i="8" s="1"/>
  <c r="J26" i="9"/>
  <c r="K26" i="9" s="1"/>
  <c r="A27" i="9"/>
  <c r="B26" i="9"/>
  <c r="C26" i="9" s="1"/>
  <c r="AA26" i="8"/>
  <c r="D26" i="8"/>
  <c r="J27" i="7"/>
  <c r="K27" i="7" s="1"/>
  <c r="B27" i="7"/>
  <c r="C27" i="7" s="1"/>
  <c r="A28" i="7"/>
  <c r="A27" i="2"/>
  <c r="AA26" i="7"/>
  <c r="D26" i="7"/>
  <c r="B26" i="2"/>
  <c r="S24" i="8"/>
  <c r="T24" i="8" s="1"/>
  <c r="S24" i="7"/>
  <c r="T24" i="7" s="1"/>
  <c r="AF25" i="9"/>
  <c r="AB25" i="9"/>
  <c r="I25" i="2"/>
  <c r="C26" i="2"/>
  <c r="AB26" i="7"/>
  <c r="AC23" i="7"/>
  <c r="D23" i="2"/>
  <c r="E23" i="2" s="1"/>
  <c r="U23" i="7"/>
  <c r="W23" i="7" s="1"/>
  <c r="I24" i="7"/>
  <c r="L24" i="7" s="1"/>
  <c r="M24" i="7" s="1"/>
  <c r="N24" i="7" s="1"/>
  <c r="R25" i="8"/>
  <c r="H25" i="8"/>
  <c r="Q25" i="8"/>
  <c r="E25" i="8"/>
  <c r="P25" i="8"/>
  <c r="O25" i="8"/>
  <c r="S25" i="8" s="1"/>
  <c r="T25" i="8" s="1"/>
  <c r="G25" i="8"/>
  <c r="F25" i="8"/>
  <c r="AE25" i="9"/>
  <c r="D25" i="9"/>
  <c r="AA25" i="9"/>
  <c r="AB26" i="8"/>
  <c r="F26" i="2"/>
  <c r="B27" i="8"/>
  <c r="C27" i="8" s="1"/>
  <c r="J27" i="8"/>
  <c r="K27" i="8" s="1"/>
  <c r="A28" i="8"/>
  <c r="H25" i="7"/>
  <c r="Q25" i="7"/>
  <c r="P25" i="7"/>
  <c r="R25" i="7"/>
  <c r="E25" i="7"/>
  <c r="O25" i="7"/>
  <c r="S25" i="7" s="1"/>
  <c r="T25" i="7" s="1"/>
  <c r="F25" i="7"/>
  <c r="G25" i="7"/>
  <c r="R24" i="9"/>
  <c r="Q24" i="9"/>
  <c r="P24" i="9"/>
  <c r="F24" i="9"/>
  <c r="O24" i="9"/>
  <c r="S24" i="9" s="1"/>
  <c r="T24" i="9" s="1"/>
  <c r="E24" i="9"/>
  <c r="G24" i="9"/>
  <c r="H24" i="9"/>
  <c r="I23" i="9"/>
  <c r="L23" i="9" s="1"/>
  <c r="M23" i="9" s="1"/>
  <c r="N23" i="9" s="1"/>
  <c r="S23" i="9"/>
  <c r="T23" i="9" s="1"/>
  <c r="AC23" i="8"/>
  <c r="G23" i="2"/>
  <c r="H23" i="2" s="1"/>
  <c r="U23" i="8"/>
  <c r="W23" i="8" s="1"/>
  <c r="AB27" i="8" l="1"/>
  <c r="F27" i="2"/>
  <c r="AG23" i="9"/>
  <c r="AC23" i="9"/>
  <c r="J23" i="2"/>
  <c r="K23" i="2" s="1"/>
  <c r="U23" i="9"/>
  <c r="W23" i="9" s="1"/>
  <c r="I24" i="9"/>
  <c r="L24" i="9" s="1"/>
  <c r="M24" i="9" s="1"/>
  <c r="N24" i="9" s="1"/>
  <c r="AC24" i="7"/>
  <c r="D24" i="2"/>
  <c r="E24" i="2" s="1"/>
  <c r="U24" i="7"/>
  <c r="W24" i="7" s="1"/>
  <c r="AC25" i="8"/>
  <c r="G25" i="2"/>
  <c r="H25" i="2" s="1"/>
  <c r="U25" i="8"/>
  <c r="W25" i="8" s="1"/>
  <c r="G26" i="7"/>
  <c r="Q26" i="7"/>
  <c r="P26" i="7"/>
  <c r="H26" i="7"/>
  <c r="F26" i="7"/>
  <c r="E26" i="7"/>
  <c r="I26" i="7" s="1"/>
  <c r="L26" i="7" s="1"/>
  <c r="M26" i="7" s="1"/>
  <c r="N26" i="7" s="1"/>
  <c r="O26" i="7"/>
  <c r="R26" i="7"/>
  <c r="AB27" i="7"/>
  <c r="C27" i="2"/>
  <c r="Q26" i="8"/>
  <c r="G26" i="8"/>
  <c r="H26" i="8"/>
  <c r="R26" i="8"/>
  <c r="O26" i="8"/>
  <c r="E26" i="8"/>
  <c r="F26" i="8"/>
  <c r="P26" i="8"/>
  <c r="AE26" i="9"/>
  <c r="D26" i="9"/>
  <c r="AA26" i="9"/>
  <c r="D27" i="8"/>
  <c r="AA27" i="8"/>
  <c r="P25" i="9"/>
  <c r="O25" i="9"/>
  <c r="G25" i="9"/>
  <c r="E25" i="9"/>
  <c r="H25" i="9"/>
  <c r="F25" i="9"/>
  <c r="R25" i="9"/>
  <c r="Q25" i="9"/>
  <c r="AG24" i="9"/>
  <c r="AC24" i="9"/>
  <c r="J24" i="2"/>
  <c r="K24" i="2" s="1"/>
  <c r="U24" i="9"/>
  <c r="W24" i="9" s="1"/>
  <c r="AC24" i="8"/>
  <c r="G24" i="2"/>
  <c r="H24" i="2" s="1"/>
  <c r="U24" i="8"/>
  <c r="W24" i="8" s="1"/>
  <c r="AA27" i="7"/>
  <c r="D27" i="7"/>
  <c r="B27" i="2"/>
  <c r="I25" i="7"/>
  <c r="L25" i="7" s="1"/>
  <c r="M25" i="7" s="1"/>
  <c r="N25" i="7" s="1"/>
  <c r="A28" i="9"/>
  <c r="J27" i="9"/>
  <c r="K27" i="9" s="1"/>
  <c r="B27" i="9"/>
  <c r="C27" i="9" s="1"/>
  <c r="J28" i="8"/>
  <c r="K28" i="8" s="1"/>
  <c r="B28" i="8"/>
  <c r="C28" i="8" s="1"/>
  <c r="A29" i="8"/>
  <c r="I25" i="8"/>
  <c r="L25" i="8" s="1"/>
  <c r="M25" i="8" s="1"/>
  <c r="N25" i="8" s="1"/>
  <c r="A29" i="7"/>
  <c r="J28" i="7"/>
  <c r="K28" i="7" s="1"/>
  <c r="A28" i="2"/>
  <c r="B28" i="7"/>
  <c r="C28" i="7" s="1"/>
  <c r="AC25" i="7"/>
  <c r="D25" i="2"/>
  <c r="E25" i="2" s="1"/>
  <c r="U25" i="7"/>
  <c r="W25" i="7" s="1"/>
  <c r="AB26" i="9"/>
  <c r="AF26" i="9"/>
  <c r="I26" i="2"/>
  <c r="S25" i="9" l="1"/>
  <c r="T25" i="9" s="1"/>
  <c r="F28" i="2"/>
  <c r="AB28" i="8"/>
  <c r="AE27" i="9"/>
  <c r="AA27" i="9"/>
  <c r="D27" i="9"/>
  <c r="AF27" i="9"/>
  <c r="AB27" i="9"/>
  <c r="I27" i="2"/>
  <c r="H26" i="9"/>
  <c r="G26" i="9"/>
  <c r="R26" i="9"/>
  <c r="O26" i="9"/>
  <c r="F26" i="9"/>
  <c r="E26" i="9"/>
  <c r="I26" i="9" s="1"/>
  <c r="L26" i="9" s="1"/>
  <c r="M26" i="9" s="1"/>
  <c r="N26" i="9" s="1"/>
  <c r="Q26" i="9"/>
  <c r="P26" i="9"/>
  <c r="B28" i="9"/>
  <c r="C28" i="9" s="1"/>
  <c r="J28" i="9"/>
  <c r="K28" i="9" s="1"/>
  <c r="A29" i="9"/>
  <c r="I26" i="8"/>
  <c r="L26" i="8" s="1"/>
  <c r="M26" i="8" s="1"/>
  <c r="N26" i="8" s="1"/>
  <c r="S26" i="7"/>
  <c r="T26" i="7" s="1"/>
  <c r="B29" i="7"/>
  <c r="C29" i="7" s="1"/>
  <c r="A29" i="2"/>
  <c r="A30" i="7"/>
  <c r="J29" i="7"/>
  <c r="K29" i="7" s="1"/>
  <c r="B29" i="8"/>
  <c r="C29" i="8" s="1"/>
  <c r="A30" i="8"/>
  <c r="J29" i="8"/>
  <c r="K29" i="8" s="1"/>
  <c r="S26" i="8"/>
  <c r="T26" i="8" s="1"/>
  <c r="AB28" i="7"/>
  <c r="C28" i="2"/>
  <c r="I25" i="9"/>
  <c r="L25" i="9" s="1"/>
  <c r="M25" i="9" s="1"/>
  <c r="N25" i="9" s="1"/>
  <c r="D28" i="8"/>
  <c r="AA28" i="8"/>
  <c r="P27" i="8"/>
  <c r="F27" i="8"/>
  <c r="O27" i="8"/>
  <c r="H27" i="8"/>
  <c r="E27" i="8"/>
  <c r="R27" i="8"/>
  <c r="G27" i="8"/>
  <c r="Q27" i="8"/>
  <c r="F27" i="7"/>
  <c r="Q27" i="7"/>
  <c r="P27" i="7"/>
  <c r="H27" i="7"/>
  <c r="G27" i="7"/>
  <c r="E27" i="7"/>
  <c r="R27" i="7"/>
  <c r="O27" i="7"/>
  <c r="D28" i="7"/>
  <c r="B28" i="2"/>
  <c r="AA28" i="7"/>
  <c r="I27" i="8" l="1"/>
  <c r="L27" i="8" s="1"/>
  <c r="M27" i="8" s="1"/>
  <c r="N27" i="8" s="1"/>
  <c r="S27" i="8"/>
  <c r="T27" i="8" s="1"/>
  <c r="S27" i="7"/>
  <c r="T27" i="7" s="1"/>
  <c r="I27" i="7"/>
  <c r="L27" i="7" s="1"/>
  <c r="M27" i="7" s="1"/>
  <c r="N27" i="7" s="1"/>
  <c r="B29" i="9"/>
  <c r="C29" i="9" s="1"/>
  <c r="A30" i="9"/>
  <c r="J29" i="9"/>
  <c r="K29" i="9" s="1"/>
  <c r="S26" i="9"/>
  <c r="T26" i="9" s="1"/>
  <c r="B30" i="8"/>
  <c r="C30" i="8" s="1"/>
  <c r="J30" i="8"/>
  <c r="K30" i="8" s="1"/>
  <c r="A31" i="8"/>
  <c r="B30" i="7"/>
  <c r="C30" i="7" s="1"/>
  <c r="A31" i="7"/>
  <c r="J30" i="7"/>
  <c r="K30" i="7" s="1"/>
  <c r="A30" i="2"/>
  <c r="D29" i="7"/>
  <c r="AA29" i="7"/>
  <c r="B29" i="2"/>
  <c r="AC27" i="8"/>
  <c r="G27" i="2"/>
  <c r="H27" i="2" s="1"/>
  <c r="U27" i="8"/>
  <c r="W27" i="8" s="1"/>
  <c r="D28" i="9"/>
  <c r="AE28" i="9"/>
  <c r="AA28" i="9"/>
  <c r="E28" i="7"/>
  <c r="Q28" i="7"/>
  <c r="P28" i="7"/>
  <c r="R28" i="7"/>
  <c r="O28" i="7"/>
  <c r="G28" i="7"/>
  <c r="F28" i="7"/>
  <c r="H28" i="7"/>
  <c r="AC26" i="8"/>
  <c r="G26" i="2"/>
  <c r="H26" i="2" s="1"/>
  <c r="U26" i="8"/>
  <c r="W26" i="8" s="1"/>
  <c r="D29" i="8"/>
  <c r="AA29" i="8"/>
  <c r="D26" i="2"/>
  <c r="E26" i="2" s="1"/>
  <c r="AC26" i="7"/>
  <c r="U26" i="7"/>
  <c r="W26" i="7" s="1"/>
  <c r="AF28" i="9"/>
  <c r="AB28" i="9"/>
  <c r="I28" i="2"/>
  <c r="O28" i="8"/>
  <c r="E28" i="8"/>
  <c r="Q28" i="8"/>
  <c r="F28" i="8"/>
  <c r="H28" i="8"/>
  <c r="R28" i="8"/>
  <c r="G28" i="8"/>
  <c r="P28" i="8"/>
  <c r="AC27" i="7"/>
  <c r="D27" i="2"/>
  <c r="E27" i="2" s="1"/>
  <c r="U27" i="7"/>
  <c r="W27" i="7" s="1"/>
  <c r="AB29" i="8"/>
  <c r="F29" i="2"/>
  <c r="AB29" i="7"/>
  <c r="C29" i="2"/>
  <c r="H27" i="9"/>
  <c r="G27" i="9"/>
  <c r="F27" i="9"/>
  <c r="E27" i="9"/>
  <c r="I27" i="9" s="1"/>
  <c r="L27" i="9" s="1"/>
  <c r="M27" i="9" s="1"/>
  <c r="N27" i="9" s="1"/>
  <c r="P27" i="9"/>
  <c r="O27" i="9"/>
  <c r="R27" i="9"/>
  <c r="Q27" i="9"/>
  <c r="AC25" i="9"/>
  <c r="AG25" i="9"/>
  <c r="J25" i="2"/>
  <c r="K25" i="2" s="1"/>
  <c r="U25" i="9"/>
  <c r="W25" i="9" s="1"/>
  <c r="I28" i="7" l="1"/>
  <c r="L28" i="7" s="1"/>
  <c r="M28" i="7" s="1"/>
  <c r="N28" i="7" s="1"/>
  <c r="S27" i="9"/>
  <c r="T27" i="9" s="1"/>
  <c r="R29" i="8"/>
  <c r="G29" i="8"/>
  <c r="P29" i="8"/>
  <c r="O29" i="8"/>
  <c r="Q29" i="8"/>
  <c r="H29" i="8"/>
  <c r="F29" i="8"/>
  <c r="E29" i="8"/>
  <c r="I29" i="8" s="1"/>
  <c r="L29" i="8" s="1"/>
  <c r="M29" i="8" s="1"/>
  <c r="N29" i="8" s="1"/>
  <c r="D30" i="8"/>
  <c r="AA30" i="8"/>
  <c r="AC26" i="9"/>
  <c r="J26" i="2"/>
  <c r="K26" i="2" s="1"/>
  <c r="AG26" i="9"/>
  <c r="U26" i="9"/>
  <c r="W26" i="9" s="1"/>
  <c r="AB29" i="9"/>
  <c r="AF29" i="9"/>
  <c r="I29" i="2"/>
  <c r="I28" i="8"/>
  <c r="L28" i="8" s="1"/>
  <c r="M28" i="8" s="1"/>
  <c r="N28" i="8" s="1"/>
  <c r="S28" i="8"/>
  <c r="T28" i="8" s="1"/>
  <c r="D30" i="7"/>
  <c r="AA30" i="7"/>
  <c r="B30" i="2"/>
  <c r="A32" i="8"/>
  <c r="B31" i="8"/>
  <c r="C31" i="8" s="1"/>
  <c r="J31" i="8"/>
  <c r="K31" i="8" s="1"/>
  <c r="S28" i="7"/>
  <c r="T28" i="7" s="1"/>
  <c r="B30" i="9"/>
  <c r="C30" i="9" s="1"/>
  <c r="A31" i="9"/>
  <c r="J30" i="9"/>
  <c r="K30" i="9" s="1"/>
  <c r="R28" i="9"/>
  <c r="H28" i="9"/>
  <c r="F28" i="9"/>
  <c r="E28" i="9"/>
  <c r="O28" i="9"/>
  <c r="P28" i="9"/>
  <c r="Q28" i="9"/>
  <c r="G28" i="9"/>
  <c r="Q29" i="7"/>
  <c r="P29" i="7"/>
  <c r="R29" i="7"/>
  <c r="O29" i="7"/>
  <c r="S29" i="7" s="1"/>
  <c r="T29" i="7" s="1"/>
  <c r="H29" i="7"/>
  <c r="E29" i="7"/>
  <c r="F29" i="7"/>
  <c r="G29" i="7"/>
  <c r="AB30" i="7"/>
  <c r="C30" i="2"/>
  <c r="J31" i="7"/>
  <c r="K31" i="7" s="1"/>
  <c r="B31" i="7"/>
  <c r="C31" i="7" s="1"/>
  <c r="A32" i="7"/>
  <c r="A31" i="2"/>
  <c r="F30" i="2"/>
  <c r="AB30" i="8"/>
  <c r="AA29" i="9"/>
  <c r="AE29" i="9"/>
  <c r="D29" i="9"/>
  <c r="S28" i="9" l="1"/>
  <c r="T28" i="9" s="1"/>
  <c r="AG28" i="9" s="1"/>
  <c r="O29" i="9"/>
  <c r="H29" i="9"/>
  <c r="G29" i="9"/>
  <c r="R29" i="9"/>
  <c r="Q29" i="9"/>
  <c r="P29" i="9"/>
  <c r="F29" i="9"/>
  <c r="E29" i="9"/>
  <c r="I29" i="9" s="1"/>
  <c r="L29" i="9" s="1"/>
  <c r="M29" i="9" s="1"/>
  <c r="N29" i="9" s="1"/>
  <c r="I28" i="9"/>
  <c r="L28" i="9" s="1"/>
  <c r="M28" i="9" s="1"/>
  <c r="N28" i="9" s="1"/>
  <c r="B31" i="2"/>
  <c r="AA31" i="7"/>
  <c r="D31" i="7"/>
  <c r="B31" i="9"/>
  <c r="C31" i="9" s="1"/>
  <c r="J31" i="9"/>
  <c r="K31" i="9" s="1"/>
  <c r="A32" i="9"/>
  <c r="AB31" i="8"/>
  <c r="F31" i="2"/>
  <c r="D31" i="8"/>
  <c r="AA31" i="8"/>
  <c r="AC29" i="7"/>
  <c r="D29" i="2"/>
  <c r="E29" i="2" s="1"/>
  <c r="U29" i="7"/>
  <c r="W29" i="7" s="1"/>
  <c r="G28" i="2"/>
  <c r="H28" i="2" s="1"/>
  <c r="AC28" i="8"/>
  <c r="U28" i="8"/>
  <c r="W28" i="8" s="1"/>
  <c r="H30" i="8"/>
  <c r="G30" i="8"/>
  <c r="F30" i="8"/>
  <c r="R30" i="8"/>
  <c r="O30" i="8"/>
  <c r="Q30" i="8"/>
  <c r="P30" i="8"/>
  <c r="E30" i="8"/>
  <c r="I30" i="8" s="1"/>
  <c r="L30" i="8" s="1"/>
  <c r="M30" i="8" s="1"/>
  <c r="N30" i="8" s="1"/>
  <c r="J32" i="7"/>
  <c r="K32" i="7" s="1"/>
  <c r="A32" i="2"/>
  <c r="B32" i="7"/>
  <c r="C32" i="7" s="1"/>
  <c r="A33" i="7"/>
  <c r="AB30" i="9"/>
  <c r="I30" i="2"/>
  <c r="AF30" i="9"/>
  <c r="AB31" i="7"/>
  <c r="C31" i="2"/>
  <c r="AA30" i="9"/>
  <c r="D30" i="9"/>
  <c r="AE30" i="9"/>
  <c r="AC28" i="7"/>
  <c r="D28" i="2"/>
  <c r="E28" i="2" s="1"/>
  <c r="U28" i="7"/>
  <c r="W28" i="7" s="1"/>
  <c r="S29" i="8"/>
  <c r="T29" i="8" s="1"/>
  <c r="J32" i="8"/>
  <c r="K32" i="8" s="1"/>
  <c r="B32" i="8"/>
  <c r="C32" i="8" s="1"/>
  <c r="A33" i="8"/>
  <c r="I29" i="7"/>
  <c r="L29" i="7" s="1"/>
  <c r="M29" i="7" s="1"/>
  <c r="N29" i="7" s="1"/>
  <c r="Q30" i="7"/>
  <c r="P30" i="7"/>
  <c r="E30" i="7"/>
  <c r="G30" i="7"/>
  <c r="F30" i="7"/>
  <c r="O30" i="7"/>
  <c r="H30" i="7"/>
  <c r="R30" i="7"/>
  <c r="AC27" i="9"/>
  <c r="AG27" i="9"/>
  <c r="J27" i="2"/>
  <c r="K27" i="2" s="1"/>
  <c r="U27" i="9"/>
  <c r="W27" i="9" s="1"/>
  <c r="S30" i="7" l="1"/>
  <c r="T30" i="7" s="1"/>
  <c r="AC28" i="9"/>
  <c r="U28" i="9"/>
  <c r="W28" i="9" s="1"/>
  <c r="J28" i="2"/>
  <c r="K28" i="2" s="1"/>
  <c r="AC30" i="7"/>
  <c r="D30" i="2"/>
  <c r="E30" i="2" s="1"/>
  <c r="U30" i="7"/>
  <c r="W30" i="7" s="1"/>
  <c r="AA32" i="8"/>
  <c r="D32" i="8"/>
  <c r="J32" i="9"/>
  <c r="K32" i="9" s="1"/>
  <c r="B32" i="9"/>
  <c r="C32" i="9" s="1"/>
  <c r="A33" i="9"/>
  <c r="AF31" i="9"/>
  <c r="AB31" i="9"/>
  <c r="I31" i="2"/>
  <c r="AE31" i="9"/>
  <c r="D31" i="9"/>
  <c r="AA31" i="9"/>
  <c r="AC29" i="8"/>
  <c r="G29" i="2"/>
  <c r="H29" i="2" s="1"/>
  <c r="U29" i="8"/>
  <c r="W29" i="8" s="1"/>
  <c r="R30" i="9"/>
  <c r="Q30" i="9"/>
  <c r="P30" i="9"/>
  <c r="O30" i="9"/>
  <c r="E30" i="9"/>
  <c r="H30" i="9"/>
  <c r="G30" i="9"/>
  <c r="F30" i="9"/>
  <c r="P31" i="8"/>
  <c r="O31" i="8"/>
  <c r="F31" i="8"/>
  <c r="E31" i="8"/>
  <c r="H31" i="8"/>
  <c r="G31" i="8"/>
  <c r="R31" i="8"/>
  <c r="Q31" i="8"/>
  <c r="AB32" i="7"/>
  <c r="C32" i="2"/>
  <c r="J33" i="8"/>
  <c r="K33" i="8" s="1"/>
  <c r="A34" i="8"/>
  <c r="B33" i="8"/>
  <c r="C33" i="8" s="1"/>
  <c r="S29" i="9"/>
  <c r="T29" i="9" s="1"/>
  <c r="I30" i="7"/>
  <c r="L30" i="7" s="1"/>
  <c r="M30" i="7" s="1"/>
  <c r="N30" i="7" s="1"/>
  <c r="J33" i="7"/>
  <c r="K33" i="7" s="1"/>
  <c r="B33" i="7"/>
  <c r="C33" i="7" s="1"/>
  <c r="A33" i="2"/>
  <c r="A34" i="7"/>
  <c r="D32" i="7"/>
  <c r="AA32" i="7"/>
  <c r="B32" i="2"/>
  <c r="AB32" i="8"/>
  <c r="F32" i="2"/>
  <c r="S30" i="8"/>
  <c r="T30" i="8" s="1"/>
  <c r="Q31" i="7"/>
  <c r="R31" i="7"/>
  <c r="H31" i="7"/>
  <c r="G31" i="7"/>
  <c r="F31" i="7"/>
  <c r="P31" i="7"/>
  <c r="O31" i="7"/>
  <c r="S31" i="7" s="1"/>
  <c r="T31" i="7" s="1"/>
  <c r="E31" i="7"/>
  <c r="I31" i="7" s="1"/>
  <c r="L31" i="7" s="1"/>
  <c r="M31" i="7" s="1"/>
  <c r="N31" i="7" s="1"/>
  <c r="S30" i="9" l="1"/>
  <c r="T30" i="9" s="1"/>
  <c r="J30" i="2" s="1"/>
  <c r="K30" i="2" s="1"/>
  <c r="AA33" i="7"/>
  <c r="D33" i="7"/>
  <c r="B33" i="2"/>
  <c r="AC29" i="9"/>
  <c r="AG29" i="9"/>
  <c r="J29" i="2"/>
  <c r="K29" i="2" s="1"/>
  <c r="U29" i="9"/>
  <c r="W29" i="9" s="1"/>
  <c r="D31" i="2"/>
  <c r="E31" i="2" s="1"/>
  <c r="AC31" i="7"/>
  <c r="U31" i="7"/>
  <c r="W31" i="7" s="1"/>
  <c r="J34" i="8"/>
  <c r="K34" i="8" s="1"/>
  <c r="B34" i="8"/>
  <c r="C34" i="8" s="1"/>
  <c r="A35" i="8"/>
  <c r="AB33" i="8"/>
  <c r="F33" i="2"/>
  <c r="O32" i="8"/>
  <c r="R32" i="8"/>
  <c r="F32" i="8"/>
  <c r="Q32" i="8"/>
  <c r="P32" i="8"/>
  <c r="H32" i="8"/>
  <c r="G32" i="8"/>
  <c r="E32" i="8"/>
  <c r="P32" i="7"/>
  <c r="H32" i="7"/>
  <c r="G32" i="7"/>
  <c r="F32" i="7"/>
  <c r="E32" i="7"/>
  <c r="R32" i="7"/>
  <c r="Q32" i="7"/>
  <c r="O32" i="7"/>
  <c r="G30" i="2"/>
  <c r="H30" i="2" s="1"/>
  <c r="AC30" i="8"/>
  <c r="U30" i="8"/>
  <c r="W30" i="8" s="1"/>
  <c r="A34" i="9"/>
  <c r="B33" i="9"/>
  <c r="C33" i="9" s="1"/>
  <c r="J33" i="9"/>
  <c r="K33" i="9" s="1"/>
  <c r="D32" i="9"/>
  <c r="AE32" i="9"/>
  <c r="AA32" i="9"/>
  <c r="AF32" i="9"/>
  <c r="AB32" i="9"/>
  <c r="I32" i="2"/>
  <c r="A35" i="7"/>
  <c r="B34" i="7"/>
  <c r="C34" i="7" s="1"/>
  <c r="J34" i="7"/>
  <c r="K34" i="7" s="1"/>
  <c r="A34" i="2"/>
  <c r="AG30" i="9"/>
  <c r="AC30" i="9"/>
  <c r="AB33" i="7"/>
  <c r="C33" i="2"/>
  <c r="AA33" i="8"/>
  <c r="D33" i="8"/>
  <c r="P31" i="9"/>
  <c r="O31" i="9"/>
  <c r="H31" i="9"/>
  <c r="R31" i="9"/>
  <c r="Q31" i="9"/>
  <c r="G31" i="9"/>
  <c r="F31" i="9"/>
  <c r="E31" i="9"/>
  <c r="I31" i="8"/>
  <c r="L31" i="8" s="1"/>
  <c r="M31" i="8" s="1"/>
  <c r="N31" i="8" s="1"/>
  <c r="S31" i="8"/>
  <c r="T31" i="8" s="1"/>
  <c r="I30" i="9"/>
  <c r="L30" i="9" s="1"/>
  <c r="M30" i="9" s="1"/>
  <c r="N30" i="9" s="1"/>
  <c r="I31" i="9" l="1"/>
  <c r="L31" i="9" s="1"/>
  <c r="M31" i="9" s="1"/>
  <c r="N31" i="9" s="1"/>
  <c r="S32" i="7"/>
  <c r="T32" i="7" s="1"/>
  <c r="U30" i="9"/>
  <c r="W30" i="9" s="1"/>
  <c r="S32" i="8"/>
  <c r="T32" i="8" s="1"/>
  <c r="F32" i="9"/>
  <c r="E32" i="9"/>
  <c r="H32" i="9"/>
  <c r="G32" i="9"/>
  <c r="P32" i="9"/>
  <c r="R32" i="9"/>
  <c r="Q32" i="9"/>
  <c r="O32" i="9"/>
  <c r="S32" i="9" s="1"/>
  <c r="T32" i="9" s="1"/>
  <c r="AF33" i="9"/>
  <c r="AB33" i="9"/>
  <c r="I33" i="2"/>
  <c r="AB34" i="8"/>
  <c r="F34" i="2"/>
  <c r="AB34" i="7"/>
  <c r="C34" i="2"/>
  <c r="S31" i="9"/>
  <c r="T31" i="9" s="1"/>
  <c r="AA33" i="9"/>
  <c r="AE33" i="9"/>
  <c r="D33" i="9"/>
  <c r="R33" i="8"/>
  <c r="Q33" i="8"/>
  <c r="H33" i="8"/>
  <c r="G33" i="8"/>
  <c r="F33" i="8"/>
  <c r="P33" i="8"/>
  <c r="O33" i="8"/>
  <c r="E33" i="8"/>
  <c r="I33" i="8" s="1"/>
  <c r="L33" i="8" s="1"/>
  <c r="M33" i="8" s="1"/>
  <c r="N33" i="8" s="1"/>
  <c r="A36" i="8"/>
  <c r="J35" i="8"/>
  <c r="K35" i="8" s="1"/>
  <c r="B35" i="8"/>
  <c r="C35" i="8" s="1"/>
  <c r="AC31" i="8"/>
  <c r="G31" i="2"/>
  <c r="H31" i="2" s="1"/>
  <c r="U31" i="8"/>
  <c r="W31" i="8" s="1"/>
  <c r="O33" i="7"/>
  <c r="E33" i="7"/>
  <c r="Q33" i="7"/>
  <c r="P33" i="7"/>
  <c r="R33" i="7"/>
  <c r="H33" i="7"/>
  <c r="F33" i="7"/>
  <c r="G33" i="7"/>
  <c r="B34" i="9"/>
  <c r="C34" i="9" s="1"/>
  <c r="J34" i="9"/>
  <c r="K34" i="9" s="1"/>
  <c r="A35" i="9"/>
  <c r="AA34" i="8"/>
  <c r="D34" i="8"/>
  <c r="AC32" i="7"/>
  <c r="D32" i="2"/>
  <c r="E32" i="2" s="1"/>
  <c r="U32" i="7"/>
  <c r="W32" i="7" s="1"/>
  <c r="I32" i="7"/>
  <c r="L32" i="7" s="1"/>
  <c r="M32" i="7" s="1"/>
  <c r="N32" i="7" s="1"/>
  <c r="D34" i="7"/>
  <c r="B34" i="2"/>
  <c r="AA34" i="7"/>
  <c r="A36" i="7"/>
  <c r="A35" i="2"/>
  <c r="B35" i="7"/>
  <c r="C35" i="7" s="1"/>
  <c r="J35" i="7"/>
  <c r="K35" i="7" s="1"/>
  <c r="I32" i="8"/>
  <c r="L32" i="8" s="1"/>
  <c r="M32" i="8" s="1"/>
  <c r="N32" i="8" s="1"/>
  <c r="S33" i="8" l="1"/>
  <c r="T33" i="8" s="1"/>
  <c r="AG31" i="9"/>
  <c r="J31" i="2"/>
  <c r="K31" i="2" s="1"/>
  <c r="AC31" i="9"/>
  <c r="U31" i="9"/>
  <c r="W31" i="9" s="1"/>
  <c r="AB35" i="7"/>
  <c r="C35" i="2"/>
  <c r="AA35" i="7"/>
  <c r="B35" i="2"/>
  <c r="D35" i="7"/>
  <c r="AA35" i="8"/>
  <c r="D35" i="8"/>
  <c r="F34" i="7"/>
  <c r="H34" i="7"/>
  <c r="G34" i="7"/>
  <c r="E34" i="7"/>
  <c r="I34" i="7" s="1"/>
  <c r="L34" i="7" s="1"/>
  <c r="M34" i="7" s="1"/>
  <c r="N34" i="7" s="1"/>
  <c r="O34" i="7"/>
  <c r="R34" i="7"/>
  <c r="Q34" i="7"/>
  <c r="P34" i="7"/>
  <c r="A37" i="8"/>
  <c r="J36" i="8"/>
  <c r="K36" i="8" s="1"/>
  <c r="B36" i="8"/>
  <c r="C36" i="8" s="1"/>
  <c r="AC32" i="9"/>
  <c r="J32" i="2"/>
  <c r="K32" i="2" s="1"/>
  <c r="AG32" i="9"/>
  <c r="U32" i="9"/>
  <c r="W32" i="9" s="1"/>
  <c r="A36" i="9"/>
  <c r="J35" i="9"/>
  <c r="K35" i="9" s="1"/>
  <c r="B35" i="9"/>
  <c r="C35" i="9" s="1"/>
  <c r="AF34" i="9"/>
  <c r="AB34" i="9"/>
  <c r="I34" i="2"/>
  <c r="D34" i="9"/>
  <c r="AE34" i="9"/>
  <c r="AA34" i="9"/>
  <c r="I32" i="9"/>
  <c r="L32" i="9" s="1"/>
  <c r="M32" i="9" s="1"/>
  <c r="N32" i="9" s="1"/>
  <c r="H33" i="9"/>
  <c r="G33" i="9"/>
  <c r="F33" i="9"/>
  <c r="E33" i="9"/>
  <c r="I33" i="9" s="1"/>
  <c r="L33" i="9" s="1"/>
  <c r="M33" i="9" s="1"/>
  <c r="N33" i="9" s="1"/>
  <c r="R33" i="9"/>
  <c r="Q33" i="9"/>
  <c r="P33" i="9"/>
  <c r="O33" i="9"/>
  <c r="I33" i="7"/>
  <c r="L33" i="7" s="1"/>
  <c r="M33" i="7" s="1"/>
  <c r="N33" i="7" s="1"/>
  <c r="B36" i="7"/>
  <c r="C36" i="7" s="1"/>
  <c r="J36" i="7"/>
  <c r="K36" i="7" s="1"/>
  <c r="A36" i="2"/>
  <c r="A37" i="7"/>
  <c r="AB35" i="8"/>
  <c r="F35" i="2"/>
  <c r="AC33" i="8"/>
  <c r="G33" i="2"/>
  <c r="H33" i="2" s="1"/>
  <c r="U33" i="8"/>
  <c r="W33" i="8" s="1"/>
  <c r="O34" i="8"/>
  <c r="H34" i="8"/>
  <c r="G34" i="8"/>
  <c r="Q34" i="8"/>
  <c r="P34" i="8"/>
  <c r="F34" i="8"/>
  <c r="E34" i="8"/>
  <c r="I34" i="8" s="1"/>
  <c r="L34" i="8" s="1"/>
  <c r="M34" i="8" s="1"/>
  <c r="N34" i="8" s="1"/>
  <c r="R34" i="8"/>
  <c r="S33" i="7"/>
  <c r="T33" i="7" s="1"/>
  <c r="AC32" i="8"/>
  <c r="G32" i="2"/>
  <c r="H32" i="2" s="1"/>
  <c r="U32" i="8"/>
  <c r="W32" i="8" s="1"/>
  <c r="B37" i="8" l="1"/>
  <c r="C37" i="8" s="1"/>
  <c r="J37" i="8"/>
  <c r="K37" i="8" s="1"/>
  <c r="A38" i="8"/>
  <c r="AB36" i="8"/>
  <c r="F36" i="2"/>
  <c r="D33" i="2"/>
  <c r="E33" i="2" s="1"/>
  <c r="AC33" i="7"/>
  <c r="U33" i="7"/>
  <c r="W33" i="7" s="1"/>
  <c r="S34" i="8"/>
  <c r="T34" i="8" s="1"/>
  <c r="H35" i="8"/>
  <c r="R35" i="8"/>
  <c r="Q35" i="8"/>
  <c r="G35" i="8"/>
  <c r="F35" i="8"/>
  <c r="E35" i="8"/>
  <c r="P35" i="8"/>
  <c r="O35" i="8"/>
  <c r="S35" i="8" s="1"/>
  <c r="T35" i="8" s="1"/>
  <c r="F34" i="9"/>
  <c r="P34" i="9"/>
  <c r="O34" i="9"/>
  <c r="R34" i="9"/>
  <c r="Q34" i="9"/>
  <c r="G34" i="9"/>
  <c r="E34" i="9"/>
  <c r="H34" i="9"/>
  <c r="G35" i="7"/>
  <c r="E35" i="7"/>
  <c r="P35" i="7"/>
  <c r="H35" i="7"/>
  <c r="F35" i="7"/>
  <c r="Q35" i="7"/>
  <c r="O35" i="7"/>
  <c r="R35" i="7"/>
  <c r="AA35" i="9"/>
  <c r="D35" i="9"/>
  <c r="AE35" i="9"/>
  <c r="J37" i="7"/>
  <c r="K37" i="7" s="1"/>
  <c r="B37" i="7"/>
  <c r="C37" i="7" s="1"/>
  <c r="A38" i="7"/>
  <c r="A37" i="2"/>
  <c r="AB35" i="9"/>
  <c r="I35" i="2"/>
  <c r="AF35" i="9"/>
  <c r="B36" i="9"/>
  <c r="C36" i="9" s="1"/>
  <c r="A37" i="9"/>
  <c r="J36" i="9"/>
  <c r="K36" i="9" s="1"/>
  <c r="AB36" i="7"/>
  <c r="C36" i="2"/>
  <c r="AA36" i="7"/>
  <c r="B36" i="2"/>
  <c r="D36" i="7"/>
  <c r="S34" i="7"/>
  <c r="T34" i="7" s="1"/>
  <c r="S33" i="9"/>
  <c r="T33" i="9" s="1"/>
  <c r="D36" i="8"/>
  <c r="AA36" i="8"/>
  <c r="J38" i="7" l="1"/>
  <c r="K38" i="7" s="1"/>
  <c r="A39" i="7"/>
  <c r="B38" i="7"/>
  <c r="C38" i="7" s="1"/>
  <c r="A38" i="2"/>
  <c r="D37" i="7"/>
  <c r="B37" i="2"/>
  <c r="AA37" i="7"/>
  <c r="I35" i="8"/>
  <c r="L35" i="8" s="1"/>
  <c r="M35" i="8" s="1"/>
  <c r="N35" i="8" s="1"/>
  <c r="G36" i="8"/>
  <c r="O36" i="8"/>
  <c r="H36" i="8"/>
  <c r="F36" i="8"/>
  <c r="E36" i="8"/>
  <c r="I36" i="8" s="1"/>
  <c r="L36" i="8" s="1"/>
  <c r="M36" i="8" s="1"/>
  <c r="N36" i="8" s="1"/>
  <c r="P36" i="8"/>
  <c r="Q36" i="8"/>
  <c r="R36" i="8"/>
  <c r="AC34" i="7"/>
  <c r="D34" i="2"/>
  <c r="E34" i="2" s="1"/>
  <c r="U34" i="7"/>
  <c r="W34" i="7" s="1"/>
  <c r="S35" i="7"/>
  <c r="T35" i="7" s="1"/>
  <c r="AC34" i="8"/>
  <c r="G34" i="2"/>
  <c r="H34" i="2" s="1"/>
  <c r="U34" i="8"/>
  <c r="W34" i="8" s="1"/>
  <c r="I35" i="7"/>
  <c r="L35" i="7" s="1"/>
  <c r="M35" i="7" s="1"/>
  <c r="N35" i="7" s="1"/>
  <c r="AB36" i="9"/>
  <c r="AF36" i="9"/>
  <c r="I36" i="2"/>
  <c r="B37" i="9"/>
  <c r="C37" i="9" s="1"/>
  <c r="A38" i="9"/>
  <c r="J37" i="9"/>
  <c r="K37" i="9" s="1"/>
  <c r="AE36" i="9"/>
  <c r="AA36" i="9"/>
  <c r="D36" i="9"/>
  <c r="B38" i="8"/>
  <c r="C38" i="8" s="1"/>
  <c r="J38" i="8"/>
  <c r="K38" i="8" s="1"/>
  <c r="A39" i="8"/>
  <c r="AC35" i="8"/>
  <c r="G35" i="2"/>
  <c r="H35" i="2" s="1"/>
  <c r="U35" i="8"/>
  <c r="W35" i="8" s="1"/>
  <c r="F35" i="9"/>
  <c r="R35" i="9"/>
  <c r="H35" i="9"/>
  <c r="G35" i="9"/>
  <c r="E35" i="9"/>
  <c r="O35" i="9"/>
  <c r="Q35" i="9"/>
  <c r="P35" i="9"/>
  <c r="I34" i="9"/>
  <c r="L34" i="9" s="1"/>
  <c r="M34" i="9" s="1"/>
  <c r="N34" i="9" s="1"/>
  <c r="AB37" i="8"/>
  <c r="F37" i="2"/>
  <c r="S34" i="9"/>
  <c r="T34" i="9" s="1"/>
  <c r="AB37" i="7"/>
  <c r="C37" i="2"/>
  <c r="AG33" i="9"/>
  <c r="AC33" i="9"/>
  <c r="J33" i="2"/>
  <c r="K33" i="2" s="1"/>
  <c r="U33" i="9"/>
  <c r="W33" i="9" s="1"/>
  <c r="H36" i="7"/>
  <c r="P36" i="7"/>
  <c r="O36" i="7"/>
  <c r="F36" i="7"/>
  <c r="R36" i="7"/>
  <c r="E36" i="7"/>
  <c r="Q36" i="7"/>
  <c r="G36" i="7"/>
  <c r="D37" i="8"/>
  <c r="AA37" i="8"/>
  <c r="I36" i="7" l="1"/>
  <c r="L36" i="7" s="1"/>
  <c r="M36" i="7" s="1"/>
  <c r="N36" i="7" s="1"/>
  <c r="F38" i="2"/>
  <c r="AB38" i="8"/>
  <c r="AE37" i="9"/>
  <c r="AA37" i="9"/>
  <c r="D37" i="9"/>
  <c r="AC35" i="7"/>
  <c r="D35" i="2"/>
  <c r="E35" i="2" s="1"/>
  <c r="U35" i="7"/>
  <c r="W35" i="7" s="1"/>
  <c r="D38" i="8"/>
  <c r="AA38" i="8"/>
  <c r="AG34" i="9"/>
  <c r="AC34" i="9"/>
  <c r="J34" i="2"/>
  <c r="K34" i="2" s="1"/>
  <c r="U34" i="9"/>
  <c r="W34" i="9" s="1"/>
  <c r="E37" i="7"/>
  <c r="G37" i="7"/>
  <c r="F37" i="7"/>
  <c r="R37" i="7"/>
  <c r="H37" i="7"/>
  <c r="O37" i="7"/>
  <c r="Q37" i="7"/>
  <c r="P37" i="7"/>
  <c r="F37" i="8"/>
  <c r="P37" i="8"/>
  <c r="H37" i="8"/>
  <c r="R37" i="8"/>
  <c r="Q37" i="8"/>
  <c r="G37" i="8"/>
  <c r="E37" i="8"/>
  <c r="O37" i="8"/>
  <c r="S37" i="8" s="1"/>
  <c r="T37" i="8" s="1"/>
  <c r="AA38" i="7"/>
  <c r="B38" i="2"/>
  <c r="D38" i="7"/>
  <c r="S36" i="7"/>
  <c r="T36" i="7" s="1"/>
  <c r="AF37" i="9"/>
  <c r="AB37" i="9"/>
  <c r="I37" i="2"/>
  <c r="J39" i="8"/>
  <c r="K39" i="8" s="1"/>
  <c r="A40" i="8"/>
  <c r="B39" i="8"/>
  <c r="C39" i="8" s="1"/>
  <c r="R36" i="9"/>
  <c r="Q36" i="9"/>
  <c r="F36" i="9"/>
  <c r="P36" i="9"/>
  <c r="O36" i="9"/>
  <c r="H36" i="9"/>
  <c r="G36" i="9"/>
  <c r="E36" i="9"/>
  <c r="S36" i="8"/>
  <c r="T36" i="8" s="1"/>
  <c r="J38" i="9"/>
  <c r="K38" i="9" s="1"/>
  <c r="B38" i="9"/>
  <c r="C38" i="9" s="1"/>
  <c r="A39" i="9"/>
  <c r="S35" i="9"/>
  <c r="T35" i="9" s="1"/>
  <c r="J39" i="7"/>
  <c r="K39" i="7" s="1"/>
  <c r="B39" i="7"/>
  <c r="C39" i="7" s="1"/>
  <c r="A39" i="2"/>
  <c r="A40" i="7"/>
  <c r="I35" i="9"/>
  <c r="L35" i="9" s="1"/>
  <c r="M35" i="9" s="1"/>
  <c r="N35" i="9" s="1"/>
  <c r="AB38" i="7"/>
  <c r="C38" i="2"/>
  <c r="F39" i="2" l="1"/>
  <c r="AB39" i="8"/>
  <c r="B40" i="8"/>
  <c r="C40" i="8" s="1"/>
  <c r="A41" i="8"/>
  <c r="J40" i="8"/>
  <c r="K40" i="8" s="1"/>
  <c r="D39" i="7"/>
  <c r="AA39" i="7"/>
  <c r="B39" i="2"/>
  <c r="AC36" i="7"/>
  <c r="D36" i="2"/>
  <c r="E36" i="2" s="1"/>
  <c r="U36" i="7"/>
  <c r="W36" i="7" s="1"/>
  <c r="G38" i="7"/>
  <c r="F38" i="7"/>
  <c r="R38" i="7"/>
  <c r="P38" i="7"/>
  <c r="O38" i="7"/>
  <c r="Q38" i="7"/>
  <c r="H38" i="7"/>
  <c r="E38" i="7"/>
  <c r="I38" i="7" s="1"/>
  <c r="L38" i="7" s="1"/>
  <c r="M38" i="7" s="1"/>
  <c r="N38" i="7" s="1"/>
  <c r="E38" i="8"/>
  <c r="Q38" i="8"/>
  <c r="H38" i="8"/>
  <c r="G38" i="8"/>
  <c r="F38" i="8"/>
  <c r="R38" i="8"/>
  <c r="P38" i="8"/>
  <c r="O38" i="8"/>
  <c r="AF38" i="9"/>
  <c r="AB38" i="9"/>
  <c r="I38" i="2"/>
  <c r="I37" i="8"/>
  <c r="L37" i="8" s="1"/>
  <c r="M37" i="8" s="1"/>
  <c r="N37" i="8" s="1"/>
  <c r="AC36" i="8"/>
  <c r="G36" i="2"/>
  <c r="H36" i="2" s="1"/>
  <c r="U36" i="8"/>
  <c r="W36" i="8" s="1"/>
  <c r="I36" i="9"/>
  <c r="L36" i="9" s="1"/>
  <c r="M36" i="9" s="1"/>
  <c r="N36" i="9" s="1"/>
  <c r="D39" i="8"/>
  <c r="AA39" i="8"/>
  <c r="I37" i="7"/>
  <c r="L37" i="7" s="1"/>
  <c r="M37" i="7" s="1"/>
  <c r="N37" i="7" s="1"/>
  <c r="J40" i="7"/>
  <c r="K40" i="7" s="1"/>
  <c r="A41" i="7"/>
  <c r="B40" i="7"/>
  <c r="C40" i="7" s="1"/>
  <c r="A40" i="2"/>
  <c r="AB39" i="7"/>
  <c r="C39" i="2"/>
  <c r="AG35" i="9"/>
  <c r="J35" i="2"/>
  <c r="K35" i="2" s="1"/>
  <c r="AC35" i="9"/>
  <c r="U35" i="9"/>
  <c r="W35" i="9" s="1"/>
  <c r="B39" i="9"/>
  <c r="C39" i="9" s="1"/>
  <c r="J39" i="9"/>
  <c r="K39" i="9" s="1"/>
  <c r="A40" i="9"/>
  <c r="AA38" i="9"/>
  <c r="D38" i="9"/>
  <c r="AE38" i="9"/>
  <c r="AC37" i="8"/>
  <c r="G37" i="2"/>
  <c r="H37" i="2" s="1"/>
  <c r="U37" i="8"/>
  <c r="W37" i="8" s="1"/>
  <c r="P37" i="9"/>
  <c r="O37" i="9"/>
  <c r="F37" i="9"/>
  <c r="Q37" i="9"/>
  <c r="H37" i="9"/>
  <c r="G37" i="9"/>
  <c r="E37" i="9"/>
  <c r="I37" i="9" s="1"/>
  <c r="L37" i="9" s="1"/>
  <c r="M37" i="9" s="1"/>
  <c r="N37" i="9" s="1"/>
  <c r="R37" i="9"/>
  <c r="S36" i="9"/>
  <c r="T36" i="9" s="1"/>
  <c r="S37" i="7"/>
  <c r="T37" i="7" s="1"/>
  <c r="A42" i="7" l="1"/>
  <c r="A41" i="2"/>
  <c r="B41" i="7"/>
  <c r="C41" i="7" s="1"/>
  <c r="J41" i="7"/>
  <c r="K41" i="7" s="1"/>
  <c r="S38" i="7"/>
  <c r="T38" i="7" s="1"/>
  <c r="F38" i="9"/>
  <c r="G38" i="9"/>
  <c r="Q38" i="9"/>
  <c r="P38" i="9"/>
  <c r="O38" i="9"/>
  <c r="R38" i="9"/>
  <c r="E38" i="9"/>
  <c r="H38" i="9"/>
  <c r="S38" i="8"/>
  <c r="T38" i="8" s="1"/>
  <c r="D40" i="8"/>
  <c r="AA40" i="8"/>
  <c r="I38" i="8"/>
  <c r="L38" i="8" s="1"/>
  <c r="M38" i="8" s="1"/>
  <c r="N38" i="8" s="1"/>
  <c r="AB40" i="7"/>
  <c r="C40" i="2"/>
  <c r="S37" i="9"/>
  <c r="T37" i="9" s="1"/>
  <c r="A41" i="9"/>
  <c r="B40" i="9"/>
  <c r="C40" i="9" s="1"/>
  <c r="J40" i="9"/>
  <c r="K40" i="9" s="1"/>
  <c r="AE39" i="9"/>
  <c r="AA39" i="9"/>
  <c r="D39" i="9"/>
  <c r="D37" i="2"/>
  <c r="E37" i="2" s="1"/>
  <c r="AC37" i="7"/>
  <c r="U37" i="7"/>
  <c r="W37" i="7" s="1"/>
  <c r="D40" i="7"/>
  <c r="B40" i="2"/>
  <c r="AA40" i="7"/>
  <c r="R39" i="8"/>
  <c r="O39" i="8"/>
  <c r="H39" i="8"/>
  <c r="G39" i="8"/>
  <c r="F39" i="8"/>
  <c r="P39" i="8"/>
  <c r="Q39" i="8"/>
  <c r="E39" i="8"/>
  <c r="I39" i="8" s="1"/>
  <c r="L39" i="8" s="1"/>
  <c r="M39" i="8" s="1"/>
  <c r="N39" i="8" s="1"/>
  <c r="AF39" i="9"/>
  <c r="AB39" i="9"/>
  <c r="I39" i="2"/>
  <c r="H39" i="7"/>
  <c r="Q39" i="7"/>
  <c r="P39" i="7"/>
  <c r="O39" i="7"/>
  <c r="F39" i="7"/>
  <c r="G39" i="7"/>
  <c r="R39" i="7"/>
  <c r="E39" i="7"/>
  <c r="AB40" i="8"/>
  <c r="F40" i="2"/>
  <c r="A42" i="8"/>
  <c r="B41" i="8"/>
  <c r="C41" i="8" s="1"/>
  <c r="J41" i="8"/>
  <c r="K41" i="8" s="1"/>
  <c r="AC36" i="9"/>
  <c r="AG36" i="9"/>
  <c r="J36" i="2"/>
  <c r="K36" i="2" s="1"/>
  <c r="U36" i="9"/>
  <c r="W36" i="9" s="1"/>
  <c r="A42" i="9" l="1"/>
  <c r="B41" i="9"/>
  <c r="C41" i="9" s="1"/>
  <c r="J41" i="9"/>
  <c r="K41" i="9" s="1"/>
  <c r="S38" i="9"/>
  <c r="T38" i="9" s="1"/>
  <c r="I39" i="7"/>
  <c r="L39" i="7" s="1"/>
  <c r="M39" i="7" s="1"/>
  <c r="N39" i="7" s="1"/>
  <c r="H40" i="7"/>
  <c r="O40" i="7"/>
  <c r="P40" i="7"/>
  <c r="F40" i="7"/>
  <c r="R40" i="7"/>
  <c r="G40" i="7"/>
  <c r="E40" i="7"/>
  <c r="Q40" i="7"/>
  <c r="Q40" i="8"/>
  <c r="E40" i="8"/>
  <c r="P40" i="8"/>
  <c r="R40" i="8"/>
  <c r="H40" i="8"/>
  <c r="F40" i="8"/>
  <c r="G40" i="8"/>
  <c r="O40" i="8"/>
  <c r="S40" i="8" s="1"/>
  <c r="T40" i="8" s="1"/>
  <c r="B42" i="8"/>
  <c r="C42" i="8" s="1"/>
  <c r="A43" i="8"/>
  <c r="J42" i="8"/>
  <c r="K42" i="8" s="1"/>
  <c r="AC38" i="8"/>
  <c r="G38" i="2"/>
  <c r="H38" i="2" s="1"/>
  <c r="U38" i="8"/>
  <c r="W38" i="8" s="1"/>
  <c r="I38" i="9"/>
  <c r="L38" i="9" s="1"/>
  <c r="M38" i="9" s="1"/>
  <c r="N38" i="9" s="1"/>
  <c r="S39" i="7"/>
  <c r="T39" i="7" s="1"/>
  <c r="D38" i="2"/>
  <c r="E38" i="2" s="1"/>
  <c r="AC38" i="7"/>
  <c r="U38" i="7"/>
  <c r="W38" i="7" s="1"/>
  <c r="D40" i="9"/>
  <c r="AE40" i="9"/>
  <c r="AA40" i="9"/>
  <c r="AG37" i="9"/>
  <c r="AC37" i="9"/>
  <c r="J37" i="2"/>
  <c r="K37" i="2" s="1"/>
  <c r="U37" i="9"/>
  <c r="W37" i="9" s="1"/>
  <c r="F41" i="2"/>
  <c r="AB41" i="8"/>
  <c r="D41" i="8"/>
  <c r="AA41" i="8"/>
  <c r="S39" i="8"/>
  <c r="T39" i="8" s="1"/>
  <c r="AB41" i="7"/>
  <c r="C41" i="2"/>
  <c r="AA41" i="7"/>
  <c r="B41" i="2"/>
  <c r="D41" i="7"/>
  <c r="H39" i="9"/>
  <c r="G39" i="9"/>
  <c r="F39" i="9"/>
  <c r="E39" i="9"/>
  <c r="I39" i="9" s="1"/>
  <c r="L39" i="9" s="1"/>
  <c r="M39" i="9" s="1"/>
  <c r="N39" i="9" s="1"/>
  <c r="R39" i="9"/>
  <c r="Q39" i="9"/>
  <c r="P39" i="9"/>
  <c r="O39" i="9"/>
  <c r="S39" i="9" s="1"/>
  <c r="T39" i="9" s="1"/>
  <c r="AB40" i="9"/>
  <c r="AF40" i="9"/>
  <c r="I40" i="2"/>
  <c r="B42" i="7"/>
  <c r="C42" i="7" s="1"/>
  <c r="A43" i="7"/>
  <c r="J42" i="7"/>
  <c r="K42" i="7" s="1"/>
  <c r="A42" i="2"/>
  <c r="S40" i="7" l="1"/>
  <c r="T40" i="7" s="1"/>
  <c r="AC39" i="8"/>
  <c r="G39" i="2"/>
  <c r="H39" i="2" s="1"/>
  <c r="U39" i="8"/>
  <c r="W39" i="8" s="1"/>
  <c r="B43" i="7"/>
  <c r="C43" i="7" s="1"/>
  <c r="J43" i="7"/>
  <c r="K43" i="7" s="1"/>
  <c r="A44" i="7"/>
  <c r="A43" i="2"/>
  <c r="I40" i="8"/>
  <c r="L40" i="8" s="1"/>
  <c r="M40" i="8" s="1"/>
  <c r="N40" i="8" s="1"/>
  <c r="I40" i="7"/>
  <c r="L40" i="7" s="1"/>
  <c r="M40" i="7" s="1"/>
  <c r="N40" i="7" s="1"/>
  <c r="G41" i="7"/>
  <c r="O41" i="7"/>
  <c r="H41" i="7"/>
  <c r="F41" i="7"/>
  <c r="E41" i="7"/>
  <c r="I41" i="7" s="1"/>
  <c r="L41" i="7" s="1"/>
  <c r="M41" i="7" s="1"/>
  <c r="N41" i="7" s="1"/>
  <c r="R41" i="7"/>
  <c r="Q41" i="7"/>
  <c r="P41" i="7"/>
  <c r="D39" i="2"/>
  <c r="E39" i="2" s="1"/>
  <c r="AC39" i="7"/>
  <c r="U39" i="7"/>
  <c r="W39" i="7" s="1"/>
  <c r="AC38" i="9"/>
  <c r="AG38" i="9"/>
  <c r="J38" i="2"/>
  <c r="K38" i="2" s="1"/>
  <c r="U38" i="9"/>
  <c r="W38" i="9" s="1"/>
  <c r="AC40" i="8"/>
  <c r="G40" i="2"/>
  <c r="H40" i="2" s="1"/>
  <c r="U40" i="8"/>
  <c r="W40" i="8" s="1"/>
  <c r="AA42" i="7"/>
  <c r="D42" i="7"/>
  <c r="B42" i="2"/>
  <c r="P41" i="8"/>
  <c r="F41" i="8"/>
  <c r="R41" i="8"/>
  <c r="Q41" i="8"/>
  <c r="G41" i="8"/>
  <c r="E41" i="8"/>
  <c r="H41" i="8"/>
  <c r="O41" i="8"/>
  <c r="S41" i="8" s="1"/>
  <c r="T41" i="8" s="1"/>
  <c r="G40" i="9"/>
  <c r="F40" i="9"/>
  <c r="E40" i="9"/>
  <c r="P40" i="9"/>
  <c r="O40" i="9"/>
  <c r="R40" i="9"/>
  <c r="Q40" i="9"/>
  <c r="H40" i="9"/>
  <c r="AF41" i="9"/>
  <c r="AB41" i="9"/>
  <c r="I41" i="2"/>
  <c r="AB42" i="7"/>
  <c r="C42" i="2"/>
  <c r="D41" i="9"/>
  <c r="AE41" i="9"/>
  <c r="AA41" i="9"/>
  <c r="AA42" i="8"/>
  <c r="D42" i="8"/>
  <c r="AG39" i="9"/>
  <c r="AC39" i="9"/>
  <c r="J39" i="2"/>
  <c r="K39" i="2" s="1"/>
  <c r="U39" i="9"/>
  <c r="W39" i="9" s="1"/>
  <c r="AB42" i="8"/>
  <c r="F42" i="2"/>
  <c r="A44" i="8"/>
  <c r="J43" i="8"/>
  <c r="K43" i="8" s="1"/>
  <c r="B43" i="8"/>
  <c r="C43" i="8" s="1"/>
  <c r="B42" i="9"/>
  <c r="C42" i="9" s="1"/>
  <c r="A43" i="9"/>
  <c r="J42" i="9"/>
  <c r="K42" i="9" s="1"/>
  <c r="S40" i="9" l="1"/>
  <c r="T40" i="9" s="1"/>
  <c r="S41" i="7"/>
  <c r="T41" i="7" s="1"/>
  <c r="R41" i="9"/>
  <c r="O41" i="9"/>
  <c r="H41" i="9"/>
  <c r="F41" i="9"/>
  <c r="E41" i="9"/>
  <c r="Q41" i="9"/>
  <c r="P41" i="9"/>
  <c r="G41" i="9"/>
  <c r="AB42" i="9"/>
  <c r="AF42" i="9"/>
  <c r="I42" i="2"/>
  <c r="AE42" i="9"/>
  <c r="AA42" i="9"/>
  <c r="D42" i="9"/>
  <c r="AC41" i="8"/>
  <c r="G41" i="2"/>
  <c r="H41" i="2" s="1"/>
  <c r="U41" i="8"/>
  <c r="W41" i="8" s="1"/>
  <c r="I41" i="8"/>
  <c r="L41" i="8" s="1"/>
  <c r="M41" i="8" s="1"/>
  <c r="N41" i="8" s="1"/>
  <c r="F42" i="7"/>
  <c r="O42" i="7"/>
  <c r="Q42" i="7"/>
  <c r="P42" i="7"/>
  <c r="G42" i="7"/>
  <c r="E42" i="7"/>
  <c r="R42" i="7"/>
  <c r="H42" i="7"/>
  <c r="J44" i="7"/>
  <c r="K44" i="7" s="1"/>
  <c r="A44" i="2"/>
  <c r="A45" i="7"/>
  <c r="B44" i="7"/>
  <c r="C44" i="7" s="1"/>
  <c r="AB43" i="7"/>
  <c r="C43" i="2"/>
  <c r="J43" i="9"/>
  <c r="K43" i="9" s="1"/>
  <c r="B43" i="9"/>
  <c r="C43" i="9" s="1"/>
  <c r="A44" i="9"/>
  <c r="D43" i="7"/>
  <c r="AA43" i="7"/>
  <c r="B43" i="2"/>
  <c r="AA43" i="8"/>
  <c r="D43" i="8"/>
  <c r="AB43" i="8"/>
  <c r="F43" i="2"/>
  <c r="I40" i="9"/>
  <c r="L40" i="9" s="1"/>
  <c r="M40" i="9" s="1"/>
  <c r="N40" i="9" s="1"/>
  <c r="O42" i="8"/>
  <c r="G42" i="8"/>
  <c r="P42" i="8"/>
  <c r="R42" i="8"/>
  <c r="F42" i="8"/>
  <c r="E42" i="8"/>
  <c r="Q42" i="8"/>
  <c r="H42" i="8"/>
  <c r="J44" i="8"/>
  <c r="K44" i="8" s="1"/>
  <c r="A45" i="8"/>
  <c r="B44" i="8"/>
  <c r="C44" i="8" s="1"/>
  <c r="D40" i="2"/>
  <c r="E40" i="2" s="1"/>
  <c r="AC40" i="7"/>
  <c r="U40" i="7"/>
  <c r="W40" i="7" s="1"/>
  <c r="I42" i="8" l="1"/>
  <c r="L42" i="8" s="1"/>
  <c r="M42" i="8" s="1"/>
  <c r="N42" i="8" s="1"/>
  <c r="D44" i="7"/>
  <c r="AA44" i="7"/>
  <c r="B44" i="2"/>
  <c r="I41" i="9"/>
  <c r="L41" i="9" s="1"/>
  <c r="M41" i="9" s="1"/>
  <c r="N41" i="9" s="1"/>
  <c r="H43" i="8"/>
  <c r="G43" i="8"/>
  <c r="F43" i="8"/>
  <c r="E43" i="8"/>
  <c r="I43" i="8" s="1"/>
  <c r="L43" i="8" s="1"/>
  <c r="M43" i="8" s="1"/>
  <c r="N43" i="8" s="1"/>
  <c r="R43" i="8"/>
  <c r="O43" i="8"/>
  <c r="Q43" i="8"/>
  <c r="P43" i="8"/>
  <c r="P42" i="9"/>
  <c r="R42" i="9"/>
  <c r="Q42" i="9"/>
  <c r="O42" i="9"/>
  <c r="S42" i="9" s="1"/>
  <c r="T42" i="9" s="1"/>
  <c r="H42" i="9"/>
  <c r="G42" i="9"/>
  <c r="F42" i="9"/>
  <c r="E42" i="9"/>
  <c r="I42" i="9" s="1"/>
  <c r="L42" i="9" s="1"/>
  <c r="M42" i="9" s="1"/>
  <c r="N42" i="9" s="1"/>
  <c r="S42" i="8"/>
  <c r="T42" i="8" s="1"/>
  <c r="I42" i="7"/>
  <c r="L42" i="7" s="1"/>
  <c r="M42" i="7" s="1"/>
  <c r="N42" i="7" s="1"/>
  <c r="S41" i="9"/>
  <c r="T41" i="9" s="1"/>
  <c r="AC41" i="7"/>
  <c r="D41" i="2"/>
  <c r="E41" i="2" s="1"/>
  <c r="U41" i="7"/>
  <c r="W41" i="7" s="1"/>
  <c r="E43" i="7"/>
  <c r="P43" i="7"/>
  <c r="R43" i="7"/>
  <c r="F43" i="7"/>
  <c r="H43" i="7"/>
  <c r="G43" i="7"/>
  <c r="Q43" i="7"/>
  <c r="O43" i="7"/>
  <c r="S43" i="7" s="1"/>
  <c r="T43" i="7" s="1"/>
  <c r="J44" i="9"/>
  <c r="K44" i="9" s="1"/>
  <c r="B44" i="9"/>
  <c r="C44" i="9" s="1"/>
  <c r="A45" i="9"/>
  <c r="AA44" i="8"/>
  <c r="D44" i="8"/>
  <c r="AA43" i="9"/>
  <c r="D43" i="9"/>
  <c r="AE43" i="9"/>
  <c r="J45" i="8"/>
  <c r="K45" i="8" s="1"/>
  <c r="A46" i="8"/>
  <c r="B45" i="8"/>
  <c r="C45" i="8" s="1"/>
  <c r="AB43" i="9"/>
  <c r="I43" i="2"/>
  <c r="AF43" i="9"/>
  <c r="AB44" i="8"/>
  <c r="F44" i="2"/>
  <c r="A46" i="7"/>
  <c r="B45" i="7"/>
  <c r="C45" i="7" s="1"/>
  <c r="J45" i="7"/>
  <c r="K45" i="7" s="1"/>
  <c r="A45" i="2"/>
  <c r="AB44" i="7"/>
  <c r="C44" i="2"/>
  <c r="S42" i="7"/>
  <c r="T42" i="7" s="1"/>
  <c r="AG40" i="9"/>
  <c r="J40" i="2"/>
  <c r="K40" i="2" s="1"/>
  <c r="AC40" i="9"/>
  <c r="U40" i="9"/>
  <c r="W40" i="9" s="1"/>
  <c r="Q43" i="9" l="1"/>
  <c r="R43" i="9"/>
  <c r="H43" i="9"/>
  <c r="G43" i="9"/>
  <c r="F43" i="9"/>
  <c r="E43" i="9"/>
  <c r="I43" i="9" s="1"/>
  <c r="L43" i="9" s="1"/>
  <c r="M43" i="9" s="1"/>
  <c r="N43" i="9" s="1"/>
  <c r="P43" i="9"/>
  <c r="O43" i="9"/>
  <c r="S43" i="9" s="1"/>
  <c r="T43" i="9" s="1"/>
  <c r="AC42" i="9"/>
  <c r="AG42" i="9"/>
  <c r="J42" i="2"/>
  <c r="K42" i="2" s="1"/>
  <c r="U42" i="9"/>
  <c r="W42" i="9" s="1"/>
  <c r="AC43" i="7"/>
  <c r="D43" i="2"/>
  <c r="E43" i="2" s="1"/>
  <c r="U43" i="7"/>
  <c r="W43" i="7" s="1"/>
  <c r="S43" i="8"/>
  <c r="T43" i="8" s="1"/>
  <c r="A47" i="7"/>
  <c r="B46" i="7"/>
  <c r="C46" i="7" s="1"/>
  <c r="A46" i="2"/>
  <c r="J46" i="7"/>
  <c r="K46" i="7" s="1"/>
  <c r="I43" i="7"/>
  <c r="L43" i="7" s="1"/>
  <c r="M43" i="7" s="1"/>
  <c r="N43" i="7" s="1"/>
  <c r="Q44" i="7"/>
  <c r="H44" i="7"/>
  <c r="P44" i="7"/>
  <c r="O44" i="7"/>
  <c r="R44" i="7"/>
  <c r="G44" i="7"/>
  <c r="F44" i="7"/>
  <c r="E44" i="7"/>
  <c r="D45" i="8"/>
  <c r="AA45" i="8"/>
  <c r="J46" i="8"/>
  <c r="K46" i="8" s="1"/>
  <c r="A47" i="8"/>
  <c r="B46" i="8"/>
  <c r="C46" i="8" s="1"/>
  <c r="AC42" i="8"/>
  <c r="G42" i="2"/>
  <c r="H42" i="2" s="1"/>
  <c r="U42" i="8"/>
  <c r="W42" i="8" s="1"/>
  <c r="AB45" i="8"/>
  <c r="F45" i="2"/>
  <c r="B45" i="9"/>
  <c r="C45" i="9" s="1"/>
  <c r="A46" i="9"/>
  <c r="J45" i="9"/>
  <c r="K45" i="9" s="1"/>
  <c r="AB45" i="7"/>
  <c r="C45" i="2"/>
  <c r="AA45" i="7"/>
  <c r="D45" i="7"/>
  <c r="B45" i="2"/>
  <c r="AC42" i="7"/>
  <c r="D42" i="2"/>
  <c r="E42" i="2" s="1"/>
  <c r="U42" i="7"/>
  <c r="W42" i="7" s="1"/>
  <c r="O44" i="8"/>
  <c r="H44" i="8"/>
  <c r="G44" i="8"/>
  <c r="F44" i="8"/>
  <c r="E44" i="8"/>
  <c r="I44" i="8" s="1"/>
  <c r="L44" i="8" s="1"/>
  <c r="M44" i="8" s="1"/>
  <c r="N44" i="8" s="1"/>
  <c r="Q44" i="8"/>
  <c r="P44" i="8"/>
  <c r="R44" i="8"/>
  <c r="AE44" i="9"/>
  <c r="D44" i="9"/>
  <c r="AA44" i="9"/>
  <c r="AF44" i="9"/>
  <c r="AB44" i="9"/>
  <c r="I44" i="2"/>
  <c r="AG41" i="9"/>
  <c r="AC41" i="9"/>
  <c r="J41" i="2"/>
  <c r="K41" i="2" s="1"/>
  <c r="U41" i="9"/>
  <c r="W41" i="9" s="1"/>
  <c r="AB46" i="7" l="1"/>
  <c r="C46" i="2"/>
  <c r="F44" i="9"/>
  <c r="R44" i="9"/>
  <c r="Q44" i="9"/>
  <c r="G44" i="9"/>
  <c r="E44" i="9"/>
  <c r="H44" i="9"/>
  <c r="P44" i="9"/>
  <c r="O44" i="9"/>
  <c r="S44" i="9" s="1"/>
  <c r="T44" i="9" s="1"/>
  <c r="B47" i="7"/>
  <c r="C47" i="7" s="1"/>
  <c r="J47" i="7"/>
  <c r="K47" i="7" s="1"/>
  <c r="A48" i="7"/>
  <c r="A47" i="2"/>
  <c r="AC43" i="8"/>
  <c r="G43" i="2"/>
  <c r="H43" i="2" s="1"/>
  <c r="U43" i="8"/>
  <c r="W43" i="8" s="1"/>
  <c r="F46" i="2"/>
  <c r="AB46" i="8"/>
  <c r="J43" i="2"/>
  <c r="K43" i="2" s="1"/>
  <c r="AC43" i="9"/>
  <c r="AG43" i="9"/>
  <c r="U43" i="9"/>
  <c r="W43" i="9" s="1"/>
  <c r="R45" i="8"/>
  <c r="Q45" i="8"/>
  <c r="P45" i="8"/>
  <c r="H45" i="8"/>
  <c r="F45" i="8"/>
  <c r="E45" i="8"/>
  <c r="O45" i="8"/>
  <c r="G45" i="8"/>
  <c r="AB45" i="9"/>
  <c r="AF45" i="9"/>
  <c r="I45" i="2"/>
  <c r="A47" i="9"/>
  <c r="J46" i="9"/>
  <c r="K46" i="9" s="1"/>
  <c r="B46" i="9"/>
  <c r="C46" i="9" s="1"/>
  <c r="AE45" i="9"/>
  <c r="AA45" i="9"/>
  <c r="D45" i="9"/>
  <c r="B46" i="2"/>
  <c r="AA46" i="7"/>
  <c r="D46" i="7"/>
  <c r="J47" i="8"/>
  <c r="K47" i="8" s="1"/>
  <c r="B47" i="8"/>
  <c r="C47" i="8" s="1"/>
  <c r="A48" i="8"/>
  <c r="I44" i="7"/>
  <c r="L44" i="7" s="1"/>
  <c r="M44" i="7" s="1"/>
  <c r="N44" i="7" s="1"/>
  <c r="AA46" i="8"/>
  <c r="D46" i="8"/>
  <c r="S44" i="8"/>
  <c r="T44" i="8" s="1"/>
  <c r="R45" i="7"/>
  <c r="H45" i="7"/>
  <c r="G45" i="7"/>
  <c r="F45" i="7"/>
  <c r="E45" i="7"/>
  <c r="I45" i="7" s="1"/>
  <c r="L45" i="7" s="1"/>
  <c r="M45" i="7" s="1"/>
  <c r="N45" i="7" s="1"/>
  <c r="Q45" i="7"/>
  <c r="P45" i="7"/>
  <c r="O45" i="7"/>
  <c r="S45" i="7" s="1"/>
  <c r="T45" i="7" s="1"/>
  <c r="S44" i="7"/>
  <c r="T44" i="7" s="1"/>
  <c r="S45" i="8" l="1"/>
  <c r="T45" i="8" s="1"/>
  <c r="AA47" i="7"/>
  <c r="D47" i="7"/>
  <c r="B47" i="2"/>
  <c r="AC45" i="8"/>
  <c r="G45" i="2"/>
  <c r="H45" i="2" s="1"/>
  <c r="U45" i="8"/>
  <c r="W45" i="8" s="1"/>
  <c r="Q45" i="9"/>
  <c r="P45" i="9"/>
  <c r="O45" i="9"/>
  <c r="H45" i="9"/>
  <c r="G45" i="9"/>
  <c r="F45" i="9"/>
  <c r="E45" i="9"/>
  <c r="R45" i="9"/>
  <c r="D46" i="9"/>
  <c r="AE46" i="9"/>
  <c r="AA46" i="9"/>
  <c r="AC44" i="7"/>
  <c r="D44" i="2"/>
  <c r="E44" i="2" s="1"/>
  <c r="U44" i="7"/>
  <c r="W44" i="7" s="1"/>
  <c r="AB47" i="7"/>
  <c r="C47" i="2"/>
  <c r="G46" i="8"/>
  <c r="F46" i="8"/>
  <c r="H46" i="8"/>
  <c r="E46" i="8"/>
  <c r="R46" i="8"/>
  <c r="Q46" i="8"/>
  <c r="P46" i="8"/>
  <c r="O46" i="8"/>
  <c r="S46" i="8" s="1"/>
  <c r="T46" i="8" s="1"/>
  <c r="D47" i="8"/>
  <c r="AA47" i="8"/>
  <c r="AB47" i="8"/>
  <c r="F47" i="2"/>
  <c r="R46" i="7"/>
  <c r="Q46" i="7"/>
  <c r="P46" i="7"/>
  <c r="F46" i="7"/>
  <c r="E46" i="7"/>
  <c r="O46" i="7"/>
  <c r="S46" i="7" s="1"/>
  <c r="T46" i="7" s="1"/>
  <c r="H46" i="7"/>
  <c r="G46" i="7"/>
  <c r="AB46" i="9"/>
  <c r="AF46" i="9"/>
  <c r="I46" i="2"/>
  <c r="J47" i="9"/>
  <c r="K47" i="9" s="1"/>
  <c r="B47" i="9"/>
  <c r="C47" i="9" s="1"/>
  <c r="A48" i="9"/>
  <c r="A48" i="2"/>
  <c r="A49" i="7"/>
  <c r="B48" i="7"/>
  <c r="C48" i="7" s="1"/>
  <c r="J48" i="7"/>
  <c r="K48" i="7" s="1"/>
  <c r="I45" i="8"/>
  <c r="L45" i="8" s="1"/>
  <c r="M45" i="8" s="1"/>
  <c r="N45" i="8" s="1"/>
  <c r="AC45" i="7"/>
  <c r="D45" i="2"/>
  <c r="E45" i="2" s="1"/>
  <c r="U45" i="7"/>
  <c r="W45" i="7" s="1"/>
  <c r="AG44" i="9"/>
  <c r="AC44" i="9"/>
  <c r="J44" i="2"/>
  <c r="K44" i="2" s="1"/>
  <c r="U44" i="9"/>
  <c r="W44" i="9" s="1"/>
  <c r="AC44" i="8"/>
  <c r="G44" i="2"/>
  <c r="H44" i="2" s="1"/>
  <c r="U44" i="8"/>
  <c r="W44" i="8" s="1"/>
  <c r="I44" i="9"/>
  <c r="L44" i="9" s="1"/>
  <c r="M44" i="9" s="1"/>
  <c r="N44" i="9" s="1"/>
  <c r="J48" i="8"/>
  <c r="K48" i="8" s="1"/>
  <c r="A49" i="8"/>
  <c r="B48" i="8"/>
  <c r="C48" i="8" s="1"/>
  <c r="I45" i="9" l="1"/>
  <c r="L45" i="9" s="1"/>
  <c r="M45" i="9" s="1"/>
  <c r="N45" i="9" s="1"/>
  <c r="AB48" i="7"/>
  <c r="C48" i="2"/>
  <c r="D48" i="7"/>
  <c r="B48" i="2"/>
  <c r="AA48" i="7"/>
  <c r="AC46" i="8"/>
  <c r="G46" i="2"/>
  <c r="H46" i="2" s="1"/>
  <c r="U46" i="8"/>
  <c r="W46" i="8" s="1"/>
  <c r="I46" i="8"/>
  <c r="L46" i="8" s="1"/>
  <c r="M46" i="8" s="1"/>
  <c r="N46" i="8" s="1"/>
  <c r="B49" i="8"/>
  <c r="C49" i="8" s="1"/>
  <c r="A50" i="8"/>
  <c r="J49" i="8"/>
  <c r="K49" i="8" s="1"/>
  <c r="I46" i="7"/>
  <c r="L46" i="7" s="1"/>
  <c r="M46" i="7" s="1"/>
  <c r="N46" i="7" s="1"/>
  <c r="S45" i="9"/>
  <c r="T45" i="9" s="1"/>
  <c r="A49" i="9"/>
  <c r="J48" i="9"/>
  <c r="K48" i="9" s="1"/>
  <c r="B48" i="9"/>
  <c r="C48" i="9" s="1"/>
  <c r="AB47" i="9"/>
  <c r="AF47" i="9"/>
  <c r="I47" i="2"/>
  <c r="AA48" i="8"/>
  <c r="D48" i="8"/>
  <c r="AB48" i="8"/>
  <c r="F48" i="2"/>
  <c r="H47" i="7"/>
  <c r="G47" i="7"/>
  <c r="F47" i="7"/>
  <c r="E47" i="7"/>
  <c r="P47" i="7"/>
  <c r="R47" i="7"/>
  <c r="Q47" i="7"/>
  <c r="O47" i="7"/>
  <c r="AC46" i="7"/>
  <c r="D46" i="2"/>
  <c r="E46" i="2" s="1"/>
  <c r="U46" i="7"/>
  <c r="W46" i="7" s="1"/>
  <c r="O46" i="9"/>
  <c r="R46" i="9"/>
  <c r="Q46" i="9"/>
  <c r="G46" i="9"/>
  <c r="F46" i="9"/>
  <c r="E46" i="9"/>
  <c r="P46" i="9"/>
  <c r="H46" i="9"/>
  <c r="B49" i="7"/>
  <c r="C49" i="7" s="1"/>
  <c r="A50" i="7"/>
  <c r="J49" i="7"/>
  <c r="K49" i="7" s="1"/>
  <c r="A49" i="2"/>
  <c r="H47" i="8"/>
  <c r="G47" i="8"/>
  <c r="F47" i="8"/>
  <c r="R47" i="8"/>
  <c r="Q47" i="8"/>
  <c r="P47" i="8"/>
  <c r="O47" i="8"/>
  <c r="E47" i="8"/>
  <c r="I47" i="8" s="1"/>
  <c r="L47" i="8" s="1"/>
  <c r="M47" i="8" s="1"/>
  <c r="N47" i="8" s="1"/>
  <c r="AE47" i="9"/>
  <c r="AA47" i="9"/>
  <c r="D47" i="9"/>
  <c r="S47" i="7" l="1"/>
  <c r="T47" i="7" s="1"/>
  <c r="I47" i="7"/>
  <c r="L47" i="7" s="1"/>
  <c r="M47" i="7" s="1"/>
  <c r="N47" i="7" s="1"/>
  <c r="AC47" i="7"/>
  <c r="D47" i="2"/>
  <c r="E47" i="2" s="1"/>
  <c r="U47" i="7"/>
  <c r="W47" i="7" s="1"/>
  <c r="AB49" i="8"/>
  <c r="F49" i="2"/>
  <c r="S47" i="8"/>
  <c r="T47" i="8" s="1"/>
  <c r="A51" i="8"/>
  <c r="J50" i="8"/>
  <c r="K50" i="8" s="1"/>
  <c r="B50" i="8"/>
  <c r="C50" i="8" s="1"/>
  <c r="D49" i="8"/>
  <c r="AA49" i="8"/>
  <c r="AA49" i="7"/>
  <c r="D49" i="7"/>
  <c r="B49" i="2"/>
  <c r="R48" i="8"/>
  <c r="Q48" i="8"/>
  <c r="H48" i="8"/>
  <c r="G48" i="8"/>
  <c r="P48" i="8"/>
  <c r="O48" i="8"/>
  <c r="F48" i="8"/>
  <c r="E48" i="8"/>
  <c r="I48" i="8" s="1"/>
  <c r="L48" i="8" s="1"/>
  <c r="M48" i="8" s="1"/>
  <c r="N48" i="8" s="1"/>
  <c r="I46" i="9"/>
  <c r="L46" i="9" s="1"/>
  <c r="M46" i="9" s="1"/>
  <c r="N46" i="9" s="1"/>
  <c r="AA48" i="9"/>
  <c r="AE48" i="9"/>
  <c r="D48" i="9"/>
  <c r="AB48" i="9"/>
  <c r="AF48" i="9"/>
  <c r="I48" i="2"/>
  <c r="R47" i="9"/>
  <c r="H47" i="9"/>
  <c r="Q47" i="9"/>
  <c r="G47" i="9"/>
  <c r="F47" i="9"/>
  <c r="E47" i="9"/>
  <c r="I47" i="9" s="1"/>
  <c r="L47" i="9" s="1"/>
  <c r="M47" i="9" s="1"/>
  <c r="N47" i="9" s="1"/>
  <c r="O47" i="9"/>
  <c r="P47" i="9"/>
  <c r="J45" i="2"/>
  <c r="K45" i="2" s="1"/>
  <c r="AC45" i="9"/>
  <c r="AG45" i="9"/>
  <c r="U45" i="9"/>
  <c r="W45" i="9" s="1"/>
  <c r="AB49" i="7"/>
  <c r="C49" i="2"/>
  <c r="J50" i="7"/>
  <c r="K50" i="7" s="1"/>
  <c r="B50" i="7"/>
  <c r="C50" i="7" s="1"/>
  <c r="A51" i="7"/>
  <c r="A50" i="2"/>
  <c r="Q48" i="7"/>
  <c r="P48" i="7"/>
  <c r="O48" i="7"/>
  <c r="R48" i="7"/>
  <c r="G48" i="7"/>
  <c r="F48" i="7"/>
  <c r="E48" i="7"/>
  <c r="H48" i="7"/>
  <c r="S46" i="9"/>
  <c r="T46" i="9" s="1"/>
  <c r="J49" i="9"/>
  <c r="K49" i="9" s="1"/>
  <c r="B49" i="9"/>
  <c r="C49" i="9" s="1"/>
  <c r="A50" i="9"/>
  <c r="D49" i="9" l="1"/>
  <c r="AE49" i="9"/>
  <c r="AA49" i="9"/>
  <c r="F49" i="7"/>
  <c r="E49" i="7"/>
  <c r="H49" i="7"/>
  <c r="G49" i="7"/>
  <c r="O49" i="7"/>
  <c r="R49" i="7"/>
  <c r="Q49" i="7"/>
  <c r="P49" i="7"/>
  <c r="AA50" i="8"/>
  <c r="D50" i="8"/>
  <c r="AB50" i="8"/>
  <c r="F50" i="2"/>
  <c r="B51" i="8"/>
  <c r="C51" i="8" s="1"/>
  <c r="A52" i="8"/>
  <c r="J51" i="8"/>
  <c r="K51" i="8" s="1"/>
  <c r="AA50" i="7"/>
  <c r="D50" i="7"/>
  <c r="B50" i="2"/>
  <c r="S48" i="8"/>
  <c r="T48" i="8" s="1"/>
  <c r="S47" i="9"/>
  <c r="T47" i="9" s="1"/>
  <c r="R49" i="8"/>
  <c r="H49" i="8"/>
  <c r="O49" i="8"/>
  <c r="Q49" i="8"/>
  <c r="P49" i="8"/>
  <c r="G49" i="8"/>
  <c r="F49" i="8"/>
  <c r="E49" i="8"/>
  <c r="I49" i="8" s="1"/>
  <c r="L49" i="8" s="1"/>
  <c r="M49" i="8" s="1"/>
  <c r="N49" i="8" s="1"/>
  <c r="S48" i="7"/>
  <c r="T48" i="7" s="1"/>
  <c r="A52" i="7"/>
  <c r="J51" i="7"/>
  <c r="K51" i="7" s="1"/>
  <c r="A51" i="2"/>
  <c r="B51" i="7"/>
  <c r="C51" i="7" s="1"/>
  <c r="H48" i="9"/>
  <c r="G48" i="9"/>
  <c r="F48" i="9"/>
  <c r="E48" i="9"/>
  <c r="I48" i="9" s="1"/>
  <c r="L48" i="9" s="1"/>
  <c r="M48" i="9" s="1"/>
  <c r="N48" i="9" s="1"/>
  <c r="R48" i="9"/>
  <c r="P48" i="9"/>
  <c r="O48" i="9"/>
  <c r="Q48" i="9"/>
  <c r="A51" i="9"/>
  <c r="J50" i="9"/>
  <c r="K50" i="9" s="1"/>
  <c r="B50" i="9"/>
  <c r="C50" i="9" s="1"/>
  <c r="AF49" i="9"/>
  <c r="AB49" i="9"/>
  <c r="I49" i="2"/>
  <c r="AC46" i="9"/>
  <c r="J46" i="2"/>
  <c r="K46" i="2" s="1"/>
  <c r="AG46" i="9"/>
  <c r="U46" i="9"/>
  <c r="W46" i="9" s="1"/>
  <c r="I48" i="7"/>
  <c r="L48" i="7" s="1"/>
  <c r="M48" i="7" s="1"/>
  <c r="N48" i="7" s="1"/>
  <c r="G47" i="2"/>
  <c r="H47" i="2" s="1"/>
  <c r="AC47" i="8"/>
  <c r="U47" i="8"/>
  <c r="W47" i="8" s="1"/>
  <c r="AB50" i="7"/>
  <c r="C50" i="2"/>
  <c r="B51" i="9" l="1"/>
  <c r="C51" i="9" s="1"/>
  <c r="J51" i="9"/>
  <c r="K51" i="9" s="1"/>
  <c r="A52" i="9"/>
  <c r="H50" i="7"/>
  <c r="G50" i="7"/>
  <c r="F50" i="7"/>
  <c r="Q50" i="7"/>
  <c r="O50" i="7"/>
  <c r="R50" i="7"/>
  <c r="P50" i="7"/>
  <c r="E50" i="7"/>
  <c r="I50" i="7" s="1"/>
  <c r="L50" i="7" s="1"/>
  <c r="M50" i="7" s="1"/>
  <c r="N50" i="7" s="1"/>
  <c r="D51" i="8"/>
  <c r="AA51" i="8"/>
  <c r="AB51" i="7"/>
  <c r="C51" i="2"/>
  <c r="J52" i="7"/>
  <c r="K52" i="7" s="1"/>
  <c r="B52" i="7"/>
  <c r="C52" i="7" s="1"/>
  <c r="A53" i="7"/>
  <c r="A52" i="2"/>
  <c r="I49" i="7"/>
  <c r="L49" i="7" s="1"/>
  <c r="M49" i="7" s="1"/>
  <c r="N49" i="7" s="1"/>
  <c r="D51" i="7"/>
  <c r="B51" i="2"/>
  <c r="AA51" i="7"/>
  <c r="Q50" i="8"/>
  <c r="G50" i="8"/>
  <c r="P50" i="8"/>
  <c r="O50" i="8"/>
  <c r="E50" i="8"/>
  <c r="H50" i="8"/>
  <c r="F50" i="8"/>
  <c r="R50" i="8"/>
  <c r="S49" i="7"/>
  <c r="T49" i="7" s="1"/>
  <c r="S49" i="8"/>
  <c r="T49" i="8" s="1"/>
  <c r="AC48" i="8"/>
  <c r="G48" i="2"/>
  <c r="H48" i="2" s="1"/>
  <c r="U48" i="8"/>
  <c r="W48" i="8" s="1"/>
  <c r="J52" i="8"/>
  <c r="K52" i="8" s="1"/>
  <c r="A53" i="8"/>
  <c r="B52" i="8"/>
  <c r="C52" i="8" s="1"/>
  <c r="AC48" i="7"/>
  <c r="D48" i="2"/>
  <c r="E48" i="2" s="1"/>
  <c r="U48" i="7"/>
  <c r="W48" i="7" s="1"/>
  <c r="D50" i="9"/>
  <c r="AA50" i="9"/>
  <c r="AE50" i="9"/>
  <c r="S48" i="9"/>
  <c r="T48" i="9" s="1"/>
  <c r="F51" i="2"/>
  <c r="AB51" i="8"/>
  <c r="AF50" i="9"/>
  <c r="AB50" i="9"/>
  <c r="I50" i="2"/>
  <c r="AG47" i="9"/>
  <c r="AC47" i="9"/>
  <c r="J47" i="2"/>
  <c r="K47" i="2" s="1"/>
  <c r="U47" i="9"/>
  <c r="W47" i="9" s="1"/>
  <c r="H49" i="9"/>
  <c r="G49" i="9"/>
  <c r="F49" i="9"/>
  <c r="E49" i="9"/>
  <c r="P49" i="9"/>
  <c r="Q49" i="9"/>
  <c r="O49" i="9"/>
  <c r="R49" i="9"/>
  <c r="I49" i="9" l="1"/>
  <c r="L49" i="9" s="1"/>
  <c r="M49" i="9" s="1"/>
  <c r="N49" i="9" s="1"/>
  <c r="F50" i="9"/>
  <c r="E50" i="9"/>
  <c r="H50" i="9"/>
  <c r="G50" i="9"/>
  <c r="Q50" i="9"/>
  <c r="P50" i="9"/>
  <c r="R50" i="9"/>
  <c r="O50" i="9"/>
  <c r="H51" i="7"/>
  <c r="O51" i="7"/>
  <c r="G51" i="7"/>
  <c r="F51" i="7"/>
  <c r="Q51" i="7"/>
  <c r="P51" i="7"/>
  <c r="R51" i="7"/>
  <c r="E51" i="7"/>
  <c r="I51" i="7" s="1"/>
  <c r="L51" i="7" s="1"/>
  <c r="M51" i="7" s="1"/>
  <c r="N51" i="7" s="1"/>
  <c r="D52" i="8"/>
  <c r="AA52" i="8"/>
  <c r="B53" i="7"/>
  <c r="C53" i="7" s="1"/>
  <c r="A54" i="7"/>
  <c r="J53" i="7"/>
  <c r="K53" i="7" s="1"/>
  <c r="A53" i="2"/>
  <c r="B53" i="8"/>
  <c r="C53" i="8" s="1"/>
  <c r="A54" i="8"/>
  <c r="J53" i="8"/>
  <c r="K53" i="8" s="1"/>
  <c r="P51" i="8"/>
  <c r="F51" i="8"/>
  <c r="R51" i="8"/>
  <c r="Q51" i="8"/>
  <c r="G51" i="8"/>
  <c r="H51" i="8"/>
  <c r="E51" i="8"/>
  <c r="O51" i="8"/>
  <c r="S51" i="8" s="1"/>
  <c r="T51" i="8" s="1"/>
  <c r="AC49" i="7"/>
  <c r="D49" i="2"/>
  <c r="E49" i="2" s="1"/>
  <c r="U49" i="7"/>
  <c r="W49" i="7" s="1"/>
  <c r="I50" i="8"/>
  <c r="L50" i="8" s="1"/>
  <c r="M50" i="8" s="1"/>
  <c r="N50" i="8" s="1"/>
  <c r="S50" i="8"/>
  <c r="T50" i="8" s="1"/>
  <c r="AA52" i="7"/>
  <c r="D52" i="7"/>
  <c r="B52" i="2"/>
  <c r="S50" i="7"/>
  <c r="T50" i="7" s="1"/>
  <c r="J52" i="9"/>
  <c r="K52" i="9" s="1"/>
  <c r="B52" i="9"/>
  <c r="C52" i="9" s="1"/>
  <c r="A53" i="9"/>
  <c r="S49" i="9"/>
  <c r="T49" i="9" s="1"/>
  <c r="AB52" i="7"/>
  <c r="C52" i="2"/>
  <c r="F52" i="2"/>
  <c r="AB52" i="8"/>
  <c r="AC49" i="8"/>
  <c r="G49" i="2"/>
  <c r="H49" i="2" s="1"/>
  <c r="U49" i="8"/>
  <c r="W49" i="8" s="1"/>
  <c r="AG48" i="9"/>
  <c r="J48" i="2"/>
  <c r="K48" i="2" s="1"/>
  <c r="AC48" i="9"/>
  <c r="U48" i="9"/>
  <c r="W48" i="9" s="1"/>
  <c r="AB51" i="9"/>
  <c r="AF51" i="9"/>
  <c r="I51" i="2"/>
  <c r="AE51" i="9"/>
  <c r="AA51" i="9"/>
  <c r="D51" i="9"/>
  <c r="S50" i="9" l="1"/>
  <c r="T50" i="9" s="1"/>
  <c r="AB52" i="9"/>
  <c r="AF52" i="9"/>
  <c r="I52" i="2"/>
  <c r="AC50" i="7"/>
  <c r="D50" i="2"/>
  <c r="E50" i="2" s="1"/>
  <c r="U50" i="7"/>
  <c r="W50" i="7" s="1"/>
  <c r="R52" i="7"/>
  <c r="Q52" i="7"/>
  <c r="H52" i="7"/>
  <c r="F52" i="7"/>
  <c r="E52" i="7"/>
  <c r="G52" i="7"/>
  <c r="P52" i="7"/>
  <c r="O52" i="7"/>
  <c r="S52" i="7" s="1"/>
  <c r="T52" i="7" s="1"/>
  <c r="AC51" i="8"/>
  <c r="G51" i="2"/>
  <c r="H51" i="2" s="1"/>
  <c r="U51" i="8"/>
  <c r="W51" i="8" s="1"/>
  <c r="S51" i="7"/>
  <c r="T51" i="7" s="1"/>
  <c r="I51" i="8"/>
  <c r="L51" i="8" s="1"/>
  <c r="M51" i="8" s="1"/>
  <c r="N51" i="8" s="1"/>
  <c r="H51" i="9"/>
  <c r="G51" i="9"/>
  <c r="P51" i="9"/>
  <c r="R51" i="9"/>
  <c r="Q51" i="9"/>
  <c r="O51" i="9"/>
  <c r="F51" i="9"/>
  <c r="E51" i="9"/>
  <c r="J54" i="8"/>
  <c r="K54" i="8" s="1"/>
  <c r="B54" i="8"/>
  <c r="C54" i="8" s="1"/>
  <c r="A55" i="8"/>
  <c r="AB53" i="7"/>
  <c r="C53" i="2"/>
  <c r="B54" i="7"/>
  <c r="C54" i="7" s="1"/>
  <c r="A55" i="7"/>
  <c r="A54" i="2"/>
  <c r="J54" i="7"/>
  <c r="K54" i="7" s="1"/>
  <c r="D53" i="8"/>
  <c r="AA53" i="8"/>
  <c r="AC50" i="8"/>
  <c r="G50" i="2"/>
  <c r="H50" i="2" s="1"/>
  <c r="U50" i="8"/>
  <c r="W50" i="8" s="1"/>
  <c r="I50" i="9"/>
  <c r="L50" i="9" s="1"/>
  <c r="M50" i="9" s="1"/>
  <c r="N50" i="9" s="1"/>
  <c r="AC49" i="9"/>
  <c r="AG49" i="9"/>
  <c r="J49" i="2"/>
  <c r="K49" i="2" s="1"/>
  <c r="U49" i="9"/>
  <c r="W49" i="9" s="1"/>
  <c r="J53" i="9"/>
  <c r="K53" i="9" s="1"/>
  <c r="A54" i="9"/>
  <c r="B53" i="9"/>
  <c r="C53" i="9" s="1"/>
  <c r="AE52" i="9"/>
  <c r="AA52" i="9"/>
  <c r="D52" i="9"/>
  <c r="AA53" i="7"/>
  <c r="D53" i="7"/>
  <c r="B53" i="2"/>
  <c r="O52" i="8"/>
  <c r="E52" i="8"/>
  <c r="R52" i="8"/>
  <c r="H52" i="8"/>
  <c r="G52" i="8"/>
  <c r="F52" i="8"/>
  <c r="Q52" i="8"/>
  <c r="P52" i="8"/>
  <c r="AG50" i="9"/>
  <c r="AC50" i="9"/>
  <c r="J50" i="2"/>
  <c r="K50" i="2" s="1"/>
  <c r="U50" i="9"/>
  <c r="W50" i="9" s="1"/>
  <c r="F53" i="2"/>
  <c r="AB53" i="8"/>
  <c r="Q53" i="8" l="1"/>
  <c r="P53" i="8"/>
  <c r="O53" i="8"/>
  <c r="F53" i="8"/>
  <c r="E53" i="8"/>
  <c r="G53" i="8"/>
  <c r="R53" i="8"/>
  <c r="H53" i="8"/>
  <c r="I52" i="8"/>
  <c r="L52" i="8" s="1"/>
  <c r="M52" i="8" s="1"/>
  <c r="N52" i="8" s="1"/>
  <c r="D53" i="9"/>
  <c r="AE53" i="9"/>
  <c r="AA53" i="9"/>
  <c r="J54" i="9"/>
  <c r="K54" i="9" s="1"/>
  <c r="B54" i="9"/>
  <c r="C54" i="9" s="1"/>
  <c r="A55" i="9"/>
  <c r="AB54" i="8"/>
  <c r="F54" i="2"/>
  <c r="AF53" i="9"/>
  <c r="AB53" i="9"/>
  <c r="I53" i="2"/>
  <c r="S51" i="9"/>
  <c r="T51" i="9" s="1"/>
  <c r="AC51" i="7"/>
  <c r="D51" i="2"/>
  <c r="E51" i="2" s="1"/>
  <c r="U51" i="7"/>
  <c r="W51" i="7" s="1"/>
  <c r="C54" i="2"/>
  <c r="AB54" i="7"/>
  <c r="S52" i="8"/>
  <c r="T52" i="8" s="1"/>
  <c r="J55" i="7"/>
  <c r="K55" i="7" s="1"/>
  <c r="B55" i="7"/>
  <c r="C55" i="7" s="1"/>
  <c r="A56" i="7"/>
  <c r="A55" i="2"/>
  <c r="I52" i="7"/>
  <c r="L52" i="7" s="1"/>
  <c r="M52" i="7" s="1"/>
  <c r="N52" i="7" s="1"/>
  <c r="AA54" i="8"/>
  <c r="D54" i="8"/>
  <c r="AC52" i="7"/>
  <c r="D52" i="2"/>
  <c r="E52" i="2" s="1"/>
  <c r="U52" i="7"/>
  <c r="W52" i="7" s="1"/>
  <c r="Q53" i="7"/>
  <c r="G53" i="7"/>
  <c r="F53" i="7"/>
  <c r="E53" i="7"/>
  <c r="O53" i="7"/>
  <c r="H53" i="7"/>
  <c r="R53" i="7"/>
  <c r="P53" i="7"/>
  <c r="B54" i="2"/>
  <c r="AA54" i="7"/>
  <c r="D54" i="7"/>
  <c r="H52" i="9"/>
  <c r="G52" i="9"/>
  <c r="P52" i="9"/>
  <c r="F52" i="9"/>
  <c r="O52" i="9"/>
  <c r="R52" i="9"/>
  <c r="Q52" i="9"/>
  <c r="E52" i="9"/>
  <c r="I52" i="9" s="1"/>
  <c r="L52" i="9" s="1"/>
  <c r="M52" i="9" s="1"/>
  <c r="N52" i="9" s="1"/>
  <c r="A56" i="8"/>
  <c r="B55" i="8"/>
  <c r="C55" i="8" s="1"/>
  <c r="J55" i="8"/>
  <c r="K55" i="8" s="1"/>
  <c r="I51" i="9"/>
  <c r="L51" i="9" s="1"/>
  <c r="M51" i="9" s="1"/>
  <c r="N51" i="9" s="1"/>
  <c r="S52" i="9" l="1"/>
  <c r="T52" i="9" s="1"/>
  <c r="AB55" i="7"/>
  <c r="C55" i="2"/>
  <c r="R53" i="9"/>
  <c r="Q53" i="9"/>
  <c r="P53" i="9"/>
  <c r="O53" i="9"/>
  <c r="S53" i="9" s="1"/>
  <c r="T53" i="9" s="1"/>
  <c r="H53" i="9"/>
  <c r="G53" i="9"/>
  <c r="F53" i="9"/>
  <c r="E53" i="9"/>
  <c r="G52" i="2"/>
  <c r="H52" i="2" s="1"/>
  <c r="AC52" i="8"/>
  <c r="U52" i="8"/>
  <c r="W52" i="8" s="1"/>
  <c r="R54" i="7"/>
  <c r="P54" i="7"/>
  <c r="O54" i="7"/>
  <c r="H54" i="7"/>
  <c r="G54" i="7"/>
  <c r="F54" i="7"/>
  <c r="E54" i="7"/>
  <c r="I54" i="7" s="1"/>
  <c r="L54" i="7" s="1"/>
  <c r="M54" i="7" s="1"/>
  <c r="N54" i="7" s="1"/>
  <c r="Q54" i="7"/>
  <c r="AB55" i="8"/>
  <c r="F55" i="2"/>
  <c r="AA55" i="8"/>
  <c r="D55" i="8"/>
  <c r="B56" i="8"/>
  <c r="C56" i="8" s="1"/>
  <c r="A57" i="8"/>
  <c r="J56" i="8"/>
  <c r="K56" i="8" s="1"/>
  <c r="J55" i="9"/>
  <c r="K55" i="9" s="1"/>
  <c r="A56" i="9"/>
  <c r="B55" i="9"/>
  <c r="C55" i="9" s="1"/>
  <c r="AA54" i="9"/>
  <c r="D54" i="9"/>
  <c r="AE54" i="9"/>
  <c r="AB54" i="9"/>
  <c r="AF54" i="9"/>
  <c r="I54" i="2"/>
  <c r="I53" i="8"/>
  <c r="L53" i="8" s="1"/>
  <c r="M53" i="8" s="1"/>
  <c r="N53" i="8" s="1"/>
  <c r="S53" i="8"/>
  <c r="T53" i="8" s="1"/>
  <c r="B56" i="7"/>
  <c r="C56" i="7" s="1"/>
  <c r="A57" i="7"/>
  <c r="J56" i="7"/>
  <c r="K56" i="7" s="1"/>
  <c r="A56" i="2"/>
  <c r="D55" i="7"/>
  <c r="AA55" i="7"/>
  <c r="B55" i="2"/>
  <c r="S53" i="7"/>
  <c r="T53" i="7" s="1"/>
  <c r="Q54" i="8"/>
  <c r="P54" i="8"/>
  <c r="R54" i="8"/>
  <c r="O54" i="8"/>
  <c r="S54" i="8" s="1"/>
  <c r="T54" i="8" s="1"/>
  <c r="H54" i="8"/>
  <c r="G54" i="8"/>
  <c r="F54" i="8"/>
  <c r="E54" i="8"/>
  <c r="I54" i="8" s="1"/>
  <c r="L54" i="8" s="1"/>
  <c r="M54" i="8" s="1"/>
  <c r="N54" i="8" s="1"/>
  <c r="I53" i="7"/>
  <c r="L53" i="7" s="1"/>
  <c r="M53" i="7" s="1"/>
  <c r="N53" i="7" s="1"/>
  <c r="AC51" i="9"/>
  <c r="AG51" i="9"/>
  <c r="J51" i="2"/>
  <c r="K51" i="2" s="1"/>
  <c r="U51" i="9"/>
  <c r="W51" i="9" s="1"/>
  <c r="I53" i="9" l="1"/>
  <c r="L53" i="9" s="1"/>
  <c r="M53" i="9" s="1"/>
  <c r="N53" i="9" s="1"/>
  <c r="AF55" i="9"/>
  <c r="AB55" i="9"/>
  <c r="I55" i="2"/>
  <c r="J57" i="8"/>
  <c r="K57" i="8" s="1"/>
  <c r="B57" i="8"/>
  <c r="C57" i="8" s="1"/>
  <c r="A58" i="8"/>
  <c r="AB56" i="7"/>
  <c r="C56" i="2"/>
  <c r="AC53" i="8"/>
  <c r="G53" i="2"/>
  <c r="H53" i="2" s="1"/>
  <c r="U53" i="8"/>
  <c r="W53" i="8" s="1"/>
  <c r="H54" i="9"/>
  <c r="G54" i="9"/>
  <c r="Q54" i="9"/>
  <c r="P54" i="9"/>
  <c r="O54" i="9"/>
  <c r="F54" i="9"/>
  <c r="E54" i="9"/>
  <c r="I54" i="9" s="1"/>
  <c r="L54" i="9" s="1"/>
  <c r="M54" i="9" s="1"/>
  <c r="N54" i="9" s="1"/>
  <c r="R54" i="9"/>
  <c r="AC54" i="8"/>
  <c r="G54" i="2"/>
  <c r="H54" i="2" s="1"/>
  <c r="U54" i="8"/>
  <c r="W54" i="8" s="1"/>
  <c r="A57" i="9"/>
  <c r="J56" i="9"/>
  <c r="K56" i="9" s="1"/>
  <c r="B56" i="9"/>
  <c r="C56" i="9" s="1"/>
  <c r="AA56" i="8"/>
  <c r="D56" i="8"/>
  <c r="Q55" i="7"/>
  <c r="R55" i="7"/>
  <c r="P55" i="7"/>
  <c r="H55" i="7"/>
  <c r="G55" i="7"/>
  <c r="F55" i="7"/>
  <c r="O55" i="7"/>
  <c r="S55" i="7" s="1"/>
  <c r="T55" i="7" s="1"/>
  <c r="E55" i="7"/>
  <c r="I55" i="7" s="1"/>
  <c r="L55" i="7" s="1"/>
  <c r="M55" i="7" s="1"/>
  <c r="N55" i="7" s="1"/>
  <c r="B57" i="7"/>
  <c r="C57" i="7" s="1"/>
  <c r="A57" i="2"/>
  <c r="J57" i="7"/>
  <c r="K57" i="7" s="1"/>
  <c r="A58" i="7"/>
  <c r="S54" i="7"/>
  <c r="T54" i="7" s="1"/>
  <c r="AA55" i="9"/>
  <c r="D55" i="9"/>
  <c r="AE55" i="9"/>
  <c r="AB56" i="8"/>
  <c r="F56" i="2"/>
  <c r="AG53" i="9"/>
  <c r="AC53" i="9"/>
  <c r="J53" i="2"/>
  <c r="K53" i="2" s="1"/>
  <c r="U53" i="9"/>
  <c r="W53" i="9" s="1"/>
  <c r="AC53" i="7"/>
  <c r="D53" i="2"/>
  <c r="E53" i="2" s="1"/>
  <c r="U53" i="7"/>
  <c r="W53" i="7" s="1"/>
  <c r="H55" i="8"/>
  <c r="G55" i="8"/>
  <c r="F55" i="8"/>
  <c r="R55" i="8"/>
  <c r="O55" i="8"/>
  <c r="Q55" i="8"/>
  <c r="P55" i="8"/>
  <c r="E55" i="8"/>
  <c r="I55" i="8" s="1"/>
  <c r="L55" i="8" s="1"/>
  <c r="M55" i="8" s="1"/>
  <c r="N55" i="8" s="1"/>
  <c r="AA56" i="7"/>
  <c r="D56" i="7"/>
  <c r="B56" i="2"/>
  <c r="AC52" i="9"/>
  <c r="AG52" i="9"/>
  <c r="J52" i="2"/>
  <c r="K52" i="2" s="1"/>
  <c r="U52" i="9"/>
  <c r="W52" i="9" s="1"/>
  <c r="P56" i="7" l="1"/>
  <c r="E56" i="7"/>
  <c r="F56" i="7"/>
  <c r="Q56" i="7"/>
  <c r="G56" i="7"/>
  <c r="R56" i="7"/>
  <c r="O56" i="7"/>
  <c r="S56" i="7" s="1"/>
  <c r="T56" i="7" s="1"/>
  <c r="H56" i="7"/>
  <c r="AC54" i="7"/>
  <c r="D54" i="2"/>
  <c r="E54" i="2" s="1"/>
  <c r="U54" i="7"/>
  <c r="W54" i="7" s="1"/>
  <c r="S54" i="9"/>
  <c r="T54" i="9" s="1"/>
  <c r="S55" i="8"/>
  <c r="T55" i="8" s="1"/>
  <c r="AB57" i="8"/>
  <c r="F57" i="2"/>
  <c r="AA57" i="7"/>
  <c r="D57" i="7"/>
  <c r="B57" i="2"/>
  <c r="AC55" i="7"/>
  <c r="D55" i="2"/>
  <c r="E55" i="2" s="1"/>
  <c r="U55" i="7"/>
  <c r="W55" i="7" s="1"/>
  <c r="G56" i="8"/>
  <c r="F56" i="8"/>
  <c r="E56" i="8"/>
  <c r="I56" i="8" s="1"/>
  <c r="L56" i="8" s="1"/>
  <c r="M56" i="8" s="1"/>
  <c r="N56" i="8" s="1"/>
  <c r="H56" i="8"/>
  <c r="R56" i="8"/>
  <c r="P56" i="8"/>
  <c r="Q56" i="8"/>
  <c r="O56" i="8"/>
  <c r="S56" i="8" s="1"/>
  <c r="T56" i="8" s="1"/>
  <c r="A59" i="8"/>
  <c r="B58" i="8"/>
  <c r="C58" i="8" s="1"/>
  <c r="J58" i="8"/>
  <c r="K58" i="8" s="1"/>
  <c r="AA57" i="8"/>
  <c r="D57" i="8"/>
  <c r="I56" i="2"/>
  <c r="AF56" i="9"/>
  <c r="AB56" i="9"/>
  <c r="A58" i="9"/>
  <c r="B57" i="9"/>
  <c r="C57" i="9" s="1"/>
  <c r="J57" i="9"/>
  <c r="K57" i="9" s="1"/>
  <c r="A59" i="7"/>
  <c r="B58" i="7"/>
  <c r="C58" i="7" s="1"/>
  <c r="J58" i="7"/>
  <c r="K58" i="7" s="1"/>
  <c r="A58" i="2"/>
  <c r="C57" i="2"/>
  <c r="AB57" i="7"/>
  <c r="D56" i="9"/>
  <c r="AA56" i="9"/>
  <c r="AE56" i="9"/>
  <c r="H55" i="9"/>
  <c r="O55" i="9"/>
  <c r="E55" i="9"/>
  <c r="F55" i="9"/>
  <c r="Q55" i="9"/>
  <c r="P55" i="9"/>
  <c r="R55" i="9"/>
  <c r="G55" i="9"/>
  <c r="AF57" i="9" l="1"/>
  <c r="AB57" i="9"/>
  <c r="I57" i="2"/>
  <c r="AC55" i="8"/>
  <c r="G55" i="2"/>
  <c r="H55" i="2" s="1"/>
  <c r="U55" i="8"/>
  <c r="W55" i="8" s="1"/>
  <c r="I55" i="9"/>
  <c r="L55" i="9" s="1"/>
  <c r="M55" i="9" s="1"/>
  <c r="N55" i="9" s="1"/>
  <c r="AA58" i="8"/>
  <c r="D58" i="8"/>
  <c r="A60" i="8"/>
  <c r="J59" i="8"/>
  <c r="K59" i="8" s="1"/>
  <c r="B59" i="8"/>
  <c r="C59" i="8" s="1"/>
  <c r="O57" i="8"/>
  <c r="R57" i="8"/>
  <c r="Q57" i="8"/>
  <c r="F57" i="8"/>
  <c r="E57" i="8"/>
  <c r="G57" i="8"/>
  <c r="H57" i="8"/>
  <c r="P57" i="8"/>
  <c r="AB58" i="8"/>
  <c r="F58" i="2"/>
  <c r="AC54" i="9"/>
  <c r="AG54" i="9"/>
  <c r="J54" i="2"/>
  <c r="K54" i="2" s="1"/>
  <c r="U54" i="9"/>
  <c r="W54" i="9" s="1"/>
  <c r="I56" i="7"/>
  <c r="L56" i="7" s="1"/>
  <c r="M56" i="7" s="1"/>
  <c r="N56" i="7" s="1"/>
  <c r="A60" i="7"/>
  <c r="B59" i="7"/>
  <c r="C59" i="7" s="1"/>
  <c r="A59" i="2"/>
  <c r="J59" i="7"/>
  <c r="K59" i="7" s="1"/>
  <c r="D57" i="9"/>
  <c r="AA57" i="9"/>
  <c r="AE57" i="9"/>
  <c r="B58" i="9"/>
  <c r="C58" i="9" s="1"/>
  <c r="A59" i="9"/>
  <c r="J58" i="9"/>
  <c r="K58" i="9" s="1"/>
  <c r="O57" i="7"/>
  <c r="F57" i="7"/>
  <c r="R57" i="7"/>
  <c r="Q57" i="7"/>
  <c r="E57" i="7"/>
  <c r="G57" i="7"/>
  <c r="H57" i="7"/>
  <c r="P57" i="7"/>
  <c r="S55" i="9"/>
  <c r="T55" i="9" s="1"/>
  <c r="AC56" i="8"/>
  <c r="G56" i="2"/>
  <c r="H56" i="2" s="1"/>
  <c r="U56" i="8"/>
  <c r="W56" i="8" s="1"/>
  <c r="O56" i="9"/>
  <c r="H56" i="9"/>
  <c r="G56" i="9"/>
  <c r="F56" i="9"/>
  <c r="E56" i="9"/>
  <c r="I56" i="9" s="1"/>
  <c r="L56" i="9" s="1"/>
  <c r="M56" i="9" s="1"/>
  <c r="N56" i="9" s="1"/>
  <c r="Q56" i="9"/>
  <c r="P56" i="9"/>
  <c r="R56" i="9"/>
  <c r="AC56" i="7"/>
  <c r="D56" i="2"/>
  <c r="E56" i="2" s="1"/>
  <c r="U56" i="7"/>
  <c r="W56" i="7" s="1"/>
  <c r="AB58" i="7"/>
  <c r="C58" i="2"/>
  <c r="AA58" i="7"/>
  <c r="D58" i="7"/>
  <c r="B58" i="2"/>
  <c r="AF58" i="9" l="1"/>
  <c r="AB58" i="9"/>
  <c r="I58" i="2"/>
  <c r="S57" i="8"/>
  <c r="T57" i="8" s="1"/>
  <c r="O58" i="8"/>
  <c r="G58" i="8"/>
  <c r="F58" i="8"/>
  <c r="P58" i="8"/>
  <c r="Q58" i="8"/>
  <c r="H58" i="8"/>
  <c r="E58" i="8"/>
  <c r="I58" i="8" s="1"/>
  <c r="L58" i="8" s="1"/>
  <c r="M58" i="8" s="1"/>
  <c r="N58" i="8" s="1"/>
  <c r="R58" i="8"/>
  <c r="S56" i="9"/>
  <c r="T56" i="9" s="1"/>
  <c r="I57" i="8"/>
  <c r="L57" i="8" s="1"/>
  <c r="M57" i="8" s="1"/>
  <c r="N57" i="8" s="1"/>
  <c r="A60" i="9"/>
  <c r="B59" i="9"/>
  <c r="C59" i="9" s="1"/>
  <c r="J59" i="9"/>
  <c r="K59" i="9" s="1"/>
  <c r="C59" i="2"/>
  <c r="AB59" i="7"/>
  <c r="B60" i="8"/>
  <c r="C60" i="8" s="1"/>
  <c r="J60" i="8"/>
  <c r="K60" i="8" s="1"/>
  <c r="A61" i="8"/>
  <c r="B60" i="7"/>
  <c r="C60" i="7" s="1"/>
  <c r="A61" i="7"/>
  <c r="J60" i="7"/>
  <c r="K60" i="7" s="1"/>
  <c r="A60" i="2"/>
  <c r="AC55" i="9"/>
  <c r="J55" i="2"/>
  <c r="K55" i="2" s="1"/>
  <c r="AG55" i="9"/>
  <c r="U55" i="9"/>
  <c r="W55" i="9" s="1"/>
  <c r="S57" i="7"/>
  <c r="T57" i="7" s="1"/>
  <c r="AE58" i="9"/>
  <c r="AA58" i="9"/>
  <c r="D58" i="9"/>
  <c r="D59" i="8"/>
  <c r="AA59" i="8"/>
  <c r="E57" i="9"/>
  <c r="R57" i="9"/>
  <c r="Q57" i="9"/>
  <c r="P57" i="9"/>
  <c r="O57" i="9"/>
  <c r="S57" i="9" s="1"/>
  <c r="T57" i="9" s="1"/>
  <c r="F57" i="9"/>
  <c r="H57" i="9"/>
  <c r="G57" i="9"/>
  <c r="F59" i="2"/>
  <c r="AB59" i="8"/>
  <c r="AA59" i="7"/>
  <c r="B59" i="2"/>
  <c r="D59" i="7"/>
  <c r="I57" i="7"/>
  <c r="L57" i="7" s="1"/>
  <c r="M57" i="7" s="1"/>
  <c r="N57" i="7" s="1"/>
  <c r="G58" i="7"/>
  <c r="O58" i="7"/>
  <c r="P58" i="7"/>
  <c r="F58" i="7"/>
  <c r="R58" i="7"/>
  <c r="Q58" i="7"/>
  <c r="H58" i="7"/>
  <c r="E58" i="7"/>
  <c r="I58" i="7" l="1"/>
  <c r="L58" i="7" s="1"/>
  <c r="M58" i="7" s="1"/>
  <c r="N58" i="7" s="1"/>
  <c r="AF59" i="9"/>
  <c r="AB59" i="9"/>
  <c r="I59" i="2"/>
  <c r="H59" i="8"/>
  <c r="P59" i="8"/>
  <c r="G59" i="8"/>
  <c r="F59" i="8"/>
  <c r="E59" i="8"/>
  <c r="Q59" i="8"/>
  <c r="O59" i="8"/>
  <c r="R59" i="8"/>
  <c r="AC57" i="8"/>
  <c r="G57" i="2"/>
  <c r="H57" i="2" s="1"/>
  <c r="U57" i="8"/>
  <c r="W57" i="8" s="1"/>
  <c r="AA60" i="7"/>
  <c r="D60" i="7"/>
  <c r="B60" i="2"/>
  <c r="AG57" i="9"/>
  <c r="AC57" i="9"/>
  <c r="J57" i="2"/>
  <c r="K57" i="2" s="1"/>
  <c r="U57" i="9"/>
  <c r="W57" i="9" s="1"/>
  <c r="G58" i="9"/>
  <c r="R58" i="9"/>
  <c r="Q58" i="9"/>
  <c r="P58" i="9"/>
  <c r="H58" i="9"/>
  <c r="O58" i="9"/>
  <c r="F58" i="9"/>
  <c r="E58" i="9"/>
  <c r="S58" i="7"/>
  <c r="T58" i="7" s="1"/>
  <c r="AC57" i="7"/>
  <c r="D57" i="2"/>
  <c r="E57" i="2" s="1"/>
  <c r="U57" i="7"/>
  <c r="W57" i="7" s="1"/>
  <c r="S58" i="8"/>
  <c r="T58" i="8" s="1"/>
  <c r="J61" i="7"/>
  <c r="K61" i="7" s="1"/>
  <c r="B61" i="7"/>
  <c r="C61" i="7" s="1"/>
  <c r="A62" i="7"/>
  <c r="A61" i="2"/>
  <c r="B61" i="8"/>
  <c r="C61" i="8" s="1"/>
  <c r="J61" i="8"/>
  <c r="K61" i="8" s="1"/>
  <c r="A62" i="8"/>
  <c r="AB60" i="8"/>
  <c r="F60" i="2"/>
  <c r="AA59" i="9"/>
  <c r="AE59" i="9"/>
  <c r="D59" i="9"/>
  <c r="AB60" i="7"/>
  <c r="C60" i="2"/>
  <c r="D60" i="8"/>
  <c r="AA60" i="8"/>
  <c r="I57" i="9"/>
  <c r="L57" i="9" s="1"/>
  <c r="M57" i="9" s="1"/>
  <c r="N57" i="9" s="1"/>
  <c r="B60" i="9"/>
  <c r="C60" i="9" s="1"/>
  <c r="A61" i="9"/>
  <c r="J60" i="9"/>
  <c r="K60" i="9" s="1"/>
  <c r="J56" i="2"/>
  <c r="K56" i="2" s="1"/>
  <c r="AG56" i="9"/>
  <c r="AC56" i="9"/>
  <c r="U56" i="9"/>
  <c r="W56" i="9" s="1"/>
  <c r="H59" i="7"/>
  <c r="G59" i="7"/>
  <c r="F59" i="7"/>
  <c r="E59" i="7"/>
  <c r="I59" i="7" s="1"/>
  <c r="L59" i="7" s="1"/>
  <c r="M59" i="7" s="1"/>
  <c r="N59" i="7" s="1"/>
  <c r="R59" i="7"/>
  <c r="Q59" i="7"/>
  <c r="P59" i="7"/>
  <c r="O59" i="7"/>
  <c r="I59" i="8" l="1"/>
  <c r="L59" i="8" s="1"/>
  <c r="M59" i="8" s="1"/>
  <c r="N59" i="8" s="1"/>
  <c r="S58" i="9"/>
  <c r="T58" i="9" s="1"/>
  <c r="I58" i="9"/>
  <c r="L58" i="9" s="1"/>
  <c r="M58" i="9" s="1"/>
  <c r="N58" i="9" s="1"/>
  <c r="D61" i="8"/>
  <c r="AA61" i="8"/>
  <c r="J62" i="7"/>
  <c r="K62" i="7" s="1"/>
  <c r="A63" i="7"/>
  <c r="A62" i="2"/>
  <c r="B62" i="7"/>
  <c r="C62" i="7" s="1"/>
  <c r="C61" i="2"/>
  <c r="AB61" i="7"/>
  <c r="A62" i="9"/>
  <c r="J61" i="9"/>
  <c r="K61" i="9" s="1"/>
  <c r="B61" i="9"/>
  <c r="C61" i="9" s="1"/>
  <c r="AC58" i="8"/>
  <c r="G58" i="2"/>
  <c r="H58" i="2" s="1"/>
  <c r="U58" i="8"/>
  <c r="W58" i="8" s="1"/>
  <c r="S59" i="8"/>
  <c r="T59" i="8" s="1"/>
  <c r="R59" i="9"/>
  <c r="Q59" i="9"/>
  <c r="F59" i="9"/>
  <c r="H59" i="9"/>
  <c r="G59" i="9"/>
  <c r="E59" i="9"/>
  <c r="I59" i="9" s="1"/>
  <c r="L59" i="9" s="1"/>
  <c r="M59" i="9" s="1"/>
  <c r="N59" i="9" s="1"/>
  <c r="P59" i="9"/>
  <c r="O59" i="9"/>
  <c r="AB61" i="8"/>
  <c r="F61" i="2"/>
  <c r="D61" i="7"/>
  <c r="B61" i="2"/>
  <c r="AA61" i="7"/>
  <c r="AB60" i="9"/>
  <c r="AF60" i="9"/>
  <c r="I60" i="2"/>
  <c r="AA60" i="9"/>
  <c r="AE60" i="9"/>
  <c r="D60" i="9"/>
  <c r="G60" i="8"/>
  <c r="Q60" i="8"/>
  <c r="P60" i="8"/>
  <c r="O60" i="8"/>
  <c r="E60" i="8"/>
  <c r="R60" i="8"/>
  <c r="H60" i="8"/>
  <c r="F60" i="8"/>
  <c r="AC58" i="7"/>
  <c r="D58" i="2"/>
  <c r="E58" i="2" s="1"/>
  <c r="U58" i="7"/>
  <c r="W58" i="7" s="1"/>
  <c r="AC58" i="9"/>
  <c r="AG58" i="9"/>
  <c r="J58" i="2"/>
  <c r="K58" i="2" s="1"/>
  <c r="U58" i="9"/>
  <c r="W58" i="9" s="1"/>
  <c r="S59" i="7"/>
  <c r="T59" i="7" s="1"/>
  <c r="A63" i="8"/>
  <c r="J62" i="8"/>
  <c r="K62" i="8" s="1"/>
  <c r="B62" i="8"/>
  <c r="C62" i="8" s="1"/>
  <c r="H60" i="7"/>
  <c r="G60" i="7"/>
  <c r="F60" i="7"/>
  <c r="P60" i="7"/>
  <c r="R60" i="7"/>
  <c r="E60" i="7"/>
  <c r="I60" i="7" s="1"/>
  <c r="L60" i="7" s="1"/>
  <c r="M60" i="7" s="1"/>
  <c r="N60" i="7" s="1"/>
  <c r="O60" i="7"/>
  <c r="Q60" i="7"/>
  <c r="S60" i="8" l="1"/>
  <c r="T60" i="8" s="1"/>
  <c r="G59" i="2"/>
  <c r="H59" i="2" s="1"/>
  <c r="AC59" i="8"/>
  <c r="U59" i="8"/>
  <c r="W59" i="8" s="1"/>
  <c r="AB62" i="8"/>
  <c r="F62" i="2"/>
  <c r="AA62" i="7"/>
  <c r="D62" i="7"/>
  <c r="B62" i="2"/>
  <c r="O60" i="9"/>
  <c r="Q60" i="9"/>
  <c r="P60" i="9"/>
  <c r="E60" i="9"/>
  <c r="R60" i="9"/>
  <c r="G60" i="9"/>
  <c r="F60" i="9"/>
  <c r="H60" i="9"/>
  <c r="AA61" i="9"/>
  <c r="D61" i="9"/>
  <c r="AE61" i="9"/>
  <c r="AF61" i="9"/>
  <c r="AB61" i="9"/>
  <c r="I61" i="2"/>
  <c r="B62" i="9"/>
  <c r="C62" i="9" s="1"/>
  <c r="J62" i="9"/>
  <c r="K62" i="9" s="1"/>
  <c r="A63" i="9"/>
  <c r="A64" i="8"/>
  <c r="B63" i="8"/>
  <c r="C63" i="8" s="1"/>
  <c r="J63" i="8"/>
  <c r="K63" i="8" s="1"/>
  <c r="AB62" i="7"/>
  <c r="C62" i="2"/>
  <c r="S60" i="7"/>
  <c r="T60" i="7" s="1"/>
  <c r="D62" i="8"/>
  <c r="AA62" i="8"/>
  <c r="AC59" i="7"/>
  <c r="D59" i="2"/>
  <c r="E59" i="2" s="1"/>
  <c r="U59" i="7"/>
  <c r="W59" i="7" s="1"/>
  <c r="E61" i="7"/>
  <c r="O61" i="7"/>
  <c r="H61" i="7"/>
  <c r="G61" i="7"/>
  <c r="F61" i="7"/>
  <c r="Q61" i="7"/>
  <c r="P61" i="7"/>
  <c r="R61" i="7"/>
  <c r="J63" i="7"/>
  <c r="K63" i="7" s="1"/>
  <c r="A64" i="7"/>
  <c r="B63" i="7"/>
  <c r="C63" i="7" s="1"/>
  <c r="A63" i="2"/>
  <c r="I60" i="8"/>
  <c r="L60" i="8" s="1"/>
  <c r="M60" i="8" s="1"/>
  <c r="N60" i="8" s="1"/>
  <c r="S59" i="9"/>
  <c r="T59" i="9" s="1"/>
  <c r="F61" i="8"/>
  <c r="R61" i="8"/>
  <c r="H61" i="8"/>
  <c r="G61" i="8"/>
  <c r="E61" i="8"/>
  <c r="I61" i="8" s="1"/>
  <c r="L61" i="8" s="1"/>
  <c r="M61" i="8" s="1"/>
  <c r="N61" i="8" s="1"/>
  <c r="P61" i="8"/>
  <c r="O61" i="8"/>
  <c r="Q61" i="8"/>
  <c r="S61" i="7" l="1"/>
  <c r="T61" i="7" s="1"/>
  <c r="I61" i="7"/>
  <c r="L61" i="7" s="1"/>
  <c r="M61" i="7" s="1"/>
  <c r="N61" i="7" s="1"/>
  <c r="S61" i="8"/>
  <c r="T61" i="8" s="1"/>
  <c r="E62" i="8"/>
  <c r="R62" i="8"/>
  <c r="Q62" i="8"/>
  <c r="P62" i="8"/>
  <c r="H62" i="8"/>
  <c r="G62" i="8"/>
  <c r="F62" i="8"/>
  <c r="O62" i="8"/>
  <c r="S62" i="8" s="1"/>
  <c r="T62" i="8" s="1"/>
  <c r="AC60" i="7"/>
  <c r="D60" i="2"/>
  <c r="E60" i="2" s="1"/>
  <c r="U60" i="7"/>
  <c r="W60" i="7" s="1"/>
  <c r="S60" i="9"/>
  <c r="T60" i="9" s="1"/>
  <c r="AA63" i="7"/>
  <c r="D63" i="7"/>
  <c r="B63" i="2"/>
  <c r="AE62" i="9"/>
  <c r="AA62" i="9"/>
  <c r="D62" i="9"/>
  <c r="AC59" i="9"/>
  <c r="AG59" i="9"/>
  <c r="J59" i="2"/>
  <c r="K59" i="2" s="1"/>
  <c r="U59" i="9"/>
  <c r="W59" i="9" s="1"/>
  <c r="AC61" i="7"/>
  <c r="D61" i="2"/>
  <c r="E61" i="2" s="1"/>
  <c r="U61" i="7"/>
  <c r="W61" i="7" s="1"/>
  <c r="R61" i="9"/>
  <c r="Q61" i="9"/>
  <c r="P61" i="9"/>
  <c r="O61" i="9"/>
  <c r="H61" i="9"/>
  <c r="G61" i="9"/>
  <c r="F61" i="9"/>
  <c r="E61" i="9"/>
  <c r="I61" i="9" s="1"/>
  <c r="L61" i="9" s="1"/>
  <c r="M61" i="9" s="1"/>
  <c r="N61" i="9" s="1"/>
  <c r="I60" i="9"/>
  <c r="L60" i="9" s="1"/>
  <c r="M60" i="9" s="1"/>
  <c r="N60" i="9" s="1"/>
  <c r="AB63" i="8"/>
  <c r="F63" i="2"/>
  <c r="D63" i="8"/>
  <c r="AA63" i="8"/>
  <c r="J64" i="7"/>
  <c r="K64" i="7" s="1"/>
  <c r="B64" i="7"/>
  <c r="C64" i="7" s="1"/>
  <c r="A64" i="2"/>
  <c r="A65" i="7"/>
  <c r="A65" i="8"/>
  <c r="B64" i="8"/>
  <c r="C64" i="8" s="1"/>
  <c r="J64" i="8"/>
  <c r="K64" i="8" s="1"/>
  <c r="AB63" i="7"/>
  <c r="C63" i="2"/>
  <c r="J63" i="9"/>
  <c r="K63" i="9" s="1"/>
  <c r="A64" i="9"/>
  <c r="B63" i="9"/>
  <c r="C63" i="9" s="1"/>
  <c r="AF62" i="9"/>
  <c r="AB62" i="9"/>
  <c r="I62" i="2"/>
  <c r="G62" i="7"/>
  <c r="F62" i="7"/>
  <c r="E62" i="7"/>
  <c r="R62" i="7"/>
  <c r="Q62" i="7"/>
  <c r="O62" i="7"/>
  <c r="H62" i="7"/>
  <c r="P62" i="7"/>
  <c r="AC60" i="8"/>
  <c r="G60" i="2"/>
  <c r="H60" i="2" s="1"/>
  <c r="U60" i="8"/>
  <c r="W60" i="8" s="1"/>
  <c r="S61" i="9" l="1"/>
  <c r="T61" i="9" s="1"/>
  <c r="AG61" i="9" s="1"/>
  <c r="AB64" i="8"/>
  <c r="F64" i="2"/>
  <c r="S62" i="7"/>
  <c r="T62" i="7" s="1"/>
  <c r="D64" i="7"/>
  <c r="B64" i="2"/>
  <c r="AA64" i="7"/>
  <c r="H63" i="7"/>
  <c r="G63" i="7"/>
  <c r="E63" i="7"/>
  <c r="F63" i="7"/>
  <c r="P63" i="7"/>
  <c r="R63" i="7"/>
  <c r="Q63" i="7"/>
  <c r="O63" i="7"/>
  <c r="S63" i="7" s="1"/>
  <c r="T63" i="7" s="1"/>
  <c r="AF63" i="9"/>
  <c r="I63" i="2"/>
  <c r="AB63" i="9"/>
  <c r="AA64" i="8"/>
  <c r="D64" i="8"/>
  <c r="A66" i="8"/>
  <c r="B65" i="8"/>
  <c r="C65" i="8" s="1"/>
  <c r="J65" i="8"/>
  <c r="K65" i="8" s="1"/>
  <c r="O62" i="9"/>
  <c r="E62" i="9"/>
  <c r="H62" i="9"/>
  <c r="R62" i="9"/>
  <c r="Q62" i="9"/>
  <c r="P62" i="9"/>
  <c r="G62" i="9"/>
  <c r="F62" i="9"/>
  <c r="AB64" i="7"/>
  <c r="C64" i="2"/>
  <c r="D63" i="9"/>
  <c r="AE63" i="9"/>
  <c r="AA63" i="9"/>
  <c r="AC62" i="8"/>
  <c r="G62" i="2"/>
  <c r="H62" i="2" s="1"/>
  <c r="U62" i="8"/>
  <c r="W62" i="8" s="1"/>
  <c r="J64" i="9"/>
  <c r="K64" i="9" s="1"/>
  <c r="B64" i="9"/>
  <c r="C64" i="9" s="1"/>
  <c r="A65" i="9"/>
  <c r="I62" i="8"/>
  <c r="L62" i="8" s="1"/>
  <c r="M62" i="8" s="1"/>
  <c r="N62" i="8" s="1"/>
  <c r="J65" i="7"/>
  <c r="K65" i="7" s="1"/>
  <c r="B65" i="7"/>
  <c r="C65" i="7" s="1"/>
  <c r="A65" i="2"/>
  <c r="A66" i="7"/>
  <c r="I62" i="7"/>
  <c r="L62" i="7" s="1"/>
  <c r="M62" i="7" s="1"/>
  <c r="N62" i="7" s="1"/>
  <c r="R63" i="8"/>
  <c r="F63" i="8"/>
  <c r="E63" i="8"/>
  <c r="Q63" i="8"/>
  <c r="P63" i="8"/>
  <c r="O63" i="8"/>
  <c r="H63" i="8"/>
  <c r="G63" i="8"/>
  <c r="AG60" i="9"/>
  <c r="AC60" i="9"/>
  <c r="J60" i="2"/>
  <c r="K60" i="2" s="1"/>
  <c r="U60" i="9"/>
  <c r="W60" i="9" s="1"/>
  <c r="AC61" i="8"/>
  <c r="G61" i="2"/>
  <c r="H61" i="2" s="1"/>
  <c r="U61" i="8"/>
  <c r="W61" i="8" s="1"/>
  <c r="U61" i="9" l="1"/>
  <c r="W61" i="9" s="1"/>
  <c r="J61" i="2"/>
  <c r="K61" i="2" s="1"/>
  <c r="AC61" i="9"/>
  <c r="S63" i="8"/>
  <c r="T63" i="8" s="1"/>
  <c r="AB64" i="9"/>
  <c r="AF64" i="9"/>
  <c r="I64" i="2"/>
  <c r="I62" i="9"/>
  <c r="L62" i="9" s="1"/>
  <c r="M62" i="9" s="1"/>
  <c r="N62" i="9" s="1"/>
  <c r="AC62" i="7"/>
  <c r="D62" i="2"/>
  <c r="E62" i="2" s="1"/>
  <c r="U62" i="7"/>
  <c r="W62" i="7" s="1"/>
  <c r="Q64" i="8"/>
  <c r="G64" i="8"/>
  <c r="F64" i="8"/>
  <c r="H64" i="8"/>
  <c r="E64" i="8"/>
  <c r="I64" i="8" s="1"/>
  <c r="L64" i="8" s="1"/>
  <c r="M64" i="8" s="1"/>
  <c r="N64" i="8" s="1"/>
  <c r="R64" i="8"/>
  <c r="P64" i="8"/>
  <c r="O64" i="8"/>
  <c r="S64" i="8" s="1"/>
  <c r="T64" i="8" s="1"/>
  <c r="F63" i="9"/>
  <c r="E63" i="9"/>
  <c r="H63" i="9"/>
  <c r="Q63" i="9"/>
  <c r="G63" i="9"/>
  <c r="R63" i="9"/>
  <c r="P63" i="9"/>
  <c r="O63" i="9"/>
  <c r="I63" i="7"/>
  <c r="L63" i="7" s="1"/>
  <c r="M63" i="7" s="1"/>
  <c r="N63" i="7" s="1"/>
  <c r="S62" i="9"/>
  <c r="T62" i="9" s="1"/>
  <c r="F65" i="2"/>
  <c r="AB65" i="8"/>
  <c r="D64" i="9"/>
  <c r="AE64" i="9"/>
  <c r="AA64" i="9"/>
  <c r="AC63" i="8"/>
  <c r="G63" i="2"/>
  <c r="H63" i="2" s="1"/>
  <c r="U63" i="8"/>
  <c r="W63" i="8" s="1"/>
  <c r="H64" i="7"/>
  <c r="G64" i="7"/>
  <c r="F64" i="7"/>
  <c r="E64" i="7"/>
  <c r="I64" i="7" s="1"/>
  <c r="L64" i="7" s="1"/>
  <c r="M64" i="7" s="1"/>
  <c r="N64" i="7" s="1"/>
  <c r="Q64" i="7"/>
  <c r="P64" i="7"/>
  <c r="O64" i="7"/>
  <c r="R64" i="7"/>
  <c r="D65" i="7"/>
  <c r="AA65" i="7"/>
  <c r="B65" i="2"/>
  <c r="AA65" i="8"/>
  <c r="D65" i="8"/>
  <c r="AC63" i="7"/>
  <c r="D63" i="2"/>
  <c r="E63" i="2" s="1"/>
  <c r="U63" i="7"/>
  <c r="W63" i="7" s="1"/>
  <c r="I63" i="8"/>
  <c r="L63" i="8" s="1"/>
  <c r="M63" i="8" s="1"/>
  <c r="N63" i="8" s="1"/>
  <c r="J66" i="7"/>
  <c r="K66" i="7" s="1"/>
  <c r="A67" i="7"/>
  <c r="A66" i="2"/>
  <c r="B66" i="7"/>
  <c r="C66" i="7" s="1"/>
  <c r="C65" i="2"/>
  <c r="AB65" i="7"/>
  <c r="A66" i="9"/>
  <c r="B65" i="9"/>
  <c r="C65" i="9" s="1"/>
  <c r="J65" i="9"/>
  <c r="K65" i="9" s="1"/>
  <c r="J66" i="8"/>
  <c r="K66" i="8" s="1"/>
  <c r="B66" i="8"/>
  <c r="C66" i="8" s="1"/>
  <c r="A67" i="8"/>
  <c r="I63" i="9" l="1"/>
  <c r="L63" i="9" s="1"/>
  <c r="M63" i="9" s="1"/>
  <c r="N63" i="9" s="1"/>
  <c r="G64" i="2"/>
  <c r="H64" i="2" s="1"/>
  <c r="AC64" i="8"/>
  <c r="U64" i="8"/>
  <c r="W64" i="8" s="1"/>
  <c r="C66" i="2"/>
  <c r="AB66" i="7"/>
  <c r="P65" i="8"/>
  <c r="H65" i="8"/>
  <c r="G65" i="8"/>
  <c r="F65" i="8"/>
  <c r="Q65" i="8"/>
  <c r="O65" i="8"/>
  <c r="R65" i="8"/>
  <c r="E65" i="8"/>
  <c r="I65" i="8" s="1"/>
  <c r="L65" i="8" s="1"/>
  <c r="M65" i="8" s="1"/>
  <c r="N65" i="8" s="1"/>
  <c r="J67" i="8"/>
  <c r="K67" i="8" s="1"/>
  <c r="A68" i="8"/>
  <c r="B67" i="8"/>
  <c r="C67" i="8" s="1"/>
  <c r="D66" i="8"/>
  <c r="AA66" i="8"/>
  <c r="B67" i="7"/>
  <c r="C67" i="7" s="1"/>
  <c r="J67" i="7"/>
  <c r="K67" i="7" s="1"/>
  <c r="A67" i="2"/>
  <c r="A68" i="7"/>
  <c r="H64" i="9"/>
  <c r="G64" i="9"/>
  <c r="F64" i="9"/>
  <c r="O64" i="9"/>
  <c r="P64" i="9"/>
  <c r="E64" i="9"/>
  <c r="Q64" i="9"/>
  <c r="R64" i="9"/>
  <c r="AC62" i="9"/>
  <c r="AG62" i="9"/>
  <c r="J62" i="2"/>
  <c r="K62" i="2" s="1"/>
  <c r="U62" i="9"/>
  <c r="W62" i="9" s="1"/>
  <c r="AB66" i="8"/>
  <c r="F66" i="2"/>
  <c r="AB65" i="9"/>
  <c r="I65" i="2"/>
  <c r="AF65" i="9"/>
  <c r="B66" i="9"/>
  <c r="C66" i="9" s="1"/>
  <c r="A67" i="9"/>
  <c r="J66" i="9"/>
  <c r="K66" i="9" s="1"/>
  <c r="S64" i="7"/>
  <c r="T64" i="7" s="1"/>
  <c r="D65" i="9"/>
  <c r="AA65" i="9"/>
  <c r="AE65" i="9"/>
  <c r="D66" i="7"/>
  <c r="B66" i="2"/>
  <c r="AA66" i="7"/>
  <c r="G65" i="7"/>
  <c r="O65" i="7"/>
  <c r="F65" i="7"/>
  <c r="E65" i="7"/>
  <c r="R65" i="7"/>
  <c r="Q65" i="7"/>
  <c r="H65" i="7"/>
  <c r="P65" i="7"/>
  <c r="S63" i="9"/>
  <c r="T63" i="9" s="1"/>
  <c r="I64" i="9" l="1"/>
  <c r="L64" i="9" s="1"/>
  <c r="M64" i="9" s="1"/>
  <c r="N64" i="9" s="1"/>
  <c r="S65" i="8"/>
  <c r="T65" i="8" s="1"/>
  <c r="O66" i="8"/>
  <c r="H66" i="8"/>
  <c r="Q66" i="8"/>
  <c r="P66" i="8"/>
  <c r="R66" i="8"/>
  <c r="G66" i="8"/>
  <c r="F66" i="8"/>
  <c r="E66" i="8"/>
  <c r="I66" i="8" s="1"/>
  <c r="L66" i="8" s="1"/>
  <c r="M66" i="8" s="1"/>
  <c r="N66" i="8" s="1"/>
  <c r="F66" i="7"/>
  <c r="P66" i="7"/>
  <c r="Q66" i="7"/>
  <c r="O66" i="7"/>
  <c r="G66" i="7"/>
  <c r="R66" i="7"/>
  <c r="H66" i="7"/>
  <c r="E66" i="7"/>
  <c r="I66" i="7" s="1"/>
  <c r="L66" i="7" s="1"/>
  <c r="M66" i="7" s="1"/>
  <c r="N66" i="7" s="1"/>
  <c r="AF66" i="9"/>
  <c r="AB66" i="9"/>
  <c r="I66" i="2"/>
  <c r="A69" i="7"/>
  <c r="J68" i="7"/>
  <c r="K68" i="7" s="1"/>
  <c r="A68" i="2"/>
  <c r="B68" i="7"/>
  <c r="C68" i="7" s="1"/>
  <c r="D67" i="7"/>
  <c r="B67" i="2"/>
  <c r="AA67" i="7"/>
  <c r="AG63" i="9"/>
  <c r="AC63" i="9"/>
  <c r="J63" i="2"/>
  <c r="K63" i="2" s="1"/>
  <c r="U63" i="9"/>
  <c r="W63" i="9" s="1"/>
  <c r="B68" i="8"/>
  <c r="C68" i="8" s="1"/>
  <c r="J68" i="8"/>
  <c r="K68" i="8" s="1"/>
  <c r="A69" i="8"/>
  <c r="AB67" i="8"/>
  <c r="F67" i="2"/>
  <c r="B67" i="9"/>
  <c r="C67" i="9" s="1"/>
  <c r="A68" i="9"/>
  <c r="J67" i="9"/>
  <c r="K67" i="9" s="1"/>
  <c r="AA67" i="8"/>
  <c r="D67" i="8"/>
  <c r="I65" i="7"/>
  <c r="L65" i="7" s="1"/>
  <c r="M65" i="7" s="1"/>
  <c r="N65" i="7" s="1"/>
  <c r="S65" i="7"/>
  <c r="T65" i="7" s="1"/>
  <c r="S64" i="9"/>
  <c r="T64" i="9" s="1"/>
  <c r="F65" i="9"/>
  <c r="E65" i="9"/>
  <c r="R65" i="9"/>
  <c r="Q65" i="9"/>
  <c r="P65" i="9"/>
  <c r="O65" i="9"/>
  <c r="H65" i="9"/>
  <c r="G65" i="9"/>
  <c r="AC64" i="7"/>
  <c r="D64" i="2"/>
  <c r="E64" i="2" s="1"/>
  <c r="U64" i="7"/>
  <c r="W64" i="7" s="1"/>
  <c r="AE66" i="9"/>
  <c r="AA66" i="9"/>
  <c r="D66" i="9"/>
  <c r="C67" i="2"/>
  <c r="AB67" i="7"/>
  <c r="S65" i="9" l="1"/>
  <c r="T65" i="9" s="1"/>
  <c r="H66" i="9"/>
  <c r="O66" i="9"/>
  <c r="P66" i="9"/>
  <c r="G66" i="9"/>
  <c r="F66" i="9"/>
  <c r="Q66" i="9"/>
  <c r="R66" i="9"/>
  <c r="E66" i="9"/>
  <c r="I66" i="9" s="1"/>
  <c r="L66" i="9" s="1"/>
  <c r="M66" i="9" s="1"/>
  <c r="N66" i="9" s="1"/>
  <c r="B69" i="8"/>
  <c r="C69" i="8" s="1"/>
  <c r="J69" i="8"/>
  <c r="K69" i="8" s="1"/>
  <c r="A70" i="8"/>
  <c r="S66" i="8"/>
  <c r="T66" i="8" s="1"/>
  <c r="B69" i="7"/>
  <c r="C69" i="7" s="1"/>
  <c r="A70" i="7"/>
  <c r="J69" i="7"/>
  <c r="K69" i="7" s="1"/>
  <c r="A69" i="2"/>
  <c r="S66" i="7"/>
  <c r="T66" i="7" s="1"/>
  <c r="D68" i="8"/>
  <c r="AA68" i="8"/>
  <c r="I65" i="9"/>
  <c r="L65" i="9" s="1"/>
  <c r="M65" i="9" s="1"/>
  <c r="N65" i="9" s="1"/>
  <c r="E67" i="7"/>
  <c r="I67" i="7" s="1"/>
  <c r="L67" i="7" s="1"/>
  <c r="M67" i="7" s="1"/>
  <c r="N67" i="7" s="1"/>
  <c r="Q67" i="7"/>
  <c r="R67" i="7"/>
  <c r="P67" i="7"/>
  <c r="O67" i="7"/>
  <c r="G67" i="7"/>
  <c r="H67" i="7"/>
  <c r="F67" i="7"/>
  <c r="AG64" i="9"/>
  <c r="AC64" i="9"/>
  <c r="J64" i="2"/>
  <c r="K64" i="2" s="1"/>
  <c r="U64" i="9"/>
  <c r="W64" i="9" s="1"/>
  <c r="D68" i="7"/>
  <c r="AA68" i="7"/>
  <c r="B68" i="2"/>
  <c r="AC65" i="7"/>
  <c r="D65" i="2"/>
  <c r="E65" i="2" s="1"/>
  <c r="U65" i="7"/>
  <c r="W65" i="7" s="1"/>
  <c r="H67" i="8"/>
  <c r="P67" i="8"/>
  <c r="O67" i="8"/>
  <c r="F67" i="8"/>
  <c r="G67" i="8"/>
  <c r="E67" i="8"/>
  <c r="I67" i="8" s="1"/>
  <c r="L67" i="8" s="1"/>
  <c r="M67" i="8" s="1"/>
  <c r="N67" i="8" s="1"/>
  <c r="Q67" i="8"/>
  <c r="R67" i="8"/>
  <c r="AB67" i="9"/>
  <c r="AF67" i="9"/>
  <c r="I67" i="2"/>
  <c r="J68" i="9"/>
  <c r="K68" i="9" s="1"/>
  <c r="A69" i="9"/>
  <c r="B68" i="9"/>
  <c r="C68" i="9" s="1"/>
  <c r="AA67" i="9"/>
  <c r="AE67" i="9"/>
  <c r="D67" i="9"/>
  <c r="F68" i="2"/>
  <c r="AB68" i="8"/>
  <c r="AG65" i="9"/>
  <c r="AC65" i="9"/>
  <c r="J65" i="2"/>
  <c r="K65" i="2" s="1"/>
  <c r="U65" i="9"/>
  <c r="W65" i="9" s="1"/>
  <c r="AB68" i="7"/>
  <c r="C68" i="2"/>
  <c r="G65" i="2"/>
  <c r="H65" i="2" s="1"/>
  <c r="AC65" i="8"/>
  <c r="U65" i="8"/>
  <c r="W65" i="8" s="1"/>
  <c r="H68" i="8" l="1"/>
  <c r="G68" i="8"/>
  <c r="F68" i="8"/>
  <c r="E68" i="8"/>
  <c r="I68" i="8" s="1"/>
  <c r="L68" i="8" s="1"/>
  <c r="M68" i="8" s="1"/>
  <c r="N68" i="8" s="1"/>
  <c r="Q68" i="8"/>
  <c r="P68" i="8"/>
  <c r="R68" i="8"/>
  <c r="O68" i="8"/>
  <c r="S68" i="8" s="1"/>
  <c r="T68" i="8" s="1"/>
  <c r="A71" i="7"/>
  <c r="B70" i="7"/>
  <c r="C70" i="7" s="1"/>
  <c r="A70" i="2"/>
  <c r="J70" i="7"/>
  <c r="K70" i="7" s="1"/>
  <c r="P67" i="9"/>
  <c r="H67" i="9"/>
  <c r="R67" i="9"/>
  <c r="Q67" i="9"/>
  <c r="O67" i="9"/>
  <c r="S67" i="9" s="1"/>
  <c r="T67" i="9" s="1"/>
  <c r="E67" i="9"/>
  <c r="G67" i="9"/>
  <c r="F67" i="9"/>
  <c r="R68" i="7"/>
  <c r="G68" i="7"/>
  <c r="F68" i="7"/>
  <c r="O68" i="7"/>
  <c r="S68" i="7" s="1"/>
  <c r="T68" i="7" s="1"/>
  <c r="Q68" i="7"/>
  <c r="H68" i="7"/>
  <c r="E68" i="7"/>
  <c r="P68" i="7"/>
  <c r="AB69" i="8"/>
  <c r="F69" i="2"/>
  <c r="A70" i="9"/>
  <c r="J69" i="9"/>
  <c r="K69" i="9" s="1"/>
  <c r="B69" i="9"/>
  <c r="C69" i="9" s="1"/>
  <c r="AB68" i="9"/>
  <c r="AF68" i="9"/>
  <c r="I68" i="2"/>
  <c r="S67" i="8"/>
  <c r="T67" i="8" s="1"/>
  <c r="AC66" i="7"/>
  <c r="D66" i="2"/>
  <c r="E66" i="2" s="1"/>
  <c r="U66" i="7"/>
  <c r="W66" i="7" s="1"/>
  <c r="AC66" i="8"/>
  <c r="G66" i="2"/>
  <c r="H66" i="2" s="1"/>
  <c r="U66" i="8"/>
  <c r="W66" i="8" s="1"/>
  <c r="J70" i="8"/>
  <c r="K70" i="8" s="1"/>
  <c r="A71" i="8"/>
  <c r="B70" i="8"/>
  <c r="C70" i="8" s="1"/>
  <c r="D69" i="8"/>
  <c r="AA69" i="8"/>
  <c r="S67" i="7"/>
  <c r="T67" i="7" s="1"/>
  <c r="S66" i="9"/>
  <c r="T66" i="9" s="1"/>
  <c r="AB69" i="7"/>
  <c r="C69" i="2"/>
  <c r="AA69" i="7"/>
  <c r="D69" i="7"/>
  <c r="B69" i="2"/>
  <c r="AE68" i="9"/>
  <c r="AA68" i="9"/>
  <c r="D68" i="9"/>
  <c r="I67" i="9" l="1"/>
  <c r="L67" i="9" s="1"/>
  <c r="M67" i="9" s="1"/>
  <c r="N67" i="9" s="1"/>
  <c r="R69" i="7"/>
  <c r="F69" i="7"/>
  <c r="H69" i="7"/>
  <c r="G69" i="7"/>
  <c r="Q69" i="7"/>
  <c r="P69" i="7"/>
  <c r="O69" i="7"/>
  <c r="S69" i="7" s="1"/>
  <c r="T69" i="7" s="1"/>
  <c r="E69" i="7"/>
  <c r="I69" i="7" s="1"/>
  <c r="L69" i="7" s="1"/>
  <c r="M69" i="7" s="1"/>
  <c r="N69" i="7" s="1"/>
  <c r="AA70" i="7"/>
  <c r="D70" i="7"/>
  <c r="B70" i="2"/>
  <c r="AC67" i="7"/>
  <c r="D67" i="2"/>
  <c r="E67" i="2" s="1"/>
  <c r="U67" i="7"/>
  <c r="W67" i="7" s="1"/>
  <c r="O69" i="8"/>
  <c r="H69" i="8"/>
  <c r="R69" i="8"/>
  <c r="P69" i="8"/>
  <c r="Q69" i="8"/>
  <c r="G69" i="8"/>
  <c r="F69" i="8"/>
  <c r="E69" i="8"/>
  <c r="B71" i="8"/>
  <c r="C71" i="8" s="1"/>
  <c r="A72" i="8"/>
  <c r="J71" i="8"/>
  <c r="K71" i="8" s="1"/>
  <c r="I68" i="7"/>
  <c r="L68" i="7" s="1"/>
  <c r="M68" i="7" s="1"/>
  <c r="N68" i="7" s="1"/>
  <c r="AC68" i="7"/>
  <c r="D68" i="2"/>
  <c r="E68" i="2" s="1"/>
  <c r="U68" i="7"/>
  <c r="W68" i="7" s="1"/>
  <c r="R68" i="9"/>
  <c r="F68" i="9"/>
  <c r="E68" i="9"/>
  <c r="H68" i="9"/>
  <c r="G68" i="9"/>
  <c r="Q68" i="9"/>
  <c r="O68" i="9"/>
  <c r="P68" i="9"/>
  <c r="AC67" i="9"/>
  <c r="AG67" i="9"/>
  <c r="J67" i="2"/>
  <c r="K67" i="2" s="1"/>
  <c r="U67" i="9"/>
  <c r="W67" i="9" s="1"/>
  <c r="AF69" i="9"/>
  <c r="AB69" i="9"/>
  <c r="I69" i="2"/>
  <c r="AC68" i="8"/>
  <c r="G68" i="2"/>
  <c r="H68" i="2" s="1"/>
  <c r="U68" i="8"/>
  <c r="W68" i="8" s="1"/>
  <c r="AC67" i="8"/>
  <c r="G67" i="2"/>
  <c r="H67" i="2" s="1"/>
  <c r="U67" i="8"/>
  <c r="W67" i="8" s="1"/>
  <c r="AB70" i="7"/>
  <c r="C70" i="2"/>
  <c r="AA69" i="9"/>
  <c r="AE69" i="9"/>
  <c r="D69" i="9"/>
  <c r="AG66" i="9"/>
  <c r="AC66" i="9"/>
  <c r="J66" i="2"/>
  <c r="K66" i="2" s="1"/>
  <c r="U66" i="9"/>
  <c r="W66" i="9" s="1"/>
  <c r="A71" i="9"/>
  <c r="B70" i="9"/>
  <c r="C70" i="9" s="1"/>
  <c r="J70" i="9"/>
  <c r="K70" i="9" s="1"/>
  <c r="A72" i="7"/>
  <c r="B71" i="7"/>
  <c r="C71" i="7" s="1"/>
  <c r="J71" i="7"/>
  <c r="K71" i="7" s="1"/>
  <c r="A71" i="2"/>
  <c r="AA70" i="8"/>
  <c r="D70" i="8"/>
  <c r="AB70" i="8"/>
  <c r="F70" i="2"/>
  <c r="D71" i="7" l="1"/>
  <c r="B71" i="2"/>
  <c r="AA71" i="7"/>
  <c r="AA70" i="9"/>
  <c r="AE70" i="9"/>
  <c r="D70" i="9"/>
  <c r="S68" i="9"/>
  <c r="T68" i="9" s="1"/>
  <c r="H70" i="7"/>
  <c r="G70" i="7"/>
  <c r="F70" i="7"/>
  <c r="R70" i="7"/>
  <c r="E70" i="7"/>
  <c r="I70" i="7" s="1"/>
  <c r="L70" i="7" s="1"/>
  <c r="M70" i="7" s="1"/>
  <c r="N70" i="7" s="1"/>
  <c r="Q70" i="7"/>
  <c r="P70" i="7"/>
  <c r="O70" i="7"/>
  <c r="S70" i="7" s="1"/>
  <c r="T70" i="7" s="1"/>
  <c r="J72" i="8"/>
  <c r="K72" i="8" s="1"/>
  <c r="B72" i="8"/>
  <c r="C72" i="8" s="1"/>
  <c r="A73" i="8"/>
  <c r="B71" i="9"/>
  <c r="C71" i="9" s="1"/>
  <c r="A72" i="9"/>
  <c r="J71" i="9"/>
  <c r="K71" i="9" s="1"/>
  <c r="S69" i="8"/>
  <c r="T69" i="8" s="1"/>
  <c r="I68" i="9"/>
  <c r="L68" i="9" s="1"/>
  <c r="M68" i="9" s="1"/>
  <c r="N68" i="9" s="1"/>
  <c r="Q70" i="8"/>
  <c r="P70" i="8"/>
  <c r="F70" i="8"/>
  <c r="H70" i="8"/>
  <c r="R70" i="8"/>
  <c r="E70" i="8"/>
  <c r="G70" i="8"/>
  <c r="O70" i="8"/>
  <c r="AB71" i="8"/>
  <c r="F71" i="2"/>
  <c r="AA71" i="8"/>
  <c r="D71" i="8"/>
  <c r="A73" i="7"/>
  <c r="B72" i="7"/>
  <c r="C72" i="7" s="1"/>
  <c r="A72" i="2"/>
  <c r="J72" i="7"/>
  <c r="K72" i="7" s="1"/>
  <c r="AB70" i="9"/>
  <c r="AF70" i="9"/>
  <c r="I70" i="2"/>
  <c r="O69" i="9"/>
  <c r="R69" i="9"/>
  <c r="H69" i="9"/>
  <c r="E69" i="9"/>
  <c r="G69" i="9"/>
  <c r="F69" i="9"/>
  <c r="Q69" i="9"/>
  <c r="P69" i="9"/>
  <c r="AC69" i="7"/>
  <c r="D69" i="2"/>
  <c r="E69" i="2" s="1"/>
  <c r="U69" i="7"/>
  <c r="W69" i="7" s="1"/>
  <c r="AB71" i="7"/>
  <c r="C71" i="2"/>
  <c r="I69" i="8"/>
  <c r="L69" i="8" s="1"/>
  <c r="M69" i="8" s="1"/>
  <c r="N69" i="8" s="1"/>
  <c r="S70" i="8" l="1"/>
  <c r="T70" i="8" s="1"/>
  <c r="AC69" i="8"/>
  <c r="G69" i="2"/>
  <c r="H69" i="2" s="1"/>
  <c r="U69" i="8"/>
  <c r="W69" i="8" s="1"/>
  <c r="B72" i="9"/>
  <c r="C72" i="9" s="1"/>
  <c r="J72" i="9"/>
  <c r="K72" i="9" s="1"/>
  <c r="A73" i="9"/>
  <c r="AB72" i="7"/>
  <c r="C72" i="2"/>
  <c r="AB72" i="8"/>
  <c r="F72" i="2"/>
  <c r="I70" i="8"/>
  <c r="L70" i="8" s="1"/>
  <c r="M70" i="8" s="1"/>
  <c r="N70" i="8" s="1"/>
  <c r="I69" i="9"/>
  <c r="L69" i="9" s="1"/>
  <c r="M69" i="9" s="1"/>
  <c r="N69" i="9" s="1"/>
  <c r="AE71" i="9"/>
  <c r="AA71" i="9"/>
  <c r="D71" i="9"/>
  <c r="J73" i="8"/>
  <c r="K73" i="8" s="1"/>
  <c r="A74" i="8"/>
  <c r="B73" i="8"/>
  <c r="C73" i="8" s="1"/>
  <c r="D72" i="7"/>
  <c r="B72" i="2"/>
  <c r="AA72" i="7"/>
  <c r="A74" i="7"/>
  <c r="J73" i="7"/>
  <c r="K73" i="7" s="1"/>
  <c r="B73" i="7"/>
  <c r="C73" i="7" s="1"/>
  <c r="A73" i="2"/>
  <c r="R71" i="8"/>
  <c r="H71" i="8"/>
  <c r="O71" i="8"/>
  <c r="G71" i="8"/>
  <c r="F71" i="8"/>
  <c r="Q71" i="8"/>
  <c r="P71" i="8"/>
  <c r="E71" i="8"/>
  <c r="I71" i="8" s="1"/>
  <c r="L71" i="8" s="1"/>
  <c r="M71" i="8" s="1"/>
  <c r="N71" i="8" s="1"/>
  <c r="R70" i="9"/>
  <c r="Q70" i="9"/>
  <c r="P70" i="9"/>
  <c r="O70" i="9"/>
  <c r="S70" i="9" s="1"/>
  <c r="T70" i="9" s="1"/>
  <c r="H70" i="9"/>
  <c r="G70" i="9"/>
  <c r="F70" i="9"/>
  <c r="E70" i="9"/>
  <c r="I70" i="9" s="1"/>
  <c r="L70" i="9" s="1"/>
  <c r="M70" i="9" s="1"/>
  <c r="N70" i="9" s="1"/>
  <c r="AF71" i="9"/>
  <c r="AB71" i="9"/>
  <c r="I71" i="2"/>
  <c r="AA72" i="8"/>
  <c r="D72" i="8"/>
  <c r="AC70" i="7"/>
  <c r="D70" i="2"/>
  <c r="E70" i="2" s="1"/>
  <c r="U70" i="7"/>
  <c r="W70" i="7" s="1"/>
  <c r="AC70" i="8"/>
  <c r="G70" i="2"/>
  <c r="H70" i="2" s="1"/>
  <c r="U70" i="8"/>
  <c r="W70" i="8" s="1"/>
  <c r="AC68" i="9"/>
  <c r="AG68" i="9"/>
  <c r="J68" i="2"/>
  <c r="K68" i="2" s="1"/>
  <c r="U68" i="9"/>
  <c r="W68" i="9" s="1"/>
  <c r="S69" i="9"/>
  <c r="T69" i="9" s="1"/>
  <c r="H71" i="7"/>
  <c r="G71" i="7"/>
  <c r="P71" i="7"/>
  <c r="O71" i="7"/>
  <c r="E71" i="7"/>
  <c r="F71" i="7"/>
  <c r="R71" i="7"/>
  <c r="Q71" i="7"/>
  <c r="S71" i="7" l="1"/>
  <c r="T71" i="7" s="1"/>
  <c r="I71" i="7"/>
  <c r="L71" i="7" s="1"/>
  <c r="M71" i="7" s="1"/>
  <c r="N71" i="7" s="1"/>
  <c r="AA73" i="8"/>
  <c r="D73" i="8"/>
  <c r="J73" i="9"/>
  <c r="K73" i="9" s="1"/>
  <c r="A74" i="9"/>
  <c r="B73" i="9"/>
  <c r="C73" i="9" s="1"/>
  <c r="AA73" i="7"/>
  <c r="D73" i="7"/>
  <c r="B73" i="2"/>
  <c r="AB72" i="9"/>
  <c r="AF72" i="9"/>
  <c r="I72" i="2"/>
  <c r="AB73" i="7"/>
  <c r="C73" i="2"/>
  <c r="D72" i="9"/>
  <c r="AE72" i="9"/>
  <c r="AA72" i="9"/>
  <c r="A75" i="7"/>
  <c r="J74" i="7"/>
  <c r="K74" i="7" s="1"/>
  <c r="B74" i="7"/>
  <c r="C74" i="7" s="1"/>
  <c r="A74" i="2"/>
  <c r="AC71" i="7"/>
  <c r="D71" i="2"/>
  <c r="E71" i="2" s="1"/>
  <c r="U71" i="7"/>
  <c r="W71" i="7" s="1"/>
  <c r="A75" i="8"/>
  <c r="J74" i="8"/>
  <c r="K74" i="8" s="1"/>
  <c r="B74" i="8"/>
  <c r="C74" i="8" s="1"/>
  <c r="AB73" i="8"/>
  <c r="F73" i="2"/>
  <c r="R72" i="7"/>
  <c r="Q72" i="7"/>
  <c r="P72" i="7"/>
  <c r="O72" i="7"/>
  <c r="S72" i="7" s="1"/>
  <c r="T72" i="7" s="1"/>
  <c r="F72" i="7"/>
  <c r="E72" i="7"/>
  <c r="G72" i="7"/>
  <c r="H72" i="7"/>
  <c r="AG70" i="9"/>
  <c r="AC70" i="9"/>
  <c r="J70" i="2"/>
  <c r="K70" i="2" s="1"/>
  <c r="U70" i="9"/>
  <c r="W70" i="9" s="1"/>
  <c r="O71" i="9"/>
  <c r="R71" i="9"/>
  <c r="Q71" i="9"/>
  <c r="H71" i="9"/>
  <c r="G71" i="9"/>
  <c r="F71" i="9"/>
  <c r="E71" i="9"/>
  <c r="P71" i="9"/>
  <c r="AG69" i="9"/>
  <c r="AC69" i="9"/>
  <c r="J69" i="2"/>
  <c r="K69" i="2" s="1"/>
  <c r="U69" i="9"/>
  <c r="W69" i="9" s="1"/>
  <c r="S71" i="8"/>
  <c r="T71" i="8" s="1"/>
  <c r="Q72" i="8"/>
  <c r="P72" i="8"/>
  <c r="R72" i="8"/>
  <c r="G72" i="8"/>
  <c r="O72" i="8"/>
  <c r="F72" i="8"/>
  <c r="H72" i="8"/>
  <c r="E72" i="8"/>
  <c r="I72" i="8" s="1"/>
  <c r="L72" i="8" s="1"/>
  <c r="M72" i="8" s="1"/>
  <c r="N72" i="8" s="1"/>
  <c r="S72" i="8" l="1"/>
  <c r="T72" i="8" s="1"/>
  <c r="I71" i="9"/>
  <c r="L71" i="9" s="1"/>
  <c r="M71" i="9" s="1"/>
  <c r="N71" i="9" s="1"/>
  <c r="A76" i="7"/>
  <c r="J75" i="7"/>
  <c r="K75" i="7" s="1"/>
  <c r="A75" i="2"/>
  <c r="B75" i="7"/>
  <c r="C75" i="7" s="1"/>
  <c r="O72" i="9"/>
  <c r="R72" i="9"/>
  <c r="Q72" i="9"/>
  <c r="E72" i="9"/>
  <c r="G72" i="9"/>
  <c r="F72" i="9"/>
  <c r="H72" i="9"/>
  <c r="P72" i="9"/>
  <c r="AC72" i="8"/>
  <c r="G72" i="2"/>
  <c r="H72" i="2" s="1"/>
  <c r="U72" i="8"/>
  <c r="W72" i="8" s="1"/>
  <c r="I72" i="7"/>
  <c r="L72" i="7" s="1"/>
  <c r="M72" i="7" s="1"/>
  <c r="N72" i="7" s="1"/>
  <c r="D72" i="2"/>
  <c r="E72" i="2" s="1"/>
  <c r="AC72" i="7"/>
  <c r="U72" i="7"/>
  <c r="W72" i="7" s="1"/>
  <c r="B75" i="8"/>
  <c r="C75" i="8" s="1"/>
  <c r="A76" i="8"/>
  <c r="J75" i="8"/>
  <c r="K75" i="8" s="1"/>
  <c r="D73" i="9"/>
  <c r="AA73" i="9"/>
  <c r="AE73" i="9"/>
  <c r="J74" i="9"/>
  <c r="K74" i="9" s="1"/>
  <c r="A75" i="9"/>
  <c r="B74" i="9"/>
  <c r="C74" i="9" s="1"/>
  <c r="AF73" i="9"/>
  <c r="AB73" i="9"/>
  <c r="I73" i="2"/>
  <c r="P73" i="8"/>
  <c r="O73" i="8"/>
  <c r="H73" i="8"/>
  <c r="G73" i="8"/>
  <c r="R73" i="8"/>
  <c r="F73" i="8"/>
  <c r="E73" i="8"/>
  <c r="I73" i="8" s="1"/>
  <c r="L73" i="8" s="1"/>
  <c r="M73" i="8" s="1"/>
  <c r="N73" i="8" s="1"/>
  <c r="Q73" i="8"/>
  <c r="F73" i="7"/>
  <c r="E73" i="7"/>
  <c r="Q73" i="7"/>
  <c r="O73" i="7"/>
  <c r="P73" i="7"/>
  <c r="G73" i="7"/>
  <c r="R73" i="7"/>
  <c r="H73" i="7"/>
  <c r="D74" i="8"/>
  <c r="AA74" i="8"/>
  <c r="AB74" i="8"/>
  <c r="F74" i="2"/>
  <c r="S71" i="9"/>
  <c r="T71" i="9" s="1"/>
  <c r="D74" i="7"/>
  <c r="B74" i="2"/>
  <c r="AA74" i="7"/>
  <c r="AC71" i="8"/>
  <c r="G71" i="2"/>
  <c r="H71" i="2" s="1"/>
  <c r="U71" i="8"/>
  <c r="W71" i="8" s="1"/>
  <c r="C74" i="2"/>
  <c r="AB74" i="7"/>
  <c r="S73" i="7" l="1"/>
  <c r="T73" i="7" s="1"/>
  <c r="I73" i="7"/>
  <c r="L73" i="7" s="1"/>
  <c r="M73" i="7" s="1"/>
  <c r="N73" i="7" s="1"/>
  <c r="S73" i="8"/>
  <c r="T73" i="8" s="1"/>
  <c r="I72" i="9"/>
  <c r="L72" i="9" s="1"/>
  <c r="M72" i="9" s="1"/>
  <c r="N72" i="9" s="1"/>
  <c r="AA74" i="9"/>
  <c r="D74" i="9"/>
  <c r="AE74" i="9"/>
  <c r="S72" i="9"/>
  <c r="T72" i="9" s="1"/>
  <c r="G73" i="9"/>
  <c r="H73" i="9"/>
  <c r="R73" i="9"/>
  <c r="Q73" i="9"/>
  <c r="P73" i="9"/>
  <c r="F73" i="9"/>
  <c r="E73" i="9"/>
  <c r="I73" i="9" s="1"/>
  <c r="L73" i="9" s="1"/>
  <c r="M73" i="9" s="1"/>
  <c r="N73" i="9" s="1"/>
  <c r="O73" i="9"/>
  <c r="S73" i="9" s="1"/>
  <c r="T73" i="9" s="1"/>
  <c r="B76" i="8"/>
  <c r="C76" i="8" s="1"/>
  <c r="A77" i="8"/>
  <c r="J76" i="8"/>
  <c r="K76" i="8" s="1"/>
  <c r="AG71" i="9"/>
  <c r="AC71" i="9"/>
  <c r="J71" i="2"/>
  <c r="K71" i="2" s="1"/>
  <c r="U71" i="9"/>
  <c r="W71" i="9" s="1"/>
  <c r="O74" i="8"/>
  <c r="S74" i="8" s="1"/>
  <c r="T74" i="8" s="1"/>
  <c r="P74" i="8"/>
  <c r="G74" i="8"/>
  <c r="F74" i="8"/>
  <c r="E74" i="8"/>
  <c r="R74" i="8"/>
  <c r="Q74" i="8"/>
  <c r="H74" i="8"/>
  <c r="AF74" i="9"/>
  <c r="AB74" i="9"/>
  <c r="I74" i="2"/>
  <c r="AA75" i="8"/>
  <c r="D75" i="8"/>
  <c r="A76" i="9"/>
  <c r="J75" i="9"/>
  <c r="K75" i="9" s="1"/>
  <c r="B75" i="9"/>
  <c r="C75" i="9" s="1"/>
  <c r="AB75" i="7"/>
  <c r="C75" i="2"/>
  <c r="AC73" i="7"/>
  <c r="D73" i="2"/>
  <c r="E73" i="2" s="1"/>
  <c r="U73" i="7"/>
  <c r="W73" i="7" s="1"/>
  <c r="AB75" i="8"/>
  <c r="F75" i="2"/>
  <c r="H74" i="7"/>
  <c r="G74" i="7"/>
  <c r="F74" i="7"/>
  <c r="E74" i="7"/>
  <c r="P74" i="7"/>
  <c r="O74" i="7"/>
  <c r="R74" i="7"/>
  <c r="Q74" i="7"/>
  <c r="D75" i="7"/>
  <c r="B75" i="2"/>
  <c r="AA75" i="7"/>
  <c r="A77" i="7"/>
  <c r="B76" i="7"/>
  <c r="C76" i="7" s="1"/>
  <c r="J76" i="7"/>
  <c r="K76" i="7" s="1"/>
  <c r="A76" i="2"/>
  <c r="I74" i="7" l="1"/>
  <c r="L74" i="7" s="1"/>
  <c r="M74" i="7" s="1"/>
  <c r="N74" i="7" s="1"/>
  <c r="AF75" i="9"/>
  <c r="AB75" i="9"/>
  <c r="I75" i="2"/>
  <c r="A77" i="9"/>
  <c r="B76" i="9"/>
  <c r="C76" i="9" s="1"/>
  <c r="J76" i="9"/>
  <c r="K76" i="9" s="1"/>
  <c r="AG72" i="9"/>
  <c r="AC72" i="9"/>
  <c r="J72" i="2"/>
  <c r="K72" i="2" s="1"/>
  <c r="U72" i="9"/>
  <c r="W72" i="9" s="1"/>
  <c r="D76" i="7"/>
  <c r="B76" i="2"/>
  <c r="AA76" i="7"/>
  <c r="A78" i="7"/>
  <c r="B77" i="7"/>
  <c r="C77" i="7" s="1"/>
  <c r="J77" i="7"/>
  <c r="K77" i="7" s="1"/>
  <c r="A77" i="2"/>
  <c r="D76" i="8"/>
  <c r="AA76" i="8"/>
  <c r="H75" i="7"/>
  <c r="F75" i="7"/>
  <c r="E75" i="7"/>
  <c r="R75" i="7"/>
  <c r="Q75" i="7"/>
  <c r="P75" i="7"/>
  <c r="O75" i="7"/>
  <c r="G75" i="7"/>
  <c r="O75" i="8"/>
  <c r="R75" i="8"/>
  <c r="H75" i="8"/>
  <c r="G75" i="8"/>
  <c r="F75" i="8"/>
  <c r="E75" i="8"/>
  <c r="I75" i="8" s="1"/>
  <c r="L75" i="8" s="1"/>
  <c r="M75" i="8" s="1"/>
  <c r="N75" i="8" s="1"/>
  <c r="Q75" i="8"/>
  <c r="P75" i="8"/>
  <c r="AB76" i="7"/>
  <c r="C76" i="2"/>
  <c r="AA75" i="9"/>
  <c r="D75" i="9"/>
  <c r="AE75" i="9"/>
  <c r="J77" i="8"/>
  <c r="K77" i="8" s="1"/>
  <c r="B77" i="8"/>
  <c r="C77" i="8" s="1"/>
  <c r="A78" i="8"/>
  <c r="I74" i="8"/>
  <c r="L74" i="8" s="1"/>
  <c r="M74" i="8" s="1"/>
  <c r="N74" i="8" s="1"/>
  <c r="AC74" i="8"/>
  <c r="G74" i="2"/>
  <c r="H74" i="2" s="1"/>
  <c r="U74" i="8"/>
  <c r="W74" i="8" s="1"/>
  <c r="AB76" i="8"/>
  <c r="F76" i="2"/>
  <c r="AC73" i="9"/>
  <c r="AG73" i="9"/>
  <c r="J73" i="2"/>
  <c r="K73" i="2" s="1"/>
  <c r="U73" i="9"/>
  <c r="W73" i="9" s="1"/>
  <c r="S74" i="7"/>
  <c r="T74" i="7" s="1"/>
  <c r="G74" i="9"/>
  <c r="F74" i="9"/>
  <c r="Q74" i="9"/>
  <c r="P74" i="9"/>
  <c r="O74" i="9"/>
  <c r="H74" i="9"/>
  <c r="E74" i="9"/>
  <c r="R74" i="9"/>
  <c r="AC73" i="8"/>
  <c r="G73" i="2"/>
  <c r="H73" i="2" s="1"/>
  <c r="U73" i="8"/>
  <c r="W73" i="8" s="1"/>
  <c r="I74" i="9" l="1"/>
  <c r="L74" i="9" s="1"/>
  <c r="M74" i="9" s="1"/>
  <c r="N74" i="9" s="1"/>
  <c r="F77" i="2"/>
  <c r="AB77" i="8"/>
  <c r="AB76" i="9"/>
  <c r="AF76" i="9"/>
  <c r="I76" i="2"/>
  <c r="AA76" i="9"/>
  <c r="D76" i="9"/>
  <c r="AE76" i="9"/>
  <c r="S75" i="7"/>
  <c r="T75" i="7" s="1"/>
  <c r="S74" i="9"/>
  <c r="T74" i="9" s="1"/>
  <c r="E75" i="9"/>
  <c r="P75" i="9"/>
  <c r="O75" i="9"/>
  <c r="Q75" i="9"/>
  <c r="R75" i="9"/>
  <c r="H75" i="9"/>
  <c r="G75" i="9"/>
  <c r="F75" i="9"/>
  <c r="AB77" i="7"/>
  <c r="C77" i="2"/>
  <c r="D77" i="7"/>
  <c r="AA77" i="7"/>
  <c r="B77" i="2"/>
  <c r="A79" i="7"/>
  <c r="J78" i="7"/>
  <c r="K78" i="7" s="1"/>
  <c r="B78" i="7"/>
  <c r="C78" i="7" s="1"/>
  <c r="A78" i="2"/>
  <c r="AA77" i="8"/>
  <c r="D77" i="8"/>
  <c r="O76" i="8"/>
  <c r="P76" i="8"/>
  <c r="F76" i="8"/>
  <c r="E76" i="8"/>
  <c r="G76" i="8"/>
  <c r="H76" i="8"/>
  <c r="Q76" i="8"/>
  <c r="R76" i="8"/>
  <c r="A79" i="8"/>
  <c r="J78" i="8"/>
  <c r="K78" i="8" s="1"/>
  <c r="B78" i="8"/>
  <c r="C78" i="8" s="1"/>
  <c r="AC74" i="7"/>
  <c r="D74" i="2"/>
  <c r="E74" i="2" s="1"/>
  <c r="U74" i="7"/>
  <c r="W74" i="7" s="1"/>
  <c r="Q76" i="7"/>
  <c r="G76" i="7"/>
  <c r="R76" i="7"/>
  <c r="H76" i="7"/>
  <c r="F76" i="7"/>
  <c r="E76" i="7"/>
  <c r="P76" i="7"/>
  <c r="O76" i="7"/>
  <c r="S75" i="8"/>
  <c r="T75" i="8" s="1"/>
  <c r="J77" i="9"/>
  <c r="K77" i="9" s="1"/>
  <c r="A78" i="9"/>
  <c r="B77" i="9"/>
  <c r="C77" i="9" s="1"/>
  <c r="I75" i="7"/>
  <c r="L75" i="7" s="1"/>
  <c r="M75" i="7" s="1"/>
  <c r="N75" i="7" s="1"/>
  <c r="S76" i="7" l="1"/>
  <c r="T76" i="7" s="1"/>
  <c r="I76" i="7"/>
  <c r="L76" i="7" s="1"/>
  <c r="M76" i="7" s="1"/>
  <c r="N76" i="7" s="1"/>
  <c r="J79" i="8"/>
  <c r="K79" i="8" s="1"/>
  <c r="B79" i="8"/>
  <c r="C79" i="8" s="1"/>
  <c r="A80" i="8"/>
  <c r="S75" i="9"/>
  <c r="T75" i="9" s="1"/>
  <c r="I75" i="9"/>
  <c r="L75" i="9" s="1"/>
  <c r="M75" i="9" s="1"/>
  <c r="N75" i="9" s="1"/>
  <c r="AC74" i="9"/>
  <c r="J74" i="2"/>
  <c r="K74" i="2" s="1"/>
  <c r="AG74" i="9"/>
  <c r="U74" i="9"/>
  <c r="W74" i="9" s="1"/>
  <c r="B78" i="9"/>
  <c r="C78" i="9" s="1"/>
  <c r="A79" i="9"/>
  <c r="J78" i="9"/>
  <c r="K78" i="9" s="1"/>
  <c r="R77" i="7"/>
  <c r="Q77" i="7"/>
  <c r="P77" i="7"/>
  <c r="G77" i="7"/>
  <c r="F77" i="7"/>
  <c r="O77" i="7"/>
  <c r="S77" i="7" s="1"/>
  <c r="T77" i="7" s="1"/>
  <c r="E77" i="7"/>
  <c r="H77" i="7"/>
  <c r="AB78" i="8"/>
  <c r="F78" i="2"/>
  <c r="AC76" i="7"/>
  <c r="D76" i="2"/>
  <c r="E76" i="2" s="1"/>
  <c r="U76" i="7"/>
  <c r="W76" i="7" s="1"/>
  <c r="O76" i="9"/>
  <c r="R76" i="9"/>
  <c r="Q76" i="9"/>
  <c r="P76" i="9"/>
  <c r="H76" i="9"/>
  <c r="G76" i="9"/>
  <c r="F76" i="9"/>
  <c r="E76" i="9"/>
  <c r="I76" i="9" s="1"/>
  <c r="L76" i="9" s="1"/>
  <c r="M76" i="9" s="1"/>
  <c r="N76" i="9" s="1"/>
  <c r="AB78" i="7"/>
  <c r="C78" i="2"/>
  <c r="AA77" i="9"/>
  <c r="D77" i="9"/>
  <c r="AE77" i="9"/>
  <c r="AF77" i="9"/>
  <c r="AB77" i="9"/>
  <c r="I77" i="2"/>
  <c r="O77" i="8"/>
  <c r="F77" i="8"/>
  <c r="E77" i="8"/>
  <c r="Q77" i="8"/>
  <c r="P77" i="8"/>
  <c r="H77" i="8"/>
  <c r="R77" i="8"/>
  <c r="G77" i="8"/>
  <c r="AC75" i="8"/>
  <c r="G75" i="2"/>
  <c r="H75" i="2" s="1"/>
  <c r="U75" i="8"/>
  <c r="W75" i="8" s="1"/>
  <c r="I76" i="8"/>
  <c r="L76" i="8" s="1"/>
  <c r="M76" i="8" s="1"/>
  <c r="N76" i="8" s="1"/>
  <c r="S76" i="8"/>
  <c r="T76" i="8" s="1"/>
  <c r="AC75" i="7"/>
  <c r="D75" i="2"/>
  <c r="E75" i="2" s="1"/>
  <c r="U75" i="7"/>
  <c r="W75" i="7" s="1"/>
  <c r="D78" i="7"/>
  <c r="AA78" i="7"/>
  <c r="B78" i="2"/>
  <c r="A80" i="7"/>
  <c r="J79" i="7"/>
  <c r="K79" i="7" s="1"/>
  <c r="B79" i="7"/>
  <c r="C79" i="7" s="1"/>
  <c r="A79" i="2"/>
  <c r="D78" i="8"/>
  <c r="AA78" i="8"/>
  <c r="AA79" i="7" l="1"/>
  <c r="D79" i="7"/>
  <c r="B79" i="2"/>
  <c r="AC77" i="7"/>
  <c r="D77" i="2"/>
  <c r="E77" i="2" s="1"/>
  <c r="U77" i="7"/>
  <c r="W77" i="7" s="1"/>
  <c r="S76" i="9"/>
  <c r="T76" i="9" s="1"/>
  <c r="AB79" i="7"/>
  <c r="C79" i="2"/>
  <c r="A81" i="7"/>
  <c r="A80" i="2"/>
  <c r="B80" i="7"/>
  <c r="C80" i="7" s="1"/>
  <c r="J80" i="7"/>
  <c r="K80" i="7" s="1"/>
  <c r="B80" i="8"/>
  <c r="C80" i="8" s="1"/>
  <c r="A81" i="8"/>
  <c r="J80" i="8"/>
  <c r="K80" i="8" s="1"/>
  <c r="I77" i="7"/>
  <c r="L77" i="7" s="1"/>
  <c r="M77" i="7" s="1"/>
  <c r="N77" i="7" s="1"/>
  <c r="R78" i="7"/>
  <c r="P78" i="7"/>
  <c r="O78" i="7"/>
  <c r="Q78" i="7"/>
  <c r="F78" i="7"/>
  <c r="E78" i="7"/>
  <c r="H78" i="7"/>
  <c r="G78" i="7"/>
  <c r="O77" i="9"/>
  <c r="H77" i="9"/>
  <c r="G77" i="9"/>
  <c r="P77" i="9"/>
  <c r="F77" i="9"/>
  <c r="Q77" i="9"/>
  <c r="E77" i="9"/>
  <c r="I77" i="9" s="1"/>
  <c r="L77" i="9" s="1"/>
  <c r="M77" i="9" s="1"/>
  <c r="N77" i="9" s="1"/>
  <c r="R77" i="9"/>
  <c r="AC76" i="8"/>
  <c r="G76" i="2"/>
  <c r="H76" i="2" s="1"/>
  <c r="U76" i="8"/>
  <c r="W76" i="8" s="1"/>
  <c r="A80" i="9"/>
  <c r="B79" i="9"/>
  <c r="C79" i="9" s="1"/>
  <c r="J79" i="9"/>
  <c r="K79" i="9" s="1"/>
  <c r="AE78" i="9"/>
  <c r="AA78" i="9"/>
  <c r="D78" i="9"/>
  <c r="S77" i="8"/>
  <c r="T77" i="8" s="1"/>
  <c r="D79" i="8"/>
  <c r="AA79" i="8"/>
  <c r="AB78" i="9"/>
  <c r="AF78" i="9"/>
  <c r="I78" i="2"/>
  <c r="I77" i="8"/>
  <c r="L77" i="8" s="1"/>
  <c r="M77" i="8" s="1"/>
  <c r="N77" i="8" s="1"/>
  <c r="AG75" i="9"/>
  <c r="J75" i="2"/>
  <c r="K75" i="2" s="1"/>
  <c r="AC75" i="9"/>
  <c r="U75" i="9"/>
  <c r="W75" i="9" s="1"/>
  <c r="O78" i="8"/>
  <c r="H78" i="8"/>
  <c r="G78" i="8"/>
  <c r="R78" i="8"/>
  <c r="Q78" i="8"/>
  <c r="P78" i="8"/>
  <c r="E78" i="8"/>
  <c r="F78" i="8"/>
  <c r="AB79" i="8"/>
  <c r="F79" i="2"/>
  <c r="AB80" i="8" l="1"/>
  <c r="F80" i="2"/>
  <c r="AA79" i="9"/>
  <c r="AE79" i="9"/>
  <c r="D79" i="9"/>
  <c r="B81" i="8"/>
  <c r="C81" i="8" s="1"/>
  <c r="J81" i="8"/>
  <c r="K81" i="8" s="1"/>
  <c r="A82" i="8"/>
  <c r="AC76" i="9"/>
  <c r="AG76" i="9"/>
  <c r="J76" i="2"/>
  <c r="K76" i="2" s="1"/>
  <c r="U76" i="9"/>
  <c r="W76" i="9" s="1"/>
  <c r="AF79" i="9"/>
  <c r="I79" i="2"/>
  <c r="AB79" i="9"/>
  <c r="D80" i="7"/>
  <c r="B80" i="2"/>
  <c r="AA80" i="7"/>
  <c r="S78" i="8"/>
  <c r="T78" i="8" s="1"/>
  <c r="O79" i="8"/>
  <c r="F79" i="8"/>
  <c r="E79" i="8"/>
  <c r="G79" i="8"/>
  <c r="Q79" i="8"/>
  <c r="P79" i="8"/>
  <c r="R79" i="8"/>
  <c r="H79" i="8"/>
  <c r="AC77" i="8"/>
  <c r="G77" i="2"/>
  <c r="H77" i="2" s="1"/>
  <c r="U77" i="8"/>
  <c r="W77" i="8" s="1"/>
  <c r="A81" i="9"/>
  <c r="B80" i="9"/>
  <c r="C80" i="9" s="1"/>
  <c r="J80" i="9"/>
  <c r="K80" i="9" s="1"/>
  <c r="S77" i="9"/>
  <c r="T77" i="9" s="1"/>
  <c r="Q79" i="7"/>
  <c r="E79" i="7"/>
  <c r="R79" i="7"/>
  <c r="P79" i="7"/>
  <c r="F79" i="7"/>
  <c r="O79" i="7"/>
  <c r="S79" i="7" s="1"/>
  <c r="T79" i="7" s="1"/>
  <c r="H79" i="7"/>
  <c r="G79" i="7"/>
  <c r="S78" i="7"/>
  <c r="T78" i="7" s="1"/>
  <c r="O78" i="9"/>
  <c r="R78" i="9"/>
  <c r="F78" i="9"/>
  <c r="E78" i="9"/>
  <c r="H78" i="9"/>
  <c r="G78" i="9"/>
  <c r="P78" i="9"/>
  <c r="Q78" i="9"/>
  <c r="I78" i="8"/>
  <c r="L78" i="8" s="1"/>
  <c r="M78" i="8" s="1"/>
  <c r="N78" i="8" s="1"/>
  <c r="D80" i="8"/>
  <c r="AA80" i="8"/>
  <c r="AB80" i="7"/>
  <c r="C80" i="2"/>
  <c r="A82" i="7"/>
  <c r="J81" i="7"/>
  <c r="K81" i="7" s="1"/>
  <c r="B81" i="7"/>
  <c r="C81" i="7" s="1"/>
  <c r="A81" i="2"/>
  <c r="I78" i="7"/>
  <c r="L78" i="7" s="1"/>
  <c r="M78" i="7" s="1"/>
  <c r="N78" i="7" s="1"/>
  <c r="D79" i="2" l="1"/>
  <c r="E79" i="2" s="1"/>
  <c r="AC79" i="7"/>
  <c r="U79" i="7"/>
  <c r="W79" i="7" s="1"/>
  <c r="D80" i="9"/>
  <c r="AE80" i="9"/>
  <c r="AA80" i="9"/>
  <c r="J81" i="9"/>
  <c r="K81" i="9" s="1"/>
  <c r="B81" i="9"/>
  <c r="C81" i="9" s="1"/>
  <c r="A82" i="9"/>
  <c r="A83" i="8"/>
  <c r="J82" i="8"/>
  <c r="K82" i="8" s="1"/>
  <c r="B82" i="8"/>
  <c r="C82" i="8" s="1"/>
  <c r="I79" i="8"/>
  <c r="L79" i="8" s="1"/>
  <c r="M79" i="8" s="1"/>
  <c r="N79" i="8" s="1"/>
  <c r="P80" i="7"/>
  <c r="F80" i="7"/>
  <c r="G80" i="7"/>
  <c r="E80" i="7"/>
  <c r="R80" i="7"/>
  <c r="Q80" i="7"/>
  <c r="O80" i="7"/>
  <c r="S80" i="7" s="1"/>
  <c r="T80" i="7" s="1"/>
  <c r="H80" i="7"/>
  <c r="AA81" i="7"/>
  <c r="B81" i="2"/>
  <c r="D81" i="7"/>
  <c r="AB81" i="7"/>
  <c r="C81" i="2"/>
  <c r="AF80" i="9"/>
  <c r="I80" i="2"/>
  <c r="AB80" i="9"/>
  <c r="O80" i="8"/>
  <c r="H80" i="8"/>
  <c r="G80" i="8"/>
  <c r="F80" i="8"/>
  <c r="E80" i="8"/>
  <c r="I80" i="8" s="1"/>
  <c r="L80" i="8" s="1"/>
  <c r="M80" i="8" s="1"/>
  <c r="N80" i="8" s="1"/>
  <c r="R80" i="8"/>
  <c r="Q80" i="8"/>
  <c r="P80" i="8"/>
  <c r="G79" i="9"/>
  <c r="E79" i="9"/>
  <c r="F79" i="9"/>
  <c r="R79" i="9"/>
  <c r="Q79" i="9"/>
  <c r="P79" i="9"/>
  <c r="H79" i="9"/>
  <c r="O79" i="9"/>
  <c r="S79" i="8"/>
  <c r="T79" i="8" s="1"/>
  <c r="AC78" i="8"/>
  <c r="G78" i="2"/>
  <c r="H78" i="2" s="1"/>
  <c r="U78" i="8"/>
  <c r="W78" i="8" s="1"/>
  <c r="I79" i="7"/>
  <c r="L79" i="7" s="1"/>
  <c r="M79" i="7" s="1"/>
  <c r="N79" i="7" s="1"/>
  <c r="A83" i="7"/>
  <c r="J82" i="7"/>
  <c r="K82" i="7" s="1"/>
  <c r="B82" i="7"/>
  <c r="C82" i="7" s="1"/>
  <c r="A82" i="2"/>
  <c r="AC77" i="9"/>
  <c r="AG77" i="9"/>
  <c r="J77" i="2"/>
  <c r="K77" i="2" s="1"/>
  <c r="U77" i="9"/>
  <c r="W77" i="9" s="1"/>
  <c r="AB81" i="8"/>
  <c r="F81" i="2"/>
  <c r="D81" i="8"/>
  <c r="AA81" i="8"/>
  <c r="S78" i="9"/>
  <c r="T78" i="9" s="1"/>
  <c r="AC78" i="7"/>
  <c r="D78" i="2"/>
  <c r="E78" i="2" s="1"/>
  <c r="U78" i="7"/>
  <c r="W78" i="7" s="1"/>
  <c r="I78" i="9"/>
  <c r="L78" i="9" s="1"/>
  <c r="M78" i="9" s="1"/>
  <c r="N78" i="9" s="1"/>
  <c r="AC80" i="7" l="1"/>
  <c r="D80" i="2"/>
  <c r="E80" i="2" s="1"/>
  <c r="U80" i="7"/>
  <c r="W80" i="7" s="1"/>
  <c r="D82" i="8"/>
  <c r="AA82" i="8"/>
  <c r="AB82" i="8"/>
  <c r="F82" i="2"/>
  <c r="B83" i="8"/>
  <c r="C83" i="8" s="1"/>
  <c r="A84" i="8"/>
  <c r="J83" i="8"/>
  <c r="K83" i="8" s="1"/>
  <c r="AB82" i="7"/>
  <c r="C82" i="2"/>
  <c r="J82" i="9"/>
  <c r="K82" i="9" s="1"/>
  <c r="A83" i="9"/>
  <c r="B82" i="9"/>
  <c r="C82" i="9" s="1"/>
  <c r="A84" i="7"/>
  <c r="A83" i="2"/>
  <c r="B83" i="7"/>
  <c r="C83" i="7" s="1"/>
  <c r="J83" i="7"/>
  <c r="K83" i="7" s="1"/>
  <c r="AA81" i="9"/>
  <c r="D81" i="9"/>
  <c r="AE81" i="9"/>
  <c r="AF81" i="9"/>
  <c r="I81" i="2"/>
  <c r="AB81" i="9"/>
  <c r="G80" i="9"/>
  <c r="E80" i="9"/>
  <c r="O80" i="9"/>
  <c r="R80" i="9"/>
  <c r="Q80" i="9"/>
  <c r="H80" i="9"/>
  <c r="F80" i="9"/>
  <c r="P80" i="9"/>
  <c r="I79" i="9"/>
  <c r="L79" i="9" s="1"/>
  <c r="M79" i="9" s="1"/>
  <c r="N79" i="9" s="1"/>
  <c r="AC78" i="9"/>
  <c r="AG78" i="9"/>
  <c r="J78" i="2"/>
  <c r="K78" i="2" s="1"/>
  <c r="U78" i="9"/>
  <c r="W78" i="9" s="1"/>
  <c r="AA82" i="7"/>
  <c r="D82" i="7"/>
  <c r="B82" i="2"/>
  <c r="AC79" i="8"/>
  <c r="G79" i="2"/>
  <c r="H79" i="2" s="1"/>
  <c r="U79" i="8"/>
  <c r="W79" i="8" s="1"/>
  <c r="O81" i="7"/>
  <c r="G81" i="7"/>
  <c r="H81" i="7"/>
  <c r="F81" i="7"/>
  <c r="E81" i="7"/>
  <c r="I81" i="7" s="1"/>
  <c r="L81" i="7" s="1"/>
  <c r="M81" i="7" s="1"/>
  <c r="N81" i="7" s="1"/>
  <c r="R81" i="7"/>
  <c r="Q81" i="7"/>
  <c r="P81" i="7"/>
  <c r="H81" i="8"/>
  <c r="O81" i="8"/>
  <c r="P81" i="8"/>
  <c r="Q81" i="8"/>
  <c r="R81" i="8"/>
  <c r="G81" i="8"/>
  <c r="F81" i="8"/>
  <c r="E81" i="8"/>
  <c r="I81" i="8" s="1"/>
  <c r="L81" i="8" s="1"/>
  <c r="M81" i="8" s="1"/>
  <c r="N81" i="8" s="1"/>
  <c r="I80" i="7"/>
  <c r="L80" i="7" s="1"/>
  <c r="M80" i="7" s="1"/>
  <c r="N80" i="7" s="1"/>
  <c r="S80" i="8"/>
  <c r="T80" i="8" s="1"/>
  <c r="S79" i="9"/>
  <c r="T79" i="9" s="1"/>
  <c r="AA83" i="7" l="1"/>
  <c r="B83" i="2"/>
  <c r="D83" i="7"/>
  <c r="A85" i="7"/>
  <c r="J84" i="7"/>
  <c r="K84" i="7" s="1"/>
  <c r="B84" i="7"/>
  <c r="C84" i="7" s="1"/>
  <c r="A84" i="2"/>
  <c r="I80" i="9"/>
  <c r="L80" i="9" s="1"/>
  <c r="M80" i="9" s="1"/>
  <c r="N80" i="9" s="1"/>
  <c r="B84" i="8"/>
  <c r="C84" i="8" s="1"/>
  <c r="J84" i="8"/>
  <c r="K84" i="8" s="1"/>
  <c r="A85" i="8"/>
  <c r="G82" i="8"/>
  <c r="O82" i="8"/>
  <c r="R82" i="8"/>
  <c r="Q82" i="8"/>
  <c r="F82" i="8"/>
  <c r="H82" i="8"/>
  <c r="E82" i="8"/>
  <c r="I82" i="8" s="1"/>
  <c r="L82" i="8" s="1"/>
  <c r="M82" i="8" s="1"/>
  <c r="N82" i="8" s="1"/>
  <c r="P82" i="8"/>
  <c r="O81" i="9"/>
  <c r="Q81" i="9"/>
  <c r="F81" i="9"/>
  <c r="E81" i="9"/>
  <c r="I81" i="9" s="1"/>
  <c r="L81" i="9" s="1"/>
  <c r="M81" i="9" s="1"/>
  <c r="N81" i="9" s="1"/>
  <c r="P81" i="9"/>
  <c r="H81" i="9"/>
  <c r="G81" i="9"/>
  <c r="R81" i="9"/>
  <c r="AG79" i="9"/>
  <c r="AC79" i="9"/>
  <c r="J79" i="2"/>
  <c r="K79" i="2" s="1"/>
  <c r="U79" i="9"/>
  <c r="W79" i="9" s="1"/>
  <c r="AC80" i="8"/>
  <c r="G80" i="2"/>
  <c r="H80" i="2" s="1"/>
  <c r="U80" i="8"/>
  <c r="W80" i="8" s="1"/>
  <c r="S81" i="8"/>
  <c r="T81" i="8" s="1"/>
  <c r="S81" i="7"/>
  <c r="T81" i="7" s="1"/>
  <c r="AA82" i="9"/>
  <c r="D82" i="9"/>
  <c r="AE82" i="9"/>
  <c r="J83" i="9"/>
  <c r="K83" i="9" s="1"/>
  <c r="A84" i="9"/>
  <c r="B83" i="9"/>
  <c r="C83" i="9" s="1"/>
  <c r="AB82" i="9"/>
  <c r="I82" i="2"/>
  <c r="AF82" i="9"/>
  <c r="S80" i="9"/>
  <c r="T80" i="9" s="1"/>
  <c r="AB83" i="8"/>
  <c r="F83" i="2"/>
  <c r="AA83" i="8"/>
  <c r="D83" i="8"/>
  <c r="H82" i="7"/>
  <c r="R82" i="7"/>
  <c r="Q82" i="7"/>
  <c r="P82" i="7"/>
  <c r="O82" i="7"/>
  <c r="S82" i="7" s="1"/>
  <c r="T82" i="7" s="1"/>
  <c r="F82" i="7"/>
  <c r="G82" i="7"/>
  <c r="E82" i="7"/>
  <c r="I82" i="7" s="1"/>
  <c r="L82" i="7" s="1"/>
  <c r="M82" i="7" s="1"/>
  <c r="N82" i="7" s="1"/>
  <c r="AB83" i="7"/>
  <c r="C83" i="2"/>
  <c r="J84" i="9" l="1"/>
  <c r="K84" i="9" s="1"/>
  <c r="B84" i="9"/>
  <c r="C84" i="9" s="1"/>
  <c r="A85" i="9"/>
  <c r="Q82" i="9"/>
  <c r="F82" i="9"/>
  <c r="E82" i="9"/>
  <c r="R82" i="9"/>
  <c r="O82" i="9"/>
  <c r="P82" i="9"/>
  <c r="H82" i="9"/>
  <c r="G82" i="9"/>
  <c r="AC82" i="7"/>
  <c r="D82" i="2"/>
  <c r="E82" i="2" s="1"/>
  <c r="U82" i="7"/>
  <c r="W82" i="7" s="1"/>
  <c r="AC81" i="7"/>
  <c r="D81" i="2"/>
  <c r="E81" i="2" s="1"/>
  <c r="U81" i="7"/>
  <c r="W81" i="7" s="1"/>
  <c r="F83" i="8"/>
  <c r="O83" i="8"/>
  <c r="R83" i="8"/>
  <c r="Q83" i="8"/>
  <c r="G83" i="8"/>
  <c r="E83" i="8"/>
  <c r="H83" i="8"/>
  <c r="P83" i="8"/>
  <c r="AB84" i="7"/>
  <c r="C84" i="2"/>
  <c r="P83" i="7"/>
  <c r="R83" i="7"/>
  <c r="Q83" i="7"/>
  <c r="G83" i="7"/>
  <c r="H83" i="7"/>
  <c r="F83" i="7"/>
  <c r="O83" i="7"/>
  <c r="S83" i="7" s="1"/>
  <c r="T83" i="7" s="1"/>
  <c r="E83" i="7"/>
  <c r="I83" i="7" s="1"/>
  <c r="L83" i="7" s="1"/>
  <c r="M83" i="7" s="1"/>
  <c r="N83" i="7" s="1"/>
  <c r="S81" i="9"/>
  <c r="T81" i="9" s="1"/>
  <c r="AE83" i="9"/>
  <c r="D83" i="9"/>
  <c r="AA83" i="9"/>
  <c r="AC81" i="8"/>
  <c r="G81" i="2"/>
  <c r="H81" i="2" s="1"/>
  <c r="U81" i="8"/>
  <c r="W81" i="8" s="1"/>
  <c r="J85" i="8"/>
  <c r="K85" i="8" s="1"/>
  <c r="A86" i="8"/>
  <c r="B85" i="8"/>
  <c r="C85" i="8" s="1"/>
  <c r="D84" i="8"/>
  <c r="AA84" i="8"/>
  <c r="AA84" i="7"/>
  <c r="D84" i="7"/>
  <c r="B84" i="2"/>
  <c r="AG80" i="9"/>
  <c r="AC80" i="9"/>
  <c r="J80" i="2"/>
  <c r="K80" i="2" s="1"/>
  <c r="U80" i="9"/>
  <c r="W80" i="9" s="1"/>
  <c r="AF83" i="9"/>
  <c r="AB83" i="9"/>
  <c r="I83" i="2"/>
  <c r="S82" i="8"/>
  <c r="T82" i="8" s="1"/>
  <c r="AB84" i="8"/>
  <c r="F84" i="2"/>
  <c r="A86" i="7"/>
  <c r="B85" i="7"/>
  <c r="C85" i="7" s="1"/>
  <c r="A85" i="2"/>
  <c r="J85" i="7"/>
  <c r="K85" i="7" s="1"/>
  <c r="D85" i="8" l="1"/>
  <c r="AA85" i="8"/>
  <c r="S83" i="8"/>
  <c r="T83" i="8" s="1"/>
  <c r="AC82" i="8"/>
  <c r="G82" i="2"/>
  <c r="H82" i="2" s="1"/>
  <c r="U82" i="8"/>
  <c r="W82" i="8" s="1"/>
  <c r="S82" i="9"/>
  <c r="T82" i="9" s="1"/>
  <c r="J85" i="9"/>
  <c r="K85" i="9" s="1"/>
  <c r="B85" i="9"/>
  <c r="C85" i="9" s="1"/>
  <c r="A86" i="9"/>
  <c r="D85" i="7"/>
  <c r="B85" i="2"/>
  <c r="AA85" i="7"/>
  <c r="A87" i="8"/>
  <c r="B86" i="8"/>
  <c r="C86" i="8" s="1"/>
  <c r="J86" i="8"/>
  <c r="K86" i="8" s="1"/>
  <c r="O83" i="9"/>
  <c r="P83" i="9"/>
  <c r="H83" i="9"/>
  <c r="G83" i="9"/>
  <c r="F83" i="9"/>
  <c r="E83" i="9"/>
  <c r="I83" i="9" s="1"/>
  <c r="L83" i="9" s="1"/>
  <c r="M83" i="9" s="1"/>
  <c r="N83" i="9" s="1"/>
  <c r="R83" i="9"/>
  <c r="Q83" i="9"/>
  <c r="AG81" i="9"/>
  <c r="AC81" i="9"/>
  <c r="J81" i="2"/>
  <c r="K81" i="2" s="1"/>
  <c r="U81" i="9"/>
  <c r="W81" i="9" s="1"/>
  <c r="AC83" i="7"/>
  <c r="D83" i="2"/>
  <c r="E83" i="2" s="1"/>
  <c r="U83" i="7"/>
  <c r="W83" i="7" s="1"/>
  <c r="I82" i="9"/>
  <c r="L82" i="9" s="1"/>
  <c r="M82" i="9" s="1"/>
  <c r="N82" i="9" s="1"/>
  <c r="H84" i="7"/>
  <c r="G84" i="7"/>
  <c r="F84" i="7"/>
  <c r="E84" i="7"/>
  <c r="I84" i="7" s="1"/>
  <c r="L84" i="7" s="1"/>
  <c r="M84" i="7" s="1"/>
  <c r="N84" i="7" s="1"/>
  <c r="P84" i="7"/>
  <c r="O84" i="7"/>
  <c r="R84" i="7"/>
  <c r="Q84" i="7"/>
  <c r="D84" i="9"/>
  <c r="AA84" i="9"/>
  <c r="AE84" i="9"/>
  <c r="I83" i="8"/>
  <c r="L83" i="8" s="1"/>
  <c r="M83" i="8" s="1"/>
  <c r="N83" i="8" s="1"/>
  <c r="J86" i="7"/>
  <c r="K86" i="7" s="1"/>
  <c r="A87" i="7"/>
  <c r="B86" i="7"/>
  <c r="C86" i="7" s="1"/>
  <c r="A86" i="2"/>
  <c r="AB85" i="8"/>
  <c r="F85" i="2"/>
  <c r="C85" i="2"/>
  <c r="AB85" i="7"/>
  <c r="E84" i="8"/>
  <c r="O84" i="8"/>
  <c r="H84" i="8"/>
  <c r="F84" i="8"/>
  <c r="R84" i="8"/>
  <c r="Q84" i="8"/>
  <c r="P84" i="8"/>
  <c r="G84" i="8"/>
  <c r="AB84" i="9"/>
  <c r="AF84" i="9"/>
  <c r="I84" i="2"/>
  <c r="AB86" i="8" l="1"/>
  <c r="F86" i="2"/>
  <c r="AB85" i="9"/>
  <c r="AF85" i="9"/>
  <c r="I85" i="2"/>
  <c r="O84" i="9"/>
  <c r="H84" i="9"/>
  <c r="G84" i="9"/>
  <c r="P84" i="9"/>
  <c r="R84" i="9"/>
  <c r="Q84" i="9"/>
  <c r="F84" i="9"/>
  <c r="E84" i="9"/>
  <c r="I84" i="9" s="1"/>
  <c r="L84" i="9" s="1"/>
  <c r="M84" i="9" s="1"/>
  <c r="N84" i="9" s="1"/>
  <c r="S83" i="9"/>
  <c r="T83" i="9" s="1"/>
  <c r="S84" i="7"/>
  <c r="T84" i="7" s="1"/>
  <c r="AA86" i="8"/>
  <c r="D86" i="8"/>
  <c r="B86" i="9"/>
  <c r="C86" i="9" s="1"/>
  <c r="A87" i="9"/>
  <c r="J86" i="9"/>
  <c r="K86" i="9" s="1"/>
  <c r="D85" i="9"/>
  <c r="AA85" i="9"/>
  <c r="AE85" i="9"/>
  <c r="AC82" i="9"/>
  <c r="AG82" i="9"/>
  <c r="J82" i="2"/>
  <c r="K82" i="2" s="1"/>
  <c r="U82" i="9"/>
  <c r="W82" i="9" s="1"/>
  <c r="AC83" i="8"/>
  <c r="G83" i="2"/>
  <c r="H83" i="2" s="1"/>
  <c r="U83" i="8"/>
  <c r="W83" i="8" s="1"/>
  <c r="AA86" i="7"/>
  <c r="D86" i="7"/>
  <c r="B86" i="2"/>
  <c r="AB86" i="7"/>
  <c r="C86" i="2"/>
  <c r="A88" i="8"/>
  <c r="B87" i="8"/>
  <c r="C87" i="8" s="1"/>
  <c r="J87" i="8"/>
  <c r="K87" i="8" s="1"/>
  <c r="S84" i="8"/>
  <c r="T84" i="8" s="1"/>
  <c r="I84" i="8"/>
  <c r="L84" i="8" s="1"/>
  <c r="M84" i="8" s="1"/>
  <c r="N84" i="8" s="1"/>
  <c r="E85" i="7"/>
  <c r="G85" i="7"/>
  <c r="F85" i="7"/>
  <c r="R85" i="7"/>
  <c r="Q85" i="7"/>
  <c r="P85" i="7"/>
  <c r="O85" i="7"/>
  <c r="S85" i="7" s="1"/>
  <c r="T85" i="7" s="1"/>
  <c r="H85" i="7"/>
  <c r="A88" i="7"/>
  <c r="J87" i="7"/>
  <c r="K87" i="7" s="1"/>
  <c r="B87" i="7"/>
  <c r="C87" i="7" s="1"/>
  <c r="A87" i="2"/>
  <c r="O85" i="8"/>
  <c r="H85" i="8"/>
  <c r="R85" i="8"/>
  <c r="Q85" i="8"/>
  <c r="G85" i="8"/>
  <c r="F85" i="8"/>
  <c r="P85" i="8"/>
  <c r="E85" i="8"/>
  <c r="I85" i="8" s="1"/>
  <c r="L85" i="8" s="1"/>
  <c r="M85" i="8" s="1"/>
  <c r="N85" i="8" s="1"/>
  <c r="A89" i="8" l="1"/>
  <c r="J88" i="8"/>
  <c r="K88" i="8" s="1"/>
  <c r="B88" i="8"/>
  <c r="C88" i="8" s="1"/>
  <c r="G86" i="7"/>
  <c r="F86" i="7"/>
  <c r="E86" i="7"/>
  <c r="R86" i="7"/>
  <c r="P86" i="7"/>
  <c r="O86" i="7"/>
  <c r="Q86" i="7"/>
  <c r="H86" i="7"/>
  <c r="S84" i="9"/>
  <c r="T84" i="9" s="1"/>
  <c r="A89" i="7"/>
  <c r="J88" i="7"/>
  <c r="K88" i="7" s="1"/>
  <c r="A88" i="2"/>
  <c r="B88" i="7"/>
  <c r="C88" i="7" s="1"/>
  <c r="AA86" i="9"/>
  <c r="AE86" i="9"/>
  <c r="D86" i="9"/>
  <c r="AC84" i="7"/>
  <c r="D84" i="2"/>
  <c r="E84" i="2" s="1"/>
  <c r="U84" i="7"/>
  <c r="W84" i="7" s="1"/>
  <c r="AG83" i="9"/>
  <c r="AC83" i="9"/>
  <c r="J83" i="2"/>
  <c r="K83" i="2" s="1"/>
  <c r="U83" i="9"/>
  <c r="W83" i="9" s="1"/>
  <c r="S85" i="8"/>
  <c r="T85" i="8" s="1"/>
  <c r="I85" i="7"/>
  <c r="L85" i="7" s="1"/>
  <c r="M85" i="7" s="1"/>
  <c r="N85" i="7" s="1"/>
  <c r="G85" i="9"/>
  <c r="H85" i="9"/>
  <c r="F85" i="9"/>
  <c r="R85" i="9"/>
  <c r="Q85" i="9"/>
  <c r="P85" i="9"/>
  <c r="O85" i="9"/>
  <c r="S85" i="9" s="1"/>
  <c r="T85" i="9" s="1"/>
  <c r="E85" i="9"/>
  <c r="I85" i="9" s="1"/>
  <c r="L85" i="9" s="1"/>
  <c r="M85" i="9" s="1"/>
  <c r="N85" i="9" s="1"/>
  <c r="AC84" i="8"/>
  <c r="G84" i="2"/>
  <c r="H84" i="2" s="1"/>
  <c r="U84" i="8"/>
  <c r="W84" i="8" s="1"/>
  <c r="A88" i="9"/>
  <c r="J87" i="9"/>
  <c r="K87" i="9" s="1"/>
  <c r="B87" i="9"/>
  <c r="C87" i="9" s="1"/>
  <c r="F87" i="2"/>
  <c r="AB87" i="8"/>
  <c r="D87" i="8"/>
  <c r="AA87" i="8"/>
  <c r="O86" i="8"/>
  <c r="P86" i="8"/>
  <c r="R86" i="8"/>
  <c r="Q86" i="8"/>
  <c r="H86" i="8"/>
  <c r="G86" i="8"/>
  <c r="F86" i="8"/>
  <c r="E86" i="8"/>
  <c r="I86" i="8" s="1"/>
  <c r="L86" i="8" s="1"/>
  <c r="M86" i="8" s="1"/>
  <c r="N86" i="8" s="1"/>
  <c r="AA87" i="7"/>
  <c r="B87" i="2"/>
  <c r="D87" i="7"/>
  <c r="AB87" i="7"/>
  <c r="C87" i="2"/>
  <c r="D85" i="2"/>
  <c r="E85" i="2" s="1"/>
  <c r="AC85" i="7"/>
  <c r="U85" i="7"/>
  <c r="W85" i="7" s="1"/>
  <c r="AF86" i="9"/>
  <c r="AB86" i="9"/>
  <c r="I86" i="2"/>
  <c r="G86" i="9" l="1"/>
  <c r="H86" i="9"/>
  <c r="F86" i="9"/>
  <c r="R86" i="9"/>
  <c r="Q86" i="9"/>
  <c r="E86" i="9"/>
  <c r="I86" i="9" s="1"/>
  <c r="L86" i="9" s="1"/>
  <c r="M86" i="9" s="1"/>
  <c r="N86" i="9" s="1"/>
  <c r="O86" i="9"/>
  <c r="P86" i="9"/>
  <c r="AA87" i="9"/>
  <c r="AE87" i="9"/>
  <c r="D87" i="9"/>
  <c r="AA88" i="7"/>
  <c r="D88" i="7"/>
  <c r="B88" i="2"/>
  <c r="AB88" i="7"/>
  <c r="C88" i="2"/>
  <c r="H87" i="7"/>
  <c r="G87" i="7"/>
  <c r="R87" i="7"/>
  <c r="Q87" i="7"/>
  <c r="F87" i="7"/>
  <c r="P87" i="7"/>
  <c r="O87" i="7"/>
  <c r="E87" i="7"/>
  <c r="D88" i="8"/>
  <c r="AA88" i="8"/>
  <c r="A90" i="7"/>
  <c r="B89" i="7"/>
  <c r="C89" i="7" s="1"/>
  <c r="J89" i="7"/>
  <c r="K89" i="7" s="1"/>
  <c r="A89" i="2"/>
  <c r="S86" i="7"/>
  <c r="T86" i="7" s="1"/>
  <c r="I86" i="7"/>
  <c r="L86" i="7" s="1"/>
  <c r="M86" i="7" s="1"/>
  <c r="N86" i="7" s="1"/>
  <c r="S86" i="8"/>
  <c r="T86" i="8" s="1"/>
  <c r="F88" i="2"/>
  <c r="AB88" i="8"/>
  <c r="O87" i="8"/>
  <c r="R87" i="8"/>
  <c r="E87" i="8"/>
  <c r="Q87" i="8"/>
  <c r="P87" i="8"/>
  <c r="H87" i="8"/>
  <c r="G87" i="8"/>
  <c r="F87" i="8"/>
  <c r="AF87" i="9"/>
  <c r="AB87" i="9"/>
  <c r="I87" i="2"/>
  <c r="B88" i="9"/>
  <c r="C88" i="9" s="1"/>
  <c r="J88" i="9"/>
  <c r="K88" i="9" s="1"/>
  <c r="A89" i="9"/>
  <c r="AC85" i="9"/>
  <c r="AG85" i="9"/>
  <c r="J85" i="2"/>
  <c r="K85" i="2" s="1"/>
  <c r="U85" i="9"/>
  <c r="W85" i="9" s="1"/>
  <c r="AG84" i="9"/>
  <c r="J84" i="2"/>
  <c r="K84" i="2" s="1"/>
  <c r="AC84" i="9"/>
  <c r="U84" i="9"/>
  <c r="W84" i="9" s="1"/>
  <c r="AC85" i="8"/>
  <c r="G85" i="2"/>
  <c r="H85" i="2" s="1"/>
  <c r="U85" i="8"/>
  <c r="W85" i="8" s="1"/>
  <c r="A90" i="8"/>
  <c r="B89" i="8"/>
  <c r="C89" i="8" s="1"/>
  <c r="J89" i="8"/>
  <c r="K89" i="8" s="1"/>
  <c r="AA89" i="8" l="1"/>
  <c r="D89" i="8"/>
  <c r="S87" i="8"/>
  <c r="T87" i="8" s="1"/>
  <c r="H88" i="7"/>
  <c r="O88" i="7"/>
  <c r="G88" i="7"/>
  <c r="Q88" i="7"/>
  <c r="F88" i="7"/>
  <c r="E88" i="7"/>
  <c r="I88" i="7" s="1"/>
  <c r="L88" i="7" s="1"/>
  <c r="M88" i="7" s="1"/>
  <c r="N88" i="7" s="1"/>
  <c r="R88" i="7"/>
  <c r="P88" i="7"/>
  <c r="H87" i="9"/>
  <c r="G87" i="9"/>
  <c r="F87" i="9"/>
  <c r="E87" i="9"/>
  <c r="I87" i="9" s="1"/>
  <c r="L87" i="9" s="1"/>
  <c r="M87" i="9" s="1"/>
  <c r="N87" i="9" s="1"/>
  <c r="O87" i="9"/>
  <c r="R87" i="9"/>
  <c r="P87" i="9"/>
  <c r="Q87" i="9"/>
  <c r="A90" i="9"/>
  <c r="B89" i="9"/>
  <c r="C89" i="9" s="1"/>
  <c r="J89" i="9"/>
  <c r="K89" i="9" s="1"/>
  <c r="O88" i="8"/>
  <c r="E88" i="8"/>
  <c r="F88" i="8"/>
  <c r="Q88" i="8"/>
  <c r="P88" i="8"/>
  <c r="G88" i="8"/>
  <c r="H88" i="8"/>
  <c r="R88" i="8"/>
  <c r="A91" i="8"/>
  <c r="J90" i="8"/>
  <c r="K90" i="8" s="1"/>
  <c r="B90" i="8"/>
  <c r="C90" i="8" s="1"/>
  <c r="AC86" i="8"/>
  <c r="G86" i="2"/>
  <c r="H86" i="2" s="1"/>
  <c r="U86" i="8"/>
  <c r="W86" i="8" s="1"/>
  <c r="AC86" i="7"/>
  <c r="D86" i="2"/>
  <c r="E86" i="2" s="1"/>
  <c r="U86" i="7"/>
  <c r="W86" i="7" s="1"/>
  <c r="AB88" i="9"/>
  <c r="AF88" i="9"/>
  <c r="I88" i="2"/>
  <c r="AA88" i="9"/>
  <c r="AE88" i="9"/>
  <c r="D88" i="9"/>
  <c r="AB89" i="7"/>
  <c r="C89" i="2"/>
  <c r="S86" i="9"/>
  <c r="T86" i="9" s="1"/>
  <c r="A91" i="7"/>
  <c r="B90" i="7"/>
  <c r="C90" i="7" s="1"/>
  <c r="J90" i="7"/>
  <c r="K90" i="7" s="1"/>
  <c r="A90" i="2"/>
  <c r="I87" i="7"/>
  <c r="L87" i="7" s="1"/>
  <c r="M87" i="7" s="1"/>
  <c r="N87" i="7" s="1"/>
  <c r="AB89" i="8"/>
  <c r="F89" i="2"/>
  <c r="I87" i="8"/>
  <c r="L87" i="8" s="1"/>
  <c r="M87" i="8" s="1"/>
  <c r="N87" i="8" s="1"/>
  <c r="AA89" i="7"/>
  <c r="D89" i="7"/>
  <c r="B89" i="2"/>
  <c r="S87" i="7"/>
  <c r="T87" i="7" s="1"/>
  <c r="AA90" i="8" l="1"/>
  <c r="D90" i="8"/>
  <c r="AB90" i="8"/>
  <c r="F90" i="2"/>
  <c r="AC87" i="8"/>
  <c r="G87" i="2"/>
  <c r="H87" i="2" s="1"/>
  <c r="U87" i="8"/>
  <c r="W87" i="8" s="1"/>
  <c r="AF89" i="9"/>
  <c r="AB89" i="9"/>
  <c r="I89" i="2"/>
  <c r="D89" i="9"/>
  <c r="AE89" i="9"/>
  <c r="AA89" i="9"/>
  <c r="A91" i="9"/>
  <c r="B90" i="9"/>
  <c r="C90" i="9" s="1"/>
  <c r="J90" i="9"/>
  <c r="K90" i="9" s="1"/>
  <c r="D87" i="2"/>
  <c r="E87" i="2" s="1"/>
  <c r="AC87" i="7"/>
  <c r="U87" i="7"/>
  <c r="W87" i="7" s="1"/>
  <c r="S87" i="9"/>
  <c r="T87" i="9" s="1"/>
  <c r="D90" i="7"/>
  <c r="AA90" i="7"/>
  <c r="B90" i="2"/>
  <c r="A92" i="8"/>
  <c r="J91" i="8"/>
  <c r="K91" i="8" s="1"/>
  <c r="B91" i="8"/>
  <c r="C91" i="8" s="1"/>
  <c r="I88" i="8"/>
  <c r="L88" i="8" s="1"/>
  <c r="M88" i="8" s="1"/>
  <c r="N88" i="8" s="1"/>
  <c r="O89" i="8"/>
  <c r="G89" i="8"/>
  <c r="F89" i="8"/>
  <c r="R89" i="8"/>
  <c r="Q89" i="8"/>
  <c r="P89" i="8"/>
  <c r="H89" i="8"/>
  <c r="E89" i="8"/>
  <c r="I89" i="8" s="1"/>
  <c r="L89" i="8" s="1"/>
  <c r="M89" i="8" s="1"/>
  <c r="N89" i="8" s="1"/>
  <c r="G89" i="7"/>
  <c r="P89" i="7"/>
  <c r="Q89" i="7"/>
  <c r="O89" i="7"/>
  <c r="R89" i="7"/>
  <c r="H89" i="7"/>
  <c r="F89" i="7"/>
  <c r="E89" i="7"/>
  <c r="AB90" i="7"/>
  <c r="C90" i="2"/>
  <c r="A92" i="7"/>
  <c r="J91" i="7"/>
  <c r="K91" i="7" s="1"/>
  <c r="B91" i="7"/>
  <c r="C91" i="7" s="1"/>
  <c r="A91" i="2"/>
  <c r="S88" i="7"/>
  <c r="T88" i="7" s="1"/>
  <c r="AG86" i="9"/>
  <c r="J86" i="2"/>
  <c r="K86" i="2" s="1"/>
  <c r="AC86" i="9"/>
  <c r="U86" i="9"/>
  <c r="W86" i="9" s="1"/>
  <c r="G88" i="9"/>
  <c r="H88" i="9"/>
  <c r="F88" i="9"/>
  <c r="E88" i="9"/>
  <c r="I88" i="9" s="1"/>
  <c r="L88" i="9" s="1"/>
  <c r="M88" i="9" s="1"/>
  <c r="N88" i="9" s="1"/>
  <c r="R88" i="9"/>
  <c r="Q88" i="9"/>
  <c r="P88" i="9"/>
  <c r="O88" i="9"/>
  <c r="S88" i="9" s="1"/>
  <c r="T88" i="9" s="1"/>
  <c r="S88" i="8"/>
  <c r="T88" i="8" s="1"/>
  <c r="AC88" i="8" l="1"/>
  <c r="G88" i="2"/>
  <c r="H88" i="2" s="1"/>
  <c r="U88" i="8"/>
  <c r="W88" i="8" s="1"/>
  <c r="AF90" i="9"/>
  <c r="AB90" i="9"/>
  <c r="I90" i="2"/>
  <c r="S89" i="8"/>
  <c r="T89" i="8" s="1"/>
  <c r="AB91" i="8"/>
  <c r="F91" i="2"/>
  <c r="A93" i="8"/>
  <c r="J92" i="8"/>
  <c r="K92" i="8" s="1"/>
  <c r="B92" i="8"/>
  <c r="C92" i="8" s="1"/>
  <c r="AG87" i="9"/>
  <c r="AC87" i="9"/>
  <c r="J87" i="2"/>
  <c r="K87" i="2" s="1"/>
  <c r="U87" i="9"/>
  <c r="W87" i="9" s="1"/>
  <c r="O90" i="8"/>
  <c r="H90" i="8"/>
  <c r="G90" i="8"/>
  <c r="P90" i="8"/>
  <c r="Q90" i="8"/>
  <c r="R90" i="8"/>
  <c r="F90" i="8"/>
  <c r="E90" i="8"/>
  <c r="B91" i="9"/>
  <c r="C91" i="9" s="1"/>
  <c r="A92" i="9"/>
  <c r="J91" i="9"/>
  <c r="K91" i="9" s="1"/>
  <c r="O89" i="9"/>
  <c r="E89" i="9"/>
  <c r="G89" i="9"/>
  <c r="F89" i="9"/>
  <c r="P89" i="9"/>
  <c r="R89" i="9"/>
  <c r="Q89" i="9"/>
  <c r="H89" i="9"/>
  <c r="D91" i="8"/>
  <c r="AA91" i="8"/>
  <c r="A93" i="7"/>
  <c r="B92" i="7"/>
  <c r="C92" i="7" s="1"/>
  <c r="J92" i="7"/>
  <c r="K92" i="7" s="1"/>
  <c r="A92" i="2"/>
  <c r="I89" i="7"/>
  <c r="L89" i="7" s="1"/>
  <c r="M89" i="7" s="1"/>
  <c r="N89" i="7" s="1"/>
  <c r="AC88" i="9"/>
  <c r="AG88" i="9"/>
  <c r="J88" i="2"/>
  <c r="K88" i="2" s="1"/>
  <c r="U88" i="9"/>
  <c r="W88" i="9" s="1"/>
  <c r="S89" i="7"/>
  <c r="T89" i="7" s="1"/>
  <c r="D90" i="9"/>
  <c r="AA90" i="9"/>
  <c r="AE90" i="9"/>
  <c r="D88" i="2"/>
  <c r="E88" i="2" s="1"/>
  <c r="AC88" i="7"/>
  <c r="U88" i="7"/>
  <c r="W88" i="7" s="1"/>
  <c r="D91" i="7"/>
  <c r="AA91" i="7"/>
  <c r="B91" i="2"/>
  <c r="C91" i="2"/>
  <c r="AB91" i="7"/>
  <c r="F90" i="7"/>
  <c r="Q90" i="7"/>
  <c r="P90" i="7"/>
  <c r="O90" i="7"/>
  <c r="E90" i="7"/>
  <c r="H90" i="7"/>
  <c r="G90" i="7"/>
  <c r="R90" i="7"/>
  <c r="I90" i="7" l="1"/>
  <c r="L90" i="7" s="1"/>
  <c r="M90" i="7" s="1"/>
  <c r="N90" i="7" s="1"/>
  <c r="S90" i="8"/>
  <c r="T90" i="8" s="1"/>
  <c r="S90" i="7"/>
  <c r="T90" i="7" s="1"/>
  <c r="D92" i="7"/>
  <c r="AA92" i="7"/>
  <c r="B92" i="2"/>
  <c r="A94" i="7"/>
  <c r="J93" i="7"/>
  <c r="K93" i="7" s="1"/>
  <c r="B93" i="7"/>
  <c r="C93" i="7" s="1"/>
  <c r="A93" i="2"/>
  <c r="O91" i="8"/>
  <c r="P91" i="8"/>
  <c r="E91" i="8"/>
  <c r="R91" i="8"/>
  <c r="Q91" i="8"/>
  <c r="G91" i="8"/>
  <c r="F91" i="8"/>
  <c r="H91" i="8"/>
  <c r="AA92" i="8"/>
  <c r="D92" i="8"/>
  <c r="A94" i="8"/>
  <c r="B93" i="8"/>
  <c r="C93" i="8" s="1"/>
  <c r="J93" i="8"/>
  <c r="K93" i="8" s="1"/>
  <c r="AF91" i="9"/>
  <c r="I91" i="2"/>
  <c r="AB91" i="9"/>
  <c r="B92" i="9"/>
  <c r="C92" i="9" s="1"/>
  <c r="J92" i="9"/>
  <c r="K92" i="9" s="1"/>
  <c r="A93" i="9"/>
  <c r="AB92" i="8"/>
  <c r="F92" i="2"/>
  <c r="S89" i="9"/>
  <c r="T89" i="9" s="1"/>
  <c r="AC89" i="8"/>
  <c r="G89" i="2"/>
  <c r="H89" i="2" s="1"/>
  <c r="U89" i="8"/>
  <c r="W89" i="8" s="1"/>
  <c r="D91" i="9"/>
  <c r="AE91" i="9"/>
  <c r="AA91" i="9"/>
  <c r="O90" i="9"/>
  <c r="F90" i="9"/>
  <c r="E90" i="9"/>
  <c r="H90" i="9"/>
  <c r="G90" i="9"/>
  <c r="Q90" i="9"/>
  <c r="R90" i="9"/>
  <c r="P90" i="9"/>
  <c r="D90" i="2"/>
  <c r="E90" i="2" s="1"/>
  <c r="AC90" i="7"/>
  <c r="U90" i="7"/>
  <c r="W90" i="7" s="1"/>
  <c r="AC90" i="8"/>
  <c r="G90" i="2"/>
  <c r="H90" i="2" s="1"/>
  <c r="U90" i="8"/>
  <c r="W90" i="8" s="1"/>
  <c r="AB92" i="7"/>
  <c r="C92" i="2"/>
  <c r="E91" i="7"/>
  <c r="R91" i="7"/>
  <c r="Q91" i="7"/>
  <c r="P91" i="7"/>
  <c r="H91" i="7"/>
  <c r="G91" i="7"/>
  <c r="F91" i="7"/>
  <c r="O91" i="7"/>
  <c r="S91" i="7" s="1"/>
  <c r="T91" i="7" s="1"/>
  <c r="I89" i="9"/>
  <c r="L89" i="9" s="1"/>
  <c r="M89" i="9" s="1"/>
  <c r="N89" i="9" s="1"/>
  <c r="I90" i="8"/>
  <c r="L90" i="8" s="1"/>
  <c r="M90" i="8" s="1"/>
  <c r="N90" i="8" s="1"/>
  <c r="AC89" i="7"/>
  <c r="D89" i="2"/>
  <c r="E89" i="2" s="1"/>
  <c r="U89" i="7"/>
  <c r="W89" i="7" s="1"/>
  <c r="I90" i="9" l="1"/>
  <c r="L90" i="9" s="1"/>
  <c r="M90" i="9" s="1"/>
  <c r="N90" i="9" s="1"/>
  <c r="S90" i="9"/>
  <c r="T90" i="9" s="1"/>
  <c r="AA93" i="8"/>
  <c r="D93" i="8"/>
  <c r="G91" i="9"/>
  <c r="E91" i="9"/>
  <c r="F91" i="9"/>
  <c r="R91" i="9"/>
  <c r="P91" i="9"/>
  <c r="H91" i="9"/>
  <c r="Q91" i="9"/>
  <c r="O91" i="9"/>
  <c r="S91" i="9" s="1"/>
  <c r="T91" i="9" s="1"/>
  <c r="AG89" i="9"/>
  <c r="AC89" i="9"/>
  <c r="J89" i="2"/>
  <c r="K89" i="2" s="1"/>
  <c r="U89" i="9"/>
  <c r="W89" i="9" s="1"/>
  <c r="AA93" i="7"/>
  <c r="B93" i="2"/>
  <c r="D93" i="7"/>
  <c r="B93" i="9"/>
  <c r="C93" i="9" s="1"/>
  <c r="J93" i="9"/>
  <c r="K93" i="9" s="1"/>
  <c r="A94" i="9"/>
  <c r="AF92" i="9"/>
  <c r="AB92" i="9"/>
  <c r="I92" i="2"/>
  <c r="A95" i="7"/>
  <c r="B94" i="7"/>
  <c r="C94" i="7" s="1"/>
  <c r="A94" i="2"/>
  <c r="J94" i="7"/>
  <c r="K94" i="7" s="1"/>
  <c r="D92" i="9"/>
  <c r="AE92" i="9"/>
  <c r="AA92" i="9"/>
  <c r="AB93" i="8"/>
  <c r="F93" i="2"/>
  <c r="J94" i="8"/>
  <c r="K94" i="8" s="1"/>
  <c r="A95" i="8"/>
  <c r="B94" i="8"/>
  <c r="C94" i="8" s="1"/>
  <c r="I91" i="8"/>
  <c r="L91" i="8" s="1"/>
  <c r="M91" i="8" s="1"/>
  <c r="N91" i="8" s="1"/>
  <c r="AB93" i="7"/>
  <c r="C93" i="2"/>
  <c r="AC91" i="7"/>
  <c r="D91" i="2"/>
  <c r="E91" i="2" s="1"/>
  <c r="U91" i="7"/>
  <c r="W91" i="7" s="1"/>
  <c r="O92" i="8"/>
  <c r="R92" i="8"/>
  <c r="Q92" i="8"/>
  <c r="P92" i="8"/>
  <c r="F92" i="8"/>
  <c r="H92" i="8"/>
  <c r="G92" i="8"/>
  <c r="E92" i="8"/>
  <c r="I91" i="7"/>
  <c r="L91" i="7" s="1"/>
  <c r="M91" i="7" s="1"/>
  <c r="N91" i="7" s="1"/>
  <c r="S91" i="8"/>
  <c r="T91" i="8" s="1"/>
  <c r="R92" i="7"/>
  <c r="P92" i="7"/>
  <c r="O92" i="7"/>
  <c r="Q92" i="7"/>
  <c r="F92" i="7"/>
  <c r="G92" i="7"/>
  <c r="H92" i="7"/>
  <c r="E92" i="7"/>
  <c r="I92" i="7" s="1"/>
  <c r="L92" i="7" s="1"/>
  <c r="M92" i="7" s="1"/>
  <c r="N92" i="7" s="1"/>
  <c r="I92" i="8" l="1"/>
  <c r="L92" i="8" s="1"/>
  <c r="M92" i="8" s="1"/>
  <c r="N92" i="8" s="1"/>
  <c r="A95" i="9"/>
  <c r="B94" i="9"/>
  <c r="C94" i="9" s="1"/>
  <c r="J94" i="9"/>
  <c r="K94" i="9" s="1"/>
  <c r="AF93" i="9"/>
  <c r="AB93" i="9"/>
  <c r="I93" i="2"/>
  <c r="AA93" i="9"/>
  <c r="D93" i="9"/>
  <c r="AE93" i="9"/>
  <c r="F93" i="7"/>
  <c r="E93" i="7"/>
  <c r="R93" i="7"/>
  <c r="Q93" i="7"/>
  <c r="O93" i="7"/>
  <c r="P93" i="7"/>
  <c r="H93" i="7"/>
  <c r="G93" i="7"/>
  <c r="S92" i="7"/>
  <c r="T92" i="7" s="1"/>
  <c r="J95" i="8"/>
  <c r="K95" i="8" s="1"/>
  <c r="B95" i="8"/>
  <c r="C95" i="8" s="1"/>
  <c r="A96" i="8"/>
  <c r="AB94" i="8"/>
  <c r="F94" i="2"/>
  <c r="AG91" i="9"/>
  <c r="AC91" i="9"/>
  <c r="J91" i="2"/>
  <c r="K91" i="2" s="1"/>
  <c r="U91" i="9"/>
  <c r="W91" i="9" s="1"/>
  <c r="AB94" i="7"/>
  <c r="C94" i="2"/>
  <c r="AA94" i="7"/>
  <c r="B94" i="2"/>
  <c r="D94" i="7"/>
  <c r="B95" i="7"/>
  <c r="C95" i="7" s="1"/>
  <c r="A96" i="7"/>
  <c r="A95" i="2"/>
  <c r="J95" i="7"/>
  <c r="K95" i="7" s="1"/>
  <c r="S92" i="8"/>
  <c r="T92" i="8" s="1"/>
  <c r="R93" i="8"/>
  <c r="O93" i="8"/>
  <c r="P93" i="8"/>
  <c r="E93" i="8"/>
  <c r="F93" i="8"/>
  <c r="H93" i="8"/>
  <c r="G93" i="8"/>
  <c r="Q93" i="8"/>
  <c r="AG90" i="9"/>
  <c r="AC90" i="9"/>
  <c r="J90" i="2"/>
  <c r="K90" i="2" s="1"/>
  <c r="U90" i="9"/>
  <c r="W90" i="9" s="1"/>
  <c r="D94" i="8"/>
  <c r="AA94" i="8"/>
  <c r="AC91" i="8"/>
  <c r="G91" i="2"/>
  <c r="H91" i="2" s="1"/>
  <c r="U91" i="8"/>
  <c r="W91" i="8" s="1"/>
  <c r="G92" i="9"/>
  <c r="E92" i="9"/>
  <c r="H92" i="9"/>
  <c r="F92" i="9"/>
  <c r="Q92" i="9"/>
  <c r="R92" i="9"/>
  <c r="P92" i="9"/>
  <c r="O92" i="9"/>
  <c r="S92" i="9" s="1"/>
  <c r="T92" i="9" s="1"/>
  <c r="I91" i="9"/>
  <c r="L91" i="9" s="1"/>
  <c r="M91" i="9" s="1"/>
  <c r="N91" i="9" s="1"/>
  <c r="I93" i="8" l="1"/>
  <c r="L93" i="8" s="1"/>
  <c r="M93" i="8" s="1"/>
  <c r="N93" i="8" s="1"/>
  <c r="D95" i="8"/>
  <c r="AA95" i="8"/>
  <c r="AC92" i="8"/>
  <c r="G92" i="2"/>
  <c r="H92" i="2" s="1"/>
  <c r="U92" i="8"/>
  <c r="W92" i="8" s="1"/>
  <c r="B96" i="7"/>
  <c r="C96" i="7" s="1"/>
  <c r="J96" i="7"/>
  <c r="K96" i="7" s="1"/>
  <c r="A97" i="7"/>
  <c r="A96" i="2"/>
  <c r="I93" i="7"/>
  <c r="L93" i="7" s="1"/>
  <c r="M93" i="7" s="1"/>
  <c r="N93" i="7" s="1"/>
  <c r="E93" i="9"/>
  <c r="P93" i="9"/>
  <c r="O93" i="9"/>
  <c r="F93" i="9"/>
  <c r="G93" i="9"/>
  <c r="H93" i="9"/>
  <c r="R93" i="9"/>
  <c r="Q93" i="9"/>
  <c r="AB94" i="9"/>
  <c r="AF94" i="9"/>
  <c r="I94" i="2"/>
  <c r="AC92" i="9"/>
  <c r="AG92" i="9"/>
  <c r="J92" i="2"/>
  <c r="K92" i="2" s="1"/>
  <c r="U92" i="9"/>
  <c r="W92" i="9" s="1"/>
  <c r="AB95" i="7"/>
  <c r="C95" i="2"/>
  <c r="I92" i="9"/>
  <c r="L92" i="9" s="1"/>
  <c r="M92" i="9" s="1"/>
  <c r="N92" i="9" s="1"/>
  <c r="H94" i="7"/>
  <c r="G94" i="7"/>
  <c r="F94" i="7"/>
  <c r="E94" i="7"/>
  <c r="I94" i="7" s="1"/>
  <c r="L94" i="7" s="1"/>
  <c r="M94" i="7" s="1"/>
  <c r="N94" i="7" s="1"/>
  <c r="R94" i="7"/>
  <c r="Q94" i="7"/>
  <c r="P94" i="7"/>
  <c r="O94" i="7"/>
  <c r="S94" i="7" s="1"/>
  <c r="T94" i="7" s="1"/>
  <c r="R94" i="8"/>
  <c r="Q94" i="8"/>
  <c r="F94" i="8"/>
  <c r="E94" i="8"/>
  <c r="P94" i="8"/>
  <c r="O94" i="8"/>
  <c r="H94" i="8"/>
  <c r="G94" i="8"/>
  <c r="AA94" i="9"/>
  <c r="D94" i="9"/>
  <c r="AE94" i="9"/>
  <c r="B96" i="8"/>
  <c r="C96" i="8" s="1"/>
  <c r="J96" i="8"/>
  <c r="K96" i="8" s="1"/>
  <c r="A97" i="8"/>
  <c r="S93" i="8"/>
  <c r="T93" i="8" s="1"/>
  <c r="AB95" i="8"/>
  <c r="F95" i="2"/>
  <c r="AC92" i="7"/>
  <c r="D92" i="2"/>
  <c r="E92" i="2" s="1"/>
  <c r="U92" i="7"/>
  <c r="W92" i="7" s="1"/>
  <c r="S93" i="7"/>
  <c r="T93" i="7" s="1"/>
  <c r="AA95" i="7"/>
  <c r="D95" i="7"/>
  <c r="B95" i="2"/>
  <c r="A96" i="9"/>
  <c r="B95" i="9"/>
  <c r="C95" i="9" s="1"/>
  <c r="J95" i="9"/>
  <c r="K95" i="9" s="1"/>
  <c r="I94" i="8" l="1"/>
  <c r="L94" i="8" s="1"/>
  <c r="M94" i="8" s="1"/>
  <c r="N94" i="8" s="1"/>
  <c r="AB95" i="9"/>
  <c r="AF95" i="9"/>
  <c r="I95" i="2"/>
  <c r="D95" i="9"/>
  <c r="AE95" i="9"/>
  <c r="AA95" i="9"/>
  <c r="G95" i="7"/>
  <c r="F95" i="7"/>
  <c r="E95" i="7"/>
  <c r="P95" i="7"/>
  <c r="O95" i="7"/>
  <c r="R95" i="7"/>
  <c r="Q95" i="7"/>
  <c r="H95" i="7"/>
  <c r="AC94" i="7"/>
  <c r="D94" i="2"/>
  <c r="E94" i="2" s="1"/>
  <c r="U94" i="7"/>
  <c r="W94" i="7" s="1"/>
  <c r="S93" i="9"/>
  <c r="T93" i="9" s="1"/>
  <c r="AB96" i="7"/>
  <c r="C96" i="2"/>
  <c r="F94" i="9"/>
  <c r="O94" i="9"/>
  <c r="H94" i="9"/>
  <c r="Q94" i="9"/>
  <c r="P94" i="9"/>
  <c r="G94" i="9"/>
  <c r="R94" i="9"/>
  <c r="E94" i="9"/>
  <c r="A97" i="9"/>
  <c r="B96" i="9"/>
  <c r="C96" i="9" s="1"/>
  <c r="J96" i="9"/>
  <c r="K96" i="9" s="1"/>
  <c r="AC93" i="7"/>
  <c r="D93" i="2"/>
  <c r="E93" i="2" s="1"/>
  <c r="U93" i="7"/>
  <c r="W93" i="7" s="1"/>
  <c r="I93" i="9"/>
  <c r="L93" i="9" s="1"/>
  <c r="M93" i="9" s="1"/>
  <c r="N93" i="9" s="1"/>
  <c r="AC93" i="8"/>
  <c r="G93" i="2"/>
  <c r="H93" i="2" s="1"/>
  <c r="U93" i="8"/>
  <c r="W93" i="8" s="1"/>
  <c r="B97" i="8"/>
  <c r="C97" i="8" s="1"/>
  <c r="J97" i="8"/>
  <c r="K97" i="8" s="1"/>
  <c r="A98" i="8"/>
  <c r="AB96" i="8"/>
  <c r="F96" i="2"/>
  <c r="B97" i="7"/>
  <c r="C97" i="7" s="1"/>
  <c r="J97" i="7"/>
  <c r="K97" i="7" s="1"/>
  <c r="A97" i="2"/>
  <c r="A98" i="7"/>
  <c r="D96" i="8"/>
  <c r="AA96" i="8"/>
  <c r="AA96" i="7"/>
  <c r="D96" i="7"/>
  <c r="B96" i="2"/>
  <c r="S94" i="8"/>
  <c r="T94" i="8" s="1"/>
  <c r="R95" i="8"/>
  <c r="Q95" i="8"/>
  <c r="P95" i="8"/>
  <c r="G95" i="8"/>
  <c r="O95" i="8"/>
  <c r="S95" i="8" s="1"/>
  <c r="T95" i="8" s="1"/>
  <c r="H95" i="8"/>
  <c r="E95" i="8"/>
  <c r="F95" i="8"/>
  <c r="I94" i="9" l="1"/>
  <c r="L94" i="9" s="1"/>
  <c r="M94" i="9" s="1"/>
  <c r="N94" i="9" s="1"/>
  <c r="AB97" i="8"/>
  <c r="F97" i="2"/>
  <c r="G95" i="2"/>
  <c r="H95" i="2" s="1"/>
  <c r="AC95" i="8"/>
  <c r="U95" i="8"/>
  <c r="W95" i="8" s="1"/>
  <c r="AC94" i="8"/>
  <c r="G94" i="2"/>
  <c r="H94" i="2" s="1"/>
  <c r="U94" i="8"/>
  <c r="W94" i="8" s="1"/>
  <c r="I95" i="7"/>
  <c r="L95" i="7" s="1"/>
  <c r="M95" i="7" s="1"/>
  <c r="N95" i="7" s="1"/>
  <c r="Q96" i="8"/>
  <c r="P96" i="8"/>
  <c r="O96" i="8"/>
  <c r="E96" i="8"/>
  <c r="R96" i="8"/>
  <c r="F96" i="8"/>
  <c r="H96" i="8"/>
  <c r="G96" i="8"/>
  <c r="O95" i="9"/>
  <c r="Q95" i="9"/>
  <c r="P95" i="9"/>
  <c r="R95" i="9"/>
  <c r="E95" i="9"/>
  <c r="G95" i="9"/>
  <c r="F95" i="9"/>
  <c r="H95" i="9"/>
  <c r="C97" i="2"/>
  <c r="AB97" i="7"/>
  <c r="AA97" i="7"/>
  <c r="D97" i="7"/>
  <c r="B97" i="2"/>
  <c r="D97" i="8"/>
  <c r="AA97" i="8"/>
  <c r="AF96" i="9"/>
  <c r="AB96" i="9"/>
  <c r="I96" i="2"/>
  <c r="D96" i="9"/>
  <c r="AA96" i="9"/>
  <c r="AE96" i="9"/>
  <c r="B98" i="7"/>
  <c r="C98" i="7" s="1"/>
  <c r="A99" i="7"/>
  <c r="J98" i="7"/>
  <c r="K98" i="7" s="1"/>
  <c r="A98" i="2"/>
  <c r="S94" i="9"/>
  <c r="T94" i="9" s="1"/>
  <c r="J98" i="8"/>
  <c r="K98" i="8" s="1"/>
  <c r="A99" i="8"/>
  <c r="B98" i="8"/>
  <c r="C98" i="8" s="1"/>
  <c r="I95" i="8"/>
  <c r="L95" i="8" s="1"/>
  <c r="M95" i="8" s="1"/>
  <c r="N95" i="8" s="1"/>
  <c r="AG93" i="9"/>
  <c r="J93" i="2"/>
  <c r="K93" i="2" s="1"/>
  <c r="AC93" i="9"/>
  <c r="U93" i="9"/>
  <c r="W93" i="9" s="1"/>
  <c r="S95" i="7"/>
  <c r="T95" i="7" s="1"/>
  <c r="R96" i="7"/>
  <c r="O96" i="7"/>
  <c r="Q96" i="7"/>
  <c r="P96" i="7"/>
  <c r="G96" i="7"/>
  <c r="F96" i="7"/>
  <c r="E96" i="7"/>
  <c r="H96" i="7"/>
  <c r="J97" i="9"/>
  <c r="K97" i="9" s="1"/>
  <c r="A98" i="9"/>
  <c r="B97" i="9"/>
  <c r="C97" i="9" s="1"/>
  <c r="I95" i="9" l="1"/>
  <c r="L95" i="9" s="1"/>
  <c r="M95" i="9" s="1"/>
  <c r="N95" i="9" s="1"/>
  <c r="AE97" i="9"/>
  <c r="AA97" i="9"/>
  <c r="D97" i="9"/>
  <c r="AB98" i="7"/>
  <c r="C98" i="2"/>
  <c r="A99" i="9"/>
  <c r="B98" i="9"/>
  <c r="C98" i="9" s="1"/>
  <c r="J98" i="9"/>
  <c r="K98" i="9" s="1"/>
  <c r="I96" i="7"/>
  <c r="L96" i="7" s="1"/>
  <c r="M96" i="7" s="1"/>
  <c r="N96" i="7" s="1"/>
  <c r="I96" i="8"/>
  <c r="L96" i="8" s="1"/>
  <c r="M96" i="8" s="1"/>
  <c r="N96" i="8" s="1"/>
  <c r="AC95" i="7"/>
  <c r="D95" i="2"/>
  <c r="E95" i="2" s="1"/>
  <c r="U95" i="7"/>
  <c r="W95" i="7" s="1"/>
  <c r="F98" i="2"/>
  <c r="AB98" i="8"/>
  <c r="B99" i="7"/>
  <c r="C99" i="7" s="1"/>
  <c r="J99" i="7"/>
  <c r="K99" i="7" s="1"/>
  <c r="A100" i="7"/>
  <c r="A99" i="2"/>
  <c r="AF97" i="9"/>
  <c r="I97" i="2"/>
  <c r="AB97" i="9"/>
  <c r="AA98" i="7"/>
  <c r="D98" i="7"/>
  <c r="B98" i="2"/>
  <c r="S95" i="9"/>
  <c r="T95" i="9" s="1"/>
  <c r="O96" i="9"/>
  <c r="R96" i="9"/>
  <c r="Q96" i="9"/>
  <c r="F96" i="9"/>
  <c r="E96" i="9"/>
  <c r="P96" i="9"/>
  <c r="H96" i="9"/>
  <c r="G96" i="9"/>
  <c r="S96" i="7"/>
  <c r="T96" i="7" s="1"/>
  <c r="P97" i="8"/>
  <c r="O97" i="8"/>
  <c r="E97" i="8"/>
  <c r="G97" i="8"/>
  <c r="F97" i="8"/>
  <c r="Q97" i="8"/>
  <c r="H97" i="8"/>
  <c r="R97" i="8"/>
  <c r="AC94" i="9"/>
  <c r="AG94" i="9"/>
  <c r="J94" i="2"/>
  <c r="K94" i="2" s="1"/>
  <c r="U94" i="9"/>
  <c r="W94" i="9" s="1"/>
  <c r="S96" i="8"/>
  <c r="T96" i="8" s="1"/>
  <c r="F97" i="7"/>
  <c r="E97" i="7"/>
  <c r="Q97" i="7"/>
  <c r="P97" i="7"/>
  <c r="O97" i="7"/>
  <c r="R97" i="7"/>
  <c r="H97" i="7"/>
  <c r="G97" i="7"/>
  <c r="AA98" i="8"/>
  <c r="D98" i="8"/>
  <c r="J99" i="8"/>
  <c r="K99" i="8" s="1"/>
  <c r="B99" i="8"/>
  <c r="C99" i="8" s="1"/>
  <c r="A100" i="8"/>
  <c r="S97" i="8" l="1"/>
  <c r="T97" i="8" s="1"/>
  <c r="AB99" i="7"/>
  <c r="C99" i="2"/>
  <c r="J100" i="8"/>
  <c r="K100" i="8" s="1"/>
  <c r="A101" i="8"/>
  <c r="B100" i="8"/>
  <c r="C100" i="8" s="1"/>
  <c r="AA99" i="7"/>
  <c r="B99" i="2"/>
  <c r="D99" i="7"/>
  <c r="AC96" i="8"/>
  <c r="G96" i="2"/>
  <c r="H96" i="2" s="1"/>
  <c r="U96" i="8"/>
  <c r="W96" i="8" s="1"/>
  <c r="A100" i="9"/>
  <c r="J99" i="9"/>
  <c r="K99" i="9" s="1"/>
  <c r="B99" i="9"/>
  <c r="C99" i="9" s="1"/>
  <c r="G97" i="9"/>
  <c r="Q97" i="9"/>
  <c r="P97" i="9"/>
  <c r="E97" i="9"/>
  <c r="R97" i="9"/>
  <c r="H97" i="9"/>
  <c r="O97" i="9"/>
  <c r="F97" i="9"/>
  <c r="I97" i="8"/>
  <c r="L97" i="8" s="1"/>
  <c r="M97" i="8" s="1"/>
  <c r="N97" i="8" s="1"/>
  <c r="AA99" i="8"/>
  <c r="D99" i="8"/>
  <c r="S96" i="9"/>
  <c r="T96" i="9" s="1"/>
  <c r="AG95" i="9"/>
  <c r="AC95" i="9"/>
  <c r="J95" i="2"/>
  <c r="K95" i="2" s="1"/>
  <c r="U95" i="9"/>
  <c r="W95" i="9" s="1"/>
  <c r="B100" i="7"/>
  <c r="C100" i="7" s="1"/>
  <c r="J100" i="7"/>
  <c r="K100" i="7" s="1"/>
  <c r="A101" i="7"/>
  <c r="A100" i="2"/>
  <c r="AC97" i="8"/>
  <c r="G97" i="2"/>
  <c r="H97" i="2" s="1"/>
  <c r="U97" i="8"/>
  <c r="W97" i="8" s="1"/>
  <c r="AB99" i="8"/>
  <c r="F99" i="2"/>
  <c r="AC96" i="7"/>
  <c r="D96" i="2"/>
  <c r="E96" i="2" s="1"/>
  <c r="U96" i="7"/>
  <c r="W96" i="7" s="1"/>
  <c r="O98" i="8"/>
  <c r="F98" i="8"/>
  <c r="E98" i="8"/>
  <c r="R98" i="8"/>
  <c r="Q98" i="8"/>
  <c r="P98" i="8"/>
  <c r="H98" i="8"/>
  <c r="G98" i="8"/>
  <c r="I96" i="9"/>
  <c r="L96" i="9" s="1"/>
  <c r="M96" i="9" s="1"/>
  <c r="N96" i="9" s="1"/>
  <c r="S97" i="7"/>
  <c r="T97" i="7" s="1"/>
  <c r="I97" i="7"/>
  <c r="L97" i="7" s="1"/>
  <c r="M97" i="7" s="1"/>
  <c r="N97" i="7" s="1"/>
  <c r="AF98" i="9"/>
  <c r="AB98" i="9"/>
  <c r="I98" i="2"/>
  <c r="AE98" i="9"/>
  <c r="AA98" i="9"/>
  <c r="D98" i="9"/>
  <c r="H98" i="7"/>
  <c r="G98" i="7"/>
  <c r="F98" i="7"/>
  <c r="Q98" i="7"/>
  <c r="R98" i="7"/>
  <c r="O98" i="7"/>
  <c r="P98" i="7"/>
  <c r="E98" i="7"/>
  <c r="I97" i="9" l="1"/>
  <c r="L97" i="9" s="1"/>
  <c r="M97" i="9" s="1"/>
  <c r="N97" i="9" s="1"/>
  <c r="AF99" i="9"/>
  <c r="AB99" i="9"/>
  <c r="I99" i="2"/>
  <c r="B100" i="9"/>
  <c r="C100" i="9" s="1"/>
  <c r="A101" i="9"/>
  <c r="J100" i="9"/>
  <c r="K100" i="9" s="1"/>
  <c r="B101" i="7"/>
  <c r="C101" i="7" s="1"/>
  <c r="J101" i="7"/>
  <c r="K101" i="7" s="1"/>
  <c r="A101" i="2"/>
  <c r="A102" i="7"/>
  <c r="D100" i="7"/>
  <c r="AA100" i="7"/>
  <c r="B100" i="2"/>
  <c r="AC97" i="7"/>
  <c r="D97" i="2"/>
  <c r="E97" i="2" s="1"/>
  <c r="U97" i="7"/>
  <c r="W97" i="7" s="1"/>
  <c r="H99" i="7"/>
  <c r="R99" i="7"/>
  <c r="O99" i="7"/>
  <c r="G99" i="7"/>
  <c r="E99" i="7"/>
  <c r="Q99" i="7"/>
  <c r="F99" i="7"/>
  <c r="P99" i="7"/>
  <c r="D100" i="8"/>
  <c r="AA100" i="8"/>
  <c r="H99" i="8"/>
  <c r="G99" i="8"/>
  <c r="F99" i="8"/>
  <c r="E99" i="8"/>
  <c r="I99" i="8" s="1"/>
  <c r="L99" i="8" s="1"/>
  <c r="M99" i="8" s="1"/>
  <c r="N99" i="8" s="1"/>
  <c r="Q99" i="8"/>
  <c r="P99" i="8"/>
  <c r="R99" i="8"/>
  <c r="O99" i="8"/>
  <c r="S99" i="8" s="1"/>
  <c r="T99" i="8" s="1"/>
  <c r="I98" i="8"/>
  <c r="L98" i="8" s="1"/>
  <c r="M98" i="8" s="1"/>
  <c r="N98" i="8" s="1"/>
  <c r="G98" i="9"/>
  <c r="O98" i="9"/>
  <c r="R98" i="9"/>
  <c r="E98" i="9"/>
  <c r="H98" i="9"/>
  <c r="F98" i="9"/>
  <c r="P98" i="9"/>
  <c r="Q98" i="9"/>
  <c r="J101" i="8"/>
  <c r="K101" i="8" s="1"/>
  <c r="A102" i="8"/>
  <c r="B101" i="8"/>
  <c r="C101" i="8" s="1"/>
  <c r="I98" i="7"/>
  <c r="L98" i="7" s="1"/>
  <c r="M98" i="7" s="1"/>
  <c r="N98" i="7" s="1"/>
  <c r="S98" i="8"/>
  <c r="T98" i="8" s="1"/>
  <c r="S97" i="9"/>
  <c r="T97" i="9" s="1"/>
  <c r="AA99" i="9"/>
  <c r="AE99" i="9"/>
  <c r="D99" i="9"/>
  <c r="AB100" i="7"/>
  <c r="C100" i="2"/>
  <c r="AG96" i="9"/>
  <c r="AC96" i="9"/>
  <c r="J96" i="2"/>
  <c r="K96" i="2" s="1"/>
  <c r="U96" i="9"/>
  <c r="W96" i="9" s="1"/>
  <c r="AB100" i="8"/>
  <c r="F100" i="2"/>
  <c r="S98" i="7"/>
  <c r="T98" i="7" s="1"/>
  <c r="I99" i="7" l="1"/>
  <c r="L99" i="7" s="1"/>
  <c r="M99" i="7" s="1"/>
  <c r="N99" i="7" s="1"/>
  <c r="S99" i="7"/>
  <c r="T99" i="7" s="1"/>
  <c r="AC98" i="7"/>
  <c r="D98" i="2"/>
  <c r="E98" i="2" s="1"/>
  <c r="U98" i="7"/>
  <c r="W98" i="7" s="1"/>
  <c r="I98" i="9"/>
  <c r="L98" i="9" s="1"/>
  <c r="M98" i="9" s="1"/>
  <c r="N98" i="9" s="1"/>
  <c r="E100" i="7"/>
  <c r="R100" i="7"/>
  <c r="Q100" i="7"/>
  <c r="G100" i="7"/>
  <c r="P100" i="7"/>
  <c r="O100" i="7"/>
  <c r="H100" i="7"/>
  <c r="F100" i="7"/>
  <c r="B102" i="7"/>
  <c r="C102" i="7" s="1"/>
  <c r="A102" i="2"/>
  <c r="A103" i="7"/>
  <c r="J102" i="7"/>
  <c r="K102" i="7" s="1"/>
  <c r="AF100" i="9"/>
  <c r="AB100" i="9"/>
  <c r="I100" i="2"/>
  <c r="O100" i="8"/>
  <c r="S100" i="8" s="1"/>
  <c r="T100" i="8" s="1"/>
  <c r="R100" i="8"/>
  <c r="F100" i="8"/>
  <c r="E100" i="8"/>
  <c r="H100" i="8"/>
  <c r="G100" i="8"/>
  <c r="P100" i="8"/>
  <c r="Q100" i="8"/>
  <c r="S98" i="9"/>
  <c r="T98" i="9" s="1"/>
  <c r="AG97" i="9"/>
  <c r="AC97" i="9"/>
  <c r="J97" i="2"/>
  <c r="K97" i="2" s="1"/>
  <c r="U97" i="9"/>
  <c r="W97" i="9" s="1"/>
  <c r="G98" i="2"/>
  <c r="H98" i="2" s="1"/>
  <c r="AC98" i="8"/>
  <c r="U98" i="8"/>
  <c r="W98" i="8" s="1"/>
  <c r="D101" i="8"/>
  <c r="AA101" i="8"/>
  <c r="J102" i="8"/>
  <c r="K102" i="8" s="1"/>
  <c r="B102" i="8"/>
  <c r="C102" i="8" s="1"/>
  <c r="A103" i="8"/>
  <c r="D99" i="2"/>
  <c r="E99" i="2" s="1"/>
  <c r="AC99" i="7"/>
  <c r="U99" i="7"/>
  <c r="W99" i="7" s="1"/>
  <c r="AC99" i="8"/>
  <c r="G99" i="2"/>
  <c r="H99" i="2" s="1"/>
  <c r="U99" i="8"/>
  <c r="W99" i="8" s="1"/>
  <c r="AB101" i="7"/>
  <c r="C101" i="2"/>
  <c r="D101" i="7"/>
  <c r="AA101" i="7"/>
  <c r="B101" i="2"/>
  <c r="Q99" i="9"/>
  <c r="E99" i="9"/>
  <c r="H99" i="9"/>
  <c r="G99" i="9"/>
  <c r="F99" i="9"/>
  <c r="R99" i="9"/>
  <c r="P99" i="9"/>
  <c r="O99" i="9"/>
  <c r="S99" i="9" s="1"/>
  <c r="T99" i="9" s="1"/>
  <c r="J101" i="9"/>
  <c r="K101" i="9" s="1"/>
  <c r="B101" i="9"/>
  <c r="C101" i="9" s="1"/>
  <c r="A102" i="9"/>
  <c r="AA100" i="9"/>
  <c r="AE100" i="9"/>
  <c r="D100" i="9"/>
  <c r="AB101" i="8"/>
  <c r="F101" i="2"/>
  <c r="H100" i="9" l="1"/>
  <c r="G100" i="9"/>
  <c r="F100" i="9"/>
  <c r="E100" i="9"/>
  <c r="I100" i="9" s="1"/>
  <c r="L100" i="9" s="1"/>
  <c r="M100" i="9" s="1"/>
  <c r="N100" i="9" s="1"/>
  <c r="R100" i="9"/>
  <c r="Q100" i="9"/>
  <c r="O100" i="9"/>
  <c r="P100" i="9"/>
  <c r="A103" i="9"/>
  <c r="J102" i="9"/>
  <c r="K102" i="9" s="1"/>
  <c r="B102" i="9"/>
  <c r="C102" i="9" s="1"/>
  <c r="J103" i="8"/>
  <c r="K103" i="8" s="1"/>
  <c r="B103" i="8"/>
  <c r="C103" i="8" s="1"/>
  <c r="A104" i="8"/>
  <c r="AE101" i="9"/>
  <c r="D101" i="9"/>
  <c r="AA101" i="9"/>
  <c r="AB101" i="9"/>
  <c r="AF101" i="9"/>
  <c r="I101" i="2"/>
  <c r="AB102" i="8"/>
  <c r="F102" i="2"/>
  <c r="B102" i="2"/>
  <c r="D102" i="7"/>
  <c r="AA102" i="7"/>
  <c r="S100" i="7"/>
  <c r="T100" i="7" s="1"/>
  <c r="AG98" i="9"/>
  <c r="AC98" i="9"/>
  <c r="J98" i="2"/>
  <c r="K98" i="2" s="1"/>
  <c r="U98" i="9"/>
  <c r="W98" i="9" s="1"/>
  <c r="H101" i="7"/>
  <c r="G101" i="7"/>
  <c r="F101" i="7"/>
  <c r="E101" i="7"/>
  <c r="I101" i="7" s="1"/>
  <c r="L101" i="7" s="1"/>
  <c r="M101" i="7" s="1"/>
  <c r="N101" i="7" s="1"/>
  <c r="R101" i="7"/>
  <c r="Q101" i="7"/>
  <c r="O101" i="7"/>
  <c r="P101" i="7"/>
  <c r="AG99" i="9"/>
  <c r="AC99" i="9"/>
  <c r="J99" i="2"/>
  <c r="K99" i="2" s="1"/>
  <c r="U99" i="9"/>
  <c r="W99" i="9" s="1"/>
  <c r="C102" i="2"/>
  <c r="AB102" i="7"/>
  <c r="I100" i="7"/>
  <c r="L100" i="7" s="1"/>
  <c r="M100" i="7" s="1"/>
  <c r="N100" i="7" s="1"/>
  <c r="I100" i="8"/>
  <c r="L100" i="8" s="1"/>
  <c r="M100" i="8" s="1"/>
  <c r="N100" i="8" s="1"/>
  <c r="AC100" i="8"/>
  <c r="G100" i="2"/>
  <c r="H100" i="2" s="1"/>
  <c r="U100" i="8"/>
  <c r="W100" i="8" s="1"/>
  <c r="D102" i="8"/>
  <c r="AA102" i="8"/>
  <c r="O101" i="8"/>
  <c r="R101" i="8"/>
  <c r="H101" i="8"/>
  <c r="G101" i="8"/>
  <c r="F101" i="8"/>
  <c r="E101" i="8"/>
  <c r="I101" i="8" s="1"/>
  <c r="L101" i="8" s="1"/>
  <c r="M101" i="8" s="1"/>
  <c r="N101" i="8" s="1"/>
  <c r="Q101" i="8"/>
  <c r="P101" i="8"/>
  <c r="B103" i="7"/>
  <c r="C103" i="7" s="1"/>
  <c r="A104" i="7"/>
  <c r="J103" i="7"/>
  <c r="K103" i="7" s="1"/>
  <c r="A103" i="2"/>
  <c r="I99" i="9"/>
  <c r="L99" i="9" s="1"/>
  <c r="M99" i="9" s="1"/>
  <c r="N99" i="9" s="1"/>
  <c r="AB103" i="7" l="1"/>
  <c r="C103" i="2"/>
  <c r="AB103" i="8"/>
  <c r="F103" i="2"/>
  <c r="S101" i="7"/>
  <c r="T101" i="7" s="1"/>
  <c r="A105" i="8"/>
  <c r="B104" i="8"/>
  <c r="C104" i="8" s="1"/>
  <c r="J104" i="8"/>
  <c r="K104" i="8" s="1"/>
  <c r="AB102" i="9"/>
  <c r="AF102" i="9"/>
  <c r="I102" i="2"/>
  <c r="AC100" i="7"/>
  <c r="D100" i="2"/>
  <c r="E100" i="2" s="1"/>
  <c r="U100" i="7"/>
  <c r="W100" i="7" s="1"/>
  <c r="R102" i="7"/>
  <c r="E102" i="7"/>
  <c r="P102" i="7"/>
  <c r="O102" i="7"/>
  <c r="Q102" i="7"/>
  <c r="G102" i="7"/>
  <c r="F102" i="7"/>
  <c r="H102" i="7"/>
  <c r="B104" i="7"/>
  <c r="C104" i="7" s="1"/>
  <c r="A105" i="7"/>
  <c r="J104" i="7"/>
  <c r="K104" i="7" s="1"/>
  <c r="A104" i="2"/>
  <c r="AA103" i="7"/>
  <c r="B103" i="2"/>
  <c r="D103" i="7"/>
  <c r="O101" i="9"/>
  <c r="F101" i="9"/>
  <c r="E101" i="9"/>
  <c r="P101" i="9"/>
  <c r="H101" i="9"/>
  <c r="R101" i="9"/>
  <c r="Q101" i="9"/>
  <c r="G101" i="9"/>
  <c r="AA103" i="8"/>
  <c r="D103" i="8"/>
  <c r="S101" i="8"/>
  <c r="T101" i="8" s="1"/>
  <c r="AA102" i="9"/>
  <c r="AE102" i="9"/>
  <c r="D102" i="9"/>
  <c r="Q102" i="8"/>
  <c r="H102" i="8"/>
  <c r="R102" i="8"/>
  <c r="P102" i="8"/>
  <c r="G102" i="8"/>
  <c r="F102" i="8"/>
  <c r="E102" i="8"/>
  <c r="O102" i="8"/>
  <c r="J103" i="9"/>
  <c r="K103" i="9" s="1"/>
  <c r="A104" i="9"/>
  <c r="B103" i="9"/>
  <c r="C103" i="9" s="1"/>
  <c r="S100" i="9"/>
  <c r="T100" i="9" s="1"/>
  <c r="I102" i="7" l="1"/>
  <c r="L102" i="7" s="1"/>
  <c r="M102" i="7" s="1"/>
  <c r="N102" i="7" s="1"/>
  <c r="S102" i="8"/>
  <c r="T102" i="8" s="1"/>
  <c r="I102" i="8"/>
  <c r="L102" i="8" s="1"/>
  <c r="M102" i="8" s="1"/>
  <c r="N102" i="8" s="1"/>
  <c r="AC101" i="8"/>
  <c r="G101" i="2"/>
  <c r="H101" i="2" s="1"/>
  <c r="U101" i="8"/>
  <c r="W101" i="8" s="1"/>
  <c r="H103" i="8"/>
  <c r="F103" i="8"/>
  <c r="Q103" i="8"/>
  <c r="P103" i="8"/>
  <c r="G103" i="8"/>
  <c r="E103" i="8"/>
  <c r="I103" i="8" s="1"/>
  <c r="L103" i="8" s="1"/>
  <c r="M103" i="8" s="1"/>
  <c r="N103" i="8" s="1"/>
  <c r="O103" i="8"/>
  <c r="R103" i="8"/>
  <c r="AA103" i="9"/>
  <c r="AE103" i="9"/>
  <c r="D103" i="9"/>
  <c r="AC102" i="8"/>
  <c r="G102" i="2"/>
  <c r="H102" i="2" s="1"/>
  <c r="U102" i="8"/>
  <c r="W102" i="8" s="1"/>
  <c r="B105" i="8"/>
  <c r="C105" i="8" s="1"/>
  <c r="J105" i="8"/>
  <c r="K105" i="8" s="1"/>
  <c r="A106" i="8"/>
  <c r="D101" i="2"/>
  <c r="E101" i="2" s="1"/>
  <c r="AC101" i="7"/>
  <c r="U101" i="7"/>
  <c r="W101" i="7" s="1"/>
  <c r="AB104" i="7"/>
  <c r="C104" i="2"/>
  <c r="S101" i="9"/>
  <c r="T101" i="9" s="1"/>
  <c r="B104" i="9"/>
  <c r="C104" i="9" s="1"/>
  <c r="A105" i="9"/>
  <c r="J104" i="9"/>
  <c r="K104" i="9" s="1"/>
  <c r="Q103" i="7"/>
  <c r="F103" i="7"/>
  <c r="R103" i="7"/>
  <c r="P103" i="7"/>
  <c r="H103" i="7"/>
  <c r="G103" i="7"/>
  <c r="E103" i="7"/>
  <c r="I103" i="7" s="1"/>
  <c r="L103" i="7" s="1"/>
  <c r="M103" i="7" s="1"/>
  <c r="N103" i="7" s="1"/>
  <c r="O103" i="7"/>
  <c r="S103" i="7" s="1"/>
  <c r="T103" i="7" s="1"/>
  <c r="AB104" i="8"/>
  <c r="F104" i="2"/>
  <c r="AB103" i="9"/>
  <c r="AF103" i="9"/>
  <c r="I103" i="2"/>
  <c r="AA104" i="8"/>
  <c r="D104" i="8"/>
  <c r="O102" i="9"/>
  <c r="G102" i="9"/>
  <c r="H102" i="9"/>
  <c r="F102" i="9"/>
  <c r="E102" i="9"/>
  <c r="P102" i="9"/>
  <c r="R102" i="9"/>
  <c r="Q102" i="9"/>
  <c r="I101" i="9"/>
  <c r="L101" i="9" s="1"/>
  <c r="M101" i="9" s="1"/>
  <c r="N101" i="9" s="1"/>
  <c r="AC100" i="9"/>
  <c r="J100" i="2"/>
  <c r="K100" i="2" s="1"/>
  <c r="AG100" i="9"/>
  <c r="U100" i="9"/>
  <c r="W100" i="9" s="1"/>
  <c r="B105" i="7"/>
  <c r="C105" i="7" s="1"/>
  <c r="J105" i="7"/>
  <c r="K105" i="7" s="1"/>
  <c r="A105" i="2"/>
  <c r="A106" i="7"/>
  <c r="D104" i="7"/>
  <c r="AA104" i="7"/>
  <c r="B104" i="2"/>
  <c r="S102" i="7"/>
  <c r="T102" i="7" s="1"/>
  <c r="I102" i="9" l="1"/>
  <c r="L102" i="9" s="1"/>
  <c r="M102" i="9" s="1"/>
  <c r="N102" i="9" s="1"/>
  <c r="D103" i="2"/>
  <c r="E103" i="2" s="1"/>
  <c r="AC103" i="7"/>
  <c r="U103" i="7"/>
  <c r="W103" i="7" s="1"/>
  <c r="D104" i="9"/>
  <c r="AA104" i="9"/>
  <c r="AE104" i="9"/>
  <c r="S102" i="9"/>
  <c r="T102" i="9" s="1"/>
  <c r="H104" i="8"/>
  <c r="G104" i="8"/>
  <c r="F104" i="8"/>
  <c r="R104" i="8"/>
  <c r="Q104" i="8"/>
  <c r="O104" i="8"/>
  <c r="P104" i="8"/>
  <c r="E104" i="8"/>
  <c r="I104" i="8" s="1"/>
  <c r="L104" i="8" s="1"/>
  <c r="M104" i="8" s="1"/>
  <c r="N104" i="8" s="1"/>
  <c r="P104" i="7"/>
  <c r="G104" i="7"/>
  <c r="F104" i="7"/>
  <c r="E104" i="7"/>
  <c r="O104" i="7"/>
  <c r="H104" i="7"/>
  <c r="R104" i="7"/>
  <c r="Q104" i="7"/>
  <c r="B106" i="7"/>
  <c r="C106" i="7" s="1"/>
  <c r="A107" i="7"/>
  <c r="J106" i="7"/>
  <c r="K106" i="7" s="1"/>
  <c r="A106" i="2"/>
  <c r="F105" i="2"/>
  <c r="AB105" i="8"/>
  <c r="AA105" i="8"/>
  <c r="D105" i="8"/>
  <c r="AA105" i="7"/>
  <c r="D105" i="7"/>
  <c r="B105" i="2"/>
  <c r="A106" i="9"/>
  <c r="B105" i="9"/>
  <c r="C105" i="9" s="1"/>
  <c r="J105" i="9"/>
  <c r="K105" i="9" s="1"/>
  <c r="AC102" i="7"/>
  <c r="D102" i="2"/>
  <c r="E102" i="2" s="1"/>
  <c r="U102" i="7"/>
  <c r="W102" i="7" s="1"/>
  <c r="B106" i="8"/>
  <c r="C106" i="8" s="1"/>
  <c r="A107" i="8"/>
  <c r="J106" i="8"/>
  <c r="K106" i="8" s="1"/>
  <c r="AB105" i="7"/>
  <c r="C105" i="2"/>
  <c r="G103" i="9"/>
  <c r="E103" i="9"/>
  <c r="H103" i="9"/>
  <c r="R103" i="9"/>
  <c r="Q103" i="9"/>
  <c r="P103" i="9"/>
  <c r="O103" i="9"/>
  <c r="S103" i="9" s="1"/>
  <c r="T103" i="9" s="1"/>
  <c r="F103" i="9"/>
  <c r="S103" i="8"/>
  <c r="T103" i="8" s="1"/>
  <c r="AF104" i="9"/>
  <c r="I104" i="2"/>
  <c r="AB104" i="9"/>
  <c r="AC101" i="9"/>
  <c r="AG101" i="9"/>
  <c r="J101" i="2"/>
  <c r="K101" i="2" s="1"/>
  <c r="U101" i="9"/>
  <c r="W101" i="9" s="1"/>
  <c r="AB106" i="8" l="1"/>
  <c r="F106" i="2"/>
  <c r="S104" i="7"/>
  <c r="T104" i="7" s="1"/>
  <c r="AF105" i="9"/>
  <c r="AB105" i="9"/>
  <c r="I105" i="2"/>
  <c r="AA105" i="9"/>
  <c r="D105" i="9"/>
  <c r="AE105" i="9"/>
  <c r="H105" i="8"/>
  <c r="G105" i="8"/>
  <c r="F105" i="8"/>
  <c r="O105" i="8"/>
  <c r="Q105" i="8"/>
  <c r="P105" i="8"/>
  <c r="R105" i="8"/>
  <c r="E105" i="8"/>
  <c r="I105" i="8" s="1"/>
  <c r="L105" i="8" s="1"/>
  <c r="M105" i="8" s="1"/>
  <c r="N105" i="8" s="1"/>
  <c r="G104" i="9"/>
  <c r="O104" i="9"/>
  <c r="F104" i="9"/>
  <c r="E104" i="9"/>
  <c r="Q104" i="9"/>
  <c r="H104" i="9"/>
  <c r="R104" i="9"/>
  <c r="P104" i="9"/>
  <c r="AA106" i="7"/>
  <c r="D106" i="7"/>
  <c r="B106" i="2"/>
  <c r="AA106" i="8"/>
  <c r="D106" i="8"/>
  <c r="A107" i="9"/>
  <c r="J106" i="9"/>
  <c r="K106" i="9" s="1"/>
  <c r="B106" i="9"/>
  <c r="C106" i="9" s="1"/>
  <c r="O105" i="7"/>
  <c r="H105" i="7"/>
  <c r="E105" i="7"/>
  <c r="P105" i="7"/>
  <c r="F105" i="7"/>
  <c r="G105" i="7"/>
  <c r="Q105" i="7"/>
  <c r="R105" i="7"/>
  <c r="I103" i="9"/>
  <c r="L103" i="9" s="1"/>
  <c r="M103" i="9" s="1"/>
  <c r="N103" i="9" s="1"/>
  <c r="J107" i="8"/>
  <c r="K107" i="8" s="1"/>
  <c r="B107" i="8"/>
  <c r="C107" i="8" s="1"/>
  <c r="A108" i="8"/>
  <c r="I104" i="7"/>
  <c r="L104" i="7" s="1"/>
  <c r="M104" i="7" s="1"/>
  <c r="N104" i="7" s="1"/>
  <c r="S104" i="8"/>
  <c r="T104" i="8" s="1"/>
  <c r="AC103" i="8"/>
  <c r="G103" i="2"/>
  <c r="H103" i="2" s="1"/>
  <c r="U103" i="8"/>
  <c r="W103" i="8" s="1"/>
  <c r="AC103" i="9"/>
  <c r="AG103" i="9"/>
  <c r="J103" i="2"/>
  <c r="K103" i="2" s="1"/>
  <c r="U103" i="9"/>
  <c r="W103" i="9" s="1"/>
  <c r="AC102" i="9"/>
  <c r="AG102" i="9"/>
  <c r="J102" i="2"/>
  <c r="K102" i="2" s="1"/>
  <c r="U102" i="9"/>
  <c r="W102" i="9" s="1"/>
  <c r="AB106" i="7"/>
  <c r="C106" i="2"/>
  <c r="B107" i="7"/>
  <c r="C107" i="7" s="1"/>
  <c r="J107" i="7"/>
  <c r="K107" i="7" s="1"/>
  <c r="A108" i="7"/>
  <c r="A107" i="2"/>
  <c r="C107" i="2" l="1"/>
  <c r="AB107" i="7"/>
  <c r="S105" i="8"/>
  <c r="T105" i="8" s="1"/>
  <c r="I104" i="9"/>
  <c r="L104" i="9" s="1"/>
  <c r="M104" i="9" s="1"/>
  <c r="N104" i="9" s="1"/>
  <c r="S105" i="7"/>
  <c r="T105" i="7" s="1"/>
  <c r="AA106" i="9"/>
  <c r="AE106" i="9"/>
  <c r="D106" i="9"/>
  <c r="AF106" i="9"/>
  <c r="AB106" i="9"/>
  <c r="I106" i="2"/>
  <c r="R105" i="9"/>
  <c r="Q105" i="9"/>
  <c r="P105" i="9"/>
  <c r="O105" i="9"/>
  <c r="S105" i="9" s="1"/>
  <c r="T105" i="9" s="1"/>
  <c r="G105" i="9"/>
  <c r="F105" i="9"/>
  <c r="E105" i="9"/>
  <c r="H105" i="9"/>
  <c r="G106" i="8"/>
  <c r="F106" i="8"/>
  <c r="E106" i="8"/>
  <c r="R106" i="8"/>
  <c r="H106" i="8"/>
  <c r="Q106" i="8"/>
  <c r="P106" i="8"/>
  <c r="O106" i="8"/>
  <c r="H106" i="7"/>
  <c r="R106" i="7"/>
  <c r="Q106" i="7"/>
  <c r="P106" i="7"/>
  <c r="O106" i="7"/>
  <c r="S106" i="7" s="1"/>
  <c r="T106" i="7" s="1"/>
  <c r="E106" i="7"/>
  <c r="G106" i="7"/>
  <c r="F106" i="7"/>
  <c r="AC104" i="8"/>
  <c r="G104" i="2"/>
  <c r="H104" i="2" s="1"/>
  <c r="U104" i="8"/>
  <c r="W104" i="8" s="1"/>
  <c r="AB107" i="8"/>
  <c r="F107" i="2"/>
  <c r="B108" i="7"/>
  <c r="C108" i="7" s="1"/>
  <c r="J108" i="7"/>
  <c r="K108" i="7" s="1"/>
  <c r="A109" i="7"/>
  <c r="A108" i="2"/>
  <c r="AA107" i="7"/>
  <c r="D107" i="7"/>
  <c r="B107" i="2"/>
  <c r="I105" i="7"/>
  <c r="L105" i="7" s="1"/>
  <c r="M105" i="7" s="1"/>
  <c r="N105" i="7" s="1"/>
  <c r="A108" i="9"/>
  <c r="B107" i="9"/>
  <c r="C107" i="9" s="1"/>
  <c r="J107" i="9"/>
  <c r="K107" i="9" s="1"/>
  <c r="D104" i="2"/>
  <c r="E104" i="2" s="1"/>
  <c r="AC104" i="7"/>
  <c r="U104" i="7"/>
  <c r="W104" i="7" s="1"/>
  <c r="B108" i="8"/>
  <c r="C108" i="8" s="1"/>
  <c r="A109" i="8"/>
  <c r="J108" i="8"/>
  <c r="K108" i="8" s="1"/>
  <c r="D107" i="8"/>
  <c r="AA107" i="8"/>
  <c r="S104" i="9"/>
  <c r="T104" i="9" s="1"/>
  <c r="I105" i="9" l="1"/>
  <c r="L105" i="9" s="1"/>
  <c r="M105" i="9" s="1"/>
  <c r="N105" i="9" s="1"/>
  <c r="S106" i="8"/>
  <c r="T106" i="8" s="1"/>
  <c r="F107" i="8"/>
  <c r="E107" i="8"/>
  <c r="H107" i="8"/>
  <c r="G107" i="8"/>
  <c r="R107" i="8"/>
  <c r="P107" i="8"/>
  <c r="O107" i="8"/>
  <c r="Q107" i="8"/>
  <c r="D108" i="8"/>
  <c r="AA108" i="8"/>
  <c r="AC106" i="7"/>
  <c r="D106" i="2"/>
  <c r="E106" i="2" s="1"/>
  <c r="U106" i="7"/>
  <c r="W106" i="7" s="1"/>
  <c r="AB107" i="9"/>
  <c r="I107" i="2"/>
  <c r="AF107" i="9"/>
  <c r="AC106" i="8"/>
  <c r="G106" i="2"/>
  <c r="H106" i="2" s="1"/>
  <c r="U106" i="8"/>
  <c r="W106" i="8" s="1"/>
  <c r="D105" i="2"/>
  <c r="E105" i="2" s="1"/>
  <c r="AC105" i="7"/>
  <c r="U105" i="7"/>
  <c r="W105" i="7" s="1"/>
  <c r="R107" i="7"/>
  <c r="Q107" i="7"/>
  <c r="P107" i="7"/>
  <c r="H107" i="7"/>
  <c r="F107" i="7"/>
  <c r="E107" i="7"/>
  <c r="O107" i="7"/>
  <c r="S107" i="7" s="1"/>
  <c r="T107" i="7" s="1"/>
  <c r="G107" i="7"/>
  <c r="B109" i="7"/>
  <c r="C109" i="7" s="1"/>
  <c r="A109" i="2"/>
  <c r="A110" i="7"/>
  <c r="J109" i="7"/>
  <c r="K109" i="7" s="1"/>
  <c r="AC104" i="9"/>
  <c r="AG104" i="9"/>
  <c r="J104" i="2"/>
  <c r="K104" i="2" s="1"/>
  <c r="U104" i="9"/>
  <c r="W104" i="9" s="1"/>
  <c r="AB108" i="8"/>
  <c r="F108" i="2"/>
  <c r="R106" i="9"/>
  <c r="G106" i="9"/>
  <c r="O106" i="9"/>
  <c r="H106" i="9"/>
  <c r="Q106" i="9"/>
  <c r="P106" i="9"/>
  <c r="F106" i="9"/>
  <c r="E106" i="9"/>
  <c r="B108" i="9"/>
  <c r="C108" i="9" s="1"/>
  <c r="J108" i="9"/>
  <c r="K108" i="9" s="1"/>
  <c r="A109" i="9"/>
  <c r="G105" i="2"/>
  <c r="H105" i="2" s="1"/>
  <c r="AC105" i="8"/>
  <c r="U105" i="8"/>
  <c r="W105" i="8" s="1"/>
  <c r="AB108" i="7"/>
  <c r="C108" i="2"/>
  <c r="AC105" i="9"/>
  <c r="AG105" i="9"/>
  <c r="J105" i="2"/>
  <c r="K105" i="2" s="1"/>
  <c r="U105" i="9"/>
  <c r="W105" i="9" s="1"/>
  <c r="A110" i="8"/>
  <c r="B109" i="8"/>
  <c r="C109" i="8" s="1"/>
  <c r="J109" i="8"/>
  <c r="K109" i="8" s="1"/>
  <c r="I106" i="7"/>
  <c r="L106" i="7" s="1"/>
  <c r="M106" i="7" s="1"/>
  <c r="N106" i="7" s="1"/>
  <c r="D107" i="9"/>
  <c r="AE107" i="9"/>
  <c r="AA107" i="9"/>
  <c r="I106" i="8"/>
  <c r="L106" i="8" s="1"/>
  <c r="M106" i="8" s="1"/>
  <c r="N106" i="8" s="1"/>
  <c r="D108" i="7"/>
  <c r="AA108" i="7"/>
  <c r="B108" i="2"/>
  <c r="AB109" i="8" l="1"/>
  <c r="F109" i="2"/>
  <c r="D109" i="8"/>
  <c r="AA109" i="8"/>
  <c r="AC107" i="7"/>
  <c r="D107" i="2"/>
  <c r="E107" i="2" s="1"/>
  <c r="U107" i="7"/>
  <c r="W107" i="7" s="1"/>
  <c r="S107" i="8"/>
  <c r="T107" i="8" s="1"/>
  <c r="AA108" i="9"/>
  <c r="D108" i="9"/>
  <c r="AE108" i="9"/>
  <c r="I106" i="9"/>
  <c r="L106" i="9" s="1"/>
  <c r="M106" i="9" s="1"/>
  <c r="N106" i="9" s="1"/>
  <c r="I107" i="8"/>
  <c r="L107" i="8" s="1"/>
  <c r="M107" i="8" s="1"/>
  <c r="N107" i="8" s="1"/>
  <c r="A111" i="8"/>
  <c r="B110" i="8"/>
  <c r="C110" i="8" s="1"/>
  <c r="J110" i="8"/>
  <c r="K110" i="8" s="1"/>
  <c r="AB109" i="7"/>
  <c r="C109" i="2"/>
  <c r="J110" i="7"/>
  <c r="K110" i="7" s="1"/>
  <c r="A110" i="2"/>
  <c r="A111" i="7"/>
  <c r="B110" i="7"/>
  <c r="C110" i="7" s="1"/>
  <c r="AA109" i="7"/>
  <c r="D109" i="7"/>
  <c r="B109" i="2"/>
  <c r="E108" i="8"/>
  <c r="Q108" i="8"/>
  <c r="P108" i="8"/>
  <c r="F108" i="8"/>
  <c r="R108" i="8"/>
  <c r="O108" i="8"/>
  <c r="S108" i="8" s="1"/>
  <c r="T108" i="8" s="1"/>
  <c r="H108" i="8"/>
  <c r="G108" i="8"/>
  <c r="AB108" i="9"/>
  <c r="AF108" i="9"/>
  <c r="I108" i="2"/>
  <c r="E108" i="7"/>
  <c r="O108" i="7"/>
  <c r="Q108" i="7"/>
  <c r="P108" i="7"/>
  <c r="H108" i="7"/>
  <c r="G108" i="7"/>
  <c r="F108" i="7"/>
  <c r="R108" i="7"/>
  <c r="J109" i="9"/>
  <c r="K109" i="9" s="1"/>
  <c r="B109" i="9"/>
  <c r="C109" i="9" s="1"/>
  <c r="A110" i="9"/>
  <c r="I107" i="7"/>
  <c r="L107" i="7" s="1"/>
  <c r="M107" i="7" s="1"/>
  <c r="N107" i="7" s="1"/>
  <c r="O107" i="9"/>
  <c r="R107" i="9"/>
  <c r="Q107" i="9"/>
  <c r="G107" i="9"/>
  <c r="F107" i="9"/>
  <c r="E107" i="9"/>
  <c r="H107" i="9"/>
  <c r="P107" i="9"/>
  <c r="S106" i="9"/>
  <c r="T106" i="9" s="1"/>
  <c r="I108" i="7" l="1"/>
  <c r="L108" i="7" s="1"/>
  <c r="M108" i="7" s="1"/>
  <c r="N108" i="7" s="1"/>
  <c r="A112" i="8"/>
  <c r="B111" i="8"/>
  <c r="C111" i="8" s="1"/>
  <c r="J111" i="8"/>
  <c r="K111" i="8" s="1"/>
  <c r="G107" i="2"/>
  <c r="H107" i="2" s="1"/>
  <c r="AC107" i="8"/>
  <c r="U107" i="8"/>
  <c r="W107" i="8" s="1"/>
  <c r="J110" i="9"/>
  <c r="K110" i="9" s="1"/>
  <c r="A111" i="9"/>
  <c r="B110" i="9"/>
  <c r="C110" i="9" s="1"/>
  <c r="D109" i="9"/>
  <c r="AA109" i="9"/>
  <c r="AE109" i="9"/>
  <c r="E109" i="7"/>
  <c r="P109" i="7"/>
  <c r="H109" i="7"/>
  <c r="G109" i="7"/>
  <c r="F109" i="7"/>
  <c r="R109" i="7"/>
  <c r="Q109" i="7"/>
  <c r="O109" i="7"/>
  <c r="S109" i="7" s="1"/>
  <c r="T109" i="7" s="1"/>
  <c r="G109" i="8"/>
  <c r="Q109" i="8"/>
  <c r="E109" i="8"/>
  <c r="H109" i="8"/>
  <c r="F109" i="8"/>
  <c r="R109" i="8"/>
  <c r="P109" i="8"/>
  <c r="O109" i="8"/>
  <c r="J111" i="7"/>
  <c r="K111" i="7" s="1"/>
  <c r="A112" i="7"/>
  <c r="B111" i="7"/>
  <c r="C111" i="7" s="1"/>
  <c r="A111" i="2"/>
  <c r="S108" i="7"/>
  <c r="T108" i="7" s="1"/>
  <c r="AC108" i="8"/>
  <c r="G108" i="2"/>
  <c r="H108" i="2" s="1"/>
  <c r="U108" i="8"/>
  <c r="W108" i="8" s="1"/>
  <c r="O108" i="9"/>
  <c r="R108" i="9"/>
  <c r="H108" i="9"/>
  <c r="P108" i="9"/>
  <c r="Q108" i="9"/>
  <c r="F108" i="9"/>
  <c r="E108" i="9"/>
  <c r="G108" i="9"/>
  <c r="AB110" i="8"/>
  <c r="F110" i="2"/>
  <c r="AG106" i="9"/>
  <c r="AC106" i="9"/>
  <c r="J106" i="2"/>
  <c r="K106" i="2" s="1"/>
  <c r="U106" i="9"/>
  <c r="W106" i="9" s="1"/>
  <c r="AA110" i="8"/>
  <c r="D110" i="8"/>
  <c r="I107" i="9"/>
  <c r="L107" i="9" s="1"/>
  <c r="M107" i="9" s="1"/>
  <c r="N107" i="9" s="1"/>
  <c r="S107" i="9"/>
  <c r="T107" i="9" s="1"/>
  <c r="I108" i="8"/>
  <c r="L108" i="8" s="1"/>
  <c r="M108" i="8" s="1"/>
  <c r="N108" i="8" s="1"/>
  <c r="AB109" i="9"/>
  <c r="AF109" i="9"/>
  <c r="I109" i="2"/>
  <c r="D110" i="7"/>
  <c r="B110" i="2"/>
  <c r="AA110" i="7"/>
  <c r="AB110" i="7"/>
  <c r="C110" i="2"/>
  <c r="I109" i="7" l="1"/>
  <c r="L109" i="7" s="1"/>
  <c r="M109" i="7" s="1"/>
  <c r="N109" i="7" s="1"/>
  <c r="AC107" i="9"/>
  <c r="AG107" i="9"/>
  <c r="J107" i="2"/>
  <c r="K107" i="2" s="1"/>
  <c r="U107" i="9"/>
  <c r="W107" i="9" s="1"/>
  <c r="AE110" i="9"/>
  <c r="D110" i="9"/>
  <c r="AA110" i="9"/>
  <c r="AF110" i="9"/>
  <c r="AB110" i="9"/>
  <c r="I110" i="2"/>
  <c r="AB111" i="8"/>
  <c r="F111" i="2"/>
  <c r="F110" i="7"/>
  <c r="R110" i="7"/>
  <c r="G110" i="7"/>
  <c r="E110" i="7"/>
  <c r="H110" i="7"/>
  <c r="Q110" i="7"/>
  <c r="P110" i="7"/>
  <c r="O110" i="7"/>
  <c r="E110" i="8"/>
  <c r="P110" i="8"/>
  <c r="R110" i="8"/>
  <c r="H110" i="8"/>
  <c r="G110" i="8"/>
  <c r="F110" i="8"/>
  <c r="Q110" i="8"/>
  <c r="O110" i="8"/>
  <c r="AA111" i="7"/>
  <c r="D111" i="7"/>
  <c r="B111" i="2"/>
  <c r="B111" i="9"/>
  <c r="C111" i="9" s="1"/>
  <c r="J111" i="9"/>
  <c r="K111" i="9" s="1"/>
  <c r="A112" i="9"/>
  <c r="A113" i="7"/>
  <c r="B112" i="7"/>
  <c r="C112" i="7" s="1"/>
  <c r="J112" i="7"/>
  <c r="K112" i="7" s="1"/>
  <c r="A112" i="2"/>
  <c r="AB111" i="7"/>
  <c r="C111" i="2"/>
  <c r="AA111" i="8"/>
  <c r="D111" i="8"/>
  <c r="I109" i="8"/>
  <c r="L109" i="8" s="1"/>
  <c r="M109" i="8" s="1"/>
  <c r="N109" i="8" s="1"/>
  <c r="I108" i="9"/>
  <c r="L108" i="9" s="1"/>
  <c r="M108" i="9" s="1"/>
  <c r="N108" i="9" s="1"/>
  <c r="AC109" i="7"/>
  <c r="D109" i="2"/>
  <c r="E109" i="2" s="1"/>
  <c r="U109" i="7"/>
  <c r="W109" i="7" s="1"/>
  <c r="S108" i="9"/>
  <c r="T108" i="9" s="1"/>
  <c r="AC108" i="7"/>
  <c r="D108" i="2"/>
  <c r="E108" i="2" s="1"/>
  <c r="U108" i="7"/>
  <c r="W108" i="7" s="1"/>
  <c r="G109" i="9"/>
  <c r="R109" i="9"/>
  <c r="Q109" i="9"/>
  <c r="F109" i="9"/>
  <c r="E109" i="9"/>
  <c r="H109" i="9"/>
  <c r="P109" i="9"/>
  <c r="O109" i="9"/>
  <c r="S109" i="9" s="1"/>
  <c r="T109" i="9" s="1"/>
  <c r="S109" i="8"/>
  <c r="T109" i="8" s="1"/>
  <c r="J112" i="8"/>
  <c r="K112" i="8" s="1"/>
  <c r="B112" i="8"/>
  <c r="C112" i="8" s="1"/>
  <c r="A113" i="8"/>
  <c r="S110" i="8" l="1"/>
  <c r="T110" i="8" s="1"/>
  <c r="AB112" i="8"/>
  <c r="F112" i="2"/>
  <c r="AC109" i="9"/>
  <c r="AG109" i="9"/>
  <c r="J109" i="2"/>
  <c r="K109" i="2" s="1"/>
  <c r="U109" i="9"/>
  <c r="W109" i="9" s="1"/>
  <c r="AB112" i="7"/>
  <c r="C112" i="2"/>
  <c r="J113" i="7"/>
  <c r="K113" i="7" s="1"/>
  <c r="A113" i="2"/>
  <c r="B113" i="7"/>
  <c r="C113" i="7" s="1"/>
  <c r="A114" i="7"/>
  <c r="G111" i="7"/>
  <c r="O111" i="7"/>
  <c r="Q111" i="7"/>
  <c r="P111" i="7"/>
  <c r="H111" i="7"/>
  <c r="F111" i="7"/>
  <c r="R111" i="7"/>
  <c r="E111" i="7"/>
  <c r="I111" i="7" s="1"/>
  <c r="L111" i="7" s="1"/>
  <c r="M111" i="7" s="1"/>
  <c r="N111" i="7" s="1"/>
  <c r="G110" i="9"/>
  <c r="R110" i="9"/>
  <c r="Q110" i="9"/>
  <c r="P110" i="9"/>
  <c r="H110" i="9"/>
  <c r="F110" i="9"/>
  <c r="O110" i="9"/>
  <c r="E110" i="9"/>
  <c r="S110" i="7"/>
  <c r="T110" i="7" s="1"/>
  <c r="I110" i="7"/>
  <c r="L110" i="7" s="1"/>
  <c r="M110" i="7" s="1"/>
  <c r="N110" i="7" s="1"/>
  <c r="AA112" i="7"/>
  <c r="D112" i="7"/>
  <c r="B112" i="2"/>
  <c r="AC108" i="9"/>
  <c r="AG108" i="9"/>
  <c r="J108" i="2"/>
  <c r="K108" i="2" s="1"/>
  <c r="U108" i="9"/>
  <c r="W108" i="9" s="1"/>
  <c r="I110" i="8"/>
  <c r="L110" i="8" s="1"/>
  <c r="M110" i="8" s="1"/>
  <c r="N110" i="8" s="1"/>
  <c r="H111" i="8"/>
  <c r="E111" i="8"/>
  <c r="G111" i="8"/>
  <c r="P111" i="8"/>
  <c r="R111" i="8"/>
  <c r="Q111" i="8"/>
  <c r="O111" i="8"/>
  <c r="F111" i="8"/>
  <c r="AA112" i="8"/>
  <c r="D112" i="8"/>
  <c r="AC109" i="8"/>
  <c r="G109" i="2"/>
  <c r="H109" i="2" s="1"/>
  <c r="U109" i="8"/>
  <c r="W109" i="8" s="1"/>
  <c r="I109" i="9"/>
  <c r="L109" i="9" s="1"/>
  <c r="M109" i="9" s="1"/>
  <c r="N109" i="9" s="1"/>
  <c r="J112" i="9"/>
  <c r="K112" i="9" s="1"/>
  <c r="B112" i="9"/>
  <c r="C112" i="9" s="1"/>
  <c r="A113" i="9"/>
  <c r="AF111" i="9"/>
  <c r="AB111" i="9"/>
  <c r="I111" i="2"/>
  <c r="AA111" i="9"/>
  <c r="D111" i="9"/>
  <c r="AE111" i="9"/>
  <c r="AC110" i="8"/>
  <c r="G110" i="2"/>
  <c r="H110" i="2" s="1"/>
  <c r="U110" i="8"/>
  <c r="W110" i="8" s="1"/>
  <c r="J113" i="8"/>
  <c r="K113" i="8" s="1"/>
  <c r="A114" i="8"/>
  <c r="B113" i="8"/>
  <c r="C113" i="8" s="1"/>
  <c r="S110" i="9" l="1"/>
  <c r="T110" i="9" s="1"/>
  <c r="I110" i="9"/>
  <c r="L110" i="9" s="1"/>
  <c r="M110" i="9" s="1"/>
  <c r="N110" i="9" s="1"/>
  <c r="I111" i="8"/>
  <c r="L111" i="8" s="1"/>
  <c r="M111" i="8" s="1"/>
  <c r="N111" i="8" s="1"/>
  <c r="S111" i="7"/>
  <c r="T111" i="7" s="1"/>
  <c r="J114" i="7"/>
  <c r="K114" i="7" s="1"/>
  <c r="A115" i="7"/>
  <c r="B114" i="7"/>
  <c r="C114" i="7" s="1"/>
  <c r="A114" i="2"/>
  <c r="AA113" i="8"/>
  <c r="D113" i="8"/>
  <c r="R112" i="7"/>
  <c r="H112" i="7"/>
  <c r="Q112" i="7"/>
  <c r="P112" i="7"/>
  <c r="O112" i="7"/>
  <c r="S112" i="7" s="1"/>
  <c r="T112" i="7" s="1"/>
  <c r="F112" i="7"/>
  <c r="E112" i="7"/>
  <c r="G112" i="7"/>
  <c r="AG110" i="9"/>
  <c r="AC110" i="9"/>
  <c r="J110" i="2"/>
  <c r="K110" i="2" s="1"/>
  <c r="U110" i="9"/>
  <c r="W110" i="9" s="1"/>
  <c r="J114" i="8"/>
  <c r="K114" i="8" s="1"/>
  <c r="A115" i="8"/>
  <c r="B114" i="8"/>
  <c r="C114" i="8" s="1"/>
  <c r="S111" i="8"/>
  <c r="T111" i="8" s="1"/>
  <c r="Q111" i="9"/>
  <c r="R111" i="9"/>
  <c r="P111" i="9"/>
  <c r="O111" i="9"/>
  <c r="S111" i="9" s="1"/>
  <c r="T111" i="9" s="1"/>
  <c r="F111" i="9"/>
  <c r="E111" i="9"/>
  <c r="H111" i="9"/>
  <c r="G111" i="9"/>
  <c r="AA113" i="7"/>
  <c r="B113" i="2"/>
  <c r="D113" i="7"/>
  <c r="C113" i="2"/>
  <c r="AB113" i="7"/>
  <c r="A114" i="9"/>
  <c r="B113" i="9"/>
  <c r="C113" i="9" s="1"/>
  <c r="J113" i="9"/>
  <c r="K113" i="9" s="1"/>
  <c r="AA112" i="9"/>
  <c r="AE112" i="9"/>
  <c r="D112" i="9"/>
  <c r="AB112" i="9"/>
  <c r="AF112" i="9"/>
  <c r="I112" i="2"/>
  <c r="AC110" i="7"/>
  <c r="D110" i="2"/>
  <c r="E110" i="2" s="1"/>
  <c r="U110" i="7"/>
  <c r="W110" i="7" s="1"/>
  <c r="R112" i="8"/>
  <c r="Q112" i="8"/>
  <c r="P112" i="8"/>
  <c r="O112" i="8"/>
  <c r="S112" i="8" s="1"/>
  <c r="T112" i="8" s="1"/>
  <c r="H112" i="8"/>
  <c r="G112" i="8"/>
  <c r="E112" i="8"/>
  <c r="F112" i="8"/>
  <c r="AB113" i="8"/>
  <c r="F113" i="2"/>
  <c r="AB114" i="8" l="1"/>
  <c r="F114" i="2"/>
  <c r="AC112" i="7"/>
  <c r="D112" i="2"/>
  <c r="E112" i="2" s="1"/>
  <c r="U112" i="7"/>
  <c r="W112" i="7" s="1"/>
  <c r="AC111" i="9"/>
  <c r="J111" i="2"/>
  <c r="K111" i="2" s="1"/>
  <c r="AG111" i="9"/>
  <c r="U111" i="9"/>
  <c r="W111" i="9" s="1"/>
  <c r="AB114" i="7"/>
  <c r="C114" i="2"/>
  <c r="O112" i="9"/>
  <c r="R112" i="9"/>
  <c r="Q112" i="9"/>
  <c r="P112" i="9"/>
  <c r="H112" i="9"/>
  <c r="G112" i="9"/>
  <c r="F112" i="9"/>
  <c r="E112" i="9"/>
  <c r="I112" i="9" s="1"/>
  <c r="L112" i="9" s="1"/>
  <c r="M112" i="9" s="1"/>
  <c r="N112" i="9" s="1"/>
  <c r="AF113" i="9"/>
  <c r="AB113" i="9"/>
  <c r="I113" i="2"/>
  <c r="I112" i="7"/>
  <c r="L112" i="7" s="1"/>
  <c r="M112" i="7" s="1"/>
  <c r="N112" i="7" s="1"/>
  <c r="Q113" i="7"/>
  <c r="G113" i="7"/>
  <c r="E113" i="7"/>
  <c r="R113" i="7"/>
  <c r="F113" i="7"/>
  <c r="H113" i="7"/>
  <c r="P113" i="7"/>
  <c r="O113" i="7"/>
  <c r="I111" i="9"/>
  <c r="L111" i="9" s="1"/>
  <c r="M111" i="9" s="1"/>
  <c r="N111" i="9" s="1"/>
  <c r="AA114" i="7"/>
  <c r="D114" i="7"/>
  <c r="B114" i="2"/>
  <c r="AC111" i="7"/>
  <c r="D111" i="2"/>
  <c r="E111" i="2" s="1"/>
  <c r="U111" i="7"/>
  <c r="W111" i="7" s="1"/>
  <c r="AA114" i="8"/>
  <c r="D114" i="8"/>
  <c r="J115" i="8"/>
  <c r="K115" i="8" s="1"/>
  <c r="B115" i="8"/>
  <c r="C115" i="8" s="1"/>
  <c r="A116" i="8"/>
  <c r="AE113" i="9"/>
  <c r="D113" i="9"/>
  <c r="AA113" i="9"/>
  <c r="A115" i="9"/>
  <c r="B114" i="9"/>
  <c r="C114" i="9" s="1"/>
  <c r="J114" i="9"/>
  <c r="K114" i="9" s="1"/>
  <c r="I112" i="8"/>
  <c r="L112" i="8" s="1"/>
  <c r="M112" i="8" s="1"/>
  <c r="N112" i="8" s="1"/>
  <c r="AC112" i="8"/>
  <c r="G112" i="2"/>
  <c r="H112" i="2" s="1"/>
  <c r="U112" i="8"/>
  <c r="W112" i="8" s="1"/>
  <c r="O113" i="8"/>
  <c r="Q113" i="8"/>
  <c r="P113" i="8"/>
  <c r="E113" i="8"/>
  <c r="H113" i="8"/>
  <c r="G113" i="8"/>
  <c r="R113" i="8"/>
  <c r="F113" i="8"/>
  <c r="B115" i="7"/>
  <c r="C115" i="7" s="1"/>
  <c r="A116" i="7"/>
  <c r="J115" i="7"/>
  <c r="K115" i="7" s="1"/>
  <c r="A115" i="2"/>
  <c r="AC111" i="8"/>
  <c r="G111" i="2"/>
  <c r="H111" i="2" s="1"/>
  <c r="U111" i="8"/>
  <c r="W111" i="8" s="1"/>
  <c r="S113" i="7" l="1"/>
  <c r="T113" i="7" s="1"/>
  <c r="Q114" i="8"/>
  <c r="R114" i="8"/>
  <c r="G114" i="8"/>
  <c r="E114" i="8"/>
  <c r="H114" i="8"/>
  <c r="F114" i="8"/>
  <c r="P114" i="8"/>
  <c r="O114" i="8"/>
  <c r="J115" i="9"/>
  <c r="K115" i="9" s="1"/>
  <c r="B115" i="9"/>
  <c r="C115" i="9" s="1"/>
  <c r="A116" i="9"/>
  <c r="I113" i="8"/>
  <c r="L113" i="8" s="1"/>
  <c r="M113" i="8" s="1"/>
  <c r="N113" i="8" s="1"/>
  <c r="S112" i="9"/>
  <c r="T112" i="9" s="1"/>
  <c r="AC113" i="7"/>
  <c r="D113" i="2"/>
  <c r="E113" i="2" s="1"/>
  <c r="U113" i="7"/>
  <c r="W113" i="7" s="1"/>
  <c r="I113" i="7"/>
  <c r="L113" i="7" s="1"/>
  <c r="M113" i="7" s="1"/>
  <c r="N113" i="7" s="1"/>
  <c r="AA114" i="9"/>
  <c r="AE114" i="9"/>
  <c r="D114" i="9"/>
  <c r="O113" i="9"/>
  <c r="R113" i="9"/>
  <c r="Q113" i="9"/>
  <c r="P113" i="9"/>
  <c r="G113" i="9"/>
  <c r="F113" i="9"/>
  <c r="H113" i="9"/>
  <c r="E113" i="9"/>
  <c r="I113" i="9" s="1"/>
  <c r="L113" i="9" s="1"/>
  <c r="M113" i="9" s="1"/>
  <c r="N113" i="9" s="1"/>
  <c r="A117" i="8"/>
  <c r="J116" i="8"/>
  <c r="K116" i="8" s="1"/>
  <c r="B116" i="8"/>
  <c r="C116" i="8" s="1"/>
  <c r="B116" i="7"/>
  <c r="C116" i="7" s="1"/>
  <c r="J116" i="7"/>
  <c r="K116" i="7" s="1"/>
  <c r="A116" i="2"/>
  <c r="A117" i="7"/>
  <c r="AB115" i="8"/>
  <c r="F115" i="2"/>
  <c r="AA115" i="7"/>
  <c r="B115" i="2"/>
  <c r="D115" i="7"/>
  <c r="P114" i="7"/>
  <c r="F114" i="7"/>
  <c r="G114" i="7"/>
  <c r="E114" i="7"/>
  <c r="I114" i="7" s="1"/>
  <c r="L114" i="7" s="1"/>
  <c r="M114" i="7" s="1"/>
  <c r="N114" i="7" s="1"/>
  <c r="Q114" i="7"/>
  <c r="O114" i="7"/>
  <c r="R114" i="7"/>
  <c r="H114" i="7"/>
  <c r="S113" i="8"/>
  <c r="T113" i="8" s="1"/>
  <c r="AF114" i="9"/>
  <c r="AB114" i="9"/>
  <c r="I114" i="2"/>
  <c r="C115" i="2"/>
  <c r="AB115" i="7"/>
  <c r="AA115" i="8"/>
  <c r="D115" i="8"/>
  <c r="O114" i="9" l="1"/>
  <c r="R114" i="9"/>
  <c r="Q114" i="9"/>
  <c r="P114" i="9"/>
  <c r="H114" i="9"/>
  <c r="G114" i="9"/>
  <c r="F114" i="9"/>
  <c r="E114" i="9"/>
  <c r="I114" i="9" s="1"/>
  <c r="L114" i="9" s="1"/>
  <c r="M114" i="9" s="1"/>
  <c r="N114" i="9" s="1"/>
  <c r="O115" i="7"/>
  <c r="E115" i="7"/>
  <c r="R115" i="7"/>
  <c r="Q115" i="7"/>
  <c r="P115" i="7"/>
  <c r="H115" i="7"/>
  <c r="G115" i="7"/>
  <c r="F115" i="7"/>
  <c r="AG112" i="9"/>
  <c r="AC112" i="9"/>
  <c r="J112" i="2"/>
  <c r="K112" i="2" s="1"/>
  <c r="U112" i="9"/>
  <c r="W112" i="9" s="1"/>
  <c r="A118" i="7"/>
  <c r="A117" i="2"/>
  <c r="B117" i="7"/>
  <c r="C117" i="7" s="1"/>
  <c r="J117" i="7"/>
  <c r="K117" i="7" s="1"/>
  <c r="S114" i="8"/>
  <c r="T114" i="8" s="1"/>
  <c r="AC113" i="8"/>
  <c r="G113" i="2"/>
  <c r="H113" i="2" s="1"/>
  <c r="U113" i="8"/>
  <c r="W113" i="8" s="1"/>
  <c r="I114" i="8"/>
  <c r="L114" i="8" s="1"/>
  <c r="M114" i="8" s="1"/>
  <c r="N114" i="8" s="1"/>
  <c r="S113" i="9"/>
  <c r="T113" i="9" s="1"/>
  <c r="O115" i="8"/>
  <c r="R115" i="8"/>
  <c r="Q115" i="8"/>
  <c r="H115" i="8"/>
  <c r="G115" i="8"/>
  <c r="F115" i="8"/>
  <c r="E115" i="8"/>
  <c r="I115" i="8" s="1"/>
  <c r="L115" i="8" s="1"/>
  <c r="M115" i="8" s="1"/>
  <c r="N115" i="8" s="1"/>
  <c r="P115" i="8"/>
  <c r="B116" i="9"/>
  <c r="C116" i="9" s="1"/>
  <c r="J116" i="9"/>
  <c r="K116" i="9" s="1"/>
  <c r="A117" i="9"/>
  <c r="D116" i="7"/>
  <c r="AA116" i="7"/>
  <c r="B116" i="2"/>
  <c r="D115" i="9"/>
  <c r="AE115" i="9"/>
  <c r="AA115" i="9"/>
  <c r="D116" i="8"/>
  <c r="AA116" i="8"/>
  <c r="AB116" i="8"/>
  <c r="F116" i="2"/>
  <c r="A118" i="8"/>
  <c r="B117" i="8"/>
  <c r="C117" i="8" s="1"/>
  <c r="J117" i="8"/>
  <c r="K117" i="8" s="1"/>
  <c r="S114" i="7"/>
  <c r="T114" i="7" s="1"/>
  <c r="C116" i="2"/>
  <c r="AB116" i="7"/>
  <c r="AB115" i="9"/>
  <c r="AF115" i="9"/>
  <c r="I115" i="2"/>
  <c r="AB117" i="8" l="1"/>
  <c r="F117" i="2"/>
  <c r="S115" i="8"/>
  <c r="T115" i="8" s="1"/>
  <c r="J118" i="8"/>
  <c r="K118" i="8" s="1"/>
  <c r="B118" i="8"/>
  <c r="C118" i="8" s="1"/>
  <c r="A119" i="8"/>
  <c r="AC114" i="8"/>
  <c r="G114" i="2"/>
  <c r="H114" i="2" s="1"/>
  <c r="U114" i="8"/>
  <c r="W114" i="8" s="1"/>
  <c r="D117" i="7"/>
  <c r="B117" i="2"/>
  <c r="AA117" i="7"/>
  <c r="A119" i="7"/>
  <c r="B118" i="7"/>
  <c r="C118" i="7" s="1"/>
  <c r="J118" i="7"/>
  <c r="K118" i="7" s="1"/>
  <c r="A118" i="2"/>
  <c r="J117" i="9"/>
  <c r="K117" i="9" s="1"/>
  <c r="B117" i="9"/>
  <c r="C117" i="9" s="1"/>
  <c r="A118" i="9"/>
  <c r="S115" i="7"/>
  <c r="T115" i="7" s="1"/>
  <c r="AC113" i="9"/>
  <c r="AG113" i="9"/>
  <c r="J113" i="2"/>
  <c r="K113" i="2" s="1"/>
  <c r="U113" i="9"/>
  <c r="W113" i="9" s="1"/>
  <c r="E116" i="8"/>
  <c r="H116" i="8"/>
  <c r="G116" i="8"/>
  <c r="F116" i="8"/>
  <c r="O116" i="8"/>
  <c r="Q116" i="8"/>
  <c r="P116" i="8"/>
  <c r="R116" i="8"/>
  <c r="G115" i="9"/>
  <c r="Q115" i="9"/>
  <c r="P115" i="9"/>
  <c r="O115" i="9"/>
  <c r="H115" i="9"/>
  <c r="R115" i="9"/>
  <c r="F115" i="9"/>
  <c r="E115" i="9"/>
  <c r="I115" i="9" s="1"/>
  <c r="L115" i="9" s="1"/>
  <c r="M115" i="9" s="1"/>
  <c r="N115" i="9" s="1"/>
  <c r="E116" i="7"/>
  <c r="R116" i="7"/>
  <c r="Q116" i="7"/>
  <c r="G116" i="7"/>
  <c r="H116" i="7"/>
  <c r="O116" i="7"/>
  <c r="F116" i="7"/>
  <c r="P116" i="7"/>
  <c r="AF116" i="9"/>
  <c r="AB116" i="9"/>
  <c r="I116" i="2"/>
  <c r="D116" i="9"/>
  <c r="AA116" i="9"/>
  <c r="AE116" i="9"/>
  <c r="AC114" i="7"/>
  <c r="D114" i="2"/>
  <c r="E114" i="2" s="1"/>
  <c r="U114" i="7"/>
  <c r="W114" i="7" s="1"/>
  <c r="I115" i="7"/>
  <c r="L115" i="7" s="1"/>
  <c r="M115" i="7" s="1"/>
  <c r="N115" i="7" s="1"/>
  <c r="AA117" i="8"/>
  <c r="D117" i="8"/>
  <c r="AB117" i="7"/>
  <c r="C117" i="2"/>
  <c r="S114" i="9"/>
  <c r="T114" i="9" s="1"/>
  <c r="I116" i="7" l="1"/>
  <c r="L116" i="7" s="1"/>
  <c r="M116" i="7" s="1"/>
  <c r="N116" i="7" s="1"/>
  <c r="AF117" i="9"/>
  <c r="AB117" i="9"/>
  <c r="I117" i="2"/>
  <c r="R117" i="8"/>
  <c r="P117" i="8"/>
  <c r="H117" i="8"/>
  <c r="G117" i="8"/>
  <c r="F117" i="8"/>
  <c r="E117" i="8"/>
  <c r="I117" i="8" s="1"/>
  <c r="L117" i="8" s="1"/>
  <c r="M117" i="8" s="1"/>
  <c r="N117" i="8" s="1"/>
  <c r="Q117" i="8"/>
  <c r="O117" i="8"/>
  <c r="S117" i="8" s="1"/>
  <c r="T117" i="8" s="1"/>
  <c r="AB118" i="7"/>
  <c r="C118" i="2"/>
  <c r="I116" i="8"/>
  <c r="L116" i="8" s="1"/>
  <c r="M116" i="8" s="1"/>
  <c r="N116" i="8" s="1"/>
  <c r="AG114" i="9"/>
  <c r="AC114" i="9"/>
  <c r="J114" i="2"/>
  <c r="K114" i="2" s="1"/>
  <c r="U114" i="9"/>
  <c r="W114" i="9" s="1"/>
  <c r="AC115" i="7"/>
  <c r="D115" i="2"/>
  <c r="E115" i="2" s="1"/>
  <c r="U115" i="7"/>
  <c r="W115" i="7" s="1"/>
  <c r="B118" i="9"/>
  <c r="C118" i="9" s="1"/>
  <c r="A119" i="9"/>
  <c r="J118" i="9"/>
  <c r="K118" i="9" s="1"/>
  <c r="AA117" i="9"/>
  <c r="AE117" i="9"/>
  <c r="D117" i="9"/>
  <c r="D118" i="7"/>
  <c r="AA118" i="7"/>
  <c r="B118" i="2"/>
  <c r="G116" i="9"/>
  <c r="P116" i="9"/>
  <c r="O116" i="9"/>
  <c r="F116" i="9"/>
  <c r="E116" i="9"/>
  <c r="R116" i="9"/>
  <c r="H116" i="9"/>
  <c r="Q116" i="9"/>
  <c r="S116" i="8"/>
  <c r="T116" i="8" s="1"/>
  <c r="J119" i="8"/>
  <c r="K119" i="8" s="1"/>
  <c r="A120" i="8"/>
  <c r="B119" i="8"/>
  <c r="C119" i="8" s="1"/>
  <c r="D118" i="8"/>
  <c r="AA118" i="8"/>
  <c r="AB118" i="8"/>
  <c r="F118" i="2"/>
  <c r="S115" i="9"/>
  <c r="T115" i="9" s="1"/>
  <c r="J119" i="7"/>
  <c r="K119" i="7" s="1"/>
  <c r="B119" i="7"/>
  <c r="C119" i="7" s="1"/>
  <c r="A119" i="2"/>
  <c r="A120" i="7"/>
  <c r="O117" i="7"/>
  <c r="H117" i="7"/>
  <c r="G117" i="7"/>
  <c r="F117" i="7"/>
  <c r="P117" i="7"/>
  <c r="R117" i="7"/>
  <c r="Q117" i="7"/>
  <c r="E117" i="7"/>
  <c r="I117" i="7" s="1"/>
  <c r="L117" i="7" s="1"/>
  <c r="M117" i="7" s="1"/>
  <c r="N117" i="7" s="1"/>
  <c r="AC115" i="8"/>
  <c r="G115" i="2"/>
  <c r="H115" i="2" s="1"/>
  <c r="U115" i="8"/>
  <c r="W115" i="8" s="1"/>
  <c r="S116" i="7"/>
  <c r="T116" i="7" s="1"/>
  <c r="AC116" i="7" l="1"/>
  <c r="D116" i="2"/>
  <c r="E116" i="2" s="1"/>
  <c r="U116" i="7"/>
  <c r="W116" i="7" s="1"/>
  <c r="J120" i="8"/>
  <c r="K120" i="8" s="1"/>
  <c r="B120" i="8"/>
  <c r="C120" i="8" s="1"/>
  <c r="A121" i="8"/>
  <c r="AB119" i="8"/>
  <c r="F119" i="2"/>
  <c r="AC116" i="8"/>
  <c r="G116" i="2"/>
  <c r="H116" i="2" s="1"/>
  <c r="U116" i="8"/>
  <c r="W116" i="8" s="1"/>
  <c r="J120" i="7"/>
  <c r="K120" i="7" s="1"/>
  <c r="A121" i="7"/>
  <c r="B120" i="7"/>
  <c r="C120" i="7" s="1"/>
  <c r="A120" i="2"/>
  <c r="C119" i="2"/>
  <c r="AB119" i="7"/>
  <c r="AC115" i="9"/>
  <c r="J115" i="2"/>
  <c r="K115" i="2" s="1"/>
  <c r="AG115" i="9"/>
  <c r="U115" i="9"/>
  <c r="W115" i="9" s="1"/>
  <c r="AA118" i="9"/>
  <c r="D118" i="9"/>
  <c r="AE118" i="9"/>
  <c r="AA119" i="8"/>
  <c r="D119" i="8"/>
  <c r="I116" i="9"/>
  <c r="L116" i="9" s="1"/>
  <c r="M116" i="9" s="1"/>
  <c r="N116" i="9" s="1"/>
  <c r="S117" i="7"/>
  <c r="T117" i="7" s="1"/>
  <c r="AF118" i="9"/>
  <c r="AB118" i="9"/>
  <c r="I118" i="2"/>
  <c r="S116" i="9"/>
  <c r="T116" i="9" s="1"/>
  <c r="AC117" i="8"/>
  <c r="G117" i="2"/>
  <c r="H117" i="2" s="1"/>
  <c r="U117" i="8"/>
  <c r="W117" i="8" s="1"/>
  <c r="P118" i="7"/>
  <c r="E118" i="7"/>
  <c r="R118" i="7"/>
  <c r="Q118" i="7"/>
  <c r="H118" i="7"/>
  <c r="O118" i="7"/>
  <c r="G118" i="7"/>
  <c r="F118" i="7"/>
  <c r="B119" i="2"/>
  <c r="AA119" i="7"/>
  <c r="D119" i="7"/>
  <c r="G117" i="9"/>
  <c r="O117" i="9"/>
  <c r="H117" i="9"/>
  <c r="F117" i="9"/>
  <c r="R117" i="9"/>
  <c r="Q117" i="9"/>
  <c r="P117" i="9"/>
  <c r="E117" i="9"/>
  <c r="A120" i="9"/>
  <c r="J119" i="9"/>
  <c r="K119" i="9" s="1"/>
  <c r="B119" i="9"/>
  <c r="C119" i="9" s="1"/>
  <c r="R118" i="8"/>
  <c r="Q118" i="8"/>
  <c r="E118" i="8"/>
  <c r="O118" i="8"/>
  <c r="H118" i="8"/>
  <c r="F118" i="8"/>
  <c r="G118" i="8"/>
  <c r="P118" i="8"/>
  <c r="S118" i="8" l="1"/>
  <c r="T118" i="8" s="1"/>
  <c r="I117" i="9"/>
  <c r="L117" i="9" s="1"/>
  <c r="M117" i="9" s="1"/>
  <c r="N117" i="9" s="1"/>
  <c r="I118" i="8"/>
  <c r="L118" i="8" s="1"/>
  <c r="M118" i="8" s="1"/>
  <c r="N118" i="8" s="1"/>
  <c r="S117" i="9"/>
  <c r="T117" i="9" s="1"/>
  <c r="R119" i="8"/>
  <c r="Q119" i="8"/>
  <c r="P119" i="8"/>
  <c r="H119" i="8"/>
  <c r="O119" i="8"/>
  <c r="G119" i="8"/>
  <c r="F119" i="8"/>
  <c r="E119" i="8"/>
  <c r="I119" i="8" s="1"/>
  <c r="L119" i="8" s="1"/>
  <c r="M119" i="8" s="1"/>
  <c r="N119" i="8" s="1"/>
  <c r="Q119" i="7"/>
  <c r="F119" i="7"/>
  <c r="O119" i="7"/>
  <c r="R119" i="7"/>
  <c r="H119" i="7"/>
  <c r="P119" i="7"/>
  <c r="G119" i="7"/>
  <c r="E119" i="7"/>
  <c r="I119" i="7" s="1"/>
  <c r="L119" i="7" s="1"/>
  <c r="M119" i="7" s="1"/>
  <c r="N119" i="7" s="1"/>
  <c r="B121" i="8"/>
  <c r="C121" i="8" s="1"/>
  <c r="A122" i="8"/>
  <c r="J121" i="8"/>
  <c r="K121" i="8" s="1"/>
  <c r="D120" i="8"/>
  <c r="AA120" i="8"/>
  <c r="E118" i="9"/>
  <c r="R118" i="9"/>
  <c r="Q118" i="9"/>
  <c r="P118" i="9"/>
  <c r="O118" i="9"/>
  <c r="S118" i="9" s="1"/>
  <c r="T118" i="9" s="1"/>
  <c r="F118" i="9"/>
  <c r="G118" i="9"/>
  <c r="H118" i="9"/>
  <c r="AB120" i="8"/>
  <c r="F120" i="2"/>
  <c r="AC118" i="8"/>
  <c r="G118" i="2"/>
  <c r="H118" i="2" s="1"/>
  <c r="U118" i="8"/>
  <c r="W118" i="8" s="1"/>
  <c r="AA119" i="9"/>
  <c r="AE119" i="9"/>
  <c r="D119" i="9"/>
  <c r="AF119" i="9"/>
  <c r="AB119" i="9"/>
  <c r="I119" i="2"/>
  <c r="AB120" i="7"/>
  <c r="C120" i="2"/>
  <c r="I118" i="7"/>
  <c r="L118" i="7" s="1"/>
  <c r="M118" i="7" s="1"/>
  <c r="N118" i="7" s="1"/>
  <c r="AA120" i="7"/>
  <c r="D120" i="7"/>
  <c r="B120" i="2"/>
  <c r="J120" i="9"/>
  <c r="K120" i="9" s="1"/>
  <c r="A121" i="9"/>
  <c r="B120" i="9"/>
  <c r="C120" i="9" s="1"/>
  <c r="J116" i="2"/>
  <c r="K116" i="2" s="1"/>
  <c r="AG116" i="9"/>
  <c r="AC116" i="9"/>
  <c r="U116" i="9"/>
  <c r="W116" i="9" s="1"/>
  <c r="B121" i="7"/>
  <c r="C121" i="7" s="1"/>
  <c r="J121" i="7"/>
  <c r="K121" i="7" s="1"/>
  <c r="A122" i="7"/>
  <c r="A121" i="2"/>
  <c r="AC117" i="7"/>
  <c r="D117" i="2"/>
  <c r="E117" i="2" s="1"/>
  <c r="U117" i="7"/>
  <c r="W117" i="7" s="1"/>
  <c r="S118" i="7"/>
  <c r="T118" i="7" s="1"/>
  <c r="S119" i="8" l="1"/>
  <c r="T119" i="8" s="1"/>
  <c r="I118" i="9"/>
  <c r="L118" i="9" s="1"/>
  <c r="M118" i="9" s="1"/>
  <c r="N118" i="9" s="1"/>
  <c r="AC118" i="7"/>
  <c r="D118" i="2"/>
  <c r="E118" i="2" s="1"/>
  <c r="U118" i="7"/>
  <c r="W118" i="7" s="1"/>
  <c r="AB121" i="8"/>
  <c r="F121" i="2"/>
  <c r="D121" i="8"/>
  <c r="AA121" i="8"/>
  <c r="J122" i="7"/>
  <c r="K122" i="7" s="1"/>
  <c r="A123" i="7"/>
  <c r="B122" i="7"/>
  <c r="C122" i="7" s="1"/>
  <c r="A122" i="2"/>
  <c r="O119" i="9"/>
  <c r="R119" i="9"/>
  <c r="Q119" i="9"/>
  <c r="P119" i="9"/>
  <c r="H119" i="9"/>
  <c r="G119" i="9"/>
  <c r="E119" i="9"/>
  <c r="F119" i="9"/>
  <c r="AF120" i="9"/>
  <c r="AB120" i="9"/>
  <c r="I120" i="2"/>
  <c r="AC119" i="8"/>
  <c r="G119" i="2"/>
  <c r="H119" i="2" s="1"/>
  <c r="U119" i="8"/>
  <c r="W119" i="8" s="1"/>
  <c r="Q120" i="8"/>
  <c r="P120" i="8"/>
  <c r="O120" i="8"/>
  <c r="E120" i="8"/>
  <c r="R120" i="8"/>
  <c r="F120" i="8"/>
  <c r="H120" i="8"/>
  <c r="G120" i="8"/>
  <c r="J122" i="8"/>
  <c r="K122" i="8" s="1"/>
  <c r="A123" i="8"/>
  <c r="B122" i="8"/>
  <c r="C122" i="8" s="1"/>
  <c r="AE120" i="9"/>
  <c r="AA120" i="9"/>
  <c r="D120" i="9"/>
  <c r="J121" i="9"/>
  <c r="K121" i="9" s="1"/>
  <c r="A122" i="9"/>
  <c r="B121" i="9"/>
  <c r="C121" i="9" s="1"/>
  <c r="AG118" i="9"/>
  <c r="J118" i="2"/>
  <c r="K118" i="2" s="1"/>
  <c r="AC118" i="9"/>
  <c r="U118" i="9"/>
  <c r="W118" i="9" s="1"/>
  <c r="AG117" i="9"/>
  <c r="AC117" i="9"/>
  <c r="J117" i="2"/>
  <c r="K117" i="2" s="1"/>
  <c r="U117" i="9"/>
  <c r="W117" i="9" s="1"/>
  <c r="C121" i="2"/>
  <c r="AB121" i="7"/>
  <c r="AA121" i="7"/>
  <c r="D121" i="7"/>
  <c r="B121" i="2"/>
  <c r="S119" i="7"/>
  <c r="T119" i="7" s="1"/>
  <c r="R120" i="7"/>
  <c r="G120" i="7"/>
  <c r="Q120" i="7"/>
  <c r="O120" i="7"/>
  <c r="P120" i="7"/>
  <c r="E120" i="7"/>
  <c r="F120" i="7"/>
  <c r="H120" i="7"/>
  <c r="AE121" i="9" l="1"/>
  <c r="D121" i="9"/>
  <c r="AA121" i="9"/>
  <c r="S120" i="7"/>
  <c r="T120" i="7" s="1"/>
  <c r="O120" i="9"/>
  <c r="E120" i="9"/>
  <c r="G120" i="9"/>
  <c r="F120" i="9"/>
  <c r="R120" i="9"/>
  <c r="Q120" i="9"/>
  <c r="P120" i="9"/>
  <c r="H120" i="9"/>
  <c r="AC119" i="7"/>
  <c r="D119" i="2"/>
  <c r="E119" i="2" s="1"/>
  <c r="U119" i="7"/>
  <c r="W119" i="7" s="1"/>
  <c r="J123" i="8"/>
  <c r="K123" i="8" s="1"/>
  <c r="A124" i="8"/>
  <c r="B123" i="8"/>
  <c r="C123" i="8" s="1"/>
  <c r="J123" i="7"/>
  <c r="K123" i="7" s="1"/>
  <c r="A124" i="7"/>
  <c r="B123" i="7"/>
  <c r="C123" i="7" s="1"/>
  <c r="A123" i="2"/>
  <c r="C122" i="2"/>
  <c r="AB122" i="7"/>
  <c r="I120" i="8"/>
  <c r="L120" i="8" s="1"/>
  <c r="M120" i="8" s="1"/>
  <c r="N120" i="8" s="1"/>
  <c r="P121" i="8"/>
  <c r="O121" i="8"/>
  <c r="G121" i="8"/>
  <c r="Q121" i="8"/>
  <c r="H121" i="8"/>
  <c r="R121" i="8"/>
  <c r="F121" i="8"/>
  <c r="E121" i="8"/>
  <c r="I121" i="8" s="1"/>
  <c r="L121" i="8" s="1"/>
  <c r="M121" i="8" s="1"/>
  <c r="N121" i="8" s="1"/>
  <c r="I120" i="7"/>
  <c r="L120" i="7" s="1"/>
  <c r="M120" i="7" s="1"/>
  <c r="N120" i="7" s="1"/>
  <c r="AF121" i="9"/>
  <c r="I121" i="2"/>
  <c r="AB121" i="9"/>
  <c r="I119" i="9"/>
  <c r="L119" i="9" s="1"/>
  <c r="M119" i="9" s="1"/>
  <c r="N119" i="9" s="1"/>
  <c r="D122" i="8"/>
  <c r="AA122" i="8"/>
  <c r="S119" i="9"/>
  <c r="T119" i="9" s="1"/>
  <c r="H121" i="7"/>
  <c r="F121" i="7"/>
  <c r="G121" i="7"/>
  <c r="E121" i="7"/>
  <c r="Q121" i="7"/>
  <c r="P121" i="7"/>
  <c r="O121" i="7"/>
  <c r="R121" i="7"/>
  <c r="J122" i="9"/>
  <c r="K122" i="9" s="1"/>
  <c r="B122" i="9"/>
  <c r="C122" i="9" s="1"/>
  <c r="A123" i="9"/>
  <c r="F122" i="2"/>
  <c r="AB122" i="8"/>
  <c r="D122" i="7"/>
  <c r="B122" i="2"/>
  <c r="AA122" i="7"/>
  <c r="S120" i="8"/>
  <c r="T120" i="8" s="1"/>
  <c r="AB123" i="7" l="1"/>
  <c r="C123" i="2"/>
  <c r="A125" i="8"/>
  <c r="J124" i="8"/>
  <c r="K124" i="8" s="1"/>
  <c r="B124" i="8"/>
  <c r="C124" i="8" s="1"/>
  <c r="H122" i="7"/>
  <c r="F122" i="7"/>
  <c r="E122" i="7"/>
  <c r="G122" i="7"/>
  <c r="Q122" i="7"/>
  <c r="R122" i="7"/>
  <c r="P122" i="7"/>
  <c r="O122" i="7"/>
  <c r="S122" i="7" s="1"/>
  <c r="T122" i="7" s="1"/>
  <c r="I120" i="9"/>
  <c r="L120" i="9" s="1"/>
  <c r="M120" i="9" s="1"/>
  <c r="N120" i="9" s="1"/>
  <c r="S120" i="9"/>
  <c r="T120" i="9" s="1"/>
  <c r="I121" i="7"/>
  <c r="L121" i="7" s="1"/>
  <c r="M121" i="7" s="1"/>
  <c r="N121" i="7" s="1"/>
  <c r="AC119" i="9"/>
  <c r="AG119" i="9"/>
  <c r="J119" i="2"/>
  <c r="K119" i="2" s="1"/>
  <c r="U119" i="9"/>
  <c r="W119" i="9" s="1"/>
  <c r="O122" i="8"/>
  <c r="S122" i="8" s="1"/>
  <c r="T122" i="8" s="1"/>
  <c r="F122" i="8"/>
  <c r="H122" i="8"/>
  <c r="G122" i="8"/>
  <c r="R122" i="8"/>
  <c r="E122" i="8"/>
  <c r="Q122" i="8"/>
  <c r="P122" i="8"/>
  <c r="A125" i="7"/>
  <c r="B124" i="7"/>
  <c r="C124" i="7" s="1"/>
  <c r="J124" i="7"/>
  <c r="K124" i="7" s="1"/>
  <c r="A124" i="2"/>
  <c r="AC120" i="8"/>
  <c r="G120" i="2"/>
  <c r="H120" i="2" s="1"/>
  <c r="U120" i="8"/>
  <c r="W120" i="8" s="1"/>
  <c r="AB123" i="8"/>
  <c r="F123" i="2"/>
  <c r="AA122" i="9"/>
  <c r="AE122" i="9"/>
  <c r="D122" i="9"/>
  <c r="S121" i="7"/>
  <c r="T121" i="7" s="1"/>
  <c r="S121" i="8"/>
  <c r="T121" i="8" s="1"/>
  <c r="G121" i="9"/>
  <c r="O121" i="9"/>
  <c r="F121" i="9"/>
  <c r="E121" i="9"/>
  <c r="R121" i="9"/>
  <c r="H121" i="9"/>
  <c r="Q121" i="9"/>
  <c r="P121" i="9"/>
  <c r="AA123" i="7"/>
  <c r="D123" i="7"/>
  <c r="B123" i="2"/>
  <c r="AA123" i="8"/>
  <c r="D123" i="8"/>
  <c r="J123" i="9"/>
  <c r="K123" i="9" s="1"/>
  <c r="A124" i="9"/>
  <c r="B123" i="9"/>
  <c r="C123" i="9" s="1"/>
  <c r="AF122" i="9"/>
  <c r="AB122" i="9"/>
  <c r="I122" i="2"/>
  <c r="AC120" i="7"/>
  <c r="D120" i="2"/>
  <c r="E120" i="2" s="1"/>
  <c r="U120" i="7"/>
  <c r="W120" i="7" s="1"/>
  <c r="AC121" i="8" l="1"/>
  <c r="G121" i="2"/>
  <c r="H121" i="2" s="1"/>
  <c r="U121" i="8"/>
  <c r="W121" i="8" s="1"/>
  <c r="AC120" i="9"/>
  <c r="AG120" i="9"/>
  <c r="J120" i="2"/>
  <c r="K120" i="2" s="1"/>
  <c r="U120" i="9"/>
  <c r="W120" i="9" s="1"/>
  <c r="AA124" i="8"/>
  <c r="D124" i="8"/>
  <c r="I122" i="8"/>
  <c r="L122" i="8" s="1"/>
  <c r="M122" i="8" s="1"/>
  <c r="N122" i="8" s="1"/>
  <c r="AC122" i="7"/>
  <c r="D122" i="2"/>
  <c r="E122" i="2" s="1"/>
  <c r="U122" i="7"/>
  <c r="W122" i="7" s="1"/>
  <c r="R123" i="8"/>
  <c r="Q123" i="8"/>
  <c r="P123" i="8"/>
  <c r="O123" i="8"/>
  <c r="S123" i="8" s="1"/>
  <c r="T123" i="8" s="1"/>
  <c r="G123" i="8"/>
  <c r="F123" i="8"/>
  <c r="E123" i="8"/>
  <c r="H123" i="8"/>
  <c r="AA124" i="7"/>
  <c r="D124" i="7"/>
  <c r="B124" i="2"/>
  <c r="B125" i="7"/>
  <c r="C125" i="7" s="1"/>
  <c r="A126" i="7"/>
  <c r="A125" i="2"/>
  <c r="J125" i="7"/>
  <c r="K125" i="7" s="1"/>
  <c r="J125" i="8"/>
  <c r="K125" i="8" s="1"/>
  <c r="B125" i="8"/>
  <c r="C125" i="8" s="1"/>
  <c r="A126" i="8"/>
  <c r="S121" i="9"/>
  <c r="T121" i="9" s="1"/>
  <c r="AC122" i="8"/>
  <c r="G122" i="2"/>
  <c r="H122" i="2" s="1"/>
  <c r="U122" i="8"/>
  <c r="W122" i="8" s="1"/>
  <c r="D121" i="2"/>
  <c r="E121" i="2" s="1"/>
  <c r="AC121" i="7"/>
  <c r="U121" i="7"/>
  <c r="W121" i="7" s="1"/>
  <c r="G122" i="9"/>
  <c r="P122" i="9"/>
  <c r="O122" i="9"/>
  <c r="Q122" i="9"/>
  <c r="H122" i="9"/>
  <c r="E122" i="9"/>
  <c r="R122" i="9"/>
  <c r="F122" i="9"/>
  <c r="AA123" i="9"/>
  <c r="D123" i="9"/>
  <c r="AE123" i="9"/>
  <c r="J124" i="9"/>
  <c r="K124" i="9" s="1"/>
  <c r="B124" i="9"/>
  <c r="C124" i="9" s="1"/>
  <c r="A125" i="9"/>
  <c r="AF123" i="9"/>
  <c r="AB123" i="9"/>
  <c r="I123" i="2"/>
  <c r="I122" i="7"/>
  <c r="L122" i="7" s="1"/>
  <c r="M122" i="7" s="1"/>
  <c r="N122" i="7" s="1"/>
  <c r="G123" i="7"/>
  <c r="R123" i="7"/>
  <c r="F123" i="7"/>
  <c r="E123" i="7"/>
  <c r="P123" i="7"/>
  <c r="O123" i="7"/>
  <c r="H123" i="7"/>
  <c r="Q123" i="7"/>
  <c r="AB124" i="7"/>
  <c r="C124" i="2"/>
  <c r="F124" i="2"/>
  <c r="AB124" i="8"/>
  <c r="I121" i="9"/>
  <c r="L121" i="9" s="1"/>
  <c r="M121" i="9" s="1"/>
  <c r="N121" i="9" s="1"/>
  <c r="F124" i="7" l="1"/>
  <c r="R124" i="7"/>
  <c r="Q124" i="7"/>
  <c r="P124" i="7"/>
  <c r="E124" i="7"/>
  <c r="H124" i="7"/>
  <c r="G124" i="7"/>
  <c r="O124" i="7"/>
  <c r="S124" i="7" s="1"/>
  <c r="T124" i="7" s="1"/>
  <c r="I123" i="8"/>
  <c r="L123" i="8" s="1"/>
  <c r="M123" i="8" s="1"/>
  <c r="N123" i="8" s="1"/>
  <c r="G123" i="2"/>
  <c r="H123" i="2" s="1"/>
  <c r="AC123" i="8"/>
  <c r="U123" i="8"/>
  <c r="W123" i="8" s="1"/>
  <c r="J126" i="8"/>
  <c r="K126" i="8" s="1"/>
  <c r="B126" i="8"/>
  <c r="C126" i="8" s="1"/>
  <c r="A127" i="8"/>
  <c r="AB124" i="9"/>
  <c r="I124" i="2"/>
  <c r="AF124" i="9"/>
  <c r="AB125" i="7"/>
  <c r="C125" i="2"/>
  <c r="S122" i="9"/>
  <c r="T122" i="9" s="1"/>
  <c r="P124" i="8"/>
  <c r="O124" i="8"/>
  <c r="H124" i="8"/>
  <c r="R124" i="8"/>
  <c r="Q124" i="8"/>
  <c r="F124" i="8"/>
  <c r="G124" i="8"/>
  <c r="E124" i="8"/>
  <c r="B125" i="9"/>
  <c r="C125" i="9" s="1"/>
  <c r="A126" i="9"/>
  <c r="J125" i="9"/>
  <c r="K125" i="9" s="1"/>
  <c r="D125" i="8"/>
  <c r="AA125" i="8"/>
  <c r="AA124" i="9"/>
  <c r="D124" i="9"/>
  <c r="AE124" i="9"/>
  <c r="AA125" i="7"/>
  <c r="D125" i="7"/>
  <c r="B125" i="2"/>
  <c r="I122" i="9"/>
  <c r="L122" i="9" s="1"/>
  <c r="M122" i="9" s="1"/>
  <c r="N122" i="9" s="1"/>
  <c r="S123" i="7"/>
  <c r="T123" i="7" s="1"/>
  <c r="I123" i="7"/>
  <c r="L123" i="7" s="1"/>
  <c r="M123" i="7" s="1"/>
  <c r="N123" i="7" s="1"/>
  <c r="AC121" i="9"/>
  <c r="AG121" i="9"/>
  <c r="J121" i="2"/>
  <c r="K121" i="2" s="1"/>
  <c r="U121" i="9"/>
  <c r="W121" i="9" s="1"/>
  <c r="AB125" i="8"/>
  <c r="F125" i="2"/>
  <c r="H123" i="9"/>
  <c r="G123" i="9"/>
  <c r="F123" i="9"/>
  <c r="E123" i="9"/>
  <c r="I123" i="9" s="1"/>
  <c r="L123" i="9" s="1"/>
  <c r="M123" i="9" s="1"/>
  <c r="N123" i="9" s="1"/>
  <c r="Q123" i="9"/>
  <c r="O123" i="9"/>
  <c r="R123" i="9"/>
  <c r="P123" i="9"/>
  <c r="J126" i="7"/>
  <c r="K126" i="7" s="1"/>
  <c r="A126" i="2"/>
  <c r="A127" i="7"/>
  <c r="B126" i="7"/>
  <c r="C126" i="7" s="1"/>
  <c r="I124" i="8" l="1"/>
  <c r="L124" i="8" s="1"/>
  <c r="M124" i="8" s="1"/>
  <c r="N124" i="8" s="1"/>
  <c r="D126" i="7"/>
  <c r="B126" i="2"/>
  <c r="AA126" i="7"/>
  <c r="A128" i="7"/>
  <c r="B127" i="7"/>
  <c r="C127" i="7" s="1"/>
  <c r="J127" i="7"/>
  <c r="K127" i="7" s="1"/>
  <c r="A127" i="2"/>
  <c r="D126" i="8"/>
  <c r="AA126" i="8"/>
  <c r="J126" i="9"/>
  <c r="K126" i="9" s="1"/>
  <c r="B126" i="9"/>
  <c r="C126" i="9" s="1"/>
  <c r="A127" i="9"/>
  <c r="D125" i="9"/>
  <c r="AE125" i="9"/>
  <c r="AA125" i="9"/>
  <c r="AC124" i="7"/>
  <c r="D124" i="2"/>
  <c r="E124" i="2" s="1"/>
  <c r="U124" i="7"/>
  <c r="W124" i="7" s="1"/>
  <c r="I124" i="7"/>
  <c r="L124" i="7" s="1"/>
  <c r="M124" i="7" s="1"/>
  <c r="N124" i="7" s="1"/>
  <c r="AB126" i="7"/>
  <c r="C126" i="2"/>
  <c r="S123" i="9"/>
  <c r="T123" i="9" s="1"/>
  <c r="J127" i="8"/>
  <c r="K127" i="8" s="1"/>
  <c r="B127" i="8"/>
  <c r="C127" i="8" s="1"/>
  <c r="A128" i="8"/>
  <c r="S124" i="8"/>
  <c r="T124" i="8" s="1"/>
  <c r="AC123" i="7"/>
  <c r="D123" i="2"/>
  <c r="E123" i="2" s="1"/>
  <c r="U123" i="7"/>
  <c r="W123" i="7" s="1"/>
  <c r="E125" i="7"/>
  <c r="H125" i="7"/>
  <c r="G125" i="7"/>
  <c r="F125" i="7"/>
  <c r="P125" i="7"/>
  <c r="O125" i="7"/>
  <c r="R125" i="7"/>
  <c r="Q125" i="7"/>
  <c r="H124" i="9"/>
  <c r="G124" i="9"/>
  <c r="F124" i="9"/>
  <c r="R124" i="9"/>
  <c r="Q124" i="9"/>
  <c r="E124" i="9"/>
  <c r="I124" i="9" s="1"/>
  <c r="L124" i="9" s="1"/>
  <c r="M124" i="9" s="1"/>
  <c r="N124" i="9" s="1"/>
  <c r="O124" i="9"/>
  <c r="P124" i="9"/>
  <c r="R125" i="8"/>
  <c r="P125" i="8"/>
  <c r="O125" i="8"/>
  <c r="F125" i="8"/>
  <c r="E125" i="8"/>
  <c r="Q125" i="8"/>
  <c r="G125" i="8"/>
  <c r="H125" i="8"/>
  <c r="AB126" i="8"/>
  <c r="F126" i="2"/>
  <c r="AF125" i="9"/>
  <c r="AB125" i="9"/>
  <c r="I125" i="2"/>
  <c r="AG122" i="9"/>
  <c r="AC122" i="9"/>
  <c r="J122" i="2"/>
  <c r="K122" i="2" s="1"/>
  <c r="U122" i="9"/>
  <c r="W122" i="9" s="1"/>
  <c r="Q126" i="8" l="1"/>
  <c r="P126" i="8"/>
  <c r="O126" i="8"/>
  <c r="G126" i="8"/>
  <c r="F126" i="8"/>
  <c r="E126" i="8"/>
  <c r="H126" i="8"/>
  <c r="R126" i="8"/>
  <c r="B128" i="8"/>
  <c r="C128" i="8" s="1"/>
  <c r="A129" i="8"/>
  <c r="J128" i="8"/>
  <c r="K128" i="8" s="1"/>
  <c r="D127" i="7"/>
  <c r="B127" i="2"/>
  <c r="AA127" i="7"/>
  <c r="S125" i="8"/>
  <c r="T125" i="8" s="1"/>
  <c r="D127" i="8"/>
  <c r="AA127" i="8"/>
  <c r="A129" i="7"/>
  <c r="B128" i="7"/>
  <c r="C128" i="7" s="1"/>
  <c r="J128" i="7"/>
  <c r="K128" i="7" s="1"/>
  <c r="A128" i="2"/>
  <c r="AB126" i="9"/>
  <c r="AF126" i="9"/>
  <c r="I126" i="2"/>
  <c r="I125" i="7"/>
  <c r="L125" i="7" s="1"/>
  <c r="M125" i="7" s="1"/>
  <c r="N125" i="7" s="1"/>
  <c r="I125" i="8"/>
  <c r="L125" i="8" s="1"/>
  <c r="M125" i="8" s="1"/>
  <c r="N125" i="8" s="1"/>
  <c r="F127" i="2"/>
  <c r="AB127" i="8"/>
  <c r="AC123" i="9"/>
  <c r="AG123" i="9"/>
  <c r="J123" i="2"/>
  <c r="K123" i="2" s="1"/>
  <c r="U123" i="9"/>
  <c r="W123" i="9" s="1"/>
  <c r="R126" i="7"/>
  <c r="Q126" i="7"/>
  <c r="P126" i="7"/>
  <c r="E126" i="7"/>
  <c r="O126" i="7"/>
  <c r="S126" i="7" s="1"/>
  <c r="T126" i="7" s="1"/>
  <c r="H126" i="7"/>
  <c r="G126" i="7"/>
  <c r="F126" i="7"/>
  <c r="S125" i="7"/>
  <c r="T125" i="7" s="1"/>
  <c r="O125" i="9"/>
  <c r="R125" i="9"/>
  <c r="H125" i="9"/>
  <c r="G125" i="9"/>
  <c r="F125" i="9"/>
  <c r="Q125" i="9"/>
  <c r="P125" i="9"/>
  <c r="E125" i="9"/>
  <c r="A128" i="9"/>
  <c r="B127" i="9"/>
  <c r="C127" i="9" s="1"/>
  <c r="J127" i="9"/>
  <c r="K127" i="9" s="1"/>
  <c r="AA126" i="9"/>
  <c r="AE126" i="9"/>
  <c r="D126" i="9"/>
  <c r="AC124" i="8"/>
  <c r="G124" i="2"/>
  <c r="H124" i="2" s="1"/>
  <c r="U124" i="8"/>
  <c r="W124" i="8" s="1"/>
  <c r="C127" i="2"/>
  <c r="AB127" i="7"/>
  <c r="S124" i="9"/>
  <c r="T124" i="9" s="1"/>
  <c r="I125" i="9" l="1"/>
  <c r="L125" i="9" s="1"/>
  <c r="M125" i="9" s="1"/>
  <c r="N125" i="9" s="1"/>
  <c r="I126" i="7"/>
  <c r="L126" i="7" s="1"/>
  <c r="M126" i="7" s="1"/>
  <c r="N126" i="7" s="1"/>
  <c r="J129" i="7"/>
  <c r="K129" i="7" s="1"/>
  <c r="B129" i="7"/>
  <c r="C129" i="7" s="1"/>
  <c r="A130" i="7"/>
  <c r="A129" i="2"/>
  <c r="O126" i="9"/>
  <c r="Q126" i="9"/>
  <c r="H126" i="9"/>
  <c r="G126" i="9"/>
  <c r="F126" i="9"/>
  <c r="E126" i="9"/>
  <c r="I126" i="9" s="1"/>
  <c r="L126" i="9" s="1"/>
  <c r="M126" i="9" s="1"/>
  <c r="N126" i="9" s="1"/>
  <c r="R126" i="9"/>
  <c r="P126" i="9"/>
  <c r="Q127" i="7"/>
  <c r="O127" i="7"/>
  <c r="F127" i="7"/>
  <c r="E127" i="7"/>
  <c r="H127" i="7"/>
  <c r="G127" i="7"/>
  <c r="R127" i="7"/>
  <c r="P127" i="7"/>
  <c r="AB127" i="9"/>
  <c r="AF127" i="9"/>
  <c r="I127" i="2"/>
  <c r="D127" i="9"/>
  <c r="AE127" i="9"/>
  <c r="AA127" i="9"/>
  <c r="A130" i="8"/>
  <c r="J129" i="8"/>
  <c r="K129" i="8" s="1"/>
  <c r="B129" i="8"/>
  <c r="C129" i="8" s="1"/>
  <c r="A129" i="9"/>
  <c r="B128" i="9"/>
  <c r="C128" i="9" s="1"/>
  <c r="J128" i="9"/>
  <c r="K128" i="9" s="1"/>
  <c r="D128" i="8"/>
  <c r="AA128" i="8"/>
  <c r="I126" i="8"/>
  <c r="L126" i="8" s="1"/>
  <c r="M126" i="8" s="1"/>
  <c r="N126" i="8" s="1"/>
  <c r="AC126" i="7"/>
  <c r="D126" i="2"/>
  <c r="E126" i="2" s="1"/>
  <c r="U126" i="7"/>
  <c r="W126" i="7" s="1"/>
  <c r="D128" i="7"/>
  <c r="AA128" i="7"/>
  <c r="B128" i="2"/>
  <c r="AC125" i="8"/>
  <c r="G125" i="2"/>
  <c r="H125" i="2" s="1"/>
  <c r="U125" i="8"/>
  <c r="W125" i="8" s="1"/>
  <c r="S126" i="8"/>
  <c r="T126" i="8" s="1"/>
  <c r="AC125" i="7"/>
  <c r="D125" i="2"/>
  <c r="E125" i="2" s="1"/>
  <c r="U125" i="7"/>
  <c r="W125" i="7" s="1"/>
  <c r="J124" i="2"/>
  <c r="K124" i="2" s="1"/>
  <c r="AG124" i="9"/>
  <c r="AC124" i="9"/>
  <c r="U124" i="9"/>
  <c r="W124" i="9" s="1"/>
  <c r="C128" i="2"/>
  <c r="AB128" i="7"/>
  <c r="H127" i="8"/>
  <c r="G127" i="8"/>
  <c r="Q127" i="8"/>
  <c r="P127" i="8"/>
  <c r="O127" i="8"/>
  <c r="F127" i="8"/>
  <c r="E127" i="8"/>
  <c r="I127" i="8" s="1"/>
  <c r="L127" i="8" s="1"/>
  <c r="M127" i="8" s="1"/>
  <c r="N127" i="8" s="1"/>
  <c r="R127" i="8"/>
  <c r="AB128" i="8"/>
  <c r="F128" i="2"/>
  <c r="S125" i="9"/>
  <c r="T125" i="9" s="1"/>
  <c r="P128" i="7" l="1"/>
  <c r="Q128" i="7"/>
  <c r="R128" i="7"/>
  <c r="H128" i="7"/>
  <c r="E128" i="7"/>
  <c r="G128" i="7"/>
  <c r="F128" i="7"/>
  <c r="O128" i="7"/>
  <c r="S128" i="7" s="1"/>
  <c r="T128" i="7" s="1"/>
  <c r="S127" i="7"/>
  <c r="T127" i="7" s="1"/>
  <c r="H128" i="8"/>
  <c r="G128" i="8"/>
  <c r="Q128" i="8"/>
  <c r="P128" i="8"/>
  <c r="E128" i="8"/>
  <c r="F128" i="8"/>
  <c r="O128" i="8"/>
  <c r="R128" i="8"/>
  <c r="AG125" i="9"/>
  <c r="J125" i="2"/>
  <c r="K125" i="2" s="1"/>
  <c r="AC125" i="9"/>
  <c r="U125" i="9"/>
  <c r="W125" i="9" s="1"/>
  <c r="G127" i="9"/>
  <c r="O127" i="9"/>
  <c r="S127" i="9" s="1"/>
  <c r="T127" i="9" s="1"/>
  <c r="H127" i="9"/>
  <c r="F127" i="9"/>
  <c r="E127" i="9"/>
  <c r="R127" i="9"/>
  <c r="Q127" i="9"/>
  <c r="P127" i="9"/>
  <c r="AA129" i="7"/>
  <c r="D129" i="7"/>
  <c r="B129" i="2"/>
  <c r="S127" i="8"/>
  <c r="T127" i="8" s="1"/>
  <c r="AF128" i="9"/>
  <c r="AB128" i="9"/>
  <c r="I128" i="2"/>
  <c r="B129" i="9"/>
  <c r="C129" i="9" s="1"/>
  <c r="A130" i="9"/>
  <c r="J129" i="9"/>
  <c r="K129" i="9" s="1"/>
  <c r="AB129" i="8"/>
  <c r="F129" i="2"/>
  <c r="A131" i="8"/>
  <c r="B130" i="8"/>
  <c r="C130" i="8" s="1"/>
  <c r="J130" i="8"/>
  <c r="K130" i="8" s="1"/>
  <c r="A131" i="7"/>
  <c r="J130" i="7"/>
  <c r="K130" i="7" s="1"/>
  <c r="A130" i="2"/>
  <c r="B130" i="7"/>
  <c r="C130" i="7" s="1"/>
  <c r="C129" i="2"/>
  <c r="AB129" i="7"/>
  <c r="I127" i="7"/>
  <c r="L127" i="7" s="1"/>
  <c r="M127" i="7" s="1"/>
  <c r="N127" i="7" s="1"/>
  <c r="D128" i="9"/>
  <c r="AE128" i="9"/>
  <c r="AA128" i="9"/>
  <c r="AA129" i="8"/>
  <c r="D129" i="8"/>
  <c r="S126" i="9"/>
  <c r="T126" i="9" s="1"/>
  <c r="AC126" i="8"/>
  <c r="G126" i="2"/>
  <c r="H126" i="2" s="1"/>
  <c r="U126" i="8"/>
  <c r="W126" i="8" s="1"/>
  <c r="AC127" i="9" l="1"/>
  <c r="AG127" i="9"/>
  <c r="J127" i="2"/>
  <c r="K127" i="2" s="1"/>
  <c r="U127" i="9"/>
  <c r="W127" i="9" s="1"/>
  <c r="S128" i="8"/>
  <c r="T128" i="8" s="1"/>
  <c r="D128" i="2"/>
  <c r="E128" i="2" s="1"/>
  <c r="AC128" i="7"/>
  <c r="U128" i="7"/>
  <c r="W128" i="7" s="1"/>
  <c r="O129" i="7"/>
  <c r="R129" i="7"/>
  <c r="Q129" i="7"/>
  <c r="P129" i="7"/>
  <c r="F129" i="7"/>
  <c r="E129" i="7"/>
  <c r="G129" i="7"/>
  <c r="H129" i="7"/>
  <c r="AB130" i="7"/>
  <c r="C130" i="2"/>
  <c r="AF129" i="9"/>
  <c r="AB129" i="9"/>
  <c r="I129" i="2"/>
  <c r="AC126" i="9"/>
  <c r="AG126" i="9"/>
  <c r="J126" i="2"/>
  <c r="K126" i="2" s="1"/>
  <c r="U126" i="9"/>
  <c r="W126" i="9" s="1"/>
  <c r="J130" i="9"/>
  <c r="K130" i="9" s="1"/>
  <c r="B130" i="9"/>
  <c r="C130" i="9" s="1"/>
  <c r="A131" i="9"/>
  <c r="H129" i="8"/>
  <c r="G129" i="8"/>
  <c r="F129" i="8"/>
  <c r="P129" i="8"/>
  <c r="R129" i="8"/>
  <c r="Q129" i="8"/>
  <c r="O129" i="8"/>
  <c r="E129" i="8"/>
  <c r="I129" i="8" s="1"/>
  <c r="L129" i="8" s="1"/>
  <c r="M129" i="8" s="1"/>
  <c r="N129" i="8" s="1"/>
  <c r="G128" i="9"/>
  <c r="H128" i="9"/>
  <c r="F128" i="9"/>
  <c r="E128" i="9"/>
  <c r="R128" i="9"/>
  <c r="Q128" i="9"/>
  <c r="P128" i="9"/>
  <c r="O128" i="9"/>
  <c r="AC127" i="7"/>
  <c r="D127" i="2"/>
  <c r="E127" i="2" s="1"/>
  <c r="U127" i="7"/>
  <c r="W127" i="7" s="1"/>
  <c r="I128" i="7"/>
  <c r="L128" i="7" s="1"/>
  <c r="M128" i="7" s="1"/>
  <c r="N128" i="7" s="1"/>
  <c r="I127" i="9"/>
  <c r="L127" i="9" s="1"/>
  <c r="M127" i="9" s="1"/>
  <c r="N127" i="9" s="1"/>
  <c r="AA130" i="8"/>
  <c r="D130" i="8"/>
  <c r="B131" i="8"/>
  <c r="C131" i="8" s="1"/>
  <c r="J131" i="8"/>
  <c r="K131" i="8" s="1"/>
  <c r="A132" i="8"/>
  <c r="AA129" i="9"/>
  <c r="D129" i="9"/>
  <c r="AE129" i="9"/>
  <c r="I128" i="8"/>
  <c r="L128" i="8" s="1"/>
  <c r="M128" i="8" s="1"/>
  <c r="N128" i="8" s="1"/>
  <c r="AC127" i="8"/>
  <c r="G127" i="2"/>
  <c r="H127" i="2" s="1"/>
  <c r="U127" i="8"/>
  <c r="W127" i="8" s="1"/>
  <c r="D130" i="7"/>
  <c r="AA130" i="7"/>
  <c r="B130" i="2"/>
  <c r="B131" i="7"/>
  <c r="C131" i="7" s="1"/>
  <c r="A132" i="7"/>
  <c r="J131" i="7"/>
  <c r="K131" i="7" s="1"/>
  <c r="A131" i="2"/>
  <c r="F130" i="2"/>
  <c r="AB130" i="8"/>
  <c r="I128" i="9" l="1"/>
  <c r="L128" i="9" s="1"/>
  <c r="M128" i="9" s="1"/>
  <c r="N128" i="9" s="1"/>
  <c r="S129" i="8"/>
  <c r="T129" i="8" s="1"/>
  <c r="H130" i="7"/>
  <c r="R130" i="7"/>
  <c r="Q130" i="7"/>
  <c r="P130" i="7"/>
  <c r="O130" i="7"/>
  <c r="G130" i="7"/>
  <c r="F130" i="7"/>
  <c r="E130" i="7"/>
  <c r="I130" i="7" s="1"/>
  <c r="L130" i="7" s="1"/>
  <c r="M130" i="7" s="1"/>
  <c r="N130" i="7" s="1"/>
  <c r="I129" i="7"/>
  <c r="L129" i="7" s="1"/>
  <c r="M129" i="7" s="1"/>
  <c r="N129" i="7" s="1"/>
  <c r="S129" i="7"/>
  <c r="T129" i="7" s="1"/>
  <c r="A132" i="9"/>
  <c r="B131" i="9"/>
  <c r="C131" i="9" s="1"/>
  <c r="J131" i="9"/>
  <c r="K131" i="9" s="1"/>
  <c r="AC128" i="8"/>
  <c r="G128" i="2"/>
  <c r="H128" i="2" s="1"/>
  <c r="U128" i="8"/>
  <c r="W128" i="8" s="1"/>
  <c r="AA131" i="7"/>
  <c r="D131" i="7"/>
  <c r="B131" i="2"/>
  <c r="AC129" i="8"/>
  <c r="G129" i="2"/>
  <c r="H129" i="2" s="1"/>
  <c r="U129" i="8"/>
  <c r="W129" i="8" s="1"/>
  <c r="G129" i="9"/>
  <c r="F129" i="9"/>
  <c r="E129" i="9"/>
  <c r="P129" i="9"/>
  <c r="O129" i="9"/>
  <c r="R129" i="9"/>
  <c r="Q129" i="9"/>
  <c r="H129" i="9"/>
  <c r="AB131" i="8"/>
  <c r="F131" i="2"/>
  <c r="D131" i="8"/>
  <c r="AA131" i="8"/>
  <c r="AA130" i="9"/>
  <c r="D130" i="9"/>
  <c r="AE130" i="9"/>
  <c r="S128" i="9"/>
  <c r="T128" i="9" s="1"/>
  <c r="J132" i="8"/>
  <c r="K132" i="8" s="1"/>
  <c r="B132" i="8"/>
  <c r="C132" i="8" s="1"/>
  <c r="A133" i="8"/>
  <c r="G130" i="8"/>
  <c r="F130" i="8"/>
  <c r="E130" i="8"/>
  <c r="P130" i="8"/>
  <c r="Q130" i="8"/>
  <c r="R130" i="8"/>
  <c r="H130" i="8"/>
  <c r="O130" i="8"/>
  <c r="AB130" i="9"/>
  <c r="I130" i="2"/>
  <c r="AF130" i="9"/>
  <c r="AB131" i="7"/>
  <c r="C131" i="2"/>
  <c r="B132" i="7"/>
  <c r="C132" i="7" s="1"/>
  <c r="J132" i="7"/>
  <c r="K132" i="7" s="1"/>
  <c r="A133" i="7"/>
  <c r="A132" i="2"/>
  <c r="S130" i="7" l="1"/>
  <c r="T130" i="7" s="1"/>
  <c r="S130" i="8"/>
  <c r="T130" i="8" s="1"/>
  <c r="D132" i="8"/>
  <c r="AA132" i="8"/>
  <c r="E131" i="7"/>
  <c r="H131" i="7"/>
  <c r="G131" i="7"/>
  <c r="Q131" i="7"/>
  <c r="O131" i="7"/>
  <c r="F131" i="7"/>
  <c r="R131" i="7"/>
  <c r="P131" i="7"/>
  <c r="AB132" i="7"/>
  <c r="C132" i="2"/>
  <c r="D131" i="9"/>
  <c r="AA131" i="9"/>
  <c r="AE131" i="9"/>
  <c r="A133" i="9"/>
  <c r="B132" i="9"/>
  <c r="C132" i="9" s="1"/>
  <c r="J132" i="9"/>
  <c r="K132" i="9" s="1"/>
  <c r="AC130" i="7"/>
  <c r="D130" i="2"/>
  <c r="E130" i="2" s="1"/>
  <c r="U130" i="7"/>
  <c r="W130" i="7" s="1"/>
  <c r="AB132" i="8"/>
  <c r="F132" i="2"/>
  <c r="J133" i="7"/>
  <c r="K133" i="7" s="1"/>
  <c r="B133" i="7"/>
  <c r="C133" i="7" s="1"/>
  <c r="A134" i="7"/>
  <c r="A133" i="2"/>
  <c r="F130" i="9"/>
  <c r="E130" i="9"/>
  <c r="H130" i="9"/>
  <c r="G130" i="9"/>
  <c r="Q130" i="9"/>
  <c r="O130" i="9"/>
  <c r="R130" i="9"/>
  <c r="P130" i="9"/>
  <c r="AB131" i="9"/>
  <c r="AF131" i="9"/>
  <c r="I131" i="2"/>
  <c r="AC129" i="7"/>
  <c r="D129" i="2"/>
  <c r="E129" i="2" s="1"/>
  <c r="U129" i="7"/>
  <c r="W129" i="7" s="1"/>
  <c r="G130" i="2"/>
  <c r="H130" i="2" s="1"/>
  <c r="AC130" i="8"/>
  <c r="U130" i="8"/>
  <c r="W130" i="8" s="1"/>
  <c r="I129" i="9"/>
  <c r="L129" i="9" s="1"/>
  <c r="M129" i="9" s="1"/>
  <c r="N129" i="9" s="1"/>
  <c r="A134" i="8"/>
  <c r="B133" i="8"/>
  <c r="C133" i="8" s="1"/>
  <c r="J133" i="8"/>
  <c r="K133" i="8" s="1"/>
  <c r="AG128" i="9"/>
  <c r="AC128" i="9"/>
  <c r="J128" i="2"/>
  <c r="K128" i="2" s="1"/>
  <c r="U128" i="9"/>
  <c r="W128" i="9" s="1"/>
  <c r="D132" i="7"/>
  <c r="AA132" i="7"/>
  <c r="B132" i="2"/>
  <c r="F131" i="8"/>
  <c r="E131" i="8"/>
  <c r="H131" i="8"/>
  <c r="R131" i="8"/>
  <c r="Q131" i="8"/>
  <c r="P131" i="8"/>
  <c r="O131" i="8"/>
  <c r="S131" i="8" s="1"/>
  <c r="T131" i="8" s="1"/>
  <c r="G131" i="8"/>
  <c r="S129" i="9"/>
  <c r="T129" i="9" s="1"/>
  <c r="I130" i="8"/>
  <c r="L130" i="8" s="1"/>
  <c r="M130" i="8" s="1"/>
  <c r="N130" i="8" s="1"/>
  <c r="I131" i="8" l="1"/>
  <c r="L131" i="8" s="1"/>
  <c r="M131" i="8" s="1"/>
  <c r="N131" i="8" s="1"/>
  <c r="AB133" i="8"/>
  <c r="F133" i="2"/>
  <c r="I131" i="7"/>
  <c r="L131" i="7" s="1"/>
  <c r="M131" i="7" s="1"/>
  <c r="N131" i="7" s="1"/>
  <c r="AC131" i="8"/>
  <c r="G131" i="2"/>
  <c r="H131" i="2" s="1"/>
  <c r="U131" i="8"/>
  <c r="W131" i="8" s="1"/>
  <c r="D132" i="9"/>
  <c r="AA132" i="9"/>
  <c r="AE132" i="9"/>
  <c r="O131" i="9"/>
  <c r="G131" i="9"/>
  <c r="E131" i="9"/>
  <c r="Q131" i="9"/>
  <c r="H131" i="9"/>
  <c r="F131" i="9"/>
  <c r="R131" i="9"/>
  <c r="P131" i="9"/>
  <c r="I130" i="9"/>
  <c r="L130" i="9" s="1"/>
  <c r="M130" i="9" s="1"/>
  <c r="N130" i="9" s="1"/>
  <c r="A135" i="8"/>
  <c r="B134" i="8"/>
  <c r="C134" i="8" s="1"/>
  <c r="J134" i="8"/>
  <c r="K134" i="8" s="1"/>
  <c r="AB133" i="7"/>
  <c r="C133" i="2"/>
  <c r="AB132" i="9"/>
  <c r="I132" i="2"/>
  <c r="AF132" i="9"/>
  <c r="A134" i="9"/>
  <c r="B133" i="9"/>
  <c r="C133" i="9" s="1"/>
  <c r="J133" i="9"/>
  <c r="K133" i="9" s="1"/>
  <c r="S130" i="9"/>
  <c r="T130" i="9" s="1"/>
  <c r="F132" i="7"/>
  <c r="G132" i="7"/>
  <c r="E132" i="7"/>
  <c r="Q132" i="7"/>
  <c r="P132" i="7"/>
  <c r="O132" i="7"/>
  <c r="R132" i="7"/>
  <c r="H132" i="7"/>
  <c r="S131" i="7"/>
  <c r="T131" i="7" s="1"/>
  <c r="D133" i="8"/>
  <c r="AA133" i="8"/>
  <c r="J134" i="7"/>
  <c r="K134" i="7" s="1"/>
  <c r="B134" i="7"/>
  <c r="C134" i="7" s="1"/>
  <c r="A134" i="2"/>
  <c r="A135" i="7"/>
  <c r="AA133" i="7"/>
  <c r="D133" i="7"/>
  <c r="B133" i="2"/>
  <c r="AG129" i="9"/>
  <c r="AC129" i="9"/>
  <c r="J129" i="2"/>
  <c r="K129" i="2" s="1"/>
  <c r="U129" i="9"/>
  <c r="W129" i="9" s="1"/>
  <c r="E132" i="8"/>
  <c r="H132" i="8"/>
  <c r="O132" i="8"/>
  <c r="R132" i="8"/>
  <c r="G132" i="8"/>
  <c r="F132" i="8"/>
  <c r="Q132" i="8"/>
  <c r="P132" i="8"/>
  <c r="S132" i="7" l="1"/>
  <c r="T132" i="7" s="1"/>
  <c r="AC130" i="9"/>
  <c r="AG130" i="9"/>
  <c r="J130" i="2"/>
  <c r="K130" i="2" s="1"/>
  <c r="U130" i="9"/>
  <c r="W130" i="9" s="1"/>
  <c r="G133" i="7"/>
  <c r="H133" i="7"/>
  <c r="F133" i="7"/>
  <c r="R133" i="7"/>
  <c r="Q133" i="7"/>
  <c r="P133" i="7"/>
  <c r="O133" i="7"/>
  <c r="S133" i="7" s="1"/>
  <c r="T133" i="7" s="1"/>
  <c r="E133" i="7"/>
  <c r="I133" i="7" s="1"/>
  <c r="L133" i="7" s="1"/>
  <c r="M133" i="7" s="1"/>
  <c r="N133" i="7" s="1"/>
  <c r="AB134" i="7"/>
  <c r="C134" i="2"/>
  <c r="AA134" i="8"/>
  <c r="D134" i="8"/>
  <c r="S132" i="8"/>
  <c r="T132" i="8" s="1"/>
  <c r="I132" i="8"/>
  <c r="L132" i="8" s="1"/>
  <c r="M132" i="8" s="1"/>
  <c r="N132" i="8" s="1"/>
  <c r="AF133" i="9"/>
  <c r="AB133" i="9"/>
  <c r="I133" i="2"/>
  <c r="D133" i="9"/>
  <c r="AE133" i="9"/>
  <c r="AA133" i="9"/>
  <c r="B134" i="9"/>
  <c r="C134" i="9" s="1"/>
  <c r="A135" i="9"/>
  <c r="J134" i="9"/>
  <c r="K134" i="9" s="1"/>
  <c r="AA134" i="7"/>
  <c r="D134" i="7"/>
  <c r="B134" i="2"/>
  <c r="R133" i="8"/>
  <c r="P133" i="8"/>
  <c r="O133" i="8"/>
  <c r="E133" i="8"/>
  <c r="Q133" i="8"/>
  <c r="G133" i="8"/>
  <c r="F133" i="8"/>
  <c r="H133" i="8"/>
  <c r="A136" i="8"/>
  <c r="B135" i="8"/>
  <c r="C135" i="8" s="1"/>
  <c r="J135" i="8"/>
  <c r="K135" i="8" s="1"/>
  <c r="I132" i="7"/>
  <c r="L132" i="7" s="1"/>
  <c r="M132" i="7" s="1"/>
  <c r="N132" i="7" s="1"/>
  <c r="I131" i="9"/>
  <c r="L131" i="9" s="1"/>
  <c r="M131" i="9" s="1"/>
  <c r="N131" i="9" s="1"/>
  <c r="S131" i="9"/>
  <c r="T131" i="9" s="1"/>
  <c r="O132" i="9"/>
  <c r="E132" i="9"/>
  <c r="R132" i="9"/>
  <c r="Q132" i="9"/>
  <c r="P132" i="9"/>
  <c r="H132" i="9"/>
  <c r="G132" i="9"/>
  <c r="F132" i="9"/>
  <c r="J135" i="7"/>
  <c r="K135" i="7" s="1"/>
  <c r="A135" i="2"/>
  <c r="A136" i="7"/>
  <c r="B135" i="7"/>
  <c r="C135" i="7" s="1"/>
  <c r="AC131" i="7"/>
  <c r="D131" i="2"/>
  <c r="E131" i="2" s="1"/>
  <c r="U131" i="7"/>
  <c r="W131" i="7" s="1"/>
  <c r="AB134" i="8"/>
  <c r="F134" i="2"/>
  <c r="AC132" i="8" l="1"/>
  <c r="G132" i="2"/>
  <c r="H132" i="2" s="1"/>
  <c r="U132" i="8"/>
  <c r="W132" i="8" s="1"/>
  <c r="S133" i="8"/>
  <c r="T133" i="8" s="1"/>
  <c r="A137" i="7"/>
  <c r="A136" i="2"/>
  <c r="J136" i="7"/>
  <c r="K136" i="7" s="1"/>
  <c r="B136" i="7"/>
  <c r="C136" i="7" s="1"/>
  <c r="AC133" i="7"/>
  <c r="D133" i="2"/>
  <c r="E133" i="2" s="1"/>
  <c r="U133" i="7"/>
  <c r="W133" i="7" s="1"/>
  <c r="AB135" i="7"/>
  <c r="C135" i="2"/>
  <c r="H134" i="7"/>
  <c r="R134" i="7"/>
  <c r="Q134" i="7"/>
  <c r="P134" i="7"/>
  <c r="F134" i="7"/>
  <c r="O134" i="7"/>
  <c r="S134" i="7" s="1"/>
  <c r="T134" i="7" s="1"/>
  <c r="E134" i="7"/>
  <c r="G134" i="7"/>
  <c r="B135" i="9"/>
  <c r="C135" i="9" s="1"/>
  <c r="A136" i="9"/>
  <c r="J135" i="9"/>
  <c r="K135" i="9" s="1"/>
  <c r="I132" i="9"/>
  <c r="L132" i="9" s="1"/>
  <c r="M132" i="9" s="1"/>
  <c r="N132" i="9" s="1"/>
  <c r="G133" i="9"/>
  <c r="R133" i="9"/>
  <c r="Q133" i="9"/>
  <c r="P133" i="9"/>
  <c r="O133" i="9"/>
  <c r="S133" i="9" s="1"/>
  <c r="T133" i="9" s="1"/>
  <c r="F133" i="9"/>
  <c r="H133" i="9"/>
  <c r="E133" i="9"/>
  <c r="I133" i="9" s="1"/>
  <c r="L133" i="9" s="1"/>
  <c r="M133" i="9" s="1"/>
  <c r="N133" i="9" s="1"/>
  <c r="AB135" i="8"/>
  <c r="F135" i="2"/>
  <c r="AA135" i="8"/>
  <c r="D135" i="8"/>
  <c r="A137" i="8"/>
  <c r="B136" i="8"/>
  <c r="C136" i="8" s="1"/>
  <c r="J136" i="8"/>
  <c r="K136" i="8" s="1"/>
  <c r="AA135" i="7"/>
  <c r="D135" i="7"/>
  <c r="B135" i="2"/>
  <c r="AF134" i="9"/>
  <c r="AB134" i="9"/>
  <c r="I134" i="2"/>
  <c r="S132" i="9"/>
  <c r="T132" i="9" s="1"/>
  <c r="G134" i="8"/>
  <c r="F134" i="8"/>
  <c r="E134" i="8"/>
  <c r="O134" i="8"/>
  <c r="R134" i="8"/>
  <c r="Q134" i="8"/>
  <c r="H134" i="8"/>
  <c r="P134" i="8"/>
  <c r="I133" i="8"/>
  <c r="L133" i="8" s="1"/>
  <c r="M133" i="8" s="1"/>
  <c r="N133" i="8" s="1"/>
  <c r="D134" i="9"/>
  <c r="AE134" i="9"/>
  <c r="AA134" i="9"/>
  <c r="AG131" i="9"/>
  <c r="AC131" i="9"/>
  <c r="J131" i="2"/>
  <c r="K131" i="2" s="1"/>
  <c r="U131" i="9"/>
  <c r="W131" i="9" s="1"/>
  <c r="AC132" i="7"/>
  <c r="D132" i="2"/>
  <c r="E132" i="2" s="1"/>
  <c r="U132" i="7"/>
  <c r="W132" i="7" s="1"/>
  <c r="O135" i="7" l="1"/>
  <c r="F135" i="7"/>
  <c r="E135" i="7"/>
  <c r="H135" i="7"/>
  <c r="G135" i="7"/>
  <c r="P135" i="7"/>
  <c r="R135" i="7"/>
  <c r="Q135" i="7"/>
  <c r="AC134" i="7"/>
  <c r="D134" i="2"/>
  <c r="E134" i="2" s="1"/>
  <c r="U134" i="7"/>
  <c r="W134" i="7" s="1"/>
  <c r="A138" i="8"/>
  <c r="B137" i="8"/>
  <c r="C137" i="8" s="1"/>
  <c r="J137" i="8"/>
  <c r="K137" i="8" s="1"/>
  <c r="AA136" i="7"/>
  <c r="B136" i="2"/>
  <c r="D136" i="7"/>
  <c r="AB136" i="7"/>
  <c r="C136" i="2"/>
  <c r="AC133" i="8"/>
  <c r="G133" i="2"/>
  <c r="H133" i="2" s="1"/>
  <c r="U133" i="8"/>
  <c r="W133" i="8" s="1"/>
  <c r="AF135" i="9"/>
  <c r="AB135" i="9"/>
  <c r="I135" i="2"/>
  <c r="AA136" i="8"/>
  <c r="D136" i="8"/>
  <c r="S134" i="8"/>
  <c r="T134" i="8" s="1"/>
  <c r="AG133" i="9"/>
  <c r="AC133" i="9"/>
  <c r="J133" i="2"/>
  <c r="K133" i="2" s="1"/>
  <c r="U133" i="9"/>
  <c r="W133" i="9" s="1"/>
  <c r="A137" i="2"/>
  <c r="A138" i="7"/>
  <c r="B137" i="7"/>
  <c r="C137" i="7" s="1"/>
  <c r="J137" i="7"/>
  <c r="K137" i="7" s="1"/>
  <c r="A137" i="9"/>
  <c r="B136" i="9"/>
  <c r="C136" i="9" s="1"/>
  <c r="J136" i="9"/>
  <c r="K136" i="9" s="1"/>
  <c r="I134" i="7"/>
  <c r="L134" i="7" s="1"/>
  <c r="M134" i="7" s="1"/>
  <c r="N134" i="7" s="1"/>
  <c r="AB136" i="8"/>
  <c r="F136" i="2"/>
  <c r="G134" i="9"/>
  <c r="R134" i="9"/>
  <c r="P134" i="9"/>
  <c r="O134" i="9"/>
  <c r="H134" i="9"/>
  <c r="E134" i="9"/>
  <c r="Q134" i="9"/>
  <c r="F134" i="9"/>
  <c r="P135" i="8"/>
  <c r="R135" i="8"/>
  <c r="Q135" i="8"/>
  <c r="O135" i="8"/>
  <c r="S135" i="8" s="1"/>
  <c r="T135" i="8" s="1"/>
  <c r="E135" i="8"/>
  <c r="H135" i="8"/>
  <c r="G135" i="8"/>
  <c r="F135" i="8"/>
  <c r="I134" i="8"/>
  <c r="L134" i="8" s="1"/>
  <c r="M134" i="8" s="1"/>
  <c r="N134" i="8" s="1"/>
  <c r="AG132" i="9"/>
  <c r="J132" i="2"/>
  <c r="K132" i="2" s="1"/>
  <c r="AC132" i="9"/>
  <c r="U132" i="9"/>
  <c r="W132" i="9" s="1"/>
  <c r="AA135" i="9"/>
  <c r="AE135" i="9"/>
  <c r="D135" i="9"/>
  <c r="AF136" i="9" l="1"/>
  <c r="AB136" i="9"/>
  <c r="I136" i="2"/>
  <c r="AA136" i="9"/>
  <c r="D136" i="9"/>
  <c r="AE136" i="9"/>
  <c r="A138" i="9"/>
  <c r="B137" i="9"/>
  <c r="C137" i="9" s="1"/>
  <c r="J137" i="9"/>
  <c r="K137" i="9" s="1"/>
  <c r="AB137" i="7"/>
  <c r="C137" i="2"/>
  <c r="D137" i="7"/>
  <c r="AA137" i="7"/>
  <c r="B137" i="2"/>
  <c r="R136" i="7"/>
  <c r="H136" i="7"/>
  <c r="Q136" i="7"/>
  <c r="P136" i="7"/>
  <c r="O136" i="7"/>
  <c r="S136" i="7" s="1"/>
  <c r="T136" i="7" s="1"/>
  <c r="G136" i="7"/>
  <c r="F136" i="7"/>
  <c r="E136" i="7"/>
  <c r="I135" i="8"/>
  <c r="L135" i="8" s="1"/>
  <c r="M135" i="8" s="1"/>
  <c r="N135" i="8" s="1"/>
  <c r="B138" i="8"/>
  <c r="C138" i="8" s="1"/>
  <c r="J138" i="8"/>
  <c r="K138" i="8" s="1"/>
  <c r="A139" i="8"/>
  <c r="AC134" i="8"/>
  <c r="G134" i="2"/>
  <c r="H134" i="2" s="1"/>
  <c r="U134" i="8"/>
  <c r="W134" i="8" s="1"/>
  <c r="S134" i="9"/>
  <c r="T134" i="9" s="1"/>
  <c r="I135" i="7"/>
  <c r="L135" i="7" s="1"/>
  <c r="M135" i="7" s="1"/>
  <c r="N135" i="7" s="1"/>
  <c r="AC135" i="8"/>
  <c r="G135" i="2"/>
  <c r="H135" i="2" s="1"/>
  <c r="U135" i="8"/>
  <c r="W135" i="8" s="1"/>
  <c r="AB137" i="8"/>
  <c r="F137" i="2"/>
  <c r="AA137" i="8"/>
  <c r="D137" i="8"/>
  <c r="H135" i="9"/>
  <c r="G135" i="9"/>
  <c r="F135" i="9"/>
  <c r="E135" i="9"/>
  <c r="P135" i="9"/>
  <c r="R135" i="9"/>
  <c r="O135" i="9"/>
  <c r="Q135" i="9"/>
  <c r="B138" i="7"/>
  <c r="C138" i="7" s="1"/>
  <c r="J138" i="7"/>
  <c r="K138" i="7" s="1"/>
  <c r="A139" i="7"/>
  <c r="A138" i="2"/>
  <c r="I134" i="9"/>
  <c r="L134" i="9" s="1"/>
  <c r="M134" i="9" s="1"/>
  <c r="N134" i="9" s="1"/>
  <c r="O136" i="8"/>
  <c r="E136" i="8"/>
  <c r="H136" i="8"/>
  <c r="G136" i="8"/>
  <c r="F136" i="8"/>
  <c r="Q136" i="8"/>
  <c r="R136" i="8"/>
  <c r="P136" i="8"/>
  <c r="S135" i="7"/>
  <c r="T135" i="7" s="1"/>
  <c r="I136" i="8" l="1"/>
  <c r="L136" i="8" s="1"/>
  <c r="M136" i="8" s="1"/>
  <c r="N136" i="8" s="1"/>
  <c r="AG134" i="9"/>
  <c r="AC134" i="9"/>
  <c r="J134" i="2"/>
  <c r="K134" i="2" s="1"/>
  <c r="U134" i="9"/>
  <c r="W134" i="9" s="1"/>
  <c r="J139" i="7"/>
  <c r="K139" i="7" s="1"/>
  <c r="A140" i="7"/>
  <c r="B139" i="7"/>
  <c r="C139" i="7" s="1"/>
  <c r="A139" i="2"/>
  <c r="AA138" i="7"/>
  <c r="D138" i="7"/>
  <c r="B138" i="2"/>
  <c r="B139" i="8"/>
  <c r="C139" i="8" s="1"/>
  <c r="J139" i="8"/>
  <c r="K139" i="8" s="1"/>
  <c r="A140" i="8"/>
  <c r="G136" i="9"/>
  <c r="F136" i="9"/>
  <c r="E136" i="9"/>
  <c r="O136" i="9"/>
  <c r="Q136" i="9"/>
  <c r="P136" i="9"/>
  <c r="R136" i="9"/>
  <c r="H136" i="9"/>
  <c r="S135" i="9"/>
  <c r="T135" i="9" s="1"/>
  <c r="I135" i="9"/>
  <c r="L135" i="9" s="1"/>
  <c r="M135" i="9" s="1"/>
  <c r="N135" i="9" s="1"/>
  <c r="AC136" i="7"/>
  <c r="D136" i="2"/>
  <c r="E136" i="2" s="1"/>
  <c r="U136" i="7"/>
  <c r="W136" i="7" s="1"/>
  <c r="F137" i="8"/>
  <c r="E137" i="8"/>
  <c r="R137" i="8"/>
  <c r="Q137" i="8"/>
  <c r="P137" i="8"/>
  <c r="O137" i="8"/>
  <c r="S137" i="8" s="1"/>
  <c r="T137" i="8" s="1"/>
  <c r="H137" i="8"/>
  <c r="G137" i="8"/>
  <c r="AC135" i="7"/>
  <c r="D135" i="2"/>
  <c r="E135" i="2" s="1"/>
  <c r="U135" i="7"/>
  <c r="W135" i="7" s="1"/>
  <c r="Q137" i="7"/>
  <c r="G137" i="7"/>
  <c r="E137" i="7"/>
  <c r="F137" i="7"/>
  <c r="R137" i="7"/>
  <c r="P137" i="7"/>
  <c r="O137" i="7"/>
  <c r="S137" i="7" s="1"/>
  <c r="T137" i="7" s="1"/>
  <c r="H137" i="7"/>
  <c r="S136" i="8"/>
  <c r="T136" i="8" s="1"/>
  <c r="AF137" i="9"/>
  <c r="AB137" i="9"/>
  <c r="I137" i="2"/>
  <c r="AA137" i="9"/>
  <c r="AE137" i="9"/>
  <c r="D137" i="9"/>
  <c r="AB138" i="7"/>
  <c r="C138" i="2"/>
  <c r="J138" i="9"/>
  <c r="K138" i="9" s="1"/>
  <c r="B138" i="9"/>
  <c r="C138" i="9" s="1"/>
  <c r="A139" i="9"/>
  <c r="AB138" i="8"/>
  <c r="F138" i="2"/>
  <c r="AA138" i="8"/>
  <c r="D138" i="8"/>
  <c r="I136" i="7"/>
  <c r="L136" i="7" s="1"/>
  <c r="M136" i="7" s="1"/>
  <c r="N136" i="7" s="1"/>
  <c r="P138" i="8" l="1"/>
  <c r="O138" i="8"/>
  <c r="E138" i="8"/>
  <c r="G138" i="8"/>
  <c r="H138" i="8"/>
  <c r="Q138" i="8"/>
  <c r="F138" i="8"/>
  <c r="R138" i="8"/>
  <c r="S136" i="9"/>
  <c r="T136" i="9" s="1"/>
  <c r="AF138" i="9"/>
  <c r="AB138" i="9"/>
  <c r="I138" i="2"/>
  <c r="AC137" i="8"/>
  <c r="G137" i="2"/>
  <c r="H137" i="2" s="1"/>
  <c r="U137" i="8"/>
  <c r="W137" i="8" s="1"/>
  <c r="O137" i="9"/>
  <c r="H137" i="9"/>
  <c r="G137" i="9"/>
  <c r="F137" i="9"/>
  <c r="Q137" i="9"/>
  <c r="R137" i="9"/>
  <c r="P137" i="9"/>
  <c r="E137" i="9"/>
  <c r="B140" i="7"/>
  <c r="C140" i="7" s="1"/>
  <c r="J140" i="7"/>
  <c r="K140" i="7" s="1"/>
  <c r="A140" i="2"/>
  <c r="I137" i="7"/>
  <c r="L137" i="7" s="1"/>
  <c r="M137" i="7" s="1"/>
  <c r="N137" i="7" s="1"/>
  <c r="I136" i="9"/>
  <c r="L136" i="9" s="1"/>
  <c r="M136" i="9" s="1"/>
  <c r="N136" i="9" s="1"/>
  <c r="A140" i="9"/>
  <c r="B139" i="9"/>
  <c r="C139" i="9" s="1"/>
  <c r="J139" i="9"/>
  <c r="K139" i="9" s="1"/>
  <c r="AE138" i="9"/>
  <c r="D138" i="9"/>
  <c r="AA138" i="9"/>
  <c r="B140" i="8"/>
  <c r="C140" i="8" s="1"/>
  <c r="J140" i="8"/>
  <c r="K140" i="8" s="1"/>
  <c r="AB139" i="8"/>
  <c r="F139" i="2"/>
  <c r="D139" i="8"/>
  <c r="AA139" i="8"/>
  <c r="I137" i="8"/>
  <c r="L137" i="8" s="1"/>
  <c r="M137" i="8" s="1"/>
  <c r="N137" i="8" s="1"/>
  <c r="C139" i="2"/>
  <c r="AB139" i="7"/>
  <c r="AC136" i="8"/>
  <c r="G136" i="2"/>
  <c r="H136" i="2" s="1"/>
  <c r="U136" i="8"/>
  <c r="W136" i="8" s="1"/>
  <c r="AC137" i="7"/>
  <c r="D137" i="2"/>
  <c r="E137" i="2" s="1"/>
  <c r="U137" i="7"/>
  <c r="W137" i="7" s="1"/>
  <c r="P138" i="7"/>
  <c r="F138" i="7"/>
  <c r="R138" i="7"/>
  <c r="Q138" i="7"/>
  <c r="O138" i="7"/>
  <c r="S138" i="7" s="1"/>
  <c r="T138" i="7" s="1"/>
  <c r="G138" i="7"/>
  <c r="E138" i="7"/>
  <c r="H138" i="7"/>
  <c r="AA139" i="7"/>
  <c r="D139" i="7"/>
  <c r="B139" i="2"/>
  <c r="AG135" i="9"/>
  <c r="AC135" i="9"/>
  <c r="J135" i="2"/>
  <c r="K135" i="2" s="1"/>
  <c r="U135" i="9"/>
  <c r="W135" i="9" s="1"/>
  <c r="Q139" i="8" l="1"/>
  <c r="O139" i="8"/>
  <c r="R139" i="8"/>
  <c r="P139" i="8"/>
  <c r="H139" i="8"/>
  <c r="F139" i="8"/>
  <c r="E139" i="8"/>
  <c r="G139" i="8"/>
  <c r="S137" i="9"/>
  <c r="T137" i="9" s="1"/>
  <c r="AE139" i="9"/>
  <c r="AA139" i="9"/>
  <c r="D139" i="9"/>
  <c r="AC136" i="9"/>
  <c r="AG136" i="9"/>
  <c r="J136" i="2"/>
  <c r="K136" i="2" s="1"/>
  <c r="U136" i="9"/>
  <c r="W136" i="9" s="1"/>
  <c r="I138" i="8"/>
  <c r="L138" i="8" s="1"/>
  <c r="M138" i="8" s="1"/>
  <c r="N138" i="8" s="1"/>
  <c r="AC138" i="7"/>
  <c r="D138" i="2"/>
  <c r="E138" i="2" s="1"/>
  <c r="U138" i="7"/>
  <c r="W138" i="7" s="1"/>
  <c r="D140" i="8"/>
  <c r="AA140" i="8"/>
  <c r="O138" i="9"/>
  <c r="S138" i="9" s="1"/>
  <c r="T138" i="9" s="1"/>
  <c r="G138" i="9"/>
  <c r="Q138" i="9"/>
  <c r="P138" i="9"/>
  <c r="E138" i="9"/>
  <c r="R138" i="9"/>
  <c r="F138" i="9"/>
  <c r="H138" i="9"/>
  <c r="AF139" i="9"/>
  <c r="AB139" i="9"/>
  <c r="I139" i="2"/>
  <c r="J140" i="9"/>
  <c r="K140" i="9" s="1"/>
  <c r="B140" i="9"/>
  <c r="C140" i="9" s="1"/>
  <c r="I137" i="9"/>
  <c r="L137" i="9" s="1"/>
  <c r="M137" i="9" s="1"/>
  <c r="N137" i="9" s="1"/>
  <c r="S138" i="8"/>
  <c r="T138" i="8" s="1"/>
  <c r="O139" i="7"/>
  <c r="E139" i="7"/>
  <c r="R139" i="7"/>
  <c r="Q139" i="7"/>
  <c r="P139" i="7"/>
  <c r="H139" i="7"/>
  <c r="G139" i="7"/>
  <c r="F139" i="7"/>
  <c r="I138" i="7"/>
  <c r="L138" i="7" s="1"/>
  <c r="M138" i="7" s="1"/>
  <c r="N138" i="7" s="1"/>
  <c r="AB140" i="8"/>
  <c r="F140" i="2"/>
  <c r="AB140" i="7"/>
  <c r="C140" i="2"/>
  <c r="D140" i="7"/>
  <c r="AA140" i="7"/>
  <c r="B140" i="2"/>
  <c r="AG138" i="9" l="1"/>
  <c r="AC138" i="9"/>
  <c r="J138" i="2"/>
  <c r="K138" i="2" s="1"/>
  <c r="U138" i="9"/>
  <c r="W138" i="9" s="1"/>
  <c r="R140" i="8"/>
  <c r="G140" i="8"/>
  <c r="F140" i="8"/>
  <c r="E140" i="8"/>
  <c r="H140" i="8"/>
  <c r="P140" i="8"/>
  <c r="O140" i="8"/>
  <c r="Q140" i="8"/>
  <c r="S139" i="7"/>
  <c r="T139" i="7" s="1"/>
  <c r="AF140" i="9"/>
  <c r="AB140" i="9"/>
  <c r="I140" i="2"/>
  <c r="G139" i="9"/>
  <c r="R139" i="9"/>
  <c r="Q139" i="9"/>
  <c r="P139" i="9"/>
  <c r="O139" i="9"/>
  <c r="S139" i="9" s="1"/>
  <c r="T139" i="9" s="1"/>
  <c r="H139" i="9"/>
  <c r="F139" i="9"/>
  <c r="E139" i="9"/>
  <c r="I139" i="8"/>
  <c r="L139" i="8" s="1"/>
  <c r="M139" i="8" s="1"/>
  <c r="N139" i="8" s="1"/>
  <c r="AE140" i="9"/>
  <c r="AA140" i="9"/>
  <c r="D140" i="9"/>
  <c r="S139" i="8"/>
  <c r="T139" i="8" s="1"/>
  <c r="I139" i="7"/>
  <c r="L139" i="7" s="1"/>
  <c r="M139" i="7" s="1"/>
  <c r="N139" i="7" s="1"/>
  <c r="G138" i="2"/>
  <c r="H138" i="2" s="1"/>
  <c r="AC138" i="8"/>
  <c r="U138" i="8"/>
  <c r="W138" i="8" s="1"/>
  <c r="B6" i="1"/>
  <c r="B7" i="1"/>
  <c r="B5" i="1"/>
  <c r="P140" i="7"/>
  <c r="E140" i="7"/>
  <c r="H140" i="7"/>
  <c r="G140" i="7"/>
  <c r="F140" i="7"/>
  <c r="Q140" i="7"/>
  <c r="O140" i="7"/>
  <c r="R140" i="7"/>
  <c r="AG137" i="9"/>
  <c r="AC137" i="9"/>
  <c r="J137" i="2"/>
  <c r="K137" i="2" s="1"/>
  <c r="U137" i="9"/>
  <c r="W137" i="9" s="1"/>
  <c r="I138" i="9"/>
  <c r="L138" i="9" s="1"/>
  <c r="M138" i="9" s="1"/>
  <c r="N138" i="9" s="1"/>
  <c r="AC139" i="9" l="1"/>
  <c r="AG139" i="9"/>
  <c r="J139" i="2"/>
  <c r="K139" i="2" s="1"/>
  <c r="U139" i="9"/>
  <c r="W139" i="9" s="1"/>
  <c r="I140" i="7"/>
  <c r="L140" i="7" s="1"/>
  <c r="M140" i="7" s="1"/>
  <c r="N140" i="7" s="1"/>
  <c r="AC139" i="7"/>
  <c r="D139" i="2"/>
  <c r="E139" i="2" s="1"/>
  <c r="U139" i="7"/>
  <c r="W139" i="7" s="1"/>
  <c r="G139" i="2"/>
  <c r="H139" i="2" s="1"/>
  <c r="AC139" i="8"/>
  <c r="U139" i="8"/>
  <c r="W139" i="8" s="1"/>
  <c r="S140" i="8"/>
  <c r="T140" i="8" s="1"/>
  <c r="I140" i="8"/>
  <c r="L140" i="8" s="1"/>
  <c r="M140" i="8" s="1"/>
  <c r="N140" i="8" s="1"/>
  <c r="I139" i="9"/>
  <c r="L139" i="9" s="1"/>
  <c r="M139" i="9" s="1"/>
  <c r="N139" i="9" s="1"/>
  <c r="S140" i="7"/>
  <c r="T140" i="7" s="1"/>
  <c r="G140" i="9"/>
  <c r="Q140" i="9"/>
  <c r="R140" i="9"/>
  <c r="P140" i="9"/>
  <c r="O140" i="9"/>
  <c r="S140" i="9" s="1"/>
  <c r="T140" i="9" s="1"/>
  <c r="H140" i="9"/>
  <c r="F140" i="9"/>
  <c r="E140" i="9"/>
  <c r="AC140" i="7" l="1"/>
  <c r="D140" i="2"/>
  <c r="U140" i="7"/>
  <c r="W140" i="7" s="1"/>
  <c r="AC140" i="9"/>
  <c r="J140" i="2"/>
  <c r="AG140" i="9"/>
  <c r="U140" i="9"/>
  <c r="W140" i="9" s="1"/>
  <c r="I140" i="9"/>
  <c r="L140" i="9" s="1"/>
  <c r="M140" i="9" s="1"/>
  <c r="N140" i="9" s="1"/>
  <c r="AC140" i="8"/>
  <c r="G140" i="2"/>
  <c r="U140" i="8"/>
  <c r="W140" i="8" s="1"/>
  <c r="D7" i="1" l="1"/>
  <c r="K140" i="2"/>
  <c r="C7" i="1" s="1"/>
  <c r="D5" i="1"/>
  <c r="E140" i="2"/>
  <c r="C5" i="1" s="1"/>
  <c r="D6" i="1"/>
  <c r="H140" i="2"/>
  <c r="C6" i="1" s="1"/>
</calcChain>
</file>

<file path=xl/sharedStrings.xml><?xml version="1.0" encoding="utf-8"?>
<sst xmlns="http://schemas.openxmlformats.org/spreadsheetml/2006/main" count="559" uniqueCount="362">
  <si>
    <t>Four-bar angular velocities</t>
  </si>
  <si>
    <t>Comparison</t>
  </si>
  <si>
    <t>Sensor N</t>
  </si>
  <si>
    <t>RMSE (360-grid)</t>
  </si>
  <si>
    <t>PMKS paired N</t>
  </si>
  <si>
    <t>Unit</t>
  </si>
  <si>
    <t>Coupler BNO055(1)</t>
  </si>
  <si>
    <t>rad/s</t>
  </si>
  <si>
    <t>Coupler MPU6050</t>
  </si>
  <si>
    <t>Follower BNO055(2)</t>
  </si>
  <si>
    <t>Tachometer speed (rpm)</t>
  </si>
  <si>
    <t>Nominal period (ms)</t>
  </si>
  <si>
    <t>Native sample count</t>
  </si>
  <si>
    <t>Native intervals</t>
  </si>
  <si>
    <t>Native time step (ms)</t>
  </si>
  <si>
    <t>Instructor grid sample count</t>
  </si>
  <si>
    <t>Instructor grid intervals</t>
  </si>
  <si>
    <t>Instructor time step (ms)</t>
  </si>
  <si>
    <t>Hall crank phase estimate (deg)</t>
  </si>
  <si>
    <t>Native initial crank angle (deg)</t>
  </si>
  <si>
    <t>Phase shift (ms)</t>
  </si>
  <si>
    <t>First source data row</t>
  </si>
  <si>
    <t>Last source data row</t>
  </si>
  <si>
    <t>Next Hall event time (ms)</t>
  </si>
  <si>
    <t>Selected cycle period (ms)</t>
  </si>
  <si>
    <t>Selected Hall speed (rpm)</t>
  </si>
  <si>
    <t>Extracted sensor and time-matched PMKS data</t>
  </si>
  <si>
    <t>Source row</t>
  </si>
  <si>
    <t>Elapsed time (ms)</t>
  </si>
  <si>
    <t>BNO1 measured (rad/s)</t>
  </si>
  <si>
    <t>BNO1 PMKS (rad/s)</t>
  </si>
  <si>
    <t>BNO1 squared error</t>
  </si>
  <si>
    <t>MPU measured (rad/s)</t>
  </si>
  <si>
    <t>MPU PMKS (rad/s)</t>
  </si>
  <si>
    <t>MPU squared error</t>
  </si>
  <si>
    <t>BNO2 measured (rad/s)</t>
  </si>
  <si>
    <t>BNO2 PMKS (rad/s)</t>
  </si>
  <si>
    <t>BNO2 squared error</t>
  </si>
  <si>
    <t>Raw Data</t>
  </si>
  <si>
    <t>source_row</t>
  </si>
  <si>
    <t>Time</t>
  </si>
  <si>
    <t>Hall</t>
  </si>
  <si>
    <t>RPM</t>
  </si>
  <si>
    <t>EncoderAngularVelocity</t>
  </si>
  <si>
    <t>BNO1GyroX</t>
  </si>
  <si>
    <t>BNO1GyroY</t>
  </si>
  <si>
    <t>BNO1GyroZ</t>
  </si>
  <si>
    <t>BNO1AngleX</t>
  </si>
  <si>
    <t>BNO1AngleY</t>
  </si>
  <si>
    <t>BNO1AngleZ</t>
  </si>
  <si>
    <t>BNO2GyroX</t>
  </si>
  <si>
    <t>BNO2GyroY</t>
  </si>
  <si>
    <t>BNO2GyroZ</t>
  </si>
  <si>
    <t>BNO2AngleX</t>
  </si>
  <si>
    <t>BNO2AngleY</t>
  </si>
  <si>
    <t>BNO2AngleZ</t>
  </si>
  <si>
    <t>MPUGyroX</t>
  </si>
  <si>
    <t>MPUGyroY</t>
  </si>
  <si>
    <t>MPUGyroZ</t>
  </si>
  <si>
    <t>MPUAngleX</t>
  </si>
  <si>
    <t>MPUAngleY</t>
  </si>
  <si>
    <t>MPUAngleZ</t>
  </si>
  <si>
    <t>Native PMKS exports and calculated coordinates</t>
  </si>
  <si>
    <t>Step</t>
  </si>
  <si>
    <t>Exported time (s)</t>
  </si>
  <si>
    <t>Calculated time (ms)</t>
  </si>
  <si>
    <t>B x (cm)</t>
  </si>
  <si>
    <t>B y (cm)</t>
  </si>
  <si>
    <t>D x (cm)</t>
  </si>
  <si>
    <t>D y (cm)</t>
  </si>
  <si>
    <t>E x (cm)</t>
  </si>
  <si>
    <t>E y (cm)</t>
  </si>
  <si>
    <t>F x (cm)</t>
  </si>
  <si>
    <t>F y (cm)</t>
  </si>
  <si>
    <t>G x (cm)</t>
  </si>
  <si>
    <t>G y (cm)</t>
  </si>
  <si>
    <t>Coupler rate (deg/s)</t>
  </si>
  <si>
    <t>Follower rate (deg/s)</t>
  </si>
  <si>
    <t>BF angle (deg)</t>
  </si>
  <si>
    <t>BG angle (deg)</t>
  </si>
  <si>
    <t>DE angle (deg)</t>
  </si>
  <si>
    <t>BF unwrapped (deg)</t>
  </si>
  <si>
    <t>BG unwrapped (deg)</t>
  </si>
  <si>
    <t>DE unwrapped (deg)</t>
  </si>
  <si>
    <t>Time difference (ms)</t>
  </si>
  <si>
    <t>Time-step calculation</t>
  </si>
  <si>
    <t>Native step</t>
  </si>
  <si>
    <t>Exported time (ms)</t>
  </si>
  <si>
    <t>Difference (ms)</t>
  </si>
  <si>
    <t>360-grid step</t>
  </si>
  <si>
    <t>360-grid time (ms)</t>
  </si>
  <si>
    <t>Instructor 360-point grid</t>
  </si>
  <si>
    <t>Time (ms)</t>
  </si>
  <si>
    <t>Native lower row</t>
  </si>
  <si>
    <t>Native upper row</t>
  </si>
  <si>
    <t>Weight</t>
  </si>
  <si>
    <t>Raw time (ms)</t>
  </si>
  <si>
    <t>PMKS query (ms)</t>
  </si>
  <si>
    <t>X1 (ms)</t>
  </si>
  <si>
    <t>X2 (ms)</t>
  </si>
  <si>
    <t>Y1</t>
  </si>
  <si>
    <t>Y2</t>
  </si>
  <si>
    <t>Interpolated native</t>
  </si>
  <si>
    <t>Raw sensor</t>
  </si>
  <si>
    <t>Measured rate (rad/s)</t>
  </si>
  <si>
    <t>PMKS native</t>
  </si>
  <si>
    <t>Residual</t>
  </si>
  <si>
    <t>Squared error</t>
  </si>
  <si>
    <t>360 X1 (ms)</t>
  </si>
  <si>
    <t>360 X2 (ms)</t>
  </si>
  <si>
    <t>360 Y1</t>
  </si>
  <si>
    <t>360 Y2</t>
  </si>
  <si>
    <t>Interpolated 360</t>
  </si>
  <si>
    <t>PMKS rate (rad/s)</t>
  </si>
  <si>
    <t>Error (rad/s)</t>
  </si>
  <si>
    <t>Squared error ((rad/s)^2)</t>
  </si>
  <si>
    <t>Measured</t>
  </si>
  <si>
    <t>PMKS+ 20 rpm</t>
  </si>
  <si>
    <t>Wired BNO055(2)</t>
  </si>
  <si>
    <t>Measured motion and PMKS prediction</t>
  </si>
  <si>
    <t>Wireless input speed and follower axes</t>
  </si>
  <si>
    <t>Recording</t>
  </si>
  <si>
    <t>Complete cycles</t>
  </si>
  <si>
    <t>Elapsed (ms)</t>
  </si>
  <si>
    <t>Mean rpm</t>
  </si>
  <si>
    <t>Tachometer rpm</t>
  </si>
  <si>
    <t>Difference (%)</t>
  </si>
  <si>
    <t>original</t>
  </si>
  <si>
    <t>replacement</t>
  </si>
  <si>
    <t>Wireless Cycles</t>
  </si>
  <si>
    <t>Cycle</t>
  </si>
  <si>
    <t>Start time (ms)</t>
  </si>
  <si>
    <t>End time (ms)</t>
  </si>
  <si>
    <t>Period (ms)</t>
  </si>
  <si>
    <t>Speed (rpm)</t>
  </si>
  <si>
    <t>Wireless input and follower comparisons</t>
  </si>
  <si>
    <t>Original input</t>
  </si>
  <si>
    <t>pc_ms</t>
  </si>
  <si>
    <t>cycle_time_s</t>
  </si>
  <si>
    <t>phase_fraction</t>
  </si>
  <si>
    <t>accel_x_g</t>
  </si>
  <si>
    <t>accel_y_g</t>
  </si>
  <si>
    <t>accel_z_g</t>
  </si>
  <si>
    <t>gyro_x_deg_s</t>
  </si>
  <si>
    <t>gyro_y_deg_s</t>
  </si>
  <si>
    <t>gyro_z_deg_s</t>
  </si>
  <si>
    <t>angle_x_deg</t>
  </si>
  <si>
    <t>angle_y_deg</t>
  </si>
  <si>
    <t>angle_z_deg</t>
  </si>
  <si>
    <t>Magnetic field X(ʯt)</t>
  </si>
  <si>
    <t>Magnetic field Y(ʯt)</t>
  </si>
  <si>
    <t>Magnetic field Z(ʯt)</t>
  </si>
  <si>
    <t>Temperature(℃)</t>
  </si>
  <si>
    <t>quaternion_0</t>
  </si>
  <si>
    <t>quaternion_1</t>
  </si>
  <si>
    <t>quaternion_2</t>
  </si>
  <si>
    <t>quaternion_3</t>
  </si>
  <si>
    <t>elapsed_s</t>
  </si>
  <si>
    <t>raw_rows_at_time</t>
  </si>
  <si>
    <t>distinct_payloads_at_time</t>
  </si>
  <si>
    <t>source_csv_lines</t>
  </si>
  <si>
    <t>gyro_x_rad_s</t>
  </si>
  <si>
    <t>gyro_y_rad_s</t>
  </si>
  <si>
    <t>gyro_z_rad_s</t>
  </si>
  <si>
    <t>Gyro X</t>
  </si>
  <si>
    <t>Gyro Y</t>
  </si>
  <si>
    <t>Gyro Z</t>
  </si>
  <si>
    <t>Angle Y (deg)</t>
  </si>
  <si>
    <t>Angle X</t>
  </si>
  <si>
    <t>Angle Y</t>
  </si>
  <si>
    <t>Angle Z</t>
  </si>
  <si>
    <t>368</t>
  </si>
  <si>
    <t>370</t>
  </si>
  <si>
    <t>371</t>
  </si>
  <si>
    <t>373</t>
  </si>
  <si>
    <t>376</t>
  </si>
  <si>
    <t>378</t>
  </si>
  <si>
    <t>379</t>
  </si>
  <si>
    <t>381</t>
  </si>
  <si>
    <t>384</t>
  </si>
  <si>
    <t>386</t>
  </si>
  <si>
    <t>387</t>
  </si>
  <si>
    <t>389</t>
  </si>
  <si>
    <t>392</t>
  </si>
  <si>
    <t>394</t>
  </si>
  <si>
    <t>395</t>
  </si>
  <si>
    <t>397</t>
  </si>
  <si>
    <t>400</t>
  </si>
  <si>
    <t>402</t>
  </si>
  <si>
    <t>403</t>
  </si>
  <si>
    <t>405</t>
  </si>
  <si>
    <t>408</t>
  </si>
  <si>
    <t>410</t>
  </si>
  <si>
    <t>411</t>
  </si>
  <si>
    <t>413</t>
  </si>
  <si>
    <t>416</t>
  </si>
  <si>
    <t>418</t>
  </si>
  <si>
    <t>419</t>
  </si>
  <si>
    <t>420</t>
  </si>
  <si>
    <t>424</t>
  </si>
  <si>
    <t>426</t>
  </si>
  <si>
    <t>427</t>
  </si>
  <si>
    <t>429</t>
  </si>
  <si>
    <t>432</t>
  </si>
  <si>
    <t>434</t>
  </si>
  <si>
    <t>435</t>
  </si>
  <si>
    <t>437</t>
  </si>
  <si>
    <t>440</t>
  </si>
  <si>
    <t>442</t>
  </si>
  <si>
    <t>443</t>
  </si>
  <si>
    <t>445</t>
  </si>
  <si>
    <t>448</t>
  </si>
  <si>
    <t>450;451</t>
  </si>
  <si>
    <t>453</t>
  </si>
  <si>
    <t>456</t>
  </si>
  <si>
    <t>458</t>
  </si>
  <si>
    <t>459</t>
  </si>
  <si>
    <t>461</t>
  </si>
  <si>
    <t>464</t>
  </si>
  <si>
    <t>466</t>
  </si>
  <si>
    <t>467</t>
  </si>
  <si>
    <t>469</t>
  </si>
  <si>
    <t>472</t>
  </si>
  <si>
    <t>473</t>
  </si>
  <si>
    <t>475</t>
  </si>
  <si>
    <t>477</t>
  </si>
  <si>
    <t>479</t>
  </si>
  <si>
    <t>482</t>
  </si>
  <si>
    <t>483</t>
  </si>
  <si>
    <t>485</t>
  </si>
  <si>
    <t>Original follower</t>
  </si>
  <si>
    <t>366;367</t>
  </si>
  <si>
    <t>369</t>
  </si>
  <si>
    <t>372</t>
  </si>
  <si>
    <t>374</t>
  </si>
  <si>
    <t>375</t>
  </si>
  <si>
    <t>377</t>
  </si>
  <si>
    <t>380</t>
  </si>
  <si>
    <t>382</t>
  </si>
  <si>
    <t>383</t>
  </si>
  <si>
    <t>385</t>
  </si>
  <si>
    <t>388</t>
  </si>
  <si>
    <t>390</t>
  </si>
  <si>
    <t>391</t>
  </si>
  <si>
    <t>393</t>
  </si>
  <si>
    <t>396</t>
  </si>
  <si>
    <t>398</t>
  </si>
  <si>
    <t>399</t>
  </si>
  <si>
    <t>401</t>
  </si>
  <si>
    <t>404</t>
  </si>
  <si>
    <t>406;407</t>
  </si>
  <si>
    <t>409</t>
  </si>
  <si>
    <t>412</t>
  </si>
  <si>
    <t>414</t>
  </si>
  <si>
    <t>415</t>
  </si>
  <si>
    <t>417</t>
  </si>
  <si>
    <t>421</t>
  </si>
  <si>
    <t>422</t>
  </si>
  <si>
    <t>423</t>
  </si>
  <si>
    <t>425</t>
  </si>
  <si>
    <t>428</t>
  </si>
  <si>
    <t>430</t>
  </si>
  <si>
    <t>431</t>
  </si>
  <si>
    <t>433</t>
  </si>
  <si>
    <t>436</t>
  </si>
  <si>
    <t>438</t>
  </si>
  <si>
    <t>439</t>
  </si>
  <si>
    <t>441</t>
  </si>
  <si>
    <t>444</t>
  </si>
  <si>
    <t>446</t>
  </si>
  <si>
    <t>447</t>
  </si>
  <si>
    <t>449</t>
  </si>
  <si>
    <t>452</t>
  </si>
  <si>
    <t>454</t>
  </si>
  <si>
    <t>455</t>
  </si>
  <si>
    <t>457</t>
  </si>
  <si>
    <t>460</t>
  </si>
  <si>
    <t>462;463</t>
  </si>
  <si>
    <t>465</t>
  </si>
  <si>
    <t>468</t>
  </si>
  <si>
    <t>470</t>
  </si>
  <si>
    <t>471</t>
  </si>
  <si>
    <t>474</t>
  </si>
  <si>
    <t>476</t>
  </si>
  <si>
    <t>478</t>
  </si>
  <si>
    <t>480</t>
  </si>
  <si>
    <t>481</t>
  </si>
  <si>
    <t>484</t>
  </si>
  <si>
    <t>486</t>
  </si>
  <si>
    <t>Replacement input</t>
  </si>
  <si>
    <t>433;434;435</t>
  </si>
  <si>
    <t>439;440;441</t>
  </si>
  <si>
    <t>442;443</t>
  </si>
  <si>
    <t>447;448</t>
  </si>
  <si>
    <t>451</t>
  </si>
  <si>
    <t>454;455;456</t>
  </si>
  <si>
    <t>459;460</t>
  </si>
  <si>
    <t>462</t>
  </si>
  <si>
    <t>463;464;465</t>
  </si>
  <si>
    <t>468;469;470</t>
  </si>
  <si>
    <t>472;473</t>
  </si>
  <si>
    <t>476;477</t>
  </si>
  <si>
    <t>482;483;484</t>
  </si>
  <si>
    <t>487;488</t>
  </si>
  <si>
    <t>490</t>
  </si>
  <si>
    <t>491;492;493</t>
  </si>
  <si>
    <t>495</t>
  </si>
  <si>
    <t>496;497;498</t>
  </si>
  <si>
    <t>500;501</t>
  </si>
  <si>
    <t>502</t>
  </si>
  <si>
    <t>504;505</t>
  </si>
  <si>
    <t>506</t>
  </si>
  <si>
    <t>507</t>
  </si>
  <si>
    <t>509</t>
  </si>
  <si>
    <t>511;512;513</t>
  </si>
  <si>
    <t>514;515</t>
  </si>
  <si>
    <t>517</t>
  </si>
  <si>
    <t>519;520</t>
  </si>
  <si>
    <t>521</t>
  </si>
  <si>
    <t>523;524;525</t>
  </si>
  <si>
    <t>526;527</t>
  </si>
  <si>
    <t>530</t>
  </si>
  <si>
    <t>531;532</t>
  </si>
  <si>
    <t>533</t>
  </si>
  <si>
    <t>535;536</t>
  </si>
  <si>
    <t>537</t>
  </si>
  <si>
    <t>539;540;541</t>
  </si>
  <si>
    <t>542;543</t>
  </si>
  <si>
    <t>545;546</t>
  </si>
  <si>
    <t>548;549</t>
  </si>
  <si>
    <t>550</t>
  </si>
  <si>
    <t>552;553</t>
  </si>
  <si>
    <t>554;555</t>
  </si>
  <si>
    <t>558;559;560</t>
  </si>
  <si>
    <t>561</t>
  </si>
  <si>
    <t>562;563</t>
  </si>
  <si>
    <t>565</t>
  </si>
  <si>
    <t>567;568</t>
  </si>
  <si>
    <t>569;570;571</t>
  </si>
  <si>
    <t>572</t>
  </si>
  <si>
    <t>Replacement follower</t>
  </si>
  <si>
    <t>450</t>
  </si>
  <si>
    <t>489</t>
  </si>
  <si>
    <t>494</t>
  </si>
  <si>
    <t>499</t>
  </si>
  <si>
    <t>503</t>
  </si>
  <si>
    <t>508</t>
  </si>
  <si>
    <t>510</t>
  </si>
  <si>
    <t>516</t>
  </si>
  <si>
    <t>518</t>
  </si>
  <si>
    <t>522</t>
  </si>
  <si>
    <t>528</t>
  </si>
  <si>
    <t>529</t>
  </si>
  <si>
    <t>534</t>
  </si>
  <si>
    <t>538</t>
  </si>
  <si>
    <t>544</t>
  </si>
  <si>
    <t>547</t>
  </si>
  <si>
    <t>551</t>
  </si>
  <si>
    <t>556</t>
  </si>
  <si>
    <t>557</t>
  </si>
  <si>
    <t>564</t>
  </si>
  <si>
    <t>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</si>
</sst>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00000000"/>
    <numFmt numFmtId="167" formatCode="0.000"/>
  </numFmts>
  <fonts count="4">
    <font>
      <sz val="11"/>
      <name val="Carlito"/>
    </font>
    <font>
      <sz val="10"/>
      <color rgb="FF17202A"/>
      <name val="Arial"/>
    </font>
    <font>
      <b/>
      <sz val="14"/>
      <color rgb="FF17202A"/>
      <name val="Arial"/>
    </font>
    <font>
      <b/>
      <sz val="10"/>
      <color rgb="FF17202A"/>
      <name val="Arial"/>
    </font>
  </fonts>
  <fills count="4">
    <fill>
      <patternFill patternType="none"/>
    </fill>
    <fill>
      <patternFill patternType="gray125"/>
    </fill>
    <fill>
      <patternFill patternType="solid">
        <fgColor rgb="FFE9EEF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1" fillId="3" borderId="0" xfId="0" applyNumberFormat="1" applyFont="1" applyFill="1"/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Coupler BNO055(1)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'BNO1 Rate'!$AA$6:$AA$140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'BNO1 Rate'!$AB$6:$AB$140</c:f>
              <c:numCache>
                <c:formatCode>General</c:formatCode>
                <c:ptCount val="135"/>
                <c:pt idx="0">
                  <c:v>-1.1017390903214204</c:v>
                </c:pt>
                <c:pt idx="1">
                  <c:v>-1.1093749057988957</c:v>
                </c:pt>
                <c:pt idx="2">
                  <c:v>-1.1540989678812503</c:v>
                </c:pt>
                <c:pt idx="3">
                  <c:v>-1.1650072757062149</c:v>
                </c:pt>
                <c:pt idx="4">
                  <c:v>-1.1704614296186973</c:v>
                </c:pt>
                <c:pt idx="5">
                  <c:v>-1.1879147221386406</c:v>
                </c:pt>
                <c:pt idx="6">
                  <c:v>-1.1540989678812503</c:v>
                </c:pt>
                <c:pt idx="7">
                  <c:v>-1.1399181677087964</c:v>
                </c:pt>
                <c:pt idx="8">
                  <c:v>-1.0831949670189809</c:v>
                </c:pt>
                <c:pt idx="9">
                  <c:v>-1.0602875205865552</c:v>
                </c:pt>
                <c:pt idx="10">
                  <c:v>-1.0133817969392076</c:v>
                </c:pt>
                <c:pt idx="11">
                  <c:v>-0.97956604268181746</c:v>
                </c:pt>
                <c:pt idx="12">
                  <c:v>-0.94138696529444144</c:v>
                </c:pt>
                <c:pt idx="13">
                  <c:v>-0.91302536494953368</c:v>
                </c:pt>
                <c:pt idx="14">
                  <c:v>-0.83884887173977463</c:v>
                </c:pt>
                <c:pt idx="15">
                  <c:v>-0.79085231730993055</c:v>
                </c:pt>
                <c:pt idx="16">
                  <c:v>-0.73958327053259709</c:v>
                </c:pt>
                <c:pt idx="17">
                  <c:v>-0.71667582410017161</c:v>
                </c:pt>
                <c:pt idx="18">
                  <c:v>-0.67522425436530631</c:v>
                </c:pt>
                <c:pt idx="19">
                  <c:v>-0.64686265402039833</c:v>
                </c:pt>
                <c:pt idx="20">
                  <c:v>-0.60322942272054014</c:v>
                </c:pt>
                <c:pt idx="21">
                  <c:v>-0.56505034533316412</c:v>
                </c:pt>
                <c:pt idx="22">
                  <c:v>-0.49741883681838389</c:v>
                </c:pt>
                <c:pt idx="23">
                  <c:v>-0.45923975943100792</c:v>
                </c:pt>
                <c:pt idx="24">
                  <c:v>-0.43742314378107883</c:v>
                </c:pt>
                <c:pt idx="25">
                  <c:v>-0.40578905108868157</c:v>
                </c:pt>
                <c:pt idx="26">
                  <c:v>-0.38288160465625604</c:v>
                </c:pt>
                <c:pt idx="27">
                  <c:v>-0.35452000431134817</c:v>
                </c:pt>
                <c:pt idx="28">
                  <c:v>-0.33597588100890846</c:v>
                </c:pt>
                <c:pt idx="29">
                  <c:v>-0.31852258848896514</c:v>
                </c:pt>
                <c:pt idx="30">
                  <c:v>-0.29670597283903605</c:v>
                </c:pt>
                <c:pt idx="31">
                  <c:v>-0.26289021858164591</c:v>
                </c:pt>
                <c:pt idx="32">
                  <c:v>-0.25198191075668136</c:v>
                </c:pt>
                <c:pt idx="33">
                  <c:v>-0.23452861823673801</c:v>
                </c:pt>
                <c:pt idx="34">
                  <c:v>-0.20834867945682309</c:v>
                </c:pt>
                <c:pt idx="35">
                  <c:v>-0.19525871006686563</c:v>
                </c:pt>
                <c:pt idx="36">
                  <c:v>-0.17453292519943295</c:v>
                </c:pt>
                <c:pt idx="37">
                  <c:v>-0.15926129424448257</c:v>
                </c:pt>
                <c:pt idx="38">
                  <c:v>-0.14180800172453928</c:v>
                </c:pt>
                <c:pt idx="39">
                  <c:v>-0.11344640137963143</c:v>
                </c:pt>
                <c:pt idx="40">
                  <c:v>-9.7083939642184591E-2</c:v>
                </c:pt>
                <c:pt idx="41">
                  <c:v>-7.0904000862269639E-2</c:v>
                </c:pt>
                <c:pt idx="42">
                  <c:v>-5.345070834232634E-2</c:v>
                </c:pt>
                <c:pt idx="43">
                  <c:v>-3.7088246604879506E-2</c:v>
                </c:pt>
                <c:pt idx="44">
                  <c:v>-1.9634954084936207E-2</c:v>
                </c:pt>
                <c:pt idx="45">
                  <c:v>-5.4541539124822796E-3</c:v>
                </c:pt>
                <c:pt idx="46">
                  <c:v>1.5271630954950384E-2</c:v>
                </c:pt>
                <c:pt idx="47">
                  <c:v>2.8361600344907856E-2</c:v>
                </c:pt>
                <c:pt idx="48">
                  <c:v>5.345070834232634E-2</c:v>
                </c:pt>
                <c:pt idx="49">
                  <c:v>6.5449846949787352E-2</c:v>
                </c:pt>
                <c:pt idx="50">
                  <c:v>8.5084801034723559E-2</c:v>
                </c:pt>
                <c:pt idx="51">
                  <c:v>0.10144726277217039</c:v>
                </c:pt>
                <c:pt idx="52">
                  <c:v>0.11780972450961724</c:v>
                </c:pt>
                <c:pt idx="53">
                  <c:v>0.14944381720201447</c:v>
                </c:pt>
                <c:pt idx="54">
                  <c:v>0.17235126363444003</c:v>
                </c:pt>
                <c:pt idx="55">
                  <c:v>0.19416787928436918</c:v>
                </c:pt>
                <c:pt idx="56">
                  <c:v>0.2159844949342983</c:v>
                </c:pt>
                <c:pt idx="57">
                  <c:v>0.23343778745424157</c:v>
                </c:pt>
                <c:pt idx="58">
                  <c:v>0.26070855701665296</c:v>
                </c:pt>
                <c:pt idx="59">
                  <c:v>0.28361600344907856</c:v>
                </c:pt>
                <c:pt idx="60">
                  <c:v>0.31743175770646864</c:v>
                </c:pt>
                <c:pt idx="61">
                  <c:v>0.34033920413889424</c:v>
                </c:pt>
                <c:pt idx="62">
                  <c:v>0.3687008044838021</c:v>
                </c:pt>
                <c:pt idx="63">
                  <c:v>0.39706240482870997</c:v>
                </c:pt>
                <c:pt idx="64">
                  <c:v>0.42106068204363201</c:v>
                </c:pt>
                <c:pt idx="65">
                  <c:v>0.44614979004105049</c:v>
                </c:pt>
                <c:pt idx="66">
                  <c:v>0.47996554429844063</c:v>
                </c:pt>
                <c:pt idx="67">
                  <c:v>0.50505465229585911</c:v>
                </c:pt>
                <c:pt idx="68">
                  <c:v>0.5497787143782138</c:v>
                </c:pt>
                <c:pt idx="69">
                  <c:v>0.571595330028143</c:v>
                </c:pt>
                <c:pt idx="70">
                  <c:v>0.60541108428553314</c:v>
                </c:pt>
                <c:pt idx="71">
                  <c:v>0.62722769993546212</c:v>
                </c:pt>
                <c:pt idx="72">
                  <c:v>0.65122597715038411</c:v>
                </c:pt>
                <c:pt idx="73">
                  <c:v>0.67195176201781692</c:v>
                </c:pt>
                <c:pt idx="74">
                  <c:v>0.69922253158022829</c:v>
                </c:pt>
                <c:pt idx="75">
                  <c:v>0.73085662427262543</c:v>
                </c:pt>
                <c:pt idx="76">
                  <c:v>0.75158240914005803</c:v>
                </c:pt>
                <c:pt idx="77">
                  <c:v>0.76576320931251207</c:v>
                </c:pt>
                <c:pt idx="78">
                  <c:v>0.80066979435239871</c:v>
                </c:pt>
                <c:pt idx="79">
                  <c:v>0.82575890234981719</c:v>
                </c:pt>
                <c:pt idx="80">
                  <c:v>0.83775804095727813</c:v>
                </c:pt>
                <c:pt idx="81">
                  <c:v>0.84757551799974618</c:v>
                </c:pt>
                <c:pt idx="82">
                  <c:v>0.86830130286717899</c:v>
                </c:pt>
                <c:pt idx="83">
                  <c:v>0.87702794912715065</c:v>
                </c:pt>
                <c:pt idx="84">
                  <c:v>0.86721047208468238</c:v>
                </c:pt>
                <c:pt idx="85">
                  <c:v>0.86502881051968961</c:v>
                </c:pt>
                <c:pt idx="86">
                  <c:v>0.87484628756215765</c:v>
                </c:pt>
                <c:pt idx="87">
                  <c:v>0.87484628756215765</c:v>
                </c:pt>
                <c:pt idx="88">
                  <c:v>0.84975717956473917</c:v>
                </c:pt>
                <c:pt idx="89">
                  <c:v>0.85630216425971795</c:v>
                </c:pt>
                <c:pt idx="90">
                  <c:v>0.83339471782729235</c:v>
                </c:pt>
                <c:pt idx="91">
                  <c:v>0.83993970252227113</c:v>
                </c:pt>
                <c:pt idx="92">
                  <c:v>0.82030474843733492</c:v>
                </c:pt>
                <c:pt idx="93">
                  <c:v>0.83557637939228513</c:v>
                </c:pt>
                <c:pt idx="94">
                  <c:v>0.81157810217736315</c:v>
                </c:pt>
                <c:pt idx="95">
                  <c:v>0.80830560982987387</c:v>
                </c:pt>
                <c:pt idx="96">
                  <c:v>0.77776234791997312</c:v>
                </c:pt>
                <c:pt idx="97">
                  <c:v>0.74830991679256886</c:v>
                </c:pt>
                <c:pt idx="98">
                  <c:v>0.72431163957764677</c:v>
                </c:pt>
                <c:pt idx="99">
                  <c:v>0.715584993317675</c:v>
                </c:pt>
                <c:pt idx="100">
                  <c:v>0.6774059159302992</c:v>
                </c:pt>
                <c:pt idx="101">
                  <c:v>0.67195176201781692</c:v>
                </c:pt>
                <c:pt idx="102">
                  <c:v>0.62068271524048346</c:v>
                </c:pt>
                <c:pt idx="103">
                  <c:v>0.59450277646056848</c:v>
                </c:pt>
                <c:pt idx="104">
                  <c:v>0.5497787143782138</c:v>
                </c:pt>
                <c:pt idx="105">
                  <c:v>0.52250794481580243</c:v>
                </c:pt>
                <c:pt idx="106">
                  <c:v>0.48432886742842646</c:v>
                </c:pt>
                <c:pt idx="107">
                  <c:v>0.44942228238853982</c:v>
                </c:pt>
                <c:pt idx="108">
                  <c:v>0.41669735891364618</c:v>
                </c:pt>
                <c:pt idx="109">
                  <c:v>0.37960911230876665</c:v>
                </c:pt>
                <c:pt idx="110">
                  <c:v>0.34361169648638362</c:v>
                </c:pt>
                <c:pt idx="111">
                  <c:v>0.30106929596902182</c:v>
                </c:pt>
                <c:pt idx="112">
                  <c:v>0.26179938779914941</c:v>
                </c:pt>
                <c:pt idx="113">
                  <c:v>0.21489366415180181</c:v>
                </c:pt>
                <c:pt idx="114">
                  <c:v>0.16689710972195776</c:v>
                </c:pt>
                <c:pt idx="115">
                  <c:v>0.11780972450961724</c:v>
                </c:pt>
                <c:pt idx="116">
                  <c:v>4.3633231299858237E-2</c:v>
                </c:pt>
                <c:pt idx="117">
                  <c:v>-1.1999138607461015E-2</c:v>
                </c:pt>
                <c:pt idx="118">
                  <c:v>-9.1629785729702304E-2</c:v>
                </c:pt>
                <c:pt idx="119">
                  <c:v>-0.12762720155208535</c:v>
                </c:pt>
                <c:pt idx="120">
                  <c:v>-0.210530341021816</c:v>
                </c:pt>
                <c:pt idx="121">
                  <c:v>-0.27052603405912107</c:v>
                </c:pt>
                <c:pt idx="122">
                  <c:v>-0.32179508083645453</c:v>
                </c:pt>
                <c:pt idx="123">
                  <c:v>-0.38724492778624187</c:v>
                </c:pt>
                <c:pt idx="124">
                  <c:v>-0.44069563612856821</c:v>
                </c:pt>
                <c:pt idx="125">
                  <c:v>-0.50614548307835561</c:v>
                </c:pt>
                <c:pt idx="126">
                  <c:v>-0.55959619142068195</c:v>
                </c:pt>
                <c:pt idx="127">
                  <c:v>-0.62068271524048346</c:v>
                </c:pt>
                <c:pt idx="128">
                  <c:v>-0.68613256219027075</c:v>
                </c:pt>
                <c:pt idx="129">
                  <c:v>-0.73958327053259709</c:v>
                </c:pt>
                <c:pt idx="130">
                  <c:v>-0.79739730200490933</c:v>
                </c:pt>
                <c:pt idx="131">
                  <c:v>-0.84103053330476751</c:v>
                </c:pt>
                <c:pt idx="132">
                  <c:v>-0.90211705712456902</c:v>
                </c:pt>
                <c:pt idx="133">
                  <c:v>-0.95229527311940609</c:v>
                </c:pt>
                <c:pt idx="134">
                  <c:v>-1.0286534278941579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0-4067-BA6E-7CFF4D555762}"/>
            </c:ext>
          </c:extLst>
        </c:ser>
        <c:ser>
          <c:idx val="1"/>
          <c:order val="1"/>
          <c:tx>
            <c:v>PMKS+ 20 rpm</c:v>
          </c:tx>
          <c:spPr>
            <a:ln w="15875">
              <a:solidFill>
                <a:srgbClr val="1F4E79"/>
              </a:solidFill>
              <a:prstDash val="dash"/>
            </a:ln>
          </c:spPr>
          <c:marker>
            <c:symbol val="none"/>
          </c:marker>
          <c:xVal>
            <c:numRef>
              <c:f>'BNO1 Rate'!$AA$6:$AA$140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'BNO1 Rate'!$AC$6:$AC$140</c:f>
              <c:numCache>
                <c:formatCode>General</c:formatCode>
                <c:ptCount val="135"/>
                <c:pt idx="0">
                  <c:v>-1.041103373628663</c:v>
                </c:pt>
                <c:pt idx="1">
                  <c:v>-1.0468893156702039</c:v>
                </c:pt>
                <c:pt idx="2">
                  <c:v>-1.0477075271580207</c:v>
                </c:pt>
                <c:pt idx="3">
                  <c:v>-1.0425730183256479</c:v>
                </c:pt>
                <c:pt idx="4">
                  <c:v>-1.0180569783502107</c:v>
                </c:pt>
                <c:pt idx="5">
                  <c:v>-0.99903457767999015</c:v>
                </c:pt>
                <c:pt idx="6">
                  <c:v>-0.97804486002221758</c:v>
                </c:pt>
                <c:pt idx="7">
                  <c:v>-0.95282145243136396</c:v>
                </c:pt>
                <c:pt idx="8">
                  <c:v>-0.92638276412350928</c:v>
                </c:pt>
                <c:pt idx="9">
                  <c:v>-0.89793203478576544</c:v>
                </c:pt>
                <c:pt idx="10">
                  <c:v>-0.86552343171690771</c:v>
                </c:pt>
                <c:pt idx="11">
                  <c:v>-0.83276334730300838</c:v>
                </c:pt>
                <c:pt idx="12">
                  <c:v>-0.79688256833494175</c:v>
                </c:pt>
                <c:pt idx="13">
                  <c:v>-0.7656520281562057</c:v>
                </c:pt>
                <c:pt idx="14">
                  <c:v>-0.72880292912104783</c:v>
                </c:pt>
                <c:pt idx="15">
                  <c:v>-0.69604306847412045</c:v>
                </c:pt>
                <c:pt idx="16">
                  <c:v>-0.66484312775797705</c:v>
                </c:pt>
                <c:pt idx="17">
                  <c:v>-0.63314349138892367</c:v>
                </c:pt>
                <c:pt idx="18">
                  <c:v>-0.60001265369978107</c:v>
                </c:pt>
                <c:pt idx="19">
                  <c:v>-0.56833222037092668</c:v>
                </c:pt>
                <c:pt idx="20">
                  <c:v>-0.5377089072161273</c:v>
                </c:pt>
                <c:pt idx="21">
                  <c:v>-0.50814038038411014</c:v>
                </c:pt>
                <c:pt idx="22">
                  <c:v>-0.45647533999075657</c:v>
                </c:pt>
                <c:pt idx="23">
                  <c:v>-0.42871021489418876</c:v>
                </c:pt>
                <c:pt idx="24">
                  <c:v>-0.40352258161121368</c:v>
                </c:pt>
                <c:pt idx="25">
                  <c:v>-0.38107185562870122</c:v>
                </c:pt>
                <c:pt idx="26">
                  <c:v>-0.35747916222017123</c:v>
                </c:pt>
                <c:pt idx="27">
                  <c:v>-0.33637367328269108</c:v>
                </c:pt>
                <c:pt idx="28">
                  <c:v>-0.31543819168431653</c:v>
                </c:pt>
                <c:pt idx="29">
                  <c:v>-0.29465828882864126</c:v>
                </c:pt>
                <c:pt idx="30">
                  <c:v>-0.27392758111379334</c:v>
                </c:pt>
                <c:pt idx="31">
                  <c:v>-0.25422738412093893</c:v>
                </c:pt>
                <c:pt idx="32">
                  <c:v>-0.23573205217209317</c:v>
                </c:pt>
                <c:pt idx="33">
                  <c:v>-0.21769736391247652</c:v>
                </c:pt>
                <c:pt idx="34">
                  <c:v>-0.20028842012740278</c:v>
                </c:pt>
                <c:pt idx="35">
                  <c:v>-0.18309695106134827</c:v>
                </c:pt>
                <c:pt idx="36">
                  <c:v>-0.16461694462425325</c:v>
                </c:pt>
                <c:pt idx="37">
                  <c:v>-0.14697739056653711</c:v>
                </c:pt>
                <c:pt idx="38">
                  <c:v>-0.13017715523902076</c:v>
                </c:pt>
                <c:pt idx="39">
                  <c:v>-0.11170939893656057</c:v>
                </c:pt>
                <c:pt idx="40">
                  <c:v>-9.4216994849959823E-2</c:v>
                </c:pt>
                <c:pt idx="41">
                  <c:v>-6.9504722053125675E-2</c:v>
                </c:pt>
                <c:pt idx="42">
                  <c:v>-5.3217054709866721E-2</c:v>
                </c:pt>
                <c:pt idx="43">
                  <c:v>-3.4494951193043862E-2</c:v>
                </c:pt>
                <c:pt idx="44">
                  <c:v>-1.8096623732499366E-2</c:v>
                </c:pt>
                <c:pt idx="45">
                  <c:v>-4.5706967478324111E-4</c:v>
                </c:pt>
                <c:pt idx="46">
                  <c:v>1.8022601937157764E-2</c:v>
                </c:pt>
                <c:pt idx="47">
                  <c:v>3.4822789477809202E-2</c:v>
                </c:pt>
                <c:pt idx="48">
                  <c:v>5.1882576955404887E-2</c:v>
                </c:pt>
                <c:pt idx="49">
                  <c:v>6.9470306145614599E-2</c:v>
                </c:pt>
                <c:pt idx="50">
                  <c:v>8.8298273658212759E-2</c:v>
                </c:pt>
                <c:pt idx="51">
                  <c:v>0.10627211686519315</c:v>
                </c:pt>
                <c:pt idx="52">
                  <c:v>0.12622327305083955</c:v>
                </c:pt>
                <c:pt idx="53">
                  <c:v>0.14559216784880866</c:v>
                </c:pt>
                <c:pt idx="54">
                  <c:v>0.16698582583976923</c:v>
                </c:pt>
                <c:pt idx="55">
                  <c:v>0.18787183512313219</c:v>
                </c:pt>
                <c:pt idx="56">
                  <c:v>0.20886685290948104</c:v>
                </c:pt>
                <c:pt idx="57">
                  <c:v>0.22971301094624022</c:v>
                </c:pt>
                <c:pt idx="58">
                  <c:v>0.25036069515474746</c:v>
                </c:pt>
                <c:pt idx="59">
                  <c:v>0.27412106075353776</c:v>
                </c:pt>
                <c:pt idx="60">
                  <c:v>0.30652110726680143</c:v>
                </c:pt>
                <c:pt idx="61">
                  <c:v>0.32912076260118084</c:v>
                </c:pt>
                <c:pt idx="62">
                  <c:v>0.35145588317202986</c:v>
                </c:pt>
                <c:pt idx="63">
                  <c:v>0.37655051042443011</c:v>
                </c:pt>
                <c:pt idx="64">
                  <c:v>0.40160596291624517</c:v>
                </c:pt>
                <c:pt idx="65">
                  <c:v>0.42440562475753646</c:v>
                </c:pt>
                <c:pt idx="66">
                  <c:v>0.44869012108260448</c:v>
                </c:pt>
                <c:pt idx="67">
                  <c:v>0.47279054850580421</c:v>
                </c:pt>
                <c:pt idx="68">
                  <c:v>0.49673675641071385</c:v>
                </c:pt>
                <c:pt idx="69">
                  <c:v>0.52131475827933571</c:v>
                </c:pt>
                <c:pt idx="70">
                  <c:v>0.54540100163055738</c:v>
                </c:pt>
                <c:pt idx="71">
                  <c:v>0.56808091143507311</c:v>
                </c:pt>
                <c:pt idx="72">
                  <c:v>0.59125877705633878</c:v>
                </c:pt>
                <c:pt idx="73">
                  <c:v>0.61166781342132615</c:v>
                </c:pt>
                <c:pt idx="74">
                  <c:v>0.63351150033040982</c:v>
                </c:pt>
                <c:pt idx="75">
                  <c:v>0.65330931968418082</c:v>
                </c:pt>
                <c:pt idx="76">
                  <c:v>0.67126348310264672</c:v>
                </c:pt>
                <c:pt idx="77">
                  <c:v>0.68806303311904571</c:v>
                </c:pt>
                <c:pt idx="78">
                  <c:v>0.7039300224376569</c:v>
                </c:pt>
                <c:pt idx="79">
                  <c:v>0.72677373122061606</c:v>
                </c:pt>
                <c:pt idx="80">
                  <c:v>0.74084524862320189</c:v>
                </c:pt>
                <c:pt idx="81">
                  <c:v>0.75284457935264248</c:v>
                </c:pt>
                <c:pt idx="82">
                  <c:v>0.76438855313567999</c:v>
                </c:pt>
                <c:pt idx="83">
                  <c:v>0.7735607936395168</c:v>
                </c:pt>
                <c:pt idx="84">
                  <c:v>0.78182697916688282</c:v>
                </c:pt>
                <c:pt idx="85">
                  <c:v>0.78878428020174784</c:v>
                </c:pt>
                <c:pt idx="86">
                  <c:v>0.79466550318398987</c:v>
                </c:pt>
                <c:pt idx="87">
                  <c:v>0.79899708883748577</c:v>
                </c:pt>
                <c:pt idx="88">
                  <c:v>0.80165441995240039</c:v>
                </c:pt>
                <c:pt idx="89">
                  <c:v>0.80293012256371077</c:v>
                </c:pt>
                <c:pt idx="90">
                  <c:v>0.8021967352578242</c:v>
                </c:pt>
                <c:pt idx="91">
                  <c:v>0.7995887133276991</c:v>
                </c:pt>
                <c:pt idx="92">
                  <c:v>0.79573001730659343</c:v>
                </c:pt>
                <c:pt idx="93">
                  <c:v>0.78975558906969023</c:v>
                </c:pt>
                <c:pt idx="94">
                  <c:v>0.78318968320067828</c:v>
                </c:pt>
                <c:pt idx="95">
                  <c:v>0.77428375144834527</c:v>
                </c:pt>
                <c:pt idx="96">
                  <c:v>0.76420446237293727</c:v>
                </c:pt>
                <c:pt idx="97">
                  <c:v>0.74105587176886067</c:v>
                </c:pt>
                <c:pt idx="98">
                  <c:v>0.72624324333882617</c:v>
                </c:pt>
                <c:pt idx="99">
                  <c:v>0.71049701233253215</c:v>
                </c:pt>
                <c:pt idx="100">
                  <c:v>0.69193371357983857</c:v>
                </c:pt>
                <c:pt idx="101">
                  <c:v>0.67145264368057411</c:v>
                </c:pt>
                <c:pt idx="102">
                  <c:v>0.64851907092468664</c:v>
                </c:pt>
                <c:pt idx="103">
                  <c:v>0.62251030711164168</c:v>
                </c:pt>
                <c:pt idx="104">
                  <c:v>0.59783471793149678</c:v>
                </c:pt>
                <c:pt idx="105">
                  <c:v>0.57124133134776223</c:v>
                </c:pt>
                <c:pt idx="106">
                  <c:v>0.54117170127423542</c:v>
                </c:pt>
                <c:pt idx="107">
                  <c:v>0.51040252988189372</c:v>
                </c:pt>
                <c:pt idx="108">
                  <c:v>0.47615412710350663</c:v>
                </c:pt>
                <c:pt idx="109">
                  <c:v>0.43792486831425287</c:v>
                </c:pt>
                <c:pt idx="110">
                  <c:v>0.40053581972720781</c:v>
                </c:pt>
                <c:pt idx="111">
                  <c:v>0.36001806294091793</c:v>
                </c:pt>
                <c:pt idx="112">
                  <c:v>0.3188486237047487</c:v>
                </c:pt>
                <c:pt idx="113">
                  <c:v>0.27139752909619996</c:v>
                </c:pt>
                <c:pt idx="114">
                  <c:v>0.22378188231070312</c:v>
                </c:pt>
                <c:pt idx="115">
                  <c:v>0.17417224472401643</c:v>
                </c:pt>
                <c:pt idx="116">
                  <c:v>0.10121089962807867</c:v>
                </c:pt>
                <c:pt idx="117">
                  <c:v>4.6162248016288848E-2</c:v>
                </c:pt>
                <c:pt idx="118">
                  <c:v>-1.0926553864743291E-2</c:v>
                </c:pt>
                <c:pt idx="119">
                  <c:v>-6.7013369443181786E-2</c:v>
                </c:pt>
                <c:pt idx="120">
                  <c:v>-0.1272645376323143</c:v>
                </c:pt>
                <c:pt idx="121">
                  <c:v>-0.19222470354977328</c:v>
                </c:pt>
                <c:pt idx="122">
                  <c:v>-0.25522494598780249</c:v>
                </c:pt>
                <c:pt idx="123">
                  <c:v>-0.31614053651990359</c:v>
                </c:pt>
                <c:pt idx="124">
                  <c:v>-0.37718671401160769</c:v>
                </c:pt>
                <c:pt idx="125">
                  <c:v>-0.44135638162259161</c:v>
                </c:pt>
                <c:pt idx="126">
                  <c:v>-0.50271579943030487</c:v>
                </c:pt>
                <c:pt idx="127">
                  <c:v>-0.56617656268342897</c:v>
                </c:pt>
                <c:pt idx="128">
                  <c:v>-0.63059132338936741</c:v>
                </c:pt>
                <c:pt idx="129">
                  <c:v>-0.68972616544926291</c:v>
                </c:pt>
                <c:pt idx="130">
                  <c:v>-0.74361145702768383</c:v>
                </c:pt>
                <c:pt idx="131">
                  <c:v>-0.79692945262431791</c:v>
                </c:pt>
                <c:pt idx="132">
                  <c:v>-0.8440318446386379</c:v>
                </c:pt>
                <c:pt idx="133">
                  <c:v>-0.89135064944369402</c:v>
                </c:pt>
                <c:pt idx="134">
                  <c:v>-0.93292572407482366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0-4067-BA6E-7CFF4D555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.5"/>
          <c:min val="-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Angular velocity (rad/s)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0.5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1.5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Coupler MPU6050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'MPU Rate'!$AA$6:$AA$140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'MPU Rate'!$AB$6:$AB$140</c:f>
              <c:numCache>
                <c:formatCode>General</c:formatCode>
                <c:ptCount val="135"/>
                <c:pt idx="0">
                  <c:v>-1.0860839641694986</c:v>
                </c:pt>
                <c:pt idx="1">
                  <c:v>-1.1353796085790839</c:v>
                </c:pt>
                <c:pt idx="2">
                  <c:v>-1.1313826032570373</c:v>
                </c:pt>
                <c:pt idx="3">
                  <c:v>-1.1598941395713169</c:v>
                </c:pt>
                <c:pt idx="4">
                  <c:v>-1.1556308181402639</c:v>
                </c:pt>
                <c:pt idx="5">
                  <c:v>-1.109799147360546</c:v>
                </c:pt>
                <c:pt idx="6">
                  <c:v>-1.1018052698745084</c:v>
                </c:pt>
                <c:pt idx="7">
                  <c:v>-1.0362555543838439</c:v>
                </c:pt>
                <c:pt idx="8">
                  <c:v>-1.0242646715757613</c:v>
                </c:pt>
                <c:pt idx="9">
                  <c:v>-0.96271196140714155</c:v>
                </c:pt>
                <c:pt idx="10">
                  <c:v>-0.94086192308553274</c:v>
                </c:pt>
                <c:pt idx="11">
                  <c:v>-0.88570426164251992</c:v>
                </c:pt>
                <c:pt idx="12">
                  <c:v>-0.87051585447163393</c:v>
                </c:pt>
                <c:pt idx="13">
                  <c:v>-0.8023015131522897</c:v>
                </c:pt>
                <c:pt idx="14">
                  <c:v>-0.74980834437990262</c:v>
                </c:pt>
                <c:pt idx="15">
                  <c:v>-0.70504273698454178</c:v>
                </c:pt>
                <c:pt idx="16">
                  <c:v>-0.68319269866293297</c:v>
                </c:pt>
                <c:pt idx="17">
                  <c:v>-0.6410917170962519</c:v>
                </c:pt>
                <c:pt idx="18">
                  <c:v>-0.60405340476181113</c:v>
                </c:pt>
                <c:pt idx="19">
                  <c:v>-0.5678145068075855</c:v>
                </c:pt>
                <c:pt idx="20">
                  <c:v>-0.5289109830246802</c:v>
                </c:pt>
                <c:pt idx="21">
                  <c:v>-0.50066596255649032</c:v>
                </c:pt>
                <c:pt idx="22">
                  <c:v>-0.43031986065307865</c:v>
                </c:pt>
                <c:pt idx="23">
                  <c:v>-0.41060164949456313</c:v>
                </c:pt>
                <c:pt idx="24">
                  <c:v>-0.38422184047483787</c:v>
                </c:pt>
                <c:pt idx="25">
                  <c:v>-0.37089874462095734</c:v>
                </c:pt>
                <c:pt idx="26">
                  <c:v>-0.34105492868185361</c:v>
                </c:pt>
                <c:pt idx="27">
                  <c:v>-0.32639948662411927</c:v>
                </c:pt>
                <c:pt idx="28">
                  <c:v>-0.30561541181832841</c:v>
                </c:pt>
                <c:pt idx="29">
                  <c:v>-0.28936120757919326</c:v>
                </c:pt>
                <c:pt idx="30">
                  <c:v>-0.25685278245616627</c:v>
                </c:pt>
                <c:pt idx="31">
                  <c:v>-0.24486198287186817</c:v>
                </c:pt>
                <c:pt idx="32">
                  <c:v>-0.23287116664281363</c:v>
                </c:pt>
                <c:pt idx="33">
                  <c:v>-0.21315293883954164</c:v>
                </c:pt>
                <c:pt idx="34">
                  <c:v>-0.19130301703123023</c:v>
                </c:pt>
                <c:pt idx="35">
                  <c:v>-0.1729171021422978</c:v>
                </c:pt>
                <c:pt idx="36">
                  <c:v>-0.15799521081750212</c:v>
                </c:pt>
                <c:pt idx="37">
                  <c:v>-0.12362154927887564</c:v>
                </c:pt>
                <c:pt idx="38">
                  <c:v>-0.11429535887849977</c:v>
                </c:pt>
                <c:pt idx="39">
                  <c:v>-9.644237581320611E-2</c:v>
                </c:pt>
                <c:pt idx="40">
                  <c:v>-7.6724156332312915E-2</c:v>
                </c:pt>
                <c:pt idx="41">
                  <c:v>-5.3008989786023059E-2</c:v>
                </c:pt>
                <c:pt idx="42">
                  <c:v>-3.6754777224509566E-2</c:v>
                </c:pt>
                <c:pt idx="43">
                  <c:v>-1.9434717660475824E-2</c:v>
                </c:pt>
                <c:pt idx="44">
                  <c:v>1.8822806465759734E-3</c:v>
                </c:pt>
                <c:pt idx="45">
                  <c:v>2.0001729623688961E-2</c:v>
                </c:pt>
                <c:pt idx="46">
                  <c:v>3.5456552772123229E-2</c:v>
                </c:pt>
                <c:pt idx="47">
                  <c:v>5.3309535837416919E-2</c:v>
                </c:pt>
                <c:pt idx="48">
                  <c:v>7.2494840139428404E-2</c:v>
                </c:pt>
                <c:pt idx="49">
                  <c:v>8.3952724544844579E-2</c:v>
                </c:pt>
                <c:pt idx="50">
                  <c:v>0.10420387584937617</c:v>
                </c:pt>
                <c:pt idx="51">
                  <c:v>0.12578734006824724</c:v>
                </c:pt>
                <c:pt idx="52">
                  <c:v>0.14070923139304295</c:v>
                </c:pt>
                <c:pt idx="53">
                  <c:v>0.16842133668235107</c:v>
                </c:pt>
                <c:pt idx="54">
                  <c:v>0.19213648658388369</c:v>
                </c:pt>
                <c:pt idx="55">
                  <c:v>0.2134534932133148</c:v>
                </c:pt>
                <c:pt idx="56">
                  <c:v>0.23237232328112806</c:v>
                </c:pt>
                <c:pt idx="57">
                  <c:v>0.26088382630589457</c:v>
                </c:pt>
                <c:pt idx="58">
                  <c:v>0.27873679272643065</c:v>
                </c:pt>
                <c:pt idx="59">
                  <c:v>0.30032024862292367</c:v>
                </c:pt>
                <c:pt idx="60">
                  <c:v>0.34295426188178418</c:v>
                </c:pt>
                <c:pt idx="61">
                  <c:v>0.36267247304029787</c:v>
                </c:pt>
                <c:pt idx="62">
                  <c:v>0.39837843917088672</c:v>
                </c:pt>
                <c:pt idx="63">
                  <c:v>0.42209362236193215</c:v>
                </c:pt>
                <c:pt idx="64">
                  <c:v>0.44207828278750944</c:v>
                </c:pt>
                <c:pt idx="65">
                  <c:v>0.47911659512195037</c:v>
                </c:pt>
                <c:pt idx="66">
                  <c:v>0.51029269068588179</c:v>
                </c:pt>
                <c:pt idx="67">
                  <c:v>0.53507370423469136</c:v>
                </c:pt>
                <c:pt idx="68">
                  <c:v>0.55985465120447486</c:v>
                </c:pt>
                <c:pt idx="69">
                  <c:v>0.59715941280597751</c:v>
                </c:pt>
                <c:pt idx="70">
                  <c:v>0.62380567109276475</c:v>
                </c:pt>
                <c:pt idx="71">
                  <c:v>0.64512267772219589</c:v>
                </c:pt>
                <c:pt idx="72">
                  <c:v>0.65631407957103516</c:v>
                </c:pt>
                <c:pt idx="73">
                  <c:v>0.6994809913640212</c:v>
                </c:pt>
                <c:pt idx="74">
                  <c:v>0.71866640385695213</c:v>
                </c:pt>
                <c:pt idx="75">
                  <c:v>0.74078275828756879</c:v>
                </c:pt>
                <c:pt idx="76">
                  <c:v>0.76209976491699827</c:v>
                </c:pt>
                <c:pt idx="77">
                  <c:v>0.79220999683365245</c:v>
                </c:pt>
                <c:pt idx="78">
                  <c:v>0.81166172543559123</c:v>
                </c:pt>
                <c:pt idx="79">
                  <c:v>0.81032947910028008</c:v>
                </c:pt>
                <c:pt idx="80">
                  <c:v>0.83964036321574709</c:v>
                </c:pt>
                <c:pt idx="81">
                  <c:v>0.83644270569488777</c:v>
                </c:pt>
                <c:pt idx="82">
                  <c:v>0.86362199567385445</c:v>
                </c:pt>
                <c:pt idx="83">
                  <c:v>0.83964036321574709</c:v>
                </c:pt>
                <c:pt idx="84">
                  <c:v>0.8596249903518095</c:v>
                </c:pt>
                <c:pt idx="85">
                  <c:v>0.83777508518825461</c:v>
                </c:pt>
                <c:pt idx="86">
                  <c:v>0.86175671764636375</c:v>
                </c:pt>
                <c:pt idx="87">
                  <c:v>0.82764948040766473</c:v>
                </c:pt>
                <c:pt idx="88">
                  <c:v>0.84790068996884471</c:v>
                </c:pt>
                <c:pt idx="89">
                  <c:v>0.80553312597704607</c:v>
                </c:pt>
                <c:pt idx="90">
                  <c:v>0.81858980585337793</c:v>
                </c:pt>
                <c:pt idx="91">
                  <c:v>0.79434172412820681</c:v>
                </c:pt>
                <c:pt idx="92">
                  <c:v>0.82098798241499393</c:v>
                </c:pt>
                <c:pt idx="93">
                  <c:v>0.77488999552626803</c:v>
                </c:pt>
                <c:pt idx="94">
                  <c:v>0.78474901788174223</c:v>
                </c:pt>
                <c:pt idx="95">
                  <c:v>0.73998341048638139</c:v>
                </c:pt>
                <c:pt idx="96">
                  <c:v>0.73518705736314915</c:v>
                </c:pt>
                <c:pt idx="97">
                  <c:v>0.70401089522019156</c:v>
                </c:pt>
                <c:pt idx="98">
                  <c:v>0.68642444464574348</c:v>
                </c:pt>
                <c:pt idx="99">
                  <c:v>0.6475208542838119</c:v>
                </c:pt>
                <c:pt idx="100">
                  <c:v>0.64139225482526685</c:v>
                </c:pt>
                <c:pt idx="101">
                  <c:v>0.60568632198419281</c:v>
                </c:pt>
                <c:pt idx="102">
                  <c:v>0.5755759569094846</c:v>
                </c:pt>
                <c:pt idx="103">
                  <c:v>0.53427432314399093</c:v>
                </c:pt>
                <c:pt idx="104">
                  <c:v>0.50203236393278239</c:v>
                </c:pt>
                <c:pt idx="105">
                  <c:v>0.4687245410742984</c:v>
                </c:pt>
                <c:pt idx="106">
                  <c:v>0.43035394911503161</c:v>
                </c:pt>
                <c:pt idx="107">
                  <c:v>0.3943815004278679</c:v>
                </c:pt>
                <c:pt idx="108">
                  <c:v>0.35681028955930327</c:v>
                </c:pt>
                <c:pt idx="109">
                  <c:v>0.32350249999033232</c:v>
                </c:pt>
                <c:pt idx="110">
                  <c:v>0.28273373146944941</c:v>
                </c:pt>
                <c:pt idx="111">
                  <c:v>0.23716864311484728</c:v>
                </c:pt>
                <c:pt idx="112">
                  <c:v>0.18893894557632365</c:v>
                </c:pt>
                <c:pt idx="113">
                  <c:v>0.13724522447366327</c:v>
                </c:pt>
                <c:pt idx="114">
                  <c:v>8.8749052700942077E-2</c:v>
                </c:pt>
                <c:pt idx="115">
                  <c:v>3.7055327437092646E-2</c:v>
                </c:pt>
                <c:pt idx="116">
                  <c:v>-3.8353556050668203E-2</c:v>
                </c:pt>
                <c:pt idx="117">
                  <c:v>-9.5642986400126695E-2</c:v>
                </c:pt>
                <c:pt idx="118">
                  <c:v>-0.15692936381498188</c:v>
                </c:pt>
                <c:pt idx="119">
                  <c:v>-0.20835661900582242</c:v>
                </c:pt>
                <c:pt idx="120">
                  <c:v>-0.26911006459703923</c:v>
                </c:pt>
                <c:pt idx="121">
                  <c:v>-0.32853118062916048</c:v>
                </c:pt>
                <c:pt idx="122">
                  <c:v>-0.39114988760311137</c:v>
                </c:pt>
                <c:pt idx="123">
                  <c:v>-0.45110393545887112</c:v>
                </c:pt>
                <c:pt idx="124">
                  <c:v>-0.51398909169988394</c:v>
                </c:pt>
                <c:pt idx="125">
                  <c:v>-0.55582369057853087</c:v>
                </c:pt>
                <c:pt idx="126">
                  <c:v>-0.64215751416450118</c:v>
                </c:pt>
                <c:pt idx="127">
                  <c:v>-0.68932143127953216</c:v>
                </c:pt>
                <c:pt idx="128">
                  <c:v>-0.75327245116782193</c:v>
                </c:pt>
                <c:pt idx="129">
                  <c:v>-0.79910398878948596</c:v>
                </c:pt>
                <c:pt idx="130">
                  <c:v>-0.84573487421233751</c:v>
                </c:pt>
                <c:pt idx="131">
                  <c:v>-0.90835351460726221</c:v>
                </c:pt>
                <c:pt idx="132">
                  <c:v>-0.95285280589361332</c:v>
                </c:pt>
                <c:pt idx="133">
                  <c:v>-1.0096092960970566</c:v>
                </c:pt>
                <c:pt idx="134">
                  <c:v>-1.0391866294795853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75-44BD-A8E8-6AC1F2C8CE72}"/>
            </c:ext>
          </c:extLst>
        </c:ser>
        <c:ser>
          <c:idx val="1"/>
          <c:order val="1"/>
          <c:tx>
            <c:v>PMKS+ 20 rpm</c:v>
          </c:tx>
          <c:spPr>
            <a:ln w="15875">
              <a:solidFill>
                <a:srgbClr val="1F4E79"/>
              </a:solidFill>
              <a:prstDash val="dash"/>
            </a:ln>
          </c:spPr>
          <c:marker>
            <c:symbol val="none"/>
          </c:marker>
          <c:xVal>
            <c:numRef>
              <c:f>'MPU Rate'!$AA$6:$AA$140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'MPU Rate'!$AC$6:$AC$140</c:f>
              <c:numCache>
                <c:formatCode>General</c:formatCode>
                <c:ptCount val="135"/>
                <c:pt idx="0">
                  <c:v>-1.041103373628663</c:v>
                </c:pt>
                <c:pt idx="1">
                  <c:v>-1.0468893156702039</c:v>
                </c:pt>
                <c:pt idx="2">
                  <c:v>-1.0477075271580207</c:v>
                </c:pt>
                <c:pt idx="3">
                  <c:v>-1.0425730183256479</c:v>
                </c:pt>
                <c:pt idx="4">
                  <c:v>-1.0180569783502107</c:v>
                </c:pt>
                <c:pt idx="5">
                  <c:v>-0.99903457767999015</c:v>
                </c:pt>
                <c:pt idx="6">
                  <c:v>-0.97804486002221758</c:v>
                </c:pt>
                <c:pt idx="7">
                  <c:v>-0.95282145243136396</c:v>
                </c:pt>
                <c:pt idx="8">
                  <c:v>-0.92638276412350928</c:v>
                </c:pt>
                <c:pt idx="9">
                  <c:v>-0.89793203478576544</c:v>
                </c:pt>
                <c:pt idx="10">
                  <c:v>-0.86552343171690771</c:v>
                </c:pt>
                <c:pt idx="11">
                  <c:v>-0.83276334730300838</c:v>
                </c:pt>
                <c:pt idx="12">
                  <c:v>-0.79688256833494175</c:v>
                </c:pt>
                <c:pt idx="13">
                  <c:v>-0.7656520281562057</c:v>
                </c:pt>
                <c:pt idx="14">
                  <c:v>-0.72880292912104783</c:v>
                </c:pt>
                <c:pt idx="15">
                  <c:v>-0.69604306847412045</c:v>
                </c:pt>
                <c:pt idx="16">
                  <c:v>-0.66484312775797705</c:v>
                </c:pt>
                <c:pt idx="17">
                  <c:v>-0.63314349138892367</c:v>
                </c:pt>
                <c:pt idx="18">
                  <c:v>-0.60001265369978107</c:v>
                </c:pt>
                <c:pt idx="19">
                  <c:v>-0.56833222037092668</c:v>
                </c:pt>
                <c:pt idx="20">
                  <c:v>-0.5377089072161273</c:v>
                </c:pt>
                <c:pt idx="21">
                  <c:v>-0.50814038038411014</c:v>
                </c:pt>
                <c:pt idx="22">
                  <c:v>-0.45647533999075657</c:v>
                </c:pt>
                <c:pt idx="23">
                  <c:v>-0.42871021489418876</c:v>
                </c:pt>
                <c:pt idx="24">
                  <c:v>-0.40352258161121368</c:v>
                </c:pt>
                <c:pt idx="25">
                  <c:v>-0.38107185562870122</c:v>
                </c:pt>
                <c:pt idx="26">
                  <c:v>-0.35747916222017123</c:v>
                </c:pt>
                <c:pt idx="27">
                  <c:v>-0.33637367328269108</c:v>
                </c:pt>
                <c:pt idx="28">
                  <c:v>-0.31543819168431653</c:v>
                </c:pt>
                <c:pt idx="29">
                  <c:v>-0.29465828882864126</c:v>
                </c:pt>
                <c:pt idx="30">
                  <c:v>-0.27392758111379334</c:v>
                </c:pt>
                <c:pt idx="31">
                  <c:v>-0.25422738412093893</c:v>
                </c:pt>
                <c:pt idx="32">
                  <c:v>-0.23573205217209317</c:v>
                </c:pt>
                <c:pt idx="33">
                  <c:v>-0.21769736391247652</c:v>
                </c:pt>
                <c:pt idx="34">
                  <c:v>-0.20028842012740278</c:v>
                </c:pt>
                <c:pt idx="35">
                  <c:v>-0.18309695106134827</c:v>
                </c:pt>
                <c:pt idx="36">
                  <c:v>-0.16461694462425325</c:v>
                </c:pt>
                <c:pt idx="37">
                  <c:v>-0.14697739056653711</c:v>
                </c:pt>
                <c:pt idx="38">
                  <c:v>-0.13017715523902076</c:v>
                </c:pt>
                <c:pt idx="39">
                  <c:v>-0.11170939893656057</c:v>
                </c:pt>
                <c:pt idx="40">
                  <c:v>-9.4216994849959823E-2</c:v>
                </c:pt>
                <c:pt idx="41">
                  <c:v>-6.9504722053125675E-2</c:v>
                </c:pt>
                <c:pt idx="42">
                  <c:v>-5.3217054709866721E-2</c:v>
                </c:pt>
                <c:pt idx="43">
                  <c:v>-3.4494951193043862E-2</c:v>
                </c:pt>
                <c:pt idx="44">
                  <c:v>-1.8096623732499366E-2</c:v>
                </c:pt>
                <c:pt idx="45">
                  <c:v>-4.5706967478324111E-4</c:v>
                </c:pt>
                <c:pt idx="46">
                  <c:v>1.8022601937157764E-2</c:v>
                </c:pt>
                <c:pt idx="47">
                  <c:v>3.4822789477809202E-2</c:v>
                </c:pt>
                <c:pt idx="48">
                  <c:v>5.1882576955404887E-2</c:v>
                </c:pt>
                <c:pt idx="49">
                  <c:v>6.9470306145614599E-2</c:v>
                </c:pt>
                <c:pt idx="50">
                  <c:v>8.8298273658212759E-2</c:v>
                </c:pt>
                <c:pt idx="51">
                  <c:v>0.10627211686519315</c:v>
                </c:pt>
                <c:pt idx="52">
                  <c:v>0.12622327305083955</c:v>
                </c:pt>
                <c:pt idx="53">
                  <c:v>0.14559216784880866</c:v>
                </c:pt>
                <c:pt idx="54">
                  <c:v>0.16698582583976923</c:v>
                </c:pt>
                <c:pt idx="55">
                  <c:v>0.18787183512313219</c:v>
                </c:pt>
                <c:pt idx="56">
                  <c:v>0.20886685290948104</c:v>
                </c:pt>
                <c:pt idx="57">
                  <c:v>0.22971301094624022</c:v>
                </c:pt>
                <c:pt idx="58">
                  <c:v>0.25036069515474746</c:v>
                </c:pt>
                <c:pt idx="59">
                  <c:v>0.27412106075353776</c:v>
                </c:pt>
                <c:pt idx="60">
                  <c:v>0.30652110726680143</c:v>
                </c:pt>
                <c:pt idx="61">
                  <c:v>0.32912076260118084</c:v>
                </c:pt>
                <c:pt idx="62">
                  <c:v>0.35145588317202986</c:v>
                </c:pt>
                <c:pt idx="63">
                  <c:v>0.37655051042443011</c:v>
                </c:pt>
                <c:pt idx="64">
                  <c:v>0.40160596291624517</c:v>
                </c:pt>
                <c:pt idx="65">
                  <c:v>0.42440562475753646</c:v>
                </c:pt>
                <c:pt idx="66">
                  <c:v>0.44869012108260448</c:v>
                </c:pt>
                <c:pt idx="67">
                  <c:v>0.47279054850580421</c:v>
                </c:pt>
                <c:pt idx="68">
                  <c:v>0.49673675641071385</c:v>
                </c:pt>
                <c:pt idx="69">
                  <c:v>0.52131475827933571</c:v>
                </c:pt>
                <c:pt idx="70">
                  <c:v>0.54540100163055738</c:v>
                </c:pt>
                <c:pt idx="71">
                  <c:v>0.56808091143507311</c:v>
                </c:pt>
                <c:pt idx="72">
                  <c:v>0.59125877705633878</c:v>
                </c:pt>
                <c:pt idx="73">
                  <c:v>0.61166781342132615</c:v>
                </c:pt>
                <c:pt idx="74">
                  <c:v>0.63351150033040982</c:v>
                </c:pt>
                <c:pt idx="75">
                  <c:v>0.65330931968418082</c:v>
                </c:pt>
                <c:pt idx="76">
                  <c:v>0.67126348310264672</c:v>
                </c:pt>
                <c:pt idx="77">
                  <c:v>0.68806303311904571</c:v>
                </c:pt>
                <c:pt idx="78">
                  <c:v>0.7039300224376569</c:v>
                </c:pt>
                <c:pt idx="79">
                  <c:v>0.72677373122061606</c:v>
                </c:pt>
                <c:pt idx="80">
                  <c:v>0.74084524862320189</c:v>
                </c:pt>
                <c:pt idx="81">
                  <c:v>0.75284457935264248</c:v>
                </c:pt>
                <c:pt idx="82">
                  <c:v>0.76438855313567999</c:v>
                </c:pt>
                <c:pt idx="83">
                  <c:v>0.7735607936395168</c:v>
                </c:pt>
                <c:pt idx="84">
                  <c:v>0.78182697916688282</c:v>
                </c:pt>
                <c:pt idx="85">
                  <c:v>0.78878428020174784</c:v>
                </c:pt>
                <c:pt idx="86">
                  <c:v>0.79466550318398987</c:v>
                </c:pt>
                <c:pt idx="87">
                  <c:v>0.79899708883748577</c:v>
                </c:pt>
                <c:pt idx="88">
                  <c:v>0.80165441995240039</c:v>
                </c:pt>
                <c:pt idx="89">
                  <c:v>0.80293012256371077</c:v>
                </c:pt>
                <c:pt idx="90">
                  <c:v>0.8021967352578242</c:v>
                </c:pt>
                <c:pt idx="91">
                  <c:v>0.7995887133276991</c:v>
                </c:pt>
                <c:pt idx="92">
                  <c:v>0.79573001730659343</c:v>
                </c:pt>
                <c:pt idx="93">
                  <c:v>0.78975558906969023</c:v>
                </c:pt>
                <c:pt idx="94">
                  <c:v>0.78318968320067828</c:v>
                </c:pt>
                <c:pt idx="95">
                  <c:v>0.77428375144834527</c:v>
                </c:pt>
                <c:pt idx="96">
                  <c:v>0.76420446237293727</c:v>
                </c:pt>
                <c:pt idx="97">
                  <c:v>0.74105587176886067</c:v>
                </c:pt>
                <c:pt idx="98">
                  <c:v>0.72624324333882617</c:v>
                </c:pt>
                <c:pt idx="99">
                  <c:v>0.71049701233253215</c:v>
                </c:pt>
                <c:pt idx="100">
                  <c:v>0.69193371357983857</c:v>
                </c:pt>
                <c:pt idx="101">
                  <c:v>0.67145264368057411</c:v>
                </c:pt>
                <c:pt idx="102">
                  <c:v>0.64851907092468664</c:v>
                </c:pt>
                <c:pt idx="103">
                  <c:v>0.62251030711164168</c:v>
                </c:pt>
                <c:pt idx="104">
                  <c:v>0.59783471793149678</c:v>
                </c:pt>
                <c:pt idx="105">
                  <c:v>0.57124133134776223</c:v>
                </c:pt>
                <c:pt idx="106">
                  <c:v>0.54117170127423542</c:v>
                </c:pt>
                <c:pt idx="107">
                  <c:v>0.51040252988189372</c:v>
                </c:pt>
                <c:pt idx="108">
                  <c:v>0.47615412710350663</c:v>
                </c:pt>
                <c:pt idx="109">
                  <c:v>0.43792486831425287</c:v>
                </c:pt>
                <c:pt idx="110">
                  <c:v>0.40053581972720781</c:v>
                </c:pt>
                <c:pt idx="111">
                  <c:v>0.36001806294091793</c:v>
                </c:pt>
                <c:pt idx="112">
                  <c:v>0.3188486237047487</c:v>
                </c:pt>
                <c:pt idx="113">
                  <c:v>0.27139752909619996</c:v>
                </c:pt>
                <c:pt idx="114">
                  <c:v>0.22378188231070312</c:v>
                </c:pt>
                <c:pt idx="115">
                  <c:v>0.17417224472401643</c:v>
                </c:pt>
                <c:pt idx="116">
                  <c:v>0.10121089962807867</c:v>
                </c:pt>
                <c:pt idx="117">
                  <c:v>4.6162248016288848E-2</c:v>
                </c:pt>
                <c:pt idx="118">
                  <c:v>-1.0926553864743291E-2</c:v>
                </c:pt>
                <c:pt idx="119">
                  <c:v>-6.7013369443181786E-2</c:v>
                </c:pt>
                <c:pt idx="120">
                  <c:v>-0.1272645376323143</c:v>
                </c:pt>
                <c:pt idx="121">
                  <c:v>-0.19222470354977328</c:v>
                </c:pt>
                <c:pt idx="122">
                  <c:v>-0.25522494598780249</c:v>
                </c:pt>
                <c:pt idx="123">
                  <c:v>-0.31614053651990359</c:v>
                </c:pt>
                <c:pt idx="124">
                  <c:v>-0.37718671401160769</c:v>
                </c:pt>
                <c:pt idx="125">
                  <c:v>-0.44135638162259161</c:v>
                </c:pt>
                <c:pt idx="126">
                  <c:v>-0.50271579943030487</c:v>
                </c:pt>
                <c:pt idx="127">
                  <c:v>-0.56617656268342897</c:v>
                </c:pt>
                <c:pt idx="128">
                  <c:v>-0.63059132338936741</c:v>
                </c:pt>
                <c:pt idx="129">
                  <c:v>-0.68972616544926291</c:v>
                </c:pt>
                <c:pt idx="130">
                  <c:v>-0.74361145702768383</c:v>
                </c:pt>
                <c:pt idx="131">
                  <c:v>-0.79692945262431791</c:v>
                </c:pt>
                <c:pt idx="132">
                  <c:v>-0.8440318446386379</c:v>
                </c:pt>
                <c:pt idx="133">
                  <c:v>-0.89135064944369402</c:v>
                </c:pt>
                <c:pt idx="134">
                  <c:v>-0.93292572407482366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5-44BD-A8E8-6AC1F2C8C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.5"/>
          <c:min val="-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Angular velocity (rad/s)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0.5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1.5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Follower BNO055(2)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'BNO2 Rate'!$AA$6:$AA$140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'BNO2 Rate'!$AB$6:$AB$140</c:f>
              <c:numCache>
                <c:formatCode>General</c:formatCode>
                <c:ptCount val="135"/>
                <c:pt idx="0">
                  <c:v>-1.2871803233458181</c:v>
                </c:pt>
                <c:pt idx="1">
                  <c:v>-1.2173671532660448</c:v>
                </c:pt>
                <c:pt idx="2">
                  <c:v>-1.1868238913561442</c:v>
                </c:pt>
                <c:pt idx="3">
                  <c:v>-1.1213740444063567</c:v>
                </c:pt>
                <c:pt idx="4">
                  <c:v>-0.92284284199200173</c:v>
                </c:pt>
                <c:pt idx="5">
                  <c:v>-0.86393797973719322</c:v>
                </c:pt>
                <c:pt idx="6">
                  <c:v>-0.74503742444507948</c:v>
                </c:pt>
                <c:pt idx="7">
                  <c:v>-0.66213428497534876</c:v>
                </c:pt>
                <c:pt idx="8">
                  <c:v>-0.53341625264076697</c:v>
                </c:pt>
                <c:pt idx="9">
                  <c:v>-0.44833145160604343</c:v>
                </c:pt>
                <c:pt idx="10">
                  <c:v>-0.33379421944391552</c:v>
                </c:pt>
                <c:pt idx="11">
                  <c:v>-0.24434609527920614</c:v>
                </c:pt>
                <c:pt idx="12">
                  <c:v>-0.14398966328953219</c:v>
                </c:pt>
                <c:pt idx="13">
                  <c:v>-5.6723200689815713E-2</c:v>
                </c:pt>
                <c:pt idx="14">
                  <c:v>6.4359016167290894E-2</c:v>
                </c:pt>
                <c:pt idx="15">
                  <c:v>0.17016960206944712</c:v>
                </c:pt>
                <c:pt idx="16">
                  <c:v>0.22252947962927699</c:v>
                </c:pt>
                <c:pt idx="17">
                  <c:v>0.31415926535897931</c:v>
                </c:pt>
                <c:pt idx="18">
                  <c:v>0.36979163526629855</c:v>
                </c:pt>
                <c:pt idx="19">
                  <c:v>0.44942228238853982</c:v>
                </c:pt>
                <c:pt idx="20">
                  <c:v>0.49741883681838389</c:v>
                </c:pt>
                <c:pt idx="21">
                  <c:v>0.59995693037305076</c:v>
                </c:pt>
                <c:pt idx="22">
                  <c:v>0.69158671610275313</c:v>
                </c:pt>
                <c:pt idx="23">
                  <c:v>0.69922253158022829</c:v>
                </c:pt>
                <c:pt idx="24">
                  <c:v>0.77012653244249785</c:v>
                </c:pt>
                <c:pt idx="25">
                  <c:v>0.77667151713747673</c:v>
                </c:pt>
                <c:pt idx="26">
                  <c:v>0.82357724078482419</c:v>
                </c:pt>
                <c:pt idx="27">
                  <c:v>0.85193884112973217</c:v>
                </c:pt>
                <c:pt idx="28">
                  <c:v>0.87920961069214343</c:v>
                </c:pt>
                <c:pt idx="29">
                  <c:v>0.91411619573203007</c:v>
                </c:pt>
                <c:pt idx="30">
                  <c:v>0.95338610390190248</c:v>
                </c:pt>
                <c:pt idx="31">
                  <c:v>0.95338610390190248</c:v>
                </c:pt>
                <c:pt idx="32">
                  <c:v>0.97520271955183158</c:v>
                </c:pt>
                <c:pt idx="33">
                  <c:v>0.99811016598425717</c:v>
                </c:pt>
                <c:pt idx="34">
                  <c:v>1.016654289286697</c:v>
                </c:pt>
                <c:pt idx="35">
                  <c:v>1.0493792127615906</c:v>
                </c:pt>
                <c:pt idx="36">
                  <c:v>1.0450158896316049</c:v>
                </c:pt>
                <c:pt idx="37">
                  <c:v>1.0788316438889949</c:v>
                </c:pt>
                <c:pt idx="38">
                  <c:v>1.0711958284115197</c:v>
                </c:pt>
                <c:pt idx="39">
                  <c:v>1.0941032748439452</c:v>
                </c:pt>
                <c:pt idx="40">
                  <c:v>1.0711958284115197</c:v>
                </c:pt>
                <c:pt idx="41">
                  <c:v>1.0941032748439452</c:v>
                </c:pt>
                <c:pt idx="42">
                  <c:v>1.0668325052815339</c:v>
                </c:pt>
                <c:pt idx="43">
                  <c:v>1.0755591515415057</c:v>
                </c:pt>
                <c:pt idx="44">
                  <c:v>1.0701049976290233</c:v>
                </c:pt>
                <c:pt idx="45">
                  <c:v>1.0973757671914346</c:v>
                </c:pt>
                <c:pt idx="46">
                  <c:v>1.0733774899765127</c:v>
                </c:pt>
                <c:pt idx="47">
                  <c:v>1.0930124440614488</c:v>
                </c:pt>
                <c:pt idx="48">
                  <c:v>1.0537425358915764</c:v>
                </c:pt>
                <c:pt idx="49">
                  <c:v>1.0613783513690516</c:v>
                </c:pt>
                <c:pt idx="50">
                  <c:v>1.0384709049366261</c:v>
                </c:pt>
                <c:pt idx="51">
                  <c:v>1.0133817969392076</c:v>
                </c:pt>
                <c:pt idx="52">
                  <c:v>0.99701933520176078</c:v>
                </c:pt>
                <c:pt idx="53">
                  <c:v>0.98720185815929251</c:v>
                </c:pt>
                <c:pt idx="54">
                  <c:v>1.0046551506792361</c:v>
                </c:pt>
                <c:pt idx="55">
                  <c:v>0.97738438111682457</c:v>
                </c:pt>
                <c:pt idx="56">
                  <c:v>0.97847521189932096</c:v>
                </c:pt>
                <c:pt idx="57">
                  <c:v>0.93266031903446989</c:v>
                </c:pt>
                <c:pt idx="58">
                  <c:v>0.91957034964451245</c:v>
                </c:pt>
                <c:pt idx="59">
                  <c:v>0.88248210303963281</c:v>
                </c:pt>
                <c:pt idx="60">
                  <c:v>0.8453938564347534</c:v>
                </c:pt>
                <c:pt idx="61">
                  <c:v>0.81921391765483831</c:v>
                </c:pt>
                <c:pt idx="62">
                  <c:v>0.80285145591739149</c:v>
                </c:pt>
                <c:pt idx="63">
                  <c:v>0.76358154774751907</c:v>
                </c:pt>
                <c:pt idx="64">
                  <c:v>0.74721908601007225</c:v>
                </c:pt>
                <c:pt idx="65">
                  <c:v>0.69813170079773179</c:v>
                </c:pt>
                <c:pt idx="66">
                  <c:v>0.68831422375526374</c:v>
                </c:pt>
                <c:pt idx="67">
                  <c:v>0.64249933089041256</c:v>
                </c:pt>
                <c:pt idx="68">
                  <c:v>0.62613686915296574</c:v>
                </c:pt>
                <c:pt idx="69">
                  <c:v>0.5497787143782138</c:v>
                </c:pt>
                <c:pt idx="70">
                  <c:v>0.53341625264076697</c:v>
                </c:pt>
                <c:pt idx="71">
                  <c:v>0.47451139038595835</c:v>
                </c:pt>
                <c:pt idx="72">
                  <c:v>0.4516039439535327</c:v>
                </c:pt>
                <c:pt idx="73">
                  <c:v>0.39597157404621353</c:v>
                </c:pt>
                <c:pt idx="74">
                  <c:v>0.3687008044838021</c:v>
                </c:pt>
                <c:pt idx="75">
                  <c:v>0.3272492347489368</c:v>
                </c:pt>
                <c:pt idx="76">
                  <c:v>0.2945243112740431</c:v>
                </c:pt>
                <c:pt idx="77">
                  <c:v>0.25089107997418486</c:v>
                </c:pt>
                <c:pt idx="78">
                  <c:v>0.21925698728178766</c:v>
                </c:pt>
                <c:pt idx="79">
                  <c:v>0.15707963267948966</c:v>
                </c:pt>
                <c:pt idx="80">
                  <c:v>9.9265601207177492E-2</c:v>
                </c:pt>
                <c:pt idx="81">
                  <c:v>6.5449846949787352E-2</c:v>
                </c:pt>
                <c:pt idx="82">
                  <c:v>3.2724923474893676E-2</c:v>
                </c:pt>
                <c:pt idx="83">
                  <c:v>-3.2724923474893677E-3</c:v>
                </c:pt>
                <c:pt idx="84">
                  <c:v>-2.2907446432425576E-2</c:v>
                </c:pt>
                <c:pt idx="85">
                  <c:v>-6.2177354602297986E-2</c:v>
                </c:pt>
                <c:pt idx="86">
                  <c:v>-0.10253809355466686</c:v>
                </c:pt>
                <c:pt idx="87">
                  <c:v>-0.1308996938995747</c:v>
                </c:pt>
                <c:pt idx="88">
                  <c:v>-0.16144295580947549</c:v>
                </c:pt>
                <c:pt idx="89">
                  <c:v>-0.18762289458939041</c:v>
                </c:pt>
                <c:pt idx="90">
                  <c:v>-0.2279836335417593</c:v>
                </c:pt>
                <c:pt idx="91">
                  <c:v>-0.26070855701665296</c:v>
                </c:pt>
                <c:pt idx="92">
                  <c:v>-0.28361600344907856</c:v>
                </c:pt>
                <c:pt idx="93">
                  <c:v>-0.31525009614147576</c:v>
                </c:pt>
                <c:pt idx="94">
                  <c:v>-0.34579335805137656</c:v>
                </c:pt>
                <c:pt idx="95">
                  <c:v>-0.38942658935123475</c:v>
                </c:pt>
                <c:pt idx="96">
                  <c:v>-0.40360738952368869</c:v>
                </c:pt>
                <c:pt idx="97">
                  <c:v>-0.46142142099600086</c:v>
                </c:pt>
                <c:pt idx="98">
                  <c:v>-0.47123889803846897</c:v>
                </c:pt>
                <c:pt idx="99">
                  <c:v>-0.51923545246831304</c:v>
                </c:pt>
                <c:pt idx="100">
                  <c:v>-0.53123459107577398</c:v>
                </c:pt>
                <c:pt idx="101">
                  <c:v>-0.58032197628811455</c:v>
                </c:pt>
                <c:pt idx="102">
                  <c:v>-0.59341194567807209</c:v>
                </c:pt>
                <c:pt idx="103">
                  <c:v>-0.63159102306544801</c:v>
                </c:pt>
                <c:pt idx="104">
                  <c:v>-0.63922683854292317</c:v>
                </c:pt>
                <c:pt idx="105">
                  <c:v>-0.66322511575784515</c:v>
                </c:pt>
                <c:pt idx="106">
                  <c:v>-0.6948592084502424</c:v>
                </c:pt>
                <c:pt idx="107">
                  <c:v>-0.715584993317675</c:v>
                </c:pt>
                <c:pt idx="108">
                  <c:v>-0.74721908601007225</c:v>
                </c:pt>
                <c:pt idx="109">
                  <c:v>-0.78867065574493767</c:v>
                </c:pt>
                <c:pt idx="110">
                  <c:v>-0.81485059452485253</c:v>
                </c:pt>
                <c:pt idx="111">
                  <c:v>-0.86066548738970383</c:v>
                </c:pt>
                <c:pt idx="112">
                  <c:v>-0.90320788790706541</c:v>
                </c:pt>
                <c:pt idx="113">
                  <c:v>-0.91302536494953368</c:v>
                </c:pt>
                <c:pt idx="114">
                  <c:v>-0.95338610390190248</c:v>
                </c:pt>
                <c:pt idx="115">
                  <c:v>-0.98065687346431396</c:v>
                </c:pt>
                <c:pt idx="116">
                  <c:v>-1.0384709049366261</c:v>
                </c:pt>
                <c:pt idx="117">
                  <c:v>-1.0570150282390658</c:v>
                </c:pt>
                <c:pt idx="118">
                  <c:v>-1.10501158266891</c:v>
                </c:pt>
                <c:pt idx="119">
                  <c:v>-1.1399181677087964</c:v>
                </c:pt>
                <c:pt idx="120">
                  <c:v>-1.1639164449237185</c:v>
                </c:pt>
                <c:pt idx="121">
                  <c:v>-1.189005552921137</c:v>
                </c:pt>
                <c:pt idx="122">
                  <c:v>-1.1868238913561442</c:v>
                </c:pt>
                <c:pt idx="123">
                  <c:v>-1.2380929381334775</c:v>
                </c:pt>
                <c:pt idx="124">
                  <c:v>-1.2457287536109527</c:v>
                </c:pt>
                <c:pt idx="125">
                  <c:v>-1.2871803233458181</c:v>
                </c:pt>
                <c:pt idx="126">
                  <c:v>-1.2839078309983287</c:v>
                </c:pt>
                <c:pt idx="127">
                  <c:v>-1.3286318930806833</c:v>
                </c:pt>
                <c:pt idx="128">
                  <c:v>-1.3319043854281727</c:v>
                </c:pt>
                <c:pt idx="129">
                  <c:v>-1.3460851856006266</c:v>
                </c:pt>
                <c:pt idx="130">
                  <c:v>-1.3395402009056478</c:v>
                </c:pt>
                <c:pt idx="131">
                  <c:v>-1.3275410622981869</c:v>
                </c:pt>
                <c:pt idx="132">
                  <c:v>-1.3384493701231515</c:v>
                </c:pt>
                <c:pt idx="133">
                  <c:v>-1.3231777391682011</c:v>
                </c:pt>
                <c:pt idx="134">
                  <c:v>-1.3144510929082294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B-4537-9801-03A8A540677A}"/>
            </c:ext>
          </c:extLst>
        </c:ser>
        <c:ser>
          <c:idx val="1"/>
          <c:order val="1"/>
          <c:tx>
            <c:v>PMKS+ 20 rpm</c:v>
          </c:tx>
          <c:spPr>
            <a:ln w="15875">
              <a:solidFill>
                <a:srgbClr val="1F4E79"/>
              </a:solidFill>
              <a:prstDash val="dash"/>
            </a:ln>
          </c:spPr>
          <c:marker>
            <c:symbol val="none"/>
          </c:marker>
          <c:xVal>
            <c:numRef>
              <c:f>'BNO2 Rate'!$AA$6:$AA$140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'BNO2 Rate'!$AC$6:$AC$140</c:f>
              <c:numCache>
                <c:formatCode>General</c:formatCode>
                <c:ptCount val="135"/>
                <c:pt idx="0">
                  <c:v>-1.0581424191088593</c:v>
                </c:pt>
                <c:pt idx="1">
                  <c:v>-0.99576513372107567</c:v>
                </c:pt>
                <c:pt idx="2">
                  <c:v>-0.92990397189059115</c:v>
                </c:pt>
                <c:pt idx="3">
                  <c:v>-0.8567300970401891</c:v>
                </c:pt>
                <c:pt idx="4">
                  <c:v>-0.69980524547603706</c:v>
                </c:pt>
                <c:pt idx="5">
                  <c:v>-0.6164674748350204</c:v>
                </c:pt>
                <c:pt idx="6">
                  <c:v>-0.53588859490971985</c:v>
                </c:pt>
                <c:pt idx="7">
                  <c:v>-0.45117475215373076</c:v>
                </c:pt>
                <c:pt idx="8">
                  <c:v>-0.36957406544876081</c:v>
                </c:pt>
                <c:pt idx="9">
                  <c:v>-0.28897621298454329</c:v>
                </c:pt>
                <c:pt idx="10">
                  <c:v>-0.20099278236926202</c:v>
                </c:pt>
                <c:pt idx="11">
                  <c:v>-0.11904665956064767</c:v>
                </c:pt>
                <c:pt idx="12">
                  <c:v>-3.1794662334200842E-2</c:v>
                </c:pt>
                <c:pt idx="13">
                  <c:v>4.1239815216946391E-2</c:v>
                </c:pt>
                <c:pt idx="14">
                  <c:v>0.12273187496602278</c:v>
                </c:pt>
                <c:pt idx="15">
                  <c:v>0.19322709514023392</c:v>
                </c:pt>
                <c:pt idx="16">
                  <c:v>0.25828880774743312</c:v>
                </c:pt>
                <c:pt idx="17">
                  <c:v>0.32222485475287133</c:v>
                </c:pt>
                <c:pt idx="18">
                  <c:v>0.38672700867980875</c:v>
                </c:pt>
                <c:pt idx="19">
                  <c:v>0.44734235150316848</c:v>
                </c:pt>
                <c:pt idx="20">
                  <c:v>0.50405189085509972</c:v>
                </c:pt>
                <c:pt idx="21">
                  <c:v>0.55737806033398984</c:v>
                </c:pt>
                <c:pt idx="22">
                  <c:v>0.64630804914354645</c:v>
                </c:pt>
                <c:pt idx="23">
                  <c:v>0.69166408216318709</c:v>
                </c:pt>
                <c:pt idx="24">
                  <c:v>0.73072216692859215</c:v>
                </c:pt>
                <c:pt idx="25">
                  <c:v>0.76508628231171139</c:v>
                </c:pt>
                <c:pt idx="26">
                  <c:v>0.7991964984335872</c:v>
                </c:pt>
                <c:pt idx="27">
                  <c:v>0.82875305747961081</c:v>
                </c:pt>
                <c:pt idx="28">
                  <c:v>0.85631004488993234</c:v>
                </c:pt>
                <c:pt idx="29">
                  <c:v>0.8828903024723781</c:v>
                </c:pt>
                <c:pt idx="30">
                  <c:v>0.90708114204689438</c:v>
                </c:pt>
                <c:pt idx="31">
                  <c:v>0.92923221857340821</c:v>
                </c:pt>
                <c:pt idx="32">
                  <c:v>0.94826789645432419</c:v>
                </c:pt>
                <c:pt idx="33">
                  <c:v>0.96599474952312381</c:v>
                </c:pt>
                <c:pt idx="34">
                  <c:v>0.98137449009680355</c:v>
                </c:pt>
                <c:pt idx="35">
                  <c:v>0.99555025672160646</c:v>
                </c:pt>
                <c:pt idx="36">
                  <c:v>1.0087110320086308</c:v>
                </c:pt>
                <c:pt idx="37">
                  <c:v>1.0191560027145392</c:v>
                </c:pt>
                <c:pt idx="38">
                  <c:v>1.0280674639167193</c:v>
                </c:pt>
                <c:pt idx="39">
                  <c:v>1.0359736629173275</c:v>
                </c:pt>
                <c:pt idx="40">
                  <c:v>1.0419379458281444</c:v>
                </c:pt>
                <c:pt idx="41">
                  <c:v>1.0474881671321334</c:v>
                </c:pt>
                <c:pt idx="42">
                  <c:v>1.048765155817744</c:v>
                </c:pt>
                <c:pt idx="43">
                  <c:v>1.0488692933036818</c:v>
                </c:pt>
                <c:pt idx="44">
                  <c:v>1.0477398150450488</c:v>
                </c:pt>
                <c:pt idx="45">
                  <c:v>1.0442452529248964</c:v>
                </c:pt>
                <c:pt idx="46">
                  <c:v>1.0394217810740958</c:v>
                </c:pt>
                <c:pt idx="47">
                  <c:v>1.0339325901219996</c:v>
                </c:pt>
                <c:pt idx="48">
                  <c:v>1.0264742958550814</c:v>
                </c:pt>
                <c:pt idx="49">
                  <c:v>1.0180439619591011</c:v>
                </c:pt>
                <c:pt idx="50">
                  <c:v>1.0071899701149234</c:v>
                </c:pt>
                <c:pt idx="51">
                  <c:v>0.99556039989022949</c:v>
                </c:pt>
                <c:pt idx="52">
                  <c:v>0.98163518477866474</c:v>
                </c:pt>
                <c:pt idx="53">
                  <c:v>0.96688168327305646</c:v>
                </c:pt>
                <c:pt idx="54">
                  <c:v>0.94937715527351274</c:v>
                </c:pt>
                <c:pt idx="55">
                  <c:v>0.93065325488119144</c:v>
                </c:pt>
                <c:pt idx="56">
                  <c:v>0.91096853371196129</c:v>
                </c:pt>
                <c:pt idx="57">
                  <c:v>0.89023913897504348</c:v>
                </c:pt>
                <c:pt idx="58">
                  <c:v>0.86863882848649654</c:v>
                </c:pt>
                <c:pt idx="59">
                  <c:v>0.84331022543988565</c:v>
                </c:pt>
                <c:pt idx="60">
                  <c:v>0.80698958639840157</c:v>
                </c:pt>
                <c:pt idx="61">
                  <c:v>0.7807410690080594</c:v>
                </c:pt>
                <c:pt idx="62">
                  <c:v>0.75410692632859333</c:v>
                </c:pt>
                <c:pt idx="63">
                  <c:v>0.722692132195484</c:v>
                </c:pt>
                <c:pt idx="64">
                  <c:v>0.69064722424889091</c:v>
                </c:pt>
                <c:pt idx="65">
                  <c:v>0.66056300255477729</c:v>
                </c:pt>
                <c:pt idx="66">
                  <c:v>0.62780276543688207</c:v>
                </c:pt>
                <c:pt idx="67">
                  <c:v>0.59445372028121546</c:v>
                </c:pt>
                <c:pt idx="68">
                  <c:v>0.56042746529651843</c:v>
                </c:pt>
                <c:pt idx="69">
                  <c:v>0.5247878688752462</c:v>
                </c:pt>
                <c:pt idx="70">
                  <c:v>0.48815424717592504</c:v>
                </c:pt>
                <c:pt idx="71">
                  <c:v>0.45287384051818846</c:v>
                </c:pt>
                <c:pt idx="72">
                  <c:v>0.41591430885083802</c:v>
                </c:pt>
                <c:pt idx="73">
                  <c:v>0.38231391272020243</c:v>
                </c:pt>
                <c:pt idx="74">
                  <c:v>0.34535438960285847</c:v>
                </c:pt>
                <c:pt idx="75">
                  <c:v>0.31007395590015957</c:v>
                </c:pt>
                <c:pt idx="76">
                  <c:v>0.2774745722556064</c:v>
                </c:pt>
                <c:pt idx="77">
                  <c:v>0.24463060972958037</c:v>
                </c:pt>
                <c:pt idx="78">
                  <c:v>0.2117502871394219</c:v>
                </c:pt>
                <c:pt idx="79">
                  <c:v>0.16232336375993303</c:v>
                </c:pt>
                <c:pt idx="80">
                  <c:v>0.12800317380953144</c:v>
                </c:pt>
                <c:pt idx="81">
                  <c:v>9.6802913712719471E-2</c:v>
                </c:pt>
                <c:pt idx="82">
                  <c:v>6.5099602006099239E-2</c:v>
                </c:pt>
                <c:pt idx="83">
                  <c:v>3.5136743143434623E-2</c:v>
                </c:pt>
                <c:pt idx="84">
                  <c:v>4.691724920585302E-3</c:v>
                </c:pt>
                <c:pt idx="85">
                  <c:v>-2.4107544281567077E-2</c:v>
                </c:pt>
                <c:pt idx="86">
                  <c:v>-5.5787454536923423E-2</c:v>
                </c:pt>
                <c:pt idx="87">
                  <c:v>-8.5198952139385789E-2</c:v>
                </c:pt>
                <c:pt idx="88">
                  <c:v>-0.11361347303283093</c:v>
                </c:pt>
                <c:pt idx="89">
                  <c:v>-0.14493926946019925</c:v>
                </c:pt>
                <c:pt idx="90">
                  <c:v>-0.17397904251125318</c:v>
                </c:pt>
                <c:pt idx="91">
                  <c:v>-0.20301874538690637</c:v>
                </c:pt>
                <c:pt idx="92">
                  <c:v>-0.23205875798398748</c:v>
                </c:pt>
                <c:pt idx="93">
                  <c:v>-0.26087196117630196</c:v>
                </c:pt>
                <c:pt idx="94">
                  <c:v>-0.28649925559573347</c:v>
                </c:pt>
                <c:pt idx="95">
                  <c:v>-0.31345730220607249</c:v>
                </c:pt>
                <c:pt idx="96">
                  <c:v>-0.34041425622666011</c:v>
                </c:pt>
                <c:pt idx="97">
                  <c:v>-0.39041925450524917</c:v>
                </c:pt>
                <c:pt idx="98">
                  <c:v>-0.41681896018815573</c:v>
                </c:pt>
                <c:pt idx="99">
                  <c:v>-0.44221874465638766</c:v>
                </c:pt>
                <c:pt idx="100">
                  <c:v>-0.46993878662891525</c:v>
                </c:pt>
                <c:pt idx="101">
                  <c:v>-0.49783202311843733</c:v>
                </c:pt>
                <c:pt idx="102">
                  <c:v>-0.5276994172102073</c:v>
                </c:pt>
                <c:pt idx="103">
                  <c:v>-0.55761275311111713</c:v>
                </c:pt>
                <c:pt idx="104">
                  <c:v>-0.5851128015003515</c:v>
                </c:pt>
                <c:pt idx="105">
                  <c:v>-0.61336842108622935</c:v>
                </c:pt>
                <c:pt idx="106">
                  <c:v>-0.6428282473521818</c:v>
                </c:pt>
                <c:pt idx="107">
                  <c:v>-0.67244650223511815</c:v>
                </c:pt>
                <c:pt idx="108">
                  <c:v>-0.70342162612185777</c:v>
                </c:pt>
                <c:pt idx="109">
                  <c:v>-0.73640807790495522</c:v>
                </c:pt>
                <c:pt idx="110">
                  <c:v>-0.76687655251590237</c:v>
                </c:pt>
                <c:pt idx="111">
                  <c:v>-0.79963675453715422</c:v>
                </c:pt>
                <c:pt idx="112">
                  <c:v>-0.8308371681678407</c:v>
                </c:pt>
                <c:pt idx="113">
                  <c:v>-0.86615639183624771</c:v>
                </c:pt>
                <c:pt idx="114">
                  <c:v>-0.89987864954412733</c:v>
                </c:pt>
                <c:pt idx="115">
                  <c:v>-0.93455800522811416</c:v>
                </c:pt>
                <c:pt idx="116">
                  <c:v>-0.98187915808438142</c:v>
                </c:pt>
                <c:pt idx="117">
                  <c:v>-1.0165668681119133</c:v>
                </c:pt>
                <c:pt idx="118">
                  <c:v>-1.0504060292513258</c:v>
                </c:pt>
                <c:pt idx="119">
                  <c:v>-1.0826365939691036</c:v>
                </c:pt>
                <c:pt idx="120">
                  <c:v>-1.1157481422611419</c:v>
                </c:pt>
                <c:pt idx="121">
                  <c:v>-1.1494247647622025</c:v>
                </c:pt>
                <c:pt idx="122">
                  <c:v>-1.1797480145701582</c:v>
                </c:pt>
                <c:pt idx="123">
                  <c:v>-1.2074190196267516</c:v>
                </c:pt>
                <c:pt idx="124">
                  <c:v>-1.2328579063250942</c:v>
                </c:pt>
                <c:pt idx="125">
                  <c:v>-1.2564410024430788</c:v>
                </c:pt>
                <c:pt idx="126">
                  <c:v>-1.2765918205027362</c:v>
                </c:pt>
                <c:pt idx="127">
                  <c:v>-1.2938134183699708</c:v>
                </c:pt>
                <c:pt idx="128">
                  <c:v>-1.3074117301315145</c:v>
                </c:pt>
                <c:pt idx="129">
                  <c:v>-1.3152027096773264</c:v>
                </c:pt>
                <c:pt idx="130">
                  <c:v>-1.3169992736161411</c:v>
                </c:pt>
                <c:pt idx="131">
                  <c:v>-1.313803818458013</c:v>
                </c:pt>
                <c:pt idx="132">
                  <c:v>-1.3047299582599914</c:v>
                </c:pt>
                <c:pt idx="133">
                  <c:v>-1.2872885533891687</c:v>
                </c:pt>
                <c:pt idx="134">
                  <c:v>-1.2627101039523163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EB-4537-9801-03A8A5406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.5"/>
          <c:min val="-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Angular velocity (rad/s)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0.5"/>
      </c:valAx>
      <c:valAx>
        <c:axId val="48650112"/>
        <c:scaling>
          <c:orientation val="minMax"/>
          <c:max val="30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1.5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Original input pitch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Angle Y (deg)</c:v>
          </c:tx>
          <c:spPr>
            <a:ln w="15875">
              <a:solidFill>
                <a:srgbClr val="8C5700"/>
              </a:solidFill>
              <a:prstDash val="solid"/>
            </a:ln>
          </c:spPr>
          <c:marker>
            <c:symbol val="none"/>
          </c:marker>
          <c:xVal>
            <c:numRef>
              <c:f>'Original input'!$AC$6:$AC$64</c:f>
              <c:numCache>
                <c:formatCode>General</c:formatCode>
                <c:ptCount val="59"/>
                <c:pt idx="0">
                  <c:v>48.468236099999999</c:v>
                </c:pt>
                <c:pt idx="1">
                  <c:v>77.468236099999999</c:v>
                </c:pt>
                <c:pt idx="2">
                  <c:v>137.46823599999999</c:v>
                </c:pt>
                <c:pt idx="3">
                  <c:v>167.46823599999999</c:v>
                </c:pt>
                <c:pt idx="4">
                  <c:v>258.46823599999999</c:v>
                </c:pt>
                <c:pt idx="5">
                  <c:v>289.46823599999999</c:v>
                </c:pt>
                <c:pt idx="6">
                  <c:v>319.46823599999999</c:v>
                </c:pt>
                <c:pt idx="7">
                  <c:v>377.46823599999999</c:v>
                </c:pt>
                <c:pt idx="8">
                  <c:v>467.46823599999999</c:v>
                </c:pt>
                <c:pt idx="9">
                  <c:v>497.46823599999999</c:v>
                </c:pt>
                <c:pt idx="10">
                  <c:v>527.46823600000005</c:v>
                </c:pt>
                <c:pt idx="11">
                  <c:v>589.46823599999993</c:v>
                </c:pt>
                <c:pt idx="12">
                  <c:v>648.46823600000005</c:v>
                </c:pt>
                <c:pt idx="13">
                  <c:v>708.46823599999993</c:v>
                </c:pt>
                <c:pt idx="14">
                  <c:v>737.46823600000005</c:v>
                </c:pt>
                <c:pt idx="15">
                  <c:v>768.46823600000005</c:v>
                </c:pt>
                <c:pt idx="16">
                  <c:v>857.46823600000005</c:v>
                </c:pt>
                <c:pt idx="17">
                  <c:v>887.46823600000005</c:v>
                </c:pt>
                <c:pt idx="18">
                  <c:v>948.46823599999993</c:v>
                </c:pt>
                <c:pt idx="19">
                  <c:v>977.46823599999993</c:v>
                </c:pt>
                <c:pt idx="20">
                  <c:v>1067.4682399999999</c:v>
                </c:pt>
                <c:pt idx="21">
                  <c:v>1097.4682399999999</c:v>
                </c:pt>
                <c:pt idx="22">
                  <c:v>1127.4682399999999</c:v>
                </c:pt>
                <c:pt idx="23">
                  <c:v>1187.4682400000002</c:v>
                </c:pt>
                <c:pt idx="24">
                  <c:v>1248.4682399999999</c:v>
                </c:pt>
                <c:pt idx="25">
                  <c:v>1308.4682400000002</c:v>
                </c:pt>
                <c:pt idx="26">
                  <c:v>1337.4682399999999</c:v>
                </c:pt>
                <c:pt idx="27">
                  <c:v>1368.4682399999999</c:v>
                </c:pt>
                <c:pt idx="28">
                  <c:v>1458.4682399999999</c:v>
                </c:pt>
                <c:pt idx="29">
                  <c:v>1487.4682400000002</c:v>
                </c:pt>
                <c:pt idx="30">
                  <c:v>1548.4682400000002</c:v>
                </c:pt>
                <c:pt idx="31">
                  <c:v>1577.4682399999999</c:v>
                </c:pt>
                <c:pt idx="32">
                  <c:v>1667.4682400000002</c:v>
                </c:pt>
                <c:pt idx="33">
                  <c:v>1698.4682399999999</c:v>
                </c:pt>
                <c:pt idx="34">
                  <c:v>1727.4682400000002</c:v>
                </c:pt>
                <c:pt idx="35">
                  <c:v>1788.4682400000002</c:v>
                </c:pt>
                <c:pt idx="36">
                  <c:v>1877.4682399999999</c:v>
                </c:pt>
                <c:pt idx="37">
                  <c:v>1908.4682399999999</c:v>
                </c:pt>
                <c:pt idx="38">
                  <c:v>1937.4682400000002</c:v>
                </c:pt>
                <c:pt idx="39">
                  <c:v>1998.4682399999999</c:v>
                </c:pt>
                <c:pt idx="40">
                  <c:v>2058.4682399999997</c:v>
                </c:pt>
                <c:pt idx="41">
                  <c:v>2148.4682400000002</c:v>
                </c:pt>
                <c:pt idx="42">
                  <c:v>2177.4682400000002</c:v>
                </c:pt>
                <c:pt idx="43">
                  <c:v>2268.4682399999997</c:v>
                </c:pt>
                <c:pt idx="44">
                  <c:v>2296.4682399999997</c:v>
                </c:pt>
                <c:pt idx="45">
                  <c:v>2358.4682400000002</c:v>
                </c:pt>
                <c:pt idx="46">
                  <c:v>2388.4682399999997</c:v>
                </c:pt>
                <c:pt idx="47">
                  <c:v>2478.4682400000002</c:v>
                </c:pt>
                <c:pt idx="48">
                  <c:v>2508.4682400000002</c:v>
                </c:pt>
                <c:pt idx="49">
                  <c:v>2537.4682400000002</c:v>
                </c:pt>
                <c:pt idx="50">
                  <c:v>2598.4682399999997</c:v>
                </c:pt>
                <c:pt idx="51">
                  <c:v>2658.4682400000002</c:v>
                </c:pt>
                <c:pt idx="52">
                  <c:v>2718.4682400000002</c:v>
                </c:pt>
                <c:pt idx="53">
                  <c:v>2748.4682399999997</c:v>
                </c:pt>
                <c:pt idx="54">
                  <c:v>2778.4682400000002</c:v>
                </c:pt>
                <c:pt idx="55">
                  <c:v>2869.4682399999997</c:v>
                </c:pt>
                <c:pt idx="56">
                  <c:v>2898.4682400000002</c:v>
                </c:pt>
                <c:pt idx="57">
                  <c:v>2957.4682399999997</c:v>
                </c:pt>
                <c:pt idx="58">
                  <c:v>2988.4682400000002</c:v>
                </c:pt>
              </c:numCache>
            </c:numRef>
          </c:xVal>
          <c:yVal>
            <c:numRef>
              <c:f>'Original input'!$AG$6:$AG$64</c:f>
              <c:numCache>
                <c:formatCode>General</c:formatCode>
                <c:ptCount val="59"/>
                <c:pt idx="0">
                  <c:v>3.34</c:v>
                </c:pt>
                <c:pt idx="1">
                  <c:v>9.6189999999999998</c:v>
                </c:pt>
                <c:pt idx="2">
                  <c:v>15.864000000000001</c:v>
                </c:pt>
                <c:pt idx="3">
                  <c:v>22.006</c:v>
                </c:pt>
                <c:pt idx="4">
                  <c:v>28.081</c:v>
                </c:pt>
                <c:pt idx="5">
                  <c:v>34.200000000000003</c:v>
                </c:pt>
                <c:pt idx="6">
                  <c:v>40.192999999999998</c:v>
                </c:pt>
                <c:pt idx="7">
                  <c:v>46.180999999999997</c:v>
                </c:pt>
                <c:pt idx="8">
                  <c:v>52.223999999999997</c:v>
                </c:pt>
                <c:pt idx="9">
                  <c:v>58.287999999999997</c:v>
                </c:pt>
                <c:pt idx="10">
                  <c:v>64.198999999999998</c:v>
                </c:pt>
                <c:pt idx="11">
                  <c:v>70.054000000000002</c:v>
                </c:pt>
                <c:pt idx="12">
                  <c:v>75.899000000000001</c:v>
                </c:pt>
                <c:pt idx="13">
                  <c:v>81.715999999999994</c:v>
                </c:pt>
                <c:pt idx="14">
                  <c:v>87.435000000000002</c:v>
                </c:pt>
                <c:pt idx="15">
                  <c:v>93.301000000000002</c:v>
                </c:pt>
                <c:pt idx="16">
                  <c:v>99.185000000000002</c:v>
                </c:pt>
                <c:pt idx="17">
                  <c:v>97.388000000000005</c:v>
                </c:pt>
                <c:pt idx="18">
                  <c:v>91.686000000000007</c:v>
                </c:pt>
                <c:pt idx="19">
                  <c:v>86.012</c:v>
                </c:pt>
                <c:pt idx="20">
                  <c:v>80.31</c:v>
                </c:pt>
                <c:pt idx="21">
                  <c:v>74.695999999999998</c:v>
                </c:pt>
                <c:pt idx="22">
                  <c:v>69.186000000000007</c:v>
                </c:pt>
                <c:pt idx="23">
                  <c:v>63.720999999999997</c:v>
                </c:pt>
                <c:pt idx="24">
                  <c:v>58.210999999999999</c:v>
                </c:pt>
                <c:pt idx="25">
                  <c:v>52.722999999999999</c:v>
                </c:pt>
                <c:pt idx="26">
                  <c:v>47.180999999999997</c:v>
                </c:pt>
                <c:pt idx="27">
                  <c:v>41.500999999999998</c:v>
                </c:pt>
                <c:pt idx="28">
                  <c:v>35.689</c:v>
                </c:pt>
                <c:pt idx="29">
                  <c:v>29.773</c:v>
                </c:pt>
                <c:pt idx="30">
                  <c:v>23.658999999999999</c:v>
                </c:pt>
                <c:pt idx="31">
                  <c:v>17.314</c:v>
                </c:pt>
                <c:pt idx="32">
                  <c:v>10.882</c:v>
                </c:pt>
                <c:pt idx="33">
                  <c:v>4.3289999999999997</c:v>
                </c:pt>
                <c:pt idx="34">
                  <c:v>-2.3570000000000002</c:v>
                </c:pt>
                <c:pt idx="35">
                  <c:v>-9.0470000000000006</c:v>
                </c:pt>
                <c:pt idx="36">
                  <c:v>-15.628</c:v>
                </c:pt>
                <c:pt idx="37">
                  <c:v>-22.11</c:v>
                </c:pt>
                <c:pt idx="38">
                  <c:v>-28.427</c:v>
                </c:pt>
                <c:pt idx="39">
                  <c:v>-34.518999999999998</c:v>
                </c:pt>
                <c:pt idx="40">
                  <c:v>-40.54</c:v>
                </c:pt>
                <c:pt idx="41">
                  <c:v>-49.713000000000001</c:v>
                </c:pt>
                <c:pt idx="42">
                  <c:v>-58.777000000000001</c:v>
                </c:pt>
                <c:pt idx="43">
                  <c:v>-64.802999999999997</c:v>
                </c:pt>
                <c:pt idx="44">
                  <c:v>-70.608999999999995</c:v>
                </c:pt>
                <c:pt idx="45">
                  <c:v>-75.048000000000002</c:v>
                </c:pt>
                <c:pt idx="46">
                  <c:v>-73.010000000000005</c:v>
                </c:pt>
                <c:pt idx="47">
                  <c:v>-67.626000000000005</c:v>
                </c:pt>
                <c:pt idx="48">
                  <c:v>-61.875</c:v>
                </c:pt>
                <c:pt idx="49">
                  <c:v>-56.069000000000003</c:v>
                </c:pt>
                <c:pt idx="50">
                  <c:v>-50.158000000000001</c:v>
                </c:pt>
                <c:pt idx="51">
                  <c:v>-44.186999999999998</c:v>
                </c:pt>
                <c:pt idx="52">
                  <c:v>-38.353000000000002</c:v>
                </c:pt>
                <c:pt idx="53">
                  <c:v>-32.497999999999998</c:v>
                </c:pt>
                <c:pt idx="54">
                  <c:v>-26.536999999999999</c:v>
                </c:pt>
                <c:pt idx="55">
                  <c:v>-20.565999999999999</c:v>
                </c:pt>
                <c:pt idx="56">
                  <c:v>-14.561999999999999</c:v>
                </c:pt>
                <c:pt idx="57">
                  <c:v>-8.4979999999999993</c:v>
                </c:pt>
                <c:pt idx="58">
                  <c:v>-2.3620000000000001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4-450F-963E-A75E30AEB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20"/>
          <c:min val="-12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Angle (deg)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60"/>
      </c:valAx>
      <c:valAx>
        <c:axId val="48650112"/>
        <c:scaling>
          <c:orientation val="minMax"/>
          <c:max val="32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120"/>
        <c:crossBetween val="midCat"/>
        <c:majorUnit val="1000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Original input angular velocities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Gyro X</c:v>
          </c:tx>
          <c:spPr>
            <a:ln w="15875">
              <a:solidFill>
                <a:srgbClr val="8C5700"/>
              </a:solidFill>
              <a:prstDash val="solid"/>
            </a:ln>
          </c:spPr>
          <c:marker>
            <c:symbol val="none"/>
          </c:marker>
          <c:xVal>
            <c:numRef>
              <c:f>'Original input'!$AC$6:$AC$64</c:f>
              <c:numCache>
                <c:formatCode>General</c:formatCode>
                <c:ptCount val="59"/>
                <c:pt idx="0">
                  <c:v>48.468236099999999</c:v>
                </c:pt>
                <c:pt idx="1">
                  <c:v>77.468236099999999</c:v>
                </c:pt>
                <c:pt idx="2">
                  <c:v>137.46823599999999</c:v>
                </c:pt>
                <c:pt idx="3">
                  <c:v>167.46823599999999</c:v>
                </c:pt>
                <c:pt idx="4">
                  <c:v>258.46823599999999</c:v>
                </c:pt>
                <c:pt idx="5">
                  <c:v>289.46823599999999</c:v>
                </c:pt>
                <c:pt idx="6">
                  <c:v>319.46823599999999</c:v>
                </c:pt>
                <c:pt idx="7">
                  <c:v>377.46823599999999</c:v>
                </c:pt>
                <c:pt idx="8">
                  <c:v>467.46823599999999</c:v>
                </c:pt>
                <c:pt idx="9">
                  <c:v>497.46823599999999</c:v>
                </c:pt>
                <c:pt idx="10">
                  <c:v>527.46823600000005</c:v>
                </c:pt>
                <c:pt idx="11">
                  <c:v>589.46823599999993</c:v>
                </c:pt>
                <c:pt idx="12">
                  <c:v>648.46823600000005</c:v>
                </c:pt>
                <c:pt idx="13">
                  <c:v>708.46823599999993</c:v>
                </c:pt>
                <c:pt idx="14">
                  <c:v>737.46823600000005</c:v>
                </c:pt>
                <c:pt idx="15">
                  <c:v>768.46823600000005</c:v>
                </c:pt>
                <c:pt idx="16">
                  <c:v>857.46823600000005</c:v>
                </c:pt>
                <c:pt idx="17">
                  <c:v>887.46823600000005</c:v>
                </c:pt>
                <c:pt idx="18">
                  <c:v>948.46823599999993</c:v>
                </c:pt>
                <c:pt idx="19">
                  <c:v>977.46823599999993</c:v>
                </c:pt>
                <c:pt idx="20">
                  <c:v>1067.4682399999999</c:v>
                </c:pt>
                <c:pt idx="21">
                  <c:v>1097.4682399999999</c:v>
                </c:pt>
                <c:pt idx="22">
                  <c:v>1127.4682399999999</c:v>
                </c:pt>
                <c:pt idx="23">
                  <c:v>1187.4682400000002</c:v>
                </c:pt>
                <c:pt idx="24">
                  <c:v>1248.4682399999999</c:v>
                </c:pt>
                <c:pt idx="25">
                  <c:v>1308.4682400000002</c:v>
                </c:pt>
                <c:pt idx="26">
                  <c:v>1337.4682399999999</c:v>
                </c:pt>
                <c:pt idx="27">
                  <c:v>1368.4682399999999</c:v>
                </c:pt>
                <c:pt idx="28">
                  <c:v>1458.4682399999999</c:v>
                </c:pt>
                <c:pt idx="29">
                  <c:v>1487.4682400000002</c:v>
                </c:pt>
                <c:pt idx="30">
                  <c:v>1548.4682400000002</c:v>
                </c:pt>
                <c:pt idx="31">
                  <c:v>1577.4682399999999</c:v>
                </c:pt>
                <c:pt idx="32">
                  <c:v>1667.4682400000002</c:v>
                </c:pt>
                <c:pt idx="33">
                  <c:v>1698.4682399999999</c:v>
                </c:pt>
                <c:pt idx="34">
                  <c:v>1727.4682400000002</c:v>
                </c:pt>
                <c:pt idx="35">
                  <c:v>1788.4682400000002</c:v>
                </c:pt>
                <c:pt idx="36">
                  <c:v>1877.4682399999999</c:v>
                </c:pt>
                <c:pt idx="37">
                  <c:v>1908.4682399999999</c:v>
                </c:pt>
                <c:pt idx="38">
                  <c:v>1937.4682400000002</c:v>
                </c:pt>
                <c:pt idx="39">
                  <c:v>1998.4682399999999</c:v>
                </c:pt>
                <c:pt idx="40">
                  <c:v>2058.4682399999997</c:v>
                </c:pt>
                <c:pt idx="41">
                  <c:v>2148.4682400000002</c:v>
                </c:pt>
                <c:pt idx="42">
                  <c:v>2177.4682400000002</c:v>
                </c:pt>
                <c:pt idx="43">
                  <c:v>2268.4682399999997</c:v>
                </c:pt>
                <c:pt idx="44">
                  <c:v>2296.4682399999997</c:v>
                </c:pt>
                <c:pt idx="45">
                  <c:v>2358.4682400000002</c:v>
                </c:pt>
                <c:pt idx="46">
                  <c:v>2388.4682399999997</c:v>
                </c:pt>
                <c:pt idx="47">
                  <c:v>2478.4682400000002</c:v>
                </c:pt>
                <c:pt idx="48">
                  <c:v>2508.4682400000002</c:v>
                </c:pt>
                <c:pt idx="49">
                  <c:v>2537.4682400000002</c:v>
                </c:pt>
                <c:pt idx="50">
                  <c:v>2598.4682399999997</c:v>
                </c:pt>
                <c:pt idx="51">
                  <c:v>2658.4682400000002</c:v>
                </c:pt>
                <c:pt idx="52">
                  <c:v>2718.4682400000002</c:v>
                </c:pt>
                <c:pt idx="53">
                  <c:v>2748.4682399999997</c:v>
                </c:pt>
                <c:pt idx="54">
                  <c:v>2778.4682400000002</c:v>
                </c:pt>
                <c:pt idx="55">
                  <c:v>2869.4682399999997</c:v>
                </c:pt>
                <c:pt idx="56">
                  <c:v>2898.4682400000002</c:v>
                </c:pt>
                <c:pt idx="57">
                  <c:v>2957.4682399999997</c:v>
                </c:pt>
                <c:pt idx="58">
                  <c:v>2988.4682400000002</c:v>
                </c:pt>
              </c:numCache>
            </c:numRef>
          </c:xVal>
          <c:yVal>
            <c:numRef>
              <c:f>'Original input'!$AD$6:$AD$64</c:f>
              <c:numCache>
                <c:formatCode>General</c:formatCode>
                <c:ptCount val="59"/>
                <c:pt idx="0">
                  <c:v>-4.3949999999999996</c:v>
                </c:pt>
                <c:pt idx="1">
                  <c:v>-4.5170000000000003</c:v>
                </c:pt>
                <c:pt idx="2">
                  <c:v>-4.3949999999999996</c:v>
                </c:pt>
                <c:pt idx="3">
                  <c:v>-4.3330000000000002</c:v>
                </c:pt>
                <c:pt idx="4">
                  <c:v>-4.3330000000000002</c:v>
                </c:pt>
                <c:pt idx="5">
                  <c:v>-4.3330000000000002</c:v>
                </c:pt>
                <c:pt idx="6">
                  <c:v>-4.2110000000000003</c:v>
                </c:pt>
                <c:pt idx="7">
                  <c:v>-4.2720000000000002</c:v>
                </c:pt>
                <c:pt idx="8">
                  <c:v>-4.3949999999999996</c:v>
                </c:pt>
                <c:pt idx="9">
                  <c:v>-4.2720000000000002</c:v>
                </c:pt>
                <c:pt idx="10">
                  <c:v>-4.2110000000000003</c:v>
                </c:pt>
                <c:pt idx="11">
                  <c:v>-4.1500000000000004</c:v>
                </c:pt>
                <c:pt idx="12">
                  <c:v>-4.1500000000000004</c:v>
                </c:pt>
                <c:pt idx="13">
                  <c:v>-4.0890000000000004</c:v>
                </c:pt>
                <c:pt idx="14">
                  <c:v>-4.1500000000000004</c:v>
                </c:pt>
                <c:pt idx="15">
                  <c:v>-4.2110000000000003</c:v>
                </c:pt>
                <c:pt idx="16">
                  <c:v>-4.1500000000000004</c:v>
                </c:pt>
                <c:pt idx="17">
                  <c:v>-4.0890000000000004</c:v>
                </c:pt>
                <c:pt idx="18">
                  <c:v>-4.0890000000000004</c:v>
                </c:pt>
                <c:pt idx="19">
                  <c:v>-4.1500000000000004</c:v>
                </c:pt>
                <c:pt idx="20">
                  <c:v>-4.2110000000000003</c:v>
                </c:pt>
                <c:pt idx="21">
                  <c:v>-4.1500000000000004</c:v>
                </c:pt>
                <c:pt idx="22">
                  <c:v>-3.9670000000000001</c:v>
                </c:pt>
                <c:pt idx="23">
                  <c:v>-4.0279999999999996</c:v>
                </c:pt>
                <c:pt idx="24">
                  <c:v>-3.9060000000000001</c:v>
                </c:pt>
                <c:pt idx="25">
                  <c:v>-3.9060000000000001</c:v>
                </c:pt>
                <c:pt idx="26">
                  <c:v>-4.0890000000000004</c:v>
                </c:pt>
                <c:pt idx="27">
                  <c:v>-4.1500000000000004</c:v>
                </c:pt>
                <c:pt idx="28">
                  <c:v>-4.2110000000000003</c:v>
                </c:pt>
                <c:pt idx="29">
                  <c:v>-4.3330000000000002</c:v>
                </c:pt>
                <c:pt idx="30">
                  <c:v>-4.3949999999999996</c:v>
                </c:pt>
                <c:pt idx="31">
                  <c:v>-4.3330000000000002</c:v>
                </c:pt>
                <c:pt idx="32">
                  <c:v>-4.4560000000000004</c:v>
                </c:pt>
                <c:pt idx="33">
                  <c:v>-4.7</c:v>
                </c:pt>
                <c:pt idx="34">
                  <c:v>-4.7</c:v>
                </c:pt>
                <c:pt idx="35">
                  <c:v>-4.6390000000000002</c:v>
                </c:pt>
                <c:pt idx="36">
                  <c:v>-4.7</c:v>
                </c:pt>
                <c:pt idx="37">
                  <c:v>-4.5170000000000003</c:v>
                </c:pt>
                <c:pt idx="38">
                  <c:v>-4.3949999999999996</c:v>
                </c:pt>
                <c:pt idx="39">
                  <c:v>-4.2720000000000002</c:v>
                </c:pt>
                <c:pt idx="40">
                  <c:v>-4.2720000000000002</c:v>
                </c:pt>
                <c:pt idx="41">
                  <c:v>-4.3330000000000002</c:v>
                </c:pt>
                <c:pt idx="42">
                  <c:v>-4.5170000000000003</c:v>
                </c:pt>
                <c:pt idx="43">
                  <c:v>-4.7610000000000001</c:v>
                </c:pt>
                <c:pt idx="44">
                  <c:v>-4.1500000000000004</c:v>
                </c:pt>
                <c:pt idx="45">
                  <c:v>-4.3330000000000002</c:v>
                </c:pt>
                <c:pt idx="46">
                  <c:v>-4.2720000000000002</c:v>
                </c:pt>
                <c:pt idx="47">
                  <c:v>-4.1500000000000004</c:v>
                </c:pt>
                <c:pt idx="48">
                  <c:v>-4.1500000000000004</c:v>
                </c:pt>
                <c:pt idx="49">
                  <c:v>-4.3330000000000002</c:v>
                </c:pt>
                <c:pt idx="50">
                  <c:v>-4.2720000000000002</c:v>
                </c:pt>
                <c:pt idx="51">
                  <c:v>-4.2720000000000002</c:v>
                </c:pt>
                <c:pt idx="52">
                  <c:v>-4.3330000000000002</c:v>
                </c:pt>
                <c:pt idx="53">
                  <c:v>-4.0890000000000004</c:v>
                </c:pt>
                <c:pt idx="54">
                  <c:v>-4.2720000000000002</c:v>
                </c:pt>
                <c:pt idx="55">
                  <c:v>-4.3330000000000002</c:v>
                </c:pt>
                <c:pt idx="56">
                  <c:v>-4.2110000000000003</c:v>
                </c:pt>
                <c:pt idx="57">
                  <c:v>-4.3330000000000002</c:v>
                </c:pt>
                <c:pt idx="58">
                  <c:v>-4.3330000000000002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9-45CC-9462-F28622A4A9C2}"/>
            </c:ext>
          </c:extLst>
        </c:ser>
        <c:ser>
          <c:idx val="1"/>
          <c:order val="1"/>
          <c:tx>
            <c:v>Gyro Y</c:v>
          </c:tx>
          <c:spPr>
            <a:ln w="15875">
              <a:solidFill>
                <a:srgbClr val="157A54"/>
              </a:solidFill>
              <a:prstDash val="solid"/>
            </a:ln>
          </c:spPr>
          <c:marker>
            <c:symbol val="none"/>
          </c:marker>
          <c:xVal>
            <c:numRef>
              <c:f>'Original input'!$AC$6:$AC$64</c:f>
              <c:numCache>
                <c:formatCode>General</c:formatCode>
                <c:ptCount val="59"/>
                <c:pt idx="0">
                  <c:v>48.468236099999999</c:v>
                </c:pt>
                <c:pt idx="1">
                  <c:v>77.468236099999999</c:v>
                </c:pt>
                <c:pt idx="2">
                  <c:v>137.46823599999999</c:v>
                </c:pt>
                <c:pt idx="3">
                  <c:v>167.46823599999999</c:v>
                </c:pt>
                <c:pt idx="4">
                  <c:v>258.46823599999999</c:v>
                </c:pt>
                <c:pt idx="5">
                  <c:v>289.46823599999999</c:v>
                </c:pt>
                <c:pt idx="6">
                  <c:v>319.46823599999999</c:v>
                </c:pt>
                <c:pt idx="7">
                  <c:v>377.46823599999999</c:v>
                </c:pt>
                <c:pt idx="8">
                  <c:v>467.46823599999999</c:v>
                </c:pt>
                <c:pt idx="9">
                  <c:v>497.46823599999999</c:v>
                </c:pt>
                <c:pt idx="10">
                  <c:v>527.46823600000005</c:v>
                </c:pt>
                <c:pt idx="11">
                  <c:v>589.46823599999993</c:v>
                </c:pt>
                <c:pt idx="12">
                  <c:v>648.46823600000005</c:v>
                </c:pt>
                <c:pt idx="13">
                  <c:v>708.46823599999993</c:v>
                </c:pt>
                <c:pt idx="14">
                  <c:v>737.46823600000005</c:v>
                </c:pt>
                <c:pt idx="15">
                  <c:v>768.46823600000005</c:v>
                </c:pt>
                <c:pt idx="16">
                  <c:v>857.46823600000005</c:v>
                </c:pt>
                <c:pt idx="17">
                  <c:v>887.46823600000005</c:v>
                </c:pt>
                <c:pt idx="18">
                  <c:v>948.46823599999993</c:v>
                </c:pt>
                <c:pt idx="19">
                  <c:v>977.46823599999993</c:v>
                </c:pt>
                <c:pt idx="20">
                  <c:v>1067.4682399999999</c:v>
                </c:pt>
                <c:pt idx="21">
                  <c:v>1097.4682399999999</c:v>
                </c:pt>
                <c:pt idx="22">
                  <c:v>1127.4682399999999</c:v>
                </c:pt>
                <c:pt idx="23">
                  <c:v>1187.4682400000002</c:v>
                </c:pt>
                <c:pt idx="24">
                  <c:v>1248.4682399999999</c:v>
                </c:pt>
                <c:pt idx="25">
                  <c:v>1308.4682400000002</c:v>
                </c:pt>
                <c:pt idx="26">
                  <c:v>1337.4682399999999</c:v>
                </c:pt>
                <c:pt idx="27">
                  <c:v>1368.4682399999999</c:v>
                </c:pt>
                <c:pt idx="28">
                  <c:v>1458.4682399999999</c:v>
                </c:pt>
                <c:pt idx="29">
                  <c:v>1487.4682400000002</c:v>
                </c:pt>
                <c:pt idx="30">
                  <c:v>1548.4682400000002</c:v>
                </c:pt>
                <c:pt idx="31">
                  <c:v>1577.4682399999999</c:v>
                </c:pt>
                <c:pt idx="32">
                  <c:v>1667.4682400000002</c:v>
                </c:pt>
                <c:pt idx="33">
                  <c:v>1698.4682399999999</c:v>
                </c:pt>
                <c:pt idx="34">
                  <c:v>1727.4682400000002</c:v>
                </c:pt>
                <c:pt idx="35">
                  <c:v>1788.4682400000002</c:v>
                </c:pt>
                <c:pt idx="36">
                  <c:v>1877.4682399999999</c:v>
                </c:pt>
                <c:pt idx="37">
                  <c:v>1908.4682399999999</c:v>
                </c:pt>
                <c:pt idx="38">
                  <c:v>1937.4682400000002</c:v>
                </c:pt>
                <c:pt idx="39">
                  <c:v>1998.4682399999999</c:v>
                </c:pt>
                <c:pt idx="40">
                  <c:v>2058.4682399999997</c:v>
                </c:pt>
                <c:pt idx="41">
                  <c:v>2148.4682400000002</c:v>
                </c:pt>
                <c:pt idx="42">
                  <c:v>2177.4682400000002</c:v>
                </c:pt>
                <c:pt idx="43">
                  <c:v>2268.4682399999997</c:v>
                </c:pt>
                <c:pt idx="44">
                  <c:v>2296.4682399999997</c:v>
                </c:pt>
                <c:pt idx="45">
                  <c:v>2358.4682400000002</c:v>
                </c:pt>
                <c:pt idx="46">
                  <c:v>2388.4682399999997</c:v>
                </c:pt>
                <c:pt idx="47">
                  <c:v>2478.4682400000002</c:v>
                </c:pt>
                <c:pt idx="48">
                  <c:v>2508.4682400000002</c:v>
                </c:pt>
                <c:pt idx="49">
                  <c:v>2537.4682400000002</c:v>
                </c:pt>
                <c:pt idx="50">
                  <c:v>2598.4682399999997</c:v>
                </c:pt>
                <c:pt idx="51">
                  <c:v>2658.4682400000002</c:v>
                </c:pt>
                <c:pt idx="52">
                  <c:v>2718.4682400000002</c:v>
                </c:pt>
                <c:pt idx="53">
                  <c:v>2748.4682399999997</c:v>
                </c:pt>
                <c:pt idx="54">
                  <c:v>2778.4682400000002</c:v>
                </c:pt>
                <c:pt idx="55">
                  <c:v>2869.4682399999997</c:v>
                </c:pt>
                <c:pt idx="56">
                  <c:v>2898.4682400000002</c:v>
                </c:pt>
                <c:pt idx="57">
                  <c:v>2957.4682399999997</c:v>
                </c:pt>
                <c:pt idx="58">
                  <c:v>2988.4682400000002</c:v>
                </c:pt>
              </c:numCache>
            </c:numRef>
          </c:xVal>
          <c:yVal>
            <c:numRef>
              <c:f>'Original input'!$AE$6:$AE$64</c:f>
              <c:numCache>
                <c:formatCode>General</c:formatCode>
                <c:ptCount val="59"/>
                <c:pt idx="0">
                  <c:v>-124.634</c:v>
                </c:pt>
                <c:pt idx="1">
                  <c:v>-126.16</c:v>
                </c:pt>
                <c:pt idx="2">
                  <c:v>-123.413</c:v>
                </c:pt>
                <c:pt idx="3">
                  <c:v>-121.46</c:v>
                </c:pt>
                <c:pt idx="4">
                  <c:v>-121.70399999999999</c:v>
                </c:pt>
                <c:pt idx="5">
                  <c:v>-119.934</c:v>
                </c:pt>
                <c:pt idx="6">
                  <c:v>-117.798</c:v>
                </c:pt>
                <c:pt idx="7">
                  <c:v>-119.50700000000001</c:v>
                </c:pt>
                <c:pt idx="8">
                  <c:v>-122.437</c:v>
                </c:pt>
                <c:pt idx="9">
                  <c:v>-119.50700000000001</c:v>
                </c:pt>
                <c:pt idx="10">
                  <c:v>-117.188</c:v>
                </c:pt>
                <c:pt idx="11">
                  <c:v>-115.23399999999999</c:v>
                </c:pt>
                <c:pt idx="12">
                  <c:v>-116.15</c:v>
                </c:pt>
                <c:pt idx="13">
                  <c:v>-114.136</c:v>
                </c:pt>
                <c:pt idx="14">
                  <c:v>-115.78400000000001</c:v>
                </c:pt>
                <c:pt idx="15">
                  <c:v>-116.455</c:v>
                </c:pt>
                <c:pt idx="16">
                  <c:v>-116.089</c:v>
                </c:pt>
                <c:pt idx="17">
                  <c:v>-114.563</c:v>
                </c:pt>
                <c:pt idx="18">
                  <c:v>-112.976</c:v>
                </c:pt>
                <c:pt idx="19">
                  <c:v>-114.258</c:v>
                </c:pt>
                <c:pt idx="20">
                  <c:v>-112.976</c:v>
                </c:pt>
                <c:pt idx="21">
                  <c:v>-111.145</c:v>
                </c:pt>
                <c:pt idx="22">
                  <c:v>-108.765</c:v>
                </c:pt>
                <c:pt idx="23">
                  <c:v>-109.863</c:v>
                </c:pt>
                <c:pt idx="24">
                  <c:v>-109.55800000000001</c:v>
                </c:pt>
                <c:pt idx="25">
                  <c:v>-109.741</c:v>
                </c:pt>
                <c:pt idx="26">
                  <c:v>-110.901</c:v>
                </c:pt>
                <c:pt idx="27">
                  <c:v>-114.746</c:v>
                </c:pt>
                <c:pt idx="28">
                  <c:v>-116.15</c:v>
                </c:pt>
                <c:pt idx="29">
                  <c:v>-119.08</c:v>
                </c:pt>
                <c:pt idx="30">
                  <c:v>-123.535</c:v>
                </c:pt>
                <c:pt idx="31">
                  <c:v>-127.93</c:v>
                </c:pt>
                <c:pt idx="32">
                  <c:v>-129.517</c:v>
                </c:pt>
                <c:pt idx="33">
                  <c:v>-131.89699999999999</c:v>
                </c:pt>
                <c:pt idx="34">
                  <c:v>-133.78899999999999</c:v>
                </c:pt>
                <c:pt idx="35">
                  <c:v>-130.91999999999999</c:v>
                </c:pt>
                <c:pt idx="36">
                  <c:v>-131.34800000000001</c:v>
                </c:pt>
                <c:pt idx="37">
                  <c:v>-128.72300000000001</c:v>
                </c:pt>
                <c:pt idx="38">
                  <c:v>-122.986</c:v>
                </c:pt>
                <c:pt idx="39">
                  <c:v>-119.324</c:v>
                </c:pt>
                <c:pt idx="40">
                  <c:v>-120.97199999999999</c:v>
                </c:pt>
                <c:pt idx="41">
                  <c:v>-122.3755</c:v>
                </c:pt>
                <c:pt idx="42">
                  <c:v>-122.681</c:v>
                </c:pt>
                <c:pt idx="43">
                  <c:v>-123.047</c:v>
                </c:pt>
                <c:pt idx="44">
                  <c:v>-120.72799999999999</c:v>
                </c:pt>
                <c:pt idx="45">
                  <c:v>-119.08</c:v>
                </c:pt>
                <c:pt idx="46">
                  <c:v>-118.774</c:v>
                </c:pt>
                <c:pt idx="47">
                  <c:v>-118.46899999999999</c:v>
                </c:pt>
                <c:pt idx="48">
                  <c:v>-117.065</c:v>
                </c:pt>
                <c:pt idx="49">
                  <c:v>-117.554</c:v>
                </c:pt>
                <c:pt idx="50">
                  <c:v>-120.422</c:v>
                </c:pt>
                <c:pt idx="51">
                  <c:v>-118.59099999999999</c:v>
                </c:pt>
                <c:pt idx="52">
                  <c:v>-116.63800000000001</c:v>
                </c:pt>
                <c:pt idx="53">
                  <c:v>-117.371</c:v>
                </c:pt>
                <c:pt idx="54">
                  <c:v>-119.202</c:v>
                </c:pt>
                <c:pt idx="55">
                  <c:v>-118.22499999999999</c:v>
                </c:pt>
                <c:pt idx="56">
                  <c:v>-119.69</c:v>
                </c:pt>
                <c:pt idx="57">
                  <c:v>-121.09399999999999</c:v>
                </c:pt>
                <c:pt idx="58">
                  <c:v>-121.643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9-45CC-9462-F28622A4A9C2}"/>
            </c:ext>
          </c:extLst>
        </c:ser>
        <c:ser>
          <c:idx val="2"/>
          <c:order val="2"/>
          <c:tx>
            <c:v>Gyro Z</c:v>
          </c:tx>
          <c:spPr>
            <a:ln w="15875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'Original input'!$AC$6:$AC$64</c:f>
              <c:numCache>
                <c:formatCode>General</c:formatCode>
                <c:ptCount val="59"/>
                <c:pt idx="0">
                  <c:v>48.468236099999999</c:v>
                </c:pt>
                <c:pt idx="1">
                  <c:v>77.468236099999999</c:v>
                </c:pt>
                <c:pt idx="2">
                  <c:v>137.46823599999999</c:v>
                </c:pt>
                <c:pt idx="3">
                  <c:v>167.46823599999999</c:v>
                </c:pt>
                <c:pt idx="4">
                  <c:v>258.46823599999999</c:v>
                </c:pt>
                <c:pt idx="5">
                  <c:v>289.46823599999999</c:v>
                </c:pt>
                <c:pt idx="6">
                  <c:v>319.46823599999999</c:v>
                </c:pt>
                <c:pt idx="7">
                  <c:v>377.46823599999999</c:v>
                </c:pt>
                <c:pt idx="8">
                  <c:v>467.46823599999999</c:v>
                </c:pt>
                <c:pt idx="9">
                  <c:v>497.46823599999999</c:v>
                </c:pt>
                <c:pt idx="10">
                  <c:v>527.46823600000005</c:v>
                </c:pt>
                <c:pt idx="11">
                  <c:v>589.46823599999993</c:v>
                </c:pt>
                <c:pt idx="12">
                  <c:v>648.46823600000005</c:v>
                </c:pt>
                <c:pt idx="13">
                  <c:v>708.46823599999993</c:v>
                </c:pt>
                <c:pt idx="14">
                  <c:v>737.46823600000005</c:v>
                </c:pt>
                <c:pt idx="15">
                  <c:v>768.46823600000005</c:v>
                </c:pt>
                <c:pt idx="16">
                  <c:v>857.46823600000005</c:v>
                </c:pt>
                <c:pt idx="17">
                  <c:v>887.46823600000005</c:v>
                </c:pt>
                <c:pt idx="18">
                  <c:v>948.46823599999993</c:v>
                </c:pt>
                <c:pt idx="19">
                  <c:v>977.46823599999993</c:v>
                </c:pt>
                <c:pt idx="20">
                  <c:v>1067.4682399999999</c:v>
                </c:pt>
                <c:pt idx="21">
                  <c:v>1097.4682399999999</c:v>
                </c:pt>
                <c:pt idx="22">
                  <c:v>1127.4682399999999</c:v>
                </c:pt>
                <c:pt idx="23">
                  <c:v>1187.4682400000002</c:v>
                </c:pt>
                <c:pt idx="24">
                  <c:v>1248.4682399999999</c:v>
                </c:pt>
                <c:pt idx="25">
                  <c:v>1308.4682400000002</c:v>
                </c:pt>
                <c:pt idx="26">
                  <c:v>1337.4682399999999</c:v>
                </c:pt>
                <c:pt idx="27">
                  <c:v>1368.4682399999999</c:v>
                </c:pt>
                <c:pt idx="28">
                  <c:v>1458.4682399999999</c:v>
                </c:pt>
                <c:pt idx="29">
                  <c:v>1487.4682400000002</c:v>
                </c:pt>
                <c:pt idx="30">
                  <c:v>1548.4682400000002</c:v>
                </c:pt>
                <c:pt idx="31">
                  <c:v>1577.4682399999999</c:v>
                </c:pt>
                <c:pt idx="32">
                  <c:v>1667.4682400000002</c:v>
                </c:pt>
                <c:pt idx="33">
                  <c:v>1698.4682399999999</c:v>
                </c:pt>
                <c:pt idx="34">
                  <c:v>1727.4682400000002</c:v>
                </c:pt>
                <c:pt idx="35">
                  <c:v>1788.4682400000002</c:v>
                </c:pt>
                <c:pt idx="36">
                  <c:v>1877.4682399999999</c:v>
                </c:pt>
                <c:pt idx="37">
                  <c:v>1908.4682399999999</c:v>
                </c:pt>
                <c:pt idx="38">
                  <c:v>1937.4682400000002</c:v>
                </c:pt>
                <c:pt idx="39">
                  <c:v>1998.4682399999999</c:v>
                </c:pt>
                <c:pt idx="40">
                  <c:v>2058.4682399999997</c:v>
                </c:pt>
                <c:pt idx="41">
                  <c:v>2148.4682400000002</c:v>
                </c:pt>
                <c:pt idx="42">
                  <c:v>2177.4682400000002</c:v>
                </c:pt>
                <c:pt idx="43">
                  <c:v>2268.4682399999997</c:v>
                </c:pt>
                <c:pt idx="44">
                  <c:v>2296.4682399999997</c:v>
                </c:pt>
                <c:pt idx="45">
                  <c:v>2358.4682400000002</c:v>
                </c:pt>
                <c:pt idx="46">
                  <c:v>2388.4682399999997</c:v>
                </c:pt>
                <c:pt idx="47">
                  <c:v>2478.4682400000002</c:v>
                </c:pt>
                <c:pt idx="48">
                  <c:v>2508.4682400000002</c:v>
                </c:pt>
                <c:pt idx="49">
                  <c:v>2537.4682400000002</c:v>
                </c:pt>
                <c:pt idx="50">
                  <c:v>2598.4682399999997</c:v>
                </c:pt>
                <c:pt idx="51">
                  <c:v>2658.4682400000002</c:v>
                </c:pt>
                <c:pt idx="52">
                  <c:v>2718.4682400000002</c:v>
                </c:pt>
                <c:pt idx="53">
                  <c:v>2748.4682399999997</c:v>
                </c:pt>
                <c:pt idx="54">
                  <c:v>2778.4682400000002</c:v>
                </c:pt>
                <c:pt idx="55">
                  <c:v>2869.4682399999997</c:v>
                </c:pt>
                <c:pt idx="56">
                  <c:v>2898.4682400000002</c:v>
                </c:pt>
                <c:pt idx="57">
                  <c:v>2957.4682399999997</c:v>
                </c:pt>
                <c:pt idx="58">
                  <c:v>2988.4682400000002</c:v>
                </c:pt>
              </c:numCache>
            </c:numRef>
          </c:xVal>
          <c:yVal>
            <c:numRef>
              <c:f>'Original input'!$AF$6:$AF$64</c:f>
              <c:numCache>
                <c:formatCode>General</c:formatCode>
                <c:ptCount val="59"/>
                <c:pt idx="0">
                  <c:v>-1.4039999999999999</c:v>
                </c:pt>
                <c:pt idx="1">
                  <c:v>-1.343</c:v>
                </c:pt>
                <c:pt idx="2">
                  <c:v>-1.343</c:v>
                </c:pt>
                <c:pt idx="3">
                  <c:v>-1.343</c:v>
                </c:pt>
                <c:pt idx="4">
                  <c:v>-1.4039999999999999</c:v>
                </c:pt>
                <c:pt idx="5">
                  <c:v>-1.526</c:v>
                </c:pt>
                <c:pt idx="6">
                  <c:v>-1.4039999999999999</c:v>
                </c:pt>
                <c:pt idx="7">
                  <c:v>-1.282</c:v>
                </c:pt>
                <c:pt idx="8">
                  <c:v>-1.4039999999999999</c:v>
                </c:pt>
                <c:pt idx="9">
                  <c:v>-1.4650000000000001</c:v>
                </c:pt>
                <c:pt idx="10">
                  <c:v>-1.4039999999999999</c:v>
                </c:pt>
                <c:pt idx="11">
                  <c:v>-1.282</c:v>
                </c:pt>
                <c:pt idx="12">
                  <c:v>-1.4039999999999999</c:v>
                </c:pt>
                <c:pt idx="13">
                  <c:v>-1.4650000000000001</c:v>
                </c:pt>
                <c:pt idx="14">
                  <c:v>-1.4650000000000001</c:v>
                </c:pt>
                <c:pt idx="15">
                  <c:v>-1.4650000000000001</c:v>
                </c:pt>
                <c:pt idx="16">
                  <c:v>-1.2210000000000001</c:v>
                </c:pt>
                <c:pt idx="17">
                  <c:v>-1.1599999999999999</c:v>
                </c:pt>
                <c:pt idx="18">
                  <c:v>-1.282</c:v>
                </c:pt>
                <c:pt idx="19">
                  <c:v>-1.343</c:v>
                </c:pt>
                <c:pt idx="20">
                  <c:v>-1.4650000000000001</c:v>
                </c:pt>
                <c:pt idx="21">
                  <c:v>-1.6479999999999999</c:v>
                </c:pt>
                <c:pt idx="22">
                  <c:v>-1.4650000000000001</c:v>
                </c:pt>
                <c:pt idx="23">
                  <c:v>-1.282</c:v>
                </c:pt>
                <c:pt idx="24">
                  <c:v>-1.2210000000000001</c:v>
                </c:pt>
                <c:pt idx="25">
                  <c:v>-1.282</c:v>
                </c:pt>
                <c:pt idx="26">
                  <c:v>-1.2210000000000001</c:v>
                </c:pt>
                <c:pt idx="27">
                  <c:v>-1.343</c:v>
                </c:pt>
                <c:pt idx="28">
                  <c:v>-1.343</c:v>
                </c:pt>
                <c:pt idx="29">
                  <c:v>-1.4039999999999999</c:v>
                </c:pt>
                <c:pt idx="30">
                  <c:v>-1.4039999999999999</c:v>
                </c:pt>
                <c:pt idx="31">
                  <c:v>-1.587</c:v>
                </c:pt>
                <c:pt idx="32">
                  <c:v>-1.526</c:v>
                </c:pt>
                <c:pt idx="33">
                  <c:v>-1.343</c:v>
                </c:pt>
                <c:pt idx="34">
                  <c:v>-1.2210000000000001</c:v>
                </c:pt>
                <c:pt idx="35">
                  <c:v>-1.77</c:v>
                </c:pt>
                <c:pt idx="36">
                  <c:v>-1.526</c:v>
                </c:pt>
                <c:pt idx="37">
                  <c:v>-1.282</c:v>
                </c:pt>
                <c:pt idx="38">
                  <c:v>-1.526</c:v>
                </c:pt>
                <c:pt idx="39">
                  <c:v>-1.343</c:v>
                </c:pt>
                <c:pt idx="40">
                  <c:v>-1.2210000000000001</c:v>
                </c:pt>
                <c:pt idx="41">
                  <c:v>-1.3734999999999999</c:v>
                </c:pt>
                <c:pt idx="42">
                  <c:v>-1.4039999999999999</c:v>
                </c:pt>
                <c:pt idx="43">
                  <c:v>-2.7469999999999999</c:v>
                </c:pt>
                <c:pt idx="44">
                  <c:v>-1.526</c:v>
                </c:pt>
                <c:pt idx="45">
                  <c:v>-1.4039999999999999</c:v>
                </c:pt>
                <c:pt idx="46">
                  <c:v>-1.343</c:v>
                </c:pt>
                <c:pt idx="47">
                  <c:v>-1.4650000000000001</c:v>
                </c:pt>
                <c:pt idx="48">
                  <c:v>-1.4650000000000001</c:v>
                </c:pt>
                <c:pt idx="49">
                  <c:v>-1.2210000000000001</c:v>
                </c:pt>
                <c:pt idx="50">
                  <c:v>-1.4039999999999999</c:v>
                </c:pt>
                <c:pt idx="51">
                  <c:v>-1.2210000000000001</c:v>
                </c:pt>
                <c:pt idx="52">
                  <c:v>-1.2210000000000001</c:v>
                </c:pt>
                <c:pt idx="53">
                  <c:v>-1.4650000000000001</c:v>
                </c:pt>
                <c:pt idx="54">
                  <c:v>-1.4650000000000001</c:v>
                </c:pt>
                <c:pt idx="55">
                  <c:v>-1.4039999999999999</c:v>
                </c:pt>
                <c:pt idx="56">
                  <c:v>-1.4650000000000001</c:v>
                </c:pt>
                <c:pt idx="57">
                  <c:v>-1.526</c:v>
                </c:pt>
                <c:pt idx="58">
                  <c:v>-1.4650000000000001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9-45CC-9462-F28622A4A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50"/>
          <c:min val="-15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Angular velocity (deg/s)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50"/>
      </c:valAx>
      <c:valAx>
        <c:axId val="48650112"/>
        <c:scaling>
          <c:orientation val="minMax"/>
          <c:max val="32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15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Original input Euler angles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Angle X</c:v>
          </c:tx>
          <c:spPr>
            <a:ln w="15875">
              <a:solidFill>
                <a:srgbClr val="8C5700"/>
              </a:solidFill>
              <a:prstDash val="solid"/>
            </a:ln>
          </c:spPr>
          <c:marker>
            <c:symbol val="none"/>
          </c:marker>
          <c:xVal>
            <c:numRef>
              <c:f>'Original input'!$AC$6:$AC$64</c:f>
              <c:numCache>
                <c:formatCode>General</c:formatCode>
                <c:ptCount val="59"/>
                <c:pt idx="0">
                  <c:v>48.468236099999999</c:v>
                </c:pt>
                <c:pt idx="1">
                  <c:v>77.468236099999999</c:v>
                </c:pt>
                <c:pt idx="2">
                  <c:v>137.46823599999999</c:v>
                </c:pt>
                <c:pt idx="3">
                  <c:v>167.46823599999999</c:v>
                </c:pt>
                <c:pt idx="4">
                  <c:v>258.46823599999999</c:v>
                </c:pt>
                <c:pt idx="5">
                  <c:v>289.46823599999999</c:v>
                </c:pt>
                <c:pt idx="6">
                  <c:v>319.46823599999999</c:v>
                </c:pt>
                <c:pt idx="7">
                  <c:v>377.46823599999999</c:v>
                </c:pt>
                <c:pt idx="8">
                  <c:v>467.46823599999999</c:v>
                </c:pt>
                <c:pt idx="9">
                  <c:v>497.46823599999999</c:v>
                </c:pt>
                <c:pt idx="10">
                  <c:v>527.46823600000005</c:v>
                </c:pt>
                <c:pt idx="11">
                  <c:v>589.46823599999993</c:v>
                </c:pt>
                <c:pt idx="12">
                  <c:v>648.46823600000005</c:v>
                </c:pt>
                <c:pt idx="13">
                  <c:v>708.46823599999993</c:v>
                </c:pt>
                <c:pt idx="14">
                  <c:v>737.46823600000005</c:v>
                </c:pt>
                <c:pt idx="15">
                  <c:v>768.46823600000005</c:v>
                </c:pt>
                <c:pt idx="16">
                  <c:v>857.46823600000005</c:v>
                </c:pt>
                <c:pt idx="17">
                  <c:v>887.46823600000005</c:v>
                </c:pt>
                <c:pt idx="18">
                  <c:v>948.46823599999993</c:v>
                </c:pt>
                <c:pt idx="19">
                  <c:v>977.46823599999993</c:v>
                </c:pt>
                <c:pt idx="20">
                  <c:v>1067.4682399999999</c:v>
                </c:pt>
                <c:pt idx="21">
                  <c:v>1097.4682399999999</c:v>
                </c:pt>
                <c:pt idx="22">
                  <c:v>1127.4682399999999</c:v>
                </c:pt>
                <c:pt idx="23">
                  <c:v>1187.4682400000002</c:v>
                </c:pt>
                <c:pt idx="24">
                  <c:v>1248.4682399999999</c:v>
                </c:pt>
                <c:pt idx="25">
                  <c:v>1308.4682400000002</c:v>
                </c:pt>
                <c:pt idx="26">
                  <c:v>1337.4682399999999</c:v>
                </c:pt>
                <c:pt idx="27">
                  <c:v>1368.4682399999999</c:v>
                </c:pt>
                <c:pt idx="28">
                  <c:v>1458.4682399999999</c:v>
                </c:pt>
                <c:pt idx="29">
                  <c:v>1487.4682400000002</c:v>
                </c:pt>
                <c:pt idx="30">
                  <c:v>1548.4682400000002</c:v>
                </c:pt>
                <c:pt idx="31">
                  <c:v>1577.4682399999999</c:v>
                </c:pt>
                <c:pt idx="32">
                  <c:v>1667.4682400000002</c:v>
                </c:pt>
                <c:pt idx="33">
                  <c:v>1698.4682399999999</c:v>
                </c:pt>
                <c:pt idx="34">
                  <c:v>1727.4682400000002</c:v>
                </c:pt>
                <c:pt idx="35">
                  <c:v>1788.4682400000002</c:v>
                </c:pt>
                <c:pt idx="36">
                  <c:v>1877.4682399999999</c:v>
                </c:pt>
                <c:pt idx="37">
                  <c:v>1908.4682399999999</c:v>
                </c:pt>
                <c:pt idx="38">
                  <c:v>1937.4682400000002</c:v>
                </c:pt>
                <c:pt idx="39">
                  <c:v>1998.4682399999999</c:v>
                </c:pt>
                <c:pt idx="40">
                  <c:v>2058.4682399999997</c:v>
                </c:pt>
                <c:pt idx="41">
                  <c:v>2148.4682400000002</c:v>
                </c:pt>
                <c:pt idx="42">
                  <c:v>2177.4682400000002</c:v>
                </c:pt>
                <c:pt idx="43">
                  <c:v>2268.4682399999997</c:v>
                </c:pt>
                <c:pt idx="44">
                  <c:v>2296.4682399999997</c:v>
                </c:pt>
                <c:pt idx="45">
                  <c:v>2358.4682400000002</c:v>
                </c:pt>
                <c:pt idx="46">
                  <c:v>2388.4682399999997</c:v>
                </c:pt>
                <c:pt idx="47">
                  <c:v>2478.4682400000002</c:v>
                </c:pt>
                <c:pt idx="48">
                  <c:v>2508.4682400000002</c:v>
                </c:pt>
                <c:pt idx="49">
                  <c:v>2537.4682400000002</c:v>
                </c:pt>
                <c:pt idx="50">
                  <c:v>2598.4682399999997</c:v>
                </c:pt>
                <c:pt idx="51">
                  <c:v>2658.4682400000002</c:v>
                </c:pt>
                <c:pt idx="52">
                  <c:v>2718.4682400000002</c:v>
                </c:pt>
                <c:pt idx="53">
                  <c:v>2748.4682399999997</c:v>
                </c:pt>
                <c:pt idx="54">
                  <c:v>2778.4682400000002</c:v>
                </c:pt>
                <c:pt idx="55">
                  <c:v>2869.4682399999997</c:v>
                </c:pt>
                <c:pt idx="56">
                  <c:v>2898.4682400000002</c:v>
                </c:pt>
                <c:pt idx="57">
                  <c:v>2957.4682399999997</c:v>
                </c:pt>
                <c:pt idx="58">
                  <c:v>2988.4682400000002</c:v>
                </c:pt>
              </c:numCache>
            </c:numRef>
          </c:xVal>
          <c:yVal>
            <c:numRef>
              <c:f>'Original input'!$AH$6:$AH$64</c:f>
              <c:numCache>
                <c:formatCode>General</c:formatCode>
                <c:ptCount val="59"/>
                <c:pt idx="0">
                  <c:v>-0.154</c:v>
                </c:pt>
                <c:pt idx="1">
                  <c:v>-0.374</c:v>
                </c:pt>
                <c:pt idx="2">
                  <c:v>-0.57099999999999995</c:v>
                </c:pt>
                <c:pt idx="3">
                  <c:v>-0.747</c:v>
                </c:pt>
                <c:pt idx="4">
                  <c:v>-0.90100000000000002</c:v>
                </c:pt>
                <c:pt idx="5">
                  <c:v>-1.0489999999999999</c:v>
                </c:pt>
                <c:pt idx="6">
                  <c:v>-1.1870000000000001</c:v>
                </c:pt>
                <c:pt idx="7">
                  <c:v>-1.3129999999999999</c:v>
                </c:pt>
                <c:pt idx="8">
                  <c:v>-1.4450000000000001</c:v>
                </c:pt>
                <c:pt idx="9">
                  <c:v>-1.571</c:v>
                </c:pt>
                <c:pt idx="10">
                  <c:v>-1.6970000000000001</c:v>
                </c:pt>
                <c:pt idx="11">
                  <c:v>-1.8180000000000001</c:v>
                </c:pt>
                <c:pt idx="12">
                  <c:v>-1.9450000000000001</c:v>
                </c:pt>
                <c:pt idx="13">
                  <c:v>-2.06</c:v>
                </c:pt>
                <c:pt idx="14">
                  <c:v>-2.637</c:v>
                </c:pt>
                <c:pt idx="15">
                  <c:v>-3.4769999999999999</c:v>
                </c:pt>
                <c:pt idx="16">
                  <c:v>-8.8550000000000004</c:v>
                </c:pt>
                <c:pt idx="17">
                  <c:v>-178.506</c:v>
                </c:pt>
                <c:pt idx="18">
                  <c:v>179.28</c:v>
                </c:pt>
                <c:pt idx="19">
                  <c:v>178.56100000000001</c:v>
                </c:pt>
                <c:pt idx="20">
                  <c:v>178.18700000000001</c:v>
                </c:pt>
                <c:pt idx="21">
                  <c:v>177.935</c:v>
                </c:pt>
                <c:pt idx="22">
                  <c:v>177.73699999999999</c:v>
                </c:pt>
                <c:pt idx="23">
                  <c:v>177.578</c:v>
                </c:pt>
                <c:pt idx="24">
                  <c:v>177.44</c:v>
                </c:pt>
                <c:pt idx="25">
                  <c:v>177.31399999999999</c:v>
                </c:pt>
                <c:pt idx="26">
                  <c:v>177.18199999999999</c:v>
                </c:pt>
                <c:pt idx="27">
                  <c:v>177.03899999999999</c:v>
                </c:pt>
                <c:pt idx="28">
                  <c:v>176.89099999999999</c:v>
                </c:pt>
                <c:pt idx="29">
                  <c:v>176.732</c:v>
                </c:pt>
                <c:pt idx="30">
                  <c:v>176.56700000000001</c:v>
                </c:pt>
                <c:pt idx="31">
                  <c:v>176.375</c:v>
                </c:pt>
                <c:pt idx="32">
                  <c:v>176.17699999999999</c:v>
                </c:pt>
                <c:pt idx="33">
                  <c:v>175.952</c:v>
                </c:pt>
                <c:pt idx="34">
                  <c:v>175.69300000000001</c:v>
                </c:pt>
                <c:pt idx="35">
                  <c:v>175.39699999999999</c:v>
                </c:pt>
                <c:pt idx="36">
                  <c:v>175.05099999999999</c:v>
                </c:pt>
                <c:pt idx="37">
                  <c:v>174.64400000000001</c:v>
                </c:pt>
                <c:pt idx="38">
                  <c:v>174.161</c:v>
                </c:pt>
                <c:pt idx="39">
                  <c:v>173.57300000000001</c:v>
                </c:pt>
                <c:pt idx="40">
                  <c:v>172.82599999999999</c:v>
                </c:pt>
                <c:pt idx="41">
                  <c:v>171.03</c:v>
                </c:pt>
                <c:pt idx="42">
                  <c:v>167.904</c:v>
                </c:pt>
                <c:pt idx="43">
                  <c:v>163.477</c:v>
                </c:pt>
                <c:pt idx="44">
                  <c:v>152.64400000000001</c:v>
                </c:pt>
                <c:pt idx="45">
                  <c:v>109.122</c:v>
                </c:pt>
                <c:pt idx="46">
                  <c:v>34.865000000000002</c:v>
                </c:pt>
                <c:pt idx="47">
                  <c:v>15.958</c:v>
                </c:pt>
                <c:pt idx="48">
                  <c:v>9.6240000000000006</c:v>
                </c:pt>
                <c:pt idx="49">
                  <c:v>6.52</c:v>
                </c:pt>
                <c:pt idx="50">
                  <c:v>4.6529999999999996</c:v>
                </c:pt>
                <c:pt idx="51">
                  <c:v>3.4060000000000001</c:v>
                </c:pt>
                <c:pt idx="52">
                  <c:v>2.5379999999999998</c:v>
                </c:pt>
                <c:pt idx="53">
                  <c:v>1.873</c:v>
                </c:pt>
                <c:pt idx="54">
                  <c:v>1.3460000000000001</c:v>
                </c:pt>
                <c:pt idx="55">
                  <c:v>0.90600000000000003</c:v>
                </c:pt>
                <c:pt idx="56">
                  <c:v>0.54400000000000004</c:v>
                </c:pt>
                <c:pt idx="57">
                  <c:v>0.23599999999999999</c:v>
                </c:pt>
                <c:pt idx="58">
                  <c:v>-3.3000000000000002E-2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7-4E41-9D96-3C6156CE1927}"/>
            </c:ext>
          </c:extLst>
        </c:ser>
        <c:ser>
          <c:idx val="1"/>
          <c:order val="1"/>
          <c:tx>
            <c:v>Angle Y</c:v>
          </c:tx>
          <c:spPr>
            <a:ln w="15875">
              <a:solidFill>
                <a:srgbClr val="157A54"/>
              </a:solidFill>
              <a:prstDash val="solid"/>
            </a:ln>
          </c:spPr>
          <c:marker>
            <c:symbol val="none"/>
          </c:marker>
          <c:xVal>
            <c:numRef>
              <c:f>'Original input'!$AC$6:$AC$64</c:f>
              <c:numCache>
                <c:formatCode>General</c:formatCode>
                <c:ptCount val="59"/>
                <c:pt idx="0">
                  <c:v>48.468236099999999</c:v>
                </c:pt>
                <c:pt idx="1">
                  <c:v>77.468236099999999</c:v>
                </c:pt>
                <c:pt idx="2">
                  <c:v>137.46823599999999</c:v>
                </c:pt>
                <c:pt idx="3">
                  <c:v>167.46823599999999</c:v>
                </c:pt>
                <c:pt idx="4">
                  <c:v>258.46823599999999</c:v>
                </c:pt>
                <c:pt idx="5">
                  <c:v>289.46823599999999</c:v>
                </c:pt>
                <c:pt idx="6">
                  <c:v>319.46823599999999</c:v>
                </c:pt>
                <c:pt idx="7">
                  <c:v>377.46823599999999</c:v>
                </c:pt>
                <c:pt idx="8">
                  <c:v>467.46823599999999</c:v>
                </c:pt>
                <c:pt idx="9">
                  <c:v>497.46823599999999</c:v>
                </c:pt>
                <c:pt idx="10">
                  <c:v>527.46823600000005</c:v>
                </c:pt>
                <c:pt idx="11">
                  <c:v>589.46823599999993</c:v>
                </c:pt>
                <c:pt idx="12">
                  <c:v>648.46823600000005</c:v>
                </c:pt>
                <c:pt idx="13">
                  <c:v>708.46823599999993</c:v>
                </c:pt>
                <c:pt idx="14">
                  <c:v>737.46823600000005</c:v>
                </c:pt>
                <c:pt idx="15">
                  <c:v>768.46823600000005</c:v>
                </c:pt>
                <c:pt idx="16">
                  <c:v>857.46823600000005</c:v>
                </c:pt>
                <c:pt idx="17">
                  <c:v>887.46823600000005</c:v>
                </c:pt>
                <c:pt idx="18">
                  <c:v>948.46823599999993</c:v>
                </c:pt>
                <c:pt idx="19">
                  <c:v>977.46823599999993</c:v>
                </c:pt>
                <c:pt idx="20">
                  <c:v>1067.4682399999999</c:v>
                </c:pt>
                <c:pt idx="21">
                  <c:v>1097.4682399999999</c:v>
                </c:pt>
                <c:pt idx="22">
                  <c:v>1127.4682399999999</c:v>
                </c:pt>
                <c:pt idx="23">
                  <c:v>1187.4682400000002</c:v>
                </c:pt>
                <c:pt idx="24">
                  <c:v>1248.4682399999999</c:v>
                </c:pt>
                <c:pt idx="25">
                  <c:v>1308.4682400000002</c:v>
                </c:pt>
                <c:pt idx="26">
                  <c:v>1337.4682399999999</c:v>
                </c:pt>
                <c:pt idx="27">
                  <c:v>1368.4682399999999</c:v>
                </c:pt>
                <c:pt idx="28">
                  <c:v>1458.4682399999999</c:v>
                </c:pt>
                <c:pt idx="29">
                  <c:v>1487.4682400000002</c:v>
                </c:pt>
                <c:pt idx="30">
                  <c:v>1548.4682400000002</c:v>
                </c:pt>
                <c:pt idx="31">
                  <c:v>1577.4682399999999</c:v>
                </c:pt>
                <c:pt idx="32">
                  <c:v>1667.4682400000002</c:v>
                </c:pt>
                <c:pt idx="33">
                  <c:v>1698.4682399999999</c:v>
                </c:pt>
                <c:pt idx="34">
                  <c:v>1727.4682400000002</c:v>
                </c:pt>
                <c:pt idx="35">
                  <c:v>1788.4682400000002</c:v>
                </c:pt>
                <c:pt idx="36">
                  <c:v>1877.4682399999999</c:v>
                </c:pt>
                <c:pt idx="37">
                  <c:v>1908.4682399999999</c:v>
                </c:pt>
                <c:pt idx="38">
                  <c:v>1937.4682400000002</c:v>
                </c:pt>
                <c:pt idx="39">
                  <c:v>1998.4682399999999</c:v>
                </c:pt>
                <c:pt idx="40">
                  <c:v>2058.4682399999997</c:v>
                </c:pt>
                <c:pt idx="41">
                  <c:v>2148.4682400000002</c:v>
                </c:pt>
                <c:pt idx="42">
                  <c:v>2177.4682400000002</c:v>
                </c:pt>
                <c:pt idx="43">
                  <c:v>2268.4682399999997</c:v>
                </c:pt>
                <c:pt idx="44">
                  <c:v>2296.4682399999997</c:v>
                </c:pt>
                <c:pt idx="45">
                  <c:v>2358.4682400000002</c:v>
                </c:pt>
                <c:pt idx="46">
                  <c:v>2388.4682399999997</c:v>
                </c:pt>
                <c:pt idx="47">
                  <c:v>2478.4682400000002</c:v>
                </c:pt>
                <c:pt idx="48">
                  <c:v>2508.4682400000002</c:v>
                </c:pt>
                <c:pt idx="49">
                  <c:v>2537.4682400000002</c:v>
                </c:pt>
                <c:pt idx="50">
                  <c:v>2598.4682399999997</c:v>
                </c:pt>
                <c:pt idx="51">
                  <c:v>2658.4682400000002</c:v>
                </c:pt>
                <c:pt idx="52">
                  <c:v>2718.4682400000002</c:v>
                </c:pt>
                <c:pt idx="53">
                  <c:v>2748.4682399999997</c:v>
                </c:pt>
                <c:pt idx="54">
                  <c:v>2778.4682400000002</c:v>
                </c:pt>
                <c:pt idx="55">
                  <c:v>2869.4682399999997</c:v>
                </c:pt>
                <c:pt idx="56">
                  <c:v>2898.4682400000002</c:v>
                </c:pt>
                <c:pt idx="57">
                  <c:v>2957.4682399999997</c:v>
                </c:pt>
                <c:pt idx="58">
                  <c:v>2988.4682400000002</c:v>
                </c:pt>
              </c:numCache>
            </c:numRef>
          </c:xVal>
          <c:yVal>
            <c:numRef>
              <c:f>'Original input'!$AI$6:$AI$64</c:f>
              <c:numCache>
                <c:formatCode>General</c:formatCode>
                <c:ptCount val="59"/>
                <c:pt idx="0">
                  <c:v>3.34</c:v>
                </c:pt>
                <c:pt idx="1">
                  <c:v>9.6189999999999998</c:v>
                </c:pt>
                <c:pt idx="2">
                  <c:v>15.864000000000001</c:v>
                </c:pt>
                <c:pt idx="3">
                  <c:v>22.006</c:v>
                </c:pt>
                <c:pt idx="4">
                  <c:v>28.081</c:v>
                </c:pt>
                <c:pt idx="5">
                  <c:v>34.200000000000003</c:v>
                </c:pt>
                <c:pt idx="6">
                  <c:v>40.192999999999998</c:v>
                </c:pt>
                <c:pt idx="7">
                  <c:v>46.180999999999997</c:v>
                </c:pt>
                <c:pt idx="8">
                  <c:v>52.223999999999997</c:v>
                </c:pt>
                <c:pt idx="9">
                  <c:v>58.287999999999997</c:v>
                </c:pt>
                <c:pt idx="10">
                  <c:v>64.198999999999998</c:v>
                </c:pt>
                <c:pt idx="11">
                  <c:v>70.054000000000002</c:v>
                </c:pt>
                <c:pt idx="12">
                  <c:v>75.899000000000001</c:v>
                </c:pt>
                <c:pt idx="13">
                  <c:v>81.715999999999994</c:v>
                </c:pt>
                <c:pt idx="14">
                  <c:v>87.435000000000002</c:v>
                </c:pt>
                <c:pt idx="15">
                  <c:v>93.301000000000002</c:v>
                </c:pt>
                <c:pt idx="16">
                  <c:v>99.185000000000002</c:v>
                </c:pt>
                <c:pt idx="17">
                  <c:v>97.388000000000005</c:v>
                </c:pt>
                <c:pt idx="18">
                  <c:v>91.686000000000007</c:v>
                </c:pt>
                <c:pt idx="19">
                  <c:v>86.012</c:v>
                </c:pt>
                <c:pt idx="20">
                  <c:v>80.31</c:v>
                </c:pt>
                <c:pt idx="21">
                  <c:v>74.695999999999998</c:v>
                </c:pt>
                <c:pt idx="22">
                  <c:v>69.186000000000007</c:v>
                </c:pt>
                <c:pt idx="23">
                  <c:v>63.720999999999997</c:v>
                </c:pt>
                <c:pt idx="24">
                  <c:v>58.210999999999999</c:v>
                </c:pt>
                <c:pt idx="25">
                  <c:v>52.722999999999999</c:v>
                </c:pt>
                <c:pt idx="26">
                  <c:v>47.180999999999997</c:v>
                </c:pt>
                <c:pt idx="27">
                  <c:v>41.500999999999998</c:v>
                </c:pt>
                <c:pt idx="28">
                  <c:v>35.689</c:v>
                </c:pt>
                <c:pt idx="29">
                  <c:v>29.773</c:v>
                </c:pt>
                <c:pt idx="30">
                  <c:v>23.658999999999999</c:v>
                </c:pt>
                <c:pt idx="31">
                  <c:v>17.314</c:v>
                </c:pt>
                <c:pt idx="32">
                  <c:v>10.882</c:v>
                </c:pt>
                <c:pt idx="33">
                  <c:v>4.3289999999999997</c:v>
                </c:pt>
                <c:pt idx="34">
                  <c:v>-2.3570000000000002</c:v>
                </c:pt>
                <c:pt idx="35">
                  <c:v>-9.0470000000000006</c:v>
                </c:pt>
                <c:pt idx="36">
                  <c:v>-15.628</c:v>
                </c:pt>
                <c:pt idx="37">
                  <c:v>-22.11</c:v>
                </c:pt>
                <c:pt idx="38">
                  <c:v>-28.427</c:v>
                </c:pt>
                <c:pt idx="39">
                  <c:v>-34.518999999999998</c:v>
                </c:pt>
                <c:pt idx="40">
                  <c:v>-40.54</c:v>
                </c:pt>
                <c:pt idx="41">
                  <c:v>-49.713000000000001</c:v>
                </c:pt>
                <c:pt idx="42">
                  <c:v>-58.777000000000001</c:v>
                </c:pt>
                <c:pt idx="43">
                  <c:v>-64.802999999999997</c:v>
                </c:pt>
                <c:pt idx="44">
                  <c:v>-70.608999999999995</c:v>
                </c:pt>
                <c:pt idx="45">
                  <c:v>-75.048000000000002</c:v>
                </c:pt>
                <c:pt idx="46">
                  <c:v>-73.010000000000005</c:v>
                </c:pt>
                <c:pt idx="47">
                  <c:v>-67.626000000000005</c:v>
                </c:pt>
                <c:pt idx="48">
                  <c:v>-61.875</c:v>
                </c:pt>
                <c:pt idx="49">
                  <c:v>-56.069000000000003</c:v>
                </c:pt>
                <c:pt idx="50">
                  <c:v>-50.158000000000001</c:v>
                </c:pt>
                <c:pt idx="51">
                  <c:v>-44.186999999999998</c:v>
                </c:pt>
                <c:pt idx="52">
                  <c:v>-38.353000000000002</c:v>
                </c:pt>
                <c:pt idx="53">
                  <c:v>-32.497999999999998</c:v>
                </c:pt>
                <c:pt idx="54">
                  <c:v>-26.536999999999999</c:v>
                </c:pt>
                <c:pt idx="55">
                  <c:v>-20.565999999999999</c:v>
                </c:pt>
                <c:pt idx="56">
                  <c:v>-14.561999999999999</c:v>
                </c:pt>
                <c:pt idx="57">
                  <c:v>-8.4979999999999993</c:v>
                </c:pt>
                <c:pt idx="58">
                  <c:v>-2.3620000000000001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97-4E41-9D96-3C6156CE1927}"/>
            </c:ext>
          </c:extLst>
        </c:ser>
        <c:ser>
          <c:idx val="2"/>
          <c:order val="2"/>
          <c:tx>
            <c:v>Angle Z</c:v>
          </c:tx>
          <c:spPr>
            <a:ln w="15875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'Original input'!$AC$6:$AC$64</c:f>
              <c:numCache>
                <c:formatCode>General</c:formatCode>
                <c:ptCount val="59"/>
                <c:pt idx="0">
                  <c:v>48.468236099999999</c:v>
                </c:pt>
                <c:pt idx="1">
                  <c:v>77.468236099999999</c:v>
                </c:pt>
                <c:pt idx="2">
                  <c:v>137.46823599999999</c:v>
                </c:pt>
                <c:pt idx="3">
                  <c:v>167.46823599999999</c:v>
                </c:pt>
                <c:pt idx="4">
                  <c:v>258.46823599999999</c:v>
                </c:pt>
                <c:pt idx="5">
                  <c:v>289.46823599999999</c:v>
                </c:pt>
                <c:pt idx="6">
                  <c:v>319.46823599999999</c:v>
                </c:pt>
                <c:pt idx="7">
                  <c:v>377.46823599999999</c:v>
                </c:pt>
                <c:pt idx="8">
                  <c:v>467.46823599999999</c:v>
                </c:pt>
                <c:pt idx="9">
                  <c:v>497.46823599999999</c:v>
                </c:pt>
                <c:pt idx="10">
                  <c:v>527.46823600000005</c:v>
                </c:pt>
                <c:pt idx="11">
                  <c:v>589.46823599999993</c:v>
                </c:pt>
                <c:pt idx="12">
                  <c:v>648.46823600000005</c:v>
                </c:pt>
                <c:pt idx="13">
                  <c:v>708.46823599999993</c:v>
                </c:pt>
                <c:pt idx="14">
                  <c:v>737.46823600000005</c:v>
                </c:pt>
                <c:pt idx="15">
                  <c:v>768.46823600000005</c:v>
                </c:pt>
                <c:pt idx="16">
                  <c:v>857.46823600000005</c:v>
                </c:pt>
                <c:pt idx="17">
                  <c:v>887.46823600000005</c:v>
                </c:pt>
                <c:pt idx="18">
                  <c:v>948.46823599999993</c:v>
                </c:pt>
                <c:pt idx="19">
                  <c:v>977.46823599999993</c:v>
                </c:pt>
                <c:pt idx="20">
                  <c:v>1067.4682399999999</c:v>
                </c:pt>
                <c:pt idx="21">
                  <c:v>1097.4682399999999</c:v>
                </c:pt>
                <c:pt idx="22">
                  <c:v>1127.4682399999999</c:v>
                </c:pt>
                <c:pt idx="23">
                  <c:v>1187.4682400000002</c:v>
                </c:pt>
                <c:pt idx="24">
                  <c:v>1248.4682399999999</c:v>
                </c:pt>
                <c:pt idx="25">
                  <c:v>1308.4682400000002</c:v>
                </c:pt>
                <c:pt idx="26">
                  <c:v>1337.4682399999999</c:v>
                </c:pt>
                <c:pt idx="27">
                  <c:v>1368.4682399999999</c:v>
                </c:pt>
                <c:pt idx="28">
                  <c:v>1458.4682399999999</c:v>
                </c:pt>
                <c:pt idx="29">
                  <c:v>1487.4682400000002</c:v>
                </c:pt>
                <c:pt idx="30">
                  <c:v>1548.4682400000002</c:v>
                </c:pt>
                <c:pt idx="31">
                  <c:v>1577.4682399999999</c:v>
                </c:pt>
                <c:pt idx="32">
                  <c:v>1667.4682400000002</c:v>
                </c:pt>
                <c:pt idx="33">
                  <c:v>1698.4682399999999</c:v>
                </c:pt>
                <c:pt idx="34">
                  <c:v>1727.4682400000002</c:v>
                </c:pt>
                <c:pt idx="35">
                  <c:v>1788.4682400000002</c:v>
                </c:pt>
                <c:pt idx="36">
                  <c:v>1877.4682399999999</c:v>
                </c:pt>
                <c:pt idx="37">
                  <c:v>1908.4682399999999</c:v>
                </c:pt>
                <c:pt idx="38">
                  <c:v>1937.4682400000002</c:v>
                </c:pt>
                <c:pt idx="39">
                  <c:v>1998.4682399999999</c:v>
                </c:pt>
                <c:pt idx="40">
                  <c:v>2058.4682399999997</c:v>
                </c:pt>
                <c:pt idx="41">
                  <c:v>2148.4682400000002</c:v>
                </c:pt>
                <c:pt idx="42">
                  <c:v>2177.4682400000002</c:v>
                </c:pt>
                <c:pt idx="43">
                  <c:v>2268.4682399999997</c:v>
                </c:pt>
                <c:pt idx="44">
                  <c:v>2296.4682399999997</c:v>
                </c:pt>
                <c:pt idx="45">
                  <c:v>2358.4682400000002</c:v>
                </c:pt>
                <c:pt idx="46">
                  <c:v>2388.4682399999997</c:v>
                </c:pt>
                <c:pt idx="47">
                  <c:v>2478.4682400000002</c:v>
                </c:pt>
                <c:pt idx="48">
                  <c:v>2508.4682400000002</c:v>
                </c:pt>
                <c:pt idx="49">
                  <c:v>2537.4682400000002</c:v>
                </c:pt>
                <c:pt idx="50">
                  <c:v>2598.4682399999997</c:v>
                </c:pt>
                <c:pt idx="51">
                  <c:v>2658.4682400000002</c:v>
                </c:pt>
                <c:pt idx="52">
                  <c:v>2718.4682400000002</c:v>
                </c:pt>
                <c:pt idx="53">
                  <c:v>2748.4682399999997</c:v>
                </c:pt>
                <c:pt idx="54">
                  <c:v>2778.4682400000002</c:v>
                </c:pt>
                <c:pt idx="55">
                  <c:v>2869.4682399999997</c:v>
                </c:pt>
                <c:pt idx="56">
                  <c:v>2898.4682400000002</c:v>
                </c:pt>
                <c:pt idx="57">
                  <c:v>2957.4682399999997</c:v>
                </c:pt>
                <c:pt idx="58">
                  <c:v>2988.4682400000002</c:v>
                </c:pt>
              </c:numCache>
            </c:numRef>
          </c:xVal>
          <c:yVal>
            <c:numRef>
              <c:f>'Original input'!$AJ$6:$AJ$64</c:f>
              <c:numCache>
                <c:formatCode>General</c:formatCode>
                <c:ptCount val="59"/>
                <c:pt idx="0">
                  <c:v>131.072</c:v>
                </c:pt>
                <c:pt idx="1">
                  <c:v>131.292</c:v>
                </c:pt>
                <c:pt idx="2">
                  <c:v>131.47900000000001</c:v>
                </c:pt>
                <c:pt idx="3">
                  <c:v>131.655</c:v>
                </c:pt>
                <c:pt idx="4">
                  <c:v>131.803</c:v>
                </c:pt>
                <c:pt idx="5">
                  <c:v>131.95099999999999</c:v>
                </c:pt>
                <c:pt idx="6">
                  <c:v>132.083</c:v>
                </c:pt>
                <c:pt idx="7">
                  <c:v>132.209</c:v>
                </c:pt>
                <c:pt idx="8">
                  <c:v>132.31899999999999</c:v>
                </c:pt>
                <c:pt idx="9">
                  <c:v>132.429</c:v>
                </c:pt>
                <c:pt idx="10">
                  <c:v>132.523</c:v>
                </c:pt>
                <c:pt idx="11">
                  <c:v>132.60499999999999</c:v>
                </c:pt>
                <c:pt idx="12">
                  <c:v>132.68199999999999</c:v>
                </c:pt>
                <c:pt idx="13">
                  <c:v>132.76400000000001</c:v>
                </c:pt>
                <c:pt idx="14">
                  <c:v>132.435</c:v>
                </c:pt>
                <c:pt idx="15">
                  <c:v>131.83000000000001</c:v>
                </c:pt>
                <c:pt idx="16">
                  <c:v>126.694</c:v>
                </c:pt>
                <c:pt idx="17">
                  <c:v>-42.725999999999999</c:v>
                </c:pt>
                <c:pt idx="18">
                  <c:v>-44.709000000000003</c:v>
                </c:pt>
                <c:pt idx="19">
                  <c:v>-45.253</c:v>
                </c:pt>
                <c:pt idx="20">
                  <c:v>-45.445</c:v>
                </c:pt>
                <c:pt idx="21">
                  <c:v>-45.521999999999998</c:v>
                </c:pt>
                <c:pt idx="22">
                  <c:v>-45.537999999999997</c:v>
                </c:pt>
                <c:pt idx="23">
                  <c:v>-45.511000000000003</c:v>
                </c:pt>
                <c:pt idx="24">
                  <c:v>-45.456000000000003</c:v>
                </c:pt>
                <c:pt idx="25">
                  <c:v>-45.39</c:v>
                </c:pt>
                <c:pt idx="26">
                  <c:v>-45.319000000000003</c:v>
                </c:pt>
                <c:pt idx="27">
                  <c:v>-45.231000000000002</c:v>
                </c:pt>
                <c:pt idx="28">
                  <c:v>-45.131999999999998</c:v>
                </c:pt>
                <c:pt idx="29">
                  <c:v>-45.021999999999998</c:v>
                </c:pt>
                <c:pt idx="30">
                  <c:v>-44.896000000000001</c:v>
                </c:pt>
                <c:pt idx="31">
                  <c:v>-44.741999999999997</c:v>
                </c:pt>
                <c:pt idx="32">
                  <c:v>-44.572000000000003</c:v>
                </c:pt>
                <c:pt idx="33">
                  <c:v>-44.368000000000002</c:v>
                </c:pt>
                <c:pt idx="34">
                  <c:v>-44.127000000000002</c:v>
                </c:pt>
                <c:pt idx="35">
                  <c:v>-43.851999999999997</c:v>
                </c:pt>
                <c:pt idx="36">
                  <c:v>-43.527999999999999</c:v>
                </c:pt>
                <c:pt idx="37">
                  <c:v>-43.149000000000001</c:v>
                </c:pt>
                <c:pt idx="38">
                  <c:v>-42.731000000000002</c:v>
                </c:pt>
                <c:pt idx="39">
                  <c:v>-42.192999999999998</c:v>
                </c:pt>
                <c:pt idx="40">
                  <c:v>-41.506</c:v>
                </c:pt>
                <c:pt idx="41">
                  <c:v>-39.781500000000001</c:v>
                </c:pt>
                <c:pt idx="42">
                  <c:v>-36.726999999999997</c:v>
                </c:pt>
                <c:pt idx="43">
                  <c:v>-32.36</c:v>
                </c:pt>
                <c:pt idx="44">
                  <c:v>-21.561</c:v>
                </c:pt>
                <c:pt idx="45">
                  <c:v>21.907</c:v>
                </c:pt>
                <c:pt idx="46">
                  <c:v>96.135999999999996</c:v>
                </c:pt>
                <c:pt idx="47">
                  <c:v>114.999</c:v>
                </c:pt>
                <c:pt idx="48">
                  <c:v>121.31699999999999</c:v>
                </c:pt>
                <c:pt idx="49">
                  <c:v>124.387</c:v>
                </c:pt>
                <c:pt idx="50">
                  <c:v>126.238</c:v>
                </c:pt>
                <c:pt idx="51">
                  <c:v>127.46899999999999</c:v>
                </c:pt>
                <c:pt idx="52">
                  <c:v>128.33699999999999</c:v>
                </c:pt>
                <c:pt idx="53">
                  <c:v>128.98500000000001</c:v>
                </c:pt>
                <c:pt idx="54">
                  <c:v>129.512</c:v>
                </c:pt>
                <c:pt idx="55">
                  <c:v>129.935</c:v>
                </c:pt>
                <c:pt idx="56">
                  <c:v>130.292</c:v>
                </c:pt>
                <c:pt idx="57">
                  <c:v>130.589</c:v>
                </c:pt>
                <c:pt idx="58">
                  <c:v>130.85300000000001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97-4E41-9D96-3C6156CE1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00"/>
          <c:min val="-2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Angle (deg)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100"/>
      </c:valAx>
      <c:valAx>
        <c:axId val="48650112"/>
        <c:scaling>
          <c:orientation val="minMax"/>
          <c:max val="32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20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Original follower angular velocities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Gyro X</c:v>
          </c:tx>
          <c:spPr>
            <a:ln w="15875">
              <a:solidFill>
                <a:srgbClr val="8C5700"/>
              </a:solidFill>
              <a:prstDash val="solid"/>
            </a:ln>
          </c:spPr>
          <c:marker>
            <c:symbol val="none"/>
          </c:marker>
          <c:xVal>
            <c:numRef>
              <c:f>'Original follower'!$AC$6:$AC$63</c:f>
              <c:numCache>
                <c:formatCode>General</c:formatCode>
                <c:ptCount val="58"/>
                <c:pt idx="0">
                  <c:v>32.468236099999999</c:v>
                </c:pt>
                <c:pt idx="1">
                  <c:v>63.468236100000006</c:v>
                </c:pt>
                <c:pt idx="2">
                  <c:v>152.46823600000002</c:v>
                </c:pt>
                <c:pt idx="3">
                  <c:v>181.46823600000002</c:v>
                </c:pt>
                <c:pt idx="4">
                  <c:v>243.46823599999999</c:v>
                </c:pt>
                <c:pt idx="5">
                  <c:v>273.46823599999999</c:v>
                </c:pt>
                <c:pt idx="6">
                  <c:v>362.46823599999999</c:v>
                </c:pt>
                <c:pt idx="7">
                  <c:v>393.46823600000005</c:v>
                </c:pt>
                <c:pt idx="8">
                  <c:v>422.46823599999999</c:v>
                </c:pt>
                <c:pt idx="9">
                  <c:v>482.46823599999999</c:v>
                </c:pt>
                <c:pt idx="10">
                  <c:v>544.46823600000005</c:v>
                </c:pt>
                <c:pt idx="11">
                  <c:v>603.46823600000005</c:v>
                </c:pt>
                <c:pt idx="12">
                  <c:v>633.46823600000005</c:v>
                </c:pt>
                <c:pt idx="13">
                  <c:v>663.46823600000005</c:v>
                </c:pt>
                <c:pt idx="14">
                  <c:v>752.46823600000005</c:v>
                </c:pt>
                <c:pt idx="15">
                  <c:v>783.46823600000005</c:v>
                </c:pt>
                <c:pt idx="16">
                  <c:v>842.46823599999993</c:v>
                </c:pt>
                <c:pt idx="17">
                  <c:v>872.46823600000005</c:v>
                </c:pt>
                <c:pt idx="18">
                  <c:v>962.46823599999993</c:v>
                </c:pt>
                <c:pt idx="19">
                  <c:v>1023.4682399999999</c:v>
                </c:pt>
                <c:pt idx="20">
                  <c:v>1082.4682400000002</c:v>
                </c:pt>
                <c:pt idx="21">
                  <c:v>1172.4682399999999</c:v>
                </c:pt>
                <c:pt idx="22">
                  <c:v>1203.4682400000002</c:v>
                </c:pt>
                <c:pt idx="23">
                  <c:v>1232.4682399999999</c:v>
                </c:pt>
                <c:pt idx="24">
                  <c:v>1292.4682400000002</c:v>
                </c:pt>
                <c:pt idx="25">
                  <c:v>1383.4682399999999</c:v>
                </c:pt>
                <c:pt idx="26">
                  <c:v>1414.4682399999999</c:v>
                </c:pt>
                <c:pt idx="27">
                  <c:v>1442.4682399999999</c:v>
                </c:pt>
                <c:pt idx="28">
                  <c:v>1472.4682399999999</c:v>
                </c:pt>
                <c:pt idx="29">
                  <c:v>1563.4682399999999</c:v>
                </c:pt>
                <c:pt idx="30">
                  <c:v>1592.4682400000002</c:v>
                </c:pt>
                <c:pt idx="31">
                  <c:v>1652.4682399999999</c:v>
                </c:pt>
                <c:pt idx="32">
                  <c:v>1682.4682399999999</c:v>
                </c:pt>
                <c:pt idx="33">
                  <c:v>1772.4682399999999</c:v>
                </c:pt>
                <c:pt idx="34">
                  <c:v>1802.4682400000002</c:v>
                </c:pt>
                <c:pt idx="35">
                  <c:v>1862.4682400000002</c:v>
                </c:pt>
                <c:pt idx="36">
                  <c:v>1894.4682399999999</c:v>
                </c:pt>
                <c:pt idx="37">
                  <c:v>1953.4682400000002</c:v>
                </c:pt>
                <c:pt idx="38">
                  <c:v>2013.4682399999999</c:v>
                </c:pt>
                <c:pt idx="39">
                  <c:v>2042.4682399999999</c:v>
                </c:pt>
                <c:pt idx="40">
                  <c:v>2073.4682400000002</c:v>
                </c:pt>
                <c:pt idx="41">
                  <c:v>2163.4682399999997</c:v>
                </c:pt>
                <c:pt idx="42">
                  <c:v>2193.4682400000002</c:v>
                </c:pt>
                <c:pt idx="43">
                  <c:v>2252.4682399999997</c:v>
                </c:pt>
                <c:pt idx="44">
                  <c:v>2283.4682400000002</c:v>
                </c:pt>
                <c:pt idx="45">
                  <c:v>2372.4682399999997</c:v>
                </c:pt>
                <c:pt idx="46">
                  <c:v>2433.4682399999997</c:v>
                </c:pt>
                <c:pt idx="47">
                  <c:v>2492.4682400000002</c:v>
                </c:pt>
                <c:pt idx="48">
                  <c:v>2583.4682400000002</c:v>
                </c:pt>
                <c:pt idx="49">
                  <c:v>2613.4682400000002</c:v>
                </c:pt>
                <c:pt idx="50">
                  <c:v>2644.4682400000002</c:v>
                </c:pt>
                <c:pt idx="51">
                  <c:v>2733.4682400000002</c:v>
                </c:pt>
                <c:pt idx="52">
                  <c:v>2762.4682400000002</c:v>
                </c:pt>
                <c:pt idx="53">
                  <c:v>2823.4682400000002</c:v>
                </c:pt>
                <c:pt idx="54">
                  <c:v>2881.4682399999997</c:v>
                </c:pt>
                <c:pt idx="55">
                  <c:v>2883.4682400000002</c:v>
                </c:pt>
                <c:pt idx="56">
                  <c:v>2972.4682400000002</c:v>
                </c:pt>
                <c:pt idx="57">
                  <c:v>3003.4682400000002</c:v>
                </c:pt>
              </c:numCache>
            </c:numRef>
          </c:xVal>
          <c:yVal>
            <c:numRef>
              <c:f>'Original follower'!$AD$6:$AD$63</c:f>
              <c:numCache>
                <c:formatCode>General</c:formatCode>
                <c:ptCount val="58"/>
                <c:pt idx="0">
                  <c:v>-24.261500000000002</c:v>
                </c:pt>
                <c:pt idx="1">
                  <c:v>-19.713999999999999</c:v>
                </c:pt>
                <c:pt idx="2">
                  <c:v>-15.747</c:v>
                </c:pt>
                <c:pt idx="3">
                  <c:v>-12.023999999999999</c:v>
                </c:pt>
                <c:pt idx="4">
                  <c:v>-8.5449999999999999</c:v>
                </c:pt>
                <c:pt idx="5">
                  <c:v>-5.1269999999999998</c:v>
                </c:pt>
                <c:pt idx="6">
                  <c:v>-2.0750000000000002</c:v>
                </c:pt>
                <c:pt idx="7">
                  <c:v>0.54900000000000004</c:v>
                </c:pt>
                <c:pt idx="8">
                  <c:v>3.4180000000000001</c:v>
                </c:pt>
                <c:pt idx="9">
                  <c:v>6.226</c:v>
                </c:pt>
                <c:pt idx="10">
                  <c:v>8.6059999999999999</c:v>
                </c:pt>
                <c:pt idx="11">
                  <c:v>10.864000000000001</c:v>
                </c:pt>
                <c:pt idx="12">
                  <c:v>13.305999999999999</c:v>
                </c:pt>
                <c:pt idx="13">
                  <c:v>15.503</c:v>
                </c:pt>
                <c:pt idx="14">
                  <c:v>18.065999999999999</c:v>
                </c:pt>
                <c:pt idx="15">
                  <c:v>20.690999999999999</c:v>
                </c:pt>
                <c:pt idx="16">
                  <c:v>23.193000000000001</c:v>
                </c:pt>
                <c:pt idx="17">
                  <c:v>25.513000000000002</c:v>
                </c:pt>
                <c:pt idx="18">
                  <c:v>27.71</c:v>
                </c:pt>
                <c:pt idx="19">
                  <c:v>32.134999999999998</c:v>
                </c:pt>
                <c:pt idx="20">
                  <c:v>35.582999999999998</c:v>
                </c:pt>
                <c:pt idx="21">
                  <c:v>37.597999999999999</c:v>
                </c:pt>
                <c:pt idx="22">
                  <c:v>40.588000000000001</c:v>
                </c:pt>
                <c:pt idx="23">
                  <c:v>42.786000000000001</c:v>
                </c:pt>
                <c:pt idx="24">
                  <c:v>44.982999999999997</c:v>
                </c:pt>
                <c:pt idx="25">
                  <c:v>47.18</c:v>
                </c:pt>
                <c:pt idx="26">
                  <c:v>49.561</c:v>
                </c:pt>
                <c:pt idx="27">
                  <c:v>49.866</c:v>
                </c:pt>
                <c:pt idx="28">
                  <c:v>49.5</c:v>
                </c:pt>
                <c:pt idx="29">
                  <c:v>47.851999999999997</c:v>
                </c:pt>
                <c:pt idx="30">
                  <c:v>43.884</c:v>
                </c:pt>
                <c:pt idx="31">
                  <c:v>37.17</c:v>
                </c:pt>
                <c:pt idx="32">
                  <c:v>29.175000000000001</c:v>
                </c:pt>
                <c:pt idx="33">
                  <c:v>19.774999999999999</c:v>
                </c:pt>
                <c:pt idx="34">
                  <c:v>9.0329999999999995</c:v>
                </c:pt>
                <c:pt idx="35">
                  <c:v>0.24399999999999999</c:v>
                </c:pt>
                <c:pt idx="36">
                  <c:v>-7.69</c:v>
                </c:pt>
                <c:pt idx="37">
                  <c:v>-14.282</c:v>
                </c:pt>
                <c:pt idx="38">
                  <c:v>-19.103999999999999</c:v>
                </c:pt>
                <c:pt idx="39">
                  <c:v>-23.925999999999998</c:v>
                </c:pt>
                <c:pt idx="40">
                  <c:v>-28.625</c:v>
                </c:pt>
                <c:pt idx="41">
                  <c:v>-31.798999999999999</c:v>
                </c:pt>
                <c:pt idx="42">
                  <c:v>-35.094999999999999</c:v>
                </c:pt>
                <c:pt idx="43">
                  <c:v>-37.841999999999999</c:v>
                </c:pt>
                <c:pt idx="44">
                  <c:v>-38.451999999999998</c:v>
                </c:pt>
                <c:pt idx="45">
                  <c:v>-39.307000000000002</c:v>
                </c:pt>
                <c:pt idx="46">
                  <c:v>-40.222000000000001</c:v>
                </c:pt>
                <c:pt idx="47">
                  <c:v>-40.1</c:v>
                </c:pt>
                <c:pt idx="48">
                  <c:v>-40.161000000000001</c:v>
                </c:pt>
                <c:pt idx="49">
                  <c:v>-40.71</c:v>
                </c:pt>
                <c:pt idx="50">
                  <c:v>-39.307000000000002</c:v>
                </c:pt>
                <c:pt idx="51">
                  <c:v>-37.475999999999999</c:v>
                </c:pt>
                <c:pt idx="52">
                  <c:v>-36.072000000000003</c:v>
                </c:pt>
                <c:pt idx="53">
                  <c:v>-34.79</c:v>
                </c:pt>
                <c:pt idx="54">
                  <c:v>-32.287999999999997</c:v>
                </c:pt>
                <c:pt idx="55">
                  <c:v>-30.212</c:v>
                </c:pt>
                <c:pt idx="56">
                  <c:v>-27.649000000000001</c:v>
                </c:pt>
                <c:pt idx="57">
                  <c:v>-24.658000000000001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8-4436-A4AA-084151544592}"/>
            </c:ext>
          </c:extLst>
        </c:ser>
        <c:ser>
          <c:idx val="1"/>
          <c:order val="1"/>
          <c:tx>
            <c:v>Gyro Y</c:v>
          </c:tx>
          <c:spPr>
            <a:ln w="15875">
              <a:solidFill>
                <a:srgbClr val="157A54"/>
              </a:solidFill>
              <a:prstDash val="solid"/>
            </a:ln>
          </c:spPr>
          <c:marker>
            <c:symbol val="none"/>
          </c:marker>
          <c:xVal>
            <c:numRef>
              <c:f>'Original follower'!$AC$6:$AC$63</c:f>
              <c:numCache>
                <c:formatCode>General</c:formatCode>
                <c:ptCount val="58"/>
                <c:pt idx="0">
                  <c:v>32.468236099999999</c:v>
                </c:pt>
                <c:pt idx="1">
                  <c:v>63.468236100000006</c:v>
                </c:pt>
                <c:pt idx="2">
                  <c:v>152.46823600000002</c:v>
                </c:pt>
                <c:pt idx="3">
                  <c:v>181.46823600000002</c:v>
                </c:pt>
                <c:pt idx="4">
                  <c:v>243.46823599999999</c:v>
                </c:pt>
                <c:pt idx="5">
                  <c:v>273.46823599999999</c:v>
                </c:pt>
                <c:pt idx="6">
                  <c:v>362.46823599999999</c:v>
                </c:pt>
                <c:pt idx="7">
                  <c:v>393.46823600000005</c:v>
                </c:pt>
                <c:pt idx="8">
                  <c:v>422.46823599999999</c:v>
                </c:pt>
                <c:pt idx="9">
                  <c:v>482.46823599999999</c:v>
                </c:pt>
                <c:pt idx="10">
                  <c:v>544.46823600000005</c:v>
                </c:pt>
                <c:pt idx="11">
                  <c:v>603.46823600000005</c:v>
                </c:pt>
                <c:pt idx="12">
                  <c:v>633.46823600000005</c:v>
                </c:pt>
                <c:pt idx="13">
                  <c:v>663.46823600000005</c:v>
                </c:pt>
                <c:pt idx="14">
                  <c:v>752.46823600000005</c:v>
                </c:pt>
                <c:pt idx="15">
                  <c:v>783.46823600000005</c:v>
                </c:pt>
                <c:pt idx="16">
                  <c:v>842.46823599999993</c:v>
                </c:pt>
                <c:pt idx="17">
                  <c:v>872.46823600000005</c:v>
                </c:pt>
                <c:pt idx="18">
                  <c:v>962.46823599999993</c:v>
                </c:pt>
                <c:pt idx="19">
                  <c:v>1023.4682399999999</c:v>
                </c:pt>
                <c:pt idx="20">
                  <c:v>1082.4682400000002</c:v>
                </c:pt>
                <c:pt idx="21">
                  <c:v>1172.4682399999999</c:v>
                </c:pt>
                <c:pt idx="22">
                  <c:v>1203.4682400000002</c:v>
                </c:pt>
                <c:pt idx="23">
                  <c:v>1232.4682399999999</c:v>
                </c:pt>
                <c:pt idx="24">
                  <c:v>1292.4682400000002</c:v>
                </c:pt>
                <c:pt idx="25">
                  <c:v>1383.4682399999999</c:v>
                </c:pt>
                <c:pt idx="26">
                  <c:v>1414.4682399999999</c:v>
                </c:pt>
                <c:pt idx="27">
                  <c:v>1442.4682399999999</c:v>
                </c:pt>
                <c:pt idx="28">
                  <c:v>1472.4682399999999</c:v>
                </c:pt>
                <c:pt idx="29">
                  <c:v>1563.4682399999999</c:v>
                </c:pt>
                <c:pt idx="30">
                  <c:v>1592.4682400000002</c:v>
                </c:pt>
                <c:pt idx="31">
                  <c:v>1652.4682399999999</c:v>
                </c:pt>
                <c:pt idx="32">
                  <c:v>1682.4682399999999</c:v>
                </c:pt>
                <c:pt idx="33">
                  <c:v>1772.4682399999999</c:v>
                </c:pt>
                <c:pt idx="34">
                  <c:v>1802.4682400000002</c:v>
                </c:pt>
                <c:pt idx="35">
                  <c:v>1862.4682400000002</c:v>
                </c:pt>
                <c:pt idx="36">
                  <c:v>1894.4682399999999</c:v>
                </c:pt>
                <c:pt idx="37">
                  <c:v>1953.4682400000002</c:v>
                </c:pt>
                <c:pt idx="38">
                  <c:v>2013.4682399999999</c:v>
                </c:pt>
                <c:pt idx="39">
                  <c:v>2042.4682399999999</c:v>
                </c:pt>
                <c:pt idx="40">
                  <c:v>2073.4682400000002</c:v>
                </c:pt>
                <c:pt idx="41">
                  <c:v>2163.4682399999997</c:v>
                </c:pt>
                <c:pt idx="42">
                  <c:v>2193.4682400000002</c:v>
                </c:pt>
                <c:pt idx="43">
                  <c:v>2252.4682399999997</c:v>
                </c:pt>
                <c:pt idx="44">
                  <c:v>2283.4682400000002</c:v>
                </c:pt>
                <c:pt idx="45">
                  <c:v>2372.4682399999997</c:v>
                </c:pt>
                <c:pt idx="46">
                  <c:v>2433.4682399999997</c:v>
                </c:pt>
                <c:pt idx="47">
                  <c:v>2492.4682400000002</c:v>
                </c:pt>
                <c:pt idx="48">
                  <c:v>2583.4682400000002</c:v>
                </c:pt>
                <c:pt idx="49">
                  <c:v>2613.4682400000002</c:v>
                </c:pt>
                <c:pt idx="50">
                  <c:v>2644.4682400000002</c:v>
                </c:pt>
                <c:pt idx="51">
                  <c:v>2733.4682400000002</c:v>
                </c:pt>
                <c:pt idx="52">
                  <c:v>2762.4682400000002</c:v>
                </c:pt>
                <c:pt idx="53">
                  <c:v>2823.4682400000002</c:v>
                </c:pt>
                <c:pt idx="54">
                  <c:v>2881.4682399999997</c:v>
                </c:pt>
                <c:pt idx="55">
                  <c:v>2883.4682400000002</c:v>
                </c:pt>
                <c:pt idx="56">
                  <c:v>2972.4682400000002</c:v>
                </c:pt>
                <c:pt idx="57">
                  <c:v>3003.4682400000002</c:v>
                </c:pt>
              </c:numCache>
            </c:numRef>
          </c:xVal>
          <c:yVal>
            <c:numRef>
              <c:f>'Original follower'!$AE$6:$AE$63</c:f>
              <c:numCache>
                <c:formatCode>General</c:formatCode>
                <c:ptCount val="58"/>
                <c:pt idx="0">
                  <c:v>-25.818000000000001</c:v>
                </c:pt>
                <c:pt idx="1">
                  <c:v>-21.117999999999999</c:v>
                </c:pt>
                <c:pt idx="2">
                  <c:v>-16.846</c:v>
                </c:pt>
                <c:pt idx="3">
                  <c:v>-12.878</c:v>
                </c:pt>
                <c:pt idx="4">
                  <c:v>-9.2769999999999992</c:v>
                </c:pt>
                <c:pt idx="5">
                  <c:v>-5.6150000000000002</c:v>
                </c:pt>
                <c:pt idx="6">
                  <c:v>-2.319</c:v>
                </c:pt>
                <c:pt idx="7">
                  <c:v>0.36599999999999999</c:v>
                </c:pt>
                <c:pt idx="8">
                  <c:v>3.4790000000000001</c:v>
                </c:pt>
                <c:pt idx="9">
                  <c:v>6.47</c:v>
                </c:pt>
                <c:pt idx="10">
                  <c:v>8.9719999999999995</c:v>
                </c:pt>
                <c:pt idx="11">
                  <c:v>11.353</c:v>
                </c:pt>
                <c:pt idx="12">
                  <c:v>14.038</c:v>
                </c:pt>
                <c:pt idx="13">
                  <c:v>16.295999999999999</c:v>
                </c:pt>
                <c:pt idx="14">
                  <c:v>19.042999999999999</c:v>
                </c:pt>
                <c:pt idx="15">
                  <c:v>21.850999999999999</c:v>
                </c:pt>
                <c:pt idx="16">
                  <c:v>24.475000000000001</c:v>
                </c:pt>
                <c:pt idx="17">
                  <c:v>26.917000000000002</c:v>
                </c:pt>
                <c:pt idx="18">
                  <c:v>29.48</c:v>
                </c:pt>
                <c:pt idx="19">
                  <c:v>34.149000000000001</c:v>
                </c:pt>
                <c:pt idx="20">
                  <c:v>37.963999999999999</c:v>
                </c:pt>
                <c:pt idx="21">
                  <c:v>39.917000000000002</c:v>
                </c:pt>
                <c:pt idx="22">
                  <c:v>43.091000000000001</c:v>
                </c:pt>
                <c:pt idx="23">
                  <c:v>45.654000000000003</c:v>
                </c:pt>
                <c:pt idx="24">
                  <c:v>48.034999999999997</c:v>
                </c:pt>
                <c:pt idx="25">
                  <c:v>50.11</c:v>
                </c:pt>
                <c:pt idx="26">
                  <c:v>52.856000000000002</c:v>
                </c:pt>
                <c:pt idx="27">
                  <c:v>53.344999999999999</c:v>
                </c:pt>
                <c:pt idx="28">
                  <c:v>52.978999999999999</c:v>
                </c:pt>
                <c:pt idx="29">
                  <c:v>51.207999999999998</c:v>
                </c:pt>
                <c:pt idx="30">
                  <c:v>46.875</c:v>
                </c:pt>
                <c:pt idx="31">
                  <c:v>39.734000000000002</c:v>
                </c:pt>
                <c:pt idx="32">
                  <c:v>31.25</c:v>
                </c:pt>
                <c:pt idx="33">
                  <c:v>21.24</c:v>
                </c:pt>
                <c:pt idx="34">
                  <c:v>9.827</c:v>
                </c:pt>
                <c:pt idx="35">
                  <c:v>0.24399999999999999</c:v>
                </c:pt>
                <c:pt idx="36">
                  <c:v>-7.9960000000000004</c:v>
                </c:pt>
                <c:pt idx="37">
                  <c:v>-15.137</c:v>
                </c:pt>
                <c:pt idx="38">
                  <c:v>-20.324999999999999</c:v>
                </c:pt>
                <c:pt idx="39">
                  <c:v>-25.635000000000002</c:v>
                </c:pt>
                <c:pt idx="40">
                  <c:v>-30.579000000000001</c:v>
                </c:pt>
                <c:pt idx="41">
                  <c:v>-34.119</c:v>
                </c:pt>
                <c:pt idx="42">
                  <c:v>-37.597999999999999</c:v>
                </c:pt>
                <c:pt idx="43">
                  <c:v>-40.405000000000001</c:v>
                </c:pt>
                <c:pt idx="44">
                  <c:v>-41.015999999999998</c:v>
                </c:pt>
                <c:pt idx="45">
                  <c:v>-41.991999999999997</c:v>
                </c:pt>
                <c:pt idx="46">
                  <c:v>-42.938499999999998</c:v>
                </c:pt>
                <c:pt idx="47">
                  <c:v>-42.847000000000001</c:v>
                </c:pt>
                <c:pt idx="48">
                  <c:v>-43.03</c:v>
                </c:pt>
                <c:pt idx="49">
                  <c:v>-43.457000000000001</c:v>
                </c:pt>
                <c:pt idx="50">
                  <c:v>-42.052999999999997</c:v>
                </c:pt>
                <c:pt idx="51">
                  <c:v>-40.039000000000001</c:v>
                </c:pt>
                <c:pt idx="52">
                  <c:v>-38.451999999999998</c:v>
                </c:pt>
                <c:pt idx="53">
                  <c:v>-37.231000000000002</c:v>
                </c:pt>
                <c:pt idx="54">
                  <c:v>-34.484999999999999</c:v>
                </c:pt>
                <c:pt idx="55">
                  <c:v>-32.226999999999997</c:v>
                </c:pt>
                <c:pt idx="56">
                  <c:v>-29.419</c:v>
                </c:pt>
                <c:pt idx="57">
                  <c:v>-26.306000000000001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88-4436-A4AA-084151544592}"/>
            </c:ext>
          </c:extLst>
        </c:ser>
        <c:ser>
          <c:idx val="2"/>
          <c:order val="2"/>
          <c:tx>
            <c:v>Gyro Z</c:v>
          </c:tx>
          <c:spPr>
            <a:ln w="15875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'Original follower'!$AC$6:$AC$63</c:f>
              <c:numCache>
                <c:formatCode>General</c:formatCode>
                <c:ptCount val="58"/>
                <c:pt idx="0">
                  <c:v>32.468236099999999</c:v>
                </c:pt>
                <c:pt idx="1">
                  <c:v>63.468236100000006</c:v>
                </c:pt>
                <c:pt idx="2">
                  <c:v>152.46823600000002</c:v>
                </c:pt>
                <c:pt idx="3">
                  <c:v>181.46823600000002</c:v>
                </c:pt>
                <c:pt idx="4">
                  <c:v>243.46823599999999</c:v>
                </c:pt>
                <c:pt idx="5">
                  <c:v>273.46823599999999</c:v>
                </c:pt>
                <c:pt idx="6">
                  <c:v>362.46823599999999</c:v>
                </c:pt>
                <c:pt idx="7">
                  <c:v>393.46823600000005</c:v>
                </c:pt>
                <c:pt idx="8">
                  <c:v>422.46823599999999</c:v>
                </c:pt>
                <c:pt idx="9">
                  <c:v>482.46823599999999</c:v>
                </c:pt>
                <c:pt idx="10">
                  <c:v>544.46823600000005</c:v>
                </c:pt>
                <c:pt idx="11">
                  <c:v>603.46823600000005</c:v>
                </c:pt>
                <c:pt idx="12">
                  <c:v>633.46823600000005</c:v>
                </c:pt>
                <c:pt idx="13">
                  <c:v>663.46823600000005</c:v>
                </c:pt>
                <c:pt idx="14">
                  <c:v>752.46823600000005</c:v>
                </c:pt>
                <c:pt idx="15">
                  <c:v>783.46823600000005</c:v>
                </c:pt>
                <c:pt idx="16">
                  <c:v>842.46823599999993</c:v>
                </c:pt>
                <c:pt idx="17">
                  <c:v>872.46823600000005</c:v>
                </c:pt>
                <c:pt idx="18">
                  <c:v>962.46823599999993</c:v>
                </c:pt>
                <c:pt idx="19">
                  <c:v>1023.4682399999999</c:v>
                </c:pt>
                <c:pt idx="20">
                  <c:v>1082.4682400000002</c:v>
                </c:pt>
                <c:pt idx="21">
                  <c:v>1172.4682399999999</c:v>
                </c:pt>
                <c:pt idx="22">
                  <c:v>1203.4682400000002</c:v>
                </c:pt>
                <c:pt idx="23">
                  <c:v>1232.4682399999999</c:v>
                </c:pt>
                <c:pt idx="24">
                  <c:v>1292.4682400000002</c:v>
                </c:pt>
                <c:pt idx="25">
                  <c:v>1383.4682399999999</c:v>
                </c:pt>
                <c:pt idx="26">
                  <c:v>1414.4682399999999</c:v>
                </c:pt>
                <c:pt idx="27">
                  <c:v>1442.4682399999999</c:v>
                </c:pt>
                <c:pt idx="28">
                  <c:v>1472.4682399999999</c:v>
                </c:pt>
                <c:pt idx="29">
                  <c:v>1563.4682399999999</c:v>
                </c:pt>
                <c:pt idx="30">
                  <c:v>1592.4682400000002</c:v>
                </c:pt>
                <c:pt idx="31">
                  <c:v>1652.4682399999999</c:v>
                </c:pt>
                <c:pt idx="32">
                  <c:v>1682.4682399999999</c:v>
                </c:pt>
                <c:pt idx="33">
                  <c:v>1772.4682399999999</c:v>
                </c:pt>
                <c:pt idx="34">
                  <c:v>1802.4682400000002</c:v>
                </c:pt>
                <c:pt idx="35">
                  <c:v>1862.4682400000002</c:v>
                </c:pt>
                <c:pt idx="36">
                  <c:v>1894.4682399999999</c:v>
                </c:pt>
                <c:pt idx="37">
                  <c:v>1953.4682400000002</c:v>
                </c:pt>
                <c:pt idx="38">
                  <c:v>2013.4682399999999</c:v>
                </c:pt>
                <c:pt idx="39">
                  <c:v>2042.4682399999999</c:v>
                </c:pt>
                <c:pt idx="40">
                  <c:v>2073.4682400000002</c:v>
                </c:pt>
                <c:pt idx="41">
                  <c:v>2163.4682399999997</c:v>
                </c:pt>
                <c:pt idx="42">
                  <c:v>2193.4682400000002</c:v>
                </c:pt>
                <c:pt idx="43">
                  <c:v>2252.4682399999997</c:v>
                </c:pt>
                <c:pt idx="44">
                  <c:v>2283.4682400000002</c:v>
                </c:pt>
                <c:pt idx="45">
                  <c:v>2372.4682399999997</c:v>
                </c:pt>
                <c:pt idx="46">
                  <c:v>2433.4682399999997</c:v>
                </c:pt>
                <c:pt idx="47">
                  <c:v>2492.4682400000002</c:v>
                </c:pt>
                <c:pt idx="48">
                  <c:v>2583.4682400000002</c:v>
                </c:pt>
                <c:pt idx="49">
                  <c:v>2613.4682400000002</c:v>
                </c:pt>
                <c:pt idx="50">
                  <c:v>2644.4682400000002</c:v>
                </c:pt>
                <c:pt idx="51">
                  <c:v>2733.4682400000002</c:v>
                </c:pt>
                <c:pt idx="52">
                  <c:v>2762.4682400000002</c:v>
                </c:pt>
                <c:pt idx="53">
                  <c:v>2823.4682400000002</c:v>
                </c:pt>
                <c:pt idx="54">
                  <c:v>2881.4682399999997</c:v>
                </c:pt>
                <c:pt idx="55">
                  <c:v>2883.4682400000002</c:v>
                </c:pt>
                <c:pt idx="56">
                  <c:v>2972.4682400000002</c:v>
                </c:pt>
                <c:pt idx="57">
                  <c:v>3003.4682400000002</c:v>
                </c:pt>
              </c:numCache>
            </c:numRef>
          </c:xVal>
          <c:yVal>
            <c:numRef>
              <c:f>'Original follower'!$AF$6:$AF$63</c:f>
              <c:numCache>
                <c:formatCode>General</c:formatCode>
                <c:ptCount val="58"/>
                <c:pt idx="0">
                  <c:v>-1.4955000000000001</c:v>
                </c:pt>
                <c:pt idx="1">
                  <c:v>-1.1599999999999999</c:v>
                </c:pt>
                <c:pt idx="2">
                  <c:v>-0.91600000000000004</c:v>
                </c:pt>
                <c:pt idx="3">
                  <c:v>-0.73199999999999998</c:v>
                </c:pt>
                <c:pt idx="4">
                  <c:v>-0.54900000000000004</c:v>
                </c:pt>
                <c:pt idx="5">
                  <c:v>-0.30499999999999999</c:v>
                </c:pt>
                <c:pt idx="6">
                  <c:v>-0.122</c:v>
                </c:pt>
                <c:pt idx="7">
                  <c:v>0.122</c:v>
                </c:pt>
                <c:pt idx="8">
                  <c:v>0.122</c:v>
                </c:pt>
                <c:pt idx="9">
                  <c:v>0.30499999999999999</c:v>
                </c:pt>
                <c:pt idx="10">
                  <c:v>0.48799999999999999</c:v>
                </c:pt>
                <c:pt idx="11">
                  <c:v>0.67100000000000004</c:v>
                </c:pt>
                <c:pt idx="12">
                  <c:v>0.79300000000000004</c:v>
                </c:pt>
                <c:pt idx="13">
                  <c:v>0.97699999999999998</c:v>
                </c:pt>
                <c:pt idx="14">
                  <c:v>1.1599999999999999</c:v>
                </c:pt>
                <c:pt idx="15">
                  <c:v>1.282</c:v>
                </c:pt>
                <c:pt idx="16">
                  <c:v>1.4039999999999999</c:v>
                </c:pt>
                <c:pt idx="17">
                  <c:v>1.6479999999999999</c:v>
                </c:pt>
                <c:pt idx="18">
                  <c:v>1.8919999999999999</c:v>
                </c:pt>
                <c:pt idx="19">
                  <c:v>2.0445000000000002</c:v>
                </c:pt>
                <c:pt idx="20">
                  <c:v>2.258</c:v>
                </c:pt>
                <c:pt idx="21">
                  <c:v>2.4409999999999998</c:v>
                </c:pt>
                <c:pt idx="22">
                  <c:v>2.6859999999999999</c:v>
                </c:pt>
                <c:pt idx="23">
                  <c:v>2.8690000000000002</c:v>
                </c:pt>
                <c:pt idx="24">
                  <c:v>2.8690000000000002</c:v>
                </c:pt>
                <c:pt idx="25">
                  <c:v>3.113</c:v>
                </c:pt>
                <c:pt idx="26">
                  <c:v>3.2959999999999998</c:v>
                </c:pt>
                <c:pt idx="27">
                  <c:v>3.3570000000000002</c:v>
                </c:pt>
                <c:pt idx="28">
                  <c:v>3.4790000000000001</c:v>
                </c:pt>
                <c:pt idx="29">
                  <c:v>3.3570000000000002</c:v>
                </c:pt>
                <c:pt idx="30">
                  <c:v>2.9910000000000001</c:v>
                </c:pt>
                <c:pt idx="31">
                  <c:v>2.4409999999999998</c:v>
                </c:pt>
                <c:pt idx="32">
                  <c:v>1.8919999999999999</c:v>
                </c:pt>
                <c:pt idx="33">
                  <c:v>1.2210000000000001</c:v>
                </c:pt>
                <c:pt idx="34">
                  <c:v>0.91600000000000004</c:v>
                </c:pt>
                <c:pt idx="35">
                  <c:v>6.0999999999999999E-2</c:v>
                </c:pt>
                <c:pt idx="36">
                  <c:v>-0.61</c:v>
                </c:pt>
                <c:pt idx="37">
                  <c:v>-0.73199999999999998</c:v>
                </c:pt>
                <c:pt idx="38">
                  <c:v>-1.2210000000000001</c:v>
                </c:pt>
                <c:pt idx="39">
                  <c:v>-1.6479999999999999</c:v>
                </c:pt>
                <c:pt idx="40">
                  <c:v>-1.9530000000000001</c:v>
                </c:pt>
                <c:pt idx="41">
                  <c:v>-2.0139999999999998</c:v>
                </c:pt>
                <c:pt idx="42">
                  <c:v>-2.1970000000000001</c:v>
                </c:pt>
                <c:pt idx="43">
                  <c:v>-2.1360000000000001</c:v>
                </c:pt>
                <c:pt idx="44">
                  <c:v>-2.5630000000000002</c:v>
                </c:pt>
                <c:pt idx="45">
                  <c:v>-2.4409999999999998</c:v>
                </c:pt>
                <c:pt idx="46">
                  <c:v>-2.6555</c:v>
                </c:pt>
                <c:pt idx="47">
                  <c:v>-2.625</c:v>
                </c:pt>
                <c:pt idx="48">
                  <c:v>-2.5630000000000002</c:v>
                </c:pt>
                <c:pt idx="49">
                  <c:v>-2.5630000000000002</c:v>
                </c:pt>
                <c:pt idx="50">
                  <c:v>-2.38</c:v>
                </c:pt>
                <c:pt idx="51">
                  <c:v>-2.258</c:v>
                </c:pt>
                <c:pt idx="52">
                  <c:v>-2.258</c:v>
                </c:pt>
                <c:pt idx="53">
                  <c:v>-2.258</c:v>
                </c:pt>
                <c:pt idx="54">
                  <c:v>-2.1360000000000001</c:v>
                </c:pt>
                <c:pt idx="55">
                  <c:v>-1.8919999999999999</c:v>
                </c:pt>
                <c:pt idx="56">
                  <c:v>-1.77</c:v>
                </c:pt>
                <c:pt idx="57">
                  <c:v>-1.526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88-4436-A4AA-084151544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90"/>
          <c:min val="-9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Angular velocity (deg/s)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30"/>
      </c:valAx>
      <c:valAx>
        <c:axId val="48650112"/>
        <c:scaling>
          <c:orientation val="minMax"/>
          <c:max val="32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9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Replacement input pitch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Angle Y (deg)</c:v>
          </c:tx>
          <c:spPr>
            <a:ln w="15875">
              <a:solidFill>
                <a:srgbClr val="8C5700"/>
              </a:solidFill>
              <a:prstDash val="solid"/>
            </a:ln>
          </c:spPr>
          <c:marker>
            <c:symbol val="none"/>
          </c:marker>
          <c:xVal>
            <c:numRef>
              <c:f>'Replacement input'!$AC$6:$AC$66</c:f>
              <c:numCache>
                <c:formatCode>General</c:formatCode>
                <c:ptCount val="61"/>
                <c:pt idx="0">
                  <c:v>12.634382799999999</c:v>
                </c:pt>
                <c:pt idx="1">
                  <c:v>41.634382800000004</c:v>
                </c:pt>
                <c:pt idx="2">
                  <c:v>102.634383</c:v>
                </c:pt>
                <c:pt idx="3">
                  <c:v>162.63438299999999</c:v>
                </c:pt>
                <c:pt idx="4">
                  <c:v>221.63438299999999</c:v>
                </c:pt>
                <c:pt idx="5">
                  <c:v>250.63438300000001</c:v>
                </c:pt>
                <c:pt idx="6">
                  <c:v>281.63438300000001</c:v>
                </c:pt>
                <c:pt idx="7">
                  <c:v>341.63438300000001</c:v>
                </c:pt>
                <c:pt idx="8">
                  <c:v>371.63438300000001</c:v>
                </c:pt>
                <c:pt idx="9">
                  <c:v>401.63438299999996</c:v>
                </c:pt>
                <c:pt idx="10">
                  <c:v>520.63438299999996</c:v>
                </c:pt>
                <c:pt idx="11">
                  <c:v>522.63438299999996</c:v>
                </c:pt>
                <c:pt idx="12">
                  <c:v>581.63438300000007</c:v>
                </c:pt>
                <c:pt idx="13">
                  <c:v>612.63438299999996</c:v>
                </c:pt>
                <c:pt idx="14">
                  <c:v>642.63438299999996</c:v>
                </c:pt>
                <c:pt idx="15">
                  <c:v>703.63438300000007</c:v>
                </c:pt>
                <c:pt idx="16">
                  <c:v>761.63438299999996</c:v>
                </c:pt>
                <c:pt idx="17">
                  <c:v>822.63438300000007</c:v>
                </c:pt>
                <c:pt idx="18">
                  <c:v>851.63438300000007</c:v>
                </c:pt>
                <c:pt idx="19">
                  <c:v>881.63438299999996</c:v>
                </c:pt>
                <c:pt idx="20">
                  <c:v>941.63438300000007</c:v>
                </c:pt>
                <c:pt idx="21">
                  <c:v>972.63438300000007</c:v>
                </c:pt>
                <c:pt idx="22">
                  <c:v>1002.63438</c:v>
                </c:pt>
                <c:pt idx="23">
                  <c:v>1092.63438</c:v>
                </c:pt>
                <c:pt idx="24">
                  <c:v>1121.63438</c:v>
                </c:pt>
                <c:pt idx="25">
                  <c:v>1181.63438</c:v>
                </c:pt>
                <c:pt idx="26">
                  <c:v>1212.63438</c:v>
                </c:pt>
                <c:pt idx="27">
                  <c:v>1242.63438</c:v>
                </c:pt>
                <c:pt idx="28">
                  <c:v>1331.63438</c:v>
                </c:pt>
                <c:pt idx="29">
                  <c:v>1362.63438</c:v>
                </c:pt>
                <c:pt idx="30">
                  <c:v>1422.6343800000002</c:v>
                </c:pt>
                <c:pt idx="31">
                  <c:v>1451.63438</c:v>
                </c:pt>
                <c:pt idx="32">
                  <c:v>1512.63438</c:v>
                </c:pt>
                <c:pt idx="33">
                  <c:v>1541.6343800000002</c:v>
                </c:pt>
                <c:pt idx="34">
                  <c:v>1571.6343800000002</c:v>
                </c:pt>
                <c:pt idx="35">
                  <c:v>1632.63438</c:v>
                </c:pt>
                <c:pt idx="36">
                  <c:v>1661.63438</c:v>
                </c:pt>
                <c:pt idx="37">
                  <c:v>1692.6343800000002</c:v>
                </c:pt>
                <c:pt idx="38">
                  <c:v>1781.63438</c:v>
                </c:pt>
                <c:pt idx="39">
                  <c:v>1811.6343800000002</c:v>
                </c:pt>
                <c:pt idx="40">
                  <c:v>1871.63438</c:v>
                </c:pt>
                <c:pt idx="41">
                  <c:v>1902.63438</c:v>
                </c:pt>
                <c:pt idx="42">
                  <c:v>1990.63438</c:v>
                </c:pt>
                <c:pt idx="43">
                  <c:v>2021.63438</c:v>
                </c:pt>
                <c:pt idx="44">
                  <c:v>2051.63438</c:v>
                </c:pt>
                <c:pt idx="45">
                  <c:v>2111.63438</c:v>
                </c:pt>
                <c:pt idx="46">
                  <c:v>2171.63438</c:v>
                </c:pt>
                <c:pt idx="47">
                  <c:v>2232.63438</c:v>
                </c:pt>
                <c:pt idx="48">
                  <c:v>2262.63438</c:v>
                </c:pt>
                <c:pt idx="49">
                  <c:v>2292.63438</c:v>
                </c:pt>
                <c:pt idx="50">
                  <c:v>2382.63438</c:v>
                </c:pt>
                <c:pt idx="51">
                  <c:v>2411.63438</c:v>
                </c:pt>
                <c:pt idx="52">
                  <c:v>2472.63438</c:v>
                </c:pt>
                <c:pt idx="53">
                  <c:v>2501.63438</c:v>
                </c:pt>
                <c:pt idx="54">
                  <c:v>2592.63438</c:v>
                </c:pt>
                <c:pt idx="55">
                  <c:v>2621.63438</c:v>
                </c:pt>
                <c:pt idx="56">
                  <c:v>2652.63438</c:v>
                </c:pt>
                <c:pt idx="57">
                  <c:v>2711.63438</c:v>
                </c:pt>
                <c:pt idx="58">
                  <c:v>2802.6343800000004</c:v>
                </c:pt>
                <c:pt idx="59">
                  <c:v>2831.63438</c:v>
                </c:pt>
                <c:pt idx="60">
                  <c:v>2862.63438</c:v>
                </c:pt>
              </c:numCache>
            </c:numRef>
          </c:xVal>
          <c:yVal>
            <c:numRef>
              <c:f>'Replacement input'!$AG$6:$AG$66</c:f>
              <c:numCache>
                <c:formatCode>General</c:formatCode>
                <c:ptCount val="61"/>
                <c:pt idx="0">
                  <c:v>3.7410000000000001</c:v>
                </c:pt>
                <c:pt idx="1">
                  <c:v>6.7839999999999998</c:v>
                </c:pt>
                <c:pt idx="2">
                  <c:v>12.827</c:v>
                </c:pt>
                <c:pt idx="3">
                  <c:v>18.885000000000002</c:v>
                </c:pt>
                <c:pt idx="4">
                  <c:v>25.01</c:v>
                </c:pt>
                <c:pt idx="5">
                  <c:v>31.327999999999999</c:v>
                </c:pt>
                <c:pt idx="6">
                  <c:v>37.749000000000002</c:v>
                </c:pt>
                <c:pt idx="7">
                  <c:v>44.198</c:v>
                </c:pt>
                <c:pt idx="8">
                  <c:v>44.198</c:v>
                </c:pt>
                <c:pt idx="9">
                  <c:v>50.691000000000003</c:v>
                </c:pt>
                <c:pt idx="10">
                  <c:v>57.155999999999999</c:v>
                </c:pt>
                <c:pt idx="11">
                  <c:v>63.698999999999998</c:v>
                </c:pt>
                <c:pt idx="12">
                  <c:v>70.159000000000006</c:v>
                </c:pt>
                <c:pt idx="13">
                  <c:v>76.465000000000003</c:v>
                </c:pt>
                <c:pt idx="14">
                  <c:v>82.375</c:v>
                </c:pt>
                <c:pt idx="15">
                  <c:v>86.950999999999993</c:v>
                </c:pt>
                <c:pt idx="16">
                  <c:v>85.331000000000003</c:v>
                </c:pt>
                <c:pt idx="17">
                  <c:v>79.997</c:v>
                </c:pt>
                <c:pt idx="18">
                  <c:v>74.091999999999999</c:v>
                </c:pt>
                <c:pt idx="19">
                  <c:v>68.070999999999998</c:v>
                </c:pt>
                <c:pt idx="20">
                  <c:v>62.106000000000002</c:v>
                </c:pt>
                <c:pt idx="21">
                  <c:v>62.106000000000002</c:v>
                </c:pt>
                <c:pt idx="22">
                  <c:v>56.167999999999999</c:v>
                </c:pt>
                <c:pt idx="23">
                  <c:v>50.295000000000002</c:v>
                </c:pt>
                <c:pt idx="24">
                  <c:v>44.445</c:v>
                </c:pt>
                <c:pt idx="25">
                  <c:v>38.633000000000003</c:v>
                </c:pt>
                <c:pt idx="26">
                  <c:v>32.661999999999999</c:v>
                </c:pt>
                <c:pt idx="27">
                  <c:v>26.581</c:v>
                </c:pt>
                <c:pt idx="28">
                  <c:v>20.352</c:v>
                </c:pt>
                <c:pt idx="29">
                  <c:v>13.925000000000001</c:v>
                </c:pt>
                <c:pt idx="30">
                  <c:v>7.2729999999999997</c:v>
                </c:pt>
                <c:pt idx="31">
                  <c:v>0.5</c:v>
                </c:pt>
                <c:pt idx="32">
                  <c:v>-6.306</c:v>
                </c:pt>
                <c:pt idx="33">
                  <c:v>-13.156000000000001</c:v>
                </c:pt>
                <c:pt idx="34">
                  <c:v>-13.156000000000001</c:v>
                </c:pt>
                <c:pt idx="35">
                  <c:v>-20.001000000000001</c:v>
                </c:pt>
                <c:pt idx="36">
                  <c:v>-26.73</c:v>
                </c:pt>
                <c:pt idx="37">
                  <c:v>-33.348999999999997</c:v>
                </c:pt>
                <c:pt idx="38">
                  <c:v>-39.720999999999997</c:v>
                </c:pt>
                <c:pt idx="39">
                  <c:v>-45.89</c:v>
                </c:pt>
                <c:pt idx="40">
                  <c:v>-52.097000000000001</c:v>
                </c:pt>
                <c:pt idx="41">
                  <c:v>-58.206000000000003</c:v>
                </c:pt>
                <c:pt idx="42">
                  <c:v>-64.165999999999997</c:v>
                </c:pt>
                <c:pt idx="43">
                  <c:v>-70.043000000000006</c:v>
                </c:pt>
                <c:pt idx="44">
                  <c:v>-75.992000000000004</c:v>
                </c:pt>
                <c:pt idx="45">
                  <c:v>-81.92</c:v>
                </c:pt>
                <c:pt idx="46">
                  <c:v>-87.83</c:v>
                </c:pt>
                <c:pt idx="47">
                  <c:v>-83.852999999999994</c:v>
                </c:pt>
                <c:pt idx="48">
                  <c:v>-77.837999999999994</c:v>
                </c:pt>
                <c:pt idx="49">
                  <c:v>-68.524500000000003</c:v>
                </c:pt>
                <c:pt idx="50">
                  <c:v>-65.402000000000001</c:v>
                </c:pt>
                <c:pt idx="51">
                  <c:v>-59.040999999999997</c:v>
                </c:pt>
                <c:pt idx="52">
                  <c:v>-52.652000000000001</c:v>
                </c:pt>
                <c:pt idx="53">
                  <c:v>-42.920999999999999</c:v>
                </c:pt>
                <c:pt idx="54">
                  <c:v>-39.628</c:v>
                </c:pt>
                <c:pt idx="55">
                  <c:v>-33.008000000000003</c:v>
                </c:pt>
                <c:pt idx="56">
                  <c:v>-26.395</c:v>
                </c:pt>
                <c:pt idx="57">
                  <c:v>-19.841000000000001</c:v>
                </c:pt>
                <c:pt idx="58">
                  <c:v>-13.321</c:v>
                </c:pt>
                <c:pt idx="59">
                  <c:v>-3.6120000000000001</c:v>
                </c:pt>
                <c:pt idx="60">
                  <c:v>-0.38500000000000001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F-40CA-9536-289B2C69D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20"/>
          <c:min val="-12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Angle (deg)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60"/>
      </c:valAx>
      <c:valAx>
        <c:axId val="48650112"/>
        <c:scaling>
          <c:orientation val="minMax"/>
          <c:max val="32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120"/>
        <c:crossBetween val="midCat"/>
        <c:majorUnit val="1000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Replacement input angular velocities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Gyro X</c:v>
          </c:tx>
          <c:spPr>
            <a:ln w="15875">
              <a:solidFill>
                <a:srgbClr val="8C5700"/>
              </a:solidFill>
              <a:prstDash val="solid"/>
            </a:ln>
          </c:spPr>
          <c:marker>
            <c:symbol val="none"/>
          </c:marker>
          <c:xVal>
            <c:numRef>
              <c:f>'Replacement input'!$AC$6:$AC$66</c:f>
              <c:numCache>
                <c:formatCode>General</c:formatCode>
                <c:ptCount val="61"/>
                <c:pt idx="0">
                  <c:v>12.634382799999999</c:v>
                </c:pt>
                <c:pt idx="1">
                  <c:v>41.634382800000004</c:v>
                </c:pt>
                <c:pt idx="2">
                  <c:v>102.634383</c:v>
                </c:pt>
                <c:pt idx="3">
                  <c:v>162.63438299999999</c:v>
                </c:pt>
                <c:pt idx="4">
                  <c:v>221.63438299999999</c:v>
                </c:pt>
                <c:pt idx="5">
                  <c:v>250.63438300000001</c:v>
                </c:pt>
                <c:pt idx="6">
                  <c:v>281.63438300000001</c:v>
                </c:pt>
                <c:pt idx="7">
                  <c:v>341.63438300000001</c:v>
                </c:pt>
                <c:pt idx="8">
                  <c:v>371.63438300000001</c:v>
                </c:pt>
                <c:pt idx="9">
                  <c:v>401.63438299999996</c:v>
                </c:pt>
                <c:pt idx="10">
                  <c:v>520.63438299999996</c:v>
                </c:pt>
                <c:pt idx="11">
                  <c:v>522.63438299999996</c:v>
                </c:pt>
                <c:pt idx="12">
                  <c:v>581.63438300000007</c:v>
                </c:pt>
                <c:pt idx="13">
                  <c:v>612.63438299999996</c:v>
                </c:pt>
                <c:pt idx="14">
                  <c:v>642.63438299999996</c:v>
                </c:pt>
                <c:pt idx="15">
                  <c:v>703.63438300000007</c:v>
                </c:pt>
                <c:pt idx="16">
                  <c:v>761.63438299999996</c:v>
                </c:pt>
                <c:pt idx="17">
                  <c:v>822.63438300000007</c:v>
                </c:pt>
                <c:pt idx="18">
                  <c:v>851.63438300000007</c:v>
                </c:pt>
                <c:pt idx="19">
                  <c:v>881.63438299999996</c:v>
                </c:pt>
                <c:pt idx="20">
                  <c:v>941.63438300000007</c:v>
                </c:pt>
                <c:pt idx="21">
                  <c:v>972.63438300000007</c:v>
                </c:pt>
                <c:pt idx="22">
                  <c:v>1002.63438</c:v>
                </c:pt>
                <c:pt idx="23">
                  <c:v>1092.63438</c:v>
                </c:pt>
                <c:pt idx="24">
                  <c:v>1121.63438</c:v>
                </c:pt>
                <c:pt idx="25">
                  <c:v>1181.63438</c:v>
                </c:pt>
                <c:pt idx="26">
                  <c:v>1212.63438</c:v>
                </c:pt>
                <c:pt idx="27">
                  <c:v>1242.63438</c:v>
                </c:pt>
                <c:pt idx="28">
                  <c:v>1331.63438</c:v>
                </c:pt>
                <c:pt idx="29">
                  <c:v>1362.63438</c:v>
                </c:pt>
                <c:pt idx="30">
                  <c:v>1422.6343800000002</c:v>
                </c:pt>
                <c:pt idx="31">
                  <c:v>1451.63438</c:v>
                </c:pt>
                <c:pt idx="32">
                  <c:v>1512.63438</c:v>
                </c:pt>
                <c:pt idx="33">
                  <c:v>1541.6343800000002</c:v>
                </c:pt>
                <c:pt idx="34">
                  <c:v>1571.6343800000002</c:v>
                </c:pt>
                <c:pt idx="35">
                  <c:v>1632.63438</c:v>
                </c:pt>
                <c:pt idx="36">
                  <c:v>1661.63438</c:v>
                </c:pt>
                <c:pt idx="37">
                  <c:v>1692.6343800000002</c:v>
                </c:pt>
                <c:pt idx="38">
                  <c:v>1781.63438</c:v>
                </c:pt>
                <c:pt idx="39">
                  <c:v>1811.6343800000002</c:v>
                </c:pt>
                <c:pt idx="40">
                  <c:v>1871.63438</c:v>
                </c:pt>
                <c:pt idx="41">
                  <c:v>1902.63438</c:v>
                </c:pt>
                <c:pt idx="42">
                  <c:v>1990.63438</c:v>
                </c:pt>
                <c:pt idx="43">
                  <c:v>2021.63438</c:v>
                </c:pt>
                <c:pt idx="44">
                  <c:v>2051.63438</c:v>
                </c:pt>
                <c:pt idx="45">
                  <c:v>2111.63438</c:v>
                </c:pt>
                <c:pt idx="46">
                  <c:v>2171.63438</c:v>
                </c:pt>
                <c:pt idx="47">
                  <c:v>2232.63438</c:v>
                </c:pt>
                <c:pt idx="48">
                  <c:v>2262.63438</c:v>
                </c:pt>
                <c:pt idx="49">
                  <c:v>2292.63438</c:v>
                </c:pt>
                <c:pt idx="50">
                  <c:v>2382.63438</c:v>
                </c:pt>
                <c:pt idx="51">
                  <c:v>2411.63438</c:v>
                </c:pt>
                <c:pt idx="52">
                  <c:v>2472.63438</c:v>
                </c:pt>
                <c:pt idx="53">
                  <c:v>2501.63438</c:v>
                </c:pt>
                <c:pt idx="54">
                  <c:v>2592.63438</c:v>
                </c:pt>
                <c:pt idx="55">
                  <c:v>2621.63438</c:v>
                </c:pt>
                <c:pt idx="56">
                  <c:v>2652.63438</c:v>
                </c:pt>
                <c:pt idx="57">
                  <c:v>2711.63438</c:v>
                </c:pt>
                <c:pt idx="58">
                  <c:v>2802.6343800000004</c:v>
                </c:pt>
                <c:pt idx="59">
                  <c:v>2831.63438</c:v>
                </c:pt>
                <c:pt idx="60">
                  <c:v>2862.63438</c:v>
                </c:pt>
              </c:numCache>
            </c:numRef>
          </c:xVal>
          <c:yVal>
            <c:numRef>
              <c:f>'Replacement input'!$AD$6:$AD$66</c:f>
              <c:numCache>
                <c:formatCode>General</c:formatCode>
                <c:ptCount val="61"/>
                <c:pt idx="0">
                  <c:v>3.6619999999999999</c:v>
                </c:pt>
                <c:pt idx="1">
                  <c:v>3.6619999999999999</c:v>
                </c:pt>
                <c:pt idx="2">
                  <c:v>3.601</c:v>
                </c:pt>
                <c:pt idx="3">
                  <c:v>3.6619999999999999</c:v>
                </c:pt>
                <c:pt idx="4">
                  <c:v>3.7839999999999998</c:v>
                </c:pt>
                <c:pt idx="5">
                  <c:v>3.9670000000000001</c:v>
                </c:pt>
                <c:pt idx="6">
                  <c:v>4.1500000000000004</c:v>
                </c:pt>
                <c:pt idx="7">
                  <c:v>3.9670000000000001</c:v>
                </c:pt>
                <c:pt idx="8">
                  <c:v>3.9670000000000001</c:v>
                </c:pt>
                <c:pt idx="9">
                  <c:v>4.2110000000000003</c:v>
                </c:pt>
                <c:pt idx="10">
                  <c:v>3.8450000000000002</c:v>
                </c:pt>
                <c:pt idx="11">
                  <c:v>4.1500000000000004</c:v>
                </c:pt>
                <c:pt idx="12">
                  <c:v>4.2110000000000003</c:v>
                </c:pt>
                <c:pt idx="13">
                  <c:v>3.8450000000000002</c:v>
                </c:pt>
                <c:pt idx="14">
                  <c:v>3.6619999999999999</c:v>
                </c:pt>
                <c:pt idx="15">
                  <c:v>3.7839999999999998</c:v>
                </c:pt>
                <c:pt idx="16">
                  <c:v>3.601</c:v>
                </c:pt>
                <c:pt idx="17">
                  <c:v>3.7229999999999999</c:v>
                </c:pt>
                <c:pt idx="18">
                  <c:v>3.7229999999999999</c:v>
                </c:pt>
                <c:pt idx="19">
                  <c:v>3.601</c:v>
                </c:pt>
                <c:pt idx="20">
                  <c:v>3.601</c:v>
                </c:pt>
                <c:pt idx="21">
                  <c:v>3.601</c:v>
                </c:pt>
                <c:pt idx="22">
                  <c:v>3.8450000000000002</c:v>
                </c:pt>
                <c:pt idx="23">
                  <c:v>3.6619999999999999</c:v>
                </c:pt>
                <c:pt idx="24">
                  <c:v>3.6619999999999999</c:v>
                </c:pt>
                <c:pt idx="25">
                  <c:v>3.7229999999999999</c:v>
                </c:pt>
                <c:pt idx="26">
                  <c:v>3.54</c:v>
                </c:pt>
                <c:pt idx="27">
                  <c:v>3.601</c:v>
                </c:pt>
                <c:pt idx="28">
                  <c:v>3.7229999999999999</c:v>
                </c:pt>
                <c:pt idx="29">
                  <c:v>4.1500000000000004</c:v>
                </c:pt>
                <c:pt idx="30">
                  <c:v>4.2110000000000003</c:v>
                </c:pt>
                <c:pt idx="31">
                  <c:v>4.2720000000000002</c:v>
                </c:pt>
                <c:pt idx="32">
                  <c:v>4.1500000000000004</c:v>
                </c:pt>
                <c:pt idx="33">
                  <c:v>4.2110000000000003</c:v>
                </c:pt>
                <c:pt idx="34">
                  <c:v>4.2110000000000003</c:v>
                </c:pt>
                <c:pt idx="35">
                  <c:v>4.2110000000000003</c:v>
                </c:pt>
                <c:pt idx="36">
                  <c:v>4.2720000000000002</c:v>
                </c:pt>
                <c:pt idx="37">
                  <c:v>3.9060000000000001</c:v>
                </c:pt>
                <c:pt idx="38">
                  <c:v>3.6619999999999999</c:v>
                </c:pt>
                <c:pt idx="39">
                  <c:v>3.9060000000000001</c:v>
                </c:pt>
                <c:pt idx="40">
                  <c:v>3.7839999999999998</c:v>
                </c:pt>
                <c:pt idx="41">
                  <c:v>3.601</c:v>
                </c:pt>
                <c:pt idx="42">
                  <c:v>3.54</c:v>
                </c:pt>
                <c:pt idx="43">
                  <c:v>3.601</c:v>
                </c:pt>
                <c:pt idx="44">
                  <c:v>3.601</c:v>
                </c:pt>
                <c:pt idx="45">
                  <c:v>3.54</c:v>
                </c:pt>
                <c:pt idx="46">
                  <c:v>3.601</c:v>
                </c:pt>
                <c:pt idx="47">
                  <c:v>3.7229999999999999</c:v>
                </c:pt>
                <c:pt idx="48">
                  <c:v>3.6619999999999999</c:v>
                </c:pt>
                <c:pt idx="49">
                  <c:v>3.9060000000000001</c:v>
                </c:pt>
                <c:pt idx="50">
                  <c:v>3.8450000000000002</c:v>
                </c:pt>
                <c:pt idx="51">
                  <c:v>3.7839999999999998</c:v>
                </c:pt>
                <c:pt idx="52">
                  <c:v>3.9670000000000001</c:v>
                </c:pt>
                <c:pt idx="53">
                  <c:v>4.0585000000000004</c:v>
                </c:pt>
                <c:pt idx="54">
                  <c:v>4.1500000000000004</c:v>
                </c:pt>
                <c:pt idx="55">
                  <c:v>3.9670000000000001</c:v>
                </c:pt>
                <c:pt idx="56">
                  <c:v>3.9060000000000001</c:v>
                </c:pt>
                <c:pt idx="57">
                  <c:v>3.9670000000000001</c:v>
                </c:pt>
                <c:pt idx="58">
                  <c:v>3.9060000000000001</c:v>
                </c:pt>
                <c:pt idx="59">
                  <c:v>3.9975000000000001</c:v>
                </c:pt>
                <c:pt idx="60">
                  <c:v>4.0279999999999996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6-448C-AAA9-E93AE9BEB502}"/>
            </c:ext>
          </c:extLst>
        </c:ser>
        <c:ser>
          <c:idx val="1"/>
          <c:order val="1"/>
          <c:tx>
            <c:v>Gyro Y</c:v>
          </c:tx>
          <c:spPr>
            <a:ln w="15875">
              <a:solidFill>
                <a:srgbClr val="157A54"/>
              </a:solidFill>
              <a:prstDash val="solid"/>
            </a:ln>
          </c:spPr>
          <c:marker>
            <c:symbol val="none"/>
          </c:marker>
          <c:xVal>
            <c:numRef>
              <c:f>'Replacement input'!$AC$6:$AC$66</c:f>
              <c:numCache>
                <c:formatCode>General</c:formatCode>
                <c:ptCount val="61"/>
                <c:pt idx="0">
                  <c:v>12.634382799999999</c:v>
                </c:pt>
                <c:pt idx="1">
                  <c:v>41.634382800000004</c:v>
                </c:pt>
                <c:pt idx="2">
                  <c:v>102.634383</c:v>
                </c:pt>
                <c:pt idx="3">
                  <c:v>162.63438299999999</c:v>
                </c:pt>
                <c:pt idx="4">
                  <c:v>221.63438299999999</c:v>
                </c:pt>
                <c:pt idx="5">
                  <c:v>250.63438300000001</c:v>
                </c:pt>
                <c:pt idx="6">
                  <c:v>281.63438300000001</c:v>
                </c:pt>
                <c:pt idx="7">
                  <c:v>341.63438300000001</c:v>
                </c:pt>
                <c:pt idx="8">
                  <c:v>371.63438300000001</c:v>
                </c:pt>
                <c:pt idx="9">
                  <c:v>401.63438299999996</c:v>
                </c:pt>
                <c:pt idx="10">
                  <c:v>520.63438299999996</c:v>
                </c:pt>
                <c:pt idx="11">
                  <c:v>522.63438299999996</c:v>
                </c:pt>
                <c:pt idx="12">
                  <c:v>581.63438300000007</c:v>
                </c:pt>
                <c:pt idx="13">
                  <c:v>612.63438299999996</c:v>
                </c:pt>
                <c:pt idx="14">
                  <c:v>642.63438299999996</c:v>
                </c:pt>
                <c:pt idx="15">
                  <c:v>703.63438300000007</c:v>
                </c:pt>
                <c:pt idx="16">
                  <c:v>761.63438299999996</c:v>
                </c:pt>
                <c:pt idx="17">
                  <c:v>822.63438300000007</c:v>
                </c:pt>
                <c:pt idx="18">
                  <c:v>851.63438300000007</c:v>
                </c:pt>
                <c:pt idx="19">
                  <c:v>881.63438299999996</c:v>
                </c:pt>
                <c:pt idx="20">
                  <c:v>941.63438300000007</c:v>
                </c:pt>
                <c:pt idx="21">
                  <c:v>972.63438300000007</c:v>
                </c:pt>
                <c:pt idx="22">
                  <c:v>1002.63438</c:v>
                </c:pt>
                <c:pt idx="23">
                  <c:v>1092.63438</c:v>
                </c:pt>
                <c:pt idx="24">
                  <c:v>1121.63438</c:v>
                </c:pt>
                <c:pt idx="25">
                  <c:v>1181.63438</c:v>
                </c:pt>
                <c:pt idx="26">
                  <c:v>1212.63438</c:v>
                </c:pt>
                <c:pt idx="27">
                  <c:v>1242.63438</c:v>
                </c:pt>
                <c:pt idx="28">
                  <c:v>1331.63438</c:v>
                </c:pt>
                <c:pt idx="29">
                  <c:v>1362.63438</c:v>
                </c:pt>
                <c:pt idx="30">
                  <c:v>1422.6343800000002</c:v>
                </c:pt>
                <c:pt idx="31">
                  <c:v>1451.63438</c:v>
                </c:pt>
                <c:pt idx="32">
                  <c:v>1512.63438</c:v>
                </c:pt>
                <c:pt idx="33">
                  <c:v>1541.6343800000002</c:v>
                </c:pt>
                <c:pt idx="34">
                  <c:v>1571.6343800000002</c:v>
                </c:pt>
                <c:pt idx="35">
                  <c:v>1632.63438</c:v>
                </c:pt>
                <c:pt idx="36">
                  <c:v>1661.63438</c:v>
                </c:pt>
                <c:pt idx="37">
                  <c:v>1692.6343800000002</c:v>
                </c:pt>
                <c:pt idx="38">
                  <c:v>1781.63438</c:v>
                </c:pt>
                <c:pt idx="39">
                  <c:v>1811.6343800000002</c:v>
                </c:pt>
                <c:pt idx="40">
                  <c:v>1871.63438</c:v>
                </c:pt>
                <c:pt idx="41">
                  <c:v>1902.63438</c:v>
                </c:pt>
                <c:pt idx="42">
                  <c:v>1990.63438</c:v>
                </c:pt>
                <c:pt idx="43">
                  <c:v>2021.63438</c:v>
                </c:pt>
                <c:pt idx="44">
                  <c:v>2051.63438</c:v>
                </c:pt>
                <c:pt idx="45">
                  <c:v>2111.63438</c:v>
                </c:pt>
                <c:pt idx="46">
                  <c:v>2171.63438</c:v>
                </c:pt>
                <c:pt idx="47">
                  <c:v>2232.63438</c:v>
                </c:pt>
                <c:pt idx="48">
                  <c:v>2262.63438</c:v>
                </c:pt>
                <c:pt idx="49">
                  <c:v>2292.63438</c:v>
                </c:pt>
                <c:pt idx="50">
                  <c:v>2382.63438</c:v>
                </c:pt>
                <c:pt idx="51">
                  <c:v>2411.63438</c:v>
                </c:pt>
                <c:pt idx="52">
                  <c:v>2472.63438</c:v>
                </c:pt>
                <c:pt idx="53">
                  <c:v>2501.63438</c:v>
                </c:pt>
                <c:pt idx="54">
                  <c:v>2592.63438</c:v>
                </c:pt>
                <c:pt idx="55">
                  <c:v>2621.63438</c:v>
                </c:pt>
                <c:pt idx="56">
                  <c:v>2652.63438</c:v>
                </c:pt>
                <c:pt idx="57">
                  <c:v>2711.63438</c:v>
                </c:pt>
                <c:pt idx="58">
                  <c:v>2802.6343800000004</c:v>
                </c:pt>
                <c:pt idx="59">
                  <c:v>2831.63438</c:v>
                </c:pt>
                <c:pt idx="60">
                  <c:v>2862.63438</c:v>
                </c:pt>
              </c:numCache>
            </c:numRef>
          </c:xVal>
          <c:yVal>
            <c:numRef>
              <c:f>'Replacement input'!$AE$6:$AE$66</c:f>
              <c:numCache>
                <c:formatCode>General</c:formatCode>
                <c:ptCount val="61"/>
                <c:pt idx="0">
                  <c:v>-0.82350000000000001</c:v>
                </c:pt>
                <c:pt idx="1">
                  <c:v>-0.79300000000000004</c:v>
                </c:pt>
                <c:pt idx="2">
                  <c:v>-0.61</c:v>
                </c:pt>
                <c:pt idx="3">
                  <c:v>-0.67100000000000004</c:v>
                </c:pt>
                <c:pt idx="4">
                  <c:v>-0.79300000000000004</c:v>
                </c:pt>
                <c:pt idx="5">
                  <c:v>-0.73199999999999998</c:v>
                </c:pt>
                <c:pt idx="6">
                  <c:v>-0.79300000000000004</c:v>
                </c:pt>
                <c:pt idx="7">
                  <c:v>-0.79300000000000004</c:v>
                </c:pt>
                <c:pt idx="8">
                  <c:v>-0.79300000000000004</c:v>
                </c:pt>
                <c:pt idx="9">
                  <c:v>-0.67100000000000004</c:v>
                </c:pt>
                <c:pt idx="10">
                  <c:v>-1.099</c:v>
                </c:pt>
                <c:pt idx="11">
                  <c:v>-0.61</c:v>
                </c:pt>
                <c:pt idx="12">
                  <c:v>-0.42699999999999999</c:v>
                </c:pt>
                <c:pt idx="13">
                  <c:v>-0.73199999999999998</c:v>
                </c:pt>
                <c:pt idx="14">
                  <c:v>-1.343</c:v>
                </c:pt>
                <c:pt idx="15">
                  <c:v>-1.1599999999999999</c:v>
                </c:pt>
                <c:pt idx="16">
                  <c:v>-0.73199999999999998</c:v>
                </c:pt>
                <c:pt idx="17">
                  <c:v>-0.54900000000000004</c:v>
                </c:pt>
                <c:pt idx="18">
                  <c:v>-0.61</c:v>
                </c:pt>
                <c:pt idx="19">
                  <c:v>-0.61</c:v>
                </c:pt>
                <c:pt idx="20">
                  <c:v>-0.73199999999999998</c:v>
                </c:pt>
                <c:pt idx="21">
                  <c:v>-0.73199999999999998</c:v>
                </c:pt>
                <c:pt idx="22">
                  <c:v>-0.91600000000000004</c:v>
                </c:pt>
                <c:pt idx="23">
                  <c:v>-0.85399999999999998</c:v>
                </c:pt>
                <c:pt idx="24">
                  <c:v>-0.85399999999999998</c:v>
                </c:pt>
                <c:pt idx="25">
                  <c:v>-0.79300000000000004</c:v>
                </c:pt>
                <c:pt idx="26">
                  <c:v>-0.85399999999999998</c:v>
                </c:pt>
                <c:pt idx="27">
                  <c:v>-0.85399999999999998</c:v>
                </c:pt>
                <c:pt idx="28">
                  <c:v>-0.73199999999999998</c:v>
                </c:pt>
                <c:pt idx="29">
                  <c:v>-0.79300000000000004</c:v>
                </c:pt>
                <c:pt idx="30">
                  <c:v>-0.67100000000000004</c:v>
                </c:pt>
                <c:pt idx="31">
                  <c:v>-0.91600000000000004</c:v>
                </c:pt>
                <c:pt idx="32">
                  <c:v>-1.099</c:v>
                </c:pt>
                <c:pt idx="33">
                  <c:v>-0.85399999999999998</c:v>
                </c:pt>
                <c:pt idx="34">
                  <c:v>-0.85399999999999998</c:v>
                </c:pt>
                <c:pt idx="35">
                  <c:v>-0.91600000000000004</c:v>
                </c:pt>
                <c:pt idx="36">
                  <c:v>-1.099</c:v>
                </c:pt>
                <c:pt idx="37">
                  <c:v>-0.79300000000000004</c:v>
                </c:pt>
                <c:pt idx="38">
                  <c:v>-0.61</c:v>
                </c:pt>
                <c:pt idx="39">
                  <c:v>-1.038</c:v>
                </c:pt>
                <c:pt idx="40">
                  <c:v>-0.85399999999999998</c:v>
                </c:pt>
                <c:pt idx="41">
                  <c:v>-0.73199999999999998</c:v>
                </c:pt>
                <c:pt idx="42">
                  <c:v>-0.79300000000000004</c:v>
                </c:pt>
                <c:pt idx="43">
                  <c:v>-0.79300000000000004</c:v>
                </c:pt>
                <c:pt idx="44">
                  <c:v>-0.79300000000000004</c:v>
                </c:pt>
                <c:pt idx="45">
                  <c:v>-0.67100000000000004</c:v>
                </c:pt>
                <c:pt idx="46">
                  <c:v>-0.61</c:v>
                </c:pt>
                <c:pt idx="47">
                  <c:v>-0.67100000000000004</c:v>
                </c:pt>
                <c:pt idx="48">
                  <c:v>-0.79300000000000004</c:v>
                </c:pt>
                <c:pt idx="49">
                  <c:v>-0.82399999999999995</c:v>
                </c:pt>
                <c:pt idx="50">
                  <c:v>-0.91600000000000004</c:v>
                </c:pt>
                <c:pt idx="51">
                  <c:v>-0.91600000000000004</c:v>
                </c:pt>
                <c:pt idx="52">
                  <c:v>-0.85399999999999998</c:v>
                </c:pt>
                <c:pt idx="53">
                  <c:v>-0.76249999999999996</c:v>
                </c:pt>
                <c:pt idx="54">
                  <c:v>-0.67100000000000004</c:v>
                </c:pt>
                <c:pt idx="55">
                  <c:v>-0.91600000000000004</c:v>
                </c:pt>
                <c:pt idx="56">
                  <c:v>-0.97699999999999998</c:v>
                </c:pt>
                <c:pt idx="57">
                  <c:v>-0.73199999999999998</c:v>
                </c:pt>
                <c:pt idx="58">
                  <c:v>-0.79300000000000004</c:v>
                </c:pt>
                <c:pt idx="59">
                  <c:v>-0.85450000000000004</c:v>
                </c:pt>
                <c:pt idx="60">
                  <c:v>-1.038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D6-448C-AAA9-E93AE9BEB502}"/>
            </c:ext>
          </c:extLst>
        </c:ser>
        <c:ser>
          <c:idx val="2"/>
          <c:order val="2"/>
          <c:tx>
            <c:v>Gyro Z</c:v>
          </c:tx>
          <c:spPr>
            <a:ln w="15875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'Replacement input'!$AC$6:$AC$66</c:f>
              <c:numCache>
                <c:formatCode>General</c:formatCode>
                <c:ptCount val="61"/>
                <c:pt idx="0">
                  <c:v>12.634382799999999</c:v>
                </c:pt>
                <c:pt idx="1">
                  <c:v>41.634382800000004</c:v>
                </c:pt>
                <c:pt idx="2">
                  <c:v>102.634383</c:v>
                </c:pt>
                <c:pt idx="3">
                  <c:v>162.63438299999999</c:v>
                </c:pt>
                <c:pt idx="4">
                  <c:v>221.63438299999999</c:v>
                </c:pt>
                <c:pt idx="5">
                  <c:v>250.63438300000001</c:v>
                </c:pt>
                <c:pt idx="6">
                  <c:v>281.63438300000001</c:v>
                </c:pt>
                <c:pt idx="7">
                  <c:v>341.63438300000001</c:v>
                </c:pt>
                <c:pt idx="8">
                  <c:v>371.63438300000001</c:v>
                </c:pt>
                <c:pt idx="9">
                  <c:v>401.63438299999996</c:v>
                </c:pt>
                <c:pt idx="10">
                  <c:v>520.63438299999996</c:v>
                </c:pt>
                <c:pt idx="11">
                  <c:v>522.63438299999996</c:v>
                </c:pt>
                <c:pt idx="12">
                  <c:v>581.63438300000007</c:v>
                </c:pt>
                <c:pt idx="13">
                  <c:v>612.63438299999996</c:v>
                </c:pt>
                <c:pt idx="14">
                  <c:v>642.63438299999996</c:v>
                </c:pt>
                <c:pt idx="15">
                  <c:v>703.63438300000007</c:v>
                </c:pt>
                <c:pt idx="16">
                  <c:v>761.63438299999996</c:v>
                </c:pt>
                <c:pt idx="17">
                  <c:v>822.63438300000007</c:v>
                </c:pt>
                <c:pt idx="18">
                  <c:v>851.63438300000007</c:v>
                </c:pt>
                <c:pt idx="19">
                  <c:v>881.63438299999996</c:v>
                </c:pt>
                <c:pt idx="20">
                  <c:v>941.63438300000007</c:v>
                </c:pt>
                <c:pt idx="21">
                  <c:v>972.63438300000007</c:v>
                </c:pt>
                <c:pt idx="22">
                  <c:v>1002.63438</c:v>
                </c:pt>
                <c:pt idx="23">
                  <c:v>1092.63438</c:v>
                </c:pt>
                <c:pt idx="24">
                  <c:v>1121.63438</c:v>
                </c:pt>
                <c:pt idx="25">
                  <c:v>1181.63438</c:v>
                </c:pt>
                <c:pt idx="26">
                  <c:v>1212.63438</c:v>
                </c:pt>
                <c:pt idx="27">
                  <c:v>1242.63438</c:v>
                </c:pt>
                <c:pt idx="28">
                  <c:v>1331.63438</c:v>
                </c:pt>
                <c:pt idx="29">
                  <c:v>1362.63438</c:v>
                </c:pt>
                <c:pt idx="30">
                  <c:v>1422.6343800000002</c:v>
                </c:pt>
                <c:pt idx="31">
                  <c:v>1451.63438</c:v>
                </c:pt>
                <c:pt idx="32">
                  <c:v>1512.63438</c:v>
                </c:pt>
                <c:pt idx="33">
                  <c:v>1541.6343800000002</c:v>
                </c:pt>
                <c:pt idx="34">
                  <c:v>1571.6343800000002</c:v>
                </c:pt>
                <c:pt idx="35">
                  <c:v>1632.63438</c:v>
                </c:pt>
                <c:pt idx="36">
                  <c:v>1661.63438</c:v>
                </c:pt>
                <c:pt idx="37">
                  <c:v>1692.6343800000002</c:v>
                </c:pt>
                <c:pt idx="38">
                  <c:v>1781.63438</c:v>
                </c:pt>
                <c:pt idx="39">
                  <c:v>1811.6343800000002</c:v>
                </c:pt>
                <c:pt idx="40">
                  <c:v>1871.63438</c:v>
                </c:pt>
                <c:pt idx="41">
                  <c:v>1902.63438</c:v>
                </c:pt>
                <c:pt idx="42">
                  <c:v>1990.63438</c:v>
                </c:pt>
                <c:pt idx="43">
                  <c:v>2021.63438</c:v>
                </c:pt>
                <c:pt idx="44">
                  <c:v>2051.63438</c:v>
                </c:pt>
                <c:pt idx="45">
                  <c:v>2111.63438</c:v>
                </c:pt>
                <c:pt idx="46">
                  <c:v>2171.63438</c:v>
                </c:pt>
                <c:pt idx="47">
                  <c:v>2232.63438</c:v>
                </c:pt>
                <c:pt idx="48">
                  <c:v>2262.63438</c:v>
                </c:pt>
                <c:pt idx="49">
                  <c:v>2292.63438</c:v>
                </c:pt>
                <c:pt idx="50">
                  <c:v>2382.63438</c:v>
                </c:pt>
                <c:pt idx="51">
                  <c:v>2411.63438</c:v>
                </c:pt>
                <c:pt idx="52">
                  <c:v>2472.63438</c:v>
                </c:pt>
                <c:pt idx="53">
                  <c:v>2501.63438</c:v>
                </c:pt>
                <c:pt idx="54">
                  <c:v>2592.63438</c:v>
                </c:pt>
                <c:pt idx="55">
                  <c:v>2621.63438</c:v>
                </c:pt>
                <c:pt idx="56">
                  <c:v>2652.63438</c:v>
                </c:pt>
                <c:pt idx="57">
                  <c:v>2711.63438</c:v>
                </c:pt>
                <c:pt idx="58">
                  <c:v>2802.6343800000004</c:v>
                </c:pt>
                <c:pt idx="59">
                  <c:v>2831.63438</c:v>
                </c:pt>
                <c:pt idx="60">
                  <c:v>2862.63438</c:v>
                </c:pt>
              </c:numCache>
            </c:numRef>
          </c:xVal>
          <c:yVal>
            <c:numRef>
              <c:f>'Replacement input'!$AF$6:$AF$66</c:f>
              <c:numCache>
                <c:formatCode>General</c:formatCode>
                <c:ptCount val="61"/>
                <c:pt idx="0">
                  <c:v>-120.6665</c:v>
                </c:pt>
                <c:pt idx="1">
                  <c:v>-120.483</c:v>
                </c:pt>
                <c:pt idx="2">
                  <c:v>-118.34699999999999</c:v>
                </c:pt>
                <c:pt idx="3">
                  <c:v>-119.812</c:v>
                </c:pt>
                <c:pt idx="4">
                  <c:v>-122.559</c:v>
                </c:pt>
                <c:pt idx="5">
                  <c:v>-127.502</c:v>
                </c:pt>
                <c:pt idx="6">
                  <c:v>-129.578</c:v>
                </c:pt>
                <c:pt idx="7">
                  <c:v>-127.502</c:v>
                </c:pt>
                <c:pt idx="8">
                  <c:v>-127.502</c:v>
                </c:pt>
                <c:pt idx="9">
                  <c:v>-128.78399999999999</c:v>
                </c:pt>
                <c:pt idx="10">
                  <c:v>-129.27199999999999</c:v>
                </c:pt>
                <c:pt idx="11">
                  <c:v>-130.61500000000001</c:v>
                </c:pt>
                <c:pt idx="12">
                  <c:v>-129.94399999999999</c:v>
                </c:pt>
                <c:pt idx="13">
                  <c:v>-123.596</c:v>
                </c:pt>
                <c:pt idx="14">
                  <c:v>-122.559</c:v>
                </c:pt>
                <c:pt idx="15">
                  <c:v>-121.521</c:v>
                </c:pt>
                <c:pt idx="16">
                  <c:v>-121.09399999999999</c:v>
                </c:pt>
                <c:pt idx="17">
                  <c:v>-123.108</c:v>
                </c:pt>
                <c:pt idx="18">
                  <c:v>-121.58199999999999</c:v>
                </c:pt>
                <c:pt idx="19">
                  <c:v>-121.033</c:v>
                </c:pt>
                <c:pt idx="20">
                  <c:v>-117.371</c:v>
                </c:pt>
                <c:pt idx="21">
                  <c:v>-117.371</c:v>
                </c:pt>
                <c:pt idx="22">
                  <c:v>-117.798</c:v>
                </c:pt>
                <c:pt idx="23">
                  <c:v>-116.211</c:v>
                </c:pt>
                <c:pt idx="24">
                  <c:v>-115.35599999999999</c:v>
                </c:pt>
                <c:pt idx="25">
                  <c:v>-116.88200000000001</c:v>
                </c:pt>
                <c:pt idx="26">
                  <c:v>-119.568</c:v>
                </c:pt>
                <c:pt idx="27">
                  <c:v>-123.047</c:v>
                </c:pt>
                <c:pt idx="28">
                  <c:v>-124.93899999999999</c:v>
                </c:pt>
                <c:pt idx="29">
                  <c:v>-130.005</c:v>
                </c:pt>
                <c:pt idx="30">
                  <c:v>-132.874</c:v>
                </c:pt>
                <c:pt idx="31">
                  <c:v>-134.64400000000001</c:v>
                </c:pt>
                <c:pt idx="32">
                  <c:v>-137.024</c:v>
                </c:pt>
                <c:pt idx="33">
                  <c:v>-135.315</c:v>
                </c:pt>
                <c:pt idx="34">
                  <c:v>-135.315</c:v>
                </c:pt>
                <c:pt idx="35">
                  <c:v>-134.52099999999999</c:v>
                </c:pt>
                <c:pt idx="36">
                  <c:v>-134.03299999999999</c:v>
                </c:pt>
                <c:pt idx="37">
                  <c:v>-129.089</c:v>
                </c:pt>
                <c:pt idx="38">
                  <c:v>-123.901</c:v>
                </c:pt>
                <c:pt idx="39">
                  <c:v>-121.521</c:v>
                </c:pt>
                <c:pt idx="40">
                  <c:v>-122.19199999999999</c:v>
                </c:pt>
                <c:pt idx="41">
                  <c:v>-119.812</c:v>
                </c:pt>
                <c:pt idx="42">
                  <c:v>-116.943</c:v>
                </c:pt>
                <c:pt idx="43">
                  <c:v>-118.042</c:v>
                </c:pt>
                <c:pt idx="44">
                  <c:v>-117.371</c:v>
                </c:pt>
                <c:pt idx="45">
                  <c:v>-117.432</c:v>
                </c:pt>
                <c:pt idx="46">
                  <c:v>-116.02800000000001</c:v>
                </c:pt>
                <c:pt idx="47">
                  <c:v>-117.676</c:v>
                </c:pt>
                <c:pt idx="48">
                  <c:v>-120.3</c:v>
                </c:pt>
                <c:pt idx="49">
                  <c:v>-124.35899999999999</c:v>
                </c:pt>
                <c:pt idx="50">
                  <c:v>-125.54900000000001</c:v>
                </c:pt>
                <c:pt idx="51">
                  <c:v>-126.526</c:v>
                </c:pt>
                <c:pt idx="52">
                  <c:v>-127.258</c:v>
                </c:pt>
                <c:pt idx="53">
                  <c:v>-129.4555</c:v>
                </c:pt>
                <c:pt idx="54">
                  <c:v>-130.85900000000001</c:v>
                </c:pt>
                <c:pt idx="55">
                  <c:v>-131.40899999999999</c:v>
                </c:pt>
                <c:pt idx="56">
                  <c:v>-129.578</c:v>
                </c:pt>
                <c:pt idx="57">
                  <c:v>-130.61500000000001</c:v>
                </c:pt>
                <c:pt idx="58">
                  <c:v>-127.502</c:v>
                </c:pt>
                <c:pt idx="59">
                  <c:v>-129.45599999999999</c:v>
                </c:pt>
                <c:pt idx="60">
                  <c:v>-131.10400000000001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D6-448C-AAA9-E93AE9BEB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50"/>
          <c:min val="-15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Angular velocity (deg/s)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50"/>
      </c:valAx>
      <c:valAx>
        <c:axId val="48650112"/>
        <c:scaling>
          <c:orientation val="minMax"/>
          <c:max val="32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15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Replacement input Euler angles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Angle X</c:v>
          </c:tx>
          <c:spPr>
            <a:ln w="15875">
              <a:solidFill>
                <a:srgbClr val="8C5700"/>
              </a:solidFill>
              <a:prstDash val="solid"/>
            </a:ln>
          </c:spPr>
          <c:marker>
            <c:symbol val="none"/>
          </c:marker>
          <c:xVal>
            <c:numRef>
              <c:f>'Replacement input'!$AC$6:$AC$66</c:f>
              <c:numCache>
                <c:formatCode>General</c:formatCode>
                <c:ptCount val="61"/>
                <c:pt idx="0">
                  <c:v>12.634382799999999</c:v>
                </c:pt>
                <c:pt idx="1">
                  <c:v>41.634382800000004</c:v>
                </c:pt>
                <c:pt idx="2">
                  <c:v>102.634383</c:v>
                </c:pt>
                <c:pt idx="3">
                  <c:v>162.63438299999999</c:v>
                </c:pt>
                <c:pt idx="4">
                  <c:v>221.63438299999999</c:v>
                </c:pt>
                <c:pt idx="5">
                  <c:v>250.63438300000001</c:v>
                </c:pt>
                <c:pt idx="6">
                  <c:v>281.63438300000001</c:v>
                </c:pt>
                <c:pt idx="7">
                  <c:v>341.63438300000001</c:v>
                </c:pt>
                <c:pt idx="8">
                  <c:v>371.63438300000001</c:v>
                </c:pt>
                <c:pt idx="9">
                  <c:v>401.63438299999996</c:v>
                </c:pt>
                <c:pt idx="10">
                  <c:v>520.63438299999996</c:v>
                </c:pt>
                <c:pt idx="11">
                  <c:v>522.63438299999996</c:v>
                </c:pt>
                <c:pt idx="12">
                  <c:v>581.63438300000007</c:v>
                </c:pt>
                <c:pt idx="13">
                  <c:v>612.63438299999996</c:v>
                </c:pt>
                <c:pt idx="14">
                  <c:v>642.63438299999996</c:v>
                </c:pt>
                <c:pt idx="15">
                  <c:v>703.63438300000007</c:v>
                </c:pt>
                <c:pt idx="16">
                  <c:v>761.63438299999996</c:v>
                </c:pt>
                <c:pt idx="17">
                  <c:v>822.63438300000007</c:v>
                </c:pt>
                <c:pt idx="18">
                  <c:v>851.63438300000007</c:v>
                </c:pt>
                <c:pt idx="19">
                  <c:v>881.63438299999996</c:v>
                </c:pt>
                <c:pt idx="20">
                  <c:v>941.63438300000007</c:v>
                </c:pt>
                <c:pt idx="21">
                  <c:v>972.63438300000007</c:v>
                </c:pt>
                <c:pt idx="22">
                  <c:v>1002.63438</c:v>
                </c:pt>
                <c:pt idx="23">
                  <c:v>1092.63438</c:v>
                </c:pt>
                <c:pt idx="24">
                  <c:v>1121.63438</c:v>
                </c:pt>
                <c:pt idx="25">
                  <c:v>1181.63438</c:v>
                </c:pt>
                <c:pt idx="26">
                  <c:v>1212.63438</c:v>
                </c:pt>
                <c:pt idx="27">
                  <c:v>1242.63438</c:v>
                </c:pt>
                <c:pt idx="28">
                  <c:v>1331.63438</c:v>
                </c:pt>
                <c:pt idx="29">
                  <c:v>1362.63438</c:v>
                </c:pt>
                <c:pt idx="30">
                  <c:v>1422.6343800000002</c:v>
                </c:pt>
                <c:pt idx="31">
                  <c:v>1451.63438</c:v>
                </c:pt>
                <c:pt idx="32">
                  <c:v>1512.63438</c:v>
                </c:pt>
                <c:pt idx="33">
                  <c:v>1541.6343800000002</c:v>
                </c:pt>
                <c:pt idx="34">
                  <c:v>1571.6343800000002</c:v>
                </c:pt>
                <c:pt idx="35">
                  <c:v>1632.63438</c:v>
                </c:pt>
                <c:pt idx="36">
                  <c:v>1661.63438</c:v>
                </c:pt>
                <c:pt idx="37">
                  <c:v>1692.6343800000002</c:v>
                </c:pt>
                <c:pt idx="38">
                  <c:v>1781.63438</c:v>
                </c:pt>
                <c:pt idx="39">
                  <c:v>1811.6343800000002</c:v>
                </c:pt>
                <c:pt idx="40">
                  <c:v>1871.63438</c:v>
                </c:pt>
                <c:pt idx="41">
                  <c:v>1902.63438</c:v>
                </c:pt>
                <c:pt idx="42">
                  <c:v>1990.63438</c:v>
                </c:pt>
                <c:pt idx="43">
                  <c:v>2021.63438</c:v>
                </c:pt>
                <c:pt idx="44">
                  <c:v>2051.63438</c:v>
                </c:pt>
                <c:pt idx="45">
                  <c:v>2111.63438</c:v>
                </c:pt>
                <c:pt idx="46">
                  <c:v>2171.63438</c:v>
                </c:pt>
                <c:pt idx="47">
                  <c:v>2232.63438</c:v>
                </c:pt>
                <c:pt idx="48">
                  <c:v>2262.63438</c:v>
                </c:pt>
                <c:pt idx="49">
                  <c:v>2292.63438</c:v>
                </c:pt>
                <c:pt idx="50">
                  <c:v>2382.63438</c:v>
                </c:pt>
                <c:pt idx="51">
                  <c:v>2411.63438</c:v>
                </c:pt>
                <c:pt idx="52">
                  <c:v>2472.63438</c:v>
                </c:pt>
                <c:pt idx="53">
                  <c:v>2501.63438</c:v>
                </c:pt>
                <c:pt idx="54">
                  <c:v>2592.63438</c:v>
                </c:pt>
                <c:pt idx="55">
                  <c:v>2621.63438</c:v>
                </c:pt>
                <c:pt idx="56">
                  <c:v>2652.63438</c:v>
                </c:pt>
                <c:pt idx="57">
                  <c:v>2711.63438</c:v>
                </c:pt>
                <c:pt idx="58">
                  <c:v>2802.6343800000004</c:v>
                </c:pt>
                <c:pt idx="59">
                  <c:v>2831.63438</c:v>
                </c:pt>
                <c:pt idx="60">
                  <c:v>2862.63438</c:v>
                </c:pt>
              </c:numCache>
            </c:numRef>
          </c:xVal>
          <c:yVal>
            <c:numRef>
              <c:f>'Replacement input'!$AH$6:$AH$66</c:f>
              <c:numCache>
                <c:formatCode>General</c:formatCode>
                <c:ptCount val="61"/>
                <c:pt idx="0">
                  <c:v>-176.12700000000001</c:v>
                </c:pt>
                <c:pt idx="1">
                  <c:v>-176.017</c:v>
                </c:pt>
                <c:pt idx="2">
                  <c:v>-175.68433300000001</c:v>
                </c:pt>
                <c:pt idx="3">
                  <c:v>-175.501</c:v>
                </c:pt>
                <c:pt idx="4">
                  <c:v>-175.17699999999999</c:v>
                </c:pt>
                <c:pt idx="5">
                  <c:v>-174.78700000000001</c:v>
                </c:pt>
                <c:pt idx="6">
                  <c:v>-174.298</c:v>
                </c:pt>
                <c:pt idx="7">
                  <c:v>-173.69900000000001</c:v>
                </c:pt>
                <c:pt idx="8">
                  <c:v>-173.69900000000001</c:v>
                </c:pt>
                <c:pt idx="9">
                  <c:v>-172.54000500000001</c:v>
                </c:pt>
                <c:pt idx="10">
                  <c:v>-171.82599999999999</c:v>
                </c:pt>
                <c:pt idx="11">
                  <c:v>-170.244</c:v>
                </c:pt>
                <c:pt idx="12">
                  <c:v>-167.56299999999999</c:v>
                </c:pt>
                <c:pt idx="13">
                  <c:v>-159.27712700000001</c:v>
                </c:pt>
                <c:pt idx="14">
                  <c:v>-152.05099999999999</c:v>
                </c:pt>
                <c:pt idx="15">
                  <c:v>-89.593448899999999</c:v>
                </c:pt>
                <c:pt idx="16">
                  <c:v>-39.243000000000002</c:v>
                </c:pt>
                <c:pt idx="17">
                  <c:v>-18.177</c:v>
                </c:pt>
                <c:pt idx="18">
                  <c:v>-11.019</c:v>
                </c:pt>
                <c:pt idx="19">
                  <c:v>-7.5529999999999999</c:v>
                </c:pt>
                <c:pt idx="20">
                  <c:v>-5.5430000000000001</c:v>
                </c:pt>
                <c:pt idx="21">
                  <c:v>-5.5430000000000001</c:v>
                </c:pt>
                <c:pt idx="22">
                  <c:v>-3.8816700000000002</c:v>
                </c:pt>
                <c:pt idx="23">
                  <c:v>-3.2410000000000001</c:v>
                </c:pt>
                <c:pt idx="24">
                  <c:v>-2.516</c:v>
                </c:pt>
                <c:pt idx="25">
                  <c:v>-1.9390000000000001</c:v>
                </c:pt>
                <c:pt idx="26">
                  <c:v>-1.3480002200000001</c:v>
                </c:pt>
                <c:pt idx="27">
                  <c:v>-1.0880000000000001</c:v>
                </c:pt>
                <c:pt idx="28">
                  <c:v>-0.648000099</c:v>
                </c:pt>
                <c:pt idx="29">
                  <c:v>-0.45</c:v>
                </c:pt>
                <c:pt idx="30">
                  <c:v>-0.18099999999999999</c:v>
                </c:pt>
                <c:pt idx="31">
                  <c:v>0.06</c:v>
                </c:pt>
                <c:pt idx="32">
                  <c:v>0.28000000000000003</c:v>
                </c:pt>
                <c:pt idx="33">
                  <c:v>0.47799999999999998</c:v>
                </c:pt>
                <c:pt idx="34">
                  <c:v>0.47799999999999998</c:v>
                </c:pt>
                <c:pt idx="35">
                  <c:v>0.713999983</c:v>
                </c:pt>
                <c:pt idx="36">
                  <c:v>0.82399999999999995</c:v>
                </c:pt>
                <c:pt idx="37">
                  <c:v>0.97799999999999998</c:v>
                </c:pt>
                <c:pt idx="38">
                  <c:v>1.115</c:v>
                </c:pt>
                <c:pt idx="39">
                  <c:v>1.2470000000000001</c:v>
                </c:pt>
                <c:pt idx="40">
                  <c:v>1.4153333299999999</c:v>
                </c:pt>
                <c:pt idx="41">
                  <c:v>1.5</c:v>
                </c:pt>
                <c:pt idx="42">
                  <c:v>1.6259999999999999</c:v>
                </c:pt>
                <c:pt idx="43">
                  <c:v>1.7689999999999999</c:v>
                </c:pt>
                <c:pt idx="44">
                  <c:v>1.9670000000000001</c:v>
                </c:pt>
                <c:pt idx="45">
                  <c:v>2.2959999999999998</c:v>
                </c:pt>
                <c:pt idx="46">
                  <c:v>5.3609999999999998</c:v>
                </c:pt>
                <c:pt idx="47">
                  <c:v>-178.53366700000001</c:v>
                </c:pt>
                <c:pt idx="48">
                  <c:v>-178.215</c:v>
                </c:pt>
                <c:pt idx="49">
                  <c:v>-177.9205</c:v>
                </c:pt>
                <c:pt idx="50">
                  <c:v>-177.84100000000001</c:v>
                </c:pt>
                <c:pt idx="51">
                  <c:v>-177.69300000000001</c:v>
                </c:pt>
                <c:pt idx="52">
                  <c:v>-177.54499999999999</c:v>
                </c:pt>
                <c:pt idx="53">
                  <c:v>-177.3305</c:v>
                </c:pt>
                <c:pt idx="54">
                  <c:v>-177.209667</c:v>
                </c:pt>
                <c:pt idx="55">
                  <c:v>-177.11099999999999</c:v>
                </c:pt>
                <c:pt idx="56">
                  <c:v>-176.95699999999999</c:v>
                </c:pt>
                <c:pt idx="57">
                  <c:v>-176.797</c:v>
                </c:pt>
                <c:pt idx="58">
                  <c:v>-176.62700000000001</c:v>
                </c:pt>
                <c:pt idx="59">
                  <c:v>-176.33600000000001</c:v>
                </c:pt>
                <c:pt idx="60">
                  <c:v>-176.232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5-4B02-94B2-FF7BBA9ABF75}"/>
            </c:ext>
          </c:extLst>
        </c:ser>
        <c:ser>
          <c:idx val="1"/>
          <c:order val="1"/>
          <c:tx>
            <c:v>Angle Y</c:v>
          </c:tx>
          <c:spPr>
            <a:ln w="15875">
              <a:solidFill>
                <a:srgbClr val="157A54"/>
              </a:solidFill>
              <a:prstDash val="solid"/>
            </a:ln>
          </c:spPr>
          <c:marker>
            <c:symbol val="none"/>
          </c:marker>
          <c:xVal>
            <c:numRef>
              <c:f>'Replacement input'!$AC$6:$AC$66</c:f>
              <c:numCache>
                <c:formatCode>General</c:formatCode>
                <c:ptCount val="61"/>
                <c:pt idx="0">
                  <c:v>12.634382799999999</c:v>
                </c:pt>
                <c:pt idx="1">
                  <c:v>41.634382800000004</c:v>
                </c:pt>
                <c:pt idx="2">
                  <c:v>102.634383</c:v>
                </c:pt>
                <c:pt idx="3">
                  <c:v>162.63438299999999</c:v>
                </c:pt>
                <c:pt idx="4">
                  <c:v>221.63438299999999</c:v>
                </c:pt>
                <c:pt idx="5">
                  <c:v>250.63438300000001</c:v>
                </c:pt>
                <c:pt idx="6">
                  <c:v>281.63438300000001</c:v>
                </c:pt>
                <c:pt idx="7">
                  <c:v>341.63438300000001</c:v>
                </c:pt>
                <c:pt idx="8">
                  <c:v>371.63438300000001</c:v>
                </c:pt>
                <c:pt idx="9">
                  <c:v>401.63438299999996</c:v>
                </c:pt>
                <c:pt idx="10">
                  <c:v>520.63438299999996</c:v>
                </c:pt>
                <c:pt idx="11">
                  <c:v>522.63438299999996</c:v>
                </c:pt>
                <c:pt idx="12">
                  <c:v>581.63438300000007</c:v>
                </c:pt>
                <c:pt idx="13">
                  <c:v>612.63438299999996</c:v>
                </c:pt>
                <c:pt idx="14">
                  <c:v>642.63438299999996</c:v>
                </c:pt>
                <c:pt idx="15">
                  <c:v>703.63438300000007</c:v>
                </c:pt>
                <c:pt idx="16">
                  <c:v>761.63438299999996</c:v>
                </c:pt>
                <c:pt idx="17">
                  <c:v>822.63438300000007</c:v>
                </c:pt>
                <c:pt idx="18">
                  <c:v>851.63438300000007</c:v>
                </c:pt>
                <c:pt idx="19">
                  <c:v>881.63438299999996</c:v>
                </c:pt>
                <c:pt idx="20">
                  <c:v>941.63438300000007</c:v>
                </c:pt>
                <c:pt idx="21">
                  <c:v>972.63438300000007</c:v>
                </c:pt>
                <c:pt idx="22">
                  <c:v>1002.63438</c:v>
                </c:pt>
                <c:pt idx="23">
                  <c:v>1092.63438</c:v>
                </c:pt>
                <c:pt idx="24">
                  <c:v>1121.63438</c:v>
                </c:pt>
                <c:pt idx="25">
                  <c:v>1181.63438</c:v>
                </c:pt>
                <c:pt idx="26">
                  <c:v>1212.63438</c:v>
                </c:pt>
                <c:pt idx="27">
                  <c:v>1242.63438</c:v>
                </c:pt>
                <c:pt idx="28">
                  <c:v>1331.63438</c:v>
                </c:pt>
                <c:pt idx="29">
                  <c:v>1362.63438</c:v>
                </c:pt>
                <c:pt idx="30">
                  <c:v>1422.6343800000002</c:v>
                </c:pt>
                <c:pt idx="31">
                  <c:v>1451.63438</c:v>
                </c:pt>
                <c:pt idx="32">
                  <c:v>1512.63438</c:v>
                </c:pt>
                <c:pt idx="33">
                  <c:v>1541.6343800000002</c:v>
                </c:pt>
                <c:pt idx="34">
                  <c:v>1571.6343800000002</c:v>
                </c:pt>
                <c:pt idx="35">
                  <c:v>1632.63438</c:v>
                </c:pt>
                <c:pt idx="36">
                  <c:v>1661.63438</c:v>
                </c:pt>
                <c:pt idx="37">
                  <c:v>1692.6343800000002</c:v>
                </c:pt>
                <c:pt idx="38">
                  <c:v>1781.63438</c:v>
                </c:pt>
                <c:pt idx="39">
                  <c:v>1811.6343800000002</c:v>
                </c:pt>
                <c:pt idx="40">
                  <c:v>1871.63438</c:v>
                </c:pt>
                <c:pt idx="41">
                  <c:v>1902.63438</c:v>
                </c:pt>
                <c:pt idx="42">
                  <c:v>1990.63438</c:v>
                </c:pt>
                <c:pt idx="43">
                  <c:v>2021.63438</c:v>
                </c:pt>
                <c:pt idx="44">
                  <c:v>2051.63438</c:v>
                </c:pt>
                <c:pt idx="45">
                  <c:v>2111.63438</c:v>
                </c:pt>
                <c:pt idx="46">
                  <c:v>2171.63438</c:v>
                </c:pt>
                <c:pt idx="47">
                  <c:v>2232.63438</c:v>
                </c:pt>
                <c:pt idx="48">
                  <c:v>2262.63438</c:v>
                </c:pt>
                <c:pt idx="49">
                  <c:v>2292.63438</c:v>
                </c:pt>
                <c:pt idx="50">
                  <c:v>2382.63438</c:v>
                </c:pt>
                <c:pt idx="51">
                  <c:v>2411.63438</c:v>
                </c:pt>
                <c:pt idx="52">
                  <c:v>2472.63438</c:v>
                </c:pt>
                <c:pt idx="53">
                  <c:v>2501.63438</c:v>
                </c:pt>
                <c:pt idx="54">
                  <c:v>2592.63438</c:v>
                </c:pt>
                <c:pt idx="55">
                  <c:v>2621.63438</c:v>
                </c:pt>
                <c:pt idx="56">
                  <c:v>2652.63438</c:v>
                </c:pt>
                <c:pt idx="57">
                  <c:v>2711.63438</c:v>
                </c:pt>
                <c:pt idx="58">
                  <c:v>2802.6343800000004</c:v>
                </c:pt>
                <c:pt idx="59">
                  <c:v>2831.63438</c:v>
                </c:pt>
                <c:pt idx="60">
                  <c:v>2862.63438</c:v>
                </c:pt>
              </c:numCache>
            </c:numRef>
          </c:xVal>
          <c:yVal>
            <c:numRef>
              <c:f>'Replacement input'!$AI$6:$AI$66</c:f>
              <c:numCache>
                <c:formatCode>General</c:formatCode>
                <c:ptCount val="61"/>
                <c:pt idx="0">
                  <c:v>3.7410000000000001</c:v>
                </c:pt>
                <c:pt idx="1">
                  <c:v>6.7839999999999998</c:v>
                </c:pt>
                <c:pt idx="2">
                  <c:v>12.827</c:v>
                </c:pt>
                <c:pt idx="3">
                  <c:v>18.885000000000002</c:v>
                </c:pt>
                <c:pt idx="4">
                  <c:v>25.01</c:v>
                </c:pt>
                <c:pt idx="5">
                  <c:v>31.327999999999999</c:v>
                </c:pt>
                <c:pt idx="6">
                  <c:v>37.749000000000002</c:v>
                </c:pt>
                <c:pt idx="7">
                  <c:v>44.198</c:v>
                </c:pt>
                <c:pt idx="8">
                  <c:v>44.198</c:v>
                </c:pt>
                <c:pt idx="9">
                  <c:v>50.691000000000003</c:v>
                </c:pt>
                <c:pt idx="10">
                  <c:v>57.155999999999999</c:v>
                </c:pt>
                <c:pt idx="11">
                  <c:v>63.698999999999998</c:v>
                </c:pt>
                <c:pt idx="12">
                  <c:v>70.159000000000006</c:v>
                </c:pt>
                <c:pt idx="13">
                  <c:v>76.465000000000003</c:v>
                </c:pt>
                <c:pt idx="14">
                  <c:v>82.375</c:v>
                </c:pt>
                <c:pt idx="15">
                  <c:v>86.950999999999993</c:v>
                </c:pt>
                <c:pt idx="16">
                  <c:v>85.331000000000003</c:v>
                </c:pt>
                <c:pt idx="17">
                  <c:v>79.997</c:v>
                </c:pt>
                <c:pt idx="18">
                  <c:v>74.091999999999999</c:v>
                </c:pt>
                <c:pt idx="19">
                  <c:v>68.070999999999998</c:v>
                </c:pt>
                <c:pt idx="20">
                  <c:v>62.106000000000002</c:v>
                </c:pt>
                <c:pt idx="21">
                  <c:v>62.106000000000002</c:v>
                </c:pt>
                <c:pt idx="22">
                  <c:v>56.167999999999999</c:v>
                </c:pt>
                <c:pt idx="23">
                  <c:v>50.295000000000002</c:v>
                </c:pt>
                <c:pt idx="24">
                  <c:v>44.445</c:v>
                </c:pt>
                <c:pt idx="25">
                  <c:v>38.633000000000003</c:v>
                </c:pt>
                <c:pt idx="26">
                  <c:v>32.661999999999999</c:v>
                </c:pt>
                <c:pt idx="27">
                  <c:v>26.581</c:v>
                </c:pt>
                <c:pt idx="28">
                  <c:v>20.352</c:v>
                </c:pt>
                <c:pt idx="29">
                  <c:v>13.925000000000001</c:v>
                </c:pt>
                <c:pt idx="30">
                  <c:v>7.2729999999999997</c:v>
                </c:pt>
                <c:pt idx="31">
                  <c:v>0.5</c:v>
                </c:pt>
                <c:pt idx="32">
                  <c:v>-6.306</c:v>
                </c:pt>
                <c:pt idx="33">
                  <c:v>-13.156000000000001</c:v>
                </c:pt>
                <c:pt idx="34">
                  <c:v>-13.156000000000001</c:v>
                </c:pt>
                <c:pt idx="35">
                  <c:v>-20.001000000000001</c:v>
                </c:pt>
                <c:pt idx="36">
                  <c:v>-26.73</c:v>
                </c:pt>
                <c:pt idx="37">
                  <c:v>-33.348999999999997</c:v>
                </c:pt>
                <c:pt idx="38">
                  <c:v>-39.720999999999997</c:v>
                </c:pt>
                <c:pt idx="39">
                  <c:v>-45.89</c:v>
                </c:pt>
                <c:pt idx="40">
                  <c:v>-52.097000000000001</c:v>
                </c:pt>
                <c:pt idx="41">
                  <c:v>-58.206000000000003</c:v>
                </c:pt>
                <c:pt idx="42">
                  <c:v>-64.165999999999997</c:v>
                </c:pt>
                <c:pt idx="43">
                  <c:v>-70.043000000000006</c:v>
                </c:pt>
                <c:pt idx="44">
                  <c:v>-75.992000000000004</c:v>
                </c:pt>
                <c:pt idx="45">
                  <c:v>-81.92</c:v>
                </c:pt>
                <c:pt idx="46">
                  <c:v>-87.83</c:v>
                </c:pt>
                <c:pt idx="47">
                  <c:v>-83.852999999999994</c:v>
                </c:pt>
                <c:pt idx="48">
                  <c:v>-77.837999999999994</c:v>
                </c:pt>
                <c:pt idx="49">
                  <c:v>-68.524500000000003</c:v>
                </c:pt>
                <c:pt idx="50">
                  <c:v>-65.402000000000001</c:v>
                </c:pt>
                <c:pt idx="51">
                  <c:v>-59.040999999999997</c:v>
                </c:pt>
                <c:pt idx="52">
                  <c:v>-52.652000000000001</c:v>
                </c:pt>
                <c:pt idx="53">
                  <c:v>-42.920999999999999</c:v>
                </c:pt>
                <c:pt idx="54">
                  <c:v>-39.628</c:v>
                </c:pt>
                <c:pt idx="55">
                  <c:v>-33.008000000000003</c:v>
                </c:pt>
                <c:pt idx="56">
                  <c:v>-26.395</c:v>
                </c:pt>
                <c:pt idx="57">
                  <c:v>-19.841000000000001</c:v>
                </c:pt>
                <c:pt idx="58">
                  <c:v>-13.321</c:v>
                </c:pt>
                <c:pt idx="59">
                  <c:v>-3.6120000000000001</c:v>
                </c:pt>
                <c:pt idx="60">
                  <c:v>-0.38500000000000001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F5-4B02-94B2-FF7BBA9ABF75}"/>
            </c:ext>
          </c:extLst>
        </c:ser>
        <c:ser>
          <c:idx val="2"/>
          <c:order val="2"/>
          <c:tx>
            <c:v>Angle Z</c:v>
          </c:tx>
          <c:spPr>
            <a:ln w="15875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'Replacement input'!$AC$6:$AC$66</c:f>
              <c:numCache>
                <c:formatCode>General</c:formatCode>
                <c:ptCount val="61"/>
                <c:pt idx="0">
                  <c:v>12.634382799999999</c:v>
                </c:pt>
                <c:pt idx="1">
                  <c:v>41.634382800000004</c:v>
                </c:pt>
                <c:pt idx="2">
                  <c:v>102.634383</c:v>
                </c:pt>
                <c:pt idx="3">
                  <c:v>162.63438299999999</c:v>
                </c:pt>
                <c:pt idx="4">
                  <c:v>221.63438299999999</c:v>
                </c:pt>
                <c:pt idx="5">
                  <c:v>250.63438300000001</c:v>
                </c:pt>
                <c:pt idx="6">
                  <c:v>281.63438300000001</c:v>
                </c:pt>
                <c:pt idx="7">
                  <c:v>341.63438300000001</c:v>
                </c:pt>
                <c:pt idx="8">
                  <c:v>371.63438300000001</c:v>
                </c:pt>
                <c:pt idx="9">
                  <c:v>401.63438299999996</c:v>
                </c:pt>
                <c:pt idx="10">
                  <c:v>520.63438299999996</c:v>
                </c:pt>
                <c:pt idx="11">
                  <c:v>522.63438299999996</c:v>
                </c:pt>
                <c:pt idx="12">
                  <c:v>581.63438300000007</c:v>
                </c:pt>
                <c:pt idx="13">
                  <c:v>612.63438299999996</c:v>
                </c:pt>
                <c:pt idx="14">
                  <c:v>642.63438299999996</c:v>
                </c:pt>
                <c:pt idx="15">
                  <c:v>703.63438300000007</c:v>
                </c:pt>
                <c:pt idx="16">
                  <c:v>761.63438299999996</c:v>
                </c:pt>
                <c:pt idx="17">
                  <c:v>822.63438300000007</c:v>
                </c:pt>
                <c:pt idx="18">
                  <c:v>851.63438300000007</c:v>
                </c:pt>
                <c:pt idx="19">
                  <c:v>881.63438299999996</c:v>
                </c:pt>
                <c:pt idx="20">
                  <c:v>941.63438300000007</c:v>
                </c:pt>
                <c:pt idx="21">
                  <c:v>972.63438300000007</c:v>
                </c:pt>
                <c:pt idx="22">
                  <c:v>1002.63438</c:v>
                </c:pt>
                <c:pt idx="23">
                  <c:v>1092.63438</c:v>
                </c:pt>
                <c:pt idx="24">
                  <c:v>1121.63438</c:v>
                </c:pt>
                <c:pt idx="25">
                  <c:v>1181.63438</c:v>
                </c:pt>
                <c:pt idx="26">
                  <c:v>1212.63438</c:v>
                </c:pt>
                <c:pt idx="27">
                  <c:v>1242.63438</c:v>
                </c:pt>
                <c:pt idx="28">
                  <c:v>1331.63438</c:v>
                </c:pt>
                <c:pt idx="29">
                  <c:v>1362.63438</c:v>
                </c:pt>
                <c:pt idx="30">
                  <c:v>1422.6343800000002</c:v>
                </c:pt>
                <c:pt idx="31">
                  <c:v>1451.63438</c:v>
                </c:pt>
                <c:pt idx="32">
                  <c:v>1512.63438</c:v>
                </c:pt>
                <c:pt idx="33">
                  <c:v>1541.6343800000002</c:v>
                </c:pt>
                <c:pt idx="34">
                  <c:v>1571.6343800000002</c:v>
                </c:pt>
                <c:pt idx="35">
                  <c:v>1632.63438</c:v>
                </c:pt>
                <c:pt idx="36">
                  <c:v>1661.63438</c:v>
                </c:pt>
                <c:pt idx="37">
                  <c:v>1692.6343800000002</c:v>
                </c:pt>
                <c:pt idx="38">
                  <c:v>1781.63438</c:v>
                </c:pt>
                <c:pt idx="39">
                  <c:v>1811.6343800000002</c:v>
                </c:pt>
                <c:pt idx="40">
                  <c:v>1871.63438</c:v>
                </c:pt>
                <c:pt idx="41">
                  <c:v>1902.63438</c:v>
                </c:pt>
                <c:pt idx="42">
                  <c:v>1990.63438</c:v>
                </c:pt>
                <c:pt idx="43">
                  <c:v>2021.63438</c:v>
                </c:pt>
                <c:pt idx="44">
                  <c:v>2051.63438</c:v>
                </c:pt>
                <c:pt idx="45">
                  <c:v>2111.63438</c:v>
                </c:pt>
                <c:pt idx="46">
                  <c:v>2171.63438</c:v>
                </c:pt>
                <c:pt idx="47">
                  <c:v>2232.63438</c:v>
                </c:pt>
                <c:pt idx="48">
                  <c:v>2262.63438</c:v>
                </c:pt>
                <c:pt idx="49">
                  <c:v>2292.63438</c:v>
                </c:pt>
                <c:pt idx="50">
                  <c:v>2382.63438</c:v>
                </c:pt>
                <c:pt idx="51">
                  <c:v>2411.63438</c:v>
                </c:pt>
                <c:pt idx="52">
                  <c:v>2472.63438</c:v>
                </c:pt>
                <c:pt idx="53">
                  <c:v>2501.63438</c:v>
                </c:pt>
                <c:pt idx="54">
                  <c:v>2592.63438</c:v>
                </c:pt>
                <c:pt idx="55">
                  <c:v>2621.63438</c:v>
                </c:pt>
                <c:pt idx="56">
                  <c:v>2652.63438</c:v>
                </c:pt>
                <c:pt idx="57">
                  <c:v>2711.63438</c:v>
                </c:pt>
                <c:pt idx="58">
                  <c:v>2802.6343800000004</c:v>
                </c:pt>
                <c:pt idx="59">
                  <c:v>2831.63438</c:v>
                </c:pt>
                <c:pt idx="60">
                  <c:v>2862.63438</c:v>
                </c:pt>
              </c:numCache>
            </c:numRef>
          </c:xVal>
          <c:yVal>
            <c:numRef>
              <c:f>'Replacement input'!$AJ$6:$AJ$66</c:f>
              <c:numCache>
                <c:formatCode>General</c:formatCode>
                <c:ptCount val="61"/>
                <c:pt idx="0">
                  <c:v>-67.662000000000006</c:v>
                </c:pt>
                <c:pt idx="1">
                  <c:v>-67.56</c:v>
                </c:pt>
                <c:pt idx="2">
                  <c:v>-67.242000099999998</c:v>
                </c:pt>
                <c:pt idx="3">
                  <c:v>-67.066000000000003</c:v>
                </c:pt>
                <c:pt idx="4">
                  <c:v>-66.753</c:v>
                </c:pt>
                <c:pt idx="5">
                  <c:v>-66.367999999999995</c:v>
                </c:pt>
                <c:pt idx="6">
                  <c:v>-65.900999999999996</c:v>
                </c:pt>
                <c:pt idx="7">
                  <c:v>-65.308000000000007</c:v>
                </c:pt>
                <c:pt idx="8">
                  <c:v>-65.308000000000007</c:v>
                </c:pt>
                <c:pt idx="9">
                  <c:v>-64.167671200000001</c:v>
                </c:pt>
                <c:pt idx="10">
                  <c:v>-63.457000000000001</c:v>
                </c:pt>
                <c:pt idx="11">
                  <c:v>-61.890999999999998</c:v>
                </c:pt>
                <c:pt idx="12">
                  <c:v>-59.183</c:v>
                </c:pt>
                <c:pt idx="13">
                  <c:v>-50.864483200000002</c:v>
                </c:pt>
                <c:pt idx="14">
                  <c:v>-43.627000000000002</c:v>
                </c:pt>
                <c:pt idx="15">
                  <c:v>18.832725199999999</c:v>
                </c:pt>
                <c:pt idx="16">
                  <c:v>69.174999999999997</c:v>
                </c:pt>
                <c:pt idx="17">
                  <c:v>90.242000000000004</c:v>
                </c:pt>
                <c:pt idx="18">
                  <c:v>97.405000000000001</c:v>
                </c:pt>
                <c:pt idx="19">
                  <c:v>100.871</c:v>
                </c:pt>
                <c:pt idx="20">
                  <c:v>102.887</c:v>
                </c:pt>
                <c:pt idx="21">
                  <c:v>102.887</c:v>
                </c:pt>
                <c:pt idx="22">
                  <c:v>104.54433</c:v>
                </c:pt>
                <c:pt idx="23">
                  <c:v>105.18899999999999</c:v>
                </c:pt>
                <c:pt idx="24">
                  <c:v>105.914</c:v>
                </c:pt>
                <c:pt idx="25">
                  <c:v>106.49</c:v>
                </c:pt>
                <c:pt idx="26">
                  <c:v>107.09266599999999</c:v>
                </c:pt>
                <c:pt idx="27">
                  <c:v>107.364</c:v>
                </c:pt>
                <c:pt idx="28">
                  <c:v>107.816333</c:v>
                </c:pt>
                <c:pt idx="29">
                  <c:v>108.029</c:v>
                </c:pt>
                <c:pt idx="30">
                  <c:v>108.309</c:v>
                </c:pt>
                <c:pt idx="31">
                  <c:v>108.578</c:v>
                </c:pt>
                <c:pt idx="32">
                  <c:v>108.809</c:v>
                </c:pt>
                <c:pt idx="33">
                  <c:v>109.03400000000001</c:v>
                </c:pt>
                <c:pt idx="34">
                  <c:v>109.03400000000001</c:v>
                </c:pt>
                <c:pt idx="35">
                  <c:v>109.301333</c:v>
                </c:pt>
                <c:pt idx="36">
                  <c:v>109.44</c:v>
                </c:pt>
                <c:pt idx="37">
                  <c:v>109.616</c:v>
                </c:pt>
                <c:pt idx="38">
                  <c:v>109.797</c:v>
                </c:pt>
                <c:pt idx="39">
                  <c:v>109.95099999999999</c:v>
                </c:pt>
                <c:pt idx="40">
                  <c:v>110.176333</c:v>
                </c:pt>
                <c:pt idx="41">
                  <c:v>110.27500000000001</c:v>
                </c:pt>
                <c:pt idx="42">
                  <c:v>110.435</c:v>
                </c:pt>
                <c:pt idx="43">
                  <c:v>110.55</c:v>
                </c:pt>
                <c:pt idx="44">
                  <c:v>110.643</c:v>
                </c:pt>
                <c:pt idx="45">
                  <c:v>110.577</c:v>
                </c:pt>
                <c:pt idx="46">
                  <c:v>107.81399999999999</c:v>
                </c:pt>
                <c:pt idx="47">
                  <c:v>-67.914000000000001</c:v>
                </c:pt>
                <c:pt idx="48">
                  <c:v>-68.016000000000005</c:v>
                </c:pt>
                <c:pt idx="49">
                  <c:v>-67.826999999999998</c:v>
                </c:pt>
                <c:pt idx="50">
                  <c:v>-67.72</c:v>
                </c:pt>
                <c:pt idx="51">
                  <c:v>-67.587999999999994</c:v>
                </c:pt>
                <c:pt idx="52">
                  <c:v>-67.5</c:v>
                </c:pt>
                <c:pt idx="53">
                  <c:v>-67.343500000000006</c:v>
                </c:pt>
                <c:pt idx="54">
                  <c:v>-67.243666700000006</c:v>
                </c:pt>
                <c:pt idx="55">
                  <c:v>-67.159000000000006</c:v>
                </c:pt>
                <c:pt idx="56">
                  <c:v>-67.022000000000006</c:v>
                </c:pt>
                <c:pt idx="57">
                  <c:v>-66.873999999999995</c:v>
                </c:pt>
                <c:pt idx="58">
                  <c:v>-66.713999999999999</c:v>
                </c:pt>
                <c:pt idx="59">
                  <c:v>-66.442499999999995</c:v>
                </c:pt>
                <c:pt idx="60">
                  <c:v>-66.346000000000004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F5-4B02-94B2-FF7BBA9AB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00"/>
          <c:min val="-20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Angle (deg)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100"/>
      </c:valAx>
      <c:valAx>
        <c:axId val="48650112"/>
        <c:scaling>
          <c:orientation val="minMax"/>
          <c:max val="32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20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Replacement follower angular velocities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Gyro X</c:v>
          </c:tx>
          <c:spPr>
            <a:ln w="15875">
              <a:solidFill>
                <a:srgbClr val="8C5700"/>
              </a:solidFill>
              <a:prstDash val="solid"/>
            </a:ln>
          </c:spPr>
          <c:marker>
            <c:symbol val="none"/>
          </c:marker>
          <c:xVal>
            <c:numRef>
              <c:f>'Replacement follower'!$AC$6:$AC$38</c:f>
              <c:numCache>
                <c:formatCode>General</c:formatCode>
                <c:ptCount val="33"/>
                <c:pt idx="0">
                  <c:v>26.634382799999997</c:v>
                </c:pt>
                <c:pt idx="1">
                  <c:v>57.634382800000004</c:v>
                </c:pt>
                <c:pt idx="2">
                  <c:v>176.63438300000001</c:v>
                </c:pt>
                <c:pt idx="3">
                  <c:v>205.63438300000001</c:v>
                </c:pt>
                <c:pt idx="4">
                  <c:v>327.63438299999996</c:v>
                </c:pt>
                <c:pt idx="5">
                  <c:v>387.63438300000001</c:v>
                </c:pt>
                <c:pt idx="6">
                  <c:v>446.63438300000001</c:v>
                </c:pt>
                <c:pt idx="7">
                  <c:v>536.63438299999996</c:v>
                </c:pt>
                <c:pt idx="8">
                  <c:v>626.63438299999996</c:v>
                </c:pt>
                <c:pt idx="9">
                  <c:v>746.63438299999996</c:v>
                </c:pt>
                <c:pt idx="10">
                  <c:v>805.63438299999996</c:v>
                </c:pt>
                <c:pt idx="11">
                  <c:v>926.63438299999996</c:v>
                </c:pt>
                <c:pt idx="12">
                  <c:v>1016.63438</c:v>
                </c:pt>
                <c:pt idx="13">
                  <c:v>1136.63438</c:v>
                </c:pt>
                <c:pt idx="14">
                  <c:v>1226.63438</c:v>
                </c:pt>
                <c:pt idx="15">
                  <c:v>1346.63438</c:v>
                </c:pt>
                <c:pt idx="16">
                  <c:v>1435.63438</c:v>
                </c:pt>
                <c:pt idx="17">
                  <c:v>1556.63438</c:v>
                </c:pt>
                <c:pt idx="18">
                  <c:v>1586.63438</c:v>
                </c:pt>
                <c:pt idx="19">
                  <c:v>1676.6343800000002</c:v>
                </c:pt>
                <c:pt idx="20">
                  <c:v>1736.63438</c:v>
                </c:pt>
                <c:pt idx="21">
                  <c:v>1826.63438</c:v>
                </c:pt>
                <c:pt idx="22">
                  <c:v>1917.63438</c:v>
                </c:pt>
                <c:pt idx="23">
                  <c:v>1976.63438</c:v>
                </c:pt>
                <c:pt idx="24">
                  <c:v>2066.63438</c:v>
                </c:pt>
                <c:pt idx="25">
                  <c:v>2186.63438</c:v>
                </c:pt>
                <c:pt idx="26">
                  <c:v>2276.63438</c:v>
                </c:pt>
                <c:pt idx="27">
                  <c:v>2336.63438</c:v>
                </c:pt>
                <c:pt idx="28">
                  <c:v>2426.63438</c:v>
                </c:pt>
                <c:pt idx="29">
                  <c:v>2516.63438</c:v>
                </c:pt>
                <c:pt idx="30">
                  <c:v>2576.63438</c:v>
                </c:pt>
                <c:pt idx="31">
                  <c:v>2696.63438</c:v>
                </c:pt>
                <c:pt idx="32">
                  <c:v>2786.63438</c:v>
                </c:pt>
              </c:numCache>
            </c:numRef>
          </c:xVal>
          <c:yVal>
            <c:numRef>
              <c:f>'Replacement follower'!$AD$6:$AD$38</c:f>
              <c:numCache>
                <c:formatCode>General</c:formatCode>
                <c:ptCount val="33"/>
                <c:pt idx="0">
                  <c:v>-16.663</c:v>
                </c:pt>
                <c:pt idx="1">
                  <c:v>-11.840999999999999</c:v>
                </c:pt>
                <c:pt idx="2">
                  <c:v>-7.3849999999999998</c:v>
                </c:pt>
                <c:pt idx="3">
                  <c:v>-5.1879999999999997</c:v>
                </c:pt>
                <c:pt idx="4">
                  <c:v>-2.9910000000000001</c:v>
                </c:pt>
                <c:pt idx="5">
                  <c:v>1.587</c:v>
                </c:pt>
                <c:pt idx="6">
                  <c:v>5.859</c:v>
                </c:pt>
                <c:pt idx="7">
                  <c:v>8.1790000000000003</c:v>
                </c:pt>
                <c:pt idx="8">
                  <c:v>10.071</c:v>
                </c:pt>
                <c:pt idx="9">
                  <c:v>13.611000000000001</c:v>
                </c:pt>
                <c:pt idx="10">
                  <c:v>17.577999999999999</c:v>
                </c:pt>
                <c:pt idx="11">
                  <c:v>21.422999999999998</c:v>
                </c:pt>
                <c:pt idx="12">
                  <c:v>25.757000000000001</c:v>
                </c:pt>
                <c:pt idx="13">
                  <c:v>29.663</c:v>
                </c:pt>
                <c:pt idx="14">
                  <c:v>32.593000000000004</c:v>
                </c:pt>
                <c:pt idx="15">
                  <c:v>35.706000000000003</c:v>
                </c:pt>
                <c:pt idx="16">
                  <c:v>35.338999999999999</c:v>
                </c:pt>
                <c:pt idx="17">
                  <c:v>30.701000000000001</c:v>
                </c:pt>
                <c:pt idx="18">
                  <c:v>17.09</c:v>
                </c:pt>
                <c:pt idx="19">
                  <c:v>3.052</c:v>
                </c:pt>
                <c:pt idx="20">
                  <c:v>-3.1739999999999999</c:v>
                </c:pt>
                <c:pt idx="21">
                  <c:v>-8.3620000000000001</c:v>
                </c:pt>
                <c:pt idx="22">
                  <c:v>-16.356999999999999</c:v>
                </c:pt>
                <c:pt idx="23">
                  <c:v>-21.484000000000002</c:v>
                </c:pt>
                <c:pt idx="24">
                  <c:v>-22.704999999999998</c:v>
                </c:pt>
                <c:pt idx="25">
                  <c:v>-25.635000000000002</c:v>
                </c:pt>
                <c:pt idx="26">
                  <c:v>-27.771000000000001</c:v>
                </c:pt>
                <c:pt idx="27">
                  <c:v>-29.785</c:v>
                </c:pt>
                <c:pt idx="28">
                  <c:v>-30.518000000000001</c:v>
                </c:pt>
                <c:pt idx="29">
                  <c:v>-29.846</c:v>
                </c:pt>
                <c:pt idx="30">
                  <c:v>-28.625</c:v>
                </c:pt>
                <c:pt idx="31">
                  <c:v>-27.71</c:v>
                </c:pt>
                <c:pt idx="32">
                  <c:v>-22.643999999999998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B-43A2-B22F-343FDE6BF3B7}"/>
            </c:ext>
          </c:extLst>
        </c:ser>
        <c:ser>
          <c:idx val="1"/>
          <c:order val="1"/>
          <c:tx>
            <c:v>Gyro Y</c:v>
          </c:tx>
          <c:spPr>
            <a:ln w="15875">
              <a:solidFill>
                <a:srgbClr val="157A54"/>
              </a:solidFill>
              <a:prstDash val="solid"/>
            </a:ln>
          </c:spPr>
          <c:marker>
            <c:symbol val="none"/>
          </c:marker>
          <c:xVal>
            <c:numRef>
              <c:f>'Replacement follower'!$AC$6:$AC$38</c:f>
              <c:numCache>
                <c:formatCode>General</c:formatCode>
                <c:ptCount val="33"/>
                <c:pt idx="0">
                  <c:v>26.634382799999997</c:v>
                </c:pt>
                <c:pt idx="1">
                  <c:v>57.634382800000004</c:v>
                </c:pt>
                <c:pt idx="2">
                  <c:v>176.63438300000001</c:v>
                </c:pt>
                <c:pt idx="3">
                  <c:v>205.63438300000001</c:v>
                </c:pt>
                <c:pt idx="4">
                  <c:v>327.63438299999996</c:v>
                </c:pt>
                <c:pt idx="5">
                  <c:v>387.63438300000001</c:v>
                </c:pt>
                <c:pt idx="6">
                  <c:v>446.63438300000001</c:v>
                </c:pt>
                <c:pt idx="7">
                  <c:v>536.63438299999996</c:v>
                </c:pt>
                <c:pt idx="8">
                  <c:v>626.63438299999996</c:v>
                </c:pt>
                <c:pt idx="9">
                  <c:v>746.63438299999996</c:v>
                </c:pt>
                <c:pt idx="10">
                  <c:v>805.63438299999996</c:v>
                </c:pt>
                <c:pt idx="11">
                  <c:v>926.63438299999996</c:v>
                </c:pt>
                <c:pt idx="12">
                  <c:v>1016.63438</c:v>
                </c:pt>
                <c:pt idx="13">
                  <c:v>1136.63438</c:v>
                </c:pt>
                <c:pt idx="14">
                  <c:v>1226.63438</c:v>
                </c:pt>
                <c:pt idx="15">
                  <c:v>1346.63438</c:v>
                </c:pt>
                <c:pt idx="16">
                  <c:v>1435.63438</c:v>
                </c:pt>
                <c:pt idx="17">
                  <c:v>1556.63438</c:v>
                </c:pt>
                <c:pt idx="18">
                  <c:v>1586.63438</c:v>
                </c:pt>
                <c:pt idx="19">
                  <c:v>1676.6343800000002</c:v>
                </c:pt>
                <c:pt idx="20">
                  <c:v>1736.63438</c:v>
                </c:pt>
                <c:pt idx="21">
                  <c:v>1826.63438</c:v>
                </c:pt>
                <c:pt idx="22">
                  <c:v>1917.63438</c:v>
                </c:pt>
                <c:pt idx="23">
                  <c:v>1976.63438</c:v>
                </c:pt>
                <c:pt idx="24">
                  <c:v>2066.63438</c:v>
                </c:pt>
                <c:pt idx="25">
                  <c:v>2186.63438</c:v>
                </c:pt>
                <c:pt idx="26">
                  <c:v>2276.63438</c:v>
                </c:pt>
                <c:pt idx="27">
                  <c:v>2336.63438</c:v>
                </c:pt>
                <c:pt idx="28">
                  <c:v>2426.63438</c:v>
                </c:pt>
                <c:pt idx="29">
                  <c:v>2516.63438</c:v>
                </c:pt>
                <c:pt idx="30">
                  <c:v>2576.63438</c:v>
                </c:pt>
                <c:pt idx="31">
                  <c:v>2696.63438</c:v>
                </c:pt>
                <c:pt idx="32">
                  <c:v>2786.63438</c:v>
                </c:pt>
              </c:numCache>
            </c:numRef>
          </c:xVal>
          <c:yVal>
            <c:numRef>
              <c:f>'Replacement follower'!$AE$6:$AE$38</c:f>
              <c:numCache>
                <c:formatCode>General</c:formatCode>
                <c:ptCount val="33"/>
                <c:pt idx="0">
                  <c:v>16.785</c:v>
                </c:pt>
                <c:pt idx="1">
                  <c:v>11.78</c:v>
                </c:pt>
                <c:pt idx="2">
                  <c:v>7.0190000000000001</c:v>
                </c:pt>
                <c:pt idx="3">
                  <c:v>4.6390000000000002</c:v>
                </c:pt>
                <c:pt idx="4">
                  <c:v>2.4409999999999998</c:v>
                </c:pt>
                <c:pt idx="5">
                  <c:v>-2.319</c:v>
                </c:pt>
                <c:pt idx="6">
                  <c:v>-6.8360000000000003</c:v>
                </c:pt>
                <c:pt idx="7">
                  <c:v>-9.2769999999999992</c:v>
                </c:pt>
                <c:pt idx="8">
                  <c:v>-11.414</c:v>
                </c:pt>
                <c:pt idx="9">
                  <c:v>-15.198</c:v>
                </c:pt>
                <c:pt idx="10">
                  <c:v>-19.103999999999999</c:v>
                </c:pt>
                <c:pt idx="11">
                  <c:v>-23.376000000000001</c:v>
                </c:pt>
                <c:pt idx="12">
                  <c:v>-27.893000000000001</c:v>
                </c:pt>
                <c:pt idx="13">
                  <c:v>-31.86</c:v>
                </c:pt>
                <c:pt idx="14">
                  <c:v>-34.850999999999999</c:v>
                </c:pt>
                <c:pt idx="15">
                  <c:v>-38.268999999999998</c:v>
                </c:pt>
                <c:pt idx="16">
                  <c:v>-37.902999999999999</c:v>
                </c:pt>
                <c:pt idx="17">
                  <c:v>-32.593000000000004</c:v>
                </c:pt>
                <c:pt idx="18">
                  <c:v>-18.616</c:v>
                </c:pt>
                <c:pt idx="19">
                  <c:v>-3.7839999999999998</c:v>
                </c:pt>
                <c:pt idx="20">
                  <c:v>3.052</c:v>
                </c:pt>
                <c:pt idx="21">
                  <c:v>8.0570000000000004</c:v>
                </c:pt>
                <c:pt idx="22">
                  <c:v>16.356999999999999</c:v>
                </c:pt>
                <c:pt idx="23">
                  <c:v>21.728999999999999</c:v>
                </c:pt>
                <c:pt idx="24">
                  <c:v>23.193000000000001</c:v>
                </c:pt>
                <c:pt idx="25">
                  <c:v>26.489000000000001</c:v>
                </c:pt>
                <c:pt idx="26">
                  <c:v>28.381</c:v>
                </c:pt>
                <c:pt idx="27">
                  <c:v>30.701000000000001</c:v>
                </c:pt>
                <c:pt idx="28">
                  <c:v>30.945</c:v>
                </c:pt>
                <c:pt idx="29">
                  <c:v>30.64</c:v>
                </c:pt>
                <c:pt idx="30">
                  <c:v>29.419</c:v>
                </c:pt>
                <c:pt idx="31">
                  <c:v>28.198</c:v>
                </c:pt>
                <c:pt idx="32">
                  <c:v>23.193000000000001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4B-43A2-B22F-343FDE6BF3B7}"/>
            </c:ext>
          </c:extLst>
        </c:ser>
        <c:ser>
          <c:idx val="2"/>
          <c:order val="2"/>
          <c:tx>
            <c:v>Gyro Z</c:v>
          </c:tx>
          <c:spPr>
            <a:ln w="15875">
              <a:solidFill>
                <a:srgbClr val="1F4E79"/>
              </a:solidFill>
              <a:prstDash val="solid"/>
            </a:ln>
          </c:spPr>
          <c:marker>
            <c:symbol val="none"/>
          </c:marker>
          <c:xVal>
            <c:numRef>
              <c:f>'Replacement follower'!$AC$6:$AC$38</c:f>
              <c:numCache>
                <c:formatCode>General</c:formatCode>
                <c:ptCount val="33"/>
                <c:pt idx="0">
                  <c:v>26.634382799999997</c:v>
                </c:pt>
                <c:pt idx="1">
                  <c:v>57.634382800000004</c:v>
                </c:pt>
                <c:pt idx="2">
                  <c:v>176.63438300000001</c:v>
                </c:pt>
                <c:pt idx="3">
                  <c:v>205.63438300000001</c:v>
                </c:pt>
                <c:pt idx="4">
                  <c:v>327.63438299999996</c:v>
                </c:pt>
                <c:pt idx="5">
                  <c:v>387.63438300000001</c:v>
                </c:pt>
                <c:pt idx="6">
                  <c:v>446.63438300000001</c:v>
                </c:pt>
                <c:pt idx="7">
                  <c:v>536.63438299999996</c:v>
                </c:pt>
                <c:pt idx="8">
                  <c:v>626.63438299999996</c:v>
                </c:pt>
                <c:pt idx="9">
                  <c:v>746.63438299999996</c:v>
                </c:pt>
                <c:pt idx="10">
                  <c:v>805.63438299999996</c:v>
                </c:pt>
                <c:pt idx="11">
                  <c:v>926.63438299999996</c:v>
                </c:pt>
                <c:pt idx="12">
                  <c:v>1016.63438</c:v>
                </c:pt>
                <c:pt idx="13">
                  <c:v>1136.63438</c:v>
                </c:pt>
                <c:pt idx="14">
                  <c:v>1226.63438</c:v>
                </c:pt>
                <c:pt idx="15">
                  <c:v>1346.63438</c:v>
                </c:pt>
                <c:pt idx="16">
                  <c:v>1435.63438</c:v>
                </c:pt>
                <c:pt idx="17">
                  <c:v>1556.63438</c:v>
                </c:pt>
                <c:pt idx="18">
                  <c:v>1586.63438</c:v>
                </c:pt>
                <c:pt idx="19">
                  <c:v>1676.6343800000002</c:v>
                </c:pt>
                <c:pt idx="20">
                  <c:v>1736.63438</c:v>
                </c:pt>
                <c:pt idx="21">
                  <c:v>1826.63438</c:v>
                </c:pt>
                <c:pt idx="22">
                  <c:v>1917.63438</c:v>
                </c:pt>
                <c:pt idx="23">
                  <c:v>1976.63438</c:v>
                </c:pt>
                <c:pt idx="24">
                  <c:v>2066.63438</c:v>
                </c:pt>
                <c:pt idx="25">
                  <c:v>2186.63438</c:v>
                </c:pt>
                <c:pt idx="26">
                  <c:v>2276.63438</c:v>
                </c:pt>
                <c:pt idx="27">
                  <c:v>2336.63438</c:v>
                </c:pt>
                <c:pt idx="28">
                  <c:v>2426.63438</c:v>
                </c:pt>
                <c:pt idx="29">
                  <c:v>2516.63438</c:v>
                </c:pt>
                <c:pt idx="30">
                  <c:v>2576.63438</c:v>
                </c:pt>
                <c:pt idx="31">
                  <c:v>2696.63438</c:v>
                </c:pt>
                <c:pt idx="32">
                  <c:v>2786.63438</c:v>
                </c:pt>
              </c:numCache>
            </c:numRef>
          </c:xVal>
          <c:yVal>
            <c:numRef>
              <c:f>'Replacement follower'!$AF$6:$AF$38</c:f>
              <c:numCache>
                <c:formatCode>General</c:formatCode>
                <c:ptCount val="33"/>
                <c:pt idx="0">
                  <c:v>-24.78</c:v>
                </c:pt>
                <c:pt idx="1">
                  <c:v>-17.516999999999999</c:v>
                </c:pt>
                <c:pt idx="2">
                  <c:v>-10.680999999999999</c:v>
                </c:pt>
                <c:pt idx="3">
                  <c:v>-7.202</c:v>
                </c:pt>
                <c:pt idx="4">
                  <c:v>-3.9060000000000001</c:v>
                </c:pt>
                <c:pt idx="5">
                  <c:v>2.6859999999999999</c:v>
                </c:pt>
                <c:pt idx="6">
                  <c:v>9.3989999999999991</c:v>
                </c:pt>
                <c:pt idx="7">
                  <c:v>12.939</c:v>
                </c:pt>
                <c:pt idx="8">
                  <c:v>15.625</c:v>
                </c:pt>
                <c:pt idx="9">
                  <c:v>21.178999999999998</c:v>
                </c:pt>
                <c:pt idx="10">
                  <c:v>27.405000000000001</c:v>
                </c:pt>
                <c:pt idx="11">
                  <c:v>33.081000000000003</c:v>
                </c:pt>
                <c:pt idx="12">
                  <c:v>39.551000000000002</c:v>
                </c:pt>
                <c:pt idx="13">
                  <c:v>45.776000000000003</c:v>
                </c:pt>
                <c:pt idx="14">
                  <c:v>50.170999999999999</c:v>
                </c:pt>
                <c:pt idx="15">
                  <c:v>54.871000000000002</c:v>
                </c:pt>
                <c:pt idx="16">
                  <c:v>54.749000000000002</c:v>
                </c:pt>
                <c:pt idx="17">
                  <c:v>46.875</c:v>
                </c:pt>
                <c:pt idx="18">
                  <c:v>26.917000000000002</c:v>
                </c:pt>
                <c:pt idx="19">
                  <c:v>5.1269999999999998</c:v>
                </c:pt>
                <c:pt idx="20">
                  <c:v>-4.0890000000000004</c:v>
                </c:pt>
                <c:pt idx="21">
                  <c:v>-12.329000000000001</c:v>
                </c:pt>
                <c:pt idx="22">
                  <c:v>-24.292000000000002</c:v>
                </c:pt>
                <c:pt idx="23">
                  <c:v>-31.920999999999999</c:v>
                </c:pt>
                <c:pt idx="24">
                  <c:v>-33.997</c:v>
                </c:pt>
                <c:pt idx="25">
                  <c:v>-38.573999999999998</c:v>
                </c:pt>
                <c:pt idx="26">
                  <c:v>-41.503999999999998</c:v>
                </c:pt>
                <c:pt idx="27">
                  <c:v>-44.860999999999997</c:v>
                </c:pt>
                <c:pt idx="28">
                  <c:v>-45.715000000000003</c:v>
                </c:pt>
                <c:pt idx="29">
                  <c:v>-44.8</c:v>
                </c:pt>
                <c:pt idx="30">
                  <c:v>-42.908000000000001</c:v>
                </c:pt>
                <c:pt idx="31">
                  <c:v>-41.503999999999998</c:v>
                </c:pt>
                <c:pt idx="32">
                  <c:v>-33.997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4B-43A2-B22F-343FDE6BF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90"/>
          <c:min val="-9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Angular velocity (deg/s)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30"/>
      </c:valAx>
      <c:valAx>
        <c:axId val="48650112"/>
        <c:scaling>
          <c:orientation val="minMax"/>
          <c:max val="32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9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2600">
                <a:solidFill>
                  <a:srgbClr val="000000"/>
                </a:solidFill>
                <a:latin typeface="Times New Roman" panose="02020603050405020304" pitchFamily="18" charset="0"/>
              </a:rPr>
              <a:t>Wired follower and PMKS reference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Wired BNO055(2)</c:v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'BNO2 Rate'!$AE$6:$AE$140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'BNO2 Rate'!$AF$6:$AF$140</c:f>
              <c:numCache>
                <c:formatCode>General</c:formatCode>
                <c:ptCount val="135"/>
                <c:pt idx="0">
                  <c:v>-73.75</c:v>
                </c:pt>
                <c:pt idx="1">
                  <c:v>-69.75</c:v>
                </c:pt>
                <c:pt idx="2">
                  <c:v>-68</c:v>
                </c:pt>
                <c:pt idx="3">
                  <c:v>-64.25</c:v>
                </c:pt>
                <c:pt idx="4">
                  <c:v>-52.875</c:v>
                </c:pt>
                <c:pt idx="5">
                  <c:v>-49.500000000000007</c:v>
                </c:pt>
                <c:pt idx="6">
                  <c:v>-42.6875</c:v>
                </c:pt>
                <c:pt idx="7">
                  <c:v>-37.9375</c:v>
                </c:pt>
                <c:pt idx="8">
                  <c:v>-30.562500000000004</c:v>
                </c:pt>
                <c:pt idx="9">
                  <c:v>-25.6875</c:v>
                </c:pt>
                <c:pt idx="10">
                  <c:v>-19.125</c:v>
                </c:pt>
                <c:pt idx="11">
                  <c:v>-14</c:v>
                </c:pt>
                <c:pt idx="12">
                  <c:v>-8.25</c:v>
                </c:pt>
                <c:pt idx="13">
                  <c:v>-3.2500000000000004</c:v>
                </c:pt>
                <c:pt idx="14">
                  <c:v>3.6875</c:v>
                </c:pt>
                <c:pt idx="15">
                  <c:v>9.75</c:v>
                </c:pt>
                <c:pt idx="16">
                  <c:v>12.75</c:v>
                </c:pt>
                <c:pt idx="17">
                  <c:v>18</c:v>
                </c:pt>
                <c:pt idx="18">
                  <c:v>21.1875</c:v>
                </c:pt>
                <c:pt idx="19">
                  <c:v>25.75</c:v>
                </c:pt>
                <c:pt idx="20">
                  <c:v>28.5</c:v>
                </c:pt>
                <c:pt idx="21">
                  <c:v>34.375</c:v>
                </c:pt>
                <c:pt idx="22">
                  <c:v>39.625000000000007</c:v>
                </c:pt>
                <c:pt idx="23">
                  <c:v>40.0625</c:v>
                </c:pt>
                <c:pt idx="24">
                  <c:v>44.125</c:v>
                </c:pt>
                <c:pt idx="25">
                  <c:v>44.5</c:v>
                </c:pt>
                <c:pt idx="26">
                  <c:v>47.187499999999993</c:v>
                </c:pt>
                <c:pt idx="27">
                  <c:v>48.812500000000007</c:v>
                </c:pt>
                <c:pt idx="28">
                  <c:v>50.375</c:v>
                </c:pt>
                <c:pt idx="29">
                  <c:v>52.375</c:v>
                </c:pt>
                <c:pt idx="30">
                  <c:v>54.625</c:v>
                </c:pt>
                <c:pt idx="31">
                  <c:v>54.625</c:v>
                </c:pt>
                <c:pt idx="32">
                  <c:v>55.874999999999993</c:v>
                </c:pt>
                <c:pt idx="33">
                  <c:v>57.1875</c:v>
                </c:pt>
                <c:pt idx="34">
                  <c:v>58.25</c:v>
                </c:pt>
                <c:pt idx="35">
                  <c:v>60.125</c:v>
                </c:pt>
                <c:pt idx="36">
                  <c:v>59.875</c:v>
                </c:pt>
                <c:pt idx="37">
                  <c:v>61.812499999999993</c:v>
                </c:pt>
                <c:pt idx="38">
                  <c:v>61.374999999999993</c:v>
                </c:pt>
                <c:pt idx="39">
                  <c:v>62.6875</c:v>
                </c:pt>
                <c:pt idx="40">
                  <c:v>61.374999999999993</c:v>
                </c:pt>
                <c:pt idx="41">
                  <c:v>62.6875</c:v>
                </c:pt>
                <c:pt idx="42">
                  <c:v>61.125000000000007</c:v>
                </c:pt>
                <c:pt idx="43">
                  <c:v>61.625000000000014</c:v>
                </c:pt>
                <c:pt idx="44">
                  <c:v>61.312500000000007</c:v>
                </c:pt>
                <c:pt idx="45">
                  <c:v>62.875</c:v>
                </c:pt>
                <c:pt idx="46">
                  <c:v>61.500000000000007</c:v>
                </c:pt>
                <c:pt idx="47">
                  <c:v>62.625</c:v>
                </c:pt>
                <c:pt idx="48">
                  <c:v>60.375</c:v>
                </c:pt>
                <c:pt idx="49">
                  <c:v>60.8125</c:v>
                </c:pt>
                <c:pt idx="50">
                  <c:v>59.5</c:v>
                </c:pt>
                <c:pt idx="51">
                  <c:v>58.0625</c:v>
                </c:pt>
                <c:pt idx="52">
                  <c:v>57.125</c:v>
                </c:pt>
                <c:pt idx="53">
                  <c:v>56.562499999999993</c:v>
                </c:pt>
                <c:pt idx="54">
                  <c:v>57.562500000000007</c:v>
                </c:pt>
                <c:pt idx="55">
                  <c:v>56</c:v>
                </c:pt>
                <c:pt idx="56">
                  <c:v>56.0625</c:v>
                </c:pt>
                <c:pt idx="57">
                  <c:v>53.4375</c:v>
                </c:pt>
                <c:pt idx="58">
                  <c:v>52.687500000000007</c:v>
                </c:pt>
                <c:pt idx="59">
                  <c:v>50.5625</c:v>
                </c:pt>
                <c:pt idx="60">
                  <c:v>48.4375</c:v>
                </c:pt>
                <c:pt idx="61">
                  <c:v>46.9375</c:v>
                </c:pt>
                <c:pt idx="62">
                  <c:v>46</c:v>
                </c:pt>
                <c:pt idx="63">
                  <c:v>43.749999999999993</c:v>
                </c:pt>
                <c:pt idx="64">
                  <c:v>42.8125</c:v>
                </c:pt>
                <c:pt idx="65">
                  <c:v>40</c:v>
                </c:pt>
                <c:pt idx="66">
                  <c:v>39.437500000000007</c:v>
                </c:pt>
                <c:pt idx="67">
                  <c:v>36.8125</c:v>
                </c:pt>
                <c:pt idx="68">
                  <c:v>35.875</c:v>
                </c:pt>
                <c:pt idx="69">
                  <c:v>31.5</c:v>
                </c:pt>
                <c:pt idx="70">
                  <c:v>30.562500000000004</c:v>
                </c:pt>
                <c:pt idx="71">
                  <c:v>27.1875</c:v>
                </c:pt>
                <c:pt idx="72">
                  <c:v>25.874999999999996</c:v>
                </c:pt>
                <c:pt idx="73">
                  <c:v>22.687500000000004</c:v>
                </c:pt>
                <c:pt idx="74">
                  <c:v>21.125</c:v>
                </c:pt>
                <c:pt idx="75">
                  <c:v>18.750000000000004</c:v>
                </c:pt>
                <c:pt idx="76">
                  <c:v>16.875</c:v>
                </c:pt>
                <c:pt idx="77">
                  <c:v>14.374999999999998</c:v>
                </c:pt>
                <c:pt idx="78">
                  <c:v>12.5625</c:v>
                </c:pt>
                <c:pt idx="79">
                  <c:v>9</c:v>
                </c:pt>
                <c:pt idx="80">
                  <c:v>5.6875</c:v>
                </c:pt>
                <c:pt idx="81">
                  <c:v>3.7499999999999996</c:v>
                </c:pt>
                <c:pt idx="82">
                  <c:v>1.8749999999999998</c:v>
                </c:pt>
                <c:pt idx="83">
                  <c:v>-0.1875</c:v>
                </c:pt>
                <c:pt idx="84">
                  <c:v>-1.3125</c:v>
                </c:pt>
                <c:pt idx="85">
                  <c:v>-3.5625</c:v>
                </c:pt>
                <c:pt idx="86">
                  <c:v>-5.875</c:v>
                </c:pt>
                <c:pt idx="87">
                  <c:v>-7.4999999999999991</c:v>
                </c:pt>
                <c:pt idx="88">
                  <c:v>-9.25</c:v>
                </c:pt>
                <c:pt idx="89">
                  <c:v>-10.75</c:v>
                </c:pt>
                <c:pt idx="90">
                  <c:v>-13.062500000000002</c:v>
                </c:pt>
                <c:pt idx="91">
                  <c:v>-14.937499999999998</c:v>
                </c:pt>
                <c:pt idx="92">
                  <c:v>-16.25</c:v>
                </c:pt>
                <c:pt idx="93">
                  <c:v>-18.0625</c:v>
                </c:pt>
                <c:pt idx="94">
                  <c:v>-19.812500000000004</c:v>
                </c:pt>
                <c:pt idx="95">
                  <c:v>-22.3125</c:v>
                </c:pt>
                <c:pt idx="96">
                  <c:v>-23.125</c:v>
                </c:pt>
                <c:pt idx="97">
                  <c:v>-26.4375</c:v>
                </c:pt>
                <c:pt idx="98">
                  <c:v>-27</c:v>
                </c:pt>
                <c:pt idx="99">
                  <c:v>-29.75</c:v>
                </c:pt>
                <c:pt idx="100">
                  <c:v>-30.437499999999993</c:v>
                </c:pt>
                <c:pt idx="101">
                  <c:v>-33.25</c:v>
                </c:pt>
                <c:pt idx="102">
                  <c:v>-34</c:v>
                </c:pt>
                <c:pt idx="103">
                  <c:v>-36.1875</c:v>
                </c:pt>
                <c:pt idx="104">
                  <c:v>-36.625</c:v>
                </c:pt>
                <c:pt idx="105">
                  <c:v>-38</c:v>
                </c:pt>
                <c:pt idx="106">
                  <c:v>-39.8125</c:v>
                </c:pt>
                <c:pt idx="107">
                  <c:v>-41</c:v>
                </c:pt>
                <c:pt idx="108">
                  <c:v>-42.8125</c:v>
                </c:pt>
                <c:pt idx="109">
                  <c:v>-45.1875</c:v>
                </c:pt>
                <c:pt idx="110">
                  <c:v>-46.6875</c:v>
                </c:pt>
                <c:pt idx="111">
                  <c:v>-49.3125</c:v>
                </c:pt>
                <c:pt idx="112">
                  <c:v>-51.749999999999993</c:v>
                </c:pt>
                <c:pt idx="113">
                  <c:v>-52.3125</c:v>
                </c:pt>
                <c:pt idx="114">
                  <c:v>-54.625</c:v>
                </c:pt>
                <c:pt idx="115">
                  <c:v>-56.1875</c:v>
                </c:pt>
                <c:pt idx="116">
                  <c:v>-59.5</c:v>
                </c:pt>
                <c:pt idx="117">
                  <c:v>-60.5625</c:v>
                </c:pt>
                <c:pt idx="118">
                  <c:v>-63.312500000000007</c:v>
                </c:pt>
                <c:pt idx="119">
                  <c:v>-65.3125</c:v>
                </c:pt>
                <c:pt idx="120">
                  <c:v>-66.6875</c:v>
                </c:pt>
                <c:pt idx="121">
                  <c:v>-68.125</c:v>
                </c:pt>
                <c:pt idx="122">
                  <c:v>-68</c:v>
                </c:pt>
                <c:pt idx="123">
                  <c:v>-70.9375</c:v>
                </c:pt>
                <c:pt idx="124">
                  <c:v>-71.375</c:v>
                </c:pt>
                <c:pt idx="125">
                  <c:v>-73.75</c:v>
                </c:pt>
                <c:pt idx="126">
                  <c:v>-73.5625</c:v>
                </c:pt>
                <c:pt idx="127">
                  <c:v>-76.125</c:v>
                </c:pt>
                <c:pt idx="128">
                  <c:v>-76.3125</c:v>
                </c:pt>
                <c:pt idx="129">
                  <c:v>-77.125</c:v>
                </c:pt>
                <c:pt idx="130">
                  <c:v>-76.75</c:v>
                </c:pt>
                <c:pt idx="131">
                  <c:v>-76.0625</c:v>
                </c:pt>
                <c:pt idx="132">
                  <c:v>-76.6875</c:v>
                </c:pt>
                <c:pt idx="133">
                  <c:v>-75.8125</c:v>
                </c:pt>
                <c:pt idx="134">
                  <c:v>-75.3125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6-486E-B0B4-E342D0CFC9DA}"/>
            </c:ext>
          </c:extLst>
        </c:ser>
        <c:ser>
          <c:idx val="1"/>
          <c:order val="1"/>
          <c:tx>
            <c:v>PMKS+ 20 rpm</c:v>
          </c:tx>
          <c:spPr>
            <a:ln w="15875">
              <a:solidFill>
                <a:srgbClr val="1F4E79"/>
              </a:solidFill>
              <a:prstDash val="dash"/>
            </a:ln>
          </c:spPr>
          <c:marker>
            <c:symbol val="none"/>
          </c:marker>
          <c:xVal>
            <c:numRef>
              <c:f>'BNO2 Rate'!$AE$6:$AE$140</c:f>
              <c:numCache>
                <c:formatCode>General</c:formatCode>
                <c:ptCount val="135"/>
                <c:pt idx="0">
                  <c:v>0</c:v>
                </c:pt>
                <c:pt idx="1">
                  <c:v>21</c:v>
                </c:pt>
                <c:pt idx="2">
                  <c:v>41</c:v>
                </c:pt>
                <c:pt idx="3">
                  <c:v>62</c:v>
                </c:pt>
                <c:pt idx="4">
                  <c:v>104</c:v>
                </c:pt>
                <c:pt idx="5">
                  <c:v>125</c:v>
                </c:pt>
                <c:pt idx="6">
                  <c:v>145</c:v>
                </c:pt>
                <c:pt idx="7">
                  <c:v>166</c:v>
                </c:pt>
                <c:pt idx="8">
                  <c:v>186</c:v>
                </c:pt>
                <c:pt idx="9">
                  <c:v>206</c:v>
                </c:pt>
                <c:pt idx="10">
                  <c:v>228</c:v>
                </c:pt>
                <c:pt idx="11">
                  <c:v>249</c:v>
                </c:pt>
                <c:pt idx="12">
                  <c:v>272</c:v>
                </c:pt>
                <c:pt idx="13">
                  <c:v>292</c:v>
                </c:pt>
                <c:pt idx="14">
                  <c:v>315</c:v>
                </c:pt>
                <c:pt idx="15">
                  <c:v>336</c:v>
                </c:pt>
                <c:pt idx="16">
                  <c:v>356</c:v>
                </c:pt>
                <c:pt idx="17">
                  <c:v>377</c:v>
                </c:pt>
                <c:pt idx="18">
                  <c:v>399</c:v>
                </c:pt>
                <c:pt idx="19">
                  <c:v>421</c:v>
                </c:pt>
                <c:pt idx="20">
                  <c:v>443</c:v>
                </c:pt>
                <c:pt idx="21">
                  <c:v>465</c:v>
                </c:pt>
                <c:pt idx="22">
                  <c:v>505</c:v>
                </c:pt>
                <c:pt idx="23">
                  <c:v>528</c:v>
                </c:pt>
                <c:pt idx="24">
                  <c:v>549</c:v>
                </c:pt>
                <c:pt idx="25">
                  <c:v>569</c:v>
                </c:pt>
                <c:pt idx="26">
                  <c:v>590</c:v>
                </c:pt>
                <c:pt idx="27">
                  <c:v>610</c:v>
                </c:pt>
                <c:pt idx="28">
                  <c:v>630</c:v>
                </c:pt>
                <c:pt idx="29">
                  <c:v>651</c:v>
                </c:pt>
                <c:pt idx="30">
                  <c:v>672</c:v>
                </c:pt>
                <c:pt idx="31">
                  <c:v>693</c:v>
                </c:pt>
                <c:pt idx="32">
                  <c:v>713</c:v>
                </c:pt>
                <c:pt idx="33">
                  <c:v>733</c:v>
                </c:pt>
                <c:pt idx="34">
                  <c:v>753</c:v>
                </c:pt>
                <c:pt idx="35">
                  <c:v>773</c:v>
                </c:pt>
                <c:pt idx="36">
                  <c:v>795</c:v>
                </c:pt>
                <c:pt idx="37">
                  <c:v>816</c:v>
                </c:pt>
                <c:pt idx="38">
                  <c:v>836</c:v>
                </c:pt>
                <c:pt idx="39">
                  <c:v>858</c:v>
                </c:pt>
                <c:pt idx="40">
                  <c:v>880</c:v>
                </c:pt>
                <c:pt idx="41">
                  <c:v>910</c:v>
                </c:pt>
                <c:pt idx="42">
                  <c:v>930</c:v>
                </c:pt>
                <c:pt idx="43">
                  <c:v>953</c:v>
                </c:pt>
                <c:pt idx="44">
                  <c:v>973</c:v>
                </c:pt>
                <c:pt idx="45">
                  <c:v>994</c:v>
                </c:pt>
                <c:pt idx="46">
                  <c:v>1016</c:v>
                </c:pt>
                <c:pt idx="47">
                  <c:v>1036</c:v>
                </c:pt>
                <c:pt idx="48">
                  <c:v>1056</c:v>
                </c:pt>
                <c:pt idx="49">
                  <c:v>1076</c:v>
                </c:pt>
                <c:pt idx="50">
                  <c:v>1097</c:v>
                </c:pt>
                <c:pt idx="51">
                  <c:v>1117</c:v>
                </c:pt>
                <c:pt idx="52">
                  <c:v>1138</c:v>
                </c:pt>
                <c:pt idx="53">
                  <c:v>1159</c:v>
                </c:pt>
                <c:pt idx="54">
                  <c:v>1181</c:v>
                </c:pt>
                <c:pt idx="55">
                  <c:v>1202</c:v>
                </c:pt>
                <c:pt idx="56">
                  <c:v>1223</c:v>
                </c:pt>
                <c:pt idx="57">
                  <c:v>1243</c:v>
                </c:pt>
                <c:pt idx="58">
                  <c:v>1263</c:v>
                </c:pt>
                <c:pt idx="59">
                  <c:v>1285</c:v>
                </c:pt>
                <c:pt idx="60">
                  <c:v>1315</c:v>
                </c:pt>
                <c:pt idx="61">
                  <c:v>1335</c:v>
                </c:pt>
                <c:pt idx="62">
                  <c:v>1355</c:v>
                </c:pt>
                <c:pt idx="63">
                  <c:v>1377</c:v>
                </c:pt>
                <c:pt idx="64">
                  <c:v>1399</c:v>
                </c:pt>
                <c:pt idx="65">
                  <c:v>1419</c:v>
                </c:pt>
                <c:pt idx="66">
                  <c:v>1440</c:v>
                </c:pt>
                <c:pt idx="67">
                  <c:v>1461</c:v>
                </c:pt>
                <c:pt idx="68">
                  <c:v>1482</c:v>
                </c:pt>
                <c:pt idx="69">
                  <c:v>1504</c:v>
                </c:pt>
                <c:pt idx="70">
                  <c:v>1526</c:v>
                </c:pt>
                <c:pt idx="71">
                  <c:v>1547</c:v>
                </c:pt>
                <c:pt idx="72">
                  <c:v>1569</c:v>
                </c:pt>
                <c:pt idx="73">
                  <c:v>1589</c:v>
                </c:pt>
                <c:pt idx="74">
                  <c:v>1611</c:v>
                </c:pt>
                <c:pt idx="75">
                  <c:v>1632</c:v>
                </c:pt>
                <c:pt idx="76">
                  <c:v>1652</c:v>
                </c:pt>
                <c:pt idx="77">
                  <c:v>1672</c:v>
                </c:pt>
                <c:pt idx="78">
                  <c:v>1692</c:v>
                </c:pt>
                <c:pt idx="79">
                  <c:v>1723</c:v>
                </c:pt>
                <c:pt idx="80">
                  <c:v>1745</c:v>
                </c:pt>
                <c:pt idx="81">
                  <c:v>1765</c:v>
                </c:pt>
                <c:pt idx="82">
                  <c:v>1786</c:v>
                </c:pt>
                <c:pt idx="83">
                  <c:v>1806</c:v>
                </c:pt>
                <c:pt idx="84">
                  <c:v>1827</c:v>
                </c:pt>
                <c:pt idx="85">
                  <c:v>1847</c:v>
                </c:pt>
                <c:pt idx="86">
                  <c:v>1869</c:v>
                </c:pt>
                <c:pt idx="87">
                  <c:v>1890</c:v>
                </c:pt>
                <c:pt idx="88">
                  <c:v>1911</c:v>
                </c:pt>
                <c:pt idx="89">
                  <c:v>1934</c:v>
                </c:pt>
                <c:pt idx="90">
                  <c:v>1956</c:v>
                </c:pt>
                <c:pt idx="91">
                  <c:v>1978</c:v>
                </c:pt>
                <c:pt idx="92">
                  <c:v>2000</c:v>
                </c:pt>
                <c:pt idx="93">
                  <c:v>2022</c:v>
                </c:pt>
                <c:pt idx="94">
                  <c:v>2042</c:v>
                </c:pt>
                <c:pt idx="95">
                  <c:v>2063</c:v>
                </c:pt>
                <c:pt idx="96">
                  <c:v>2084</c:v>
                </c:pt>
                <c:pt idx="97">
                  <c:v>2123</c:v>
                </c:pt>
                <c:pt idx="98">
                  <c:v>2143</c:v>
                </c:pt>
                <c:pt idx="99">
                  <c:v>2163</c:v>
                </c:pt>
                <c:pt idx="100">
                  <c:v>2184</c:v>
                </c:pt>
                <c:pt idx="101">
                  <c:v>2205</c:v>
                </c:pt>
                <c:pt idx="102">
                  <c:v>2227</c:v>
                </c:pt>
                <c:pt idx="103">
                  <c:v>2249</c:v>
                </c:pt>
                <c:pt idx="104">
                  <c:v>2269</c:v>
                </c:pt>
                <c:pt idx="105">
                  <c:v>2289</c:v>
                </c:pt>
                <c:pt idx="106">
                  <c:v>2310</c:v>
                </c:pt>
                <c:pt idx="107">
                  <c:v>2330</c:v>
                </c:pt>
                <c:pt idx="108">
                  <c:v>2351</c:v>
                </c:pt>
                <c:pt idx="109">
                  <c:v>2373</c:v>
                </c:pt>
                <c:pt idx="110">
                  <c:v>2393</c:v>
                </c:pt>
                <c:pt idx="111">
                  <c:v>2414</c:v>
                </c:pt>
                <c:pt idx="112">
                  <c:v>2434</c:v>
                </c:pt>
                <c:pt idx="113">
                  <c:v>2456</c:v>
                </c:pt>
                <c:pt idx="114">
                  <c:v>2477</c:v>
                </c:pt>
                <c:pt idx="115">
                  <c:v>2498</c:v>
                </c:pt>
                <c:pt idx="116">
                  <c:v>2527</c:v>
                </c:pt>
                <c:pt idx="117">
                  <c:v>2548</c:v>
                </c:pt>
                <c:pt idx="118">
                  <c:v>2569</c:v>
                </c:pt>
                <c:pt idx="119">
                  <c:v>2589</c:v>
                </c:pt>
                <c:pt idx="120">
                  <c:v>2610</c:v>
                </c:pt>
                <c:pt idx="121">
                  <c:v>2632</c:v>
                </c:pt>
                <c:pt idx="122">
                  <c:v>2653</c:v>
                </c:pt>
                <c:pt idx="123">
                  <c:v>2673</c:v>
                </c:pt>
                <c:pt idx="124">
                  <c:v>2693</c:v>
                </c:pt>
                <c:pt idx="125">
                  <c:v>2714</c:v>
                </c:pt>
                <c:pt idx="126">
                  <c:v>2734</c:v>
                </c:pt>
                <c:pt idx="127">
                  <c:v>2755</c:v>
                </c:pt>
                <c:pt idx="128">
                  <c:v>2777</c:v>
                </c:pt>
                <c:pt idx="129">
                  <c:v>2798</c:v>
                </c:pt>
                <c:pt idx="130">
                  <c:v>2818</c:v>
                </c:pt>
                <c:pt idx="131">
                  <c:v>2839</c:v>
                </c:pt>
                <c:pt idx="132">
                  <c:v>2859</c:v>
                </c:pt>
                <c:pt idx="133">
                  <c:v>2881</c:v>
                </c:pt>
                <c:pt idx="134">
                  <c:v>2903</c:v>
                </c:pt>
              </c:numCache>
            </c:numRef>
          </c:xVal>
          <c:yVal>
            <c:numRef>
              <c:f>'BNO2 Rate'!$AG$6:$AG$140</c:f>
              <c:numCache>
                <c:formatCode>General</c:formatCode>
                <c:ptCount val="135"/>
                <c:pt idx="0">
                  <c:v>-60.627094738700748</c:v>
                </c:pt>
                <c:pt idx="1">
                  <c:v>-57.053139548497683</c:v>
                </c:pt>
                <c:pt idx="2">
                  <c:v>-53.279572941782817</c:v>
                </c:pt>
                <c:pt idx="3">
                  <c:v>-49.087018742236296</c:v>
                </c:pt>
                <c:pt idx="4">
                  <c:v>-40.095887046893473</c:v>
                </c:pt>
                <c:pt idx="5">
                  <c:v>-35.320984515133958</c:v>
                </c:pt>
                <c:pt idx="6">
                  <c:v>-30.704154777522799</c:v>
                </c:pt>
                <c:pt idx="7">
                  <c:v>-25.85040912126972</c:v>
                </c:pt>
                <c:pt idx="8">
                  <c:v>-21.175034167705654</c:v>
                </c:pt>
                <c:pt idx="9">
                  <c:v>-16.55711738368791</c:v>
                </c:pt>
                <c:pt idx="10">
                  <c:v>-11.516038142350176</c:v>
                </c:pt>
                <c:pt idx="11">
                  <c:v>-6.8208711579558425</c:v>
                </c:pt>
                <c:pt idx="12">
                  <c:v>-1.8216999627932748</c:v>
                </c:pt>
                <c:pt idx="13">
                  <c:v>2.3628673598304175</c:v>
                </c:pt>
                <c:pt idx="14">
                  <c:v>7.0320184472804295</c:v>
                </c:pt>
                <c:pt idx="15">
                  <c:v>11.071097039108224</c:v>
                </c:pt>
                <c:pt idx="16">
                  <c:v>14.798858579393837</c:v>
                </c:pt>
                <c:pt idx="17">
                  <c:v>18.462124231555492</c:v>
                </c:pt>
                <c:pt idx="18">
                  <c:v>22.157825421072193</c:v>
                </c:pt>
                <c:pt idx="19">
                  <c:v>25.630828738589312</c:v>
                </c:pt>
                <c:pt idx="20">
                  <c:v>28.880046001586027</c:v>
                </c:pt>
                <c:pt idx="21">
                  <c:v>31.935410450325776</c:v>
                </c:pt>
                <c:pt idx="22">
                  <c:v>37.03072348125901</c:v>
                </c:pt>
                <c:pt idx="23">
                  <c:v>39.62943274874042</c:v>
                </c:pt>
                <c:pt idx="24">
                  <c:v>41.867296161662352</c:v>
                </c:pt>
                <c:pt idx="25">
                  <c:v>43.836214939815669</c:v>
                </c:pt>
                <c:pt idx="26">
                  <c:v>45.790586361878255</c:v>
                </c:pt>
                <c:pt idx="27">
                  <c:v>47.484052452144624</c:v>
                </c:pt>
                <c:pt idx="28">
                  <c:v>49.062951526851187</c:v>
                </c:pt>
                <c:pt idx="29">
                  <c:v>50.58588810469594</c:v>
                </c:pt>
                <c:pt idx="30">
                  <c:v>51.971921115193766</c:v>
                </c:pt>
                <c:pt idx="31">
                  <c:v>53.241084311834321</c:v>
                </c:pt>
                <c:pt idx="32">
                  <c:v>54.331748314581333</c:v>
                </c:pt>
                <c:pt idx="33">
                  <c:v>55.347422179472083</c:v>
                </c:pt>
                <c:pt idx="34">
                  <c:v>56.228616404350049</c:v>
                </c:pt>
                <c:pt idx="35">
                  <c:v>57.040828003313663</c:v>
                </c:pt>
                <c:pt idx="36">
                  <c:v>57.794884882380231</c:v>
                </c:pt>
                <c:pt idx="37">
                  <c:v>58.39333762096657</c:v>
                </c:pt>
                <c:pt idx="38">
                  <c:v>58.903926737146065</c:v>
                </c:pt>
                <c:pt idx="39">
                  <c:v>59.356918571871461</c:v>
                </c:pt>
                <c:pt idx="40">
                  <c:v>59.698646810483275</c:v>
                </c:pt>
                <c:pt idx="41">
                  <c:v>60.016651066565437</c:v>
                </c:pt>
                <c:pt idx="42">
                  <c:v>60.08981712873689</c:v>
                </c:pt>
                <c:pt idx="43">
                  <c:v>60.095783767170225</c:v>
                </c:pt>
                <c:pt idx="44">
                  <c:v>60.031069429898771</c:v>
                </c:pt>
                <c:pt idx="45">
                  <c:v>59.830845769167752</c:v>
                </c:pt>
                <c:pt idx="46">
                  <c:v>59.554481189516714</c:v>
                </c:pt>
                <c:pt idx="47">
                  <c:v>59.239973715020199</c:v>
                </c:pt>
                <c:pt idx="48">
                  <c:v>58.812644931159177</c:v>
                </c:pt>
                <c:pt idx="49">
                  <c:v>58.329622379033424</c:v>
                </c:pt>
                <c:pt idx="50">
                  <c:v>57.70773445549262</c:v>
                </c:pt>
                <c:pt idx="51">
                  <c:v>57.041409164066657</c:v>
                </c:pt>
                <c:pt idx="52">
                  <c:v>56.243553109362196</c:v>
                </c:pt>
                <c:pt idx="53">
                  <c:v>55.39823974005094</c:v>
                </c:pt>
                <c:pt idx="54">
                  <c:v>54.395304163308509</c:v>
                </c:pt>
                <c:pt idx="55">
                  <c:v>53.32250369480515</c:v>
                </c:pt>
                <c:pt idx="56">
                  <c:v>52.194652250916434</c:v>
                </c:pt>
                <c:pt idx="57">
                  <c:v>51.006945420630338</c:v>
                </c:pt>
                <c:pt idx="58">
                  <c:v>49.769338793464442</c:v>
                </c:pt>
                <c:pt idx="59">
                  <c:v>48.318116737931433</c:v>
                </c:pt>
                <c:pt idx="60">
                  <c:v>46.237097411636313</c:v>
                </c:pt>
                <c:pt idx="61">
                  <c:v>44.733168146693963</c:v>
                </c:pt>
                <c:pt idx="62">
                  <c:v>43.207144180211301</c:v>
                </c:pt>
                <c:pt idx="63">
                  <c:v>41.407209062111789</c:v>
                </c:pt>
                <c:pt idx="64">
                  <c:v>39.571171081886774</c:v>
                </c:pt>
                <c:pt idx="65">
                  <c:v>37.847472148878154</c:v>
                </c:pt>
                <c:pt idx="66">
                  <c:v>35.970448826174938</c:v>
                </c:pt>
                <c:pt idx="67">
                  <c:v>34.059689287964034</c:v>
                </c:pt>
                <c:pt idx="68">
                  <c:v>32.110128484704916</c:v>
                </c:pt>
                <c:pt idx="69">
                  <c:v>30.068130026216462</c:v>
                </c:pt>
                <c:pt idx="70">
                  <c:v>27.969178114566489</c:v>
                </c:pt>
                <c:pt idx="71">
                  <c:v>25.947759713572935</c:v>
                </c:pt>
                <c:pt idx="72">
                  <c:v>23.830134536253638</c:v>
                </c:pt>
                <c:pt idx="73">
                  <c:v>21.904973648000517</c:v>
                </c:pt>
                <c:pt idx="74">
                  <c:v>19.787348960560511</c:v>
                </c:pt>
                <c:pt idx="75">
                  <c:v>17.765929010004754</c:v>
                </c:pt>
                <c:pt idx="76">
                  <c:v>15.898121912444054</c:v>
                </c:pt>
                <c:pt idx="77">
                  <c:v>14.016301477216928</c:v>
                </c:pt>
                <c:pt idx="78">
                  <c:v>12.132397763772188</c:v>
                </c:pt>
                <c:pt idx="79">
                  <c:v>9.3004436598109805</c:v>
                </c:pt>
                <c:pt idx="80">
                  <c:v>7.3340416235656676</c:v>
                </c:pt>
                <c:pt idx="81">
                  <c:v>5.5463984003079085</c:v>
                </c:pt>
                <c:pt idx="82">
                  <c:v>3.7299324429308736</c:v>
                </c:pt>
                <c:pt idx="83">
                  <c:v>2.0131870879540372</c:v>
                </c:pt>
                <c:pt idx="84">
                  <c:v>0.26881603658588915</c:v>
                </c:pt>
                <c:pt idx="85">
                  <c:v>-1.381260541758536</c:v>
                </c:pt>
                <c:pt idx="86">
                  <c:v>-3.1963856947436682</c:v>
                </c:pt>
                <c:pt idx="87">
                  <c:v>-4.881540376523902</c:v>
                </c:pt>
                <c:pt idx="88">
                  <c:v>-6.5095725006046052</c:v>
                </c:pt>
                <c:pt idx="89">
                  <c:v>-8.3044084257788029</c:v>
                </c:pt>
                <c:pt idx="90">
                  <c:v>-9.9682648596219376</c:v>
                </c:pt>
                <c:pt idx="91">
                  <c:v>-11.632117272710786</c:v>
                </c:pt>
                <c:pt idx="92">
                  <c:v>-13.295987431530278</c:v>
                </c:pt>
                <c:pt idx="93">
                  <c:v>-14.946862368702771</c:v>
                </c:pt>
                <c:pt idx="94">
                  <c:v>-16.415198179275361</c:v>
                </c:pt>
                <c:pt idx="95">
                  <c:v>-17.959780473964742</c:v>
                </c:pt>
                <c:pt idx="96">
                  <c:v>-19.504300167872628</c:v>
                </c:pt>
                <c:pt idx="97">
                  <c:v>-22.36937552379473</c:v>
                </c:pt>
                <c:pt idx="98">
                  <c:v>-23.881967239812809</c:v>
                </c:pt>
                <c:pt idx="99">
                  <c:v>-25.337267690384436</c:v>
                </c:pt>
                <c:pt idx="100">
                  <c:v>-26.92550910333577</c:v>
                </c:pt>
                <c:pt idx="101">
                  <c:v>-28.52367383114569</c:v>
                </c:pt>
                <c:pt idx="102">
                  <c:v>-30.234949457658075</c:v>
                </c:pt>
                <c:pt idx="103">
                  <c:v>-31.948857355937378</c:v>
                </c:pt>
                <c:pt idx="104">
                  <c:v>-33.524494065046042</c:v>
                </c:pt>
                <c:pt idx="105">
                  <c:v>-35.143421814844032</c:v>
                </c:pt>
                <c:pt idx="106">
                  <c:v>-36.831345525071754</c:v>
                </c:pt>
                <c:pt idx="107">
                  <c:v>-38.52834652640675</c:v>
                </c:pt>
                <c:pt idx="108">
                  <c:v>-40.303090395011793</c:v>
                </c:pt>
                <c:pt idx="109">
                  <c:v>-42.193074863295067</c:v>
                </c:pt>
                <c:pt idx="110">
                  <c:v>-43.938789866703836</c:v>
                </c:pt>
                <c:pt idx="111">
                  <c:v>-45.815811178517521</c:v>
                </c:pt>
                <c:pt idx="112">
                  <c:v>-47.6034631986183</c:v>
                </c:pt>
                <c:pt idx="113">
                  <c:v>-49.627105650496581</c:v>
                </c:pt>
                <c:pt idx="114">
                  <c:v>-51.559248692810598</c:v>
                </c:pt>
                <c:pt idx="115">
                  <c:v>-53.546229409736071</c:v>
                </c:pt>
                <c:pt idx="116">
                  <c:v>-56.257531750093619</c:v>
                </c:pt>
                <c:pt idx="117">
                  <c:v>-58.244991135644831</c:v>
                </c:pt>
                <c:pt idx="118">
                  <c:v>-60.183832251196257</c:v>
                </c:pt>
                <c:pt idx="119">
                  <c:v>-62.030507580848194</c:v>
                </c:pt>
                <c:pt idx="120">
                  <c:v>-63.927659551125601</c:v>
                </c:pt>
                <c:pt idx="121">
                  <c:v>-65.857187888691669</c:v>
                </c:pt>
                <c:pt idx="122">
                  <c:v>-67.594582123808422</c:v>
                </c:pt>
                <c:pt idx="123">
                  <c:v>-69.180013928436381</c:v>
                </c:pt>
                <c:pt idx="124">
                  <c:v>-70.637554771762893</c:v>
                </c:pt>
                <c:pt idx="125">
                  <c:v>-71.988766647174771</c:v>
                </c:pt>
                <c:pt idx="126">
                  <c:v>-73.143323475729147</c:v>
                </c:pt>
                <c:pt idx="127">
                  <c:v>-74.130048349993174</c:v>
                </c:pt>
                <c:pt idx="128">
                  <c:v>-74.909174222432739</c:v>
                </c:pt>
                <c:pt idx="129">
                  <c:v>-75.355564468680512</c:v>
                </c:pt>
                <c:pt idx="130">
                  <c:v>-75.458500000000001</c:v>
                </c:pt>
                <c:pt idx="131">
                  <c:v>-75.275413905815952</c:v>
                </c:pt>
                <c:pt idx="132">
                  <c:v>-74.755520012577577</c:v>
                </c:pt>
                <c:pt idx="133">
                  <c:v>-73.75620112470051</c:v>
                </c:pt>
                <c:pt idx="134">
                  <c:v>-72.347959704993173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86-486E-B0B4-E342D0CFC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90"/>
          <c:min val="-9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Angular velocity (deg/s)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50112"/>
        <c:crosses val="autoZero"/>
        <c:crossBetween val="midCat"/>
        <c:majorUnit val="30"/>
      </c:valAx>
      <c:valAx>
        <c:axId val="48650112"/>
        <c:scaling>
          <c:orientation val="minMax"/>
          <c:max val="3200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2400">
                    <a:solidFill>
                      <a:srgbClr val="000000"/>
                    </a:solidFill>
                    <a:latin typeface="Times New Roman" panose="02020603050405020304" pitchFamily="18" charset="0"/>
                  </a:rPr>
                  <a:t>Elapsed time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txPr>
          <a:bodyPr/>
          <a:lstStyle/>
          <a:p>
            <a:pPr>
              <a:defRPr sz="24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672768"/>
        <c:crossesAt val="-90"/>
        <c:crossBetween val="midCat"/>
        <c:majorUnit val="1000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>
            <a:defRPr sz="220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txPr>
    <a:bodyPr/>
    <a:lstStyle/>
    <a:p>
      <a:pPr>
        <a:defRPr sz="240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133350</xdr:rowOff>
    </xdr:from>
    <xdr:to>
      <xdr:col>7</xdr:col>
      <xdr:colOff>800100</xdr:colOff>
      <xdr:row>28</xdr:row>
      <xdr:rowOff>6350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29</xdr:row>
      <xdr:rowOff>22225</xdr:rowOff>
    </xdr:from>
    <xdr:to>
      <xdr:col>7</xdr:col>
      <xdr:colOff>800100</xdr:colOff>
      <xdr:row>52</xdr:row>
      <xdr:rowOff>133350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53</xdr:row>
      <xdr:rowOff>149225</xdr:rowOff>
    </xdr:from>
    <xdr:to>
      <xdr:col>7</xdr:col>
      <xdr:colOff>800100</xdr:colOff>
      <xdr:row>81</xdr:row>
      <xdr:rowOff>41275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133350</xdr:rowOff>
    </xdr:from>
    <xdr:to>
      <xdr:col>7</xdr:col>
      <xdr:colOff>800100</xdr:colOff>
      <xdr:row>28</xdr:row>
      <xdr:rowOff>6350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29</xdr:row>
      <xdr:rowOff>22225</xdr:rowOff>
    </xdr:from>
    <xdr:to>
      <xdr:col>7</xdr:col>
      <xdr:colOff>800100</xdr:colOff>
      <xdr:row>52</xdr:row>
      <xdr:rowOff>133350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53</xdr:row>
      <xdr:rowOff>149225</xdr:rowOff>
    </xdr:from>
    <xdr:to>
      <xdr:col>7</xdr:col>
      <xdr:colOff>800100</xdr:colOff>
      <xdr:row>77</xdr:row>
      <xdr:rowOff>22225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78</xdr:row>
      <xdr:rowOff>38100</xdr:rowOff>
    </xdr:from>
    <xdr:to>
      <xdr:col>7</xdr:col>
      <xdr:colOff>800100</xdr:colOff>
      <xdr:row>101</xdr:row>
      <xdr:rowOff>149225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102</xdr:row>
      <xdr:rowOff>165100</xdr:rowOff>
    </xdr:from>
    <xdr:to>
      <xdr:col>7</xdr:col>
      <xdr:colOff>800100</xdr:colOff>
      <xdr:row>126</xdr:row>
      <xdr:rowOff>38100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190500</xdr:colOff>
      <xdr:row>127</xdr:row>
      <xdr:rowOff>53975</xdr:rowOff>
    </xdr:from>
    <xdr:to>
      <xdr:col>7</xdr:col>
      <xdr:colOff>800100</xdr:colOff>
      <xdr:row>150</xdr:row>
      <xdr:rowOff>165100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190500</xdr:colOff>
      <xdr:row>151</xdr:row>
      <xdr:rowOff>180975</xdr:rowOff>
    </xdr:from>
    <xdr:to>
      <xdr:col>7</xdr:col>
      <xdr:colOff>800100</xdr:colOff>
      <xdr:row>175</xdr:row>
      <xdr:rowOff>53975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190500</xdr:colOff>
      <xdr:row>176</xdr:row>
      <xdr:rowOff>69850</xdr:rowOff>
    </xdr:from>
    <xdr:to>
      <xdr:col>7</xdr:col>
      <xdr:colOff>800100</xdr:colOff>
      <xdr:row>199</xdr:row>
      <xdr:rowOff>180975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190500</xdr:colOff>
      <xdr:row>200</xdr:row>
      <xdr:rowOff>196850</xdr:rowOff>
    </xdr:from>
    <xdr:to>
      <xdr:col>7</xdr:col>
      <xdr:colOff>800100</xdr:colOff>
      <xdr:row>230</xdr:row>
      <xdr:rowOff>69850</xdr:rowOff>
    </xdr:to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workbookViewId="0"/>
  </sheetViews>
  <sheetFormatPr defaultRowHeight="14.25"/>
  <cols>
    <col min="1" max="1" width="39" customWidth="1"/>
    <col min="2" max="2" width="15" customWidth="1"/>
    <col min="3" max="4" width="19" customWidth="1"/>
    <col min="5" max="5" width="15" customWidth="1"/>
    <col min="6" max="6" width="16" customWidth="1"/>
  </cols>
  <sheetData>
    <row r="1" spans="1:6" ht="18.95" customHeight="1">
      <c r="A1" s="2" t="s">
        <v>0</v>
      </c>
      <c r="B1" s="1"/>
      <c r="C1" s="1"/>
      <c r="D1" s="1"/>
      <c r="E1" s="1"/>
      <c r="F1" s="1"/>
    </row>
    <row r="2" spans="1:6" ht="6" customHeight="1">
      <c r="A2" s="1"/>
      <c r="B2" s="1"/>
      <c r="C2" s="1"/>
      <c r="D2" s="1"/>
      <c r="E2" s="1"/>
      <c r="F2" s="1"/>
    </row>
    <row r="3" spans="1:6" ht="6" customHeight="1">
      <c r="A3" s="1"/>
      <c r="B3" s="1"/>
      <c r="C3" s="1"/>
      <c r="D3" s="1"/>
      <c r="E3" s="1"/>
      <c r="F3" s="1"/>
    </row>
    <row r="4" spans="1:6" ht="33.950000000000003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1"/>
    </row>
    <row r="5" spans="1:6" ht="18.95" customHeight="1">
      <c r="A5" s="1" t="s">
        <v>6</v>
      </c>
      <c r="B5" s="4">
        <f>COUNT('Paired Data'!B6:B140)</f>
        <v>135</v>
      </c>
      <c r="C5" s="5">
        <f>SQRT(SUM('Paired Data'!E6:E140)/B5)</f>
        <v>6.7833979327630328E-2</v>
      </c>
      <c r="D5" s="4">
        <f>COUNT('Paired Data'!D6:D140)</f>
        <v>135</v>
      </c>
      <c r="E5" s="1" t="s">
        <v>7</v>
      </c>
      <c r="F5" s="1"/>
    </row>
    <row r="6" spans="1:6" ht="18.95" customHeight="1">
      <c r="A6" s="1" t="s">
        <v>8</v>
      </c>
      <c r="B6" s="4">
        <f>COUNT('Paired Data'!B6:B140)</f>
        <v>135</v>
      </c>
      <c r="C6" s="5">
        <f>SQRT(SUM('Paired Data'!H6:H140)/B6)</f>
        <v>7.6611008762048294E-2</v>
      </c>
      <c r="D6" s="4">
        <f>COUNT('Paired Data'!G6:G140)</f>
        <v>135</v>
      </c>
      <c r="E6" s="1" t="s">
        <v>7</v>
      </c>
      <c r="F6" s="1"/>
    </row>
    <row r="7" spans="1:6" ht="18.95" customHeight="1">
      <c r="A7" s="1" t="s">
        <v>9</v>
      </c>
      <c r="B7" s="4">
        <f>COUNT('Paired Data'!B6:B140)</f>
        <v>135</v>
      </c>
      <c r="C7" s="5">
        <f>SQRT(SUM('Paired Data'!K6:K140)/B7)</f>
        <v>7.5544055136211263E-2</v>
      </c>
      <c r="D7" s="4">
        <f>COUNT('Paired Data'!J6:J140)</f>
        <v>135</v>
      </c>
      <c r="E7" s="1" t="s">
        <v>7</v>
      </c>
      <c r="F7" s="1"/>
    </row>
    <row r="8" spans="1:6" ht="18.95" customHeight="1">
      <c r="A8" s="1"/>
      <c r="B8" s="4"/>
      <c r="C8" s="5"/>
      <c r="D8" s="4"/>
      <c r="E8" s="1"/>
      <c r="F8" s="1"/>
    </row>
    <row r="9" spans="1:6" ht="18.95" customHeight="1">
      <c r="A9" s="1"/>
      <c r="B9" s="1"/>
      <c r="C9" s="1"/>
      <c r="D9" s="1"/>
      <c r="E9" s="1"/>
      <c r="F9" s="1"/>
    </row>
    <row r="10" spans="1:6" ht="18.95" customHeight="1">
      <c r="A10" s="1" t="s">
        <v>10</v>
      </c>
      <c r="B10" s="7">
        <v>20</v>
      </c>
      <c r="C10" s="1"/>
      <c r="D10" s="1"/>
      <c r="E10" s="1"/>
      <c r="F10" s="1"/>
    </row>
    <row r="11" spans="1:6" ht="18.95" customHeight="1">
      <c r="A11" s="1" t="s">
        <v>11</v>
      </c>
      <c r="B11" s="6">
        <f>60000/B10</f>
        <v>3000</v>
      </c>
      <c r="C11" s="1"/>
      <c r="D11" s="1"/>
      <c r="E11" s="1"/>
      <c r="F11" s="1"/>
    </row>
    <row r="12" spans="1:6" ht="18.95" customHeight="1">
      <c r="A12" s="1" t="s">
        <v>12</v>
      </c>
      <c r="B12" s="4">
        <f>COUNT('Native PMKS'!A6:A366)</f>
        <v>361</v>
      </c>
      <c r="C12" s="1"/>
      <c r="D12" s="1"/>
      <c r="E12" s="1"/>
      <c r="F12" s="1"/>
    </row>
    <row r="13" spans="1:6" ht="18.95" customHeight="1">
      <c r="A13" s="1" t="s">
        <v>13</v>
      </c>
      <c r="B13" s="4">
        <f>B12-1</f>
        <v>360</v>
      </c>
      <c r="C13" s="1"/>
      <c r="D13" s="1"/>
      <c r="E13" s="1"/>
      <c r="F13" s="1"/>
    </row>
    <row r="14" spans="1:6" ht="18.95" customHeight="1">
      <c r="A14" s="1" t="s">
        <v>14</v>
      </c>
      <c r="B14" s="6">
        <f>B11/B13</f>
        <v>8.3333333333333339</v>
      </c>
      <c r="C14" s="1"/>
      <c r="D14" s="1"/>
      <c r="E14" s="1"/>
      <c r="F14" s="1"/>
    </row>
    <row r="15" spans="1:6" ht="18.95" customHeight="1">
      <c r="A15" s="1" t="s">
        <v>15</v>
      </c>
      <c r="B15" s="4">
        <v>360</v>
      </c>
      <c r="C15" s="1"/>
      <c r="D15" s="1"/>
      <c r="E15" s="1"/>
      <c r="F15" s="1"/>
    </row>
    <row r="16" spans="1:6" ht="18.95" customHeight="1">
      <c r="A16" s="1" t="s">
        <v>16</v>
      </c>
      <c r="B16" s="4">
        <f>B15-1</f>
        <v>359</v>
      </c>
      <c r="C16" s="1"/>
      <c r="D16" s="1"/>
      <c r="E16" s="1"/>
      <c r="F16" s="1"/>
    </row>
    <row r="17" spans="1:6" ht="18.95" customHeight="1">
      <c r="A17" s="1" t="s">
        <v>17</v>
      </c>
      <c r="B17" s="6">
        <f>B11/B16</f>
        <v>8.3565459610027855</v>
      </c>
      <c r="C17" s="1"/>
      <c r="D17" s="1"/>
      <c r="E17" s="1"/>
      <c r="F17" s="1"/>
    </row>
    <row r="18" spans="1:6" ht="18.95" customHeight="1">
      <c r="A18" s="1" t="s">
        <v>18</v>
      </c>
      <c r="B18" s="7">
        <v>359.36899485587509</v>
      </c>
      <c r="C18" s="1"/>
      <c r="D18" s="1"/>
      <c r="E18" s="1"/>
      <c r="F18" s="1"/>
    </row>
    <row r="19" spans="1:6" ht="18.95" customHeight="1">
      <c r="A19" s="1" t="s">
        <v>19</v>
      </c>
      <c r="B19" s="6">
        <f>DEGREES(ATAN2('Native PMKS'!D6,'Native PMKS'!E6))</f>
        <v>0</v>
      </c>
      <c r="C19" s="1"/>
      <c r="D19" s="1"/>
      <c r="E19" s="1"/>
      <c r="F19" s="1"/>
    </row>
    <row r="20" spans="1:6" ht="18.95" customHeight="1">
      <c r="A20" s="1" t="s">
        <v>20</v>
      </c>
      <c r="B20" s="6">
        <f>MOD(B18-B19,360)/360*B11</f>
        <v>2994.7416237989592</v>
      </c>
      <c r="C20" s="1"/>
      <c r="D20" s="1"/>
      <c r="E20" s="1"/>
      <c r="F20" s="1"/>
    </row>
    <row r="21" spans="1:6" ht="18.95" customHeight="1">
      <c r="A21" s="1" t="s">
        <v>21</v>
      </c>
      <c r="B21" s="4">
        <v>694</v>
      </c>
      <c r="C21" s="1"/>
      <c r="D21" s="1"/>
      <c r="E21" s="1"/>
      <c r="F21" s="1"/>
    </row>
    <row r="22" spans="1:6" ht="18.95" customHeight="1">
      <c r="A22" s="1" t="s">
        <v>22</v>
      </c>
      <c r="B22" s="4">
        <v>828</v>
      </c>
      <c r="C22" s="1"/>
      <c r="D22" s="1"/>
      <c r="E22" s="1"/>
      <c r="F22" s="1"/>
    </row>
    <row r="23" spans="1:6" ht="18.95" customHeight="1">
      <c r="A23" s="1" t="s">
        <v>23</v>
      </c>
      <c r="B23" s="4">
        <v>17809</v>
      </c>
      <c r="C23" s="1"/>
      <c r="D23" s="1"/>
      <c r="E23" s="1"/>
      <c r="F23" s="1"/>
    </row>
    <row r="24" spans="1:6" ht="18.95" customHeight="1">
      <c r="A24" s="1" t="s">
        <v>24</v>
      </c>
      <c r="B24" s="6">
        <f>B23-'BNO1 Rate'!B6</f>
        <v>2934</v>
      </c>
      <c r="C24" s="1"/>
      <c r="D24" s="1"/>
      <c r="E24" s="1"/>
      <c r="F24" s="1"/>
    </row>
    <row r="25" spans="1:6" ht="18.95" customHeight="1">
      <c r="A25" s="1" t="s">
        <v>25</v>
      </c>
      <c r="B25" s="6">
        <f>60000/B24</f>
        <v>20.449897750511248</v>
      </c>
      <c r="C25" s="1"/>
      <c r="D25" s="1"/>
      <c r="E25" s="1"/>
      <c r="F25" s="1"/>
    </row>
    <row r="26" spans="1:6" ht="18.95" customHeight="1">
      <c r="A26" s="1"/>
      <c r="B26" s="1"/>
      <c r="C26" s="1"/>
      <c r="D26" s="1"/>
      <c r="E26" s="1"/>
      <c r="F26" s="1"/>
    </row>
    <row r="27" spans="1:6" ht="18.95" customHeight="1">
      <c r="A27" s="1"/>
      <c r="B27" s="1"/>
      <c r="C27" s="1"/>
      <c r="D27" s="1"/>
      <c r="E27" s="1"/>
      <c r="F27" s="1"/>
    </row>
    <row r="28" spans="1:6" ht="18.95" customHeight="1">
      <c r="A28" s="1"/>
      <c r="B28" s="1"/>
      <c r="C28" s="1"/>
      <c r="D28" s="1"/>
      <c r="E28" s="1"/>
      <c r="F28" s="1"/>
    </row>
    <row r="29" spans="1:6" ht="18.95" customHeight="1">
      <c r="A29" s="1"/>
      <c r="B29" s="1"/>
      <c r="C29" s="1"/>
      <c r="D29" s="1"/>
      <c r="E29" s="1"/>
      <c r="F29" s="1"/>
    </row>
    <row r="30" spans="1:6" ht="18.95" customHeight="1">
      <c r="A30" s="1"/>
      <c r="B30" s="1"/>
      <c r="C30" s="1"/>
      <c r="D30" s="1"/>
      <c r="E30" s="1"/>
      <c r="F30" s="1"/>
    </row>
    <row r="31" spans="1:6" ht="18.95" customHeight="1">
      <c r="A31" s="1"/>
      <c r="B31" s="1"/>
      <c r="C31" s="1"/>
      <c r="D31" s="1"/>
      <c r="E31" s="1"/>
      <c r="F31" s="1"/>
    </row>
    <row r="32" spans="1:6" ht="18.95" customHeight="1">
      <c r="A32" s="1"/>
      <c r="B32" s="1"/>
      <c r="C32" s="1"/>
      <c r="D32" s="1"/>
      <c r="E32" s="1"/>
      <c r="F32" s="1"/>
    </row>
    <row r="33" spans="1:6" ht="18.95" customHeight="1">
      <c r="A33" s="1"/>
      <c r="B33" s="1"/>
      <c r="C33" s="1"/>
      <c r="D33" s="1"/>
      <c r="E33" s="1"/>
      <c r="F33" s="1"/>
    </row>
    <row r="34" spans="1:6" ht="18.95" customHeight="1">
      <c r="A34" s="1"/>
      <c r="B34" s="1"/>
      <c r="C34" s="1"/>
      <c r="D34" s="1"/>
      <c r="E34" s="1"/>
      <c r="F34" s="1"/>
    </row>
    <row r="35" spans="1:6" ht="18.95" customHeight="1">
      <c r="A35" s="1"/>
      <c r="B35" s="1"/>
      <c r="C35" s="1"/>
      <c r="D35" s="1"/>
      <c r="E35" s="1"/>
      <c r="F35" s="1"/>
    </row>
    <row r="36" spans="1:6" ht="18.95" customHeight="1">
      <c r="A36" s="1"/>
      <c r="B36" s="1"/>
      <c r="C36" s="1"/>
      <c r="D36" s="1"/>
      <c r="E36" s="1"/>
      <c r="F36" s="1"/>
    </row>
    <row r="37" spans="1:6" ht="18.95" customHeight="1">
      <c r="A37" s="1"/>
      <c r="B37" s="1"/>
      <c r="C37" s="1"/>
      <c r="D37" s="1"/>
      <c r="E37" s="1"/>
      <c r="F37" s="1"/>
    </row>
    <row r="38" spans="1:6" ht="18.95" customHeight="1">
      <c r="A38" s="1"/>
      <c r="B38" s="1"/>
      <c r="C38" s="1"/>
      <c r="D38" s="1"/>
      <c r="E38" s="1"/>
      <c r="F38" s="1"/>
    </row>
    <row r="39" spans="1:6" ht="18.95" customHeight="1">
      <c r="A39" s="1"/>
      <c r="B39" s="1"/>
      <c r="C39" s="1"/>
      <c r="D39" s="1"/>
      <c r="E39" s="1"/>
      <c r="F39" s="1"/>
    </row>
    <row r="40" spans="1:6" ht="18.95" customHeight="1">
      <c r="A40" s="1"/>
      <c r="B40" s="1"/>
      <c r="C40" s="1"/>
      <c r="D40" s="1"/>
      <c r="E40" s="1"/>
      <c r="F40" s="1"/>
    </row>
    <row r="41" spans="1:6" ht="18.95" customHeight="1">
      <c r="A41" s="1"/>
      <c r="B41" s="1"/>
      <c r="C41" s="1"/>
      <c r="D41" s="1"/>
      <c r="E41" s="1"/>
      <c r="F41" s="1"/>
    </row>
    <row r="42" spans="1:6" ht="18.95" customHeight="1">
      <c r="A42" s="1"/>
      <c r="B42" s="1"/>
      <c r="C42" s="1"/>
      <c r="D42" s="1"/>
      <c r="E42" s="1"/>
      <c r="F42" s="1"/>
    </row>
    <row r="43" spans="1:6" ht="18.95" customHeight="1">
      <c r="A43" s="1"/>
      <c r="B43" s="1"/>
      <c r="C43" s="1"/>
      <c r="D43" s="1"/>
      <c r="E43" s="1"/>
      <c r="F43" s="1"/>
    </row>
    <row r="44" spans="1:6" ht="18.95" customHeight="1">
      <c r="A44" s="1"/>
      <c r="B44" s="1"/>
      <c r="C44" s="1"/>
      <c r="D44" s="1"/>
      <c r="E44" s="1"/>
      <c r="F44" s="1"/>
    </row>
    <row r="45" spans="1:6" ht="18.95" customHeight="1">
      <c r="A45" s="1"/>
      <c r="B45" s="1"/>
      <c r="C45" s="1"/>
      <c r="D45" s="1"/>
      <c r="E45" s="1"/>
      <c r="F45" s="1"/>
    </row>
    <row r="46" spans="1:6" ht="18.95" customHeight="1">
      <c r="A46" s="1"/>
      <c r="B46" s="1"/>
      <c r="C46" s="1"/>
      <c r="D46" s="1"/>
      <c r="E46" s="1"/>
      <c r="F46" s="1"/>
    </row>
    <row r="47" spans="1:6" ht="18.95" customHeight="1">
      <c r="A47" s="1"/>
      <c r="B47" s="1"/>
      <c r="C47" s="1"/>
      <c r="D47" s="1"/>
      <c r="E47" s="1"/>
      <c r="F47" s="1"/>
    </row>
    <row r="48" spans="1:6" ht="18.95" customHeight="1">
      <c r="A48" s="1"/>
      <c r="B48" s="1"/>
      <c r="C48" s="1"/>
      <c r="D48" s="1"/>
      <c r="E48" s="1"/>
      <c r="F48" s="1"/>
    </row>
    <row r="49" spans="1:6" ht="18.95" customHeight="1">
      <c r="A49" s="1"/>
      <c r="B49" s="1"/>
      <c r="C49" s="1"/>
      <c r="D49" s="1"/>
      <c r="E49" s="1"/>
      <c r="F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1" width="16" customWidth="1"/>
  </cols>
  <sheetData>
    <row r="1" spans="1:11" ht="18.95" customHeight="1">
      <c r="A1" s="2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8" customHeight="1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</row>
    <row r="6" spans="1:11" ht="18.95" customHeight="1">
      <c r="A6" s="4">
        <f>'BNO1 Rate'!A6</f>
        <v>694</v>
      </c>
      <c r="B6" s="9">
        <f>'BNO1 Rate'!C6</f>
        <v>0</v>
      </c>
      <c r="C6" s="6">
        <f>'BNO1 Rate'!K6</f>
        <v>-1.1017390903214204</v>
      </c>
      <c r="D6" s="6">
        <f>'BNO1 Rate'!T6</f>
        <v>-1.041103373628663</v>
      </c>
      <c r="E6" s="6">
        <f t="shared" ref="E6:E37" si="0">(C6-D6)^2</f>
        <v>3.6766901388443334E-3</v>
      </c>
      <c r="F6" s="6">
        <f>'MPU Rate'!K6</f>
        <v>-1.0860839641694986</v>
      </c>
      <c r="G6" s="6">
        <f>'MPU Rate'!T6</f>
        <v>-1.041103373628663</v>
      </c>
      <c r="H6" s="6">
        <f t="shared" ref="H6:H37" si="1">(F6-G6)^2</f>
        <v>2.0232535254023076E-3</v>
      </c>
      <c r="I6" s="6">
        <f>'BNO2 Rate'!K6</f>
        <v>-1.2871803233458181</v>
      </c>
      <c r="J6" s="6">
        <f>'BNO2 Rate'!T6</f>
        <v>-1.0581424191088593</v>
      </c>
      <c r="K6" s="6">
        <f t="shared" ref="K6:K37" si="2">(I6-J6)^2</f>
        <v>5.2458361577258313E-2</v>
      </c>
    </row>
    <row r="7" spans="1:11" ht="18.95" customHeight="1">
      <c r="A7" s="4">
        <f>'BNO1 Rate'!A7</f>
        <v>695</v>
      </c>
      <c r="B7" s="9">
        <f>'BNO1 Rate'!C7</f>
        <v>21</v>
      </c>
      <c r="C7" s="6">
        <f>'BNO1 Rate'!K7</f>
        <v>-1.1093749057988957</v>
      </c>
      <c r="D7" s="6">
        <f>'BNO1 Rate'!T7</f>
        <v>-1.0468893156702039</v>
      </c>
      <c r="E7" s="6">
        <f t="shared" si="0"/>
        <v>3.9044489737308681E-3</v>
      </c>
      <c r="F7" s="6">
        <f>'MPU Rate'!K7</f>
        <v>-1.1353796085790839</v>
      </c>
      <c r="G7" s="6">
        <f>'MPU Rate'!T7</f>
        <v>-1.0468893156702039</v>
      </c>
      <c r="H7" s="6">
        <f t="shared" si="1"/>
        <v>7.8305319390993781E-3</v>
      </c>
      <c r="I7" s="6">
        <f>'BNO2 Rate'!K7</f>
        <v>-1.2173671532660448</v>
      </c>
      <c r="J7" s="6">
        <f>'BNO2 Rate'!T7</f>
        <v>-0.99576513372107567</v>
      </c>
      <c r="K7" s="6">
        <f t="shared" si="2"/>
        <v>4.9107455066408894E-2</v>
      </c>
    </row>
    <row r="8" spans="1:11" ht="18.95" customHeight="1">
      <c r="A8" s="4">
        <f>'BNO1 Rate'!A8</f>
        <v>696</v>
      </c>
      <c r="B8" s="9">
        <f>'BNO1 Rate'!C8</f>
        <v>41</v>
      </c>
      <c r="C8" s="6">
        <f>'BNO1 Rate'!K8</f>
        <v>-1.1540989678812503</v>
      </c>
      <c r="D8" s="6">
        <f>'BNO1 Rate'!T8</f>
        <v>-1.0477075271580207</v>
      </c>
      <c r="E8" s="6">
        <f t="shared" si="0"/>
        <v>1.1319138659164476E-2</v>
      </c>
      <c r="F8" s="6">
        <f>'MPU Rate'!K8</f>
        <v>-1.1313826032570373</v>
      </c>
      <c r="G8" s="6">
        <f>'MPU Rate'!T8</f>
        <v>-1.0477075271580207</v>
      </c>
      <c r="H8" s="6">
        <f t="shared" si="1"/>
        <v>7.001518360176217E-3</v>
      </c>
      <c r="I8" s="6">
        <f>'BNO2 Rate'!K8</f>
        <v>-1.1868238913561442</v>
      </c>
      <c r="J8" s="6">
        <f>'BNO2 Rate'!T8</f>
        <v>-0.92990397189059115</v>
      </c>
      <c r="K8" s="6">
        <f t="shared" si="2"/>
        <v>6.6007845018186254E-2</v>
      </c>
    </row>
    <row r="9" spans="1:11" ht="18.95" customHeight="1">
      <c r="A9" s="4">
        <f>'BNO1 Rate'!A9</f>
        <v>697</v>
      </c>
      <c r="B9" s="9">
        <f>'BNO1 Rate'!C9</f>
        <v>62</v>
      </c>
      <c r="C9" s="6">
        <f>'BNO1 Rate'!K9</f>
        <v>-1.1650072757062149</v>
      </c>
      <c r="D9" s="6">
        <f>'BNO1 Rate'!T9</f>
        <v>-1.0425730183256479</v>
      </c>
      <c r="E9" s="6">
        <f t="shared" si="0"/>
        <v>1.4990147380330929E-2</v>
      </c>
      <c r="F9" s="6">
        <f>'MPU Rate'!K9</f>
        <v>-1.1598941395713169</v>
      </c>
      <c r="G9" s="6">
        <f>'MPU Rate'!T9</f>
        <v>-1.0425730183256479</v>
      </c>
      <c r="H9" s="6">
        <f t="shared" si="1"/>
        <v>1.3764245490340983E-2</v>
      </c>
      <c r="I9" s="6">
        <f>'BNO2 Rate'!K9</f>
        <v>-1.1213740444063567</v>
      </c>
      <c r="J9" s="6">
        <f>'BNO2 Rate'!T9</f>
        <v>-0.8567300970401891</v>
      </c>
      <c r="K9" s="6">
        <f t="shared" si="2"/>
        <v>7.0036418877546885E-2</v>
      </c>
    </row>
    <row r="10" spans="1:11" ht="18.95" customHeight="1">
      <c r="A10" s="4">
        <f>'BNO1 Rate'!A10</f>
        <v>698</v>
      </c>
      <c r="B10" s="9">
        <f>'BNO1 Rate'!C10</f>
        <v>104</v>
      </c>
      <c r="C10" s="6">
        <f>'BNO1 Rate'!K10</f>
        <v>-1.1704614296186973</v>
      </c>
      <c r="D10" s="6">
        <f>'BNO1 Rate'!T10</f>
        <v>-1.0180569783502107</v>
      </c>
      <c r="E10" s="6">
        <f t="shared" si="0"/>
        <v>2.3227116766448494E-2</v>
      </c>
      <c r="F10" s="6">
        <f>'MPU Rate'!K10</f>
        <v>-1.1556308181402639</v>
      </c>
      <c r="G10" s="6">
        <f>'MPU Rate'!T10</f>
        <v>-1.0180569783502107</v>
      </c>
      <c r="H10" s="6">
        <f t="shared" si="1"/>
        <v>1.8926561394579232E-2</v>
      </c>
      <c r="I10" s="6">
        <f>'BNO2 Rate'!K10</f>
        <v>-0.92284284199200173</v>
      </c>
      <c r="J10" s="6">
        <f>'BNO2 Rate'!T10</f>
        <v>-0.69980524547603706</v>
      </c>
      <c r="K10" s="6">
        <f t="shared" si="2"/>
        <v>4.9745769459618255E-2</v>
      </c>
    </row>
    <row r="11" spans="1:11" ht="18.95" customHeight="1">
      <c r="A11" s="4">
        <f>'BNO1 Rate'!A11</f>
        <v>699</v>
      </c>
      <c r="B11" s="9">
        <f>'BNO1 Rate'!C11</f>
        <v>125</v>
      </c>
      <c r="C11" s="6">
        <f>'BNO1 Rate'!K11</f>
        <v>-1.1879147221386406</v>
      </c>
      <c r="D11" s="6">
        <f>'BNO1 Rate'!T11</f>
        <v>-0.99903457767999015</v>
      </c>
      <c r="E11" s="6">
        <f t="shared" si="0"/>
        <v>3.567570897072065E-2</v>
      </c>
      <c r="F11" s="6">
        <f>'MPU Rate'!K11</f>
        <v>-1.109799147360546</v>
      </c>
      <c r="G11" s="6">
        <f>'MPU Rate'!T11</f>
        <v>-0.99903457767999015</v>
      </c>
      <c r="H11" s="6">
        <f t="shared" si="1"/>
        <v>1.2268789896518703E-2</v>
      </c>
      <c r="I11" s="6">
        <f>'BNO2 Rate'!K11</f>
        <v>-0.86393797973719322</v>
      </c>
      <c r="J11" s="6">
        <f>'BNO2 Rate'!T11</f>
        <v>-0.6164674748350204</v>
      </c>
      <c r="K11" s="6">
        <f t="shared" si="2"/>
        <v>6.1241650796536339E-2</v>
      </c>
    </row>
    <row r="12" spans="1:11" ht="18.95" customHeight="1">
      <c r="A12" s="4">
        <f>'BNO1 Rate'!A12</f>
        <v>700</v>
      </c>
      <c r="B12" s="9">
        <f>'BNO1 Rate'!C12</f>
        <v>145</v>
      </c>
      <c r="C12" s="6">
        <f>'BNO1 Rate'!K12</f>
        <v>-1.1540989678812503</v>
      </c>
      <c r="D12" s="6">
        <f>'BNO1 Rate'!T12</f>
        <v>-0.97804486002221758</v>
      </c>
      <c r="E12" s="6">
        <f t="shared" si="0"/>
        <v>3.0995048894039937E-2</v>
      </c>
      <c r="F12" s="6">
        <f>'MPU Rate'!K12</f>
        <v>-1.1018052698745084</v>
      </c>
      <c r="G12" s="6">
        <f>'MPU Rate'!T12</f>
        <v>-0.97804486002221758</v>
      </c>
      <c r="H12" s="6">
        <f t="shared" si="1"/>
        <v>1.5316639046807013E-2</v>
      </c>
      <c r="I12" s="6">
        <f>'BNO2 Rate'!K12</f>
        <v>-0.74503742444507948</v>
      </c>
      <c r="J12" s="6">
        <f>'BNO2 Rate'!T12</f>
        <v>-0.53588859490971985</v>
      </c>
      <c r="K12" s="6">
        <f t="shared" si="2"/>
        <v>4.3743232896010918E-2</v>
      </c>
    </row>
    <row r="13" spans="1:11" ht="18.95" customHeight="1">
      <c r="A13" s="4">
        <f>'BNO1 Rate'!A13</f>
        <v>701</v>
      </c>
      <c r="B13" s="9">
        <f>'BNO1 Rate'!C13</f>
        <v>166</v>
      </c>
      <c r="C13" s="6">
        <f>'BNO1 Rate'!K13</f>
        <v>-1.1399181677087964</v>
      </c>
      <c r="D13" s="6">
        <f>'BNO1 Rate'!T13</f>
        <v>-0.95282145243136396</v>
      </c>
      <c r="E13" s="6">
        <f t="shared" si="0"/>
        <v>3.5005180867604617E-2</v>
      </c>
      <c r="F13" s="6">
        <f>'MPU Rate'!K13</f>
        <v>-1.0362555543838439</v>
      </c>
      <c r="G13" s="6">
        <f>'MPU Rate'!T13</f>
        <v>-0.95282145243136396</v>
      </c>
      <c r="H13" s="6">
        <f t="shared" si="1"/>
        <v>6.9612493686168125E-3</v>
      </c>
      <c r="I13" s="6">
        <f>'BNO2 Rate'!K13</f>
        <v>-0.66213428497534876</v>
      </c>
      <c r="J13" s="6">
        <f>'BNO2 Rate'!T13</f>
        <v>-0.45117475215373076</v>
      </c>
      <c r="K13" s="6">
        <f t="shared" si="2"/>
        <v>4.4503924488315326E-2</v>
      </c>
    </row>
    <row r="14" spans="1:11" ht="18.95" customHeight="1">
      <c r="A14" s="4">
        <f>'BNO1 Rate'!A14</f>
        <v>702</v>
      </c>
      <c r="B14" s="9">
        <f>'BNO1 Rate'!C14</f>
        <v>186</v>
      </c>
      <c r="C14" s="6">
        <f>'BNO1 Rate'!K14</f>
        <v>-1.0831949670189809</v>
      </c>
      <c r="D14" s="6">
        <f>'BNO1 Rate'!T14</f>
        <v>-0.92638276412350928</v>
      </c>
      <c r="E14" s="6">
        <f t="shared" si="0"/>
        <v>2.4590066976930551E-2</v>
      </c>
      <c r="F14" s="6">
        <f>'MPU Rate'!K14</f>
        <v>-1.0242646715757613</v>
      </c>
      <c r="G14" s="6">
        <f>'MPU Rate'!T14</f>
        <v>-0.92638276412350928</v>
      </c>
      <c r="H14" s="6">
        <f t="shared" si="1"/>
        <v>9.5808678064912261E-3</v>
      </c>
      <c r="I14" s="6">
        <f>'BNO2 Rate'!K14</f>
        <v>-0.53341625264076697</v>
      </c>
      <c r="J14" s="6">
        <f>'BNO2 Rate'!T14</f>
        <v>-0.36957406544876081</v>
      </c>
      <c r="K14" s="6">
        <f t="shared" si="2"/>
        <v>2.6844262303860389E-2</v>
      </c>
    </row>
    <row r="15" spans="1:11" ht="18.95" customHeight="1">
      <c r="A15" s="4">
        <f>'BNO1 Rate'!A15</f>
        <v>703</v>
      </c>
      <c r="B15" s="9">
        <f>'BNO1 Rate'!C15</f>
        <v>206</v>
      </c>
      <c r="C15" s="6">
        <f>'BNO1 Rate'!K15</f>
        <v>-1.0602875205865552</v>
      </c>
      <c r="D15" s="6">
        <f>'BNO1 Rate'!T15</f>
        <v>-0.89793203478576544</v>
      </c>
      <c r="E15" s="6">
        <f t="shared" si="0"/>
        <v>2.6359303769610438E-2</v>
      </c>
      <c r="F15" s="6">
        <f>'MPU Rate'!K15</f>
        <v>-0.96271196140714155</v>
      </c>
      <c r="G15" s="6">
        <f>'MPU Rate'!T15</f>
        <v>-0.89793203478576544</v>
      </c>
      <c r="H15" s="6">
        <f t="shared" si="1"/>
        <v>4.1964388930708727E-3</v>
      </c>
      <c r="I15" s="6">
        <f>'BNO2 Rate'!K15</f>
        <v>-0.44833145160604343</v>
      </c>
      <c r="J15" s="6">
        <f>'BNO2 Rate'!T15</f>
        <v>-0.28897621298454329</v>
      </c>
      <c r="K15" s="6">
        <f t="shared" si="2"/>
        <v>2.539409207611525E-2</v>
      </c>
    </row>
    <row r="16" spans="1:11" ht="18.95" customHeight="1">
      <c r="A16" s="4">
        <f>'BNO1 Rate'!A16</f>
        <v>704</v>
      </c>
      <c r="B16" s="9">
        <f>'BNO1 Rate'!C16</f>
        <v>228</v>
      </c>
      <c r="C16" s="6">
        <f>'BNO1 Rate'!K16</f>
        <v>-1.0133817969392076</v>
      </c>
      <c r="D16" s="6">
        <f>'BNO1 Rate'!T16</f>
        <v>-0.86552343171690771</v>
      </c>
      <c r="E16" s="6">
        <f t="shared" si="0"/>
        <v>2.1862096166211022E-2</v>
      </c>
      <c r="F16" s="6">
        <f>'MPU Rate'!K16</f>
        <v>-0.94086192308553274</v>
      </c>
      <c r="G16" s="6">
        <f>'MPU Rate'!T16</f>
        <v>-0.86552343171690771</v>
      </c>
      <c r="H16" s="6">
        <f t="shared" si="1"/>
        <v>5.6758882817003874E-3</v>
      </c>
      <c r="I16" s="6">
        <f>'BNO2 Rate'!K16</f>
        <v>-0.33379421944391552</v>
      </c>
      <c r="J16" s="6">
        <f>'BNO2 Rate'!T16</f>
        <v>-0.20099278236926202</v>
      </c>
      <c r="K16" s="6">
        <f t="shared" si="2"/>
        <v>1.7636221689093155E-2</v>
      </c>
    </row>
    <row r="17" spans="1:11" ht="18.95" customHeight="1">
      <c r="A17" s="4">
        <f>'BNO1 Rate'!A17</f>
        <v>705</v>
      </c>
      <c r="B17" s="9">
        <f>'BNO1 Rate'!C17</f>
        <v>249</v>
      </c>
      <c r="C17" s="6">
        <f>'BNO1 Rate'!K17</f>
        <v>-0.97956604268181746</v>
      </c>
      <c r="D17" s="6">
        <f>'BNO1 Rate'!T17</f>
        <v>-0.83276334730300838</v>
      </c>
      <c r="E17" s="6">
        <f t="shared" si="0"/>
        <v>2.1551031370483413E-2</v>
      </c>
      <c r="F17" s="6">
        <f>'MPU Rate'!K17</f>
        <v>-0.88570426164251992</v>
      </c>
      <c r="G17" s="6">
        <f>'MPU Rate'!T17</f>
        <v>-0.83276334730300838</v>
      </c>
      <c r="H17" s="6">
        <f t="shared" si="1"/>
        <v>2.8027404111034982E-3</v>
      </c>
      <c r="I17" s="6">
        <f>'BNO2 Rate'!K17</f>
        <v>-0.24434609527920614</v>
      </c>
      <c r="J17" s="6">
        <f>'BNO2 Rate'!T17</f>
        <v>-0.11904665956064767</v>
      </c>
      <c r="K17" s="6">
        <f t="shared" si="2"/>
        <v>1.5699948591389169E-2</v>
      </c>
    </row>
    <row r="18" spans="1:11" ht="18.95" customHeight="1">
      <c r="A18" s="4">
        <f>'BNO1 Rate'!A18</f>
        <v>706</v>
      </c>
      <c r="B18" s="9">
        <f>'BNO1 Rate'!C18</f>
        <v>272</v>
      </c>
      <c r="C18" s="6">
        <f>'BNO1 Rate'!K18</f>
        <v>-0.94138696529444144</v>
      </c>
      <c r="D18" s="6">
        <f>'BNO1 Rate'!T18</f>
        <v>-0.79688256833494175</v>
      </c>
      <c r="E18" s="6">
        <f t="shared" si="0"/>
        <v>2.088152074062866E-2</v>
      </c>
      <c r="F18" s="6">
        <f>'MPU Rate'!K18</f>
        <v>-0.87051585447163393</v>
      </c>
      <c r="G18" s="6">
        <f>'MPU Rate'!T18</f>
        <v>-0.79688256833494175</v>
      </c>
      <c r="H18" s="6">
        <f t="shared" si="1"/>
        <v>5.4218608272879843E-3</v>
      </c>
      <c r="I18" s="6">
        <f>'BNO2 Rate'!K18</f>
        <v>-0.14398966328953219</v>
      </c>
      <c r="J18" s="6">
        <f>'BNO2 Rate'!T18</f>
        <v>-3.1794662334200842E-2</v>
      </c>
      <c r="K18" s="6">
        <f t="shared" si="2"/>
        <v>1.2587718239366805E-2</v>
      </c>
    </row>
    <row r="19" spans="1:11" ht="18.95" customHeight="1">
      <c r="A19" s="4">
        <f>'BNO1 Rate'!A19</f>
        <v>707</v>
      </c>
      <c r="B19" s="9">
        <f>'BNO1 Rate'!C19</f>
        <v>292</v>
      </c>
      <c r="C19" s="6">
        <f>'BNO1 Rate'!K19</f>
        <v>-0.91302536494953368</v>
      </c>
      <c r="D19" s="6">
        <f>'BNO1 Rate'!T19</f>
        <v>-0.7656520281562057</v>
      </c>
      <c r="E19" s="6">
        <f t="shared" si="0"/>
        <v>2.1718900397599678E-2</v>
      </c>
      <c r="F19" s="6">
        <f>'MPU Rate'!K19</f>
        <v>-0.8023015131522897</v>
      </c>
      <c r="G19" s="6">
        <f>'MPU Rate'!T19</f>
        <v>-0.7656520281562057</v>
      </c>
      <c r="H19" s="6">
        <f t="shared" si="1"/>
        <v>1.3431847504781864E-3</v>
      </c>
      <c r="I19" s="6">
        <f>'BNO2 Rate'!K19</f>
        <v>-5.6723200689815713E-2</v>
      </c>
      <c r="J19" s="6">
        <f>'BNO2 Rate'!T19</f>
        <v>4.1239815216946391E-2</v>
      </c>
      <c r="K19" s="6">
        <f t="shared" si="2"/>
        <v>9.5967524855485233E-3</v>
      </c>
    </row>
    <row r="20" spans="1:11" ht="18.95" customHeight="1">
      <c r="A20" s="4">
        <f>'BNO1 Rate'!A20</f>
        <v>708</v>
      </c>
      <c r="B20" s="9">
        <f>'BNO1 Rate'!C20</f>
        <v>315</v>
      </c>
      <c r="C20" s="6">
        <f>'BNO1 Rate'!K20</f>
        <v>-0.83884887173977463</v>
      </c>
      <c r="D20" s="6">
        <f>'BNO1 Rate'!T20</f>
        <v>-0.72880292912104783</v>
      </c>
      <c r="E20" s="6">
        <f t="shared" si="0"/>
        <v>1.2110109486844111E-2</v>
      </c>
      <c r="F20" s="6">
        <f>'MPU Rate'!K20</f>
        <v>-0.74980834437990262</v>
      </c>
      <c r="G20" s="6">
        <f>'MPU Rate'!T20</f>
        <v>-0.72880292912104783</v>
      </c>
      <c r="H20" s="6">
        <f t="shared" si="1"/>
        <v>4.4122747019692998E-4</v>
      </c>
      <c r="I20" s="6">
        <f>'BNO2 Rate'!K20</f>
        <v>6.4359016167290894E-2</v>
      </c>
      <c r="J20" s="6">
        <f>'BNO2 Rate'!T20</f>
        <v>0.12273187496602278</v>
      </c>
      <c r="K20" s="6">
        <f t="shared" si="2"/>
        <v>3.4073906443366905E-3</v>
      </c>
    </row>
    <row r="21" spans="1:11" ht="18.95" customHeight="1">
      <c r="A21" s="4">
        <f>'BNO1 Rate'!A21</f>
        <v>709</v>
      </c>
      <c r="B21" s="9">
        <f>'BNO1 Rate'!C21</f>
        <v>336</v>
      </c>
      <c r="C21" s="6">
        <f>'BNO1 Rate'!K21</f>
        <v>-0.79085231730993055</v>
      </c>
      <c r="D21" s="6">
        <f>'BNO1 Rate'!T21</f>
        <v>-0.69604306847412045</v>
      </c>
      <c r="E21" s="6">
        <f t="shared" si="0"/>
        <v>8.9887936648105592E-3</v>
      </c>
      <c r="F21" s="6">
        <f>'MPU Rate'!K21</f>
        <v>-0.70504273698454178</v>
      </c>
      <c r="G21" s="6">
        <f>'MPU Rate'!T21</f>
        <v>-0.69604306847412045</v>
      </c>
      <c r="H21" s="6">
        <f t="shared" si="1"/>
        <v>8.0994033297469332E-5</v>
      </c>
      <c r="I21" s="6">
        <f>'BNO2 Rate'!K21</f>
        <v>0.17016960206944712</v>
      </c>
      <c r="J21" s="6">
        <f>'BNO2 Rate'!T21</f>
        <v>0.19322709514023392</v>
      </c>
      <c r="K21" s="6">
        <f t="shared" si="2"/>
        <v>5.3164798670938152E-4</v>
      </c>
    </row>
    <row r="22" spans="1:11" ht="18.95" customHeight="1">
      <c r="A22" s="4">
        <f>'BNO1 Rate'!A22</f>
        <v>710</v>
      </c>
      <c r="B22" s="9">
        <f>'BNO1 Rate'!C22</f>
        <v>356</v>
      </c>
      <c r="C22" s="6">
        <f>'BNO1 Rate'!K22</f>
        <v>-0.73958327053259709</v>
      </c>
      <c r="D22" s="6">
        <f>'BNO1 Rate'!T22</f>
        <v>-0.66484312775797705</v>
      </c>
      <c r="E22" s="6">
        <f t="shared" si="0"/>
        <v>5.5860889419705887E-3</v>
      </c>
      <c r="F22" s="6">
        <f>'MPU Rate'!K22</f>
        <v>-0.68319269866293297</v>
      </c>
      <c r="G22" s="6">
        <f>'MPU Rate'!T22</f>
        <v>-0.66484312775797705</v>
      </c>
      <c r="H22" s="6">
        <f t="shared" si="1"/>
        <v>3.3670675239600502E-4</v>
      </c>
      <c r="I22" s="6">
        <f>'BNO2 Rate'!K22</f>
        <v>0.22252947962927699</v>
      </c>
      <c r="J22" s="6">
        <f>'BNO2 Rate'!T22</f>
        <v>0.25828880774743312</v>
      </c>
      <c r="K22" s="6">
        <f t="shared" si="2"/>
        <v>1.2787295474619516E-3</v>
      </c>
    </row>
    <row r="23" spans="1:11" ht="18.95" customHeight="1">
      <c r="A23" s="4">
        <f>'BNO1 Rate'!A23</f>
        <v>711</v>
      </c>
      <c r="B23" s="9">
        <f>'BNO1 Rate'!C23</f>
        <v>377</v>
      </c>
      <c r="C23" s="6">
        <f>'BNO1 Rate'!K23</f>
        <v>-0.71667582410017161</v>
      </c>
      <c r="D23" s="6">
        <f>'BNO1 Rate'!T23</f>
        <v>-0.63314349138892367</v>
      </c>
      <c r="E23" s="6">
        <f t="shared" si="0"/>
        <v>6.9776506081826216E-3</v>
      </c>
      <c r="F23" s="6">
        <f>'MPU Rate'!K23</f>
        <v>-0.6410917170962519</v>
      </c>
      <c r="G23" s="6">
        <f>'MPU Rate'!T23</f>
        <v>-0.63314349138892367</v>
      </c>
      <c r="H23" s="6">
        <f t="shared" si="1"/>
        <v>6.317429189463329E-5</v>
      </c>
      <c r="I23" s="6">
        <f>'BNO2 Rate'!K23</f>
        <v>0.31415926535897931</v>
      </c>
      <c r="J23" s="6">
        <f>'BNO2 Rate'!T23</f>
        <v>0.32222485475287133</v>
      </c>
      <c r="K23" s="6">
        <f t="shared" si="2"/>
        <v>6.5053732270863347E-5</v>
      </c>
    </row>
    <row r="24" spans="1:11" ht="18.95" customHeight="1">
      <c r="A24" s="4">
        <f>'BNO1 Rate'!A24</f>
        <v>712</v>
      </c>
      <c r="B24" s="9">
        <f>'BNO1 Rate'!C24</f>
        <v>399</v>
      </c>
      <c r="C24" s="6">
        <f>'BNO1 Rate'!K24</f>
        <v>-0.67522425436530631</v>
      </c>
      <c r="D24" s="6">
        <f>'BNO1 Rate'!T24</f>
        <v>-0.60001265369978107</v>
      </c>
      <c r="E24" s="6">
        <f t="shared" si="0"/>
        <v>5.6567848746704357E-3</v>
      </c>
      <c r="F24" s="6">
        <f>'MPU Rate'!K24</f>
        <v>-0.60405340476181113</v>
      </c>
      <c r="G24" s="6">
        <f>'MPU Rate'!T24</f>
        <v>-0.60001265369978107</v>
      </c>
      <c r="H24" s="6">
        <f t="shared" si="1"/>
        <v>1.6327669145297031E-5</v>
      </c>
      <c r="I24" s="6">
        <f>'BNO2 Rate'!K24</f>
        <v>0.36979163526629855</v>
      </c>
      <c r="J24" s="6">
        <f>'BNO2 Rate'!T24</f>
        <v>0.38672700867980875</v>
      </c>
      <c r="K24" s="6">
        <f t="shared" si="2"/>
        <v>2.8680687265502817E-4</v>
      </c>
    </row>
    <row r="25" spans="1:11" ht="18.95" customHeight="1">
      <c r="A25" s="4">
        <f>'BNO1 Rate'!A25</f>
        <v>713</v>
      </c>
      <c r="B25" s="9">
        <f>'BNO1 Rate'!C25</f>
        <v>421</v>
      </c>
      <c r="C25" s="6">
        <f>'BNO1 Rate'!K25</f>
        <v>-0.64686265402039833</v>
      </c>
      <c r="D25" s="6">
        <f>'BNO1 Rate'!T25</f>
        <v>-0.56833222037092668</v>
      </c>
      <c r="E25" s="6">
        <f t="shared" si="0"/>
        <v>6.1670290091740696E-3</v>
      </c>
      <c r="F25" s="6">
        <f>'MPU Rate'!K25</f>
        <v>-0.5678145068075855</v>
      </c>
      <c r="G25" s="6">
        <f>'MPU Rate'!T25</f>
        <v>-0.56833222037092668</v>
      </c>
      <c r="H25" s="6">
        <f t="shared" si="1"/>
        <v>2.6802733366742433E-7</v>
      </c>
      <c r="I25" s="6">
        <f>'BNO2 Rate'!K25</f>
        <v>0.44942228238853982</v>
      </c>
      <c r="J25" s="6">
        <f>'BNO2 Rate'!T25</f>
        <v>0.44734235150316848</v>
      </c>
      <c r="K25" s="6">
        <f t="shared" si="2"/>
        <v>4.3261124879216041E-6</v>
      </c>
    </row>
    <row r="26" spans="1:11" ht="18.95" customHeight="1">
      <c r="A26" s="4">
        <f>'BNO1 Rate'!A26</f>
        <v>714</v>
      </c>
      <c r="B26" s="9">
        <f>'BNO1 Rate'!C26</f>
        <v>443</v>
      </c>
      <c r="C26" s="6">
        <f>'BNO1 Rate'!K26</f>
        <v>-0.60322942272054014</v>
      </c>
      <c r="D26" s="6">
        <f>'BNO1 Rate'!T26</f>
        <v>-0.5377089072161273</v>
      </c>
      <c r="E26" s="6">
        <f t="shared" si="0"/>
        <v>4.2929379519640043E-3</v>
      </c>
      <c r="F26" s="6">
        <f>'MPU Rate'!K26</f>
        <v>-0.5289109830246802</v>
      </c>
      <c r="G26" s="6">
        <f>'MPU Rate'!T26</f>
        <v>-0.5377089072161273</v>
      </c>
      <c r="H26" s="6">
        <f t="shared" si="1"/>
        <v>7.7403470078449979E-5</v>
      </c>
      <c r="I26" s="6">
        <f>'BNO2 Rate'!K26</f>
        <v>0.49741883681838389</v>
      </c>
      <c r="J26" s="6">
        <f>'BNO2 Rate'!T26</f>
        <v>0.50405189085509972</v>
      </c>
      <c r="K26" s="6">
        <f t="shared" si="2"/>
        <v>4.3997405853992089E-5</v>
      </c>
    </row>
    <row r="27" spans="1:11" ht="18.95" customHeight="1">
      <c r="A27" s="4">
        <f>'BNO1 Rate'!A27</f>
        <v>715</v>
      </c>
      <c r="B27" s="9">
        <f>'BNO1 Rate'!C27</f>
        <v>465</v>
      </c>
      <c r="C27" s="6">
        <f>'BNO1 Rate'!K27</f>
        <v>-0.56505034533316412</v>
      </c>
      <c r="D27" s="6">
        <f>'BNO1 Rate'!T27</f>
        <v>-0.50814038038411014</v>
      </c>
      <c r="E27" s="6">
        <f t="shared" si="0"/>
        <v>3.2387441105025529E-3</v>
      </c>
      <c r="F27" s="6">
        <f>'MPU Rate'!K27</f>
        <v>-0.50066596255649032</v>
      </c>
      <c r="G27" s="6">
        <f>'MPU Rate'!T27</f>
        <v>-0.50814038038411014</v>
      </c>
      <c r="H27" s="6">
        <f t="shared" si="1"/>
        <v>5.5866921861840943E-5</v>
      </c>
      <c r="I27" s="6">
        <f>'BNO2 Rate'!K27</f>
        <v>0.59995693037305076</v>
      </c>
      <c r="J27" s="6">
        <f>'BNO2 Rate'!T27</f>
        <v>0.55737806033398984</v>
      </c>
      <c r="K27" s="6">
        <f t="shared" si="2"/>
        <v>1.8129601738032389E-3</v>
      </c>
    </row>
    <row r="28" spans="1:11" ht="18.95" customHeight="1">
      <c r="A28" s="4">
        <f>'BNO1 Rate'!A28</f>
        <v>716</v>
      </c>
      <c r="B28" s="9">
        <f>'BNO1 Rate'!C28</f>
        <v>505</v>
      </c>
      <c r="C28" s="6">
        <f>'BNO1 Rate'!K28</f>
        <v>-0.49741883681838389</v>
      </c>
      <c r="D28" s="6">
        <f>'BNO1 Rate'!T28</f>
        <v>-0.45647533999075657</v>
      </c>
      <c r="E28" s="6">
        <f t="shared" si="0"/>
        <v>1.6763699324739286E-3</v>
      </c>
      <c r="F28" s="6">
        <f>'MPU Rate'!K28</f>
        <v>-0.43031986065307865</v>
      </c>
      <c r="G28" s="6">
        <f>'MPU Rate'!T28</f>
        <v>-0.45647533999075657</v>
      </c>
      <c r="H28" s="6">
        <f t="shared" si="1"/>
        <v>6.8410909938369671E-4</v>
      </c>
      <c r="I28" s="6">
        <f>'BNO2 Rate'!K28</f>
        <v>0.69158671610275313</v>
      </c>
      <c r="J28" s="6">
        <f>'BNO2 Rate'!T28</f>
        <v>0.64630804914354645</v>
      </c>
      <c r="K28" s="6">
        <f t="shared" si="2"/>
        <v>2.0501576816027546E-3</v>
      </c>
    </row>
    <row r="29" spans="1:11" ht="18.95" customHeight="1">
      <c r="A29" s="4">
        <f>'BNO1 Rate'!A29</f>
        <v>717</v>
      </c>
      <c r="B29" s="9">
        <f>'BNO1 Rate'!C29</f>
        <v>528</v>
      </c>
      <c r="C29" s="6">
        <f>'BNO1 Rate'!K29</f>
        <v>-0.45923975943100792</v>
      </c>
      <c r="D29" s="6">
        <f>'BNO1 Rate'!T29</f>
        <v>-0.42871021489418876</v>
      </c>
      <c r="E29" s="6">
        <f t="shared" si="0"/>
        <v>9.3205308962562492E-4</v>
      </c>
      <c r="F29" s="6">
        <f>'MPU Rate'!K29</f>
        <v>-0.41060164949456313</v>
      </c>
      <c r="G29" s="6">
        <f>'MPU Rate'!T29</f>
        <v>-0.42871021489418876</v>
      </c>
      <c r="H29" s="6">
        <f t="shared" si="1"/>
        <v>3.279201408325186E-4</v>
      </c>
      <c r="I29" s="6">
        <f>'BNO2 Rate'!K29</f>
        <v>0.69922253158022829</v>
      </c>
      <c r="J29" s="6">
        <f>'BNO2 Rate'!T29</f>
        <v>0.69166408216318709</v>
      </c>
      <c r="K29" s="6">
        <f t="shared" si="2"/>
        <v>5.7130157589970489E-5</v>
      </c>
    </row>
    <row r="30" spans="1:11" ht="18.95" customHeight="1">
      <c r="A30" s="4">
        <f>'BNO1 Rate'!A30</f>
        <v>718</v>
      </c>
      <c r="B30" s="9">
        <f>'BNO1 Rate'!C30</f>
        <v>549</v>
      </c>
      <c r="C30" s="6">
        <f>'BNO1 Rate'!K30</f>
        <v>-0.43742314378107883</v>
      </c>
      <c r="D30" s="6">
        <f>'BNO1 Rate'!T30</f>
        <v>-0.40352258161121368</v>
      </c>
      <c r="E30" s="6">
        <f t="shared" si="0"/>
        <v>1.1492481154328918E-3</v>
      </c>
      <c r="F30" s="6">
        <f>'MPU Rate'!K30</f>
        <v>-0.38422184047483787</v>
      </c>
      <c r="G30" s="6">
        <f>'MPU Rate'!T30</f>
        <v>-0.40352258161121368</v>
      </c>
      <c r="H30" s="6">
        <f t="shared" si="1"/>
        <v>3.725186084133894E-4</v>
      </c>
      <c r="I30" s="6">
        <f>'BNO2 Rate'!K30</f>
        <v>0.77012653244249785</v>
      </c>
      <c r="J30" s="6">
        <f>'BNO2 Rate'!T30</f>
        <v>0.73072216692859215</v>
      </c>
      <c r="K30" s="6">
        <f t="shared" si="2"/>
        <v>1.5527040215534802E-3</v>
      </c>
    </row>
    <row r="31" spans="1:11" ht="18.95" customHeight="1">
      <c r="A31" s="4">
        <f>'BNO1 Rate'!A31</f>
        <v>719</v>
      </c>
      <c r="B31" s="9">
        <f>'BNO1 Rate'!C31</f>
        <v>569</v>
      </c>
      <c r="C31" s="6">
        <f>'BNO1 Rate'!K31</f>
        <v>-0.40578905108868157</v>
      </c>
      <c r="D31" s="6">
        <f>'BNO1 Rate'!T31</f>
        <v>-0.38107185562870122</v>
      </c>
      <c r="E31" s="6">
        <f t="shared" si="0"/>
        <v>6.1093975140687358E-4</v>
      </c>
      <c r="F31" s="6">
        <f>'MPU Rate'!K31</f>
        <v>-0.37089874462095734</v>
      </c>
      <c r="G31" s="6">
        <f>'MPU Rate'!T31</f>
        <v>-0.38107185562870122</v>
      </c>
      <c r="H31" s="6">
        <f t="shared" si="1"/>
        <v>1.0349218757587957E-4</v>
      </c>
      <c r="I31" s="6">
        <f>'BNO2 Rate'!K31</f>
        <v>0.77667151713747673</v>
      </c>
      <c r="J31" s="6">
        <f>'BNO2 Rate'!T31</f>
        <v>0.76508628231171139</v>
      </c>
      <c r="K31" s="6">
        <f t="shared" si="2"/>
        <v>1.3421766596812619E-4</v>
      </c>
    </row>
    <row r="32" spans="1:11" ht="18.95" customHeight="1">
      <c r="A32" s="4">
        <f>'BNO1 Rate'!A32</f>
        <v>720</v>
      </c>
      <c r="B32" s="9">
        <f>'BNO1 Rate'!C32</f>
        <v>590</v>
      </c>
      <c r="C32" s="6">
        <f>'BNO1 Rate'!K32</f>
        <v>-0.38288160465625604</v>
      </c>
      <c r="D32" s="6">
        <f>'BNO1 Rate'!T32</f>
        <v>-0.35747916222017123</v>
      </c>
      <c r="E32" s="6">
        <f t="shared" si="0"/>
        <v>6.4528408171860214E-4</v>
      </c>
      <c r="F32" s="6">
        <f>'MPU Rate'!K32</f>
        <v>-0.34105492868185361</v>
      </c>
      <c r="G32" s="6">
        <f>'MPU Rate'!T32</f>
        <v>-0.35747916222017123</v>
      </c>
      <c r="H32" s="6">
        <f t="shared" si="1"/>
        <v>2.6975544732119744E-4</v>
      </c>
      <c r="I32" s="6">
        <f>'BNO2 Rate'!K32</f>
        <v>0.82357724078482419</v>
      </c>
      <c r="J32" s="6">
        <f>'BNO2 Rate'!T32</f>
        <v>0.7991964984335872</v>
      </c>
      <c r="K32" s="6">
        <f t="shared" si="2"/>
        <v>5.9442059759740127E-4</v>
      </c>
    </row>
    <row r="33" spans="1:11" ht="18.95" customHeight="1">
      <c r="A33" s="4">
        <f>'BNO1 Rate'!A33</f>
        <v>721</v>
      </c>
      <c r="B33" s="9">
        <f>'BNO1 Rate'!C33</f>
        <v>610</v>
      </c>
      <c r="C33" s="6">
        <f>'BNO1 Rate'!K33</f>
        <v>-0.35452000431134817</v>
      </c>
      <c r="D33" s="6">
        <f>'BNO1 Rate'!T33</f>
        <v>-0.33637367328269108</v>
      </c>
      <c r="E33" s="6">
        <f t="shared" si="0"/>
        <v>3.2928932980160315E-4</v>
      </c>
      <c r="F33" s="6">
        <f>'MPU Rate'!K33</f>
        <v>-0.32639948662411927</v>
      </c>
      <c r="G33" s="6">
        <f>'MPU Rate'!T33</f>
        <v>-0.33637367328269108</v>
      </c>
      <c r="H33" s="6">
        <f t="shared" si="1"/>
        <v>9.9484399500031768E-5</v>
      </c>
      <c r="I33" s="6">
        <f>'BNO2 Rate'!K33</f>
        <v>0.85193884112973217</v>
      </c>
      <c r="J33" s="6">
        <f>'BNO2 Rate'!T33</f>
        <v>0.82875305747961081</v>
      </c>
      <c r="K33" s="6">
        <f t="shared" si="2"/>
        <v>5.3758056347023506E-4</v>
      </c>
    </row>
    <row r="34" spans="1:11" ht="18.95" customHeight="1">
      <c r="A34" s="4">
        <f>'BNO1 Rate'!A34</f>
        <v>722</v>
      </c>
      <c r="B34" s="9">
        <f>'BNO1 Rate'!C34</f>
        <v>630</v>
      </c>
      <c r="C34" s="6">
        <f>'BNO1 Rate'!K34</f>
        <v>-0.33597588100890846</v>
      </c>
      <c r="D34" s="6">
        <f>'BNO1 Rate'!T34</f>
        <v>-0.31543819168431653</v>
      </c>
      <c r="E34" s="6">
        <f t="shared" si="0"/>
        <v>4.2179668279345751E-4</v>
      </c>
      <c r="F34" s="6">
        <f>'MPU Rate'!K34</f>
        <v>-0.30561541181832841</v>
      </c>
      <c r="G34" s="6">
        <f>'MPU Rate'!T34</f>
        <v>-0.31543819168431653</v>
      </c>
      <c r="H34" s="6">
        <f t="shared" si="1"/>
        <v>9.648700429566155E-5</v>
      </c>
      <c r="I34" s="6">
        <f>'BNO2 Rate'!K34</f>
        <v>0.87920961069214343</v>
      </c>
      <c r="J34" s="6">
        <f>'BNO2 Rate'!T34</f>
        <v>0.85631004488993234</v>
      </c>
      <c r="K34" s="6">
        <f t="shared" si="2"/>
        <v>5.2439011392979541E-4</v>
      </c>
    </row>
    <row r="35" spans="1:11" ht="18.95" customHeight="1">
      <c r="A35" s="4">
        <f>'BNO1 Rate'!A35</f>
        <v>723</v>
      </c>
      <c r="B35" s="9">
        <f>'BNO1 Rate'!C35</f>
        <v>651</v>
      </c>
      <c r="C35" s="6">
        <f>'BNO1 Rate'!K35</f>
        <v>-0.31852258848896514</v>
      </c>
      <c r="D35" s="6">
        <f>'BNO1 Rate'!T35</f>
        <v>-0.29465828882864126</v>
      </c>
      <c r="E35" s="6">
        <f t="shared" si="0"/>
        <v>5.6950479827773469E-4</v>
      </c>
      <c r="F35" s="6">
        <f>'MPU Rate'!K35</f>
        <v>-0.28936120757919326</v>
      </c>
      <c r="G35" s="6">
        <f>'MPU Rate'!T35</f>
        <v>-0.29465828882864126</v>
      </c>
      <c r="H35" s="6">
        <f t="shared" si="1"/>
        <v>2.8059069763253575E-5</v>
      </c>
      <c r="I35" s="6">
        <f>'BNO2 Rate'!K35</f>
        <v>0.91411619573203007</v>
      </c>
      <c r="J35" s="6">
        <f>'BNO2 Rate'!T35</f>
        <v>0.8828903024723781</v>
      </c>
      <c r="K35" s="6">
        <f t="shared" si="2"/>
        <v>9.7505640986317841E-4</v>
      </c>
    </row>
    <row r="36" spans="1:11" ht="18.95" customHeight="1">
      <c r="A36" s="4">
        <f>'BNO1 Rate'!A36</f>
        <v>724</v>
      </c>
      <c r="B36" s="9">
        <f>'BNO1 Rate'!C36</f>
        <v>672</v>
      </c>
      <c r="C36" s="6">
        <f>'BNO1 Rate'!K36</f>
        <v>-0.29670597283903605</v>
      </c>
      <c r="D36" s="6">
        <f>'BNO1 Rate'!T36</f>
        <v>-0.27392758111379334</v>
      </c>
      <c r="E36" s="6">
        <f t="shared" si="0"/>
        <v>5.188551295886055E-4</v>
      </c>
      <c r="F36" s="6">
        <f>'MPU Rate'!K36</f>
        <v>-0.25685278245616627</v>
      </c>
      <c r="G36" s="6">
        <f>'MPU Rate'!T36</f>
        <v>-0.27392758111379334</v>
      </c>
      <c r="H36" s="6">
        <f t="shared" si="1"/>
        <v>2.9154874919850308E-4</v>
      </c>
      <c r="I36" s="6">
        <f>'BNO2 Rate'!K36</f>
        <v>0.95338610390190248</v>
      </c>
      <c r="J36" s="6">
        <f>'BNO2 Rate'!T36</f>
        <v>0.90708114204689438</v>
      </c>
      <c r="K36" s="6">
        <f t="shared" si="2"/>
        <v>2.1441494923937548E-3</v>
      </c>
    </row>
    <row r="37" spans="1:11" ht="18.95" customHeight="1">
      <c r="A37" s="4">
        <f>'BNO1 Rate'!A37</f>
        <v>725</v>
      </c>
      <c r="B37" s="9">
        <f>'BNO1 Rate'!C37</f>
        <v>693</v>
      </c>
      <c r="C37" s="6">
        <f>'BNO1 Rate'!K37</f>
        <v>-0.26289021858164591</v>
      </c>
      <c r="D37" s="6">
        <f>'BNO1 Rate'!T37</f>
        <v>-0.25422738412093893</v>
      </c>
      <c r="E37" s="6">
        <f t="shared" si="0"/>
        <v>7.5044700893612404E-5</v>
      </c>
      <c r="F37" s="6">
        <f>'MPU Rate'!K37</f>
        <v>-0.24486198287186817</v>
      </c>
      <c r="G37" s="6">
        <f>'MPU Rate'!T37</f>
        <v>-0.25422738412093893</v>
      </c>
      <c r="H37" s="6">
        <f t="shared" si="1"/>
        <v>8.771074055609614E-5</v>
      </c>
      <c r="I37" s="6">
        <f>'BNO2 Rate'!K37</f>
        <v>0.95338610390190248</v>
      </c>
      <c r="J37" s="6">
        <f>'BNO2 Rate'!T37</f>
        <v>0.92923221857340821</v>
      </c>
      <c r="K37" s="6">
        <f t="shared" si="2"/>
        <v>5.8341017646205094E-4</v>
      </c>
    </row>
    <row r="38" spans="1:11" ht="18.95" customHeight="1">
      <c r="A38" s="4">
        <f>'BNO1 Rate'!A38</f>
        <v>726</v>
      </c>
      <c r="B38" s="9">
        <f>'BNO1 Rate'!C38</f>
        <v>713</v>
      </c>
      <c r="C38" s="6">
        <f>'BNO1 Rate'!K38</f>
        <v>-0.25198191075668136</v>
      </c>
      <c r="D38" s="6">
        <f>'BNO1 Rate'!T38</f>
        <v>-0.23573205217209317</v>
      </c>
      <c r="E38" s="6">
        <f t="shared" ref="E38:E69" si="3">(C38-D38)^2</f>
        <v>2.6405790401911445E-4</v>
      </c>
      <c r="F38" s="6">
        <f>'MPU Rate'!K38</f>
        <v>-0.23287116664281363</v>
      </c>
      <c r="G38" s="6">
        <f>'MPU Rate'!T38</f>
        <v>-0.23573205217209317</v>
      </c>
      <c r="H38" s="6">
        <f t="shared" ref="H38:H69" si="4">(F38-G38)^2</f>
        <v>8.1846660116410991E-6</v>
      </c>
      <c r="I38" s="6">
        <f>'BNO2 Rate'!K38</f>
        <v>0.97520271955183158</v>
      </c>
      <c r="J38" s="6">
        <f>'BNO2 Rate'!T38</f>
        <v>0.94826789645432419</v>
      </c>
      <c r="K38" s="6">
        <f t="shared" ref="K38:K69" si="5">(I38-J38)^2</f>
        <v>7.2548469529401744E-4</v>
      </c>
    </row>
    <row r="39" spans="1:11" ht="18.95" customHeight="1">
      <c r="A39" s="4">
        <f>'BNO1 Rate'!A39</f>
        <v>727</v>
      </c>
      <c r="B39" s="9">
        <f>'BNO1 Rate'!C39</f>
        <v>733</v>
      </c>
      <c r="C39" s="6">
        <f>'BNO1 Rate'!K39</f>
        <v>-0.23452861823673801</v>
      </c>
      <c r="D39" s="6">
        <f>'BNO1 Rate'!T39</f>
        <v>-0.21769736391247652</v>
      </c>
      <c r="E39" s="6">
        <f t="shared" si="3"/>
        <v>2.8329112212797133E-4</v>
      </c>
      <c r="F39" s="6">
        <f>'MPU Rate'!K39</f>
        <v>-0.21315293883954164</v>
      </c>
      <c r="G39" s="6">
        <f>'MPU Rate'!T39</f>
        <v>-0.21769736391247652</v>
      </c>
      <c r="H39" s="6">
        <f t="shared" si="4"/>
        <v>2.0651799243519111E-5</v>
      </c>
      <c r="I39" s="6">
        <f>'BNO2 Rate'!K39</f>
        <v>0.99811016598425717</v>
      </c>
      <c r="J39" s="6">
        <f>'BNO2 Rate'!T39</f>
        <v>0.96599474952312381</v>
      </c>
      <c r="K39" s="6">
        <f t="shared" si="5"/>
        <v>1.0313999744720357E-3</v>
      </c>
    </row>
    <row r="40" spans="1:11" ht="18.95" customHeight="1">
      <c r="A40" s="4">
        <f>'BNO1 Rate'!A40</f>
        <v>728</v>
      </c>
      <c r="B40" s="9">
        <f>'BNO1 Rate'!C40</f>
        <v>753</v>
      </c>
      <c r="C40" s="6">
        <f>'BNO1 Rate'!K40</f>
        <v>-0.20834867945682309</v>
      </c>
      <c r="D40" s="6">
        <f>'BNO1 Rate'!T40</f>
        <v>-0.20028842012740278</v>
      </c>
      <c r="E40" s="6">
        <f t="shared" si="3"/>
        <v>6.496778045750715E-5</v>
      </c>
      <c r="F40" s="6">
        <f>'MPU Rate'!K40</f>
        <v>-0.19130301703123023</v>
      </c>
      <c r="G40" s="6">
        <f>'MPU Rate'!T40</f>
        <v>-0.20028842012740278</v>
      </c>
      <c r="H40" s="6">
        <f t="shared" si="4"/>
        <v>8.0737468800707153E-5</v>
      </c>
      <c r="I40" s="6">
        <f>'BNO2 Rate'!K40</f>
        <v>1.016654289286697</v>
      </c>
      <c r="J40" s="6">
        <f>'BNO2 Rate'!T40</f>
        <v>0.98137449009680355</v>
      </c>
      <c r="K40" s="6">
        <f t="shared" si="5"/>
        <v>1.2446642308792054E-3</v>
      </c>
    </row>
    <row r="41" spans="1:11" ht="18.95" customHeight="1">
      <c r="A41" s="4">
        <f>'BNO1 Rate'!A41</f>
        <v>729</v>
      </c>
      <c r="B41" s="9">
        <f>'BNO1 Rate'!C41</f>
        <v>773</v>
      </c>
      <c r="C41" s="6">
        <f>'BNO1 Rate'!K41</f>
        <v>-0.19525871006686563</v>
      </c>
      <c r="D41" s="6">
        <f>'BNO1 Rate'!T41</f>
        <v>-0.18309695106134827</v>
      </c>
      <c r="E41" s="6">
        <f t="shared" si="3"/>
        <v>1.4790838210828258E-4</v>
      </c>
      <c r="F41" s="6">
        <f>'MPU Rate'!K41</f>
        <v>-0.1729171021422978</v>
      </c>
      <c r="G41" s="6">
        <f>'MPU Rate'!T41</f>
        <v>-0.18309695106134827</v>
      </c>
      <c r="H41" s="6">
        <f t="shared" si="4"/>
        <v>1.0362932401469294E-4</v>
      </c>
      <c r="I41" s="6">
        <f>'BNO2 Rate'!K41</f>
        <v>1.0493792127615906</v>
      </c>
      <c r="J41" s="6">
        <f>'BNO2 Rate'!T41</f>
        <v>0.99555025672160646</v>
      </c>
      <c r="K41" s="6">
        <f t="shared" si="5"/>
        <v>2.897556508354548E-3</v>
      </c>
    </row>
    <row r="42" spans="1:11" ht="18.95" customHeight="1">
      <c r="A42" s="4">
        <f>'BNO1 Rate'!A42</f>
        <v>730</v>
      </c>
      <c r="B42" s="9">
        <f>'BNO1 Rate'!C42</f>
        <v>795</v>
      </c>
      <c r="C42" s="6">
        <f>'BNO1 Rate'!K42</f>
        <v>-0.17453292519943295</v>
      </c>
      <c r="D42" s="6">
        <f>'BNO1 Rate'!T42</f>
        <v>-0.16461694462425325</v>
      </c>
      <c r="E42" s="6">
        <f t="shared" si="3"/>
        <v>9.8326670767341146E-5</v>
      </c>
      <c r="F42" s="6">
        <f>'MPU Rate'!K42</f>
        <v>-0.15799521081750212</v>
      </c>
      <c r="G42" s="6">
        <f>'MPU Rate'!T42</f>
        <v>-0.16461694462425325</v>
      </c>
      <c r="H42" s="6">
        <f t="shared" si="4"/>
        <v>4.3847358607470794E-5</v>
      </c>
      <c r="I42" s="6">
        <f>'BNO2 Rate'!K42</f>
        <v>1.0450158896316049</v>
      </c>
      <c r="J42" s="6">
        <f>'BNO2 Rate'!T42</f>
        <v>1.0087110320086308</v>
      </c>
      <c r="K42" s="6">
        <f t="shared" si="5"/>
        <v>1.3180426870244195E-3</v>
      </c>
    </row>
    <row r="43" spans="1:11" ht="18.95" customHeight="1">
      <c r="A43" s="4">
        <f>'BNO1 Rate'!A43</f>
        <v>731</v>
      </c>
      <c r="B43" s="9">
        <f>'BNO1 Rate'!C43</f>
        <v>816</v>
      </c>
      <c r="C43" s="6">
        <f>'BNO1 Rate'!K43</f>
        <v>-0.15926129424448257</v>
      </c>
      <c r="D43" s="6">
        <f>'BNO1 Rate'!T43</f>
        <v>-0.14697739056653711</v>
      </c>
      <c r="E43" s="6">
        <f t="shared" si="3"/>
        <v>1.5089428956904205E-4</v>
      </c>
      <c r="F43" s="6">
        <f>'MPU Rate'!K43</f>
        <v>-0.12362154927887564</v>
      </c>
      <c r="G43" s="6">
        <f>'MPU Rate'!T43</f>
        <v>-0.14697739056653711</v>
      </c>
      <c r="H43" s="6">
        <f t="shared" si="4"/>
        <v>5.4549532225443202E-4</v>
      </c>
      <c r="I43" s="6">
        <f>'BNO2 Rate'!K43</f>
        <v>1.0788316438889949</v>
      </c>
      <c r="J43" s="6">
        <f>'BNO2 Rate'!T43</f>
        <v>1.0191560027145392</v>
      </c>
      <c r="K43" s="6">
        <f t="shared" si="5"/>
        <v>3.5611821495823894E-3</v>
      </c>
    </row>
    <row r="44" spans="1:11" ht="18.95" customHeight="1">
      <c r="A44" s="4">
        <f>'BNO1 Rate'!A44</f>
        <v>732</v>
      </c>
      <c r="B44" s="9">
        <f>'BNO1 Rate'!C44</f>
        <v>836</v>
      </c>
      <c r="C44" s="6">
        <f>'BNO1 Rate'!K44</f>
        <v>-0.14180800172453928</v>
      </c>
      <c r="D44" s="6">
        <f>'BNO1 Rate'!T44</f>
        <v>-0.13017715523902076</v>
      </c>
      <c r="E44" s="6">
        <f t="shared" si="3"/>
        <v>1.3527658996969838E-4</v>
      </c>
      <c r="F44" s="6">
        <f>'MPU Rate'!K44</f>
        <v>-0.11429535887849977</v>
      </c>
      <c r="G44" s="6">
        <f>'MPU Rate'!T44</f>
        <v>-0.13017715523902076</v>
      </c>
      <c r="H44" s="6">
        <f t="shared" si="4"/>
        <v>2.5223145563705782E-4</v>
      </c>
      <c r="I44" s="6">
        <f>'BNO2 Rate'!K44</f>
        <v>1.0711958284115197</v>
      </c>
      <c r="J44" s="6">
        <f>'BNO2 Rate'!T44</f>
        <v>1.0280674639167193</v>
      </c>
      <c r="K44" s="6">
        <f t="shared" si="5"/>
        <v>1.8600558239963596E-3</v>
      </c>
    </row>
    <row r="45" spans="1:11" ht="18.95" customHeight="1">
      <c r="A45" s="4">
        <f>'BNO1 Rate'!A45</f>
        <v>733</v>
      </c>
      <c r="B45" s="9">
        <f>'BNO1 Rate'!C45</f>
        <v>858</v>
      </c>
      <c r="C45" s="6">
        <f>'BNO1 Rate'!K45</f>
        <v>-0.11344640137963143</v>
      </c>
      <c r="D45" s="6">
        <f>'BNO1 Rate'!T45</f>
        <v>-0.11170939893656057</v>
      </c>
      <c r="E45" s="6">
        <f t="shared" si="3"/>
        <v>3.0171774872341333E-6</v>
      </c>
      <c r="F45" s="6">
        <f>'MPU Rate'!K45</f>
        <v>-9.644237581320611E-2</v>
      </c>
      <c r="G45" s="6">
        <f>'MPU Rate'!T45</f>
        <v>-0.11170939893656057</v>
      </c>
      <c r="H45" s="6">
        <f t="shared" si="4"/>
        <v>2.3308199504903967E-4</v>
      </c>
      <c r="I45" s="6">
        <f>'BNO2 Rate'!K45</f>
        <v>1.0941032748439452</v>
      </c>
      <c r="J45" s="6">
        <f>'BNO2 Rate'!T45</f>
        <v>1.0359736629173275</v>
      </c>
      <c r="K45" s="6">
        <f t="shared" si="5"/>
        <v>3.3790517827391744E-3</v>
      </c>
    </row>
    <row r="46" spans="1:11" ht="18.95" customHeight="1">
      <c r="A46" s="4">
        <f>'BNO1 Rate'!A46</f>
        <v>734</v>
      </c>
      <c r="B46" s="9">
        <f>'BNO1 Rate'!C46</f>
        <v>880</v>
      </c>
      <c r="C46" s="6">
        <f>'BNO1 Rate'!K46</f>
        <v>-9.7083939642184591E-2</v>
      </c>
      <c r="D46" s="6">
        <f>'BNO1 Rate'!T46</f>
        <v>-9.4216994849959823E-2</v>
      </c>
      <c r="E46" s="6">
        <f t="shared" si="3"/>
        <v>8.2193724416647183E-6</v>
      </c>
      <c r="F46" s="6">
        <f>'MPU Rate'!K46</f>
        <v>-7.6724156332312915E-2</v>
      </c>
      <c r="G46" s="6">
        <f>'MPU Rate'!T46</f>
        <v>-9.4216994849959823E-2</v>
      </c>
      <c r="H46" s="6">
        <f t="shared" si="4"/>
        <v>3.059993994044713E-4</v>
      </c>
      <c r="I46" s="6">
        <f>'BNO2 Rate'!K46</f>
        <v>1.0711958284115197</v>
      </c>
      <c r="J46" s="6">
        <f>'BNO2 Rate'!T46</f>
        <v>1.0419379458281444</v>
      </c>
      <c r="K46" s="6">
        <f t="shared" si="5"/>
        <v>8.5602369326257931E-4</v>
      </c>
    </row>
    <row r="47" spans="1:11" ht="18.95" customHeight="1">
      <c r="A47" s="4">
        <f>'BNO1 Rate'!A47</f>
        <v>735</v>
      </c>
      <c r="B47" s="9">
        <f>'BNO1 Rate'!C47</f>
        <v>910</v>
      </c>
      <c r="C47" s="6">
        <f>'BNO1 Rate'!K47</f>
        <v>-7.0904000862269639E-2</v>
      </c>
      <c r="D47" s="6">
        <f>'BNO1 Rate'!T47</f>
        <v>-6.9504722053125675E-2</v>
      </c>
      <c r="E47" s="6">
        <f t="shared" si="3"/>
        <v>1.9579811857193499E-6</v>
      </c>
      <c r="F47" s="6">
        <f>'MPU Rate'!K47</f>
        <v>-5.3008989786023059E-2</v>
      </c>
      <c r="G47" s="6">
        <f>'MPU Rate'!T47</f>
        <v>-6.9504722053125675E-2</v>
      </c>
      <c r="H47" s="6">
        <f t="shared" si="4"/>
        <v>2.7210918302793046E-4</v>
      </c>
      <c r="I47" s="6">
        <f>'BNO2 Rate'!K47</f>
        <v>1.0941032748439452</v>
      </c>
      <c r="J47" s="6">
        <f>'BNO2 Rate'!T47</f>
        <v>1.0474881671321334</v>
      </c>
      <c r="K47" s="6">
        <f t="shared" si="5"/>
        <v>2.1729682669838126E-3</v>
      </c>
    </row>
    <row r="48" spans="1:11" ht="18.95" customHeight="1">
      <c r="A48" s="4">
        <f>'BNO1 Rate'!A48</f>
        <v>736</v>
      </c>
      <c r="B48" s="9">
        <f>'BNO1 Rate'!C48</f>
        <v>930</v>
      </c>
      <c r="C48" s="6">
        <f>'BNO1 Rate'!K48</f>
        <v>-5.345070834232634E-2</v>
      </c>
      <c r="D48" s="6">
        <f>'BNO1 Rate'!T48</f>
        <v>-5.3217054709866721E-2</v>
      </c>
      <c r="E48" s="6">
        <f t="shared" si="3"/>
        <v>5.4594019961575064E-8</v>
      </c>
      <c r="F48" s="6">
        <f>'MPU Rate'!K48</f>
        <v>-3.6754777224509566E-2</v>
      </c>
      <c r="G48" s="6">
        <f>'MPU Rate'!T48</f>
        <v>-5.3217054709866721E-2</v>
      </c>
      <c r="H48" s="6">
        <f t="shared" si="4"/>
        <v>2.710065800048971E-4</v>
      </c>
      <c r="I48" s="6">
        <f>'BNO2 Rate'!K48</f>
        <v>1.0668325052815339</v>
      </c>
      <c r="J48" s="6">
        <f>'BNO2 Rate'!T48</f>
        <v>1.048765155817744</v>
      </c>
      <c r="K48" s="6">
        <f t="shared" si="5"/>
        <v>3.2642911664671138E-4</v>
      </c>
    </row>
    <row r="49" spans="1:11" ht="18.95" customHeight="1">
      <c r="A49" s="4">
        <f>'BNO1 Rate'!A49</f>
        <v>737</v>
      </c>
      <c r="B49" s="9">
        <f>'BNO1 Rate'!C49</f>
        <v>953</v>
      </c>
      <c r="C49" s="6">
        <f>'BNO1 Rate'!K49</f>
        <v>-3.7088246604879506E-2</v>
      </c>
      <c r="D49" s="6">
        <f>'BNO1 Rate'!T49</f>
        <v>-3.4494951193043862E-2</v>
      </c>
      <c r="E49" s="6">
        <f t="shared" si="3"/>
        <v>6.7251810930478043E-6</v>
      </c>
      <c r="F49" s="6">
        <f>'MPU Rate'!K49</f>
        <v>-1.9434717660475824E-2</v>
      </c>
      <c r="G49" s="6">
        <f>'MPU Rate'!T49</f>
        <v>-3.4494951193043862E-2</v>
      </c>
      <c r="H49" s="6">
        <f t="shared" si="4"/>
        <v>2.2681063405548675E-4</v>
      </c>
      <c r="I49" s="6">
        <f>'BNO2 Rate'!K49</f>
        <v>1.0755591515415057</v>
      </c>
      <c r="J49" s="6">
        <f>'BNO2 Rate'!T49</f>
        <v>1.0488692933036818</v>
      </c>
      <c r="K49" s="6">
        <f t="shared" si="5"/>
        <v>7.1234853275513538E-4</v>
      </c>
    </row>
    <row r="50" spans="1:11" ht="18.95" customHeight="1">
      <c r="A50" s="4">
        <f>'BNO1 Rate'!A50</f>
        <v>738</v>
      </c>
      <c r="B50" s="9">
        <f>'BNO1 Rate'!C50</f>
        <v>973</v>
      </c>
      <c r="C50" s="6">
        <f>'BNO1 Rate'!K50</f>
        <v>-1.9634954084936207E-2</v>
      </c>
      <c r="D50" s="6">
        <f>'BNO1 Rate'!T50</f>
        <v>-1.8096623732499366E-2</v>
      </c>
      <c r="E50" s="6">
        <f t="shared" si="3"/>
        <v>2.3664602732284557E-6</v>
      </c>
      <c r="F50" s="6">
        <f>'MPU Rate'!K50</f>
        <v>1.8822806465759734E-3</v>
      </c>
      <c r="G50" s="6">
        <f>'MPU Rate'!T50</f>
        <v>-1.8096623732499366E-2</v>
      </c>
      <c r="H50" s="6">
        <f t="shared" si="4"/>
        <v>3.9915662018823579E-4</v>
      </c>
      <c r="I50" s="6">
        <f>'BNO2 Rate'!K50</f>
        <v>1.0701049976290233</v>
      </c>
      <c r="J50" s="6">
        <f>'BNO2 Rate'!T50</f>
        <v>1.0477398150450488</v>
      </c>
      <c r="K50" s="6">
        <f t="shared" si="5"/>
        <v>5.0020139201451962E-4</v>
      </c>
    </row>
    <row r="51" spans="1:11" ht="18.95" customHeight="1">
      <c r="A51" s="4">
        <f>'BNO1 Rate'!A51</f>
        <v>739</v>
      </c>
      <c r="B51" s="9">
        <f>'BNO1 Rate'!C51</f>
        <v>994</v>
      </c>
      <c r="C51" s="6">
        <f>'BNO1 Rate'!K51</f>
        <v>-5.4541539124822796E-3</v>
      </c>
      <c r="D51" s="6">
        <f>'BNO1 Rate'!T51</f>
        <v>-4.5706967478324111E-4</v>
      </c>
      <c r="E51" s="6">
        <f t="shared" si="3"/>
        <v>2.4970850878660177E-5</v>
      </c>
      <c r="F51" s="6">
        <f>'MPU Rate'!K51</f>
        <v>2.0001729623688961E-2</v>
      </c>
      <c r="G51" s="6">
        <f>'MPU Rate'!T51</f>
        <v>-4.5706967478324111E-4</v>
      </c>
      <c r="H51" s="6">
        <f t="shared" si="4"/>
        <v>4.1856246873516666E-4</v>
      </c>
      <c r="I51" s="6">
        <f>'BNO2 Rate'!K51</f>
        <v>1.0973757671914346</v>
      </c>
      <c r="J51" s="6">
        <f>'BNO2 Rate'!T51</f>
        <v>1.0442452529248964</v>
      </c>
      <c r="K51" s="6">
        <f t="shared" si="5"/>
        <v>2.8228515462268133E-3</v>
      </c>
    </row>
    <row r="52" spans="1:11" ht="18.95" customHeight="1">
      <c r="A52" s="4">
        <f>'BNO1 Rate'!A52</f>
        <v>740</v>
      </c>
      <c r="B52" s="9">
        <f>'BNO1 Rate'!C52</f>
        <v>1016</v>
      </c>
      <c r="C52" s="6">
        <f>'BNO1 Rate'!K52</f>
        <v>1.5271630954950384E-2</v>
      </c>
      <c r="D52" s="6">
        <f>'BNO1 Rate'!T52</f>
        <v>1.8022601937157764E-2</v>
      </c>
      <c r="E52" s="6">
        <f t="shared" si="3"/>
        <v>7.567841344947036E-6</v>
      </c>
      <c r="F52" s="6">
        <f>'MPU Rate'!K52</f>
        <v>3.5456552772123229E-2</v>
      </c>
      <c r="G52" s="6">
        <f>'MPU Rate'!T52</f>
        <v>1.8022601937157764E-2</v>
      </c>
      <c r="H52" s="6">
        <f t="shared" si="4"/>
        <v>3.0394264171599303E-4</v>
      </c>
      <c r="I52" s="6">
        <f>'BNO2 Rate'!K52</f>
        <v>1.0733774899765127</v>
      </c>
      <c r="J52" s="6">
        <f>'BNO2 Rate'!T52</f>
        <v>1.0394217810740958</v>
      </c>
      <c r="K52" s="6">
        <f t="shared" si="5"/>
        <v>1.1529901670656775E-3</v>
      </c>
    </row>
    <row r="53" spans="1:11" ht="18.95" customHeight="1">
      <c r="A53" s="4">
        <f>'BNO1 Rate'!A53</f>
        <v>741</v>
      </c>
      <c r="B53" s="9">
        <f>'BNO1 Rate'!C53</f>
        <v>1036</v>
      </c>
      <c r="C53" s="6">
        <f>'BNO1 Rate'!K53</f>
        <v>2.8361600344907856E-2</v>
      </c>
      <c r="D53" s="6">
        <f>'BNO1 Rate'!T53</f>
        <v>3.4822789477809202E-2</v>
      </c>
      <c r="E53" s="6">
        <f t="shared" si="3"/>
        <v>4.174696501112244E-5</v>
      </c>
      <c r="F53" s="6">
        <f>'MPU Rate'!K53</f>
        <v>5.3309535837416919E-2</v>
      </c>
      <c r="G53" s="6">
        <f>'MPU Rate'!T53</f>
        <v>3.4822789477809202E-2</v>
      </c>
      <c r="H53" s="6">
        <f t="shared" si="4"/>
        <v>3.4175979096446918E-4</v>
      </c>
      <c r="I53" s="6">
        <f>'BNO2 Rate'!K53</f>
        <v>1.0930124440614488</v>
      </c>
      <c r="J53" s="6">
        <f>'BNO2 Rate'!T53</f>
        <v>1.0339325901219996</v>
      </c>
      <c r="K53" s="6">
        <f t="shared" si="5"/>
        <v>3.4904291415066577E-3</v>
      </c>
    </row>
    <row r="54" spans="1:11" ht="18.95" customHeight="1">
      <c r="A54" s="4">
        <f>'BNO1 Rate'!A54</f>
        <v>742</v>
      </c>
      <c r="B54" s="9">
        <f>'BNO1 Rate'!C54</f>
        <v>1056</v>
      </c>
      <c r="C54" s="6">
        <f>'BNO1 Rate'!K54</f>
        <v>5.345070834232634E-2</v>
      </c>
      <c r="D54" s="6">
        <f>'BNO1 Rate'!T54</f>
        <v>5.1882576955404887E-2</v>
      </c>
      <c r="E54" s="6">
        <f t="shared" si="3"/>
        <v>2.4590360466482015E-6</v>
      </c>
      <c r="F54" s="6">
        <f>'MPU Rate'!K54</f>
        <v>7.2494840139428404E-2</v>
      </c>
      <c r="G54" s="6">
        <f>'MPU Rate'!T54</f>
        <v>5.1882576955404887E-2</v>
      </c>
      <c r="H54" s="6">
        <f t="shared" si="4"/>
        <v>4.2486539356745133E-4</v>
      </c>
      <c r="I54" s="6">
        <f>'BNO2 Rate'!K54</f>
        <v>1.0537425358915764</v>
      </c>
      <c r="J54" s="6">
        <f>'BNO2 Rate'!T54</f>
        <v>1.0264742958550814</v>
      </c>
      <c r="K54" s="6">
        <f t="shared" si="5"/>
        <v>7.4355691468790737E-4</v>
      </c>
    </row>
    <row r="55" spans="1:11" ht="18.95" customHeight="1">
      <c r="A55" s="4">
        <f>'BNO1 Rate'!A55</f>
        <v>743</v>
      </c>
      <c r="B55" s="9">
        <f>'BNO1 Rate'!C55</f>
        <v>1076</v>
      </c>
      <c r="C55" s="6">
        <f>'BNO1 Rate'!K55</f>
        <v>6.5449846949787352E-2</v>
      </c>
      <c r="D55" s="6">
        <f>'BNO1 Rate'!T55</f>
        <v>6.9470306145614599E-2</v>
      </c>
      <c r="E55" s="6">
        <f t="shared" si="3"/>
        <v>1.6164092145311875E-5</v>
      </c>
      <c r="F55" s="6">
        <f>'MPU Rate'!K55</f>
        <v>8.3952724544844579E-2</v>
      </c>
      <c r="G55" s="6">
        <f>'MPU Rate'!T55</f>
        <v>6.9470306145614599E-2</v>
      </c>
      <c r="H55" s="6">
        <f t="shared" si="4"/>
        <v>2.0974044269035503E-4</v>
      </c>
      <c r="I55" s="6">
        <f>'BNO2 Rate'!K55</f>
        <v>1.0613783513690516</v>
      </c>
      <c r="J55" s="6">
        <f>'BNO2 Rate'!T55</f>
        <v>1.0180439619591011</v>
      </c>
      <c r="K55" s="6">
        <f t="shared" si="5"/>
        <v>1.8778693055332293E-3</v>
      </c>
    </row>
    <row r="56" spans="1:11" ht="18.95" customHeight="1">
      <c r="A56" s="4">
        <f>'BNO1 Rate'!A56</f>
        <v>744</v>
      </c>
      <c r="B56" s="9">
        <f>'BNO1 Rate'!C56</f>
        <v>1097</v>
      </c>
      <c r="C56" s="6">
        <f>'BNO1 Rate'!K56</f>
        <v>8.5084801034723559E-2</v>
      </c>
      <c r="D56" s="6">
        <f>'BNO1 Rate'!T56</f>
        <v>8.8298273658212759E-2</v>
      </c>
      <c r="E56" s="6">
        <f t="shared" si="3"/>
        <v>1.032640630191456E-5</v>
      </c>
      <c r="F56" s="6">
        <f>'MPU Rate'!K56</f>
        <v>0.10420387584937617</v>
      </c>
      <c r="G56" s="6">
        <f>'MPU Rate'!T56</f>
        <v>8.8298273658212759E-2</v>
      </c>
      <c r="H56" s="6">
        <f t="shared" si="4"/>
        <v>2.5298818106354225E-4</v>
      </c>
      <c r="I56" s="6">
        <f>'BNO2 Rate'!K56</f>
        <v>1.0384709049366261</v>
      </c>
      <c r="J56" s="6">
        <f>'BNO2 Rate'!T56</f>
        <v>1.0071899701149234</v>
      </c>
      <c r="K56" s="6">
        <f t="shared" si="5"/>
        <v>9.7849688331961182E-4</v>
      </c>
    </row>
    <row r="57" spans="1:11" ht="18.95" customHeight="1">
      <c r="A57" s="4">
        <f>'BNO1 Rate'!A57</f>
        <v>745</v>
      </c>
      <c r="B57" s="9">
        <f>'BNO1 Rate'!C57</f>
        <v>1117</v>
      </c>
      <c r="C57" s="6">
        <f>'BNO1 Rate'!K57</f>
        <v>0.10144726277217039</v>
      </c>
      <c r="D57" s="6">
        <f>'BNO1 Rate'!T57</f>
        <v>0.10627211686519315</v>
      </c>
      <c r="E57" s="6">
        <f t="shared" si="3"/>
        <v>2.3279217018958477E-5</v>
      </c>
      <c r="F57" s="6">
        <f>'MPU Rate'!K57</f>
        <v>0.12578734006824724</v>
      </c>
      <c r="G57" s="6">
        <f>'MPU Rate'!T57</f>
        <v>0.10627211686519315</v>
      </c>
      <c r="H57" s="6">
        <f t="shared" si="4"/>
        <v>3.8084393666502057E-4</v>
      </c>
      <c r="I57" s="6">
        <f>'BNO2 Rate'!K57</f>
        <v>1.0133817969392076</v>
      </c>
      <c r="J57" s="6">
        <f>'BNO2 Rate'!T57</f>
        <v>0.99556039989022949</v>
      </c>
      <c r="K57" s="6">
        <f t="shared" si="5"/>
        <v>3.1760219277732589E-4</v>
      </c>
    </row>
    <row r="58" spans="1:11" ht="18.95" customHeight="1">
      <c r="A58" s="4">
        <f>'BNO1 Rate'!A58</f>
        <v>746</v>
      </c>
      <c r="B58" s="9">
        <f>'BNO1 Rate'!C58</f>
        <v>1138</v>
      </c>
      <c r="C58" s="6">
        <f>'BNO1 Rate'!K58</f>
        <v>0.11780972450961724</v>
      </c>
      <c r="D58" s="6">
        <f>'BNO1 Rate'!T58</f>
        <v>0.12622327305083955</v>
      </c>
      <c r="E58" s="6">
        <f t="shared" si="3"/>
        <v>7.0787799055504054E-5</v>
      </c>
      <c r="F58" s="6">
        <f>'MPU Rate'!K58</f>
        <v>0.14070923139304295</v>
      </c>
      <c r="G58" s="6">
        <f>'MPU Rate'!T58</f>
        <v>0.12622327305083955</v>
      </c>
      <c r="H58" s="6">
        <f t="shared" si="4"/>
        <v>2.098429890920522E-4</v>
      </c>
      <c r="I58" s="6">
        <f>'BNO2 Rate'!K58</f>
        <v>0.99701933520176078</v>
      </c>
      <c r="J58" s="6">
        <f>'BNO2 Rate'!T58</f>
        <v>0.98163518477866474</v>
      </c>
      <c r="K58" s="6">
        <f t="shared" si="5"/>
        <v>2.3667208424044616E-4</v>
      </c>
    </row>
    <row r="59" spans="1:11" ht="18.95" customHeight="1">
      <c r="A59" s="4">
        <f>'BNO1 Rate'!A59</f>
        <v>747</v>
      </c>
      <c r="B59" s="9">
        <f>'BNO1 Rate'!C59</f>
        <v>1159</v>
      </c>
      <c r="C59" s="6">
        <f>'BNO1 Rate'!K59</f>
        <v>0.14944381720201447</v>
      </c>
      <c r="D59" s="6">
        <f>'BNO1 Rate'!T59</f>
        <v>0.14559216784880866</v>
      </c>
      <c r="E59" s="6">
        <f t="shared" si="3"/>
        <v>1.4835202740050738E-5</v>
      </c>
      <c r="F59" s="6">
        <f>'MPU Rate'!K59</f>
        <v>0.16842133668235107</v>
      </c>
      <c r="G59" s="6">
        <f>'MPU Rate'!T59</f>
        <v>0.14559216784880866</v>
      </c>
      <c r="H59" s="6">
        <f t="shared" si="4"/>
        <v>5.2117094963038426E-4</v>
      </c>
      <c r="I59" s="6">
        <f>'BNO2 Rate'!K59</f>
        <v>0.98720185815929251</v>
      </c>
      <c r="J59" s="6">
        <f>'BNO2 Rate'!T59</f>
        <v>0.96688168327305646</v>
      </c>
      <c r="K59" s="6">
        <f t="shared" si="5"/>
        <v>4.1290950740721839E-4</v>
      </c>
    </row>
    <row r="60" spans="1:11" ht="18.95" customHeight="1">
      <c r="A60" s="4">
        <f>'BNO1 Rate'!A60</f>
        <v>748</v>
      </c>
      <c r="B60" s="9">
        <f>'BNO1 Rate'!C60</f>
        <v>1181</v>
      </c>
      <c r="C60" s="6">
        <f>'BNO1 Rate'!K60</f>
        <v>0.17235126363444003</v>
      </c>
      <c r="D60" s="6">
        <f>'BNO1 Rate'!T60</f>
        <v>0.16698582583976923</v>
      </c>
      <c r="E60" s="6">
        <f t="shared" si="3"/>
        <v>2.878792272848188E-5</v>
      </c>
      <c r="F60" s="6">
        <f>'MPU Rate'!K60</f>
        <v>0.19213648658388369</v>
      </c>
      <c r="G60" s="6">
        <f>'MPU Rate'!T60</f>
        <v>0.16698582583976923</v>
      </c>
      <c r="H60" s="6">
        <f t="shared" si="4"/>
        <v>6.3255573586553987E-4</v>
      </c>
      <c r="I60" s="6">
        <f>'BNO2 Rate'!K60</f>
        <v>1.0046551506792361</v>
      </c>
      <c r="J60" s="6">
        <f>'BNO2 Rate'!T60</f>
        <v>0.94937715527351274</v>
      </c>
      <c r="K60" s="6">
        <f t="shared" si="5"/>
        <v>3.0556567760751676E-3</v>
      </c>
    </row>
    <row r="61" spans="1:11" ht="18.95" customHeight="1">
      <c r="A61" s="4">
        <f>'BNO1 Rate'!A61</f>
        <v>749</v>
      </c>
      <c r="B61" s="9">
        <f>'BNO1 Rate'!C61</f>
        <v>1202</v>
      </c>
      <c r="C61" s="6">
        <f>'BNO1 Rate'!K61</f>
        <v>0.19416787928436918</v>
      </c>
      <c r="D61" s="6">
        <f>'BNO1 Rate'!T61</f>
        <v>0.18787183512313219</v>
      </c>
      <c r="E61" s="6">
        <f t="shared" si="3"/>
        <v>3.9640172080246475E-5</v>
      </c>
      <c r="F61" s="6">
        <f>'MPU Rate'!K61</f>
        <v>0.2134534932133148</v>
      </c>
      <c r="G61" s="6">
        <f>'MPU Rate'!T61</f>
        <v>0.18787183512313219</v>
      </c>
      <c r="H61" s="6">
        <f t="shared" si="4"/>
        <v>6.5442123064300586E-4</v>
      </c>
      <c r="I61" s="6">
        <f>'BNO2 Rate'!K61</f>
        <v>0.97738438111682457</v>
      </c>
      <c r="J61" s="6">
        <f>'BNO2 Rate'!T61</f>
        <v>0.93065325488119144</v>
      </c>
      <c r="K61" s="6">
        <f t="shared" si="5"/>
        <v>2.1837981592506797E-3</v>
      </c>
    </row>
    <row r="62" spans="1:11" ht="18.95" customHeight="1">
      <c r="A62" s="4">
        <f>'BNO1 Rate'!A62</f>
        <v>750</v>
      </c>
      <c r="B62" s="9">
        <f>'BNO1 Rate'!C62</f>
        <v>1223</v>
      </c>
      <c r="C62" s="6">
        <f>'BNO1 Rate'!K62</f>
        <v>0.2159844949342983</v>
      </c>
      <c r="D62" s="6">
        <f>'BNO1 Rate'!T62</f>
        <v>0.20886685290948104</v>
      </c>
      <c r="E62" s="6">
        <f t="shared" si="3"/>
        <v>5.0660827993444844E-5</v>
      </c>
      <c r="F62" s="6">
        <f>'MPU Rate'!K62</f>
        <v>0.23237232328112806</v>
      </c>
      <c r="G62" s="6">
        <f>'MPU Rate'!T62</f>
        <v>0.20886685290948104</v>
      </c>
      <c r="H62" s="6">
        <f t="shared" si="4"/>
        <v>5.5250713739237584E-4</v>
      </c>
      <c r="I62" s="6">
        <f>'BNO2 Rate'!K62</f>
        <v>0.97847521189932096</v>
      </c>
      <c r="J62" s="6">
        <f>'BNO2 Rate'!T62</f>
        <v>0.91096853371196129</v>
      </c>
      <c r="K62" s="6">
        <f t="shared" si="5"/>
        <v>4.5571515998917419E-3</v>
      </c>
    </row>
    <row r="63" spans="1:11" ht="18.95" customHeight="1">
      <c r="A63" s="4">
        <f>'BNO1 Rate'!A63</f>
        <v>751</v>
      </c>
      <c r="B63" s="9">
        <f>'BNO1 Rate'!C63</f>
        <v>1243</v>
      </c>
      <c r="C63" s="6">
        <f>'BNO1 Rate'!K63</f>
        <v>0.23343778745424157</v>
      </c>
      <c r="D63" s="6">
        <f>'BNO1 Rate'!T63</f>
        <v>0.22971301094624022</v>
      </c>
      <c r="E63" s="6">
        <f t="shared" si="3"/>
        <v>1.3873960034558719E-5</v>
      </c>
      <c r="F63" s="6">
        <f>'MPU Rate'!K63</f>
        <v>0.26088382630589457</v>
      </c>
      <c r="G63" s="6">
        <f>'MPU Rate'!T63</f>
        <v>0.22971301094624022</v>
      </c>
      <c r="H63" s="6">
        <f t="shared" si="4"/>
        <v>9.7161973018566373E-4</v>
      </c>
      <c r="I63" s="6">
        <f>'BNO2 Rate'!K63</f>
        <v>0.93266031903446989</v>
      </c>
      <c r="J63" s="6">
        <f>'BNO2 Rate'!T63</f>
        <v>0.89023913897504348</v>
      </c>
      <c r="K63" s="6">
        <f t="shared" si="5"/>
        <v>1.7995565176342769E-3</v>
      </c>
    </row>
    <row r="64" spans="1:11" ht="18.95" customHeight="1">
      <c r="A64" s="4">
        <f>'BNO1 Rate'!A64</f>
        <v>752</v>
      </c>
      <c r="B64" s="9">
        <f>'BNO1 Rate'!C64</f>
        <v>1263</v>
      </c>
      <c r="C64" s="6">
        <f>'BNO1 Rate'!K64</f>
        <v>0.26070855701665296</v>
      </c>
      <c r="D64" s="6">
        <f>'BNO1 Rate'!T64</f>
        <v>0.25036069515474746</v>
      </c>
      <c r="E64" s="6">
        <f t="shared" si="3"/>
        <v>1.0707824511307847E-4</v>
      </c>
      <c r="F64" s="6">
        <f>'MPU Rate'!K64</f>
        <v>0.27873679272643065</v>
      </c>
      <c r="G64" s="6">
        <f>'MPU Rate'!T64</f>
        <v>0.25036069515474746</v>
      </c>
      <c r="H64" s="6">
        <f t="shared" si="4"/>
        <v>8.0520291339768462E-4</v>
      </c>
      <c r="I64" s="6">
        <f>'BNO2 Rate'!K64</f>
        <v>0.91957034964451245</v>
      </c>
      <c r="J64" s="6">
        <f>'BNO2 Rate'!T64</f>
        <v>0.86863882848649654</v>
      </c>
      <c r="K64" s="6">
        <f t="shared" si="5"/>
        <v>2.5940198474694227E-3</v>
      </c>
    </row>
    <row r="65" spans="1:11" ht="18.95" customHeight="1">
      <c r="A65" s="4">
        <f>'BNO1 Rate'!A65</f>
        <v>753</v>
      </c>
      <c r="B65" s="9">
        <f>'BNO1 Rate'!C65</f>
        <v>1285</v>
      </c>
      <c r="C65" s="6">
        <f>'BNO1 Rate'!K65</f>
        <v>0.28361600344907856</v>
      </c>
      <c r="D65" s="6">
        <f>'BNO1 Rate'!T65</f>
        <v>0.27412106075353776</v>
      </c>
      <c r="E65" s="6">
        <f t="shared" si="3"/>
        <v>9.0153936791603548E-5</v>
      </c>
      <c r="F65" s="6">
        <f>'MPU Rate'!K65</f>
        <v>0.30032024862292367</v>
      </c>
      <c r="G65" s="6">
        <f>'MPU Rate'!T65</f>
        <v>0.27412106075353776</v>
      </c>
      <c r="H65" s="6">
        <f t="shared" si="4"/>
        <v>6.8639744501537779E-4</v>
      </c>
      <c r="I65" s="6">
        <f>'BNO2 Rate'!K65</f>
        <v>0.88248210303963281</v>
      </c>
      <c r="J65" s="6">
        <f>'BNO2 Rate'!T65</f>
        <v>0.84331022543988565</v>
      </c>
      <c r="K65" s="6">
        <f t="shared" si="5"/>
        <v>1.5344359946895736E-3</v>
      </c>
    </row>
    <row r="66" spans="1:11" ht="18.95" customHeight="1">
      <c r="A66" s="4">
        <f>'BNO1 Rate'!A66</f>
        <v>754</v>
      </c>
      <c r="B66" s="9">
        <f>'BNO1 Rate'!C66</f>
        <v>1315</v>
      </c>
      <c r="C66" s="6">
        <f>'BNO1 Rate'!K66</f>
        <v>0.31743175770646864</v>
      </c>
      <c r="D66" s="6">
        <f>'BNO1 Rate'!T66</f>
        <v>0.30652110726680143</v>
      </c>
      <c r="E66" s="6">
        <f t="shared" si="3"/>
        <v>1.1904229301661035E-4</v>
      </c>
      <c r="F66" s="6">
        <f>'MPU Rate'!K66</f>
        <v>0.34295426188178418</v>
      </c>
      <c r="G66" s="6">
        <f>'MPU Rate'!T66</f>
        <v>0.30652110726680143</v>
      </c>
      <c r="H66" s="6">
        <f t="shared" si="4"/>
        <v>1.3273747551992392E-3</v>
      </c>
      <c r="I66" s="6">
        <f>'BNO2 Rate'!K66</f>
        <v>0.8453938564347534</v>
      </c>
      <c r="J66" s="6">
        <f>'BNO2 Rate'!T66</f>
        <v>0.80698958639840157</v>
      </c>
      <c r="K66" s="6">
        <f t="shared" si="5"/>
        <v>1.4748879570250309E-3</v>
      </c>
    </row>
    <row r="67" spans="1:11" ht="18.95" customHeight="1">
      <c r="A67" s="4">
        <f>'BNO1 Rate'!A67</f>
        <v>755</v>
      </c>
      <c r="B67" s="9">
        <f>'BNO1 Rate'!C67</f>
        <v>1335</v>
      </c>
      <c r="C67" s="6">
        <f>'BNO1 Rate'!K67</f>
        <v>0.34033920413889424</v>
      </c>
      <c r="D67" s="6">
        <f>'BNO1 Rate'!T67</f>
        <v>0.32912076260118084</v>
      </c>
      <c r="E67" s="6">
        <f t="shared" si="3"/>
        <v>1.2585343053509332E-4</v>
      </c>
      <c r="F67" s="6">
        <f>'MPU Rate'!K67</f>
        <v>0.36267247304029787</v>
      </c>
      <c r="G67" s="6">
        <f>'MPU Rate'!T67</f>
        <v>0.32912076260118084</v>
      </c>
      <c r="H67" s="6">
        <f t="shared" si="4"/>
        <v>1.1257172733903549E-3</v>
      </c>
      <c r="I67" s="6">
        <f>'BNO2 Rate'!K67</f>
        <v>0.81921391765483831</v>
      </c>
      <c r="J67" s="6">
        <f>'BNO2 Rate'!T67</f>
        <v>0.7807410690080594</v>
      </c>
      <c r="K67" s="6">
        <f t="shared" si="5"/>
        <v>1.480160082997958E-3</v>
      </c>
    </row>
    <row r="68" spans="1:11" ht="18.95" customHeight="1">
      <c r="A68" s="4">
        <f>'BNO1 Rate'!A68</f>
        <v>756</v>
      </c>
      <c r="B68" s="9">
        <f>'BNO1 Rate'!C68</f>
        <v>1355</v>
      </c>
      <c r="C68" s="6">
        <f>'BNO1 Rate'!K68</f>
        <v>0.3687008044838021</v>
      </c>
      <c r="D68" s="6">
        <f>'BNO1 Rate'!T68</f>
        <v>0.35145588317202986</v>
      </c>
      <c r="E68" s="6">
        <f t="shared" si="3"/>
        <v>2.9738731104921653E-4</v>
      </c>
      <c r="F68" s="6">
        <f>'MPU Rate'!K68</f>
        <v>0.39837843917088672</v>
      </c>
      <c r="G68" s="6">
        <f>'MPU Rate'!T68</f>
        <v>0.35145588317202986</v>
      </c>
      <c r="H68" s="6">
        <f t="shared" si="4"/>
        <v>2.2017262614658583E-3</v>
      </c>
      <c r="I68" s="6">
        <f>'BNO2 Rate'!K68</f>
        <v>0.80285145591739149</v>
      </c>
      <c r="J68" s="6">
        <f>'BNO2 Rate'!T68</f>
        <v>0.75410692632859333</v>
      </c>
      <c r="K68" s="6">
        <f t="shared" si="5"/>
        <v>2.3760291648332191E-3</v>
      </c>
    </row>
    <row r="69" spans="1:11" ht="18.95" customHeight="1">
      <c r="A69" s="4">
        <f>'BNO1 Rate'!A69</f>
        <v>757</v>
      </c>
      <c r="B69" s="9">
        <f>'BNO1 Rate'!C69</f>
        <v>1377</v>
      </c>
      <c r="C69" s="6">
        <f>'BNO1 Rate'!K69</f>
        <v>0.39706240482870997</v>
      </c>
      <c r="D69" s="6">
        <f>'BNO1 Rate'!T69</f>
        <v>0.37655051042443011</v>
      </c>
      <c r="E69" s="6">
        <f t="shared" si="3"/>
        <v>4.2073781205232753E-4</v>
      </c>
      <c r="F69" s="6">
        <f>'MPU Rate'!K69</f>
        <v>0.42209362236193215</v>
      </c>
      <c r="G69" s="6">
        <f>'MPU Rate'!T69</f>
        <v>0.37655051042443011</v>
      </c>
      <c r="H69" s="6">
        <f t="shared" si="4"/>
        <v>2.0741750449518414E-3</v>
      </c>
      <c r="I69" s="6">
        <f>'BNO2 Rate'!K69</f>
        <v>0.76358154774751907</v>
      </c>
      <c r="J69" s="6">
        <f>'BNO2 Rate'!T69</f>
        <v>0.722692132195484</v>
      </c>
      <c r="K69" s="6">
        <f t="shared" si="5"/>
        <v>1.6719443041870073E-3</v>
      </c>
    </row>
    <row r="70" spans="1:11" ht="18.95" customHeight="1">
      <c r="A70" s="4">
        <f>'BNO1 Rate'!A70</f>
        <v>758</v>
      </c>
      <c r="B70" s="9">
        <f>'BNO1 Rate'!C70</f>
        <v>1399</v>
      </c>
      <c r="C70" s="6">
        <f>'BNO1 Rate'!K70</f>
        <v>0.42106068204363201</v>
      </c>
      <c r="D70" s="6">
        <f>'BNO1 Rate'!T70</f>
        <v>0.40160596291624517</v>
      </c>
      <c r="E70" s="6">
        <f t="shared" ref="E70:E101" si="6">(C70-D70)^2</f>
        <v>3.7848609632551108E-4</v>
      </c>
      <c r="F70" s="6">
        <f>'MPU Rate'!K70</f>
        <v>0.44207828278750944</v>
      </c>
      <c r="G70" s="6">
        <f>'MPU Rate'!T70</f>
        <v>0.40160596291624517</v>
      </c>
      <c r="H70" s="6">
        <f t="shared" ref="H70:H101" si="7">(F70-G70)^2</f>
        <v>1.6380086757619321E-3</v>
      </c>
      <c r="I70" s="6">
        <f>'BNO2 Rate'!K70</f>
        <v>0.74721908601007225</v>
      </c>
      <c r="J70" s="6">
        <f>'BNO2 Rate'!T70</f>
        <v>0.69064722424889091</v>
      </c>
      <c r="K70" s="6">
        <f t="shared" ref="K70:K101" si="8">(I70-J70)^2</f>
        <v>3.2003755431262116E-3</v>
      </c>
    </row>
    <row r="71" spans="1:11" ht="18.95" customHeight="1">
      <c r="A71" s="4">
        <f>'BNO1 Rate'!A71</f>
        <v>759</v>
      </c>
      <c r="B71" s="9">
        <f>'BNO1 Rate'!C71</f>
        <v>1419</v>
      </c>
      <c r="C71" s="6">
        <f>'BNO1 Rate'!K71</f>
        <v>0.44614979004105049</v>
      </c>
      <c r="D71" s="6">
        <f>'BNO1 Rate'!T71</f>
        <v>0.42440562475753646</v>
      </c>
      <c r="E71" s="6">
        <f t="shared" si="6"/>
        <v>4.7280872387677668E-4</v>
      </c>
      <c r="F71" s="6">
        <f>'MPU Rate'!K71</f>
        <v>0.47911659512195037</v>
      </c>
      <c r="G71" s="6">
        <f>'MPU Rate'!T71</f>
        <v>0.42440562475753646</v>
      </c>
      <c r="H71" s="6">
        <f t="shared" si="7"/>
        <v>2.9932902782157777E-3</v>
      </c>
      <c r="I71" s="6">
        <f>'BNO2 Rate'!K71</f>
        <v>0.69813170079773179</v>
      </c>
      <c r="J71" s="6">
        <f>'BNO2 Rate'!T71</f>
        <v>0.66056300255477729</v>
      </c>
      <c r="K71" s="6">
        <f t="shared" si="8"/>
        <v>1.4114070876701727E-3</v>
      </c>
    </row>
    <row r="72" spans="1:11" ht="18.95" customHeight="1">
      <c r="A72" s="4">
        <f>'BNO1 Rate'!A72</f>
        <v>760</v>
      </c>
      <c r="B72" s="9">
        <f>'BNO1 Rate'!C72</f>
        <v>1440</v>
      </c>
      <c r="C72" s="6">
        <f>'BNO1 Rate'!K72</f>
        <v>0.47996554429844063</v>
      </c>
      <c r="D72" s="6">
        <f>'BNO1 Rate'!T72</f>
        <v>0.44869012108260448</v>
      </c>
      <c r="E72" s="6">
        <f t="shared" si="6"/>
        <v>9.7815209732966292E-4</v>
      </c>
      <c r="F72" s="6">
        <f>'MPU Rate'!K72</f>
        <v>0.51029269068588179</v>
      </c>
      <c r="G72" s="6">
        <f>'MPU Rate'!T72</f>
        <v>0.44869012108260448</v>
      </c>
      <c r="H72" s="6">
        <f t="shared" si="7"/>
        <v>3.794876581726626E-3</v>
      </c>
      <c r="I72" s="6">
        <f>'BNO2 Rate'!K72</f>
        <v>0.68831422375526374</v>
      </c>
      <c r="J72" s="6">
        <f>'BNO2 Rate'!T72</f>
        <v>0.62780276543688207</v>
      </c>
      <c r="K72" s="6">
        <f t="shared" si="8"/>
        <v>3.6616365878172426E-3</v>
      </c>
    </row>
    <row r="73" spans="1:11" ht="18.95" customHeight="1">
      <c r="A73" s="4">
        <f>'BNO1 Rate'!A73</f>
        <v>761</v>
      </c>
      <c r="B73" s="9">
        <f>'BNO1 Rate'!C73</f>
        <v>1461</v>
      </c>
      <c r="C73" s="6">
        <f>'BNO1 Rate'!K73</f>
        <v>0.50505465229585911</v>
      </c>
      <c r="D73" s="6">
        <f>'BNO1 Rate'!T73</f>
        <v>0.47279054850580421</v>
      </c>
      <c r="E73" s="6">
        <f t="shared" si="6"/>
        <v>1.0409723933754349E-3</v>
      </c>
      <c r="F73" s="6">
        <f>'MPU Rate'!K73</f>
        <v>0.53507370423469136</v>
      </c>
      <c r="G73" s="6">
        <f>'MPU Rate'!T73</f>
        <v>0.47279054850580421</v>
      </c>
      <c r="H73" s="6">
        <f t="shared" si="7"/>
        <v>3.8791914875488083E-3</v>
      </c>
      <c r="I73" s="6">
        <f>'BNO2 Rate'!K73</f>
        <v>0.64249933089041256</v>
      </c>
      <c r="J73" s="6">
        <f>'BNO2 Rate'!T73</f>
        <v>0.59445372028121546</v>
      </c>
      <c r="K73" s="6">
        <f t="shared" si="8"/>
        <v>2.3083806988105928E-3</v>
      </c>
    </row>
    <row r="74" spans="1:11" ht="18.95" customHeight="1">
      <c r="A74" s="4">
        <f>'BNO1 Rate'!A74</f>
        <v>762</v>
      </c>
      <c r="B74" s="9">
        <f>'BNO1 Rate'!C74</f>
        <v>1482</v>
      </c>
      <c r="C74" s="6">
        <f>'BNO1 Rate'!K74</f>
        <v>0.5497787143782138</v>
      </c>
      <c r="D74" s="6">
        <f>'BNO1 Rate'!T74</f>
        <v>0.49673675641071385</v>
      </c>
      <c r="E74" s="6">
        <f t="shared" si="6"/>
        <v>2.8134493050260305E-3</v>
      </c>
      <c r="F74" s="6">
        <f>'MPU Rate'!K74</f>
        <v>0.55985465120447486</v>
      </c>
      <c r="G74" s="6">
        <f>'MPU Rate'!T74</f>
        <v>0.49673675641071385</v>
      </c>
      <c r="H74" s="6">
        <f t="shared" si="7"/>
        <v>3.9838686431962833E-3</v>
      </c>
      <c r="I74" s="6">
        <f>'BNO2 Rate'!K74</f>
        <v>0.62613686915296574</v>
      </c>
      <c r="J74" s="6">
        <f>'BNO2 Rate'!T74</f>
        <v>0.56042746529651843</v>
      </c>
      <c r="K74" s="6">
        <f t="shared" si="8"/>
        <v>4.3177257551696912E-3</v>
      </c>
    </row>
    <row r="75" spans="1:11" ht="18.95" customHeight="1">
      <c r="A75" s="4">
        <f>'BNO1 Rate'!A75</f>
        <v>763</v>
      </c>
      <c r="B75" s="9">
        <f>'BNO1 Rate'!C75</f>
        <v>1504</v>
      </c>
      <c r="C75" s="6">
        <f>'BNO1 Rate'!K75</f>
        <v>0.571595330028143</v>
      </c>
      <c r="D75" s="6">
        <f>'BNO1 Rate'!T75</f>
        <v>0.52131475827933571</v>
      </c>
      <c r="E75" s="6">
        <f t="shared" si="6"/>
        <v>2.5281358953869577E-3</v>
      </c>
      <c r="F75" s="6">
        <f>'MPU Rate'!K75</f>
        <v>0.59715941280597751</v>
      </c>
      <c r="G75" s="6">
        <f>'MPU Rate'!T75</f>
        <v>0.52131475827933571</v>
      </c>
      <c r="H75" s="6">
        <f t="shared" si="7"/>
        <v>5.7524116202656459E-3</v>
      </c>
      <c r="I75" s="6">
        <f>'BNO2 Rate'!K75</f>
        <v>0.5497787143782138</v>
      </c>
      <c r="J75" s="6">
        <f>'BNO2 Rate'!T75</f>
        <v>0.5247878688752462</v>
      </c>
      <c r="K75" s="6">
        <f t="shared" si="8"/>
        <v>6.2454235895319568E-4</v>
      </c>
    </row>
    <row r="76" spans="1:11" ht="18.95" customHeight="1">
      <c r="A76" s="4">
        <f>'BNO1 Rate'!A76</f>
        <v>764</v>
      </c>
      <c r="B76" s="9">
        <f>'BNO1 Rate'!C76</f>
        <v>1526</v>
      </c>
      <c r="C76" s="6">
        <f>'BNO1 Rate'!K76</f>
        <v>0.60541108428553314</v>
      </c>
      <c r="D76" s="6">
        <f>'BNO1 Rate'!T76</f>
        <v>0.54540100163055738</v>
      </c>
      <c r="E76" s="6">
        <f t="shared" si="6"/>
        <v>3.6012100202570227E-3</v>
      </c>
      <c r="F76" s="6">
        <f>'MPU Rate'!K76</f>
        <v>0.62380567109276475</v>
      </c>
      <c r="G76" s="6">
        <f>'MPU Rate'!T76</f>
        <v>0.54540100163055738</v>
      </c>
      <c r="H76" s="6">
        <f t="shared" si="7"/>
        <v>6.1472921934779927E-3</v>
      </c>
      <c r="I76" s="6">
        <f>'BNO2 Rate'!K76</f>
        <v>0.53341625264076697</v>
      </c>
      <c r="J76" s="6">
        <f>'BNO2 Rate'!T76</f>
        <v>0.48815424717592504</v>
      </c>
      <c r="K76" s="6">
        <f t="shared" si="8"/>
        <v>2.0486491386993815E-3</v>
      </c>
    </row>
    <row r="77" spans="1:11" ht="18.95" customHeight="1">
      <c r="A77" s="4">
        <f>'BNO1 Rate'!A77</f>
        <v>765</v>
      </c>
      <c r="B77" s="9">
        <f>'BNO1 Rate'!C77</f>
        <v>1547</v>
      </c>
      <c r="C77" s="6">
        <f>'BNO1 Rate'!K77</f>
        <v>0.62722769993546212</v>
      </c>
      <c r="D77" s="6">
        <f>'BNO1 Rate'!T77</f>
        <v>0.56808091143507311</v>
      </c>
      <c r="E77" s="6">
        <f t="shared" si="6"/>
        <v>3.4983425899097502E-3</v>
      </c>
      <c r="F77" s="6">
        <f>'MPU Rate'!K77</f>
        <v>0.64512267772219589</v>
      </c>
      <c r="G77" s="6">
        <f>'MPU Rate'!T77</f>
        <v>0.56808091143507311</v>
      </c>
      <c r="H77" s="6">
        <f t="shared" si="7"/>
        <v>5.935433752639648E-3</v>
      </c>
      <c r="I77" s="6">
        <f>'BNO2 Rate'!K77</f>
        <v>0.47451139038595835</v>
      </c>
      <c r="J77" s="6">
        <f>'BNO2 Rate'!T77</f>
        <v>0.45287384051818846</v>
      </c>
      <c r="K77" s="6">
        <f t="shared" si="8"/>
        <v>4.6818356428022877E-4</v>
      </c>
    </row>
    <row r="78" spans="1:11" ht="18.95" customHeight="1">
      <c r="A78" s="4">
        <f>'BNO1 Rate'!A78</f>
        <v>766</v>
      </c>
      <c r="B78" s="9">
        <f>'BNO1 Rate'!C78</f>
        <v>1569</v>
      </c>
      <c r="C78" s="6">
        <f>'BNO1 Rate'!K78</f>
        <v>0.65122597715038411</v>
      </c>
      <c r="D78" s="6">
        <f>'BNO1 Rate'!T78</f>
        <v>0.59125877705633878</v>
      </c>
      <c r="E78" s="6">
        <f t="shared" si="6"/>
        <v>3.5960650871192695E-3</v>
      </c>
      <c r="F78" s="6">
        <f>'MPU Rate'!K78</f>
        <v>0.65631407957103516</v>
      </c>
      <c r="G78" s="6">
        <f>'MPU Rate'!T78</f>
        <v>0.59125877705633878</v>
      </c>
      <c r="H78" s="6">
        <f t="shared" si="7"/>
        <v>4.2321923852786606E-3</v>
      </c>
      <c r="I78" s="6">
        <f>'BNO2 Rate'!K78</f>
        <v>0.4516039439535327</v>
      </c>
      <c r="J78" s="6">
        <f>'BNO2 Rate'!T78</f>
        <v>0.41591430885083802</v>
      </c>
      <c r="K78" s="6">
        <f t="shared" si="8"/>
        <v>1.2737500537634966E-3</v>
      </c>
    </row>
    <row r="79" spans="1:11" ht="18.95" customHeight="1">
      <c r="A79" s="4">
        <f>'BNO1 Rate'!A79</f>
        <v>767</v>
      </c>
      <c r="B79" s="9">
        <f>'BNO1 Rate'!C79</f>
        <v>1589</v>
      </c>
      <c r="C79" s="6">
        <f>'BNO1 Rate'!K79</f>
        <v>0.67195176201781692</v>
      </c>
      <c r="D79" s="6">
        <f>'BNO1 Rate'!T79</f>
        <v>0.61166781342132615</v>
      </c>
      <c r="E79" s="6">
        <f t="shared" si="6"/>
        <v>3.6341544583843423E-3</v>
      </c>
      <c r="F79" s="6">
        <f>'MPU Rate'!K79</f>
        <v>0.6994809913640212</v>
      </c>
      <c r="G79" s="6">
        <f>'MPU Rate'!T79</f>
        <v>0.61166781342132615</v>
      </c>
      <c r="H79" s="6">
        <f t="shared" si="7"/>
        <v>7.7111542203954246E-3</v>
      </c>
      <c r="I79" s="6">
        <f>'BNO2 Rate'!K79</f>
        <v>0.39597157404621353</v>
      </c>
      <c r="J79" s="6">
        <f>'BNO2 Rate'!T79</f>
        <v>0.38231391272020243</v>
      </c>
      <c r="K79" s="6">
        <f t="shared" si="8"/>
        <v>1.8653171289601913E-4</v>
      </c>
    </row>
    <row r="80" spans="1:11" ht="18.95" customHeight="1">
      <c r="A80" s="4">
        <f>'BNO1 Rate'!A80</f>
        <v>768</v>
      </c>
      <c r="B80" s="9">
        <f>'BNO1 Rate'!C80</f>
        <v>1611</v>
      </c>
      <c r="C80" s="6">
        <f>'BNO1 Rate'!K80</f>
        <v>0.69922253158022829</v>
      </c>
      <c r="D80" s="6">
        <f>'BNO1 Rate'!T80</f>
        <v>0.63351150033040982</v>
      </c>
      <c r="E80" s="6">
        <f t="shared" si="6"/>
        <v>4.3179396279146203E-3</v>
      </c>
      <c r="F80" s="6">
        <f>'MPU Rate'!K80</f>
        <v>0.71866640385695213</v>
      </c>
      <c r="G80" s="6">
        <f>'MPU Rate'!T80</f>
        <v>0.63351150033040982</v>
      </c>
      <c r="H80" s="6">
        <f t="shared" si="7"/>
        <v>7.2513575946147289E-3</v>
      </c>
      <c r="I80" s="6">
        <f>'BNO2 Rate'!K80</f>
        <v>0.3687008044838021</v>
      </c>
      <c r="J80" s="6">
        <f>'BNO2 Rate'!T80</f>
        <v>0.34535438960285847</v>
      </c>
      <c r="K80" s="6">
        <f t="shared" si="8"/>
        <v>5.4505508779314636E-4</v>
      </c>
    </row>
    <row r="81" spans="1:11" ht="18.95" customHeight="1">
      <c r="A81" s="4">
        <f>'BNO1 Rate'!A81</f>
        <v>769</v>
      </c>
      <c r="B81" s="9">
        <f>'BNO1 Rate'!C81</f>
        <v>1632</v>
      </c>
      <c r="C81" s="6">
        <f>'BNO1 Rate'!K81</f>
        <v>0.73085662427262543</v>
      </c>
      <c r="D81" s="6">
        <f>'BNO1 Rate'!T81</f>
        <v>0.65330931968418082</v>
      </c>
      <c r="E81" s="6">
        <f t="shared" si="6"/>
        <v>6.0135844489330025E-3</v>
      </c>
      <c r="F81" s="6">
        <f>'MPU Rate'!K81</f>
        <v>0.74078275828756879</v>
      </c>
      <c r="G81" s="6">
        <f>'MPU Rate'!T81</f>
        <v>0.65330931968418082</v>
      </c>
      <c r="H81" s="6">
        <f t="shared" si="7"/>
        <v>7.6516024611006841E-3</v>
      </c>
      <c r="I81" s="6">
        <f>'BNO2 Rate'!K81</f>
        <v>0.3272492347489368</v>
      </c>
      <c r="J81" s="6">
        <f>'BNO2 Rate'!T81</f>
        <v>0.31007395590015957</v>
      </c>
      <c r="K81" s="6">
        <f t="shared" si="8"/>
        <v>2.9499020353325451E-4</v>
      </c>
    </row>
    <row r="82" spans="1:11" ht="18.95" customHeight="1">
      <c r="A82" s="4">
        <f>'BNO1 Rate'!A82</f>
        <v>770</v>
      </c>
      <c r="B82" s="9">
        <f>'BNO1 Rate'!C82</f>
        <v>1652</v>
      </c>
      <c r="C82" s="6">
        <f>'BNO1 Rate'!K82</f>
        <v>0.75158240914005803</v>
      </c>
      <c r="D82" s="6">
        <f>'BNO1 Rate'!T82</f>
        <v>0.67126348310264672</v>
      </c>
      <c r="E82" s="6">
        <f t="shared" si="6"/>
        <v>6.4511298798031486E-3</v>
      </c>
      <c r="F82" s="6">
        <f>'MPU Rate'!K82</f>
        <v>0.76209976491699827</v>
      </c>
      <c r="G82" s="6">
        <f>'MPU Rate'!T82</f>
        <v>0.67126348310264672</v>
      </c>
      <c r="H82" s="6">
        <f t="shared" si="7"/>
        <v>8.2512300938562943E-3</v>
      </c>
      <c r="I82" s="6">
        <f>'BNO2 Rate'!K82</f>
        <v>0.2945243112740431</v>
      </c>
      <c r="J82" s="6">
        <f>'BNO2 Rate'!T82</f>
        <v>0.2774745722556064</v>
      </c>
      <c r="K82" s="6">
        <f t="shared" si="8"/>
        <v>2.9069360059680299E-4</v>
      </c>
    </row>
    <row r="83" spans="1:11" ht="18.95" customHeight="1">
      <c r="A83" s="4">
        <f>'BNO1 Rate'!A83</f>
        <v>771</v>
      </c>
      <c r="B83" s="9">
        <f>'BNO1 Rate'!C83</f>
        <v>1672</v>
      </c>
      <c r="C83" s="6">
        <f>'BNO1 Rate'!K83</f>
        <v>0.76576320931251207</v>
      </c>
      <c r="D83" s="6">
        <f>'BNO1 Rate'!T83</f>
        <v>0.68806303311904571</v>
      </c>
      <c r="E83" s="6">
        <f t="shared" si="6"/>
        <v>6.0373173804957169E-3</v>
      </c>
      <c r="F83" s="6">
        <f>'MPU Rate'!K83</f>
        <v>0.79220999683365245</v>
      </c>
      <c r="G83" s="6">
        <f>'MPU Rate'!T83</f>
        <v>0.68806303311904571</v>
      </c>
      <c r="H83" s="6">
        <f t="shared" si="7"/>
        <v>1.0846590050971614E-2</v>
      </c>
      <c r="I83" s="6">
        <f>'BNO2 Rate'!K83</f>
        <v>0.25089107997418486</v>
      </c>
      <c r="J83" s="6">
        <f>'BNO2 Rate'!T83</f>
        <v>0.24463060972958037</v>
      </c>
      <c r="K83" s="6">
        <f t="shared" si="8"/>
        <v>3.9193487683578249E-5</v>
      </c>
    </row>
    <row r="84" spans="1:11" ht="18.95" customHeight="1">
      <c r="A84" s="4">
        <f>'BNO1 Rate'!A84</f>
        <v>772</v>
      </c>
      <c r="B84" s="9">
        <f>'BNO1 Rate'!C84</f>
        <v>1692</v>
      </c>
      <c r="C84" s="6">
        <f>'BNO1 Rate'!K84</f>
        <v>0.80066979435239871</v>
      </c>
      <c r="D84" s="6">
        <f>'BNO1 Rate'!T84</f>
        <v>0.7039300224376569</v>
      </c>
      <c r="E84" s="6">
        <f t="shared" si="6"/>
        <v>9.358583470116269E-3</v>
      </c>
      <c r="F84" s="6">
        <f>'MPU Rate'!K84</f>
        <v>0.81166172543559123</v>
      </c>
      <c r="G84" s="6">
        <f>'MPU Rate'!T84</f>
        <v>0.7039300224376569</v>
      </c>
      <c r="H84" s="6">
        <f t="shared" si="7"/>
        <v>1.1606119830835133E-2</v>
      </c>
      <c r="I84" s="6">
        <f>'BNO2 Rate'!K84</f>
        <v>0.21925698728178766</v>
      </c>
      <c r="J84" s="6">
        <f>'BNO2 Rate'!T84</f>
        <v>0.2117502871394219</v>
      </c>
      <c r="K84" s="6">
        <f t="shared" si="8"/>
        <v>5.6350547027394168E-5</v>
      </c>
    </row>
    <row r="85" spans="1:11" ht="18.95" customHeight="1">
      <c r="A85" s="4">
        <f>'BNO1 Rate'!A85</f>
        <v>773</v>
      </c>
      <c r="B85" s="9">
        <f>'BNO1 Rate'!C85</f>
        <v>1723</v>
      </c>
      <c r="C85" s="6">
        <f>'BNO1 Rate'!K85</f>
        <v>0.82575890234981719</v>
      </c>
      <c r="D85" s="6">
        <f>'BNO1 Rate'!T85</f>
        <v>0.72677373122061606</v>
      </c>
      <c r="E85" s="6">
        <f t="shared" si="6"/>
        <v>9.7980641034772342E-3</v>
      </c>
      <c r="F85" s="6">
        <f>'MPU Rate'!K85</f>
        <v>0.81032947910028008</v>
      </c>
      <c r="G85" s="6">
        <f>'MPU Rate'!T85</f>
        <v>0.72677373122061606</v>
      </c>
      <c r="H85" s="6">
        <f t="shared" si="7"/>
        <v>6.9815630037299787E-3</v>
      </c>
      <c r="I85" s="6">
        <f>'BNO2 Rate'!K85</f>
        <v>0.15707963267948966</v>
      </c>
      <c r="J85" s="6">
        <f>'BNO2 Rate'!T85</f>
        <v>0.16232336375993303</v>
      </c>
      <c r="K85" s="6">
        <f t="shared" si="8"/>
        <v>2.7496715644007852E-5</v>
      </c>
    </row>
    <row r="86" spans="1:11" ht="18.95" customHeight="1">
      <c r="A86" s="4">
        <f>'BNO1 Rate'!A86</f>
        <v>774</v>
      </c>
      <c r="B86" s="9">
        <f>'BNO1 Rate'!C86</f>
        <v>1745</v>
      </c>
      <c r="C86" s="6">
        <f>'BNO1 Rate'!K86</f>
        <v>0.83775804095727813</v>
      </c>
      <c r="D86" s="6">
        <f>'BNO1 Rate'!T86</f>
        <v>0.74084524862320189</v>
      </c>
      <c r="E86" s="6">
        <f t="shared" si="6"/>
        <v>9.3920893179877864E-3</v>
      </c>
      <c r="F86" s="6">
        <f>'MPU Rate'!K86</f>
        <v>0.83964036321574709</v>
      </c>
      <c r="G86" s="6">
        <f>'MPU Rate'!T86</f>
        <v>0.74084524862320189</v>
      </c>
      <c r="H86" s="6">
        <f t="shared" si="7"/>
        <v>9.7604746673541371E-3</v>
      </c>
      <c r="I86" s="6">
        <f>'BNO2 Rate'!K86</f>
        <v>9.9265601207177492E-2</v>
      </c>
      <c r="J86" s="6">
        <f>'BNO2 Rate'!T86</f>
        <v>0.12800317380953144</v>
      </c>
      <c r="K86" s="6">
        <f t="shared" si="8"/>
        <v>8.2584807907556425E-4</v>
      </c>
    </row>
    <row r="87" spans="1:11" ht="18.95" customHeight="1">
      <c r="A87" s="4">
        <f>'BNO1 Rate'!A87</f>
        <v>775</v>
      </c>
      <c r="B87" s="9">
        <f>'BNO1 Rate'!C87</f>
        <v>1765</v>
      </c>
      <c r="C87" s="6">
        <f>'BNO1 Rate'!K87</f>
        <v>0.84757551799974618</v>
      </c>
      <c r="D87" s="6">
        <f>'BNO1 Rate'!T87</f>
        <v>0.75284457935264248</v>
      </c>
      <c r="E87" s="6">
        <f t="shared" si="6"/>
        <v>8.9739507369613232E-3</v>
      </c>
      <c r="F87" s="6">
        <f>'MPU Rate'!K87</f>
        <v>0.83644270569488777</v>
      </c>
      <c r="G87" s="6">
        <f>'MPU Rate'!T87</f>
        <v>0.75284457935264248</v>
      </c>
      <c r="H87" s="6">
        <f t="shared" si="7"/>
        <v>6.988646727934005E-3</v>
      </c>
      <c r="I87" s="6">
        <f>'BNO2 Rate'!K87</f>
        <v>6.5449846949787352E-2</v>
      </c>
      <c r="J87" s="6">
        <f>'BNO2 Rate'!T87</f>
        <v>9.6802913712719471E-2</v>
      </c>
      <c r="K87" s="6">
        <f t="shared" si="8"/>
        <v>9.8301479544087868E-4</v>
      </c>
    </row>
    <row r="88" spans="1:11" ht="18.95" customHeight="1">
      <c r="A88" s="4">
        <f>'BNO1 Rate'!A88</f>
        <v>776</v>
      </c>
      <c r="B88" s="9">
        <f>'BNO1 Rate'!C88</f>
        <v>1786</v>
      </c>
      <c r="C88" s="6">
        <f>'BNO1 Rate'!K88</f>
        <v>0.86830130286717899</v>
      </c>
      <c r="D88" s="6">
        <f>'BNO1 Rate'!T88</f>
        <v>0.76438855313567999</v>
      </c>
      <c r="E88" s="6">
        <f t="shared" si="6"/>
        <v>1.0797859556761146E-2</v>
      </c>
      <c r="F88" s="6">
        <f>'MPU Rate'!K88</f>
        <v>0.86362199567385445</v>
      </c>
      <c r="G88" s="6">
        <f>'MPU Rate'!T88</f>
        <v>0.76438855313567999</v>
      </c>
      <c r="H88" s="6">
        <f t="shared" si="7"/>
        <v>9.8472761179771717E-3</v>
      </c>
      <c r="I88" s="6">
        <f>'BNO2 Rate'!K88</f>
        <v>3.2724923474893676E-2</v>
      </c>
      <c r="J88" s="6">
        <f>'BNO2 Rate'!T88</f>
        <v>6.5099602006099239E-2</v>
      </c>
      <c r="K88" s="6">
        <f t="shared" si="8"/>
        <v>1.0481198099989023E-3</v>
      </c>
    </row>
    <row r="89" spans="1:11" ht="18.95" customHeight="1">
      <c r="A89" s="4">
        <f>'BNO1 Rate'!A89</f>
        <v>777</v>
      </c>
      <c r="B89" s="9">
        <f>'BNO1 Rate'!C89</f>
        <v>1806</v>
      </c>
      <c r="C89" s="6">
        <f>'BNO1 Rate'!K89</f>
        <v>0.87702794912715065</v>
      </c>
      <c r="D89" s="6">
        <f>'BNO1 Rate'!T89</f>
        <v>0.7735607936395168</v>
      </c>
      <c r="E89" s="6">
        <f t="shared" si="6"/>
        <v>1.07054522647022E-2</v>
      </c>
      <c r="F89" s="6">
        <f>'MPU Rate'!K89</f>
        <v>0.83964036321574709</v>
      </c>
      <c r="G89" s="6">
        <f>'MPU Rate'!T89</f>
        <v>0.7735607936395168</v>
      </c>
      <c r="H89" s="6">
        <f t="shared" si="7"/>
        <v>4.3665095153798596E-3</v>
      </c>
      <c r="I89" s="6">
        <f>'BNO2 Rate'!K89</f>
        <v>-3.2724923474893677E-3</v>
      </c>
      <c r="J89" s="6">
        <f>'BNO2 Rate'!T89</f>
        <v>3.5136743143434623E-2</v>
      </c>
      <c r="K89" s="6">
        <f t="shared" si="8"/>
        <v>1.475269370997255E-3</v>
      </c>
    </row>
    <row r="90" spans="1:11" ht="18.95" customHeight="1">
      <c r="A90" s="4">
        <f>'BNO1 Rate'!A90</f>
        <v>778</v>
      </c>
      <c r="B90" s="9">
        <f>'BNO1 Rate'!C90</f>
        <v>1827</v>
      </c>
      <c r="C90" s="6">
        <f>'BNO1 Rate'!K90</f>
        <v>0.86721047208468238</v>
      </c>
      <c r="D90" s="6">
        <f>'BNO1 Rate'!T90</f>
        <v>0.78182697916688282</v>
      </c>
      <c r="E90" s="6">
        <f t="shared" si="6"/>
        <v>7.2903408628439284E-3</v>
      </c>
      <c r="F90" s="6">
        <f>'MPU Rate'!K90</f>
        <v>0.8596249903518095</v>
      </c>
      <c r="G90" s="6">
        <f>'MPU Rate'!T90</f>
        <v>0.78182697916688282</v>
      </c>
      <c r="H90" s="6">
        <f t="shared" si="7"/>
        <v>6.0525305443299773E-3</v>
      </c>
      <c r="I90" s="6">
        <f>'BNO2 Rate'!K90</f>
        <v>-2.2907446432425576E-2</v>
      </c>
      <c r="J90" s="6">
        <f>'BNO2 Rate'!T90</f>
        <v>4.691724920585302E-3</v>
      </c>
      <c r="K90" s="6">
        <f t="shared" si="8"/>
        <v>7.6171425937285623E-4</v>
      </c>
    </row>
    <row r="91" spans="1:11" ht="18.95" customHeight="1">
      <c r="A91" s="4">
        <f>'BNO1 Rate'!A91</f>
        <v>779</v>
      </c>
      <c r="B91" s="9">
        <f>'BNO1 Rate'!C91</f>
        <v>1847</v>
      </c>
      <c r="C91" s="6">
        <f>'BNO1 Rate'!K91</f>
        <v>0.86502881051968961</v>
      </c>
      <c r="D91" s="6">
        <f>'BNO1 Rate'!T91</f>
        <v>0.78878428020174784</v>
      </c>
      <c r="E91" s="6">
        <f t="shared" si="6"/>
        <v>5.8132284034035408E-3</v>
      </c>
      <c r="F91" s="6">
        <f>'MPU Rate'!K91</f>
        <v>0.83777508518825461</v>
      </c>
      <c r="G91" s="6">
        <f>'MPU Rate'!T91</f>
        <v>0.78878428020174784</v>
      </c>
      <c r="H91" s="6">
        <f t="shared" si="7"/>
        <v>2.4000989732259359E-3</v>
      </c>
      <c r="I91" s="6">
        <f>'BNO2 Rate'!K91</f>
        <v>-6.2177354602297986E-2</v>
      </c>
      <c r="J91" s="6">
        <f>'BNO2 Rate'!T91</f>
        <v>-2.4107544281567077E-2</v>
      </c>
      <c r="K91" s="6">
        <f t="shared" si="8"/>
        <v>1.4493104578564297E-3</v>
      </c>
    </row>
    <row r="92" spans="1:11" ht="18.95" customHeight="1">
      <c r="A92" s="4">
        <f>'BNO1 Rate'!A92</f>
        <v>780</v>
      </c>
      <c r="B92" s="9">
        <f>'BNO1 Rate'!C92</f>
        <v>1869</v>
      </c>
      <c r="C92" s="6">
        <f>'BNO1 Rate'!K92</f>
        <v>0.87484628756215765</v>
      </c>
      <c r="D92" s="6">
        <f>'BNO1 Rate'!T92</f>
        <v>0.79466550318398987</v>
      </c>
      <c r="E92" s="6">
        <f t="shared" si="6"/>
        <v>6.4289581834982342E-3</v>
      </c>
      <c r="F92" s="6">
        <f>'MPU Rate'!K92</f>
        <v>0.86175671764636375</v>
      </c>
      <c r="G92" s="6">
        <f>'MPU Rate'!T92</f>
        <v>0.79466550318398987</v>
      </c>
      <c r="H92" s="6">
        <f t="shared" si="7"/>
        <v>4.5012310580362447E-3</v>
      </c>
      <c r="I92" s="6">
        <f>'BNO2 Rate'!K92</f>
        <v>-0.10253809355466686</v>
      </c>
      <c r="J92" s="6">
        <f>'BNO2 Rate'!T92</f>
        <v>-5.5787454536923423E-2</v>
      </c>
      <c r="K92" s="6">
        <f t="shared" si="8"/>
        <v>2.1856222485673554E-3</v>
      </c>
    </row>
    <row r="93" spans="1:11" ht="18.95" customHeight="1">
      <c r="A93" s="4">
        <f>'BNO1 Rate'!A93</f>
        <v>781</v>
      </c>
      <c r="B93" s="9">
        <f>'BNO1 Rate'!C93</f>
        <v>1890</v>
      </c>
      <c r="C93" s="6">
        <f>'BNO1 Rate'!K93</f>
        <v>0.87484628756215765</v>
      </c>
      <c r="D93" s="6">
        <f>'BNO1 Rate'!T93</f>
        <v>0.79899708883748577</v>
      </c>
      <c r="E93" s="6">
        <f t="shared" si="6"/>
        <v>5.7531009471747671E-3</v>
      </c>
      <c r="F93" s="6">
        <f>'MPU Rate'!K93</f>
        <v>0.82764948040766473</v>
      </c>
      <c r="G93" s="6">
        <f>'MPU Rate'!T93</f>
        <v>0.79899708883748577</v>
      </c>
      <c r="H93" s="6">
        <f t="shared" si="7"/>
        <v>8.2095954269086231E-4</v>
      </c>
      <c r="I93" s="6">
        <f>'BNO2 Rate'!K93</f>
        <v>-0.1308996938995747</v>
      </c>
      <c r="J93" s="6">
        <f>'BNO2 Rate'!T93</f>
        <v>-8.5198952139385789E-2</v>
      </c>
      <c r="K93" s="6">
        <f t="shared" si="8"/>
        <v>2.088557797431475E-3</v>
      </c>
    </row>
    <row r="94" spans="1:11" ht="18.95" customHeight="1">
      <c r="A94" s="4">
        <f>'BNO1 Rate'!A94</f>
        <v>782</v>
      </c>
      <c r="B94" s="9">
        <f>'BNO1 Rate'!C94</f>
        <v>1911</v>
      </c>
      <c r="C94" s="6">
        <f>'BNO1 Rate'!K94</f>
        <v>0.84975717956473917</v>
      </c>
      <c r="D94" s="6">
        <f>'BNO1 Rate'!T94</f>
        <v>0.80165441995240039</v>
      </c>
      <c r="E94" s="6">
        <f t="shared" si="6"/>
        <v>2.3138754823224515E-3</v>
      </c>
      <c r="F94" s="6">
        <f>'MPU Rate'!K94</f>
        <v>0.84790068996884471</v>
      </c>
      <c r="G94" s="6">
        <f>'MPU Rate'!T94</f>
        <v>0.80165441995240039</v>
      </c>
      <c r="H94" s="6">
        <f t="shared" si="7"/>
        <v>2.1387174904338772E-3</v>
      </c>
      <c r="I94" s="6">
        <f>'BNO2 Rate'!K94</f>
        <v>-0.16144295580947549</v>
      </c>
      <c r="J94" s="6">
        <f>'BNO2 Rate'!T94</f>
        <v>-0.11361347303283093</v>
      </c>
      <c r="K94" s="6">
        <f t="shared" si="8"/>
        <v>2.2876594226813388E-3</v>
      </c>
    </row>
    <row r="95" spans="1:11" ht="18.95" customHeight="1">
      <c r="A95" s="4">
        <f>'BNO1 Rate'!A95</f>
        <v>783</v>
      </c>
      <c r="B95" s="9">
        <f>'BNO1 Rate'!C95</f>
        <v>1934</v>
      </c>
      <c r="C95" s="6">
        <f>'BNO1 Rate'!K95</f>
        <v>0.85630216425971795</v>
      </c>
      <c r="D95" s="6">
        <f>'BNO1 Rate'!T95</f>
        <v>0.80293012256371077</v>
      </c>
      <c r="E95" s="6">
        <f t="shared" si="6"/>
        <v>2.8485748348003287E-3</v>
      </c>
      <c r="F95" s="6">
        <f>'MPU Rate'!K95</f>
        <v>0.80553312597704607</v>
      </c>
      <c r="G95" s="6">
        <f>'MPU Rate'!T95</f>
        <v>0.80293012256371077</v>
      </c>
      <c r="H95" s="6">
        <f t="shared" si="7"/>
        <v>6.7756267698352389E-6</v>
      </c>
      <c r="I95" s="6">
        <f>'BNO2 Rate'!K95</f>
        <v>-0.18762289458939041</v>
      </c>
      <c r="J95" s="6">
        <f>'BNO2 Rate'!T95</f>
        <v>-0.14493926946019925</v>
      </c>
      <c r="K95" s="6">
        <f t="shared" si="8"/>
        <v>1.8218918541693192E-3</v>
      </c>
    </row>
    <row r="96" spans="1:11" ht="18.95" customHeight="1">
      <c r="A96" s="4">
        <f>'BNO1 Rate'!A96</f>
        <v>784</v>
      </c>
      <c r="B96" s="9">
        <f>'BNO1 Rate'!C96</f>
        <v>1956</v>
      </c>
      <c r="C96" s="6">
        <f>'BNO1 Rate'!K96</f>
        <v>0.83339471782729235</v>
      </c>
      <c r="D96" s="6">
        <f>'BNO1 Rate'!T96</f>
        <v>0.8021967352578242</v>
      </c>
      <c r="E96" s="6">
        <f t="shared" si="6"/>
        <v>9.7331411640483865E-4</v>
      </c>
      <c r="F96" s="6">
        <f>'MPU Rate'!K96</f>
        <v>0.81858980585337793</v>
      </c>
      <c r="G96" s="6">
        <f>'MPU Rate'!T96</f>
        <v>0.8021967352578242</v>
      </c>
      <c r="H96" s="6">
        <f t="shared" si="7"/>
        <v>2.6873276355080823E-4</v>
      </c>
      <c r="I96" s="6">
        <f>'BNO2 Rate'!K96</f>
        <v>-0.2279836335417593</v>
      </c>
      <c r="J96" s="6">
        <f>'BNO2 Rate'!T96</f>
        <v>-0.17397904251125318</v>
      </c>
      <c r="K96" s="6">
        <f t="shared" si="8"/>
        <v>2.9164958523722217E-3</v>
      </c>
    </row>
    <row r="97" spans="1:11" ht="18.95" customHeight="1">
      <c r="A97" s="4">
        <f>'BNO1 Rate'!A97</f>
        <v>785</v>
      </c>
      <c r="B97" s="9">
        <f>'BNO1 Rate'!C97</f>
        <v>1978</v>
      </c>
      <c r="C97" s="6">
        <f>'BNO1 Rate'!K97</f>
        <v>0.83993970252227113</v>
      </c>
      <c r="D97" s="6">
        <f>'BNO1 Rate'!T97</f>
        <v>0.7995887133276991</v>
      </c>
      <c r="E97" s="6">
        <f t="shared" si="6"/>
        <v>1.6282023289804686E-3</v>
      </c>
      <c r="F97" s="6">
        <f>'MPU Rate'!K97</f>
        <v>0.79434172412820681</v>
      </c>
      <c r="G97" s="6">
        <f>'MPU Rate'!T97</f>
        <v>0.7995887133276991</v>
      </c>
      <c r="H97" s="6">
        <f t="shared" si="7"/>
        <v>2.7530895659588755E-5</v>
      </c>
      <c r="I97" s="6">
        <f>'BNO2 Rate'!K97</f>
        <v>-0.26070855701665296</v>
      </c>
      <c r="J97" s="6">
        <f>'BNO2 Rate'!T97</f>
        <v>-0.20301874538690637</v>
      </c>
      <c r="K97" s="6">
        <f t="shared" si="8"/>
        <v>3.3281143658756454E-3</v>
      </c>
    </row>
    <row r="98" spans="1:11" ht="18.95" customHeight="1">
      <c r="A98" s="4">
        <f>'BNO1 Rate'!A98</f>
        <v>786</v>
      </c>
      <c r="B98" s="9">
        <f>'BNO1 Rate'!C98</f>
        <v>2000</v>
      </c>
      <c r="C98" s="6">
        <f>'BNO1 Rate'!K98</f>
        <v>0.82030474843733492</v>
      </c>
      <c r="D98" s="6">
        <f>'BNO1 Rate'!T98</f>
        <v>0.79573001730659343</v>
      </c>
      <c r="E98" s="6">
        <f t="shared" si="6"/>
        <v>6.0391741014823486E-4</v>
      </c>
      <c r="F98" s="6">
        <f>'MPU Rate'!K98</f>
        <v>0.82098798241499393</v>
      </c>
      <c r="G98" s="6">
        <f>'MPU Rate'!T98</f>
        <v>0.79573001730659343</v>
      </c>
      <c r="H98" s="6">
        <f t="shared" si="7"/>
        <v>6.3796480141717728E-4</v>
      </c>
      <c r="I98" s="6">
        <f>'BNO2 Rate'!K98</f>
        <v>-0.28361600344907856</v>
      </c>
      <c r="J98" s="6">
        <f>'BNO2 Rate'!T98</f>
        <v>-0.23205875798398748</v>
      </c>
      <c r="K98" s="6">
        <f t="shared" si="8"/>
        <v>2.6581495599476545E-3</v>
      </c>
    </row>
    <row r="99" spans="1:11" ht="18.95" customHeight="1">
      <c r="A99" s="4">
        <f>'BNO1 Rate'!A99</f>
        <v>787</v>
      </c>
      <c r="B99" s="9">
        <f>'BNO1 Rate'!C99</f>
        <v>2022</v>
      </c>
      <c r="C99" s="6">
        <f>'BNO1 Rate'!K99</f>
        <v>0.83557637939228513</v>
      </c>
      <c r="D99" s="6">
        <f>'BNO1 Rate'!T99</f>
        <v>0.78975558906969023</v>
      </c>
      <c r="E99" s="6">
        <f t="shared" si="6"/>
        <v>2.099544825787206E-3</v>
      </c>
      <c r="F99" s="6">
        <f>'MPU Rate'!K99</f>
        <v>0.77488999552626803</v>
      </c>
      <c r="G99" s="6">
        <f>'MPU Rate'!T99</f>
        <v>0.78975558906969023</v>
      </c>
      <c r="H99" s="6">
        <f t="shared" si="7"/>
        <v>2.20985871398236E-4</v>
      </c>
      <c r="I99" s="6">
        <f>'BNO2 Rate'!K99</f>
        <v>-0.31525009614147576</v>
      </c>
      <c r="J99" s="6">
        <f>'BNO2 Rate'!T99</f>
        <v>-0.26087196117630196</v>
      </c>
      <c r="K99" s="6">
        <f t="shared" si="8"/>
        <v>2.9569815622906572E-3</v>
      </c>
    </row>
    <row r="100" spans="1:11" ht="18.95" customHeight="1">
      <c r="A100" s="4">
        <f>'BNO1 Rate'!A100</f>
        <v>788</v>
      </c>
      <c r="B100" s="9">
        <f>'BNO1 Rate'!C100</f>
        <v>2042</v>
      </c>
      <c r="C100" s="6">
        <f>'BNO1 Rate'!K100</f>
        <v>0.81157810217736315</v>
      </c>
      <c r="D100" s="6">
        <f>'BNO1 Rate'!T100</f>
        <v>0.78318968320067828</v>
      </c>
      <c r="E100" s="6">
        <f t="shared" si="6"/>
        <v>8.0590233199580167E-4</v>
      </c>
      <c r="F100" s="6">
        <f>'MPU Rate'!K100</f>
        <v>0.78474901788174223</v>
      </c>
      <c r="G100" s="6">
        <f>'MPU Rate'!T100</f>
        <v>0.78318968320067828</v>
      </c>
      <c r="H100" s="6">
        <f t="shared" si="7"/>
        <v>2.4315246475688132E-6</v>
      </c>
      <c r="I100" s="6">
        <f>'BNO2 Rate'!K100</f>
        <v>-0.34579335805137656</v>
      </c>
      <c r="J100" s="6">
        <f>'BNO2 Rate'!T100</f>
        <v>-0.28649925559573347</v>
      </c>
      <c r="K100" s="6">
        <f t="shared" si="8"/>
        <v>3.5157905860203004E-3</v>
      </c>
    </row>
    <row r="101" spans="1:11" ht="18.95" customHeight="1">
      <c r="A101" s="4">
        <f>'BNO1 Rate'!A101</f>
        <v>789</v>
      </c>
      <c r="B101" s="9">
        <f>'BNO1 Rate'!C101</f>
        <v>2063</v>
      </c>
      <c r="C101" s="6">
        <f>'BNO1 Rate'!K101</f>
        <v>0.80830560982987387</v>
      </c>
      <c r="D101" s="6">
        <f>'BNO1 Rate'!T101</f>
        <v>0.77428375144834527</v>
      </c>
      <c r="E101" s="6">
        <f t="shared" si="6"/>
        <v>1.1574868477327879E-3</v>
      </c>
      <c r="F101" s="6">
        <f>'MPU Rate'!K101</f>
        <v>0.73998341048638139</v>
      </c>
      <c r="G101" s="6">
        <f>'MPU Rate'!T101</f>
        <v>0.77428375144834527</v>
      </c>
      <c r="H101" s="6">
        <f t="shared" si="7"/>
        <v>1.1765133901069774E-3</v>
      </c>
      <c r="I101" s="6">
        <f>'BNO2 Rate'!K101</f>
        <v>-0.38942658935123475</v>
      </c>
      <c r="J101" s="6">
        <f>'BNO2 Rate'!T101</f>
        <v>-0.31345730220607249</v>
      </c>
      <c r="K101" s="6">
        <f t="shared" si="8"/>
        <v>5.7713325893441166E-3</v>
      </c>
    </row>
    <row r="102" spans="1:11" ht="18.95" customHeight="1">
      <c r="A102" s="4">
        <f>'BNO1 Rate'!A102</f>
        <v>790</v>
      </c>
      <c r="B102" s="9">
        <f>'BNO1 Rate'!C102</f>
        <v>2084</v>
      </c>
      <c r="C102" s="6">
        <f>'BNO1 Rate'!K102</f>
        <v>0.77776234791997312</v>
      </c>
      <c r="D102" s="6">
        <f>'BNO1 Rate'!T102</f>
        <v>0.76420446237293727</v>
      </c>
      <c r="E102" s="6">
        <f t="shared" ref="E102:E133" si="9">(C102-D102)^2</f>
        <v>1.8381626050652366E-4</v>
      </c>
      <c r="F102" s="6">
        <f>'MPU Rate'!K102</f>
        <v>0.73518705736314915</v>
      </c>
      <c r="G102" s="6">
        <f>'MPU Rate'!T102</f>
        <v>0.76420446237293727</v>
      </c>
      <c r="H102" s="6">
        <f t="shared" ref="H102:H133" si="10">(F102-G102)^2</f>
        <v>8.4200979350207612E-4</v>
      </c>
      <c r="I102" s="6">
        <f>'BNO2 Rate'!K102</f>
        <v>-0.40360738952368869</v>
      </c>
      <c r="J102" s="6">
        <f>'BNO2 Rate'!T102</f>
        <v>-0.34041425622666011</v>
      </c>
      <c r="K102" s="6">
        <f t="shared" ref="K102:K133" si="11">(I102-J102)^2</f>
        <v>3.9933720958960223E-3</v>
      </c>
    </row>
    <row r="103" spans="1:11" ht="18.95" customHeight="1">
      <c r="A103" s="4">
        <f>'BNO1 Rate'!A103</f>
        <v>791</v>
      </c>
      <c r="B103" s="9">
        <f>'BNO1 Rate'!C103</f>
        <v>2123</v>
      </c>
      <c r="C103" s="6">
        <f>'BNO1 Rate'!K103</f>
        <v>0.74830991679256886</v>
      </c>
      <c r="D103" s="6">
        <f>'BNO1 Rate'!T103</f>
        <v>0.74105587176886067</v>
      </c>
      <c r="E103" s="6">
        <f t="shared" si="9"/>
        <v>5.2621169205985537E-5</v>
      </c>
      <c r="F103" s="6">
        <f>'MPU Rate'!K103</f>
        <v>0.70401089522019156</v>
      </c>
      <c r="G103" s="6">
        <f>'MPU Rate'!T103</f>
        <v>0.74105587176886067</v>
      </c>
      <c r="H103" s="6">
        <f t="shared" si="10"/>
        <v>1.3723302874914449E-3</v>
      </c>
      <c r="I103" s="6">
        <f>'BNO2 Rate'!K103</f>
        <v>-0.46142142099600086</v>
      </c>
      <c r="J103" s="6">
        <f>'BNO2 Rate'!T103</f>
        <v>-0.39041925450524917</v>
      </c>
      <c r="K103" s="6">
        <f t="shared" si="11"/>
        <v>5.0413076463804232E-3</v>
      </c>
    </row>
    <row r="104" spans="1:11" ht="18.95" customHeight="1">
      <c r="A104" s="4">
        <f>'BNO1 Rate'!A104</f>
        <v>792</v>
      </c>
      <c r="B104" s="9">
        <f>'BNO1 Rate'!C104</f>
        <v>2143</v>
      </c>
      <c r="C104" s="6">
        <f>'BNO1 Rate'!K104</f>
        <v>0.72431163957764677</v>
      </c>
      <c r="D104" s="6">
        <f>'BNO1 Rate'!T104</f>
        <v>0.72624324333882617</v>
      </c>
      <c r="E104" s="6">
        <f t="shared" si="9"/>
        <v>3.7310930902024094E-6</v>
      </c>
      <c r="F104" s="6">
        <f>'MPU Rate'!K104</f>
        <v>0.68642444464574348</v>
      </c>
      <c r="G104" s="6">
        <f>'MPU Rate'!T104</f>
        <v>0.72624324333882617</v>
      </c>
      <c r="H104" s="6">
        <f t="shared" si="10"/>
        <v>1.5855367293602439E-3</v>
      </c>
      <c r="I104" s="6">
        <f>'BNO2 Rate'!K104</f>
        <v>-0.47123889803846897</v>
      </c>
      <c r="J104" s="6">
        <f>'BNO2 Rate'!T104</f>
        <v>-0.41681896018815573</v>
      </c>
      <c r="K104" s="6">
        <f t="shared" si="11"/>
        <v>2.9615296356319556E-3</v>
      </c>
    </row>
    <row r="105" spans="1:11" ht="18.95" customHeight="1">
      <c r="A105" s="4">
        <f>'BNO1 Rate'!A105</f>
        <v>793</v>
      </c>
      <c r="B105" s="9">
        <f>'BNO1 Rate'!C105</f>
        <v>2163</v>
      </c>
      <c r="C105" s="6">
        <f>'BNO1 Rate'!K105</f>
        <v>0.715584993317675</v>
      </c>
      <c r="D105" s="6">
        <f>'BNO1 Rate'!T105</f>
        <v>0.71049701233253215</v>
      </c>
      <c r="E105" s="6">
        <f t="shared" si="9"/>
        <v>2.5887550505175189E-5</v>
      </c>
      <c r="F105" s="6">
        <f>'MPU Rate'!K105</f>
        <v>0.6475208542838119</v>
      </c>
      <c r="G105" s="6">
        <f>'MPU Rate'!T105</f>
        <v>0.71049701233253215</v>
      </c>
      <c r="H105" s="6">
        <f t="shared" si="10"/>
        <v>3.9659964825773933E-3</v>
      </c>
      <c r="I105" s="6">
        <f>'BNO2 Rate'!K105</f>
        <v>-0.51923545246831304</v>
      </c>
      <c r="J105" s="6">
        <f>'BNO2 Rate'!T105</f>
        <v>-0.44221874465638766</v>
      </c>
      <c r="K105" s="6">
        <f t="shared" si="11"/>
        <v>5.9315732821874877E-3</v>
      </c>
    </row>
    <row r="106" spans="1:11" ht="18.95" customHeight="1">
      <c r="A106" s="4">
        <f>'BNO1 Rate'!A106</f>
        <v>794</v>
      </c>
      <c r="B106" s="9">
        <f>'BNO1 Rate'!C106</f>
        <v>2184</v>
      </c>
      <c r="C106" s="6">
        <f>'BNO1 Rate'!K106</f>
        <v>0.6774059159302992</v>
      </c>
      <c r="D106" s="6">
        <f>'BNO1 Rate'!T106</f>
        <v>0.69193371357983857</v>
      </c>
      <c r="E106" s="6">
        <f t="shared" si="9"/>
        <v>2.1105690454596181E-4</v>
      </c>
      <c r="F106" s="6">
        <f>'MPU Rate'!K106</f>
        <v>0.64139225482526685</v>
      </c>
      <c r="G106" s="6">
        <f>'MPU Rate'!T106</f>
        <v>0.69193371357983857</v>
      </c>
      <c r="H106" s="6">
        <f t="shared" si="10"/>
        <v>2.5544390530400744E-3</v>
      </c>
      <c r="I106" s="6">
        <f>'BNO2 Rate'!K106</f>
        <v>-0.53123459107577398</v>
      </c>
      <c r="J106" s="6">
        <f>'BNO2 Rate'!T106</f>
        <v>-0.46993878662891525</v>
      </c>
      <c r="K106" s="6">
        <f t="shared" si="11"/>
        <v>3.757175642787546E-3</v>
      </c>
    </row>
    <row r="107" spans="1:11" ht="18.95" customHeight="1">
      <c r="A107" s="4">
        <f>'BNO1 Rate'!A107</f>
        <v>795</v>
      </c>
      <c r="B107" s="9">
        <f>'BNO1 Rate'!C107</f>
        <v>2205</v>
      </c>
      <c r="C107" s="6">
        <f>'BNO1 Rate'!K107</f>
        <v>0.67195176201781692</v>
      </c>
      <c r="D107" s="6">
        <f>'BNO1 Rate'!T107</f>
        <v>0.67145264368057411</v>
      </c>
      <c r="E107" s="6">
        <f t="shared" si="9"/>
        <v>2.4911911457202725E-7</v>
      </c>
      <c r="F107" s="6">
        <f>'MPU Rate'!K107</f>
        <v>0.60568632198419281</v>
      </c>
      <c r="G107" s="6">
        <f>'MPU Rate'!T107</f>
        <v>0.67145264368057411</v>
      </c>
      <c r="H107" s="6">
        <f t="shared" si="10"/>
        <v>4.3252090694719143E-3</v>
      </c>
      <c r="I107" s="6">
        <f>'BNO2 Rate'!K107</f>
        <v>-0.58032197628811455</v>
      </c>
      <c r="J107" s="6">
        <f>'BNO2 Rate'!T107</f>
        <v>-0.49783202311843733</v>
      </c>
      <c r="K107" s="6">
        <f t="shared" si="11"/>
        <v>6.8045923739355413E-3</v>
      </c>
    </row>
    <row r="108" spans="1:11" ht="18.95" customHeight="1">
      <c r="A108" s="4">
        <f>'BNO1 Rate'!A108</f>
        <v>796</v>
      </c>
      <c r="B108" s="9">
        <f>'BNO1 Rate'!C108</f>
        <v>2227</v>
      </c>
      <c r="C108" s="6">
        <f>'BNO1 Rate'!K108</f>
        <v>0.62068271524048346</v>
      </c>
      <c r="D108" s="6">
        <f>'BNO1 Rate'!T108</f>
        <v>0.64851907092468664</v>
      </c>
      <c r="E108" s="6">
        <f t="shared" si="9"/>
        <v>7.7486269777747032E-4</v>
      </c>
      <c r="F108" s="6">
        <f>'MPU Rate'!K108</f>
        <v>0.5755759569094846</v>
      </c>
      <c r="G108" s="6">
        <f>'MPU Rate'!T108</f>
        <v>0.64851907092468664</v>
      </c>
      <c r="H108" s="6">
        <f t="shared" si="10"/>
        <v>5.3206978822347636E-3</v>
      </c>
      <c r="I108" s="6">
        <f>'BNO2 Rate'!K108</f>
        <v>-0.59341194567807209</v>
      </c>
      <c r="J108" s="6">
        <f>'BNO2 Rate'!T108</f>
        <v>-0.5276994172102073</v>
      </c>
      <c r="K108" s="6">
        <f t="shared" si="11"/>
        <v>4.3181363976399411E-3</v>
      </c>
    </row>
    <row r="109" spans="1:11" ht="18.95" customHeight="1">
      <c r="A109" s="4">
        <f>'BNO1 Rate'!A109</f>
        <v>797</v>
      </c>
      <c r="B109" s="9">
        <f>'BNO1 Rate'!C109</f>
        <v>2249</v>
      </c>
      <c r="C109" s="6">
        <f>'BNO1 Rate'!K109</f>
        <v>0.59450277646056848</v>
      </c>
      <c r="D109" s="6">
        <f>'BNO1 Rate'!T109</f>
        <v>0.62251030711164168</v>
      </c>
      <c r="E109" s="6">
        <f t="shared" si="9"/>
        <v>7.8442177317080471E-4</v>
      </c>
      <c r="F109" s="6">
        <f>'MPU Rate'!K109</f>
        <v>0.53427432314399093</v>
      </c>
      <c r="G109" s="6">
        <f>'MPU Rate'!T109</f>
        <v>0.62251030711164168</v>
      </c>
      <c r="H109" s="6">
        <f t="shared" si="10"/>
        <v>7.7855888667395208E-3</v>
      </c>
      <c r="I109" s="6">
        <f>'BNO2 Rate'!K109</f>
        <v>-0.63159102306544801</v>
      </c>
      <c r="J109" s="6">
        <f>'BNO2 Rate'!T109</f>
        <v>-0.55761275311111713</v>
      </c>
      <c r="K109" s="6">
        <f t="shared" si="11"/>
        <v>5.4727844254358546E-3</v>
      </c>
    </row>
    <row r="110" spans="1:11" ht="18.95" customHeight="1">
      <c r="A110" s="4">
        <f>'BNO1 Rate'!A110</f>
        <v>798</v>
      </c>
      <c r="B110" s="9">
        <f>'BNO1 Rate'!C110</f>
        <v>2269</v>
      </c>
      <c r="C110" s="6">
        <f>'BNO1 Rate'!K110</f>
        <v>0.5497787143782138</v>
      </c>
      <c r="D110" s="6">
        <f>'BNO1 Rate'!T110</f>
        <v>0.59783471793149678</v>
      </c>
      <c r="E110" s="6">
        <f t="shared" si="9"/>
        <v>2.3093794775131474E-3</v>
      </c>
      <c r="F110" s="6">
        <f>'MPU Rate'!K110</f>
        <v>0.50203236393278239</v>
      </c>
      <c r="G110" s="6">
        <f>'MPU Rate'!T110</f>
        <v>0.59783471793149678</v>
      </c>
      <c r="H110" s="6">
        <f t="shared" si="10"/>
        <v>9.178091031694988E-3</v>
      </c>
      <c r="I110" s="6">
        <f>'BNO2 Rate'!K110</f>
        <v>-0.63922683854292317</v>
      </c>
      <c r="J110" s="6">
        <f>'BNO2 Rate'!T110</f>
        <v>-0.5851128015003515</v>
      </c>
      <c r="K110" s="6">
        <f t="shared" si="11"/>
        <v>2.9283290050448191E-3</v>
      </c>
    </row>
    <row r="111" spans="1:11" ht="18.95" customHeight="1">
      <c r="A111" s="4">
        <f>'BNO1 Rate'!A111</f>
        <v>799</v>
      </c>
      <c r="B111" s="9">
        <f>'BNO1 Rate'!C111</f>
        <v>2289</v>
      </c>
      <c r="C111" s="6">
        <f>'BNO1 Rate'!K111</f>
        <v>0.52250794481580243</v>
      </c>
      <c r="D111" s="6">
        <f>'BNO1 Rate'!T111</f>
        <v>0.57124133134776223</v>
      </c>
      <c r="E111" s="6">
        <f t="shared" si="9"/>
        <v>2.3749429628734009E-3</v>
      </c>
      <c r="F111" s="6">
        <f>'MPU Rate'!K111</f>
        <v>0.4687245410742984</v>
      </c>
      <c r="G111" s="6">
        <f>'MPU Rate'!T111</f>
        <v>0.57124133134776223</v>
      </c>
      <c r="H111" s="6">
        <f t="shared" si="10"/>
        <v>1.0509692287973368E-2</v>
      </c>
      <c r="I111" s="6">
        <f>'BNO2 Rate'!K111</f>
        <v>-0.66322511575784515</v>
      </c>
      <c r="J111" s="6">
        <f>'BNO2 Rate'!T111</f>
        <v>-0.61336842108622935</v>
      </c>
      <c r="K111" s="6">
        <f t="shared" si="11"/>
        <v>2.4856900035787233E-3</v>
      </c>
    </row>
    <row r="112" spans="1:11" ht="18.95" customHeight="1">
      <c r="A112" s="4">
        <f>'BNO1 Rate'!A112</f>
        <v>800</v>
      </c>
      <c r="B112" s="9">
        <f>'BNO1 Rate'!C112</f>
        <v>2310</v>
      </c>
      <c r="C112" s="6">
        <f>'BNO1 Rate'!K112</f>
        <v>0.48432886742842646</v>
      </c>
      <c r="D112" s="6">
        <f>'BNO1 Rate'!T112</f>
        <v>0.54117170127423542</v>
      </c>
      <c r="E112" s="6">
        <f t="shared" si="9"/>
        <v>3.2311077596222444E-3</v>
      </c>
      <c r="F112" s="6">
        <f>'MPU Rate'!K112</f>
        <v>0.43035394911503161</v>
      </c>
      <c r="G112" s="6">
        <f>'MPU Rate'!T112</f>
        <v>0.54117170127423542</v>
      </c>
      <c r="H112" s="6">
        <f t="shared" si="10"/>
        <v>1.2280574193618721E-2</v>
      </c>
      <c r="I112" s="6">
        <f>'BNO2 Rate'!K112</f>
        <v>-0.6948592084502424</v>
      </c>
      <c r="J112" s="6">
        <f>'BNO2 Rate'!T112</f>
        <v>-0.6428282473521818</v>
      </c>
      <c r="K112" s="6">
        <f t="shared" si="11"/>
        <v>2.7072209127878958E-3</v>
      </c>
    </row>
    <row r="113" spans="1:11" ht="18.95" customHeight="1">
      <c r="A113" s="4">
        <f>'BNO1 Rate'!A113</f>
        <v>801</v>
      </c>
      <c r="B113" s="9">
        <f>'BNO1 Rate'!C113</f>
        <v>2330</v>
      </c>
      <c r="C113" s="6">
        <f>'BNO1 Rate'!K113</f>
        <v>0.44942228238853982</v>
      </c>
      <c r="D113" s="6">
        <f>'BNO1 Rate'!T113</f>
        <v>0.51040252988189372</v>
      </c>
      <c r="E113" s="6">
        <f t="shared" si="9"/>
        <v>3.7185905843506945E-3</v>
      </c>
      <c r="F113" s="6">
        <f>'MPU Rate'!K113</f>
        <v>0.3943815004278679</v>
      </c>
      <c r="G113" s="6">
        <f>'MPU Rate'!T113</f>
        <v>0.51040252988189372</v>
      </c>
      <c r="H113" s="6">
        <f t="shared" si="10"/>
        <v>1.3460879275571925E-2</v>
      </c>
      <c r="I113" s="6">
        <f>'BNO2 Rate'!K113</f>
        <v>-0.715584993317675</v>
      </c>
      <c r="J113" s="6">
        <f>'BNO2 Rate'!T113</f>
        <v>-0.67244650223511815</v>
      </c>
      <c r="K113" s="6">
        <f t="shared" si="11"/>
        <v>1.860929412879837E-3</v>
      </c>
    </row>
    <row r="114" spans="1:11" ht="18.95" customHeight="1">
      <c r="A114" s="4">
        <f>'BNO1 Rate'!A114</f>
        <v>802</v>
      </c>
      <c r="B114" s="9">
        <f>'BNO1 Rate'!C114</f>
        <v>2351</v>
      </c>
      <c r="C114" s="6">
        <f>'BNO1 Rate'!K114</f>
        <v>0.41669735891364618</v>
      </c>
      <c r="D114" s="6">
        <f>'BNO1 Rate'!T114</f>
        <v>0.47615412710350663</v>
      </c>
      <c r="E114" s="6">
        <f t="shared" si="9"/>
        <v>3.5351072835828018E-3</v>
      </c>
      <c r="F114" s="6">
        <f>'MPU Rate'!K114</f>
        <v>0.35681028955930327</v>
      </c>
      <c r="G114" s="6">
        <f>'MPU Rate'!T114</f>
        <v>0.47615412710350663</v>
      </c>
      <c r="H114" s="6">
        <f t="shared" si="10"/>
        <v>1.4242951559777202E-2</v>
      </c>
      <c r="I114" s="6">
        <f>'BNO2 Rate'!K114</f>
        <v>-0.74721908601007225</v>
      </c>
      <c r="J114" s="6">
        <f>'BNO2 Rate'!T114</f>
        <v>-0.70342162612185777</v>
      </c>
      <c r="K114" s="6">
        <f t="shared" si="11"/>
        <v>1.9182174926597568E-3</v>
      </c>
    </row>
    <row r="115" spans="1:11" ht="18.95" customHeight="1">
      <c r="A115" s="4">
        <f>'BNO1 Rate'!A115</f>
        <v>803</v>
      </c>
      <c r="B115" s="9">
        <f>'BNO1 Rate'!C115</f>
        <v>2373</v>
      </c>
      <c r="C115" s="6">
        <f>'BNO1 Rate'!K115</f>
        <v>0.37960911230876665</v>
      </c>
      <c r="D115" s="6">
        <f>'BNO1 Rate'!T115</f>
        <v>0.43792486831425287</v>
      </c>
      <c r="E115" s="6">
        <f t="shared" si="9"/>
        <v>3.4007273984914019E-3</v>
      </c>
      <c r="F115" s="6">
        <f>'MPU Rate'!K115</f>
        <v>0.32350249999033232</v>
      </c>
      <c r="G115" s="6">
        <f>'MPU Rate'!T115</f>
        <v>0.43792486831425287</v>
      </c>
      <c r="H115" s="6">
        <f t="shared" si="10"/>
        <v>1.3092478372854937E-2</v>
      </c>
      <c r="I115" s="6">
        <f>'BNO2 Rate'!K115</f>
        <v>-0.78867065574493767</v>
      </c>
      <c r="J115" s="6">
        <f>'BNO2 Rate'!T115</f>
        <v>-0.73640807790495522</v>
      </c>
      <c r="K115" s="6">
        <f t="shared" si="11"/>
        <v>2.7313770424802247E-3</v>
      </c>
    </row>
    <row r="116" spans="1:11" ht="18.95" customHeight="1">
      <c r="A116" s="4">
        <f>'BNO1 Rate'!A116</f>
        <v>804</v>
      </c>
      <c r="B116" s="9">
        <f>'BNO1 Rate'!C116</f>
        <v>2393</v>
      </c>
      <c r="C116" s="6">
        <f>'BNO1 Rate'!K116</f>
        <v>0.34361169648638362</v>
      </c>
      <c r="D116" s="6">
        <f>'BNO1 Rate'!T116</f>
        <v>0.40053581972720781</v>
      </c>
      <c r="E116" s="6">
        <f t="shared" si="9"/>
        <v>3.2403558067365403E-3</v>
      </c>
      <c r="F116" s="6">
        <f>'MPU Rate'!K116</f>
        <v>0.28273373146944941</v>
      </c>
      <c r="G116" s="6">
        <f>'MPU Rate'!T116</f>
        <v>0.40053581972720781</v>
      </c>
      <c r="H116" s="6">
        <f t="shared" si="10"/>
        <v>1.3877331997888698E-2</v>
      </c>
      <c r="I116" s="6">
        <f>'BNO2 Rate'!K116</f>
        <v>-0.81485059452485253</v>
      </c>
      <c r="J116" s="6">
        <f>'BNO2 Rate'!T116</f>
        <v>-0.76687655251590237</v>
      </c>
      <c r="K116" s="6">
        <f t="shared" si="11"/>
        <v>2.3015087066765153E-3</v>
      </c>
    </row>
    <row r="117" spans="1:11" ht="18.95" customHeight="1">
      <c r="A117" s="4">
        <f>'BNO1 Rate'!A117</f>
        <v>805</v>
      </c>
      <c r="B117" s="9">
        <f>'BNO1 Rate'!C117</f>
        <v>2414</v>
      </c>
      <c r="C117" s="6">
        <f>'BNO1 Rate'!K117</f>
        <v>0.30106929596902182</v>
      </c>
      <c r="D117" s="6">
        <f>'BNO1 Rate'!T117</f>
        <v>0.36001806294091793</v>
      </c>
      <c r="E117" s="6">
        <f t="shared" si="9"/>
        <v>3.474957127506909E-3</v>
      </c>
      <c r="F117" s="6">
        <f>'MPU Rate'!K117</f>
        <v>0.23716864311484728</v>
      </c>
      <c r="G117" s="6">
        <f>'MPU Rate'!T117</f>
        <v>0.36001806294091793</v>
      </c>
      <c r="H117" s="6">
        <f t="shared" si="10"/>
        <v>1.5091979951602158E-2</v>
      </c>
      <c r="I117" s="6">
        <f>'BNO2 Rate'!K117</f>
        <v>-0.86066548738970383</v>
      </c>
      <c r="J117" s="6">
        <f>'BNO2 Rate'!T117</f>
        <v>-0.79963675453715422</v>
      </c>
      <c r="K117" s="6">
        <f t="shared" si="11"/>
        <v>3.7245062335878689E-3</v>
      </c>
    </row>
    <row r="118" spans="1:11" ht="18.95" customHeight="1">
      <c r="A118" s="4">
        <f>'BNO1 Rate'!A118</f>
        <v>806</v>
      </c>
      <c r="B118" s="9">
        <f>'BNO1 Rate'!C118</f>
        <v>2434</v>
      </c>
      <c r="C118" s="6">
        <f>'BNO1 Rate'!K118</f>
        <v>0.26179938779914941</v>
      </c>
      <c r="D118" s="6">
        <f>'BNO1 Rate'!T118</f>
        <v>0.3188486237047487</v>
      </c>
      <c r="E118" s="6">
        <f t="shared" si="9"/>
        <v>3.2546153174127196E-3</v>
      </c>
      <c r="F118" s="6">
        <f>'MPU Rate'!K118</f>
        <v>0.18893894557632365</v>
      </c>
      <c r="G118" s="6">
        <f>'MPU Rate'!T118</f>
        <v>0.3188486237047487</v>
      </c>
      <c r="H118" s="6">
        <f t="shared" si="10"/>
        <v>1.6876524471430999E-2</v>
      </c>
      <c r="I118" s="6">
        <f>'BNO2 Rate'!K118</f>
        <v>-0.90320788790706541</v>
      </c>
      <c r="J118" s="6">
        <f>'BNO2 Rate'!T118</f>
        <v>-0.8308371681678407</v>
      </c>
      <c r="K118" s="6">
        <f t="shared" si="11"/>
        <v>5.2375210755734088E-3</v>
      </c>
    </row>
    <row r="119" spans="1:11" ht="18.95" customHeight="1">
      <c r="A119" s="4">
        <f>'BNO1 Rate'!A119</f>
        <v>807</v>
      </c>
      <c r="B119" s="9">
        <f>'BNO1 Rate'!C119</f>
        <v>2456</v>
      </c>
      <c r="C119" s="6">
        <f>'BNO1 Rate'!K119</f>
        <v>0.21489366415180181</v>
      </c>
      <c r="D119" s="6">
        <f>'BNO1 Rate'!T119</f>
        <v>0.27139752909619996</v>
      </c>
      <c r="E119" s="6">
        <f t="shared" si="9"/>
        <v>3.1926867536547872E-3</v>
      </c>
      <c r="F119" s="6">
        <f>'MPU Rate'!K119</f>
        <v>0.13724522447366327</v>
      </c>
      <c r="G119" s="6">
        <f>'MPU Rate'!T119</f>
        <v>0.27139752909619996</v>
      </c>
      <c r="H119" s="6">
        <f t="shared" si="10"/>
        <v>1.7996840835537879E-2</v>
      </c>
      <c r="I119" s="6">
        <f>'BNO2 Rate'!K119</f>
        <v>-0.91302536494953368</v>
      </c>
      <c r="J119" s="6">
        <f>'BNO2 Rate'!T119</f>
        <v>-0.86615639183624771</v>
      </c>
      <c r="K119" s="6">
        <f t="shared" si="11"/>
        <v>2.1967006406939235E-3</v>
      </c>
    </row>
    <row r="120" spans="1:11" ht="18.95" customHeight="1">
      <c r="A120" s="4">
        <f>'BNO1 Rate'!A120</f>
        <v>808</v>
      </c>
      <c r="B120" s="9">
        <f>'BNO1 Rate'!C120</f>
        <v>2477</v>
      </c>
      <c r="C120" s="6">
        <f>'BNO1 Rate'!K120</f>
        <v>0.16689710972195776</v>
      </c>
      <c r="D120" s="6">
        <f>'BNO1 Rate'!T120</f>
        <v>0.22378188231070312</v>
      </c>
      <c r="E120" s="6">
        <f t="shared" si="9"/>
        <v>3.2358773524732752E-3</v>
      </c>
      <c r="F120" s="6">
        <f>'MPU Rate'!K120</f>
        <v>8.8749052700942077E-2</v>
      </c>
      <c r="G120" s="6">
        <f>'MPU Rate'!T120</f>
        <v>0.22378188231070312</v>
      </c>
      <c r="H120" s="6">
        <f t="shared" si="10"/>
        <v>1.8233865072418757E-2</v>
      </c>
      <c r="I120" s="6">
        <f>'BNO2 Rate'!K120</f>
        <v>-0.95338610390190248</v>
      </c>
      <c r="J120" s="6">
        <f>'BNO2 Rate'!T120</f>
        <v>-0.89987864954412733</v>
      </c>
      <c r="K120" s="6">
        <f t="shared" si="11"/>
        <v>2.8630476718493913E-3</v>
      </c>
    </row>
    <row r="121" spans="1:11" ht="18.95" customHeight="1">
      <c r="A121" s="4">
        <f>'BNO1 Rate'!A121</f>
        <v>809</v>
      </c>
      <c r="B121" s="9">
        <f>'BNO1 Rate'!C121</f>
        <v>2498</v>
      </c>
      <c r="C121" s="6">
        <f>'BNO1 Rate'!K121</f>
        <v>0.11780972450961724</v>
      </c>
      <c r="D121" s="6">
        <f>'BNO1 Rate'!T121</f>
        <v>0.17417224472401643</v>
      </c>
      <c r="E121" s="6">
        <f t="shared" si="9"/>
        <v>3.1767336849185574E-3</v>
      </c>
      <c r="F121" s="6">
        <f>'MPU Rate'!K121</f>
        <v>3.7055327437092646E-2</v>
      </c>
      <c r="G121" s="6">
        <f>'MPU Rate'!T121</f>
        <v>0.17417224472401643</v>
      </c>
      <c r="H121" s="6">
        <f t="shared" si="10"/>
        <v>1.88010490062691E-2</v>
      </c>
      <c r="I121" s="6">
        <f>'BNO2 Rate'!K121</f>
        <v>-0.98065687346431396</v>
      </c>
      <c r="J121" s="6">
        <f>'BNO2 Rate'!T121</f>
        <v>-0.93455800522811416</v>
      </c>
      <c r="K121" s="6">
        <f t="shared" si="11"/>
        <v>2.1251056526585105E-3</v>
      </c>
    </row>
    <row r="122" spans="1:11" ht="18.95" customHeight="1">
      <c r="A122" s="4">
        <f>'BNO1 Rate'!A122</f>
        <v>810</v>
      </c>
      <c r="B122" s="9">
        <f>'BNO1 Rate'!C122</f>
        <v>2527</v>
      </c>
      <c r="C122" s="6">
        <f>'BNO1 Rate'!K122</f>
        <v>4.3633231299858237E-2</v>
      </c>
      <c r="D122" s="6">
        <f>'BNO1 Rate'!T122</f>
        <v>0.10121089962807867</v>
      </c>
      <c r="E122" s="6">
        <f t="shared" si="9"/>
        <v>3.3151878901145578E-3</v>
      </c>
      <c r="F122" s="6">
        <f>'MPU Rate'!K122</f>
        <v>-3.8353556050668203E-2</v>
      </c>
      <c r="G122" s="6">
        <f>'MPU Rate'!T122</f>
        <v>0.10121089962807867</v>
      </c>
      <c r="H122" s="6">
        <f t="shared" si="10"/>
        <v>1.9478237288904899E-2</v>
      </c>
      <c r="I122" s="6">
        <f>'BNO2 Rate'!K122</f>
        <v>-1.0384709049366261</v>
      </c>
      <c r="J122" s="6">
        <f>'BNO2 Rate'!T122</f>
        <v>-0.98187915808438142</v>
      </c>
      <c r="K122" s="6">
        <f t="shared" si="11"/>
        <v>3.2026258117885437E-3</v>
      </c>
    </row>
    <row r="123" spans="1:11" ht="18.95" customHeight="1">
      <c r="A123" s="4">
        <f>'BNO1 Rate'!A123</f>
        <v>811</v>
      </c>
      <c r="B123" s="9">
        <f>'BNO1 Rate'!C123</f>
        <v>2548</v>
      </c>
      <c r="C123" s="6">
        <f>'BNO1 Rate'!K123</f>
        <v>-1.1999138607461015E-2</v>
      </c>
      <c r="D123" s="6">
        <f>'BNO1 Rate'!T123</f>
        <v>4.6162248016288848E-2</v>
      </c>
      <c r="E123" s="6">
        <f t="shared" si="9"/>
        <v>3.3827468939973101E-3</v>
      </c>
      <c r="F123" s="6">
        <f>'MPU Rate'!K123</f>
        <v>-9.5642986400126695E-2</v>
      </c>
      <c r="G123" s="6">
        <f>'MPU Rate'!T123</f>
        <v>4.6162248016288848E-2</v>
      </c>
      <c r="H123" s="6">
        <f t="shared" si="10"/>
        <v>2.0108724507894565E-2</v>
      </c>
      <c r="I123" s="6">
        <f>'BNO2 Rate'!K123</f>
        <v>-1.0570150282390658</v>
      </c>
      <c r="J123" s="6">
        <f>'BNO2 Rate'!T123</f>
        <v>-1.0165668681119133</v>
      </c>
      <c r="K123" s="6">
        <f t="shared" si="11"/>
        <v>1.6360536576717666E-3</v>
      </c>
    </row>
    <row r="124" spans="1:11" ht="18.95" customHeight="1">
      <c r="A124" s="4">
        <f>'BNO1 Rate'!A124</f>
        <v>812</v>
      </c>
      <c r="B124" s="9">
        <f>'BNO1 Rate'!C124</f>
        <v>2569</v>
      </c>
      <c r="C124" s="6">
        <f>'BNO1 Rate'!K124</f>
        <v>-9.1629785729702304E-2</v>
      </c>
      <c r="D124" s="6">
        <f>'BNO1 Rate'!T124</f>
        <v>-1.0926553864743291E-2</v>
      </c>
      <c r="E124" s="6">
        <f t="shared" si="9"/>
        <v>6.5130116334493346E-3</v>
      </c>
      <c r="F124" s="6">
        <f>'MPU Rate'!K124</f>
        <v>-0.15692936381498188</v>
      </c>
      <c r="G124" s="6">
        <f>'MPU Rate'!T124</f>
        <v>-1.0926553864743291E-2</v>
      </c>
      <c r="H124" s="6">
        <f t="shared" si="10"/>
        <v>2.1316820513365489E-2</v>
      </c>
      <c r="I124" s="6">
        <f>'BNO2 Rate'!K124</f>
        <v>-1.10501158266891</v>
      </c>
      <c r="J124" s="6">
        <f>'BNO2 Rate'!T124</f>
        <v>-1.0504060292513258</v>
      </c>
      <c r="K124" s="6">
        <f t="shared" si="11"/>
        <v>2.9817664640406434E-3</v>
      </c>
    </row>
    <row r="125" spans="1:11" ht="18.95" customHeight="1">
      <c r="A125" s="4">
        <f>'BNO1 Rate'!A125</f>
        <v>813</v>
      </c>
      <c r="B125" s="9">
        <f>'BNO1 Rate'!C125</f>
        <v>2589</v>
      </c>
      <c r="C125" s="6">
        <f>'BNO1 Rate'!K125</f>
        <v>-0.12762720155208535</v>
      </c>
      <c r="D125" s="6">
        <f>'BNO1 Rate'!T125</f>
        <v>-6.7013369443181786E-2</v>
      </c>
      <c r="E125" s="6">
        <f t="shared" si="9"/>
        <v>3.6740366429263479E-3</v>
      </c>
      <c r="F125" s="6">
        <f>'MPU Rate'!K125</f>
        <v>-0.20835661900582242</v>
      </c>
      <c r="G125" s="6">
        <f>'MPU Rate'!T125</f>
        <v>-6.7013369443181786E-2</v>
      </c>
      <c r="H125" s="6">
        <f t="shared" si="10"/>
        <v>1.9977914196926912E-2</v>
      </c>
      <c r="I125" s="6">
        <f>'BNO2 Rate'!K125</f>
        <v>-1.1399181677087964</v>
      </c>
      <c r="J125" s="6">
        <f>'BNO2 Rate'!T125</f>
        <v>-1.0826365939691036</v>
      </c>
      <c r="K125" s="6">
        <f t="shared" si="11"/>
        <v>3.2811786900958616E-3</v>
      </c>
    </row>
    <row r="126" spans="1:11" ht="18.95" customHeight="1">
      <c r="A126" s="4">
        <f>'BNO1 Rate'!A126</f>
        <v>814</v>
      </c>
      <c r="B126" s="9">
        <f>'BNO1 Rate'!C126</f>
        <v>2610</v>
      </c>
      <c r="C126" s="6">
        <f>'BNO1 Rate'!K126</f>
        <v>-0.210530341021816</v>
      </c>
      <c r="D126" s="6">
        <f>'BNO1 Rate'!T126</f>
        <v>-0.1272645376323143</v>
      </c>
      <c r="E126" s="6">
        <f t="shared" si="9"/>
        <v>6.9331940140991543E-3</v>
      </c>
      <c r="F126" s="6">
        <f>'MPU Rate'!K126</f>
        <v>-0.26911006459703923</v>
      </c>
      <c r="G126" s="6">
        <f>'MPU Rate'!T126</f>
        <v>-0.1272645376323143</v>
      </c>
      <c r="H126" s="6">
        <f t="shared" si="10"/>
        <v>2.012015351990051E-2</v>
      </c>
      <c r="I126" s="6">
        <f>'BNO2 Rate'!K126</f>
        <v>-1.1639164449237185</v>
      </c>
      <c r="J126" s="6">
        <f>'BNO2 Rate'!T126</f>
        <v>-1.1157481422611419</v>
      </c>
      <c r="K126" s="6">
        <f t="shared" si="11"/>
        <v>2.3201853813935788E-3</v>
      </c>
    </row>
    <row r="127" spans="1:11" ht="18.95" customHeight="1">
      <c r="A127" s="4">
        <f>'BNO1 Rate'!A127</f>
        <v>815</v>
      </c>
      <c r="B127" s="9">
        <f>'BNO1 Rate'!C127</f>
        <v>2632</v>
      </c>
      <c r="C127" s="6">
        <f>'BNO1 Rate'!K127</f>
        <v>-0.27052603405912107</v>
      </c>
      <c r="D127" s="6">
        <f>'BNO1 Rate'!T127</f>
        <v>-0.19222470354977328</v>
      </c>
      <c r="E127" s="6">
        <f t="shared" si="9"/>
        <v>6.1310983595341184E-3</v>
      </c>
      <c r="F127" s="6">
        <f>'MPU Rate'!K127</f>
        <v>-0.32853118062916048</v>
      </c>
      <c r="G127" s="6">
        <f>'MPU Rate'!T127</f>
        <v>-0.19222470354977328</v>
      </c>
      <c r="H127" s="6">
        <f t="shared" si="10"/>
        <v>1.8579455693793507E-2</v>
      </c>
      <c r="I127" s="6">
        <f>'BNO2 Rate'!K127</f>
        <v>-1.189005552921137</v>
      </c>
      <c r="J127" s="6">
        <f>'BNO2 Rate'!T127</f>
        <v>-1.1494247647622025</v>
      </c>
      <c r="K127" s="6">
        <f t="shared" si="11"/>
        <v>1.5666387912824503E-3</v>
      </c>
    </row>
    <row r="128" spans="1:11" ht="18.95" customHeight="1">
      <c r="A128" s="4">
        <f>'BNO1 Rate'!A128</f>
        <v>816</v>
      </c>
      <c r="B128" s="9">
        <f>'BNO1 Rate'!C128</f>
        <v>2653</v>
      </c>
      <c r="C128" s="6">
        <f>'BNO1 Rate'!K128</f>
        <v>-0.32179508083645453</v>
      </c>
      <c r="D128" s="6">
        <f>'BNO1 Rate'!T128</f>
        <v>-0.25522494598780249</v>
      </c>
      <c r="E128" s="6">
        <f t="shared" si="9"/>
        <v>4.431582853767717E-3</v>
      </c>
      <c r="F128" s="6">
        <f>'MPU Rate'!K128</f>
        <v>-0.39114988760311137</v>
      </c>
      <c r="G128" s="6">
        <f>'MPU Rate'!T128</f>
        <v>-0.25522494598780249</v>
      </c>
      <c r="H128" s="6">
        <f t="shared" si="10"/>
        <v>1.8475589753125129E-2</v>
      </c>
      <c r="I128" s="6">
        <f>'BNO2 Rate'!K128</f>
        <v>-1.1868238913561442</v>
      </c>
      <c r="J128" s="6">
        <f>'BNO2 Rate'!T128</f>
        <v>-1.1797480145701582</v>
      </c>
      <c r="K128" s="6">
        <f t="shared" si="11"/>
        <v>5.0068032290455272E-5</v>
      </c>
    </row>
    <row r="129" spans="1:11" ht="18.95" customHeight="1">
      <c r="A129" s="4">
        <f>'BNO1 Rate'!A129</f>
        <v>817</v>
      </c>
      <c r="B129" s="9">
        <f>'BNO1 Rate'!C129</f>
        <v>2673</v>
      </c>
      <c r="C129" s="6">
        <f>'BNO1 Rate'!K129</f>
        <v>-0.38724492778624187</v>
      </c>
      <c r="D129" s="6">
        <f>'BNO1 Rate'!T129</f>
        <v>-0.31614053651990359</v>
      </c>
      <c r="E129" s="6">
        <f t="shared" si="9"/>
        <v>5.0558344573565228E-3</v>
      </c>
      <c r="F129" s="6">
        <f>'MPU Rate'!K129</f>
        <v>-0.45110393545887112</v>
      </c>
      <c r="G129" s="6">
        <f>'MPU Rate'!T129</f>
        <v>-0.31614053651990359</v>
      </c>
      <c r="H129" s="6">
        <f t="shared" si="10"/>
        <v>1.8215119053158903E-2</v>
      </c>
      <c r="I129" s="6">
        <f>'BNO2 Rate'!K129</f>
        <v>-1.2380929381334775</v>
      </c>
      <c r="J129" s="6">
        <f>'BNO2 Rate'!T129</f>
        <v>-1.2074190196267516</v>
      </c>
      <c r="K129" s="6">
        <f t="shared" si="11"/>
        <v>9.4088927655726546E-4</v>
      </c>
    </row>
    <row r="130" spans="1:11" ht="18.95" customHeight="1">
      <c r="A130" s="4">
        <f>'BNO1 Rate'!A130</f>
        <v>818</v>
      </c>
      <c r="B130" s="9">
        <f>'BNO1 Rate'!C130</f>
        <v>2693</v>
      </c>
      <c r="C130" s="6">
        <f>'BNO1 Rate'!K130</f>
        <v>-0.44069563612856821</v>
      </c>
      <c r="D130" s="6">
        <f>'BNO1 Rate'!T130</f>
        <v>-0.37718671401160769</v>
      </c>
      <c r="E130" s="6">
        <f t="shared" si="9"/>
        <v>4.0333831884581568E-3</v>
      </c>
      <c r="F130" s="6">
        <f>'MPU Rate'!K130</f>
        <v>-0.51398909169988394</v>
      </c>
      <c r="G130" s="6">
        <f>'MPU Rate'!T130</f>
        <v>-0.37718671401160769</v>
      </c>
      <c r="H130" s="6">
        <f t="shared" si="10"/>
        <v>1.8714890541165784E-2</v>
      </c>
      <c r="I130" s="6">
        <f>'BNO2 Rate'!K130</f>
        <v>-1.2457287536109527</v>
      </c>
      <c r="J130" s="6">
        <f>'BNO2 Rate'!T130</f>
        <v>-1.2328579063250942</v>
      </c>
      <c r="K130" s="6">
        <f t="shared" si="11"/>
        <v>1.6565870985589168E-4</v>
      </c>
    </row>
    <row r="131" spans="1:11" ht="18.95" customHeight="1">
      <c r="A131" s="4">
        <f>'BNO1 Rate'!A131</f>
        <v>819</v>
      </c>
      <c r="B131" s="9">
        <f>'BNO1 Rate'!C131</f>
        <v>2714</v>
      </c>
      <c r="C131" s="6">
        <f>'BNO1 Rate'!K131</f>
        <v>-0.50614548307835561</v>
      </c>
      <c r="D131" s="6">
        <f>'BNO1 Rate'!T131</f>
        <v>-0.44135638162259161</v>
      </c>
      <c r="E131" s="6">
        <f t="shared" si="9"/>
        <v>4.1976276674452803E-3</v>
      </c>
      <c r="F131" s="6">
        <f>'MPU Rate'!K131</f>
        <v>-0.55582369057853087</v>
      </c>
      <c r="G131" s="6">
        <f>'MPU Rate'!T131</f>
        <v>-0.44135638162259161</v>
      </c>
      <c r="H131" s="6">
        <f t="shared" si="10"/>
        <v>1.3102764819614452E-2</v>
      </c>
      <c r="I131" s="6">
        <f>'BNO2 Rate'!K131</f>
        <v>-1.2871803233458181</v>
      </c>
      <c r="J131" s="6">
        <f>'BNO2 Rate'!T131</f>
        <v>-1.2564410024430788</v>
      </c>
      <c r="K131" s="6">
        <f t="shared" si="11"/>
        <v>9.4490584956158786E-4</v>
      </c>
    </row>
    <row r="132" spans="1:11" ht="18.95" customHeight="1">
      <c r="A132" s="4">
        <f>'BNO1 Rate'!A132</f>
        <v>820</v>
      </c>
      <c r="B132" s="9">
        <f>'BNO1 Rate'!C132</f>
        <v>2734</v>
      </c>
      <c r="C132" s="6">
        <f>'BNO1 Rate'!K132</f>
        <v>-0.55959619142068195</v>
      </c>
      <c r="D132" s="6">
        <f>'BNO1 Rate'!T132</f>
        <v>-0.50271579943030487</v>
      </c>
      <c r="E132" s="6">
        <f t="shared" si="9"/>
        <v>3.235378992978954E-3</v>
      </c>
      <c r="F132" s="6">
        <f>'MPU Rate'!K132</f>
        <v>-0.64215751416450118</v>
      </c>
      <c r="G132" s="6">
        <f>'MPU Rate'!T132</f>
        <v>-0.50271579943030487</v>
      </c>
      <c r="H132" s="6">
        <f t="shared" si="10"/>
        <v>1.944399180801298E-2</v>
      </c>
      <c r="I132" s="6">
        <f>'BNO2 Rate'!K132</f>
        <v>-1.2839078309983287</v>
      </c>
      <c r="J132" s="6">
        <f>'BNO2 Rate'!T132</f>
        <v>-1.2765918205027362</v>
      </c>
      <c r="K132" s="6">
        <f t="shared" si="11"/>
        <v>5.352400957161955E-5</v>
      </c>
    </row>
    <row r="133" spans="1:11" ht="18.95" customHeight="1">
      <c r="A133" s="4">
        <f>'BNO1 Rate'!A133</f>
        <v>821</v>
      </c>
      <c r="B133" s="9">
        <f>'BNO1 Rate'!C133</f>
        <v>2755</v>
      </c>
      <c r="C133" s="6">
        <f>'BNO1 Rate'!K133</f>
        <v>-0.62068271524048346</v>
      </c>
      <c r="D133" s="6">
        <f>'BNO1 Rate'!T133</f>
        <v>-0.56617656268342897</v>
      </c>
      <c r="E133" s="6">
        <f t="shared" si="9"/>
        <v>2.9709206665728973E-3</v>
      </c>
      <c r="F133" s="6">
        <f>'MPU Rate'!K133</f>
        <v>-0.68932143127953216</v>
      </c>
      <c r="G133" s="6">
        <f>'MPU Rate'!T133</f>
        <v>-0.56617656268342897</v>
      </c>
      <c r="H133" s="6">
        <f t="shared" si="10"/>
        <v>1.5164658661551521E-2</v>
      </c>
      <c r="I133" s="6">
        <f>'BNO2 Rate'!K133</f>
        <v>-1.3286318930806833</v>
      </c>
      <c r="J133" s="6">
        <f>'BNO2 Rate'!T133</f>
        <v>-1.2938134183699708</v>
      </c>
      <c r="K133" s="6">
        <f t="shared" si="11"/>
        <v>1.2123261811805282E-3</v>
      </c>
    </row>
    <row r="134" spans="1:11" ht="18.95" customHeight="1">
      <c r="A134" s="4">
        <f>'BNO1 Rate'!A134</f>
        <v>822</v>
      </c>
      <c r="B134" s="9">
        <f>'BNO1 Rate'!C134</f>
        <v>2777</v>
      </c>
      <c r="C134" s="6">
        <f>'BNO1 Rate'!K134</f>
        <v>-0.68613256219027075</v>
      </c>
      <c r="D134" s="6">
        <f>'BNO1 Rate'!T134</f>
        <v>-0.63059132338936741</v>
      </c>
      <c r="E134" s="6">
        <f t="shared" ref="E134:E165" si="12">(C134-D134)^2</f>
        <v>3.0848292075389703E-3</v>
      </c>
      <c r="F134" s="6">
        <f>'MPU Rate'!K134</f>
        <v>-0.75327245116782193</v>
      </c>
      <c r="G134" s="6">
        <f>'MPU Rate'!T134</f>
        <v>-0.63059132338936741</v>
      </c>
      <c r="H134" s="6">
        <f t="shared" ref="H134:H165" si="13">(F134-G134)^2</f>
        <v>1.5050659112993487E-2</v>
      </c>
      <c r="I134" s="6">
        <f>'BNO2 Rate'!K134</f>
        <v>-1.3319043854281727</v>
      </c>
      <c r="J134" s="6">
        <f>'BNO2 Rate'!T134</f>
        <v>-1.3074117301315145</v>
      </c>
      <c r="K134" s="6">
        <f t="shared" ref="K134:K165" si="14">(I134-J134)^2</f>
        <v>5.9989016348092037E-4</v>
      </c>
    </row>
    <row r="135" spans="1:11" ht="18.95" customHeight="1">
      <c r="A135" s="4">
        <f>'BNO1 Rate'!A135</f>
        <v>823</v>
      </c>
      <c r="B135" s="9">
        <f>'BNO1 Rate'!C135</f>
        <v>2798</v>
      </c>
      <c r="C135" s="6">
        <f>'BNO1 Rate'!K135</f>
        <v>-0.73958327053259709</v>
      </c>
      <c r="D135" s="6">
        <f>'BNO1 Rate'!T135</f>
        <v>-0.68972616544926291</v>
      </c>
      <c r="E135" s="6">
        <f t="shared" si="12"/>
        <v>2.4857309272906273E-3</v>
      </c>
      <c r="F135" s="6">
        <f>'MPU Rate'!K135</f>
        <v>-0.79910398878948596</v>
      </c>
      <c r="G135" s="6">
        <f>'MPU Rate'!T135</f>
        <v>-0.68972616544926291</v>
      </c>
      <c r="H135" s="6">
        <f t="shared" si="13"/>
        <v>1.1963508238645044E-2</v>
      </c>
      <c r="I135" s="6">
        <f>'BNO2 Rate'!K135</f>
        <v>-1.3460851856006266</v>
      </c>
      <c r="J135" s="6">
        <f>'BNO2 Rate'!T135</f>
        <v>-1.3152027096773264</v>
      </c>
      <c r="K135" s="6">
        <f t="shared" si="14"/>
        <v>9.5372731915321527E-4</v>
      </c>
    </row>
    <row r="136" spans="1:11" ht="18.95" customHeight="1">
      <c r="A136" s="4">
        <f>'BNO1 Rate'!A136</f>
        <v>824</v>
      </c>
      <c r="B136" s="9">
        <f>'BNO1 Rate'!C136</f>
        <v>2818</v>
      </c>
      <c r="C136" s="6">
        <f>'BNO1 Rate'!K136</f>
        <v>-0.79739730200490933</v>
      </c>
      <c r="D136" s="6">
        <f>'BNO1 Rate'!T136</f>
        <v>-0.74361145702768383</v>
      </c>
      <c r="E136" s="6">
        <f t="shared" si="12"/>
        <v>2.8929171199141329E-3</v>
      </c>
      <c r="F136" s="6">
        <f>'MPU Rate'!K136</f>
        <v>-0.84573487421233751</v>
      </c>
      <c r="G136" s="6">
        <f>'MPU Rate'!T136</f>
        <v>-0.74361145702768383</v>
      </c>
      <c r="H136" s="6">
        <f t="shared" si="13"/>
        <v>1.0429192337470817E-2</v>
      </c>
      <c r="I136" s="6">
        <f>'BNO2 Rate'!K136</f>
        <v>-1.3395402009056478</v>
      </c>
      <c r="J136" s="6">
        <f>'BNO2 Rate'!T136</f>
        <v>-1.3169992736161411</v>
      </c>
      <c r="K136" s="6">
        <f t="shared" si="14"/>
        <v>5.0809340307082969E-4</v>
      </c>
    </row>
    <row r="137" spans="1:11" ht="18.95" customHeight="1">
      <c r="A137" s="4">
        <f>'BNO1 Rate'!A137</f>
        <v>825</v>
      </c>
      <c r="B137" s="9">
        <f>'BNO1 Rate'!C137</f>
        <v>2839</v>
      </c>
      <c r="C137" s="6">
        <f>'BNO1 Rate'!K137</f>
        <v>-0.84103053330476751</v>
      </c>
      <c r="D137" s="6">
        <f>'BNO1 Rate'!T137</f>
        <v>-0.79692945262431791</v>
      </c>
      <c r="E137" s="6">
        <f t="shared" si="12"/>
        <v>1.9449053171835249E-3</v>
      </c>
      <c r="F137" s="6">
        <f>'MPU Rate'!K137</f>
        <v>-0.90835351460726221</v>
      </c>
      <c r="G137" s="6">
        <f>'MPU Rate'!T137</f>
        <v>-0.79692945262431791</v>
      </c>
      <c r="H137" s="6">
        <f t="shared" si="13"/>
        <v>1.2415321588779013E-2</v>
      </c>
      <c r="I137" s="6">
        <f>'BNO2 Rate'!K137</f>
        <v>-1.3275410622981869</v>
      </c>
      <c r="J137" s="6">
        <f>'BNO2 Rate'!T137</f>
        <v>-1.313803818458013</v>
      </c>
      <c r="K137" s="6">
        <f t="shared" si="14"/>
        <v>1.8871186832439689E-4</v>
      </c>
    </row>
    <row r="138" spans="1:11" ht="18.95" customHeight="1">
      <c r="A138" s="4">
        <f>'BNO1 Rate'!A138</f>
        <v>826</v>
      </c>
      <c r="B138" s="9">
        <f>'BNO1 Rate'!C138</f>
        <v>2859</v>
      </c>
      <c r="C138" s="6">
        <f>'BNO1 Rate'!K138</f>
        <v>-0.90211705712456902</v>
      </c>
      <c r="D138" s="6">
        <f>'BNO1 Rate'!T138</f>
        <v>-0.8440318446386379</v>
      </c>
      <c r="E138" s="6">
        <f t="shared" si="12"/>
        <v>3.3738919095357691E-3</v>
      </c>
      <c r="F138" s="6">
        <f>'MPU Rate'!K138</f>
        <v>-0.95285280589361332</v>
      </c>
      <c r="G138" s="6">
        <f>'MPU Rate'!T138</f>
        <v>-0.8440318446386379</v>
      </c>
      <c r="H138" s="6">
        <f t="shared" si="13"/>
        <v>1.1842001608456863E-2</v>
      </c>
      <c r="I138" s="6">
        <f>'BNO2 Rate'!K138</f>
        <v>-1.3384493701231515</v>
      </c>
      <c r="J138" s="6">
        <f>'BNO2 Rate'!T138</f>
        <v>-1.3047299582599914</v>
      </c>
      <c r="K138" s="6">
        <f t="shared" si="14"/>
        <v>1.1369987363974204E-3</v>
      </c>
    </row>
    <row r="139" spans="1:11" ht="18.95" customHeight="1">
      <c r="A139" s="4">
        <f>'BNO1 Rate'!A139</f>
        <v>827</v>
      </c>
      <c r="B139" s="9">
        <f>'BNO1 Rate'!C139</f>
        <v>2881</v>
      </c>
      <c r="C139" s="6">
        <f>'BNO1 Rate'!K139</f>
        <v>-0.95229527311940609</v>
      </c>
      <c r="D139" s="6">
        <f>'BNO1 Rate'!T139</f>
        <v>-0.89135064944369402</v>
      </c>
      <c r="E139" s="6">
        <f t="shared" si="12"/>
        <v>3.7142471549741645E-3</v>
      </c>
      <c r="F139" s="6">
        <f>'MPU Rate'!K139</f>
        <v>-1.0096092960970566</v>
      </c>
      <c r="G139" s="6">
        <f>'MPU Rate'!T139</f>
        <v>-0.89135064944369402</v>
      </c>
      <c r="H139" s="6">
        <f t="shared" si="13"/>
        <v>1.3985107508284871E-2</v>
      </c>
      <c r="I139" s="6">
        <f>'BNO2 Rate'!K139</f>
        <v>-1.3231777391682011</v>
      </c>
      <c r="J139" s="6">
        <f>'BNO2 Rate'!T139</f>
        <v>-1.2872885533891687</v>
      </c>
      <c r="K139" s="6">
        <f t="shared" si="14"/>
        <v>1.2880336558819044E-3</v>
      </c>
    </row>
    <row r="140" spans="1:11" ht="18.95" customHeight="1">
      <c r="A140" s="4">
        <f>'BNO1 Rate'!A140</f>
        <v>828</v>
      </c>
      <c r="B140" s="9">
        <f>'BNO1 Rate'!C140</f>
        <v>2903</v>
      </c>
      <c r="C140" s="6">
        <f>'BNO1 Rate'!K140</f>
        <v>-1.0286534278941579</v>
      </c>
      <c r="D140" s="6">
        <f>'BNO1 Rate'!T140</f>
        <v>-0.93292572407482366</v>
      </c>
      <c r="E140" s="6">
        <f t="shared" si="12"/>
        <v>9.1637932785221844E-3</v>
      </c>
      <c r="F140" s="6">
        <f>'MPU Rate'!K140</f>
        <v>-1.0391866294795853</v>
      </c>
      <c r="G140" s="6">
        <f>'MPU Rate'!T140</f>
        <v>-0.93292572407482366</v>
      </c>
      <c r="H140" s="6">
        <f t="shared" si="13"/>
        <v>1.1291380017439699E-2</v>
      </c>
      <c r="I140" s="6">
        <f>'BNO2 Rate'!K140</f>
        <v>-1.3144510929082294</v>
      </c>
      <c r="J140" s="6">
        <f>'BNO2 Rate'!T140</f>
        <v>-1.2627101039523163</v>
      </c>
      <c r="K140" s="6">
        <f t="shared" si="14"/>
        <v>2.6771299381359169E-3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71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3" width="17" customWidth="1"/>
  </cols>
  <sheetData>
    <row r="1" spans="1:23" ht="18.95" customHeight="1">
      <c r="A1" s="2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3.950000000000003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53</v>
      </c>
      <c r="P5" s="3" t="s">
        <v>54</v>
      </c>
      <c r="Q5" s="3" t="s">
        <v>55</v>
      </c>
      <c r="R5" s="3" t="s">
        <v>56</v>
      </c>
      <c r="S5" s="3" t="s">
        <v>57</v>
      </c>
      <c r="T5" s="3" t="s">
        <v>58</v>
      </c>
      <c r="U5" s="3" t="s">
        <v>59</v>
      </c>
      <c r="V5" s="3" t="s">
        <v>60</v>
      </c>
      <c r="W5" s="3" t="s">
        <v>61</v>
      </c>
    </row>
    <row r="6" spans="1:23" ht="18.95" customHeight="1">
      <c r="A6" s="4">
        <v>2</v>
      </c>
      <c r="B6" s="4">
        <v>0</v>
      </c>
      <c r="C6" s="4">
        <v>1</v>
      </c>
      <c r="D6" s="6">
        <v>0</v>
      </c>
      <c r="E6" s="6">
        <v>0</v>
      </c>
      <c r="F6" s="6">
        <v>-0.125</v>
      </c>
      <c r="G6" s="6">
        <v>0.125</v>
      </c>
      <c r="H6" s="6">
        <v>-6.25E-2</v>
      </c>
      <c r="I6" s="6">
        <v>1.6875</v>
      </c>
      <c r="J6" s="6">
        <v>-2.125</v>
      </c>
      <c r="K6" s="6">
        <v>-15.125</v>
      </c>
      <c r="L6" s="6">
        <v>-6.25E-2</v>
      </c>
      <c r="M6" s="6">
        <v>-0.125</v>
      </c>
      <c r="N6" s="6">
        <v>-0.1875</v>
      </c>
      <c r="O6" s="6">
        <v>0.8125</v>
      </c>
      <c r="P6" s="6">
        <v>-2.0625</v>
      </c>
      <c r="Q6" s="6">
        <v>-39.125</v>
      </c>
      <c r="R6" s="6">
        <v>7.9573392868042006E-2</v>
      </c>
      <c r="S6" s="6">
        <v>4.48250770568848E-2</v>
      </c>
      <c r="T6" s="6">
        <v>-0.23746582865714999</v>
      </c>
      <c r="U6" s="6">
        <v>1.2190966606140099</v>
      </c>
      <c r="V6" s="6">
        <v>-33.216381072997997</v>
      </c>
      <c r="W6" s="6">
        <v>-17.514181137085</v>
      </c>
    </row>
    <row r="7" spans="1:23" ht="18.95" customHeight="1">
      <c r="A7" s="4">
        <v>3</v>
      </c>
      <c r="B7" s="4">
        <v>22</v>
      </c>
      <c r="C7" s="4">
        <v>1</v>
      </c>
      <c r="D7" s="6">
        <v>0</v>
      </c>
      <c r="E7" s="6">
        <v>0</v>
      </c>
      <c r="F7" s="6">
        <v>0</v>
      </c>
      <c r="G7" s="6">
        <v>6.25E-2</v>
      </c>
      <c r="H7" s="6">
        <v>0</v>
      </c>
      <c r="I7" s="6">
        <v>1.6875</v>
      </c>
      <c r="J7" s="6">
        <v>-2.125</v>
      </c>
      <c r="K7" s="6">
        <v>-15.125</v>
      </c>
      <c r="L7" s="6">
        <v>0</v>
      </c>
      <c r="M7" s="6">
        <v>6.25E-2</v>
      </c>
      <c r="N7" s="6">
        <v>-0.125</v>
      </c>
      <c r="O7" s="6">
        <v>0.8125</v>
      </c>
      <c r="P7" s="6">
        <v>-2.0625</v>
      </c>
      <c r="Q7" s="6">
        <v>-39.125</v>
      </c>
      <c r="R7" s="6">
        <v>1.85046195983887E-2</v>
      </c>
      <c r="S7" s="6">
        <v>-9.76443290710449E-4</v>
      </c>
      <c r="T7" s="6">
        <v>-0.22219866514205899</v>
      </c>
      <c r="U7" s="6">
        <v>1.21745824813843</v>
      </c>
      <c r="V7" s="6">
        <v>-33.224338531494098</v>
      </c>
      <c r="W7" s="6">
        <v>-17.517145156860401</v>
      </c>
    </row>
    <row r="8" spans="1:23" ht="18.95" customHeight="1">
      <c r="A8" s="4">
        <v>4</v>
      </c>
      <c r="B8" s="4">
        <v>62</v>
      </c>
      <c r="C8" s="4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1.6875</v>
      </c>
      <c r="J8" s="6">
        <v>-2.125</v>
      </c>
      <c r="K8" s="6">
        <v>-15.125</v>
      </c>
      <c r="L8" s="6">
        <v>-0.125</v>
      </c>
      <c r="M8" s="6">
        <v>-6.25E-2</v>
      </c>
      <c r="N8" s="6">
        <v>-6.25E-2</v>
      </c>
      <c r="O8" s="6">
        <v>0.8125</v>
      </c>
      <c r="P8" s="6">
        <v>-2.0625</v>
      </c>
      <c r="Q8" s="6">
        <v>-39.125</v>
      </c>
      <c r="R8" s="6">
        <v>9.4840526580810505E-2</v>
      </c>
      <c r="S8" s="6">
        <v>-0.107846736907959</v>
      </c>
      <c r="T8" s="6">
        <v>-0.176397144794464</v>
      </c>
      <c r="U8" s="6">
        <v>1.2214640378952</v>
      </c>
      <c r="V8" s="6">
        <v>-33.224193572997997</v>
      </c>
      <c r="W8" s="6">
        <v>-17.523584365844702</v>
      </c>
    </row>
    <row r="9" spans="1:23" ht="18.95" customHeight="1">
      <c r="A9" s="4">
        <v>5</v>
      </c>
      <c r="B9" s="4">
        <v>84</v>
      </c>
      <c r="C9" s="4">
        <v>1</v>
      </c>
      <c r="D9" s="6">
        <v>0</v>
      </c>
      <c r="E9" s="6">
        <v>0</v>
      </c>
      <c r="F9" s="6">
        <v>6.25E-2</v>
      </c>
      <c r="G9" s="6">
        <v>-6.25E-2</v>
      </c>
      <c r="H9" s="6">
        <v>0</v>
      </c>
      <c r="I9" s="6">
        <v>1.6875</v>
      </c>
      <c r="J9" s="6">
        <v>-2.125</v>
      </c>
      <c r="K9" s="6">
        <v>-15.125</v>
      </c>
      <c r="L9" s="6">
        <v>-6.25E-2</v>
      </c>
      <c r="M9" s="6">
        <v>0</v>
      </c>
      <c r="N9" s="6">
        <v>-6.25E-2</v>
      </c>
      <c r="O9" s="6">
        <v>0.8125</v>
      </c>
      <c r="P9" s="6">
        <v>-2.0625</v>
      </c>
      <c r="Q9" s="6">
        <v>-39.125</v>
      </c>
      <c r="R9" s="6">
        <v>1.85046195983887E-2</v>
      </c>
      <c r="S9" s="6">
        <v>-9.76443290710449E-4</v>
      </c>
      <c r="T9" s="6">
        <v>-0.13059562444686901</v>
      </c>
      <c r="U9" s="6">
        <v>1.22932529449463</v>
      </c>
      <c r="V9" s="6">
        <v>-33.226142883300803</v>
      </c>
      <c r="W9" s="6">
        <v>-17.525074005126999</v>
      </c>
    </row>
    <row r="10" spans="1:23" ht="18.95" customHeight="1">
      <c r="A10" s="4">
        <v>6</v>
      </c>
      <c r="B10" s="4">
        <v>104</v>
      </c>
      <c r="C10" s="4">
        <v>1</v>
      </c>
      <c r="D10" s="6">
        <v>0</v>
      </c>
      <c r="E10" s="6">
        <v>0</v>
      </c>
      <c r="F10" s="6">
        <v>6.25E-2</v>
      </c>
      <c r="G10" s="6">
        <v>0.1875</v>
      </c>
      <c r="H10" s="6">
        <v>0.125</v>
      </c>
      <c r="I10" s="6">
        <v>1.6875</v>
      </c>
      <c r="J10" s="6">
        <v>-2.125</v>
      </c>
      <c r="K10" s="6">
        <v>-15.125</v>
      </c>
      <c r="L10" s="6">
        <v>0</v>
      </c>
      <c r="M10" s="6">
        <v>0</v>
      </c>
      <c r="N10" s="6">
        <v>0</v>
      </c>
      <c r="O10" s="6">
        <v>0.8125</v>
      </c>
      <c r="P10" s="6">
        <v>-2.0625</v>
      </c>
      <c r="Q10" s="6">
        <v>-39.125</v>
      </c>
      <c r="R10" s="6">
        <v>-2.7297019958496101E-2</v>
      </c>
      <c r="S10" s="6">
        <v>-7.7312350273132296E-2</v>
      </c>
      <c r="T10" s="6">
        <v>2.2076129913330099E-2</v>
      </c>
      <c r="U10" s="6">
        <v>1.22224044799805</v>
      </c>
      <c r="V10" s="6">
        <v>-33.240364074707003</v>
      </c>
      <c r="W10" s="6">
        <v>-17.526416778564499</v>
      </c>
    </row>
    <row r="11" spans="1:23" ht="18.95" customHeight="1">
      <c r="A11" s="4">
        <v>7</v>
      </c>
      <c r="B11" s="4">
        <v>127</v>
      </c>
      <c r="C11" s="4">
        <v>1</v>
      </c>
      <c r="D11" s="6">
        <v>0</v>
      </c>
      <c r="E11" s="6">
        <v>0</v>
      </c>
      <c r="F11" s="6">
        <v>0.125</v>
      </c>
      <c r="G11" s="6">
        <v>0</v>
      </c>
      <c r="H11" s="6">
        <v>-6.25E-2</v>
      </c>
      <c r="I11" s="6">
        <v>1.6875</v>
      </c>
      <c r="J11" s="6">
        <v>-2.125</v>
      </c>
      <c r="K11" s="6">
        <v>-15.125</v>
      </c>
      <c r="L11" s="6">
        <v>6.25E-2</v>
      </c>
      <c r="M11" s="6">
        <v>-0.125</v>
      </c>
      <c r="N11" s="6">
        <v>6.25E-2</v>
      </c>
      <c r="O11" s="6">
        <v>0.8125</v>
      </c>
      <c r="P11" s="6">
        <v>-2.0625</v>
      </c>
      <c r="Q11" s="6">
        <v>-39.125</v>
      </c>
      <c r="R11" s="6">
        <v>0.110107660293579</v>
      </c>
      <c r="S11" s="6">
        <v>0.151695251464844</v>
      </c>
      <c r="T11" s="6">
        <v>-0.25273302197456399</v>
      </c>
      <c r="U11" s="6">
        <v>1.2481502294540401</v>
      </c>
      <c r="V11" s="6">
        <v>-33.224365234375</v>
      </c>
      <c r="W11" s="6">
        <v>-17.528152465820298</v>
      </c>
    </row>
    <row r="12" spans="1:23" ht="18.95" customHeight="1">
      <c r="A12" s="4">
        <v>8</v>
      </c>
      <c r="B12" s="4">
        <v>148</v>
      </c>
      <c r="C12" s="4">
        <v>1</v>
      </c>
      <c r="D12" s="6">
        <v>0</v>
      </c>
      <c r="E12" s="6">
        <v>0</v>
      </c>
      <c r="F12" s="6">
        <v>0</v>
      </c>
      <c r="G12" s="6">
        <v>6.25E-2</v>
      </c>
      <c r="H12" s="6">
        <v>-0.1875</v>
      </c>
      <c r="I12" s="6">
        <v>1.6875</v>
      </c>
      <c r="J12" s="6">
        <v>-2.125</v>
      </c>
      <c r="K12" s="6">
        <v>-15.125</v>
      </c>
      <c r="L12" s="6">
        <v>0</v>
      </c>
      <c r="M12" s="6">
        <v>0</v>
      </c>
      <c r="N12" s="6">
        <v>-0.125</v>
      </c>
      <c r="O12" s="6">
        <v>0.8125</v>
      </c>
      <c r="P12" s="6">
        <v>-2.0625</v>
      </c>
      <c r="Q12" s="6">
        <v>-39.125</v>
      </c>
      <c r="R12" s="6">
        <v>-2.7297019958496101E-2</v>
      </c>
      <c r="S12" s="6">
        <v>0.21276396512985199</v>
      </c>
      <c r="T12" s="6">
        <v>6.80899620056152E-3</v>
      </c>
      <c r="U12" s="6">
        <v>1.2192187309265099</v>
      </c>
      <c r="V12" s="6">
        <v>-33.225028991699197</v>
      </c>
      <c r="W12" s="6">
        <v>-17.529954910278299</v>
      </c>
    </row>
    <row r="13" spans="1:23" ht="18.95" customHeight="1">
      <c r="A13" s="4">
        <v>9</v>
      </c>
      <c r="B13" s="4">
        <v>171</v>
      </c>
      <c r="C13" s="4">
        <v>1</v>
      </c>
      <c r="D13" s="6">
        <v>0</v>
      </c>
      <c r="E13" s="6">
        <v>0</v>
      </c>
      <c r="F13" s="6">
        <v>-6.25E-2</v>
      </c>
      <c r="G13" s="6">
        <v>6.25E-2</v>
      </c>
      <c r="H13" s="6">
        <v>-6.25E-2</v>
      </c>
      <c r="I13" s="6">
        <v>1.6875</v>
      </c>
      <c r="J13" s="6">
        <v>-2.125</v>
      </c>
      <c r="K13" s="6">
        <v>-15.125</v>
      </c>
      <c r="L13" s="6">
        <v>6.25E-2</v>
      </c>
      <c r="M13" s="6">
        <v>-6.25E-2</v>
      </c>
      <c r="N13" s="6">
        <v>0</v>
      </c>
      <c r="O13" s="6">
        <v>0.8125</v>
      </c>
      <c r="P13" s="6">
        <v>-2.0625</v>
      </c>
      <c r="Q13" s="6">
        <v>-39.125</v>
      </c>
      <c r="R13" s="6">
        <v>7.9573392868042006E-2</v>
      </c>
      <c r="S13" s="6">
        <v>-4.6777963638305699E-2</v>
      </c>
      <c r="T13" s="6">
        <v>-0.100061237812042</v>
      </c>
      <c r="U13" s="6">
        <v>1.2294608354568499</v>
      </c>
      <c r="V13" s="6">
        <v>-33.239582061767599</v>
      </c>
      <c r="W13" s="6">
        <v>-17.531883239746101</v>
      </c>
    </row>
    <row r="14" spans="1:23" ht="18.95" customHeight="1">
      <c r="A14" s="4">
        <v>10</v>
      </c>
      <c r="B14" s="4">
        <v>193</v>
      </c>
      <c r="C14" s="4">
        <v>1</v>
      </c>
      <c r="D14" s="6">
        <v>0</v>
      </c>
      <c r="E14" s="6">
        <v>0</v>
      </c>
      <c r="F14" s="6">
        <v>-6.25E-2</v>
      </c>
      <c r="G14" s="6">
        <v>6.25E-2</v>
      </c>
      <c r="H14" s="6">
        <v>0</v>
      </c>
      <c r="I14" s="6">
        <v>1.6875</v>
      </c>
      <c r="J14" s="6">
        <v>-2.125</v>
      </c>
      <c r="K14" s="6">
        <v>-15.125</v>
      </c>
      <c r="L14" s="6">
        <v>0</v>
      </c>
      <c r="M14" s="6">
        <v>-0.125</v>
      </c>
      <c r="N14" s="6">
        <v>6.25E-2</v>
      </c>
      <c r="O14" s="6">
        <v>0.8125</v>
      </c>
      <c r="P14" s="6">
        <v>-2.0625</v>
      </c>
      <c r="Q14" s="6">
        <v>-39.125</v>
      </c>
      <c r="R14" s="6">
        <v>7.9573392868042006E-2</v>
      </c>
      <c r="S14" s="6">
        <v>-9.76443290710449E-4</v>
      </c>
      <c r="T14" s="6">
        <v>8.3144843578338595E-2</v>
      </c>
      <c r="U14" s="6">
        <v>1.22140657901764</v>
      </c>
      <c r="V14" s="6">
        <v>-33.232269287109403</v>
      </c>
      <c r="W14" s="6">
        <v>-17.532884597778299</v>
      </c>
    </row>
    <row r="15" spans="1:23" ht="18.95" customHeight="1">
      <c r="A15" s="4">
        <v>11</v>
      </c>
      <c r="B15" s="4">
        <v>214</v>
      </c>
      <c r="C15" s="4">
        <v>1</v>
      </c>
      <c r="D15" s="6">
        <v>0</v>
      </c>
      <c r="E15" s="6">
        <v>0</v>
      </c>
      <c r="F15" s="6">
        <v>-6.25E-2</v>
      </c>
      <c r="G15" s="6">
        <v>-6.25E-2</v>
      </c>
      <c r="H15" s="6">
        <v>0.1875</v>
      </c>
      <c r="I15" s="6">
        <v>1.6875</v>
      </c>
      <c r="J15" s="6">
        <v>-2.125</v>
      </c>
      <c r="K15" s="6">
        <v>-15.125</v>
      </c>
      <c r="L15" s="6">
        <v>0</v>
      </c>
      <c r="M15" s="6">
        <v>-6.25E-2</v>
      </c>
      <c r="N15" s="6">
        <v>0.125</v>
      </c>
      <c r="O15" s="6">
        <v>0.8125</v>
      </c>
      <c r="P15" s="6">
        <v>-2.0625</v>
      </c>
      <c r="Q15" s="6">
        <v>-39.125</v>
      </c>
      <c r="R15" s="6">
        <v>-0.28683900833129899</v>
      </c>
      <c r="S15" s="6">
        <v>-0.13838112354278601</v>
      </c>
      <c r="T15" s="6">
        <v>-3.8992583751678501E-2</v>
      </c>
      <c r="U15" s="6">
        <v>1.2319322824478101</v>
      </c>
      <c r="V15" s="6">
        <v>-33.244697570800803</v>
      </c>
      <c r="W15" s="6">
        <v>-17.534299850463899</v>
      </c>
    </row>
    <row r="16" spans="1:23" ht="18.95" customHeight="1">
      <c r="A16" s="4">
        <v>12</v>
      </c>
      <c r="B16" s="4">
        <v>234</v>
      </c>
      <c r="C16" s="4">
        <v>1</v>
      </c>
      <c r="D16" s="6">
        <v>0</v>
      </c>
      <c r="E16" s="6">
        <v>0</v>
      </c>
      <c r="F16" s="6">
        <v>0</v>
      </c>
      <c r="G16" s="6">
        <v>0.25</v>
      </c>
      <c r="H16" s="6">
        <v>-0.25</v>
      </c>
      <c r="I16" s="6">
        <v>1.6875</v>
      </c>
      <c r="J16" s="6">
        <v>-2.125</v>
      </c>
      <c r="K16" s="6">
        <v>-15.125</v>
      </c>
      <c r="L16" s="6">
        <v>0</v>
      </c>
      <c r="M16" s="6">
        <v>6.25E-2</v>
      </c>
      <c r="N16" s="6">
        <v>0.125</v>
      </c>
      <c r="O16" s="6">
        <v>0.8125</v>
      </c>
      <c r="P16" s="6">
        <v>-2.0625</v>
      </c>
      <c r="Q16" s="6">
        <v>-39.125</v>
      </c>
      <c r="R16" s="6">
        <v>-0.19523596763610801</v>
      </c>
      <c r="S16" s="6">
        <v>-9.2579483985900907E-2</v>
      </c>
      <c r="T16" s="6">
        <v>-8.4794104099273696E-2</v>
      </c>
      <c r="U16" s="6">
        <v>1.2268273830413801</v>
      </c>
      <c r="V16" s="6">
        <v>-33.238582611083999</v>
      </c>
      <c r="W16" s="6">
        <v>-17.534826278686499</v>
      </c>
    </row>
    <row r="17" spans="1:23" ht="18.95" customHeight="1">
      <c r="A17" s="4">
        <v>13</v>
      </c>
      <c r="B17" s="4">
        <v>257</v>
      </c>
      <c r="C17" s="4">
        <v>1</v>
      </c>
      <c r="D17" s="6">
        <v>0</v>
      </c>
      <c r="E17" s="6">
        <v>0</v>
      </c>
      <c r="F17" s="6">
        <v>6.25E-2</v>
      </c>
      <c r="G17" s="6">
        <v>-6.25E-2</v>
      </c>
      <c r="H17" s="6">
        <v>0</v>
      </c>
      <c r="I17" s="6">
        <v>1.6875</v>
      </c>
      <c r="J17" s="6">
        <v>-2.125</v>
      </c>
      <c r="K17" s="6">
        <v>-15.125</v>
      </c>
      <c r="L17" s="6">
        <v>-6.25E-2</v>
      </c>
      <c r="M17" s="6">
        <v>-0.125</v>
      </c>
      <c r="N17" s="6">
        <v>0</v>
      </c>
      <c r="O17" s="6">
        <v>0.8125</v>
      </c>
      <c r="P17" s="6">
        <v>-2.0625</v>
      </c>
      <c r="Q17" s="6">
        <v>-39.125</v>
      </c>
      <c r="R17" s="6">
        <v>0.110107660293579</v>
      </c>
      <c r="S17" s="6">
        <v>6.0092210769653299E-2</v>
      </c>
      <c r="T17" s="6">
        <v>5.2610516548156697E-2</v>
      </c>
      <c r="U17" s="6">
        <v>1.2379901409149201</v>
      </c>
      <c r="V17" s="6">
        <v>-33.235919952392599</v>
      </c>
      <c r="W17" s="6">
        <v>-17.535852432251001</v>
      </c>
    </row>
    <row r="18" spans="1:23" ht="18.95" customHeight="1">
      <c r="A18" s="4">
        <v>14</v>
      </c>
      <c r="B18" s="4">
        <v>278</v>
      </c>
      <c r="C18" s="4">
        <v>1</v>
      </c>
      <c r="D18" s="6">
        <v>0</v>
      </c>
      <c r="E18" s="6">
        <v>0</v>
      </c>
      <c r="F18" s="6">
        <v>-6.25E-2</v>
      </c>
      <c r="G18" s="6">
        <v>-6.25E-2</v>
      </c>
      <c r="H18" s="6">
        <v>-6.25E-2</v>
      </c>
      <c r="I18" s="6">
        <v>1.6875</v>
      </c>
      <c r="J18" s="6">
        <v>-2.125</v>
      </c>
      <c r="K18" s="6">
        <v>-15.125</v>
      </c>
      <c r="L18" s="6">
        <v>0</v>
      </c>
      <c r="M18" s="6">
        <v>0.125</v>
      </c>
      <c r="N18" s="6">
        <v>6.25E-2</v>
      </c>
      <c r="O18" s="6">
        <v>0.8125</v>
      </c>
      <c r="P18" s="6">
        <v>-2.0625</v>
      </c>
      <c r="Q18" s="6">
        <v>-39.125</v>
      </c>
      <c r="R18" s="6">
        <v>-7.3098421096801799E-2</v>
      </c>
      <c r="S18" s="6">
        <v>-9.76443290710449E-4</v>
      </c>
      <c r="T18" s="6">
        <v>-0.37487041950225802</v>
      </c>
      <c r="U18" s="6">
        <v>1.23358142375946</v>
      </c>
      <c r="V18" s="6">
        <v>-33.2483520507812</v>
      </c>
      <c r="W18" s="6">
        <v>-17.537937164306602</v>
      </c>
    </row>
    <row r="19" spans="1:23" ht="18.95" customHeight="1">
      <c r="A19" s="4">
        <v>15</v>
      </c>
      <c r="B19" s="4">
        <v>299</v>
      </c>
      <c r="C19" s="4">
        <v>1</v>
      </c>
      <c r="D19" s="6">
        <v>0</v>
      </c>
      <c r="E19" s="6">
        <v>0</v>
      </c>
      <c r="F19" s="6">
        <v>-0.125</v>
      </c>
      <c r="G19" s="6">
        <v>0</v>
      </c>
      <c r="H19" s="6">
        <v>0</v>
      </c>
      <c r="I19" s="6">
        <v>1.6875</v>
      </c>
      <c r="J19" s="6">
        <v>-2.125</v>
      </c>
      <c r="K19" s="6">
        <v>-15.125</v>
      </c>
      <c r="L19" s="6">
        <v>-6.25E-2</v>
      </c>
      <c r="M19" s="6">
        <v>6.25E-2</v>
      </c>
      <c r="N19" s="6">
        <v>-0.125</v>
      </c>
      <c r="O19" s="6">
        <v>0.8125</v>
      </c>
      <c r="P19" s="6">
        <v>-2.0625</v>
      </c>
      <c r="Q19" s="6">
        <v>-39.125</v>
      </c>
      <c r="R19" s="6">
        <v>0.15590906143188499</v>
      </c>
      <c r="S19" s="6">
        <v>2.9557824134826698E-2</v>
      </c>
      <c r="T19" s="6">
        <v>-0.206931471824646</v>
      </c>
      <c r="U19" s="6">
        <v>1.23785889148712</v>
      </c>
      <c r="V19" s="6">
        <v>-33.240627288818402</v>
      </c>
      <c r="W19" s="6">
        <v>-17.540510177612301</v>
      </c>
    </row>
    <row r="20" spans="1:23" ht="18.95" customHeight="1">
      <c r="A20" s="4">
        <v>16</v>
      </c>
      <c r="B20" s="4">
        <v>319</v>
      </c>
      <c r="C20" s="4">
        <v>1</v>
      </c>
      <c r="D20" s="6">
        <v>0</v>
      </c>
      <c r="E20" s="6">
        <v>0</v>
      </c>
      <c r="F20" s="6">
        <v>0</v>
      </c>
      <c r="G20" s="6">
        <v>0.1875</v>
      </c>
      <c r="H20" s="6">
        <v>6.25E-2</v>
      </c>
      <c r="I20" s="6">
        <v>1.6875</v>
      </c>
      <c r="J20" s="6">
        <v>-2.125</v>
      </c>
      <c r="K20" s="6">
        <v>-15.125</v>
      </c>
      <c r="L20" s="6">
        <v>0</v>
      </c>
      <c r="M20" s="6">
        <v>0</v>
      </c>
      <c r="N20" s="6">
        <v>6.25E-2</v>
      </c>
      <c r="O20" s="6">
        <v>0.8125</v>
      </c>
      <c r="P20" s="6">
        <v>-2.0625</v>
      </c>
      <c r="Q20" s="6">
        <v>-39.125</v>
      </c>
      <c r="R20" s="6">
        <v>-0.13416719436645499</v>
      </c>
      <c r="S20" s="6">
        <v>0.12116086483001701</v>
      </c>
      <c r="T20" s="6">
        <v>-8.4581971168518101E-3</v>
      </c>
      <c r="U20" s="6">
        <v>1.2372639179229701</v>
      </c>
      <c r="V20" s="6">
        <v>-33.249301910400398</v>
      </c>
      <c r="W20" s="6">
        <v>-17.5429286956787</v>
      </c>
    </row>
    <row r="21" spans="1:23" ht="18.95" customHeight="1">
      <c r="A21" s="4">
        <v>17</v>
      </c>
      <c r="B21" s="4">
        <v>341</v>
      </c>
      <c r="C21" s="4">
        <v>1</v>
      </c>
      <c r="D21" s="6">
        <v>0</v>
      </c>
      <c r="E21" s="6">
        <v>0</v>
      </c>
      <c r="F21" s="6">
        <v>6.25E-2</v>
      </c>
      <c r="G21" s="6">
        <v>0</v>
      </c>
      <c r="H21" s="6">
        <v>0</v>
      </c>
      <c r="I21" s="6">
        <v>1.6875</v>
      </c>
      <c r="J21" s="6">
        <v>-2.125</v>
      </c>
      <c r="K21" s="6">
        <v>-15.125</v>
      </c>
      <c r="L21" s="6">
        <v>-0.125</v>
      </c>
      <c r="M21" s="6">
        <v>0</v>
      </c>
      <c r="N21" s="6">
        <v>6.25E-2</v>
      </c>
      <c r="O21" s="6">
        <v>0.8125</v>
      </c>
      <c r="P21" s="6">
        <v>-2.0625</v>
      </c>
      <c r="Q21" s="6">
        <v>-39.125</v>
      </c>
      <c r="R21" s="6">
        <v>3.2374858856201198E-3</v>
      </c>
      <c r="S21" s="6">
        <v>-4.6777963638305699E-2</v>
      </c>
      <c r="T21" s="6">
        <v>-0.34433606266975397</v>
      </c>
      <c r="U21" s="6">
        <v>1.2469230890273999</v>
      </c>
      <c r="V21" s="6">
        <v>-33.240615844726598</v>
      </c>
      <c r="W21" s="6">
        <v>-17.545244216918899</v>
      </c>
    </row>
    <row r="22" spans="1:23" ht="18.95" customHeight="1">
      <c r="A22" s="4">
        <v>18</v>
      </c>
      <c r="B22" s="4">
        <v>361</v>
      </c>
      <c r="C22" s="4">
        <v>1</v>
      </c>
      <c r="D22" s="6">
        <v>0</v>
      </c>
      <c r="E22" s="6">
        <v>0</v>
      </c>
      <c r="F22" s="6">
        <v>6.25E-2</v>
      </c>
      <c r="G22" s="6">
        <v>0.125</v>
      </c>
      <c r="H22" s="6">
        <v>6.25E-2</v>
      </c>
      <c r="I22" s="6">
        <v>1.6875</v>
      </c>
      <c r="J22" s="6">
        <v>-2.125</v>
      </c>
      <c r="K22" s="6">
        <v>-15.125</v>
      </c>
      <c r="L22" s="6">
        <v>0</v>
      </c>
      <c r="M22" s="6">
        <v>0.125</v>
      </c>
      <c r="N22" s="6">
        <v>-6.25E-2</v>
      </c>
      <c r="O22" s="6">
        <v>0.8125</v>
      </c>
      <c r="P22" s="6">
        <v>-2.0625</v>
      </c>
      <c r="Q22" s="6">
        <v>-39.125</v>
      </c>
      <c r="R22" s="6">
        <v>-0.103632926940918</v>
      </c>
      <c r="S22" s="6">
        <v>-9.76443290710449E-4</v>
      </c>
      <c r="T22" s="6">
        <v>-0.13059562444686901</v>
      </c>
      <c r="U22" s="6">
        <v>1.24600565433502</v>
      </c>
      <c r="V22" s="6">
        <v>-33.241748809814503</v>
      </c>
      <c r="W22" s="6">
        <v>-17.5468235015869</v>
      </c>
    </row>
    <row r="23" spans="1:23" ht="18.95" customHeight="1">
      <c r="A23" s="4">
        <v>19</v>
      </c>
      <c r="B23" s="4">
        <v>384</v>
      </c>
      <c r="C23" s="4">
        <v>1</v>
      </c>
      <c r="D23" s="6">
        <v>0</v>
      </c>
      <c r="E23" s="6">
        <v>0</v>
      </c>
      <c r="F23" s="6">
        <v>0</v>
      </c>
      <c r="G23" s="6">
        <v>6.25E-2</v>
      </c>
      <c r="H23" s="6">
        <v>0</v>
      </c>
      <c r="I23" s="6">
        <v>1.6875</v>
      </c>
      <c r="J23" s="6">
        <v>-2.125</v>
      </c>
      <c r="K23" s="6">
        <v>-15.125</v>
      </c>
      <c r="L23" s="6">
        <v>0</v>
      </c>
      <c r="M23" s="6">
        <v>0.125</v>
      </c>
      <c r="N23" s="6">
        <v>-6.25E-2</v>
      </c>
      <c r="O23" s="6">
        <v>0.8125</v>
      </c>
      <c r="P23" s="6">
        <v>-2.0625</v>
      </c>
      <c r="Q23" s="6">
        <v>-39.125</v>
      </c>
      <c r="R23" s="6">
        <v>-0.118900060653687</v>
      </c>
      <c r="S23" s="6">
        <v>4.48250770568848E-2</v>
      </c>
      <c r="T23" s="6">
        <v>-0.26800018548965499</v>
      </c>
      <c r="U23" s="6">
        <v>1.2393945455551101</v>
      </c>
      <c r="V23" s="6">
        <v>-33.260341644287102</v>
      </c>
      <c r="W23" s="6">
        <v>-17.551567077636701</v>
      </c>
    </row>
    <row r="24" spans="1:23" ht="18.95" customHeight="1">
      <c r="A24" s="4">
        <v>20</v>
      </c>
      <c r="B24" s="4">
        <v>404</v>
      </c>
      <c r="C24" s="4">
        <v>1</v>
      </c>
      <c r="D24" s="6">
        <v>0</v>
      </c>
      <c r="E24" s="6">
        <v>0</v>
      </c>
      <c r="F24" s="6">
        <v>6.25E-2</v>
      </c>
      <c r="G24" s="6">
        <v>6.25E-2</v>
      </c>
      <c r="H24" s="6">
        <v>0</v>
      </c>
      <c r="I24" s="6">
        <v>1.6875</v>
      </c>
      <c r="J24" s="6">
        <v>-2.125</v>
      </c>
      <c r="K24" s="6">
        <v>-15.125</v>
      </c>
      <c r="L24" s="6">
        <v>-6.25E-2</v>
      </c>
      <c r="M24" s="6">
        <v>-6.25E-2</v>
      </c>
      <c r="N24" s="6">
        <v>0</v>
      </c>
      <c r="O24" s="6">
        <v>0.8125</v>
      </c>
      <c r="P24" s="6">
        <v>-2.0625</v>
      </c>
      <c r="Q24" s="6">
        <v>-39.125</v>
      </c>
      <c r="R24" s="6">
        <v>3.3771753311157199E-2</v>
      </c>
      <c r="S24" s="6">
        <v>0.24329829216003401</v>
      </c>
      <c r="T24" s="6">
        <v>-0.176397144794464</v>
      </c>
      <c r="U24" s="6">
        <v>1.23275017738342</v>
      </c>
      <c r="V24" s="6">
        <v>-33.2550048828125</v>
      </c>
      <c r="W24" s="6">
        <v>-17.552841186523398</v>
      </c>
    </row>
    <row r="25" spans="1:23" ht="18.95" customHeight="1">
      <c r="A25" s="4">
        <v>21</v>
      </c>
      <c r="B25" s="4">
        <v>425</v>
      </c>
      <c r="C25" s="4">
        <v>1</v>
      </c>
      <c r="D25" s="6">
        <v>0</v>
      </c>
      <c r="E25" s="6">
        <v>0</v>
      </c>
      <c r="F25" s="6">
        <v>-0.125</v>
      </c>
      <c r="G25" s="6">
        <v>0.3125</v>
      </c>
      <c r="H25" s="6">
        <v>-0.1875</v>
      </c>
      <c r="I25" s="6">
        <v>1.6875</v>
      </c>
      <c r="J25" s="6">
        <v>-2.125</v>
      </c>
      <c r="K25" s="6">
        <v>-15.125</v>
      </c>
      <c r="L25" s="6">
        <v>-6.25E-2</v>
      </c>
      <c r="M25" s="6">
        <v>-0.125</v>
      </c>
      <c r="N25" s="6">
        <v>0</v>
      </c>
      <c r="O25" s="6">
        <v>0.8125</v>
      </c>
      <c r="P25" s="6">
        <v>-2.0625</v>
      </c>
      <c r="Q25" s="6">
        <v>-39.125</v>
      </c>
      <c r="R25" s="6">
        <v>0.12537479400634799</v>
      </c>
      <c r="S25" s="6">
        <v>0.151695251464844</v>
      </c>
      <c r="T25" s="6">
        <v>-3.8992583751678501E-2</v>
      </c>
      <c r="U25" s="6">
        <v>1.2247014045715301</v>
      </c>
      <c r="V25" s="6">
        <v>-33.254981994628899</v>
      </c>
      <c r="W25" s="6">
        <v>-17.5538654327393</v>
      </c>
    </row>
    <row r="26" spans="1:23" ht="18.95" customHeight="1">
      <c r="A26" s="4">
        <v>22</v>
      </c>
      <c r="B26" s="4">
        <v>463</v>
      </c>
      <c r="C26" s="4">
        <v>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1.6875</v>
      </c>
      <c r="J26" s="6">
        <v>-2.125</v>
      </c>
      <c r="K26" s="6">
        <v>-15.125</v>
      </c>
      <c r="L26" s="6">
        <v>6.25E-2</v>
      </c>
      <c r="M26" s="6">
        <v>-6.25E-2</v>
      </c>
      <c r="N26" s="6">
        <v>6.25E-2</v>
      </c>
      <c r="O26" s="6">
        <v>0.8125</v>
      </c>
      <c r="P26" s="6">
        <v>-2.0625</v>
      </c>
      <c r="Q26" s="6">
        <v>-39.125</v>
      </c>
      <c r="R26" s="6">
        <v>-1.2029886245727499E-2</v>
      </c>
      <c r="S26" s="6">
        <v>4.48250770568848E-2</v>
      </c>
      <c r="T26" s="6">
        <v>0.20528227090835599</v>
      </c>
      <c r="U26" s="6">
        <v>1.21994733810425</v>
      </c>
      <c r="V26" s="6">
        <v>-33.252540588378899</v>
      </c>
      <c r="W26" s="6">
        <v>-17.551521301269499</v>
      </c>
    </row>
    <row r="27" spans="1:23" ht="18.95" customHeight="1">
      <c r="A27" s="4">
        <v>23</v>
      </c>
      <c r="B27" s="4">
        <v>484</v>
      </c>
      <c r="C27" s="4">
        <v>1</v>
      </c>
      <c r="D27" s="6">
        <v>0</v>
      </c>
      <c r="E27" s="6">
        <v>0</v>
      </c>
      <c r="F27" s="6">
        <v>0</v>
      </c>
      <c r="G27" s="6">
        <v>0</v>
      </c>
      <c r="H27" s="6">
        <v>0.125</v>
      </c>
      <c r="I27" s="6">
        <v>1.6875</v>
      </c>
      <c r="J27" s="6">
        <v>-2.125</v>
      </c>
      <c r="K27" s="6">
        <v>-15.125</v>
      </c>
      <c r="L27" s="6">
        <v>0</v>
      </c>
      <c r="M27" s="6">
        <v>-6.25E-2</v>
      </c>
      <c r="N27" s="6">
        <v>-6.25E-2</v>
      </c>
      <c r="O27" s="6">
        <v>0.8125</v>
      </c>
      <c r="P27" s="6">
        <v>-2.0625</v>
      </c>
      <c r="Q27" s="6">
        <v>-39.125</v>
      </c>
      <c r="R27" s="6">
        <v>0.12537479400634799</v>
      </c>
      <c r="S27" s="6">
        <v>1.42906904220581E-2</v>
      </c>
      <c r="T27" s="6">
        <v>6.7877650260925307E-2</v>
      </c>
      <c r="U27" s="6">
        <v>1.23181259632111</v>
      </c>
      <c r="V27" s="6">
        <v>-33.240848541259801</v>
      </c>
      <c r="W27" s="6">
        <v>-17.5530395507812</v>
      </c>
    </row>
    <row r="28" spans="1:23" ht="18.95" customHeight="1">
      <c r="A28" s="4">
        <v>24</v>
      </c>
      <c r="B28" s="4">
        <v>504</v>
      </c>
      <c r="C28" s="4">
        <v>1</v>
      </c>
      <c r="D28" s="6">
        <v>0</v>
      </c>
      <c r="E28" s="6">
        <v>0</v>
      </c>
      <c r="F28" s="6">
        <v>0</v>
      </c>
      <c r="G28" s="6">
        <v>0</v>
      </c>
      <c r="H28" s="6">
        <v>6.25E-2</v>
      </c>
      <c r="I28" s="6">
        <v>1.6875</v>
      </c>
      <c r="J28" s="6">
        <v>-2.125</v>
      </c>
      <c r="K28" s="6">
        <v>-15.125</v>
      </c>
      <c r="L28" s="6">
        <v>0</v>
      </c>
      <c r="M28" s="6">
        <v>0</v>
      </c>
      <c r="N28" s="6">
        <v>0</v>
      </c>
      <c r="O28" s="6">
        <v>0.8125</v>
      </c>
      <c r="P28" s="6">
        <v>-2.0625</v>
      </c>
      <c r="Q28" s="6">
        <v>-39.125</v>
      </c>
      <c r="R28" s="6">
        <v>-1.2029886245727499E-2</v>
      </c>
      <c r="S28" s="6">
        <v>4.48250770568848E-2</v>
      </c>
      <c r="T28" s="6">
        <v>-0.191664308309555</v>
      </c>
      <c r="U28" s="6">
        <v>1.2249281406402599</v>
      </c>
      <c r="V28" s="6">
        <v>-33.242324829101598</v>
      </c>
      <c r="W28" s="6">
        <v>-17.5552673339844</v>
      </c>
    </row>
    <row r="29" spans="1:23" ht="18.95" customHeight="1">
      <c r="A29" s="4">
        <v>25</v>
      </c>
      <c r="B29" s="4">
        <v>525</v>
      </c>
      <c r="C29" s="4">
        <v>1</v>
      </c>
      <c r="D29" s="6">
        <v>0</v>
      </c>
      <c r="E29" s="6">
        <v>0</v>
      </c>
      <c r="F29" s="6">
        <v>6.25E-2</v>
      </c>
      <c r="G29" s="6">
        <v>0</v>
      </c>
      <c r="H29" s="6">
        <v>6.25E-2</v>
      </c>
      <c r="I29" s="6">
        <v>1.6875</v>
      </c>
      <c r="J29" s="6">
        <v>-2.125</v>
      </c>
      <c r="K29" s="6">
        <v>-15.125</v>
      </c>
      <c r="L29" s="6">
        <v>6.25E-2</v>
      </c>
      <c r="M29" s="6">
        <v>0</v>
      </c>
      <c r="N29" s="6">
        <v>6.25E-2</v>
      </c>
      <c r="O29" s="6">
        <v>0.8125</v>
      </c>
      <c r="P29" s="6">
        <v>-2.0625</v>
      </c>
      <c r="Q29" s="6">
        <v>-39.125</v>
      </c>
      <c r="R29" s="6">
        <v>3.3771753311157199E-2</v>
      </c>
      <c r="S29" s="6">
        <v>0.136428117752075</v>
      </c>
      <c r="T29" s="6">
        <v>6.80899620056152E-3</v>
      </c>
      <c r="U29" s="6">
        <v>1.2344896793365501</v>
      </c>
      <c r="V29" s="6">
        <v>-33.238700866699197</v>
      </c>
      <c r="W29" s="6">
        <v>-17.554214477539102</v>
      </c>
    </row>
    <row r="30" spans="1:23" ht="18.95" customHeight="1">
      <c r="A30" s="4">
        <v>26</v>
      </c>
      <c r="B30" s="4">
        <v>545</v>
      </c>
      <c r="C30" s="4">
        <v>1</v>
      </c>
      <c r="D30" s="6">
        <v>0</v>
      </c>
      <c r="E30" s="6">
        <v>0</v>
      </c>
      <c r="F30" s="6">
        <v>0</v>
      </c>
      <c r="G30" s="6">
        <v>6.25E-2</v>
      </c>
      <c r="H30" s="6">
        <v>0</v>
      </c>
      <c r="I30" s="6">
        <v>1.6875</v>
      </c>
      <c r="J30" s="6">
        <v>-2.125</v>
      </c>
      <c r="K30" s="6">
        <v>-15.125</v>
      </c>
      <c r="L30" s="6">
        <v>0</v>
      </c>
      <c r="M30" s="6">
        <v>6.25E-2</v>
      </c>
      <c r="N30" s="6">
        <v>-6.25E-2</v>
      </c>
      <c r="O30" s="6">
        <v>0.8125</v>
      </c>
      <c r="P30" s="6">
        <v>-2.0625</v>
      </c>
      <c r="Q30" s="6">
        <v>-39.125</v>
      </c>
      <c r="R30" s="6">
        <v>3.3771753311157199E-2</v>
      </c>
      <c r="S30" s="6">
        <v>0.24329829216003401</v>
      </c>
      <c r="T30" s="6">
        <v>-0.115328431129456</v>
      </c>
      <c r="U30" s="6">
        <v>1.2298681735992401</v>
      </c>
      <c r="V30" s="6">
        <v>-33.232662200927699</v>
      </c>
      <c r="W30" s="6">
        <v>-17.556640625</v>
      </c>
    </row>
    <row r="31" spans="1:23" ht="18.95" customHeight="1">
      <c r="A31" s="4">
        <v>27</v>
      </c>
      <c r="B31" s="4">
        <v>565</v>
      </c>
      <c r="C31" s="4">
        <v>1</v>
      </c>
      <c r="D31" s="6">
        <v>0</v>
      </c>
      <c r="E31" s="6">
        <v>0</v>
      </c>
      <c r="F31" s="6">
        <v>6.25E-2</v>
      </c>
      <c r="G31" s="6">
        <v>-6.25E-2</v>
      </c>
      <c r="H31" s="6">
        <v>0</v>
      </c>
      <c r="I31" s="6">
        <v>1.6875</v>
      </c>
      <c r="J31" s="6">
        <v>-2.125</v>
      </c>
      <c r="K31" s="6">
        <v>-15.125</v>
      </c>
      <c r="L31" s="6">
        <v>6.25E-2</v>
      </c>
      <c r="M31" s="6">
        <v>-0.1875</v>
      </c>
      <c r="N31" s="6">
        <v>0</v>
      </c>
      <c r="O31" s="6">
        <v>0.8125</v>
      </c>
      <c r="P31" s="6">
        <v>-2.0625</v>
      </c>
      <c r="Q31" s="6">
        <v>-39.125</v>
      </c>
      <c r="R31" s="6">
        <v>-0.30210614204406699</v>
      </c>
      <c r="S31" s="6">
        <v>-4.6777963638305699E-2</v>
      </c>
      <c r="T31" s="6">
        <v>-0.26800018548965499</v>
      </c>
      <c r="U31" s="6">
        <v>1.22655642032623</v>
      </c>
      <c r="V31" s="6">
        <v>-33.208782196044901</v>
      </c>
      <c r="W31" s="6">
        <v>-17.559047698974599</v>
      </c>
    </row>
    <row r="32" spans="1:23" ht="18.95" customHeight="1">
      <c r="A32" s="4">
        <v>28</v>
      </c>
      <c r="B32" s="4">
        <v>585</v>
      </c>
      <c r="C32" s="4">
        <v>1</v>
      </c>
      <c r="D32" s="6">
        <v>0</v>
      </c>
      <c r="E32" s="6">
        <v>0</v>
      </c>
      <c r="F32" s="6">
        <v>0</v>
      </c>
      <c r="G32" s="6">
        <v>-6.25E-2</v>
      </c>
      <c r="H32" s="6">
        <v>0</v>
      </c>
      <c r="I32" s="6">
        <v>1.6875</v>
      </c>
      <c r="J32" s="6">
        <v>-2.125</v>
      </c>
      <c r="K32" s="6">
        <v>-15.125</v>
      </c>
      <c r="L32" s="6">
        <v>-6.25E-2</v>
      </c>
      <c r="M32" s="6">
        <v>-0.125</v>
      </c>
      <c r="N32" s="6">
        <v>0</v>
      </c>
      <c r="O32" s="6">
        <v>0.8125</v>
      </c>
      <c r="P32" s="6">
        <v>-2.0625</v>
      </c>
      <c r="Q32" s="6">
        <v>-39.125</v>
      </c>
      <c r="R32" s="6">
        <v>3.2374858856201198E-3</v>
      </c>
      <c r="S32" s="6">
        <v>4.48250770568848E-2</v>
      </c>
      <c r="T32" s="6">
        <v>-2.3725390434265099E-2</v>
      </c>
      <c r="U32" s="6">
        <v>1.22263383865356</v>
      </c>
      <c r="V32" s="6">
        <v>-33.215908050537102</v>
      </c>
      <c r="W32" s="6">
        <v>-17.5616130828857</v>
      </c>
    </row>
    <row r="33" spans="1:23" ht="18.95" customHeight="1">
      <c r="A33" s="4">
        <v>29</v>
      </c>
      <c r="B33" s="4">
        <v>606</v>
      </c>
      <c r="C33" s="4">
        <v>1</v>
      </c>
      <c r="D33" s="6">
        <v>0</v>
      </c>
      <c r="E33" s="6">
        <v>0</v>
      </c>
      <c r="F33" s="6">
        <v>6.25E-2</v>
      </c>
      <c r="G33" s="6">
        <v>0</v>
      </c>
      <c r="H33" s="6">
        <v>6.25E-2</v>
      </c>
      <c r="I33" s="6">
        <v>1.6875</v>
      </c>
      <c r="J33" s="6">
        <v>-2.125</v>
      </c>
      <c r="K33" s="6">
        <v>-15.125</v>
      </c>
      <c r="L33" s="6">
        <v>-6.25E-2</v>
      </c>
      <c r="M33" s="6">
        <v>0</v>
      </c>
      <c r="N33" s="6">
        <v>-6.25E-2</v>
      </c>
      <c r="O33" s="6">
        <v>0.8125</v>
      </c>
      <c r="P33" s="6">
        <v>-2.0625</v>
      </c>
      <c r="Q33" s="6">
        <v>-39.125</v>
      </c>
      <c r="R33" s="6">
        <v>-8.8365554809570299E-2</v>
      </c>
      <c r="S33" s="6">
        <v>-7.7312350273132296E-2</v>
      </c>
      <c r="T33" s="6">
        <v>-8.4581971168518101E-3</v>
      </c>
      <c r="U33" s="6">
        <v>1.2164214849471999</v>
      </c>
      <c r="V33" s="6">
        <v>-33.226112365722699</v>
      </c>
      <c r="W33" s="6">
        <v>-17.564191818237301</v>
      </c>
    </row>
    <row r="34" spans="1:23" ht="18.95" customHeight="1">
      <c r="A34" s="4">
        <v>30</v>
      </c>
      <c r="B34" s="4">
        <v>628</v>
      </c>
      <c r="C34" s="4">
        <v>1</v>
      </c>
      <c r="D34" s="6">
        <v>0</v>
      </c>
      <c r="E34" s="6">
        <v>0</v>
      </c>
      <c r="F34" s="6">
        <v>6.25E-2</v>
      </c>
      <c r="G34" s="6">
        <v>0</v>
      </c>
      <c r="H34" s="6">
        <v>0.125</v>
      </c>
      <c r="I34" s="6">
        <v>1.6875</v>
      </c>
      <c r="J34" s="6">
        <v>-2.125</v>
      </c>
      <c r="K34" s="6">
        <v>-15.125</v>
      </c>
      <c r="L34" s="6">
        <v>0</v>
      </c>
      <c r="M34" s="6">
        <v>-6.25E-2</v>
      </c>
      <c r="N34" s="6">
        <v>0.125</v>
      </c>
      <c r="O34" s="6">
        <v>0.8125</v>
      </c>
      <c r="P34" s="6">
        <v>-2.0625</v>
      </c>
      <c r="Q34" s="6">
        <v>-39.125</v>
      </c>
      <c r="R34" s="6">
        <v>-0.17996859550476099</v>
      </c>
      <c r="S34" s="6">
        <v>-6.2045216560363797E-2</v>
      </c>
      <c r="T34" s="6">
        <v>-8.4581971168518101E-3</v>
      </c>
      <c r="U34" s="6">
        <v>1.2300708293914799</v>
      </c>
      <c r="V34" s="6">
        <v>-33.219169616699197</v>
      </c>
      <c r="W34" s="6">
        <v>-17.566184997558601</v>
      </c>
    </row>
    <row r="35" spans="1:23" ht="18.95" customHeight="1">
      <c r="A35" s="4">
        <v>31</v>
      </c>
      <c r="B35" s="4">
        <v>648</v>
      </c>
      <c r="C35" s="4">
        <v>1</v>
      </c>
      <c r="D35" s="6">
        <v>0</v>
      </c>
      <c r="E35" s="6">
        <v>0</v>
      </c>
      <c r="F35" s="6">
        <v>0</v>
      </c>
      <c r="G35" s="6">
        <v>0.125</v>
      </c>
      <c r="H35" s="6">
        <v>0</v>
      </c>
      <c r="I35" s="6">
        <v>1.6875</v>
      </c>
      <c r="J35" s="6">
        <v>-2.125</v>
      </c>
      <c r="K35" s="6">
        <v>-15.125</v>
      </c>
      <c r="L35" s="6">
        <v>0</v>
      </c>
      <c r="M35" s="6">
        <v>-6.25E-2</v>
      </c>
      <c r="N35" s="6">
        <v>6.25E-2</v>
      </c>
      <c r="O35" s="6">
        <v>0.8125</v>
      </c>
      <c r="P35" s="6">
        <v>-2.0625</v>
      </c>
      <c r="Q35" s="6">
        <v>-39.125</v>
      </c>
      <c r="R35" s="6">
        <v>9.4840526580810505E-2</v>
      </c>
      <c r="S35" s="6">
        <v>-9.76443290710449E-4</v>
      </c>
      <c r="T35" s="6">
        <v>-0.161129951477051</v>
      </c>
      <c r="U35" s="6">
        <v>1.2281517982482899</v>
      </c>
      <c r="V35" s="6">
        <v>-33.218742370605497</v>
      </c>
      <c r="W35" s="6">
        <v>-17.568115234375</v>
      </c>
    </row>
    <row r="36" spans="1:23" ht="18.95" customHeight="1">
      <c r="A36" s="4">
        <v>32</v>
      </c>
      <c r="B36" s="4">
        <v>669</v>
      </c>
      <c r="C36" s="4">
        <v>1</v>
      </c>
      <c r="D36" s="6">
        <v>0</v>
      </c>
      <c r="E36" s="6">
        <v>0</v>
      </c>
      <c r="F36" s="6">
        <v>0</v>
      </c>
      <c r="G36" s="6">
        <v>0</v>
      </c>
      <c r="H36" s="6">
        <v>6.25E-2</v>
      </c>
      <c r="I36" s="6">
        <v>1.6875</v>
      </c>
      <c r="J36" s="6">
        <v>-2.125</v>
      </c>
      <c r="K36" s="6">
        <v>-15.125</v>
      </c>
      <c r="L36" s="6">
        <v>-0.125</v>
      </c>
      <c r="M36" s="6">
        <v>0.125</v>
      </c>
      <c r="N36" s="6">
        <v>6.25E-2</v>
      </c>
      <c r="O36" s="6">
        <v>0.8125</v>
      </c>
      <c r="P36" s="6">
        <v>-2.0625</v>
      </c>
      <c r="Q36" s="6">
        <v>-39.125</v>
      </c>
      <c r="R36" s="6">
        <v>9.4840526580810505E-2</v>
      </c>
      <c r="S36" s="6">
        <v>1.42906904220581E-2</v>
      </c>
      <c r="T36" s="6">
        <v>2.2076129913330099E-2</v>
      </c>
      <c r="U36" s="6">
        <v>1.22424805164337</v>
      </c>
      <c r="V36" s="6">
        <v>-33.231285095214801</v>
      </c>
      <c r="W36" s="6">
        <v>-17.570131301879901</v>
      </c>
    </row>
    <row r="37" spans="1:23" ht="18.95" customHeight="1">
      <c r="A37" s="4">
        <v>33</v>
      </c>
      <c r="B37" s="4">
        <v>691</v>
      </c>
      <c r="C37" s="4">
        <v>1</v>
      </c>
      <c r="D37" s="6">
        <v>0</v>
      </c>
      <c r="E37" s="6">
        <v>0</v>
      </c>
      <c r="F37" s="6">
        <v>-6.25E-2</v>
      </c>
      <c r="G37" s="6">
        <v>0.1875</v>
      </c>
      <c r="H37" s="6">
        <v>-0.125</v>
      </c>
      <c r="I37" s="6">
        <v>1.6875</v>
      </c>
      <c r="J37" s="6">
        <v>-2.125</v>
      </c>
      <c r="K37" s="6">
        <v>-15.125</v>
      </c>
      <c r="L37" s="6">
        <v>6.25E-2</v>
      </c>
      <c r="M37" s="6">
        <v>0</v>
      </c>
      <c r="N37" s="6">
        <v>-6.25E-2</v>
      </c>
      <c r="O37" s="6">
        <v>0.8125</v>
      </c>
      <c r="P37" s="6">
        <v>-2.0625</v>
      </c>
      <c r="Q37" s="6">
        <v>-39.125</v>
      </c>
      <c r="R37" s="6">
        <v>-5.7831287384033203E-2</v>
      </c>
      <c r="S37" s="6">
        <v>2.9557824134826698E-2</v>
      </c>
      <c r="T37" s="6">
        <v>-0.13059562444686901</v>
      </c>
      <c r="U37" s="6">
        <v>1.2398257255554199</v>
      </c>
      <c r="V37" s="6">
        <v>-33.229019165039098</v>
      </c>
      <c r="W37" s="6">
        <v>-17.57053565979</v>
      </c>
    </row>
    <row r="38" spans="1:23" ht="18.95" customHeight="1">
      <c r="A38" s="4">
        <v>34</v>
      </c>
      <c r="B38" s="4">
        <v>712</v>
      </c>
      <c r="C38" s="4">
        <v>1</v>
      </c>
      <c r="D38" s="6">
        <v>0</v>
      </c>
      <c r="E38" s="6">
        <v>0</v>
      </c>
      <c r="F38" s="6">
        <v>-6.25E-2</v>
      </c>
      <c r="G38" s="6">
        <v>-6.25E-2</v>
      </c>
      <c r="H38" s="6">
        <v>-6.25E-2</v>
      </c>
      <c r="I38" s="6">
        <v>1.6875</v>
      </c>
      <c r="J38" s="6">
        <v>-2.125</v>
      </c>
      <c r="K38" s="6">
        <v>-15.125</v>
      </c>
      <c r="L38" s="6">
        <v>0</v>
      </c>
      <c r="M38" s="6">
        <v>-6.25E-2</v>
      </c>
      <c r="N38" s="6">
        <v>-6.25E-2</v>
      </c>
      <c r="O38" s="6">
        <v>0.8125</v>
      </c>
      <c r="P38" s="6">
        <v>-2.0625</v>
      </c>
      <c r="Q38" s="6">
        <v>-39.125</v>
      </c>
      <c r="R38" s="6">
        <v>7.9573392868042006E-2</v>
      </c>
      <c r="S38" s="6">
        <v>6.0092210769653299E-2</v>
      </c>
      <c r="T38" s="6">
        <v>-6.9526910781860393E-2</v>
      </c>
      <c r="U38" s="6">
        <v>1.2346537113189699</v>
      </c>
      <c r="V38" s="6">
        <v>-33.228878021240199</v>
      </c>
      <c r="W38" s="6">
        <v>-17.573825836181602</v>
      </c>
    </row>
    <row r="39" spans="1:23" ht="18.95" customHeight="1">
      <c r="A39" s="4">
        <v>35</v>
      </c>
      <c r="B39" s="4">
        <v>732</v>
      </c>
      <c r="C39" s="4">
        <v>1</v>
      </c>
      <c r="D39" s="6">
        <v>0</v>
      </c>
      <c r="E39" s="6">
        <v>0</v>
      </c>
      <c r="F39" s="6">
        <v>-6.25E-2</v>
      </c>
      <c r="G39" s="6">
        <v>0</v>
      </c>
      <c r="H39" s="6">
        <v>-0.125</v>
      </c>
      <c r="I39" s="6">
        <v>1.6875</v>
      </c>
      <c r="J39" s="6">
        <v>-2.125</v>
      </c>
      <c r="K39" s="6">
        <v>-15.125</v>
      </c>
      <c r="L39" s="6">
        <v>0</v>
      </c>
      <c r="M39" s="6">
        <v>6.25E-2</v>
      </c>
      <c r="N39" s="6">
        <v>0.125</v>
      </c>
      <c r="O39" s="6">
        <v>0.8125</v>
      </c>
      <c r="P39" s="6">
        <v>-2.0625</v>
      </c>
      <c r="Q39" s="6">
        <v>-39.125</v>
      </c>
      <c r="R39" s="6">
        <v>3.3771753311157199E-2</v>
      </c>
      <c r="S39" s="6">
        <v>-4.6777963638305699E-2</v>
      </c>
      <c r="T39" s="6">
        <v>-0.23746582865714999</v>
      </c>
      <c r="U39" s="6">
        <v>1.2419618368148799</v>
      </c>
      <c r="V39" s="6">
        <v>-33.238487243652301</v>
      </c>
      <c r="W39" s="6">
        <v>-17.577476501464801</v>
      </c>
    </row>
    <row r="40" spans="1:23" ht="18.95" customHeight="1">
      <c r="A40" s="4">
        <v>36</v>
      </c>
      <c r="B40" s="4">
        <v>752</v>
      </c>
      <c r="C40" s="4">
        <v>1</v>
      </c>
      <c r="D40" s="6">
        <v>0</v>
      </c>
      <c r="E40" s="6">
        <v>0</v>
      </c>
      <c r="F40" s="6">
        <v>0</v>
      </c>
      <c r="G40" s="6">
        <v>0.125</v>
      </c>
      <c r="H40" s="6">
        <v>-6.25E-2</v>
      </c>
      <c r="I40" s="6">
        <v>1.6875</v>
      </c>
      <c r="J40" s="6">
        <v>-2.125</v>
      </c>
      <c r="K40" s="6">
        <v>-15.125</v>
      </c>
      <c r="L40" s="6">
        <v>-0.125</v>
      </c>
      <c r="M40" s="6">
        <v>-0.125</v>
      </c>
      <c r="N40" s="6">
        <v>0.125</v>
      </c>
      <c r="O40" s="6">
        <v>0.8125</v>
      </c>
      <c r="P40" s="6">
        <v>-2.0625</v>
      </c>
      <c r="Q40" s="6">
        <v>-39.125</v>
      </c>
      <c r="R40" s="6">
        <v>-8.8365554809570299E-2</v>
      </c>
      <c r="S40" s="6">
        <v>-9.76443290710449E-4</v>
      </c>
      <c r="T40" s="6">
        <v>-0.115328431129456</v>
      </c>
      <c r="U40" s="6">
        <v>1.2353696823120099</v>
      </c>
      <c r="V40" s="6">
        <v>-33.2400512695312</v>
      </c>
      <c r="W40" s="6">
        <v>-17.578584671020501</v>
      </c>
    </row>
    <row r="41" spans="1:23" ht="18.95" customHeight="1">
      <c r="A41" s="4">
        <v>37</v>
      </c>
      <c r="B41" s="4">
        <v>773</v>
      </c>
      <c r="C41" s="4">
        <v>1</v>
      </c>
      <c r="D41" s="6">
        <v>0</v>
      </c>
      <c r="E41" s="6">
        <v>0</v>
      </c>
      <c r="F41" s="6">
        <v>-6.25E-2</v>
      </c>
      <c r="G41" s="6">
        <v>0.125</v>
      </c>
      <c r="H41" s="6">
        <v>0.125</v>
      </c>
      <c r="I41" s="6">
        <v>1.6875</v>
      </c>
      <c r="J41" s="6">
        <v>-2.125</v>
      </c>
      <c r="K41" s="6">
        <v>-15.125</v>
      </c>
      <c r="L41" s="6">
        <v>0.125</v>
      </c>
      <c r="M41" s="6">
        <v>6.25E-2</v>
      </c>
      <c r="N41" s="6">
        <v>0.125</v>
      </c>
      <c r="O41" s="6">
        <v>0.8125</v>
      </c>
      <c r="P41" s="6">
        <v>-2.0625</v>
      </c>
      <c r="Q41" s="6">
        <v>-39.125</v>
      </c>
      <c r="R41" s="6">
        <v>-2.7297019958496101E-2</v>
      </c>
      <c r="S41" s="6">
        <v>1.42906904220581E-2</v>
      </c>
      <c r="T41" s="6">
        <v>-0.115328431129456</v>
      </c>
      <c r="U41" s="6">
        <v>1.2474279403686499</v>
      </c>
      <c r="V41" s="6">
        <v>-33.217235565185497</v>
      </c>
      <c r="W41" s="6">
        <v>-17.5796928405762</v>
      </c>
    </row>
    <row r="42" spans="1:23" ht="18.95" customHeight="1">
      <c r="A42" s="4">
        <v>38</v>
      </c>
      <c r="B42" s="4">
        <v>795</v>
      </c>
      <c r="C42" s="4">
        <v>1</v>
      </c>
      <c r="D42" s="6">
        <v>0</v>
      </c>
      <c r="E42" s="6">
        <v>0</v>
      </c>
      <c r="F42" s="6">
        <v>0</v>
      </c>
      <c r="G42" s="6">
        <v>0.125</v>
      </c>
      <c r="H42" s="6">
        <v>-0.125</v>
      </c>
      <c r="I42" s="6">
        <v>1.6875</v>
      </c>
      <c r="J42" s="6">
        <v>-2.125</v>
      </c>
      <c r="K42" s="6">
        <v>-15.125</v>
      </c>
      <c r="L42" s="6">
        <v>-6.25E-2</v>
      </c>
      <c r="M42" s="6">
        <v>-6.25E-2</v>
      </c>
      <c r="N42" s="6">
        <v>6.25E-2</v>
      </c>
      <c r="O42" s="6">
        <v>0.8125</v>
      </c>
      <c r="P42" s="6">
        <v>-2.0625</v>
      </c>
      <c r="Q42" s="6">
        <v>-39.125</v>
      </c>
      <c r="R42" s="6">
        <v>6.4306020736694294E-2</v>
      </c>
      <c r="S42" s="6">
        <v>-0.123113870620728</v>
      </c>
      <c r="T42" s="6">
        <v>-2.3725390434265099E-2</v>
      </c>
      <c r="U42" s="6">
        <v>1.2380661964416499</v>
      </c>
      <c r="V42" s="6">
        <v>-33.220329284667997</v>
      </c>
      <c r="W42" s="6">
        <v>-17.5818691253662</v>
      </c>
    </row>
    <row r="43" spans="1:23" ht="18.95" customHeight="1">
      <c r="A43" s="4">
        <v>39</v>
      </c>
      <c r="B43" s="4">
        <v>816</v>
      </c>
      <c r="C43" s="4">
        <v>1</v>
      </c>
      <c r="D43" s="6">
        <v>0</v>
      </c>
      <c r="E43" s="6">
        <v>0</v>
      </c>
      <c r="F43" s="6">
        <v>-6.25E-2</v>
      </c>
      <c r="G43" s="6">
        <v>0.125</v>
      </c>
      <c r="H43" s="6">
        <v>-6.25E-2</v>
      </c>
      <c r="I43" s="6">
        <v>1.6875</v>
      </c>
      <c r="J43" s="6">
        <v>-2.125</v>
      </c>
      <c r="K43" s="6">
        <v>-15.125</v>
      </c>
      <c r="L43" s="6">
        <v>0</v>
      </c>
      <c r="M43" s="6">
        <v>0</v>
      </c>
      <c r="N43" s="6">
        <v>6.25E-2</v>
      </c>
      <c r="O43" s="6">
        <v>0.8125</v>
      </c>
      <c r="P43" s="6">
        <v>-2.0625</v>
      </c>
      <c r="Q43" s="6">
        <v>-39.125</v>
      </c>
      <c r="R43" s="6">
        <v>-0.118900060653687</v>
      </c>
      <c r="S43" s="6">
        <v>-3.1510829925537102E-2</v>
      </c>
      <c r="T43" s="6">
        <v>-0.13059562444686901</v>
      </c>
      <c r="U43" s="6">
        <v>1.24088478088379</v>
      </c>
      <c r="V43" s="6">
        <v>-33.218181610107401</v>
      </c>
      <c r="W43" s="6">
        <v>-17.5816860198975</v>
      </c>
    </row>
    <row r="44" spans="1:23" ht="18.95" customHeight="1">
      <c r="A44" s="4">
        <v>40</v>
      </c>
      <c r="B44" s="4">
        <v>836</v>
      </c>
      <c r="C44" s="4">
        <v>1</v>
      </c>
      <c r="D44" s="6">
        <v>0</v>
      </c>
      <c r="E44" s="6">
        <v>0</v>
      </c>
      <c r="F44" s="6">
        <v>-0.125</v>
      </c>
      <c r="G44" s="6">
        <v>6.25E-2</v>
      </c>
      <c r="H44" s="6">
        <v>0.125</v>
      </c>
      <c r="I44" s="6">
        <v>1.6875</v>
      </c>
      <c r="J44" s="6">
        <v>-2.125</v>
      </c>
      <c r="K44" s="6">
        <v>-15.125</v>
      </c>
      <c r="L44" s="6">
        <v>-0.125</v>
      </c>
      <c r="M44" s="6">
        <v>0</v>
      </c>
      <c r="N44" s="6">
        <v>6.25E-2</v>
      </c>
      <c r="O44" s="6">
        <v>0.8125</v>
      </c>
      <c r="P44" s="6">
        <v>-2.0625</v>
      </c>
      <c r="Q44" s="6">
        <v>-39.125</v>
      </c>
      <c r="R44" s="6">
        <v>-4.25641536712646E-2</v>
      </c>
      <c r="S44" s="6">
        <v>0.166962385177612</v>
      </c>
      <c r="T44" s="6">
        <v>-8.4794104099273696E-2</v>
      </c>
      <c r="U44" s="6">
        <v>1.2399761676788299</v>
      </c>
      <c r="V44" s="6">
        <v>-33.219089508056598</v>
      </c>
      <c r="W44" s="6">
        <v>-17.582921981811499</v>
      </c>
    </row>
    <row r="45" spans="1:23" ht="18.95" customHeight="1">
      <c r="A45" s="4">
        <v>41</v>
      </c>
      <c r="B45" s="4">
        <v>868</v>
      </c>
      <c r="C45" s="4">
        <v>1</v>
      </c>
      <c r="D45" s="6">
        <v>0</v>
      </c>
      <c r="E45" s="6">
        <v>0</v>
      </c>
      <c r="F45" s="6">
        <v>-6.25E-2</v>
      </c>
      <c r="G45" s="6">
        <v>-6.25E-2</v>
      </c>
      <c r="H45" s="6">
        <v>-6.25E-2</v>
      </c>
      <c r="I45" s="6">
        <v>1.6875</v>
      </c>
      <c r="J45" s="6">
        <v>-2.125</v>
      </c>
      <c r="K45" s="6">
        <v>-15.125</v>
      </c>
      <c r="L45" s="6">
        <v>-0.125</v>
      </c>
      <c r="M45" s="6">
        <v>6.25E-2</v>
      </c>
      <c r="N45" s="6">
        <v>-0.125</v>
      </c>
      <c r="O45" s="6">
        <v>0.8125</v>
      </c>
      <c r="P45" s="6">
        <v>-2.0625</v>
      </c>
      <c r="Q45" s="6">
        <v>-39.125</v>
      </c>
      <c r="R45" s="6">
        <v>7.9573392868042006E-2</v>
      </c>
      <c r="S45" s="6">
        <v>-0.24525129795074499</v>
      </c>
      <c r="T45" s="6">
        <v>6.80899620056152E-3</v>
      </c>
      <c r="U45" s="6">
        <v>1.2410911321639999</v>
      </c>
      <c r="V45" s="6">
        <v>-33.225311279296903</v>
      </c>
      <c r="W45" s="6">
        <v>-17.5862827301025</v>
      </c>
    </row>
    <row r="46" spans="1:23" ht="18.95" customHeight="1">
      <c r="A46" s="4">
        <v>42</v>
      </c>
      <c r="B46" s="4">
        <v>888</v>
      </c>
      <c r="C46" s="4">
        <v>1</v>
      </c>
      <c r="D46" s="6">
        <v>0</v>
      </c>
      <c r="E46" s="6">
        <v>0</v>
      </c>
      <c r="F46" s="6">
        <v>-6.25E-2</v>
      </c>
      <c r="G46" s="6">
        <v>0</v>
      </c>
      <c r="H46" s="6">
        <v>-0.125</v>
      </c>
      <c r="I46" s="6">
        <v>1.6875</v>
      </c>
      <c r="J46" s="6">
        <v>-2.125</v>
      </c>
      <c r="K46" s="6">
        <v>-15.125</v>
      </c>
      <c r="L46" s="6">
        <v>0</v>
      </c>
      <c r="M46" s="6">
        <v>-0.125</v>
      </c>
      <c r="N46" s="6">
        <v>0</v>
      </c>
      <c r="O46" s="6">
        <v>0.8125</v>
      </c>
      <c r="P46" s="6">
        <v>-2.0625</v>
      </c>
      <c r="Q46" s="6">
        <v>-39.125</v>
      </c>
      <c r="R46" s="6">
        <v>-0.103632926940918</v>
      </c>
      <c r="S46" s="6">
        <v>4.48250770568848E-2</v>
      </c>
      <c r="T46" s="6">
        <v>6.80899620056152E-3</v>
      </c>
      <c r="U46" s="6">
        <v>1.2328897714614899</v>
      </c>
      <c r="V46" s="6">
        <v>-33.230216979980497</v>
      </c>
      <c r="W46" s="6">
        <v>-17.588130950927699</v>
      </c>
    </row>
    <row r="47" spans="1:23" ht="18.95" customHeight="1">
      <c r="A47" s="4">
        <v>43</v>
      </c>
      <c r="B47" s="4">
        <v>909</v>
      </c>
      <c r="C47" s="4">
        <v>1</v>
      </c>
      <c r="D47" s="6">
        <v>0</v>
      </c>
      <c r="E47" s="6">
        <v>0</v>
      </c>
      <c r="F47" s="6">
        <v>-6.25E-2</v>
      </c>
      <c r="G47" s="6">
        <v>0.125</v>
      </c>
      <c r="H47" s="6">
        <v>0</v>
      </c>
      <c r="I47" s="6">
        <v>1.6875</v>
      </c>
      <c r="J47" s="6">
        <v>-2.125</v>
      </c>
      <c r="K47" s="6">
        <v>-15.125</v>
      </c>
      <c r="L47" s="6">
        <v>0</v>
      </c>
      <c r="M47" s="6">
        <v>0.125</v>
      </c>
      <c r="N47" s="6">
        <v>0</v>
      </c>
      <c r="O47" s="6">
        <v>0.8125</v>
      </c>
      <c r="P47" s="6">
        <v>-2.0625</v>
      </c>
      <c r="Q47" s="6">
        <v>-39.125</v>
      </c>
      <c r="R47" s="6">
        <v>-4.25641536712646E-2</v>
      </c>
      <c r="S47" s="6">
        <v>-6.2045216560363797E-2</v>
      </c>
      <c r="T47" s="6">
        <v>-8.4581971168518101E-3</v>
      </c>
      <c r="U47" s="6">
        <v>1.2293068170547501</v>
      </c>
      <c r="V47" s="6">
        <v>-33.228683471679702</v>
      </c>
      <c r="W47" s="6">
        <v>-17.589368820190401</v>
      </c>
    </row>
    <row r="48" spans="1:23" ht="18.95" customHeight="1">
      <c r="A48" s="4">
        <v>44</v>
      </c>
      <c r="B48" s="4">
        <v>929</v>
      </c>
      <c r="C48" s="4">
        <v>1</v>
      </c>
      <c r="D48" s="6">
        <v>0</v>
      </c>
      <c r="E48" s="6">
        <v>0</v>
      </c>
      <c r="F48" s="6">
        <v>6.25E-2</v>
      </c>
      <c r="G48" s="6">
        <v>0.1875</v>
      </c>
      <c r="H48" s="6">
        <v>6.25E-2</v>
      </c>
      <c r="I48" s="6">
        <v>1.6875</v>
      </c>
      <c r="J48" s="6">
        <v>-2.125</v>
      </c>
      <c r="K48" s="6">
        <v>-15.125</v>
      </c>
      <c r="L48" s="6">
        <v>-6.25E-2</v>
      </c>
      <c r="M48" s="6">
        <v>0</v>
      </c>
      <c r="N48" s="6">
        <v>-6.25E-2</v>
      </c>
      <c r="O48" s="6">
        <v>0.8125</v>
      </c>
      <c r="P48" s="6">
        <v>-2.0625</v>
      </c>
      <c r="Q48" s="6">
        <v>-39.125</v>
      </c>
      <c r="R48" s="6">
        <v>-4.25641536712646E-2</v>
      </c>
      <c r="S48" s="6">
        <v>4.48250770568848E-2</v>
      </c>
      <c r="T48" s="6">
        <v>-3.8992583751678501E-2</v>
      </c>
      <c r="U48" s="6">
        <v>1.2312427759170499</v>
      </c>
      <c r="V48" s="6">
        <v>-33.231521606445298</v>
      </c>
      <c r="W48" s="6">
        <v>-17.590803146362301</v>
      </c>
    </row>
    <row r="49" spans="1:23" ht="18.95" customHeight="1">
      <c r="A49" s="4">
        <v>45</v>
      </c>
      <c r="B49" s="4">
        <v>949</v>
      </c>
      <c r="C49" s="4">
        <v>1</v>
      </c>
      <c r="D49" s="6">
        <v>0</v>
      </c>
      <c r="E49" s="6">
        <v>0</v>
      </c>
      <c r="F49" s="6">
        <v>0</v>
      </c>
      <c r="G49" s="6">
        <v>6.25E-2</v>
      </c>
      <c r="H49" s="6">
        <v>-6.25E-2</v>
      </c>
      <c r="I49" s="6">
        <v>1.6875</v>
      </c>
      <c r="J49" s="6">
        <v>-2.125</v>
      </c>
      <c r="K49" s="6">
        <v>-15.125</v>
      </c>
      <c r="L49" s="6">
        <v>-6.25E-2</v>
      </c>
      <c r="M49" s="6">
        <v>6.25E-2</v>
      </c>
      <c r="N49" s="6">
        <v>0.125</v>
      </c>
      <c r="O49" s="6">
        <v>0.8125</v>
      </c>
      <c r="P49" s="6">
        <v>-2.0625</v>
      </c>
      <c r="Q49" s="6">
        <v>-39.125</v>
      </c>
      <c r="R49" s="6">
        <v>0.110107660293579</v>
      </c>
      <c r="S49" s="6">
        <v>-9.76443290710449E-4</v>
      </c>
      <c r="T49" s="6">
        <v>-0.191664308309555</v>
      </c>
      <c r="U49" s="6">
        <v>1.2183593511581401</v>
      </c>
      <c r="V49" s="6">
        <v>-33.2309379577637</v>
      </c>
      <c r="W49" s="6">
        <v>-17.591222763061499</v>
      </c>
    </row>
    <row r="50" spans="1:23" ht="18.95" customHeight="1">
      <c r="A50" s="4">
        <v>46</v>
      </c>
      <c r="B50" s="4">
        <v>970</v>
      </c>
      <c r="C50" s="4">
        <v>1</v>
      </c>
      <c r="D50" s="6">
        <v>0</v>
      </c>
      <c r="E50" s="6">
        <v>0</v>
      </c>
      <c r="F50" s="6">
        <v>0</v>
      </c>
      <c r="G50" s="6">
        <v>-6.25E-2</v>
      </c>
      <c r="H50" s="6">
        <v>6.25E-2</v>
      </c>
      <c r="I50" s="6">
        <v>1.6875</v>
      </c>
      <c r="J50" s="6">
        <v>-2.125</v>
      </c>
      <c r="K50" s="6">
        <v>-15.125</v>
      </c>
      <c r="L50" s="6">
        <v>-0.125</v>
      </c>
      <c r="M50" s="6">
        <v>-0.125</v>
      </c>
      <c r="N50" s="6">
        <v>0</v>
      </c>
      <c r="O50" s="6">
        <v>0.8125</v>
      </c>
      <c r="P50" s="6">
        <v>-2.0625</v>
      </c>
      <c r="Q50" s="6">
        <v>-39.125</v>
      </c>
      <c r="R50" s="6">
        <v>-8.8365554809570299E-2</v>
      </c>
      <c r="S50" s="6">
        <v>9.0626597404479994E-2</v>
      </c>
      <c r="T50" s="6">
        <v>-0.176397144794464</v>
      </c>
      <c r="U50" s="6">
        <v>1.20857894420624</v>
      </c>
      <c r="V50" s="6">
        <v>-33.242969512939503</v>
      </c>
      <c r="W50" s="6">
        <v>-17.59375</v>
      </c>
    </row>
    <row r="51" spans="1:23" ht="18.95" customHeight="1">
      <c r="A51" s="4">
        <v>47</v>
      </c>
      <c r="B51" s="4">
        <v>992</v>
      </c>
      <c r="C51" s="4">
        <v>1</v>
      </c>
      <c r="D51" s="6">
        <v>0</v>
      </c>
      <c r="E51" s="6">
        <v>0</v>
      </c>
      <c r="F51" s="6">
        <v>6.25E-2</v>
      </c>
      <c r="G51" s="6">
        <v>0.25</v>
      </c>
      <c r="H51" s="6">
        <v>-6.25E-2</v>
      </c>
      <c r="I51" s="6">
        <v>1.6875</v>
      </c>
      <c r="J51" s="6">
        <v>-2.125</v>
      </c>
      <c r="K51" s="6">
        <v>-15.125</v>
      </c>
      <c r="L51" s="6">
        <v>0</v>
      </c>
      <c r="M51" s="6">
        <v>-6.25E-2</v>
      </c>
      <c r="N51" s="6">
        <v>0</v>
      </c>
      <c r="O51" s="6">
        <v>0.8125</v>
      </c>
      <c r="P51" s="6">
        <v>-2.0625</v>
      </c>
      <c r="Q51" s="6">
        <v>-39.125</v>
      </c>
      <c r="R51" s="6">
        <v>7.9573392868042006E-2</v>
      </c>
      <c r="S51" s="6">
        <v>1.42906904220581E-2</v>
      </c>
      <c r="T51" s="6">
        <v>-3.8992583751678501E-2</v>
      </c>
      <c r="U51" s="6">
        <v>1.2149676084518399</v>
      </c>
      <c r="V51" s="6">
        <v>-33.237022399902301</v>
      </c>
      <c r="W51" s="6">
        <v>-17.596805572509801</v>
      </c>
    </row>
    <row r="52" spans="1:23" ht="18.95" customHeight="1">
      <c r="A52" s="4">
        <v>48</v>
      </c>
      <c r="B52" s="4">
        <v>1012</v>
      </c>
      <c r="C52" s="4">
        <v>1</v>
      </c>
      <c r="D52" s="6">
        <v>0</v>
      </c>
      <c r="E52" s="6">
        <v>0</v>
      </c>
      <c r="F52" s="6">
        <v>-6.25E-2</v>
      </c>
      <c r="G52" s="6">
        <v>6.25E-2</v>
      </c>
      <c r="H52" s="6">
        <v>-0.125</v>
      </c>
      <c r="I52" s="6">
        <v>1.6875</v>
      </c>
      <c r="J52" s="6">
        <v>-2.125</v>
      </c>
      <c r="K52" s="6">
        <v>-15.125</v>
      </c>
      <c r="L52" s="6">
        <v>-6.25E-2</v>
      </c>
      <c r="M52" s="6">
        <v>6.25E-2</v>
      </c>
      <c r="N52" s="6">
        <v>0.1875</v>
      </c>
      <c r="O52" s="6">
        <v>0.8125</v>
      </c>
      <c r="P52" s="6">
        <v>-2.0625</v>
      </c>
      <c r="Q52" s="6">
        <v>-39.125</v>
      </c>
      <c r="R52" s="6">
        <v>-4.25641536712646E-2</v>
      </c>
      <c r="S52" s="6">
        <v>0.136428117752075</v>
      </c>
      <c r="T52" s="6">
        <v>-8.4581971168518101E-3</v>
      </c>
      <c r="U52" s="6">
        <v>1.2069948911666899</v>
      </c>
      <c r="V52" s="6">
        <v>-33.249359130859403</v>
      </c>
      <c r="W52" s="6">
        <v>-17.600172042846701</v>
      </c>
    </row>
    <row r="53" spans="1:23" ht="18.95" customHeight="1">
      <c r="A53" s="4">
        <v>49</v>
      </c>
      <c r="B53" s="4">
        <v>1034</v>
      </c>
      <c r="C53" s="4">
        <v>1</v>
      </c>
      <c r="D53" s="6">
        <v>0</v>
      </c>
      <c r="E53" s="6">
        <v>0</v>
      </c>
      <c r="F53" s="6">
        <v>-6.25E-2</v>
      </c>
      <c r="G53" s="6">
        <v>0.3125</v>
      </c>
      <c r="H53" s="6">
        <v>-6.25E-2</v>
      </c>
      <c r="I53" s="6">
        <v>1.6875</v>
      </c>
      <c r="J53" s="6">
        <v>-2.125</v>
      </c>
      <c r="K53" s="6">
        <v>-15.125</v>
      </c>
      <c r="L53" s="6">
        <v>-6.25E-2</v>
      </c>
      <c r="M53" s="6">
        <v>6.25E-2</v>
      </c>
      <c r="N53" s="6">
        <v>6.25E-2</v>
      </c>
      <c r="O53" s="6">
        <v>0.8125</v>
      </c>
      <c r="P53" s="6">
        <v>-2.0625</v>
      </c>
      <c r="Q53" s="6">
        <v>-39.125</v>
      </c>
      <c r="R53" s="6">
        <v>4.9038887023925802E-2</v>
      </c>
      <c r="S53" s="6">
        <v>-0.22998416423797599</v>
      </c>
      <c r="T53" s="6">
        <v>-8.4581971168518101E-3</v>
      </c>
      <c r="U53" s="6">
        <v>1.2026495933532699</v>
      </c>
      <c r="V53" s="6">
        <v>-33.252071380615199</v>
      </c>
      <c r="W53" s="6">
        <v>-17.602241516113299</v>
      </c>
    </row>
    <row r="54" spans="1:23" ht="18.95" customHeight="1">
      <c r="A54" s="4">
        <v>50</v>
      </c>
      <c r="B54" s="4">
        <v>1054</v>
      </c>
      <c r="C54" s="4">
        <v>1</v>
      </c>
      <c r="D54" s="6">
        <v>0</v>
      </c>
      <c r="E54" s="6">
        <v>0</v>
      </c>
      <c r="F54" s="6">
        <v>0</v>
      </c>
      <c r="G54" s="6">
        <v>-0.125</v>
      </c>
      <c r="H54" s="6">
        <v>-0.125</v>
      </c>
      <c r="I54" s="6">
        <v>1.6875</v>
      </c>
      <c r="J54" s="6">
        <v>-2.125</v>
      </c>
      <c r="K54" s="6">
        <v>-15.125</v>
      </c>
      <c r="L54" s="6">
        <v>0</v>
      </c>
      <c r="M54" s="6">
        <v>6.25E-2</v>
      </c>
      <c r="N54" s="6">
        <v>0</v>
      </c>
      <c r="O54" s="6">
        <v>0.8125</v>
      </c>
      <c r="P54" s="6">
        <v>-2.0625</v>
      </c>
      <c r="Q54" s="6">
        <v>-39.125</v>
      </c>
      <c r="R54" s="6">
        <v>0.12537479400634799</v>
      </c>
      <c r="S54" s="6">
        <v>2.9557824134826698E-2</v>
      </c>
      <c r="T54" s="6">
        <v>-0.14586275815963701</v>
      </c>
      <c r="U54" s="6">
        <v>1.19529497623444</v>
      </c>
      <c r="V54" s="6">
        <v>-33.245410919189503</v>
      </c>
      <c r="W54" s="6">
        <v>-17.603050231933601</v>
      </c>
    </row>
    <row r="55" spans="1:23" ht="18.95" customHeight="1">
      <c r="A55" s="4">
        <v>51</v>
      </c>
      <c r="B55" s="4">
        <v>1074</v>
      </c>
      <c r="C55" s="4">
        <v>1</v>
      </c>
      <c r="D55" s="6">
        <v>0</v>
      </c>
      <c r="E55" s="6">
        <v>0</v>
      </c>
      <c r="F55" s="6">
        <v>-6.25E-2</v>
      </c>
      <c r="G55" s="6">
        <v>6.25E-2</v>
      </c>
      <c r="H55" s="6">
        <v>-0.125</v>
      </c>
      <c r="I55" s="6">
        <v>1.6875</v>
      </c>
      <c r="J55" s="6">
        <v>-2.125</v>
      </c>
      <c r="K55" s="6">
        <v>-15.125</v>
      </c>
      <c r="L55" s="6">
        <v>-0.125</v>
      </c>
      <c r="M55" s="6">
        <v>-6.25E-2</v>
      </c>
      <c r="N55" s="6">
        <v>0.125</v>
      </c>
      <c r="O55" s="6">
        <v>0.8125</v>
      </c>
      <c r="P55" s="6">
        <v>-2.0625</v>
      </c>
      <c r="Q55" s="6">
        <v>-39.125</v>
      </c>
      <c r="R55" s="6">
        <v>-2.7297019958496101E-2</v>
      </c>
      <c r="S55" s="6">
        <v>9.0626597404479994E-2</v>
      </c>
      <c r="T55" s="6">
        <v>-0.115328431129456</v>
      </c>
      <c r="U55" s="6">
        <v>1.19413161277771</v>
      </c>
      <c r="V55" s="6">
        <v>-33.238143920898402</v>
      </c>
      <c r="W55" s="6">
        <v>-17.604234695434599</v>
      </c>
    </row>
    <row r="56" spans="1:23" ht="18.95" customHeight="1">
      <c r="A56" s="4">
        <v>52</v>
      </c>
      <c r="B56" s="4">
        <v>1095</v>
      </c>
      <c r="C56" s="4">
        <v>1</v>
      </c>
      <c r="D56" s="6">
        <v>0</v>
      </c>
      <c r="E56" s="6">
        <v>0</v>
      </c>
      <c r="F56" s="6">
        <v>-6.25E-2</v>
      </c>
      <c r="G56" s="6">
        <v>0</v>
      </c>
      <c r="H56" s="6">
        <v>-6.25E-2</v>
      </c>
      <c r="I56" s="6">
        <v>1.6875</v>
      </c>
      <c r="J56" s="6">
        <v>-2.125</v>
      </c>
      <c r="K56" s="6">
        <v>-15.125</v>
      </c>
      <c r="L56" s="6">
        <v>0</v>
      </c>
      <c r="M56" s="6">
        <v>0</v>
      </c>
      <c r="N56" s="6">
        <v>-6.25E-2</v>
      </c>
      <c r="O56" s="6">
        <v>0.8125</v>
      </c>
      <c r="P56" s="6">
        <v>-2.0625</v>
      </c>
      <c r="Q56" s="6">
        <v>-39.125</v>
      </c>
      <c r="R56" s="6">
        <v>-5.7831287384033203E-2</v>
      </c>
      <c r="S56" s="6">
        <v>-0.30631995201110801</v>
      </c>
      <c r="T56" s="6">
        <v>-5.4259717464447001E-2</v>
      </c>
      <c r="U56" s="6">
        <v>1.1823363304138199</v>
      </c>
      <c r="V56" s="6">
        <v>-33.231376647949197</v>
      </c>
      <c r="W56" s="6">
        <v>-17.6062202453613</v>
      </c>
    </row>
    <row r="57" spans="1:23" ht="18.95" customHeight="1">
      <c r="A57" s="4">
        <v>53</v>
      </c>
      <c r="B57" s="4">
        <v>1116</v>
      </c>
      <c r="C57" s="4">
        <v>1</v>
      </c>
      <c r="D57" s="6">
        <v>0</v>
      </c>
      <c r="E57" s="6">
        <v>0</v>
      </c>
      <c r="F57" s="6">
        <v>6.25E-2</v>
      </c>
      <c r="G57" s="6">
        <v>-6.25E-2</v>
      </c>
      <c r="H57" s="6">
        <v>0</v>
      </c>
      <c r="I57" s="6">
        <v>1.6875</v>
      </c>
      <c r="J57" s="6">
        <v>-2.125</v>
      </c>
      <c r="K57" s="6">
        <v>-15.125</v>
      </c>
      <c r="L57" s="6">
        <v>0</v>
      </c>
      <c r="M57" s="6">
        <v>0</v>
      </c>
      <c r="N57" s="6">
        <v>0</v>
      </c>
      <c r="O57" s="6">
        <v>0.8125</v>
      </c>
      <c r="P57" s="6">
        <v>-2.0625</v>
      </c>
      <c r="Q57" s="6">
        <v>-39.125</v>
      </c>
      <c r="R57" s="6">
        <v>9.4840526580810505E-2</v>
      </c>
      <c r="S57" s="6">
        <v>-3.1510829925537102E-2</v>
      </c>
      <c r="T57" s="6">
        <v>-5.4259717464447001E-2</v>
      </c>
      <c r="U57" s="6">
        <v>1.17993211746216</v>
      </c>
      <c r="V57" s="6">
        <v>-33.224159240722699</v>
      </c>
      <c r="W57" s="6">
        <v>-17.609136581420898</v>
      </c>
    </row>
    <row r="58" spans="1:23" ht="18.95" customHeight="1">
      <c r="A58" s="4">
        <v>54</v>
      </c>
      <c r="B58" s="4">
        <v>1137</v>
      </c>
      <c r="C58" s="4">
        <v>1</v>
      </c>
      <c r="D58" s="6">
        <v>0</v>
      </c>
      <c r="E58" s="6">
        <v>0</v>
      </c>
      <c r="F58" s="6">
        <v>-6.25E-2</v>
      </c>
      <c r="G58" s="6">
        <v>6.25E-2</v>
      </c>
      <c r="H58" s="6">
        <v>-0.125</v>
      </c>
      <c r="I58" s="6">
        <v>1.6875</v>
      </c>
      <c r="J58" s="6">
        <v>-2.125</v>
      </c>
      <c r="K58" s="6">
        <v>-15.125</v>
      </c>
      <c r="L58" s="6">
        <v>6.25E-2</v>
      </c>
      <c r="M58" s="6">
        <v>0.125</v>
      </c>
      <c r="N58" s="6">
        <v>6.25E-2</v>
      </c>
      <c r="O58" s="6">
        <v>0.8125</v>
      </c>
      <c r="P58" s="6">
        <v>-2.0625</v>
      </c>
      <c r="Q58" s="6">
        <v>-39.125</v>
      </c>
      <c r="R58" s="6">
        <v>-2.7297019958496101E-2</v>
      </c>
      <c r="S58" s="6">
        <v>-9.2579483985900907E-2</v>
      </c>
      <c r="T58" s="6">
        <v>-0.23746582865714999</v>
      </c>
      <c r="U58" s="6">
        <v>1.1765593290328999</v>
      </c>
      <c r="V58" s="6">
        <v>-33.216808319091797</v>
      </c>
      <c r="W58" s="6">
        <v>-17.611528396606399</v>
      </c>
    </row>
    <row r="59" spans="1:23" ht="18.95" customHeight="1">
      <c r="A59" s="4">
        <v>55</v>
      </c>
      <c r="B59" s="4">
        <v>1157</v>
      </c>
      <c r="C59" s="4">
        <v>1</v>
      </c>
      <c r="D59" s="6">
        <v>0</v>
      </c>
      <c r="E59" s="6">
        <v>0</v>
      </c>
      <c r="F59" s="6">
        <v>0</v>
      </c>
      <c r="G59" s="6">
        <v>-6.25E-2</v>
      </c>
      <c r="H59" s="6">
        <v>6.25E-2</v>
      </c>
      <c r="I59" s="6">
        <v>1.6875</v>
      </c>
      <c r="J59" s="6">
        <v>-2.125</v>
      </c>
      <c r="K59" s="6">
        <v>-15.125</v>
      </c>
      <c r="L59" s="6">
        <v>-0.125</v>
      </c>
      <c r="M59" s="6">
        <v>-6.25E-2</v>
      </c>
      <c r="N59" s="6">
        <v>0.1875</v>
      </c>
      <c r="O59" s="6">
        <v>0.8125</v>
      </c>
      <c r="P59" s="6">
        <v>-2.0625</v>
      </c>
      <c r="Q59" s="6">
        <v>-39.125</v>
      </c>
      <c r="R59" s="6">
        <v>-0.118900060653687</v>
      </c>
      <c r="S59" s="6">
        <v>-1.62436962127686E-2</v>
      </c>
      <c r="T59" s="6">
        <v>-6.9526910781860393E-2</v>
      </c>
      <c r="U59" s="6">
        <v>1.1884467601776101</v>
      </c>
      <c r="V59" s="6">
        <v>-33.202053070068402</v>
      </c>
      <c r="W59" s="6">
        <v>-17.612764358520501</v>
      </c>
    </row>
    <row r="60" spans="1:23" ht="18.95" customHeight="1">
      <c r="A60" s="4">
        <v>56</v>
      </c>
      <c r="B60" s="4">
        <v>1179</v>
      </c>
      <c r="C60" s="4">
        <v>1</v>
      </c>
      <c r="D60" s="6">
        <v>0</v>
      </c>
      <c r="E60" s="6">
        <v>0</v>
      </c>
      <c r="F60" s="6">
        <v>-6.25E-2</v>
      </c>
      <c r="G60" s="6">
        <v>6.25E-2</v>
      </c>
      <c r="H60" s="6">
        <v>0</v>
      </c>
      <c r="I60" s="6">
        <v>1.6875</v>
      </c>
      <c r="J60" s="6">
        <v>-2.125</v>
      </c>
      <c r="K60" s="6">
        <v>-15.125</v>
      </c>
      <c r="L60" s="6">
        <v>-6.25E-2</v>
      </c>
      <c r="M60" s="6">
        <v>-6.25E-2</v>
      </c>
      <c r="N60" s="6">
        <v>0.125</v>
      </c>
      <c r="O60" s="6">
        <v>0.8125</v>
      </c>
      <c r="P60" s="6">
        <v>-2.0625</v>
      </c>
      <c r="Q60" s="6">
        <v>-39.125</v>
      </c>
      <c r="R60" s="6">
        <v>-5.7831287384033203E-2</v>
      </c>
      <c r="S60" s="6">
        <v>7.5359344482421903E-2</v>
      </c>
      <c r="T60" s="6">
        <v>-3.8992583751678501E-2</v>
      </c>
      <c r="U60" s="6">
        <v>1.1884639263153101</v>
      </c>
      <c r="V60" s="6">
        <v>-33.209224700927699</v>
      </c>
      <c r="W60" s="6">
        <v>-17.616914749145501</v>
      </c>
    </row>
    <row r="61" spans="1:23" ht="18.95" customHeight="1">
      <c r="A61" s="4">
        <v>57</v>
      </c>
      <c r="B61" s="4">
        <v>1200</v>
      </c>
      <c r="C61" s="4">
        <v>1</v>
      </c>
      <c r="D61" s="6">
        <v>0</v>
      </c>
      <c r="E61" s="6">
        <v>0</v>
      </c>
      <c r="F61" s="6">
        <v>-0.125</v>
      </c>
      <c r="G61" s="6">
        <v>-6.25E-2</v>
      </c>
      <c r="H61" s="6">
        <v>0</v>
      </c>
      <c r="I61" s="6">
        <v>1.6875</v>
      </c>
      <c r="J61" s="6">
        <v>-2.125</v>
      </c>
      <c r="K61" s="6">
        <v>-15.125</v>
      </c>
      <c r="L61" s="6">
        <v>0.125</v>
      </c>
      <c r="M61" s="6">
        <v>-6.25E-2</v>
      </c>
      <c r="N61" s="6">
        <v>-6.25E-2</v>
      </c>
      <c r="O61" s="6">
        <v>0.8125</v>
      </c>
      <c r="P61" s="6">
        <v>-2.0625</v>
      </c>
      <c r="Q61" s="6">
        <v>-39.125</v>
      </c>
      <c r="R61" s="6">
        <v>-1.2029886245727499E-2</v>
      </c>
      <c r="S61" s="6">
        <v>0.166962385177612</v>
      </c>
      <c r="T61" s="6">
        <v>-3.8992583751678501E-2</v>
      </c>
      <c r="U61" s="6">
        <v>1.18707942962646</v>
      </c>
      <c r="V61" s="6">
        <v>-33.220310211181598</v>
      </c>
      <c r="W61" s="6">
        <v>-17.619106292724599</v>
      </c>
    </row>
    <row r="62" spans="1:23" ht="18.95" customHeight="1">
      <c r="A62" s="4">
        <v>58</v>
      </c>
      <c r="B62" s="4">
        <v>1222</v>
      </c>
      <c r="C62" s="4">
        <v>1</v>
      </c>
      <c r="D62" s="6">
        <v>0</v>
      </c>
      <c r="E62" s="6">
        <v>0</v>
      </c>
      <c r="F62" s="6">
        <v>0</v>
      </c>
      <c r="G62" s="6">
        <v>0</v>
      </c>
      <c r="H62" s="6">
        <v>-6.25E-2</v>
      </c>
      <c r="I62" s="6">
        <v>1.6875</v>
      </c>
      <c r="J62" s="6">
        <v>-2.125</v>
      </c>
      <c r="K62" s="6">
        <v>-15.125</v>
      </c>
      <c r="L62" s="6">
        <v>0.125</v>
      </c>
      <c r="M62" s="6">
        <v>-6.25E-2</v>
      </c>
      <c r="N62" s="6">
        <v>-0.125</v>
      </c>
      <c r="O62" s="6">
        <v>0.8125</v>
      </c>
      <c r="P62" s="6">
        <v>-2.0625</v>
      </c>
      <c r="Q62" s="6">
        <v>-39.125</v>
      </c>
      <c r="R62" s="6">
        <v>1.85046195983887E-2</v>
      </c>
      <c r="S62" s="6">
        <v>-3.1510829925537102E-2</v>
      </c>
      <c r="T62" s="6">
        <v>-0.13059562444686901</v>
      </c>
      <c r="U62" s="6">
        <v>1.1883590221405</v>
      </c>
      <c r="V62" s="6">
        <v>-33.208042144775398</v>
      </c>
      <c r="W62" s="6">
        <v>-17.6221599578857</v>
      </c>
    </row>
    <row r="63" spans="1:23" ht="18.95" customHeight="1">
      <c r="A63" s="4">
        <v>59</v>
      </c>
      <c r="B63" s="4">
        <v>1244</v>
      </c>
      <c r="C63" s="4">
        <v>1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1.6875</v>
      </c>
      <c r="J63" s="6">
        <v>-2.125</v>
      </c>
      <c r="K63" s="6">
        <v>-15.125</v>
      </c>
      <c r="L63" s="6">
        <v>0.125</v>
      </c>
      <c r="M63" s="6">
        <v>-6.25E-2</v>
      </c>
      <c r="N63" s="6">
        <v>-6.25E-2</v>
      </c>
      <c r="O63" s="6">
        <v>0.8125</v>
      </c>
      <c r="P63" s="6">
        <v>-2.0625</v>
      </c>
      <c r="Q63" s="6">
        <v>-39.125</v>
      </c>
      <c r="R63" s="6">
        <v>-0.103632926940918</v>
      </c>
      <c r="S63" s="6">
        <v>-0.13838112354278601</v>
      </c>
      <c r="T63" s="6">
        <v>-8.4794104099273696E-2</v>
      </c>
      <c r="U63" s="6">
        <v>1.1879289150237999</v>
      </c>
      <c r="V63" s="6">
        <v>-33.217929840087898</v>
      </c>
      <c r="W63" s="6">
        <v>-17.625093460083001</v>
      </c>
    </row>
    <row r="64" spans="1:23" ht="18.95" customHeight="1">
      <c r="A64" s="4">
        <v>60</v>
      </c>
      <c r="B64" s="4">
        <v>1274</v>
      </c>
      <c r="C64" s="4">
        <v>1</v>
      </c>
      <c r="D64" s="6">
        <v>0</v>
      </c>
      <c r="E64" s="6">
        <v>0</v>
      </c>
      <c r="F64" s="6">
        <v>-6.25E-2</v>
      </c>
      <c r="G64" s="6">
        <v>-0.1875</v>
      </c>
      <c r="H64" s="6">
        <v>0</v>
      </c>
      <c r="I64" s="6">
        <v>1.6875</v>
      </c>
      <c r="J64" s="6">
        <v>-2.125</v>
      </c>
      <c r="K64" s="6">
        <v>-15.125</v>
      </c>
      <c r="L64" s="6">
        <v>6.25E-2</v>
      </c>
      <c r="M64" s="6">
        <v>0.125</v>
      </c>
      <c r="N64" s="6">
        <v>-0.125</v>
      </c>
      <c r="O64" s="6">
        <v>0.8125</v>
      </c>
      <c r="P64" s="6">
        <v>-2.0625</v>
      </c>
      <c r="Q64" s="6">
        <v>-39.125</v>
      </c>
      <c r="R64" s="6">
        <v>-2.7297019958496101E-2</v>
      </c>
      <c r="S64" s="6">
        <v>-9.76443290710449E-4</v>
      </c>
      <c r="T64" s="6">
        <v>3.7343323230743401E-2</v>
      </c>
      <c r="U64" s="6">
        <v>1.1844234466552701</v>
      </c>
      <c r="V64" s="6">
        <v>-33.217529296875</v>
      </c>
      <c r="W64" s="6">
        <v>-17.624660491943398</v>
      </c>
    </row>
    <row r="65" spans="1:23" ht="18.95" customHeight="1">
      <c r="A65" s="4">
        <v>61</v>
      </c>
      <c r="B65" s="4">
        <v>1295</v>
      </c>
      <c r="C65" s="4">
        <v>1</v>
      </c>
      <c r="D65" s="6">
        <v>0</v>
      </c>
      <c r="E65" s="6">
        <v>0</v>
      </c>
      <c r="F65" s="6">
        <v>-6.25E-2</v>
      </c>
      <c r="G65" s="6">
        <v>-0.125</v>
      </c>
      <c r="H65" s="6">
        <v>0</v>
      </c>
      <c r="I65" s="6">
        <v>1.6875</v>
      </c>
      <c r="J65" s="6">
        <v>-2.125</v>
      </c>
      <c r="K65" s="6">
        <v>-15.125</v>
      </c>
      <c r="L65" s="6">
        <v>-6.25E-2</v>
      </c>
      <c r="M65" s="6">
        <v>-0.125</v>
      </c>
      <c r="N65" s="6">
        <v>0</v>
      </c>
      <c r="O65" s="6">
        <v>0.8125</v>
      </c>
      <c r="P65" s="6">
        <v>-2.0625</v>
      </c>
      <c r="Q65" s="6">
        <v>-39.125</v>
      </c>
      <c r="R65" s="6">
        <v>-5.7831287384033203E-2</v>
      </c>
      <c r="S65" s="6">
        <v>0.12116086483001701</v>
      </c>
      <c r="T65" s="6">
        <v>6.80899620056152E-3</v>
      </c>
      <c r="U65" s="6">
        <v>1.18071281909943</v>
      </c>
      <c r="V65" s="6">
        <v>-33.218955993652301</v>
      </c>
      <c r="W65" s="6">
        <v>-17.627111434936499</v>
      </c>
    </row>
    <row r="66" spans="1:23" ht="18.95" customHeight="1">
      <c r="A66" s="4">
        <v>62</v>
      </c>
      <c r="B66" s="4">
        <v>1317</v>
      </c>
      <c r="C66" s="4">
        <v>1</v>
      </c>
      <c r="D66" s="6">
        <v>0</v>
      </c>
      <c r="E66" s="6">
        <v>0</v>
      </c>
      <c r="F66" s="6">
        <v>6.25E-2</v>
      </c>
      <c r="G66" s="6">
        <v>6.25E-2</v>
      </c>
      <c r="H66" s="6">
        <v>0.125</v>
      </c>
      <c r="I66" s="6">
        <v>1.6875</v>
      </c>
      <c r="J66" s="6">
        <v>-2.125</v>
      </c>
      <c r="K66" s="6">
        <v>-15.125</v>
      </c>
      <c r="L66" s="6">
        <v>0</v>
      </c>
      <c r="M66" s="6">
        <v>-6.25E-2</v>
      </c>
      <c r="N66" s="6">
        <v>-0.1875</v>
      </c>
      <c r="O66" s="6">
        <v>0.8125</v>
      </c>
      <c r="P66" s="6">
        <v>-2.0625</v>
      </c>
      <c r="Q66" s="6">
        <v>-39.125</v>
      </c>
      <c r="R66" s="6">
        <v>0.14064192771911599</v>
      </c>
      <c r="S66" s="6">
        <v>9.0626597404479994E-2</v>
      </c>
      <c r="T66" s="6">
        <v>-8.4794104099273696E-2</v>
      </c>
      <c r="U66" s="6">
        <v>1.1985609531402599</v>
      </c>
      <c r="V66" s="6">
        <v>-33.2081298828125</v>
      </c>
      <c r="W66" s="6">
        <v>-17.629327774047901</v>
      </c>
    </row>
    <row r="67" spans="1:23" ht="18.95" customHeight="1">
      <c r="A67" s="4">
        <v>63</v>
      </c>
      <c r="B67" s="4">
        <v>1337</v>
      </c>
      <c r="C67" s="4">
        <v>1</v>
      </c>
      <c r="D67" s="6">
        <v>0</v>
      </c>
      <c r="E67" s="6">
        <v>0</v>
      </c>
      <c r="F67" s="6">
        <v>0</v>
      </c>
      <c r="G67" s="6">
        <v>-0.125</v>
      </c>
      <c r="H67" s="6">
        <v>6.25E-2</v>
      </c>
      <c r="I67" s="6">
        <v>1.6875</v>
      </c>
      <c r="J67" s="6">
        <v>-2.125</v>
      </c>
      <c r="K67" s="6">
        <v>-15.125</v>
      </c>
      <c r="L67" s="6">
        <v>0</v>
      </c>
      <c r="M67" s="6">
        <v>0</v>
      </c>
      <c r="N67" s="6">
        <v>0</v>
      </c>
      <c r="O67" s="6">
        <v>0.8125</v>
      </c>
      <c r="P67" s="6">
        <v>-2.0625</v>
      </c>
      <c r="Q67" s="6">
        <v>-39.125</v>
      </c>
      <c r="R67" s="6">
        <v>1.85046195983887E-2</v>
      </c>
      <c r="S67" s="6">
        <v>0.24329829216003401</v>
      </c>
      <c r="T67" s="6">
        <v>-2.3725390434265099E-2</v>
      </c>
      <c r="U67" s="6">
        <v>1.1899566650390601</v>
      </c>
      <c r="V67" s="6">
        <v>-33.222949981689503</v>
      </c>
      <c r="W67" s="6">
        <v>-17.630578994751001</v>
      </c>
    </row>
    <row r="68" spans="1:23" ht="18.95" customHeight="1">
      <c r="A68" s="4">
        <v>64</v>
      </c>
      <c r="B68" s="4">
        <v>1358</v>
      </c>
      <c r="C68" s="4">
        <v>1</v>
      </c>
      <c r="D68" s="6">
        <v>0</v>
      </c>
      <c r="E68" s="6">
        <v>0</v>
      </c>
      <c r="F68" s="6">
        <v>6.25E-2</v>
      </c>
      <c r="G68" s="6">
        <v>-0.1875</v>
      </c>
      <c r="H68" s="6">
        <v>6.25E-2</v>
      </c>
      <c r="I68" s="6">
        <v>1.6875</v>
      </c>
      <c r="J68" s="6">
        <v>-2.125</v>
      </c>
      <c r="K68" s="6">
        <v>-15.125</v>
      </c>
      <c r="L68" s="6">
        <v>-0.125</v>
      </c>
      <c r="M68" s="6">
        <v>0.125</v>
      </c>
      <c r="N68" s="6">
        <v>0</v>
      </c>
      <c r="O68" s="6">
        <v>0.8125</v>
      </c>
      <c r="P68" s="6">
        <v>-2.0625</v>
      </c>
      <c r="Q68" s="6">
        <v>-39.125</v>
      </c>
      <c r="R68" s="6">
        <v>-0.16470146179199199</v>
      </c>
      <c r="S68" s="6">
        <v>0.12116086483001701</v>
      </c>
      <c r="T68" s="6">
        <v>-0.23746582865714999</v>
      </c>
      <c r="U68" s="6">
        <v>1.1952811479568499</v>
      </c>
      <c r="V68" s="6">
        <v>-33.228748321533203</v>
      </c>
      <c r="W68" s="6">
        <v>-17.63330078125</v>
      </c>
    </row>
    <row r="69" spans="1:23" ht="18.95" customHeight="1">
      <c r="A69" s="4">
        <v>65</v>
      </c>
      <c r="B69" s="4">
        <v>1380</v>
      </c>
      <c r="C69" s="4">
        <v>1</v>
      </c>
      <c r="D69" s="6">
        <v>0</v>
      </c>
      <c r="E69" s="6">
        <v>0</v>
      </c>
      <c r="F69" s="6">
        <v>0</v>
      </c>
      <c r="G69" s="6">
        <v>6.25E-2</v>
      </c>
      <c r="H69" s="6">
        <v>-0.125</v>
      </c>
      <c r="I69" s="6">
        <v>1.6875</v>
      </c>
      <c r="J69" s="6">
        <v>-2.125</v>
      </c>
      <c r="K69" s="6">
        <v>-15.125</v>
      </c>
      <c r="L69" s="6">
        <v>6.25E-2</v>
      </c>
      <c r="M69" s="6">
        <v>6.25E-2</v>
      </c>
      <c r="N69" s="6">
        <v>-0.125</v>
      </c>
      <c r="O69" s="6">
        <v>0.8125</v>
      </c>
      <c r="P69" s="6">
        <v>-2.0625</v>
      </c>
      <c r="Q69" s="6">
        <v>-39.125</v>
      </c>
      <c r="R69" s="6">
        <v>4.9038887023925802E-2</v>
      </c>
      <c r="S69" s="6">
        <v>7.5359344482421903E-2</v>
      </c>
      <c r="T69" s="6">
        <v>0.11367923021316501</v>
      </c>
      <c r="U69" s="6">
        <v>1.1913814544677701</v>
      </c>
      <c r="V69" s="6">
        <v>-33.227054595947301</v>
      </c>
      <c r="W69" s="6">
        <v>-17.635692596435501</v>
      </c>
    </row>
    <row r="70" spans="1:23" ht="18.95" customHeight="1">
      <c r="A70" s="4">
        <v>66</v>
      </c>
      <c r="B70" s="4">
        <v>1400</v>
      </c>
      <c r="C70" s="4">
        <v>1</v>
      </c>
      <c r="D70" s="6">
        <v>0</v>
      </c>
      <c r="E70" s="6">
        <v>0</v>
      </c>
      <c r="F70" s="6">
        <v>0.125</v>
      </c>
      <c r="G70" s="6">
        <v>-0.125</v>
      </c>
      <c r="H70" s="6">
        <v>6.25E-2</v>
      </c>
      <c r="I70" s="6">
        <v>1.6875</v>
      </c>
      <c r="J70" s="6">
        <v>-2.125</v>
      </c>
      <c r="K70" s="6">
        <v>-15.125</v>
      </c>
      <c r="L70" s="6">
        <v>0</v>
      </c>
      <c r="M70" s="6">
        <v>0</v>
      </c>
      <c r="N70" s="6">
        <v>0</v>
      </c>
      <c r="O70" s="6">
        <v>0.8125</v>
      </c>
      <c r="P70" s="6">
        <v>-2.0625</v>
      </c>
      <c r="Q70" s="6">
        <v>-39.125</v>
      </c>
      <c r="R70" s="6">
        <v>1.85046195983887E-2</v>
      </c>
      <c r="S70" s="6">
        <v>-4.6777963638305699E-2</v>
      </c>
      <c r="T70" s="6">
        <v>6.80899620056152E-3</v>
      </c>
      <c r="U70" s="6">
        <v>1.2046214342117301</v>
      </c>
      <c r="V70" s="6">
        <v>-33.222850799560497</v>
      </c>
      <c r="W70" s="6">
        <v>-17.636112213134801</v>
      </c>
    </row>
    <row r="71" spans="1:23" ht="18.95" customHeight="1">
      <c r="A71" s="4">
        <v>67</v>
      </c>
      <c r="B71" s="4">
        <v>1421</v>
      </c>
      <c r="C71" s="4">
        <v>1</v>
      </c>
      <c r="D71" s="6">
        <v>0</v>
      </c>
      <c r="E71" s="6">
        <v>0</v>
      </c>
      <c r="F71" s="6">
        <v>6.25E-2</v>
      </c>
      <c r="G71" s="6">
        <v>0.125</v>
      </c>
      <c r="H71" s="6">
        <v>-0.125</v>
      </c>
      <c r="I71" s="6">
        <v>1.6875</v>
      </c>
      <c r="J71" s="6">
        <v>-2.125</v>
      </c>
      <c r="K71" s="6">
        <v>-15.125</v>
      </c>
      <c r="L71" s="6">
        <v>0</v>
      </c>
      <c r="M71" s="6">
        <v>0</v>
      </c>
      <c r="N71" s="6">
        <v>6.25E-2</v>
      </c>
      <c r="O71" s="6">
        <v>0.8125</v>
      </c>
      <c r="P71" s="6">
        <v>-2.0625</v>
      </c>
      <c r="Q71" s="6">
        <v>-39.125</v>
      </c>
      <c r="R71" s="6">
        <v>-0.103632926940918</v>
      </c>
      <c r="S71" s="6">
        <v>9.0626597404479994E-2</v>
      </c>
      <c r="T71" s="6">
        <v>-0.14586275815963701</v>
      </c>
      <c r="U71" s="6">
        <v>1.19820380210876</v>
      </c>
      <c r="V71" s="6">
        <v>-33.231147766113303</v>
      </c>
      <c r="W71" s="6">
        <v>-17.638019561767599</v>
      </c>
    </row>
    <row r="72" spans="1:23" ht="18.95" customHeight="1">
      <c r="A72" s="4">
        <v>68</v>
      </c>
      <c r="B72" s="4">
        <v>1443</v>
      </c>
      <c r="C72" s="4">
        <v>1</v>
      </c>
      <c r="D72" s="6">
        <v>0</v>
      </c>
      <c r="E72" s="6">
        <v>0</v>
      </c>
      <c r="F72" s="6">
        <v>-6.25E-2</v>
      </c>
      <c r="G72" s="6">
        <v>0.1875</v>
      </c>
      <c r="H72" s="6">
        <v>-0.125</v>
      </c>
      <c r="I72" s="6">
        <v>1.6875</v>
      </c>
      <c r="J72" s="6">
        <v>-2.125</v>
      </c>
      <c r="K72" s="6">
        <v>-15.125</v>
      </c>
      <c r="L72" s="6">
        <v>6.25E-2</v>
      </c>
      <c r="M72" s="6">
        <v>-0.25</v>
      </c>
      <c r="N72" s="6">
        <v>6.25E-2</v>
      </c>
      <c r="O72" s="6">
        <v>0.8125</v>
      </c>
      <c r="P72" s="6">
        <v>-2.0625</v>
      </c>
      <c r="Q72" s="6">
        <v>-39.125</v>
      </c>
      <c r="R72" s="6">
        <v>3.2374858856201198E-3</v>
      </c>
      <c r="S72" s="6">
        <v>2.9557824134826698E-2</v>
      </c>
      <c r="T72" s="6">
        <v>-0.161129951477051</v>
      </c>
      <c r="U72" s="6">
        <v>1.2008303403854399</v>
      </c>
      <c r="V72" s="6">
        <v>-33.219280242919901</v>
      </c>
      <c r="W72" s="6">
        <v>-17.6399745941162</v>
      </c>
    </row>
    <row r="73" spans="1:23" ht="18.95" customHeight="1">
      <c r="A73" s="4">
        <v>69</v>
      </c>
      <c r="B73" s="4">
        <v>1464</v>
      </c>
      <c r="C73" s="4">
        <v>1</v>
      </c>
      <c r="D73" s="6">
        <v>0</v>
      </c>
      <c r="E73" s="6">
        <v>0</v>
      </c>
      <c r="F73" s="6">
        <v>6.25E-2</v>
      </c>
      <c r="G73" s="6">
        <v>6.25E-2</v>
      </c>
      <c r="H73" s="6">
        <v>6.25E-2</v>
      </c>
      <c r="I73" s="6">
        <v>1.6875</v>
      </c>
      <c r="J73" s="6">
        <v>-2.125</v>
      </c>
      <c r="K73" s="6">
        <v>-15.125</v>
      </c>
      <c r="L73" s="6">
        <v>-6.25E-2</v>
      </c>
      <c r="M73" s="6">
        <v>-0.125</v>
      </c>
      <c r="N73" s="6">
        <v>0</v>
      </c>
      <c r="O73" s="6">
        <v>0.8125</v>
      </c>
      <c r="P73" s="6">
        <v>-2.0625</v>
      </c>
      <c r="Q73" s="6">
        <v>-39.125</v>
      </c>
      <c r="R73" s="6">
        <v>9.4840526580810505E-2</v>
      </c>
      <c r="S73" s="6">
        <v>-7.7312350273132296E-2</v>
      </c>
      <c r="T73" s="6">
        <v>-0.206931471824646</v>
      </c>
      <c r="U73" s="6">
        <v>1.2040268182754501</v>
      </c>
      <c r="V73" s="6">
        <v>-33.222118377685497</v>
      </c>
      <c r="W73" s="6">
        <v>-17.642295837402301</v>
      </c>
    </row>
    <row r="74" spans="1:23" ht="18.95" customHeight="1">
      <c r="A74" s="4">
        <v>70</v>
      </c>
      <c r="B74" s="4">
        <v>1484</v>
      </c>
      <c r="C74" s="4">
        <v>1</v>
      </c>
      <c r="D74" s="6">
        <v>0</v>
      </c>
      <c r="E74" s="6">
        <v>0</v>
      </c>
      <c r="F74" s="6">
        <v>-6.25E-2</v>
      </c>
      <c r="G74" s="6">
        <v>0</v>
      </c>
      <c r="H74" s="6">
        <v>-6.25E-2</v>
      </c>
      <c r="I74" s="6">
        <v>1.6875</v>
      </c>
      <c r="J74" s="6">
        <v>-2.125</v>
      </c>
      <c r="K74" s="6">
        <v>-15.125</v>
      </c>
      <c r="L74" s="6">
        <v>0</v>
      </c>
      <c r="M74" s="6">
        <v>0</v>
      </c>
      <c r="N74" s="6">
        <v>-6.25E-2</v>
      </c>
      <c r="O74" s="6">
        <v>0.8125</v>
      </c>
      <c r="P74" s="6">
        <v>-2.0625</v>
      </c>
      <c r="Q74" s="6">
        <v>-39.125</v>
      </c>
      <c r="R74" s="6">
        <v>6.4306020736694294E-2</v>
      </c>
      <c r="S74" s="6">
        <v>0.136428117752075</v>
      </c>
      <c r="T74" s="6">
        <v>-0.115328431129456</v>
      </c>
      <c r="U74" s="6">
        <v>1.2074282169342001</v>
      </c>
      <c r="V74" s="6">
        <v>-33.223388671875</v>
      </c>
      <c r="W74" s="6">
        <v>-17.6427001953125</v>
      </c>
    </row>
    <row r="75" spans="1:23" ht="18.95" customHeight="1">
      <c r="A75" s="4">
        <v>71</v>
      </c>
      <c r="B75" s="4">
        <v>1504</v>
      </c>
      <c r="C75" s="4">
        <v>1</v>
      </c>
      <c r="D75" s="6">
        <v>0</v>
      </c>
      <c r="E75" s="6">
        <v>0</v>
      </c>
      <c r="F75" s="6">
        <v>-6.25E-2</v>
      </c>
      <c r="G75" s="6">
        <v>0.1875</v>
      </c>
      <c r="H75" s="6">
        <v>0.125</v>
      </c>
      <c r="I75" s="6">
        <v>1.6875</v>
      </c>
      <c r="J75" s="6">
        <v>-2.125</v>
      </c>
      <c r="K75" s="6">
        <v>-15.125</v>
      </c>
      <c r="L75" s="6">
        <v>0</v>
      </c>
      <c r="M75" s="6">
        <v>6.25E-2</v>
      </c>
      <c r="N75" s="6">
        <v>0</v>
      </c>
      <c r="O75" s="6">
        <v>0.8125</v>
      </c>
      <c r="P75" s="6">
        <v>-2.0625</v>
      </c>
      <c r="Q75" s="6">
        <v>-39.125</v>
      </c>
      <c r="R75" s="6">
        <v>-2.7297019958496101E-2</v>
      </c>
      <c r="S75" s="6">
        <v>4.48250770568848E-2</v>
      </c>
      <c r="T75" s="6">
        <v>-3.8992583751678501E-2</v>
      </c>
      <c r="U75" s="6">
        <v>1.20161581039429</v>
      </c>
      <c r="V75" s="6">
        <v>-33.2331733703613</v>
      </c>
      <c r="W75" s="6">
        <v>-17.641746520996101</v>
      </c>
    </row>
    <row r="76" spans="1:23" ht="18.95" customHeight="1">
      <c r="A76" s="4">
        <v>72</v>
      </c>
      <c r="B76" s="4">
        <v>1524</v>
      </c>
      <c r="C76" s="4">
        <v>1</v>
      </c>
      <c r="D76" s="6">
        <v>0</v>
      </c>
      <c r="E76" s="6">
        <v>0</v>
      </c>
      <c r="F76" s="6">
        <v>0</v>
      </c>
      <c r="G76" s="6">
        <v>0</v>
      </c>
      <c r="H76" s="6">
        <v>0.125</v>
      </c>
      <c r="I76" s="6">
        <v>1.6875</v>
      </c>
      <c r="J76" s="6">
        <v>-2.125</v>
      </c>
      <c r="K76" s="6">
        <v>-15.125</v>
      </c>
      <c r="L76" s="6">
        <v>0</v>
      </c>
      <c r="M76" s="6">
        <v>-6.25E-2</v>
      </c>
      <c r="N76" s="6">
        <v>-6.25E-2</v>
      </c>
      <c r="O76" s="6">
        <v>0.8125</v>
      </c>
      <c r="P76" s="6">
        <v>-2.0625</v>
      </c>
      <c r="Q76" s="6">
        <v>-39.125</v>
      </c>
      <c r="R76" s="6">
        <v>-5.7831287384033203E-2</v>
      </c>
      <c r="S76" s="6">
        <v>-0.13838112354278601</v>
      </c>
      <c r="T76" s="6">
        <v>-0.176397144794464</v>
      </c>
      <c r="U76" s="6">
        <v>1.2094469070434599</v>
      </c>
      <c r="V76" s="6">
        <v>-33.237510681152301</v>
      </c>
      <c r="W76" s="6">
        <v>-17.644630432128899</v>
      </c>
    </row>
    <row r="77" spans="1:23" ht="18.95" customHeight="1">
      <c r="A77" s="4">
        <v>73</v>
      </c>
      <c r="B77" s="4">
        <v>1545</v>
      </c>
      <c r="C77" s="4">
        <v>1</v>
      </c>
      <c r="D77" s="6">
        <v>0</v>
      </c>
      <c r="E77" s="6">
        <v>0</v>
      </c>
      <c r="F77" s="6">
        <v>0.125</v>
      </c>
      <c r="G77" s="6">
        <v>6.25E-2</v>
      </c>
      <c r="H77" s="6">
        <v>6.25E-2</v>
      </c>
      <c r="I77" s="6">
        <v>1.6875</v>
      </c>
      <c r="J77" s="6">
        <v>-2.125</v>
      </c>
      <c r="K77" s="6">
        <v>-15.125</v>
      </c>
      <c r="L77" s="6">
        <v>-6.25E-2</v>
      </c>
      <c r="M77" s="6">
        <v>0.125</v>
      </c>
      <c r="N77" s="6">
        <v>6.25E-2</v>
      </c>
      <c r="O77" s="6">
        <v>0.8125</v>
      </c>
      <c r="P77" s="6">
        <v>-2.0625</v>
      </c>
      <c r="Q77" s="6">
        <v>-39.125</v>
      </c>
      <c r="R77" s="6">
        <v>4.9038887023925802E-2</v>
      </c>
      <c r="S77" s="6">
        <v>-9.2579483985900907E-2</v>
      </c>
      <c r="T77" s="6">
        <v>-6.9526910781860393E-2</v>
      </c>
      <c r="U77" s="6">
        <v>1.2133255004882799</v>
      </c>
      <c r="V77" s="6">
        <v>-33.216278076171903</v>
      </c>
      <c r="W77" s="6">
        <v>-17.6463718414307</v>
      </c>
    </row>
    <row r="78" spans="1:23" ht="18.95" customHeight="1">
      <c r="A78" s="4">
        <v>74</v>
      </c>
      <c r="B78" s="4">
        <v>1567</v>
      </c>
      <c r="C78" s="4">
        <v>1</v>
      </c>
      <c r="D78" s="6">
        <v>0</v>
      </c>
      <c r="E78" s="6">
        <v>0</v>
      </c>
      <c r="F78" s="6">
        <v>-6.25E-2</v>
      </c>
      <c r="G78" s="6">
        <v>-0.125</v>
      </c>
      <c r="H78" s="6">
        <v>-0.125</v>
      </c>
      <c r="I78" s="6">
        <v>1.6875</v>
      </c>
      <c r="J78" s="6">
        <v>-2.125</v>
      </c>
      <c r="K78" s="6">
        <v>-15.125</v>
      </c>
      <c r="L78" s="6">
        <v>6.25E-2</v>
      </c>
      <c r="M78" s="6">
        <v>-6.25E-2</v>
      </c>
      <c r="N78" s="6">
        <v>-6.25E-2</v>
      </c>
      <c r="O78" s="6">
        <v>0.8125</v>
      </c>
      <c r="P78" s="6">
        <v>-2.0625</v>
      </c>
      <c r="Q78" s="6">
        <v>-39.125</v>
      </c>
      <c r="R78" s="6">
        <v>0.232244968414307</v>
      </c>
      <c r="S78" s="6">
        <v>-0.107846736907959</v>
      </c>
      <c r="T78" s="6">
        <v>-0.31380170583724998</v>
      </c>
      <c r="U78" s="6">
        <v>1.21398413181305</v>
      </c>
      <c r="V78" s="6">
        <v>-33.186126708984403</v>
      </c>
      <c r="W78" s="6">
        <v>-17.650169372558601</v>
      </c>
    </row>
    <row r="79" spans="1:23" ht="18.95" customHeight="1">
      <c r="A79" s="4">
        <v>75</v>
      </c>
      <c r="B79" s="4">
        <v>1588</v>
      </c>
      <c r="C79" s="4">
        <v>1</v>
      </c>
      <c r="D79" s="6">
        <v>0</v>
      </c>
      <c r="E79" s="6">
        <v>0</v>
      </c>
      <c r="F79" s="6">
        <v>0.125</v>
      </c>
      <c r="G79" s="6">
        <v>-0.125</v>
      </c>
      <c r="H79" s="6">
        <v>6.25E-2</v>
      </c>
      <c r="I79" s="6">
        <v>1.6875</v>
      </c>
      <c r="J79" s="6">
        <v>-2.125</v>
      </c>
      <c r="K79" s="6">
        <v>-15.125</v>
      </c>
      <c r="L79" s="6">
        <v>6.25E-2</v>
      </c>
      <c r="M79" s="6">
        <v>-6.25E-2</v>
      </c>
      <c r="N79" s="6">
        <v>-0.125</v>
      </c>
      <c r="O79" s="6">
        <v>0.8125</v>
      </c>
      <c r="P79" s="6">
        <v>-2.0625</v>
      </c>
      <c r="Q79" s="6">
        <v>-39.125</v>
      </c>
      <c r="R79" s="6">
        <v>3.2374858856201198E-3</v>
      </c>
      <c r="S79" s="6">
        <v>-0.107846736907959</v>
      </c>
      <c r="T79" s="6">
        <v>-0.23746582865714999</v>
      </c>
      <c r="U79" s="6">
        <v>1.2134301662445099</v>
      </c>
      <c r="V79" s="6">
        <v>-33.187076568603501</v>
      </c>
      <c r="W79" s="6">
        <v>-17.654443740844702</v>
      </c>
    </row>
    <row r="80" spans="1:23" ht="18.95" customHeight="1">
      <c r="A80" s="4">
        <v>76</v>
      </c>
      <c r="B80" s="4">
        <v>1609</v>
      </c>
      <c r="C80" s="4">
        <v>1</v>
      </c>
      <c r="D80" s="6">
        <v>0</v>
      </c>
      <c r="E80" s="6">
        <v>0</v>
      </c>
      <c r="F80" s="6">
        <v>6.25E-2</v>
      </c>
      <c r="G80" s="6">
        <v>-0.125</v>
      </c>
      <c r="H80" s="6">
        <v>0</v>
      </c>
      <c r="I80" s="6">
        <v>1.6875</v>
      </c>
      <c r="J80" s="6">
        <v>-2.125</v>
      </c>
      <c r="K80" s="6">
        <v>-15.125</v>
      </c>
      <c r="L80" s="6">
        <v>0</v>
      </c>
      <c r="M80" s="6">
        <v>-6.25E-2</v>
      </c>
      <c r="N80" s="6">
        <v>0</v>
      </c>
      <c r="O80" s="6">
        <v>0.8125</v>
      </c>
      <c r="P80" s="6">
        <v>-2.0625</v>
      </c>
      <c r="Q80" s="6">
        <v>-39.125</v>
      </c>
      <c r="R80" s="6">
        <v>-0.16470146179199199</v>
      </c>
      <c r="S80" s="6">
        <v>-0.168915390968323</v>
      </c>
      <c r="T80" s="6">
        <v>-0.29853454232215898</v>
      </c>
      <c r="U80" s="6">
        <v>1.2170922756195099</v>
      </c>
      <c r="V80" s="6">
        <v>-33.198471069335902</v>
      </c>
      <c r="W80" s="6">
        <v>-17.657794952392599</v>
      </c>
    </row>
    <row r="81" spans="1:23" ht="18.95" customHeight="1">
      <c r="A81" s="4">
        <v>77</v>
      </c>
      <c r="B81" s="4">
        <v>1629</v>
      </c>
      <c r="C81" s="4">
        <v>1</v>
      </c>
      <c r="D81" s="6">
        <v>0</v>
      </c>
      <c r="E81" s="6">
        <v>0</v>
      </c>
      <c r="F81" s="6">
        <v>-6.25E-2</v>
      </c>
      <c r="G81" s="6">
        <v>-0.125</v>
      </c>
      <c r="H81" s="6">
        <v>-6.25E-2</v>
      </c>
      <c r="I81" s="6">
        <v>1.6875</v>
      </c>
      <c r="J81" s="6">
        <v>-2.125</v>
      </c>
      <c r="K81" s="6">
        <v>-15.125</v>
      </c>
      <c r="L81" s="6">
        <v>0.125</v>
      </c>
      <c r="M81" s="6">
        <v>-6.25E-2</v>
      </c>
      <c r="N81" s="6">
        <v>-6.25E-2</v>
      </c>
      <c r="O81" s="6">
        <v>0.8125</v>
      </c>
      <c r="P81" s="6">
        <v>-2.0625</v>
      </c>
      <c r="Q81" s="6">
        <v>-39.125</v>
      </c>
      <c r="R81" s="6">
        <v>-5.7831287384033203E-2</v>
      </c>
      <c r="S81" s="6">
        <v>-1.62436962127686E-2</v>
      </c>
      <c r="T81" s="6">
        <v>-0.25273302197456399</v>
      </c>
      <c r="U81" s="6">
        <v>1.2043887376785301</v>
      </c>
      <c r="V81" s="6">
        <v>-33.206912994384801</v>
      </c>
      <c r="W81" s="6">
        <v>-17.659721374511701</v>
      </c>
    </row>
    <row r="82" spans="1:23" ht="18.95" customHeight="1">
      <c r="A82" s="4">
        <v>78</v>
      </c>
      <c r="B82" s="4">
        <v>1649</v>
      </c>
      <c r="C82" s="4">
        <v>1</v>
      </c>
      <c r="D82" s="6">
        <v>0</v>
      </c>
      <c r="E82" s="6">
        <v>0</v>
      </c>
      <c r="F82" s="6">
        <v>0</v>
      </c>
      <c r="G82" s="6">
        <v>-0.25</v>
      </c>
      <c r="H82" s="6">
        <v>0</v>
      </c>
      <c r="I82" s="6">
        <v>1.6875</v>
      </c>
      <c r="J82" s="6">
        <v>-2.125</v>
      </c>
      <c r="K82" s="6">
        <v>-15.125</v>
      </c>
      <c r="L82" s="6">
        <v>0</v>
      </c>
      <c r="M82" s="6">
        <v>-6.25E-2</v>
      </c>
      <c r="N82" s="6">
        <v>-6.25E-2</v>
      </c>
      <c r="O82" s="6">
        <v>0.8125</v>
      </c>
      <c r="P82" s="6">
        <v>-2.0625</v>
      </c>
      <c r="Q82" s="6">
        <v>-39.125</v>
      </c>
      <c r="R82" s="6">
        <v>4.9038887023925802E-2</v>
      </c>
      <c r="S82" s="6">
        <v>-1.62436962127686E-2</v>
      </c>
      <c r="T82" s="6">
        <v>6.7877650260925307E-2</v>
      </c>
      <c r="U82" s="6">
        <v>1.2077617645263701</v>
      </c>
      <c r="V82" s="6">
        <v>-33.223598480224602</v>
      </c>
      <c r="W82" s="6">
        <v>-17.6614780426025</v>
      </c>
    </row>
    <row r="83" spans="1:23" ht="18.95" customHeight="1">
      <c r="A83" s="4">
        <v>79</v>
      </c>
      <c r="B83" s="4">
        <v>1683</v>
      </c>
      <c r="C83" s="4">
        <v>1</v>
      </c>
      <c r="D83" s="6">
        <v>0</v>
      </c>
      <c r="E83" s="6">
        <v>0</v>
      </c>
      <c r="F83" s="6">
        <v>-6.25E-2</v>
      </c>
      <c r="G83" s="6">
        <v>0.1875</v>
      </c>
      <c r="H83" s="6">
        <v>0</v>
      </c>
      <c r="I83" s="6">
        <v>1.6875</v>
      </c>
      <c r="J83" s="6">
        <v>-2.125</v>
      </c>
      <c r="K83" s="6">
        <v>-15.125</v>
      </c>
      <c r="L83" s="6">
        <v>-6.25E-2</v>
      </c>
      <c r="M83" s="6">
        <v>6.25E-2</v>
      </c>
      <c r="N83" s="6">
        <v>0</v>
      </c>
      <c r="O83" s="6">
        <v>0.8125</v>
      </c>
      <c r="P83" s="6">
        <v>-2.0625</v>
      </c>
      <c r="Q83" s="6">
        <v>-39.125</v>
      </c>
      <c r="R83" s="6">
        <v>7.9573392868042006E-2</v>
      </c>
      <c r="S83" s="6">
        <v>7.5359344482421903E-2</v>
      </c>
      <c r="T83" s="6">
        <v>-0.100061237812042</v>
      </c>
      <c r="U83" s="6">
        <v>1.2061365842819201</v>
      </c>
      <c r="V83" s="6">
        <v>-33.226051330566399</v>
      </c>
      <c r="W83" s="6">
        <v>-17.6650791168213</v>
      </c>
    </row>
    <row r="84" spans="1:23" ht="18.95" customHeight="1">
      <c r="A84" s="4">
        <v>80</v>
      </c>
      <c r="B84" s="4">
        <v>1705</v>
      </c>
      <c r="C84" s="4">
        <v>1</v>
      </c>
      <c r="D84" s="6">
        <v>0</v>
      </c>
      <c r="E84" s="6">
        <v>0</v>
      </c>
      <c r="F84" s="6">
        <v>0</v>
      </c>
      <c r="G84" s="6">
        <v>0</v>
      </c>
      <c r="H84" s="6">
        <v>-0.1875</v>
      </c>
      <c r="I84" s="6">
        <v>1.6875</v>
      </c>
      <c r="J84" s="6">
        <v>-2.125</v>
      </c>
      <c r="K84" s="6">
        <v>-15.125</v>
      </c>
      <c r="L84" s="6">
        <v>0</v>
      </c>
      <c r="M84" s="6">
        <v>6.25E-2</v>
      </c>
      <c r="N84" s="6">
        <v>6.25E-2</v>
      </c>
      <c r="O84" s="6">
        <v>0.8125</v>
      </c>
      <c r="P84" s="6">
        <v>-2.0625</v>
      </c>
      <c r="Q84" s="6">
        <v>-39.125</v>
      </c>
      <c r="R84" s="6">
        <v>-8.8365554809570299E-2</v>
      </c>
      <c r="S84" s="6">
        <v>4.48250770568848E-2</v>
      </c>
      <c r="T84" s="6">
        <v>-0.14586275815963701</v>
      </c>
      <c r="U84" s="6">
        <v>1.2111134529113801</v>
      </c>
      <c r="V84" s="6">
        <v>-33.2281303405762</v>
      </c>
      <c r="W84" s="6">
        <v>-17.666866302490199</v>
      </c>
    </row>
    <row r="85" spans="1:23" ht="18.95" customHeight="1">
      <c r="A85" s="4">
        <v>81</v>
      </c>
      <c r="B85" s="4">
        <v>1725</v>
      </c>
      <c r="C85" s="4">
        <v>1</v>
      </c>
      <c r="D85" s="6">
        <v>0</v>
      </c>
      <c r="E85" s="6">
        <v>0</v>
      </c>
      <c r="F85" s="6">
        <v>-6.25E-2</v>
      </c>
      <c r="G85" s="6">
        <v>6.25E-2</v>
      </c>
      <c r="H85" s="6">
        <v>-6.25E-2</v>
      </c>
      <c r="I85" s="6">
        <v>1.6875</v>
      </c>
      <c r="J85" s="6">
        <v>-2.125</v>
      </c>
      <c r="K85" s="6">
        <v>-15.125</v>
      </c>
      <c r="L85" s="6">
        <v>6.25E-2</v>
      </c>
      <c r="M85" s="6">
        <v>0.25</v>
      </c>
      <c r="N85" s="6">
        <v>-0.125</v>
      </c>
      <c r="O85" s="6">
        <v>0.8125</v>
      </c>
      <c r="P85" s="6">
        <v>-2.0625</v>
      </c>
      <c r="Q85" s="6">
        <v>-39.125</v>
      </c>
      <c r="R85" s="6">
        <v>-0.118900060653687</v>
      </c>
      <c r="S85" s="6">
        <v>0.21276396512985199</v>
      </c>
      <c r="T85" s="6">
        <v>-0.206931471824646</v>
      </c>
      <c r="U85" s="6">
        <v>1.21397721767426</v>
      </c>
      <c r="V85" s="6">
        <v>-33.231891632080099</v>
      </c>
      <c r="W85" s="6">
        <v>-17.668531417846701</v>
      </c>
    </row>
    <row r="86" spans="1:23" ht="18.95" customHeight="1">
      <c r="A86" s="4">
        <v>82</v>
      </c>
      <c r="B86" s="4">
        <v>1745</v>
      </c>
      <c r="C86" s="4">
        <v>1</v>
      </c>
      <c r="D86" s="6">
        <v>0</v>
      </c>
      <c r="E86" s="6">
        <v>0</v>
      </c>
      <c r="F86" s="6">
        <v>0</v>
      </c>
      <c r="G86" s="6">
        <v>0.125</v>
      </c>
      <c r="H86" s="6">
        <v>0</v>
      </c>
      <c r="I86" s="6">
        <v>1.6875</v>
      </c>
      <c r="J86" s="6">
        <v>-2.125</v>
      </c>
      <c r="K86" s="6">
        <v>-15.125</v>
      </c>
      <c r="L86" s="6">
        <v>0.125</v>
      </c>
      <c r="M86" s="6">
        <v>0</v>
      </c>
      <c r="N86" s="6">
        <v>-6.25E-2</v>
      </c>
      <c r="O86" s="6">
        <v>0.8125</v>
      </c>
      <c r="P86" s="6">
        <v>-2.0625</v>
      </c>
      <c r="Q86" s="6">
        <v>-39.125</v>
      </c>
      <c r="R86" s="6">
        <v>-4.25641536712646E-2</v>
      </c>
      <c r="S86" s="6">
        <v>0.151695251464844</v>
      </c>
      <c r="T86" s="6">
        <v>-0.206931471824646</v>
      </c>
      <c r="U86" s="6">
        <v>1.2144615650177</v>
      </c>
      <c r="V86" s="6">
        <v>-33.222858428955099</v>
      </c>
      <c r="W86" s="6">
        <v>-17.670753479003899</v>
      </c>
    </row>
    <row r="87" spans="1:23" ht="18.95" customHeight="1">
      <c r="A87" s="4">
        <v>83</v>
      </c>
      <c r="B87" s="4">
        <v>1765</v>
      </c>
      <c r="C87" s="4">
        <v>1</v>
      </c>
      <c r="D87" s="6">
        <v>0</v>
      </c>
      <c r="E87" s="6">
        <v>0</v>
      </c>
      <c r="F87" s="6">
        <v>6.25E-2</v>
      </c>
      <c r="G87" s="6">
        <v>6.25E-2</v>
      </c>
      <c r="H87" s="6">
        <v>6.25E-2</v>
      </c>
      <c r="I87" s="6">
        <v>1.6875</v>
      </c>
      <c r="J87" s="6">
        <v>-2.125</v>
      </c>
      <c r="K87" s="6">
        <v>-15.125</v>
      </c>
      <c r="L87" s="6">
        <v>0.125</v>
      </c>
      <c r="M87" s="6">
        <v>-6.25E-2</v>
      </c>
      <c r="N87" s="6">
        <v>0</v>
      </c>
      <c r="O87" s="6">
        <v>0.8125</v>
      </c>
      <c r="P87" s="6">
        <v>-2.0625</v>
      </c>
      <c r="Q87" s="6">
        <v>-39.125</v>
      </c>
      <c r="R87" s="6">
        <v>-0.14943432807922399</v>
      </c>
      <c r="S87" s="6">
        <v>-4.6777963638305699E-2</v>
      </c>
      <c r="T87" s="6">
        <v>2.2076129913330099E-2</v>
      </c>
      <c r="U87" s="6">
        <v>1.23152339458466</v>
      </c>
      <c r="V87" s="6">
        <v>-33.210536956787102</v>
      </c>
      <c r="W87" s="6">
        <v>-17.673486709594702</v>
      </c>
    </row>
    <row r="88" spans="1:23" ht="18.95" customHeight="1">
      <c r="A88" s="4">
        <v>84</v>
      </c>
      <c r="B88" s="4">
        <v>1785</v>
      </c>
      <c r="C88" s="4">
        <v>1</v>
      </c>
      <c r="D88" s="6">
        <v>0</v>
      </c>
      <c r="E88" s="6">
        <v>0</v>
      </c>
      <c r="F88" s="6">
        <v>0</v>
      </c>
      <c r="G88" s="6">
        <v>-6.25E-2</v>
      </c>
      <c r="H88" s="6">
        <v>0.25</v>
      </c>
      <c r="I88" s="6">
        <v>1.6875</v>
      </c>
      <c r="J88" s="6">
        <v>-2.125</v>
      </c>
      <c r="K88" s="6">
        <v>-15.125</v>
      </c>
      <c r="L88" s="6">
        <v>0.125</v>
      </c>
      <c r="M88" s="6">
        <v>0.1875</v>
      </c>
      <c r="N88" s="6">
        <v>-6.25E-2</v>
      </c>
      <c r="O88" s="6">
        <v>0.8125</v>
      </c>
      <c r="P88" s="6">
        <v>-2.0625</v>
      </c>
      <c r="Q88" s="6">
        <v>-39.125</v>
      </c>
      <c r="R88" s="6">
        <v>-1.2029886245727499E-2</v>
      </c>
      <c r="S88" s="6">
        <v>-9.2579483985900907E-2</v>
      </c>
      <c r="T88" s="6">
        <v>-2.3725390434265099E-2</v>
      </c>
      <c r="U88" s="6">
        <v>1.2300875186920199</v>
      </c>
      <c r="V88" s="6">
        <v>-33.203029632568402</v>
      </c>
      <c r="W88" s="6">
        <v>-17.6748371124268</v>
      </c>
    </row>
    <row r="89" spans="1:23" ht="18.95" customHeight="1">
      <c r="A89" s="4">
        <v>85</v>
      </c>
      <c r="B89" s="4">
        <v>1805</v>
      </c>
      <c r="C89" s="4">
        <v>1</v>
      </c>
      <c r="D89" s="6">
        <v>0</v>
      </c>
      <c r="E89" s="6">
        <v>0</v>
      </c>
      <c r="F89" s="6">
        <v>6.25E-2</v>
      </c>
      <c r="G89" s="6">
        <v>-6.25E-2</v>
      </c>
      <c r="H89" s="6">
        <v>-6.25E-2</v>
      </c>
      <c r="I89" s="6">
        <v>1.6875</v>
      </c>
      <c r="J89" s="6">
        <v>-2.125</v>
      </c>
      <c r="K89" s="6">
        <v>-15.125</v>
      </c>
      <c r="L89" s="6">
        <v>-6.25E-2</v>
      </c>
      <c r="M89" s="6">
        <v>-6.25E-2</v>
      </c>
      <c r="N89" s="6">
        <v>-0.125</v>
      </c>
      <c r="O89" s="6">
        <v>0.8125</v>
      </c>
      <c r="P89" s="6">
        <v>-2.0625</v>
      </c>
      <c r="Q89" s="6">
        <v>-39.125</v>
      </c>
      <c r="R89" s="6">
        <v>7.9573392868042006E-2</v>
      </c>
      <c r="S89" s="6">
        <v>1.42906904220581E-2</v>
      </c>
      <c r="T89" s="6">
        <v>-6.9526910781860393E-2</v>
      </c>
      <c r="U89" s="6">
        <v>1.2459509372711199</v>
      </c>
      <c r="V89" s="6">
        <v>-33.207347869872997</v>
      </c>
      <c r="W89" s="6">
        <v>-17.677333831787099</v>
      </c>
    </row>
    <row r="90" spans="1:23" ht="18.95" customHeight="1">
      <c r="A90" s="4">
        <v>86</v>
      </c>
      <c r="B90" s="4">
        <v>1825</v>
      </c>
      <c r="C90" s="4">
        <v>1</v>
      </c>
      <c r="D90" s="6">
        <v>0</v>
      </c>
      <c r="E90" s="6">
        <v>0</v>
      </c>
      <c r="F90" s="6">
        <v>0</v>
      </c>
      <c r="G90" s="6">
        <v>-6.25E-2</v>
      </c>
      <c r="H90" s="6">
        <v>0</v>
      </c>
      <c r="I90" s="6">
        <v>1.6875</v>
      </c>
      <c r="J90" s="6">
        <v>-2.125</v>
      </c>
      <c r="K90" s="6">
        <v>-15.125</v>
      </c>
      <c r="L90" s="6">
        <v>0.125</v>
      </c>
      <c r="M90" s="6">
        <v>0.25</v>
      </c>
      <c r="N90" s="6">
        <v>0</v>
      </c>
      <c r="O90" s="6">
        <v>0.8125</v>
      </c>
      <c r="P90" s="6">
        <v>-2.0625</v>
      </c>
      <c r="Q90" s="6">
        <v>-39.125</v>
      </c>
      <c r="R90" s="6">
        <v>-0.103632926940918</v>
      </c>
      <c r="S90" s="6">
        <v>0.10589373111724899</v>
      </c>
      <c r="T90" s="6">
        <v>6.7877650260925307E-2</v>
      </c>
      <c r="U90" s="6">
        <v>1.23490858078003</v>
      </c>
      <c r="V90" s="6">
        <v>-33.198780059814503</v>
      </c>
      <c r="W90" s="6">
        <v>-17.6793022155762</v>
      </c>
    </row>
    <row r="91" spans="1:23" ht="18.95" customHeight="1">
      <c r="A91" s="4">
        <v>87</v>
      </c>
      <c r="B91" s="4">
        <v>1846</v>
      </c>
      <c r="C91" s="4">
        <v>1</v>
      </c>
      <c r="D91" s="6">
        <v>0</v>
      </c>
      <c r="E91" s="6">
        <v>0</v>
      </c>
      <c r="F91" s="6">
        <v>-0.125</v>
      </c>
      <c r="G91" s="6">
        <v>-6.25E-2</v>
      </c>
      <c r="H91" s="6">
        <v>6.25E-2</v>
      </c>
      <c r="I91" s="6">
        <v>1.6875</v>
      </c>
      <c r="J91" s="6">
        <v>-2.125</v>
      </c>
      <c r="K91" s="6">
        <v>-15.125</v>
      </c>
      <c r="L91" s="6">
        <v>0</v>
      </c>
      <c r="M91" s="6">
        <v>0</v>
      </c>
      <c r="N91" s="6">
        <v>6.25E-2</v>
      </c>
      <c r="O91" s="6">
        <v>0.8125</v>
      </c>
      <c r="P91" s="6">
        <v>-2.0625</v>
      </c>
      <c r="Q91" s="6">
        <v>-39.125</v>
      </c>
      <c r="R91" s="6">
        <v>-5.7831287384033203E-2</v>
      </c>
      <c r="S91" s="6">
        <v>0.10589373111724899</v>
      </c>
      <c r="T91" s="6">
        <v>-0.13059562444686901</v>
      </c>
      <c r="U91" s="6">
        <v>1.2347668409347501</v>
      </c>
      <c r="V91" s="6">
        <v>-33.200515747070298</v>
      </c>
      <c r="W91" s="6">
        <v>-17.681301116943398</v>
      </c>
    </row>
    <row r="92" spans="1:23" ht="18.95" customHeight="1">
      <c r="A92" s="4">
        <v>88</v>
      </c>
      <c r="B92" s="4">
        <v>1868</v>
      </c>
      <c r="C92" s="4">
        <v>1</v>
      </c>
      <c r="D92" s="6">
        <v>0</v>
      </c>
      <c r="E92" s="6">
        <v>0</v>
      </c>
      <c r="F92" s="6">
        <v>-6.25E-2</v>
      </c>
      <c r="G92" s="6">
        <v>0</v>
      </c>
      <c r="H92" s="6">
        <v>6.25E-2</v>
      </c>
      <c r="I92" s="6">
        <v>1.6875</v>
      </c>
      <c r="J92" s="6">
        <v>-2.125</v>
      </c>
      <c r="K92" s="6">
        <v>-15.125</v>
      </c>
      <c r="L92" s="6">
        <v>6.25E-2</v>
      </c>
      <c r="M92" s="6">
        <v>-6.25E-2</v>
      </c>
      <c r="N92" s="6">
        <v>-6.25E-2</v>
      </c>
      <c r="O92" s="6">
        <v>0.8125</v>
      </c>
      <c r="P92" s="6">
        <v>-2.0625</v>
      </c>
      <c r="Q92" s="6">
        <v>-39.125</v>
      </c>
      <c r="R92" s="6">
        <v>0.12537479400634799</v>
      </c>
      <c r="S92" s="6">
        <v>-9.76443290710449E-4</v>
      </c>
      <c r="T92" s="6">
        <v>-0.13059562444686901</v>
      </c>
      <c r="U92" s="6">
        <v>1.2333730459213299</v>
      </c>
      <c r="V92" s="6">
        <v>-33.201637268066399</v>
      </c>
      <c r="W92" s="6">
        <v>-17.683027267456101</v>
      </c>
    </row>
    <row r="93" spans="1:23" ht="18.95" customHeight="1">
      <c r="A93" s="4">
        <v>89</v>
      </c>
      <c r="B93" s="4">
        <v>1890</v>
      </c>
      <c r="C93" s="4">
        <v>1</v>
      </c>
      <c r="D93" s="6">
        <v>0</v>
      </c>
      <c r="E93" s="6">
        <v>0</v>
      </c>
      <c r="F93" s="6">
        <v>0</v>
      </c>
      <c r="G93" s="6">
        <v>6.25E-2</v>
      </c>
      <c r="H93" s="6">
        <v>0</v>
      </c>
      <c r="I93" s="6">
        <v>1.6875</v>
      </c>
      <c r="J93" s="6">
        <v>-2.125</v>
      </c>
      <c r="K93" s="6">
        <v>-15.125</v>
      </c>
      <c r="L93" s="6">
        <v>6.25E-2</v>
      </c>
      <c r="M93" s="6">
        <v>0.125</v>
      </c>
      <c r="N93" s="6">
        <v>0</v>
      </c>
      <c r="O93" s="6">
        <v>0.8125</v>
      </c>
      <c r="P93" s="6">
        <v>-2.0625</v>
      </c>
      <c r="Q93" s="6">
        <v>-39.125</v>
      </c>
      <c r="R93" s="6">
        <v>3.2374858856201198E-3</v>
      </c>
      <c r="S93" s="6">
        <v>-6.2045216560363797E-2</v>
      </c>
      <c r="T93" s="6">
        <v>-8.4581971168518101E-3</v>
      </c>
      <c r="U93" s="6">
        <v>1.2376570701599101</v>
      </c>
      <c r="V93" s="6">
        <v>-33.214061737060497</v>
      </c>
      <c r="W93" s="6">
        <v>-17.6849365234375</v>
      </c>
    </row>
    <row r="94" spans="1:23" ht="18.95" customHeight="1">
      <c r="A94" s="4">
        <v>90</v>
      </c>
      <c r="B94" s="4">
        <v>1912</v>
      </c>
      <c r="C94" s="4">
        <v>1</v>
      </c>
      <c r="D94" s="6">
        <v>0</v>
      </c>
      <c r="E94" s="6">
        <v>0</v>
      </c>
      <c r="F94" s="6">
        <v>-6.25E-2</v>
      </c>
      <c r="G94" s="6">
        <v>0.1875</v>
      </c>
      <c r="H94" s="6">
        <v>6.25E-2</v>
      </c>
      <c r="I94" s="6">
        <v>1.6875</v>
      </c>
      <c r="J94" s="6">
        <v>-2.125</v>
      </c>
      <c r="K94" s="6">
        <v>-15.125</v>
      </c>
      <c r="L94" s="6">
        <v>0</v>
      </c>
      <c r="M94" s="6">
        <v>0</v>
      </c>
      <c r="N94" s="6">
        <v>-6.25E-2</v>
      </c>
      <c r="O94" s="6">
        <v>0.8125</v>
      </c>
      <c r="P94" s="6">
        <v>-2.0625</v>
      </c>
      <c r="Q94" s="6">
        <v>-39.125</v>
      </c>
      <c r="R94" s="6">
        <v>-1.2029886245727499E-2</v>
      </c>
      <c r="S94" s="6">
        <v>-6.2045216560363797E-2</v>
      </c>
      <c r="T94" s="6">
        <v>-0.100061237812042</v>
      </c>
      <c r="U94" s="6">
        <v>1.2423576116561901</v>
      </c>
      <c r="V94" s="6">
        <v>-33.207748413085902</v>
      </c>
      <c r="W94" s="6">
        <v>-17.688663482666001</v>
      </c>
    </row>
    <row r="95" spans="1:23" ht="18.95" customHeight="1">
      <c r="A95" s="4">
        <v>91</v>
      </c>
      <c r="B95" s="4">
        <v>1932</v>
      </c>
      <c r="C95" s="4">
        <v>1</v>
      </c>
      <c r="D95" s="6">
        <v>0</v>
      </c>
      <c r="E95" s="6">
        <v>0</v>
      </c>
      <c r="F95" s="6">
        <v>-6.25E-2</v>
      </c>
      <c r="G95" s="6">
        <v>0</v>
      </c>
      <c r="H95" s="6">
        <v>0</v>
      </c>
      <c r="I95" s="6">
        <v>1.6875</v>
      </c>
      <c r="J95" s="6">
        <v>-2.125</v>
      </c>
      <c r="K95" s="6">
        <v>-15.125</v>
      </c>
      <c r="L95" s="6">
        <v>-6.25E-2</v>
      </c>
      <c r="M95" s="6">
        <v>0</v>
      </c>
      <c r="N95" s="6">
        <v>0</v>
      </c>
      <c r="O95" s="6">
        <v>0.8125</v>
      </c>
      <c r="P95" s="6">
        <v>-2.0625</v>
      </c>
      <c r="Q95" s="6">
        <v>-39.125</v>
      </c>
      <c r="R95" s="6">
        <v>-0.17996859550476099</v>
      </c>
      <c r="S95" s="6">
        <v>0.19749677181243899</v>
      </c>
      <c r="T95" s="6">
        <v>-0.14586275815963701</v>
      </c>
      <c r="U95" s="6">
        <v>1.22696697711945</v>
      </c>
      <c r="V95" s="6">
        <v>-33.216102600097699</v>
      </c>
      <c r="W95" s="6">
        <v>-17.6917324066162</v>
      </c>
    </row>
    <row r="96" spans="1:23" ht="18.95" customHeight="1">
      <c r="A96" s="4">
        <v>92</v>
      </c>
      <c r="B96" s="4">
        <v>1954</v>
      </c>
      <c r="C96" s="4">
        <v>1</v>
      </c>
      <c r="D96" s="6">
        <v>0</v>
      </c>
      <c r="E96" s="6">
        <v>0</v>
      </c>
      <c r="F96" s="6">
        <v>0</v>
      </c>
      <c r="G96" s="6">
        <v>-0.125</v>
      </c>
      <c r="H96" s="6">
        <v>0.1875</v>
      </c>
      <c r="I96" s="6">
        <v>1.6875</v>
      </c>
      <c r="J96" s="6">
        <v>-2.125</v>
      </c>
      <c r="K96" s="6">
        <v>-15.125</v>
      </c>
      <c r="L96" s="6">
        <v>0</v>
      </c>
      <c r="M96" s="6">
        <v>0</v>
      </c>
      <c r="N96" s="6">
        <v>0</v>
      </c>
      <c r="O96" s="6">
        <v>0.8125</v>
      </c>
      <c r="P96" s="6">
        <v>-2.0625</v>
      </c>
      <c r="Q96" s="6">
        <v>-39.125</v>
      </c>
      <c r="R96" s="6">
        <v>-5.7831287384033203E-2</v>
      </c>
      <c r="S96" s="6">
        <v>0.22803115844726601</v>
      </c>
      <c r="T96" s="6">
        <v>0.11367923021316501</v>
      </c>
      <c r="U96" s="6">
        <v>1.23679399490356</v>
      </c>
      <c r="V96" s="6">
        <v>-33.214565277099602</v>
      </c>
      <c r="W96" s="6">
        <v>-17.692588806152301</v>
      </c>
    </row>
    <row r="97" spans="1:23" ht="18.95" customHeight="1">
      <c r="A97" s="4">
        <v>93</v>
      </c>
      <c r="B97" s="4">
        <v>1976</v>
      </c>
      <c r="C97" s="4">
        <v>1</v>
      </c>
      <c r="D97" s="6">
        <v>0</v>
      </c>
      <c r="E97" s="6">
        <v>0</v>
      </c>
      <c r="F97" s="6">
        <v>-6.25E-2</v>
      </c>
      <c r="G97" s="6">
        <v>6.25E-2</v>
      </c>
      <c r="H97" s="6">
        <v>6.25E-2</v>
      </c>
      <c r="I97" s="6">
        <v>1.6875</v>
      </c>
      <c r="J97" s="6">
        <v>-2.125</v>
      </c>
      <c r="K97" s="6">
        <v>-15.125</v>
      </c>
      <c r="L97" s="6">
        <v>0</v>
      </c>
      <c r="M97" s="6">
        <v>-6.25E-2</v>
      </c>
      <c r="N97" s="6">
        <v>0.125</v>
      </c>
      <c r="O97" s="6">
        <v>0.8125</v>
      </c>
      <c r="P97" s="6">
        <v>-2.0625</v>
      </c>
      <c r="Q97" s="6">
        <v>-39.125</v>
      </c>
      <c r="R97" s="6">
        <v>-2.7297019958496101E-2</v>
      </c>
      <c r="S97" s="6">
        <v>9.0626597404479994E-2</v>
      </c>
      <c r="T97" s="6">
        <v>2.2076129913330099E-2</v>
      </c>
      <c r="U97" s="6">
        <v>1.2238470315933201</v>
      </c>
      <c r="V97" s="6">
        <v>-33.214439392089801</v>
      </c>
      <c r="W97" s="6">
        <v>-17.6944675445557</v>
      </c>
    </row>
    <row r="98" spans="1:23" ht="18.95" customHeight="1">
      <c r="A98" s="4">
        <v>94</v>
      </c>
      <c r="B98" s="4">
        <v>1998</v>
      </c>
      <c r="C98" s="4">
        <v>1</v>
      </c>
      <c r="D98" s="6">
        <v>0</v>
      </c>
      <c r="E98" s="6">
        <v>0</v>
      </c>
      <c r="F98" s="6">
        <v>-6.25E-2</v>
      </c>
      <c r="G98" s="6">
        <v>-6.25E-2</v>
      </c>
      <c r="H98" s="6">
        <v>0</v>
      </c>
      <c r="I98" s="6">
        <v>1.6875</v>
      </c>
      <c r="J98" s="6">
        <v>-2.125</v>
      </c>
      <c r="K98" s="6">
        <v>-15.125</v>
      </c>
      <c r="L98" s="6">
        <v>0</v>
      </c>
      <c r="M98" s="6">
        <v>0.125</v>
      </c>
      <c r="N98" s="6">
        <v>-0.125</v>
      </c>
      <c r="O98" s="6">
        <v>0.8125</v>
      </c>
      <c r="P98" s="6">
        <v>-2.0625</v>
      </c>
      <c r="Q98" s="6">
        <v>-39.125</v>
      </c>
      <c r="R98" s="6">
        <v>4.9038887023925802E-2</v>
      </c>
      <c r="S98" s="6">
        <v>0.12116086483001701</v>
      </c>
      <c r="T98" s="6">
        <v>-5.4259717464447001E-2</v>
      </c>
      <c r="U98" s="6">
        <v>1.2254955768585201</v>
      </c>
      <c r="V98" s="6">
        <v>-33.217628479003899</v>
      </c>
      <c r="W98" s="6">
        <v>-17.696231842041001</v>
      </c>
    </row>
    <row r="99" spans="1:23" ht="18.95" customHeight="1">
      <c r="A99" s="4">
        <v>95</v>
      </c>
      <c r="B99" s="4">
        <v>2018</v>
      </c>
      <c r="C99" s="4">
        <v>1</v>
      </c>
      <c r="D99" s="6">
        <v>0</v>
      </c>
      <c r="E99" s="6">
        <v>0</v>
      </c>
      <c r="F99" s="6">
        <v>0</v>
      </c>
      <c r="G99" s="6">
        <v>6.25E-2</v>
      </c>
      <c r="H99" s="6">
        <v>6.25E-2</v>
      </c>
      <c r="I99" s="6">
        <v>1.6875</v>
      </c>
      <c r="J99" s="6">
        <v>-2.125</v>
      </c>
      <c r="K99" s="6">
        <v>-15.125</v>
      </c>
      <c r="L99" s="6">
        <v>6.25E-2</v>
      </c>
      <c r="M99" s="6">
        <v>6.25E-2</v>
      </c>
      <c r="N99" s="6">
        <v>-0.125</v>
      </c>
      <c r="O99" s="6">
        <v>0.8125</v>
      </c>
      <c r="P99" s="6">
        <v>-2.0625</v>
      </c>
      <c r="Q99" s="6">
        <v>-39.125</v>
      </c>
      <c r="R99" s="6">
        <v>6.4306020736694294E-2</v>
      </c>
      <c r="S99" s="6">
        <v>9.0626597404479994E-2</v>
      </c>
      <c r="T99" s="6">
        <v>0.128946363925934</v>
      </c>
      <c r="U99" s="6">
        <v>1.2036170959472701</v>
      </c>
      <c r="V99" s="6">
        <v>-33.218097686767599</v>
      </c>
      <c r="W99" s="6">
        <v>-17.699031829833999</v>
      </c>
    </row>
    <row r="100" spans="1:23" ht="18.95" customHeight="1">
      <c r="A100" s="4">
        <v>96</v>
      </c>
      <c r="B100" s="4">
        <v>2039</v>
      </c>
      <c r="C100" s="4">
        <v>1</v>
      </c>
      <c r="D100" s="6">
        <v>0</v>
      </c>
      <c r="E100" s="6">
        <v>0</v>
      </c>
      <c r="F100" s="6">
        <v>0</v>
      </c>
      <c r="G100" s="6">
        <v>6.25E-2</v>
      </c>
      <c r="H100" s="6">
        <v>-6.25E-2</v>
      </c>
      <c r="I100" s="6">
        <v>1.6875</v>
      </c>
      <c r="J100" s="6">
        <v>-2.125</v>
      </c>
      <c r="K100" s="6">
        <v>-15.125</v>
      </c>
      <c r="L100" s="6">
        <v>0</v>
      </c>
      <c r="M100" s="6">
        <v>0.1875</v>
      </c>
      <c r="N100" s="6">
        <v>6.25E-2</v>
      </c>
      <c r="O100" s="6">
        <v>0.8125</v>
      </c>
      <c r="P100" s="6">
        <v>-2.0625</v>
      </c>
      <c r="Q100" s="6">
        <v>-39.125</v>
      </c>
      <c r="R100" s="6">
        <v>-1.2029886245727499E-2</v>
      </c>
      <c r="S100" s="6">
        <v>-7.7312350273132296E-2</v>
      </c>
      <c r="T100" s="6">
        <v>6.80899620056152E-3</v>
      </c>
      <c r="U100" s="6">
        <v>1.2088887691497801</v>
      </c>
      <c r="V100" s="6">
        <v>-33.215057373046903</v>
      </c>
      <c r="W100" s="6">
        <v>-17.700841903686499</v>
      </c>
    </row>
    <row r="101" spans="1:23" ht="18.95" customHeight="1">
      <c r="A101" s="4">
        <v>97</v>
      </c>
      <c r="B101" s="4">
        <v>2059</v>
      </c>
      <c r="C101" s="4">
        <v>1</v>
      </c>
      <c r="D101" s="6">
        <v>0</v>
      </c>
      <c r="E101" s="6">
        <v>0</v>
      </c>
      <c r="F101" s="6">
        <v>0</v>
      </c>
      <c r="G101" s="6">
        <v>-0.1875</v>
      </c>
      <c r="H101" s="6">
        <v>0.125</v>
      </c>
      <c r="I101" s="6">
        <v>1.6875</v>
      </c>
      <c r="J101" s="6">
        <v>-2.125</v>
      </c>
      <c r="K101" s="6">
        <v>-15.125</v>
      </c>
      <c r="L101" s="6">
        <v>6.25E-2</v>
      </c>
      <c r="M101" s="6">
        <v>-6.25E-2</v>
      </c>
      <c r="N101" s="6">
        <v>-0.125</v>
      </c>
      <c r="O101" s="6">
        <v>0.8125</v>
      </c>
      <c r="P101" s="6">
        <v>-2.0625</v>
      </c>
      <c r="Q101" s="6">
        <v>-39.125</v>
      </c>
      <c r="R101" s="6">
        <v>-0.118900060653687</v>
      </c>
      <c r="S101" s="6">
        <v>0.12116086483001701</v>
      </c>
      <c r="T101" s="6">
        <v>0.11367923021316501</v>
      </c>
      <c r="U101" s="6">
        <v>1.20254898071289</v>
      </c>
      <c r="V101" s="6">
        <v>-33.202472686767599</v>
      </c>
      <c r="W101" s="6">
        <v>-17.702919006347699</v>
      </c>
    </row>
    <row r="102" spans="1:23" ht="18.95" customHeight="1">
      <c r="A102" s="4">
        <v>98</v>
      </c>
      <c r="B102" s="4">
        <v>2089</v>
      </c>
      <c r="C102" s="4">
        <v>1</v>
      </c>
      <c r="D102" s="6">
        <v>0</v>
      </c>
      <c r="E102" s="6">
        <v>0</v>
      </c>
      <c r="F102" s="6">
        <v>-0.125</v>
      </c>
      <c r="G102" s="6">
        <v>0.125</v>
      </c>
      <c r="H102" s="6">
        <v>6.25E-2</v>
      </c>
      <c r="I102" s="6">
        <v>1.6875</v>
      </c>
      <c r="J102" s="6">
        <v>-2.125</v>
      </c>
      <c r="K102" s="6">
        <v>-15.125</v>
      </c>
      <c r="L102" s="6">
        <v>-6.25E-2</v>
      </c>
      <c r="M102" s="6">
        <v>6.25E-2</v>
      </c>
      <c r="N102" s="6">
        <v>-0.1875</v>
      </c>
      <c r="O102" s="6">
        <v>0.8125</v>
      </c>
      <c r="P102" s="6">
        <v>-2.0625</v>
      </c>
      <c r="Q102" s="6">
        <v>-39.125</v>
      </c>
      <c r="R102" s="6">
        <v>-0.16470146179199199</v>
      </c>
      <c r="S102" s="6">
        <v>1.42906904220581E-2</v>
      </c>
      <c r="T102" s="6">
        <v>-6.9526910781860393E-2</v>
      </c>
      <c r="U102" s="6">
        <v>1.18963575363159</v>
      </c>
      <c r="V102" s="6">
        <v>-33.209011077880902</v>
      </c>
      <c r="W102" s="6">
        <v>-17.704271316528299</v>
      </c>
    </row>
    <row r="103" spans="1:23" ht="18.95" customHeight="1">
      <c r="A103" s="4">
        <v>99</v>
      </c>
      <c r="B103" s="4">
        <v>2110</v>
      </c>
      <c r="C103" s="4">
        <v>1</v>
      </c>
      <c r="D103" s="6">
        <v>0</v>
      </c>
      <c r="E103" s="6">
        <v>0</v>
      </c>
      <c r="F103" s="6">
        <v>0</v>
      </c>
      <c r="G103" s="6">
        <v>0</v>
      </c>
      <c r="H103" s="6">
        <v>-6.25E-2</v>
      </c>
      <c r="I103" s="6">
        <v>1.6875</v>
      </c>
      <c r="J103" s="6">
        <v>-2.125</v>
      </c>
      <c r="K103" s="6">
        <v>-15.125</v>
      </c>
      <c r="L103" s="6">
        <v>-6.25E-2</v>
      </c>
      <c r="M103" s="6">
        <v>-6.25E-2</v>
      </c>
      <c r="N103" s="6">
        <v>-6.25E-2</v>
      </c>
      <c r="O103" s="6">
        <v>0.8125</v>
      </c>
      <c r="P103" s="6">
        <v>-2.0625</v>
      </c>
      <c r="Q103" s="6">
        <v>-39.125</v>
      </c>
      <c r="R103" s="6">
        <v>4.9038887023925802E-2</v>
      </c>
      <c r="S103" s="6">
        <v>0.18222963809966999</v>
      </c>
      <c r="T103" s="6">
        <v>-3.8992583751678501E-2</v>
      </c>
      <c r="U103" s="6">
        <v>1.1936110258102399</v>
      </c>
      <c r="V103" s="6">
        <v>-33.214778900146499</v>
      </c>
      <c r="W103" s="6">
        <v>-17.7068767547607</v>
      </c>
    </row>
    <row r="104" spans="1:23" ht="18.95" customHeight="1">
      <c r="A104" s="4">
        <v>100</v>
      </c>
      <c r="B104" s="4">
        <v>2132</v>
      </c>
      <c r="C104" s="4">
        <v>1</v>
      </c>
      <c r="D104" s="6">
        <v>0</v>
      </c>
      <c r="E104" s="6">
        <v>0</v>
      </c>
      <c r="F104" s="6">
        <v>0</v>
      </c>
      <c r="G104" s="6">
        <v>6.25E-2</v>
      </c>
      <c r="H104" s="6">
        <v>-6.25E-2</v>
      </c>
      <c r="I104" s="6">
        <v>1.6875</v>
      </c>
      <c r="J104" s="6">
        <v>-2.125</v>
      </c>
      <c r="K104" s="6">
        <v>-15.125</v>
      </c>
      <c r="L104" s="6">
        <v>-0.125</v>
      </c>
      <c r="M104" s="6">
        <v>-0.125</v>
      </c>
      <c r="N104" s="6">
        <v>6.25E-2</v>
      </c>
      <c r="O104" s="6">
        <v>0.8125</v>
      </c>
      <c r="P104" s="6">
        <v>-2.0625</v>
      </c>
      <c r="Q104" s="6">
        <v>-39.125</v>
      </c>
      <c r="R104" s="6">
        <v>3.2374858856201198E-3</v>
      </c>
      <c r="S104" s="6">
        <v>-3.1510829925537102E-2</v>
      </c>
      <c r="T104" s="6">
        <v>-0.13059562444686901</v>
      </c>
      <c r="U104" s="6">
        <v>1.18847119808197</v>
      </c>
      <c r="V104" s="6">
        <v>-33.232959747314503</v>
      </c>
      <c r="W104" s="6">
        <v>-17.7101230621338</v>
      </c>
    </row>
    <row r="105" spans="1:23" ht="18.95" customHeight="1">
      <c r="A105" s="4">
        <v>101</v>
      </c>
      <c r="B105" s="4">
        <v>2152</v>
      </c>
      <c r="C105" s="4">
        <v>1</v>
      </c>
      <c r="D105" s="6">
        <v>0</v>
      </c>
      <c r="E105" s="6">
        <v>0</v>
      </c>
      <c r="F105" s="6">
        <v>0</v>
      </c>
      <c r="G105" s="6">
        <v>6.25E-2</v>
      </c>
      <c r="H105" s="6">
        <v>0</v>
      </c>
      <c r="I105" s="6">
        <v>1.6875</v>
      </c>
      <c r="J105" s="6">
        <v>-2.125</v>
      </c>
      <c r="K105" s="6">
        <v>-15.125</v>
      </c>
      <c r="L105" s="6">
        <v>6.25E-2</v>
      </c>
      <c r="M105" s="6">
        <v>0</v>
      </c>
      <c r="N105" s="6">
        <v>6.25E-2</v>
      </c>
      <c r="O105" s="6">
        <v>0.8125</v>
      </c>
      <c r="P105" s="6">
        <v>-2.0625</v>
      </c>
      <c r="Q105" s="6">
        <v>-39.125</v>
      </c>
      <c r="R105" s="6">
        <v>-4.25641536712646E-2</v>
      </c>
      <c r="S105" s="6">
        <v>0.21276396512985199</v>
      </c>
      <c r="T105" s="6">
        <v>-0.22219866514205899</v>
      </c>
      <c r="U105" s="6">
        <v>1.1941658258438099</v>
      </c>
      <c r="V105" s="6">
        <v>-33.240100860595703</v>
      </c>
      <c r="W105" s="6">
        <v>-17.7133979797363</v>
      </c>
    </row>
    <row r="106" spans="1:23" ht="18.95" customHeight="1">
      <c r="A106" s="4">
        <v>102</v>
      </c>
      <c r="B106" s="4">
        <v>2175</v>
      </c>
      <c r="C106" s="4">
        <v>1</v>
      </c>
      <c r="D106" s="6">
        <v>0</v>
      </c>
      <c r="E106" s="6">
        <v>0</v>
      </c>
      <c r="F106" s="6">
        <v>6.25E-2</v>
      </c>
      <c r="G106" s="6">
        <v>0.125</v>
      </c>
      <c r="H106" s="6">
        <v>0</v>
      </c>
      <c r="I106" s="6">
        <v>1.6875</v>
      </c>
      <c r="J106" s="6">
        <v>-2.125</v>
      </c>
      <c r="K106" s="6">
        <v>-15.125</v>
      </c>
      <c r="L106" s="6">
        <v>0</v>
      </c>
      <c r="M106" s="6">
        <v>6.25E-2</v>
      </c>
      <c r="N106" s="6">
        <v>6.25E-2</v>
      </c>
      <c r="O106" s="6">
        <v>0.8125</v>
      </c>
      <c r="P106" s="6">
        <v>-2.0625</v>
      </c>
      <c r="Q106" s="6">
        <v>-39.125</v>
      </c>
      <c r="R106" s="6">
        <v>-5.7831287384033203E-2</v>
      </c>
      <c r="S106" s="6">
        <v>4.48250770568848E-2</v>
      </c>
      <c r="T106" s="6">
        <v>-0.13059562444686901</v>
      </c>
      <c r="U106" s="6">
        <v>1.2096136808395399</v>
      </c>
      <c r="V106" s="6">
        <v>-33.2459716796875</v>
      </c>
      <c r="W106" s="6">
        <v>-17.7148132324219</v>
      </c>
    </row>
    <row r="107" spans="1:23" ht="18.95" customHeight="1">
      <c r="A107" s="4">
        <v>103</v>
      </c>
      <c r="B107" s="4">
        <v>2196</v>
      </c>
      <c r="C107" s="4">
        <v>1</v>
      </c>
      <c r="D107" s="6">
        <v>0</v>
      </c>
      <c r="E107" s="6">
        <v>0</v>
      </c>
      <c r="F107" s="6">
        <v>-6.25E-2</v>
      </c>
      <c r="G107" s="6">
        <v>-0.125</v>
      </c>
      <c r="H107" s="6">
        <v>6.25E-2</v>
      </c>
      <c r="I107" s="6">
        <v>1.6875</v>
      </c>
      <c r="J107" s="6">
        <v>-2.125</v>
      </c>
      <c r="K107" s="6">
        <v>-15.125</v>
      </c>
      <c r="L107" s="6">
        <v>0</v>
      </c>
      <c r="M107" s="6">
        <v>6.25E-2</v>
      </c>
      <c r="N107" s="6">
        <v>6.25E-2</v>
      </c>
      <c r="O107" s="6">
        <v>0.8125</v>
      </c>
      <c r="P107" s="6">
        <v>-2.0625</v>
      </c>
      <c r="Q107" s="6">
        <v>-39.125</v>
      </c>
      <c r="R107" s="6">
        <v>4.9038887023925802E-2</v>
      </c>
      <c r="S107" s="6">
        <v>9.0626597404479994E-2</v>
      </c>
      <c r="T107" s="6">
        <v>5.2610516548156697E-2</v>
      </c>
      <c r="U107" s="6">
        <v>1.2221941947937001</v>
      </c>
      <c r="V107" s="6">
        <v>-33.244956970214801</v>
      </c>
      <c r="W107" s="6">
        <v>-17.7178134918213</v>
      </c>
    </row>
    <row r="108" spans="1:23" ht="18.95" customHeight="1">
      <c r="A108" s="4">
        <v>104</v>
      </c>
      <c r="B108" s="4">
        <v>2217</v>
      </c>
      <c r="C108" s="4">
        <v>1</v>
      </c>
      <c r="D108" s="6">
        <v>0</v>
      </c>
      <c r="E108" s="6">
        <v>0</v>
      </c>
      <c r="F108" s="6">
        <v>-6.25E-2</v>
      </c>
      <c r="G108" s="6">
        <v>-6.25E-2</v>
      </c>
      <c r="H108" s="6">
        <v>0</v>
      </c>
      <c r="I108" s="6">
        <v>1.6875</v>
      </c>
      <c r="J108" s="6">
        <v>-2.125</v>
      </c>
      <c r="K108" s="6">
        <v>-15.125</v>
      </c>
      <c r="L108" s="6">
        <v>-6.25E-2</v>
      </c>
      <c r="M108" s="6">
        <v>0</v>
      </c>
      <c r="N108" s="6">
        <v>0</v>
      </c>
      <c r="O108" s="6">
        <v>0.8125</v>
      </c>
      <c r="P108" s="6">
        <v>-2.0625</v>
      </c>
      <c r="Q108" s="6">
        <v>-39.125</v>
      </c>
      <c r="R108" s="6">
        <v>-0.13416719436645499</v>
      </c>
      <c r="S108" s="6">
        <v>4.48250770568848E-2</v>
      </c>
      <c r="T108" s="6">
        <v>8.3144843578338595E-2</v>
      </c>
      <c r="U108" s="6">
        <v>1.2214009761810301</v>
      </c>
      <c r="V108" s="6">
        <v>-33.254817962646499</v>
      </c>
      <c r="W108" s="6">
        <v>-17.719242095947301</v>
      </c>
    </row>
    <row r="109" spans="1:23" ht="18.95" customHeight="1">
      <c r="A109" s="4">
        <v>105</v>
      </c>
      <c r="B109" s="4">
        <v>2237</v>
      </c>
      <c r="C109" s="4">
        <v>1</v>
      </c>
      <c r="D109" s="6">
        <v>0</v>
      </c>
      <c r="E109" s="6">
        <v>0</v>
      </c>
      <c r="F109" s="6">
        <v>6.25E-2</v>
      </c>
      <c r="G109" s="6">
        <v>-6.25E-2</v>
      </c>
      <c r="H109" s="6">
        <v>0.125</v>
      </c>
      <c r="I109" s="6">
        <v>1.6875</v>
      </c>
      <c r="J109" s="6">
        <v>-2.125</v>
      </c>
      <c r="K109" s="6">
        <v>-15.125</v>
      </c>
      <c r="L109" s="6">
        <v>6.25E-2</v>
      </c>
      <c r="M109" s="6">
        <v>-6.25E-2</v>
      </c>
      <c r="N109" s="6">
        <v>0</v>
      </c>
      <c r="O109" s="6">
        <v>0.8125</v>
      </c>
      <c r="P109" s="6">
        <v>-2.0625</v>
      </c>
      <c r="Q109" s="6">
        <v>-39.125</v>
      </c>
      <c r="R109" s="6">
        <v>6.4306020736694294E-2</v>
      </c>
      <c r="S109" s="6">
        <v>-0.22998416423797599</v>
      </c>
      <c r="T109" s="6">
        <v>6.7877650260925307E-2</v>
      </c>
      <c r="U109" s="6">
        <v>1.2259558439254801</v>
      </c>
      <c r="V109" s="6">
        <v>-33.247108459472699</v>
      </c>
      <c r="W109" s="6">
        <v>-17.720279693603501</v>
      </c>
    </row>
    <row r="110" spans="1:23" ht="18.95" customHeight="1">
      <c r="A110" s="4">
        <v>106</v>
      </c>
      <c r="B110" s="4">
        <v>2260</v>
      </c>
      <c r="C110" s="4">
        <v>1</v>
      </c>
      <c r="D110" s="6">
        <v>0</v>
      </c>
      <c r="E110" s="6">
        <v>0</v>
      </c>
      <c r="F110" s="6">
        <v>0</v>
      </c>
      <c r="G110" s="6">
        <v>-6.25E-2</v>
      </c>
      <c r="H110" s="6">
        <v>0.125</v>
      </c>
      <c r="I110" s="6">
        <v>1.6875</v>
      </c>
      <c r="J110" s="6">
        <v>-2.125</v>
      </c>
      <c r="K110" s="6">
        <v>-15.125</v>
      </c>
      <c r="L110" s="6">
        <v>0.125</v>
      </c>
      <c r="M110" s="6">
        <v>0</v>
      </c>
      <c r="N110" s="6">
        <v>0</v>
      </c>
      <c r="O110" s="6">
        <v>0.8125</v>
      </c>
      <c r="P110" s="6">
        <v>-2.0625</v>
      </c>
      <c r="Q110" s="6">
        <v>-39.125</v>
      </c>
      <c r="R110" s="6">
        <v>-5.7831287384033203E-2</v>
      </c>
      <c r="S110" s="6">
        <v>-3.1510829925537102E-2</v>
      </c>
      <c r="T110" s="6">
        <v>8.3144843578338595E-2</v>
      </c>
      <c r="U110" s="6">
        <v>1.2219002246856701</v>
      </c>
      <c r="V110" s="6">
        <v>-33.251407623291001</v>
      </c>
      <c r="W110" s="6">
        <v>-17.721435546875</v>
      </c>
    </row>
    <row r="111" spans="1:23" ht="18.95" customHeight="1">
      <c r="A111" s="4">
        <v>107</v>
      </c>
      <c r="B111" s="4">
        <v>2281</v>
      </c>
      <c r="C111" s="4">
        <v>1</v>
      </c>
      <c r="D111" s="6">
        <v>0</v>
      </c>
      <c r="E111" s="6">
        <v>0</v>
      </c>
      <c r="F111" s="6">
        <v>0</v>
      </c>
      <c r="G111" s="6">
        <v>6.25E-2</v>
      </c>
      <c r="H111" s="6">
        <v>6.25E-2</v>
      </c>
      <c r="I111" s="6">
        <v>1.6875</v>
      </c>
      <c r="J111" s="6">
        <v>-2.125</v>
      </c>
      <c r="K111" s="6">
        <v>-15.125</v>
      </c>
      <c r="L111" s="6">
        <v>6.25E-2</v>
      </c>
      <c r="M111" s="6">
        <v>-0.125</v>
      </c>
      <c r="N111" s="6">
        <v>0</v>
      </c>
      <c r="O111" s="6">
        <v>0.8125</v>
      </c>
      <c r="P111" s="6">
        <v>-2.0625</v>
      </c>
      <c r="Q111" s="6">
        <v>-39.125</v>
      </c>
      <c r="R111" s="6">
        <v>-0.103632926940918</v>
      </c>
      <c r="S111" s="6">
        <v>6.0092210769653299E-2</v>
      </c>
      <c r="T111" s="6">
        <v>-5.4259717464447001E-2</v>
      </c>
      <c r="U111" s="6">
        <v>1.2199344635009799</v>
      </c>
      <c r="V111" s="6">
        <v>-33.249000549316399</v>
      </c>
      <c r="W111" s="6">
        <v>-17.7218322753906</v>
      </c>
    </row>
    <row r="112" spans="1:23" ht="18.95" customHeight="1">
      <c r="A112" s="4">
        <v>108</v>
      </c>
      <c r="B112" s="4">
        <v>2304</v>
      </c>
      <c r="C112" s="4">
        <v>1</v>
      </c>
      <c r="D112" s="6">
        <v>0</v>
      </c>
      <c r="E112" s="6">
        <v>0</v>
      </c>
      <c r="F112" s="6">
        <v>0</v>
      </c>
      <c r="G112" s="6">
        <v>0</v>
      </c>
      <c r="H112" s="6">
        <v>-0.125</v>
      </c>
      <c r="I112" s="6">
        <v>1.6875</v>
      </c>
      <c r="J112" s="6">
        <v>-2.125</v>
      </c>
      <c r="K112" s="6">
        <v>-15.125</v>
      </c>
      <c r="L112" s="6">
        <v>6.25E-2</v>
      </c>
      <c r="M112" s="6">
        <v>-6.25E-2</v>
      </c>
      <c r="N112" s="6">
        <v>-6.25E-2</v>
      </c>
      <c r="O112" s="6">
        <v>0.8125</v>
      </c>
      <c r="P112" s="6">
        <v>-2.0625</v>
      </c>
      <c r="Q112" s="6">
        <v>-39.125</v>
      </c>
      <c r="R112" s="6">
        <v>3.2374858856201198E-3</v>
      </c>
      <c r="S112" s="6">
        <v>2.9557824134826698E-2</v>
      </c>
      <c r="T112" s="6">
        <v>3.7343323230743401E-2</v>
      </c>
      <c r="U112" s="6">
        <v>1.2241970300674401</v>
      </c>
      <c r="V112" s="6">
        <v>-33.246135711669901</v>
      </c>
      <c r="W112" s="6">
        <v>-17.724897384643601</v>
      </c>
    </row>
    <row r="113" spans="1:23" ht="18.95" customHeight="1">
      <c r="A113" s="4">
        <v>109</v>
      </c>
      <c r="B113" s="4">
        <v>2325</v>
      </c>
      <c r="C113" s="4">
        <v>1</v>
      </c>
      <c r="D113" s="6">
        <v>0</v>
      </c>
      <c r="E113" s="6">
        <v>0</v>
      </c>
      <c r="F113" s="6">
        <v>-6.25E-2</v>
      </c>
      <c r="G113" s="6">
        <v>-0.3125</v>
      </c>
      <c r="H113" s="6">
        <v>-0.125</v>
      </c>
      <c r="I113" s="6">
        <v>1.6875</v>
      </c>
      <c r="J113" s="6">
        <v>-2.125</v>
      </c>
      <c r="K113" s="6">
        <v>-15.125</v>
      </c>
      <c r="L113" s="6">
        <v>-6.25E-2</v>
      </c>
      <c r="M113" s="6">
        <v>-6.25E-2</v>
      </c>
      <c r="N113" s="6">
        <v>0</v>
      </c>
      <c r="O113" s="6">
        <v>0.8125</v>
      </c>
      <c r="P113" s="6">
        <v>-2.0625</v>
      </c>
      <c r="Q113" s="6">
        <v>-39.125</v>
      </c>
      <c r="R113" s="6">
        <v>6.4306020736694294E-2</v>
      </c>
      <c r="S113" s="6">
        <v>0.151695251464844</v>
      </c>
      <c r="T113" s="6">
        <v>2.2076129913330099E-2</v>
      </c>
      <c r="U113" s="6">
        <v>1.2044138908386199</v>
      </c>
      <c r="V113" s="6">
        <v>-33.2358207702637</v>
      </c>
      <c r="W113" s="6">
        <v>-17.726478576660199</v>
      </c>
    </row>
    <row r="114" spans="1:23" ht="18.95" customHeight="1">
      <c r="A114" s="4">
        <v>110</v>
      </c>
      <c r="B114" s="4">
        <v>2347</v>
      </c>
      <c r="C114" s="4">
        <v>1</v>
      </c>
      <c r="D114" s="6">
        <v>0</v>
      </c>
      <c r="E114" s="6">
        <v>0</v>
      </c>
      <c r="F114" s="6">
        <v>-6.25E-2</v>
      </c>
      <c r="G114" s="6">
        <v>-0.1875</v>
      </c>
      <c r="H114" s="6">
        <v>6.25E-2</v>
      </c>
      <c r="I114" s="6">
        <v>1.6875</v>
      </c>
      <c r="J114" s="6">
        <v>-2.125</v>
      </c>
      <c r="K114" s="6">
        <v>-15.125</v>
      </c>
      <c r="L114" s="6">
        <v>0.125</v>
      </c>
      <c r="M114" s="6">
        <v>6.25E-2</v>
      </c>
      <c r="N114" s="6">
        <v>0</v>
      </c>
      <c r="O114" s="6">
        <v>0.8125</v>
      </c>
      <c r="P114" s="6">
        <v>-2.0625</v>
      </c>
      <c r="Q114" s="6">
        <v>-39.125</v>
      </c>
      <c r="R114" s="6">
        <v>0.30858087539672902</v>
      </c>
      <c r="S114" s="6">
        <v>-6.2045216560363797E-2</v>
      </c>
      <c r="T114" s="6">
        <v>-0.22219866514205899</v>
      </c>
      <c r="U114" s="6">
        <v>1.20645487308502</v>
      </c>
      <c r="V114" s="6">
        <v>-33.235836029052699</v>
      </c>
      <c r="W114" s="6">
        <v>-17.729763031005898</v>
      </c>
    </row>
    <row r="115" spans="1:23" ht="18.95" customHeight="1">
      <c r="A115" s="4">
        <v>111</v>
      </c>
      <c r="B115" s="4">
        <v>2367</v>
      </c>
      <c r="C115" s="4">
        <v>1</v>
      </c>
      <c r="D115" s="6">
        <v>0</v>
      </c>
      <c r="E115" s="6">
        <v>0</v>
      </c>
      <c r="F115" s="6">
        <v>0</v>
      </c>
      <c r="G115" s="6">
        <v>0</v>
      </c>
      <c r="H115" s="6">
        <v>0.1875</v>
      </c>
      <c r="I115" s="6">
        <v>1.6875</v>
      </c>
      <c r="J115" s="6">
        <v>-2.125</v>
      </c>
      <c r="K115" s="6">
        <v>-15.125</v>
      </c>
      <c r="L115" s="6">
        <v>0.1875</v>
      </c>
      <c r="M115" s="6">
        <v>-6.25E-2</v>
      </c>
      <c r="N115" s="6">
        <v>-6.25E-2</v>
      </c>
      <c r="O115" s="6">
        <v>0.8125</v>
      </c>
      <c r="P115" s="6">
        <v>-2.0625</v>
      </c>
      <c r="Q115" s="6">
        <v>-39.125</v>
      </c>
      <c r="R115" s="6">
        <v>-0.17996859550476099</v>
      </c>
      <c r="S115" s="6">
        <v>-1.62436962127686E-2</v>
      </c>
      <c r="T115" s="6">
        <v>-0.13059562444686901</v>
      </c>
      <c r="U115" s="6">
        <v>1.1909694671630899</v>
      </c>
      <c r="V115" s="6">
        <v>-33.233085632324197</v>
      </c>
      <c r="W115" s="6">
        <v>-17.731122970581101</v>
      </c>
    </row>
    <row r="116" spans="1:23" ht="18.95" customHeight="1">
      <c r="A116" s="4">
        <v>112</v>
      </c>
      <c r="B116" s="4">
        <v>2388</v>
      </c>
      <c r="C116" s="4">
        <v>1</v>
      </c>
      <c r="D116" s="6">
        <v>0</v>
      </c>
      <c r="E116" s="6">
        <v>0</v>
      </c>
      <c r="F116" s="6">
        <v>-0.125</v>
      </c>
      <c r="G116" s="6">
        <v>-0.1875</v>
      </c>
      <c r="H116" s="6">
        <v>0</v>
      </c>
      <c r="I116" s="6">
        <v>1.6875</v>
      </c>
      <c r="J116" s="6">
        <v>-2.125</v>
      </c>
      <c r="K116" s="6">
        <v>-15.125</v>
      </c>
      <c r="L116" s="6">
        <v>0</v>
      </c>
      <c r="M116" s="6">
        <v>0</v>
      </c>
      <c r="N116" s="6">
        <v>-6.25E-2</v>
      </c>
      <c r="O116" s="6">
        <v>0.8125</v>
      </c>
      <c r="P116" s="6">
        <v>-2.0625</v>
      </c>
      <c r="Q116" s="6">
        <v>-39.125</v>
      </c>
      <c r="R116" s="6">
        <v>-7.3098421096801799E-2</v>
      </c>
      <c r="S116" s="6">
        <v>4.48250770568848E-2</v>
      </c>
      <c r="T116" s="6">
        <v>-0.115328431129456</v>
      </c>
      <c r="U116" s="6">
        <v>1.20264756679535</v>
      </c>
      <c r="V116" s="6">
        <v>-33.222293853759801</v>
      </c>
      <c r="W116" s="6">
        <v>-17.732673645019499</v>
      </c>
    </row>
    <row r="117" spans="1:23" ht="18.95" customHeight="1">
      <c r="A117" s="4">
        <v>113</v>
      </c>
      <c r="B117" s="4">
        <v>2408</v>
      </c>
      <c r="C117" s="4">
        <v>1</v>
      </c>
      <c r="D117" s="6">
        <v>0</v>
      </c>
      <c r="E117" s="6">
        <v>0</v>
      </c>
      <c r="F117" s="6">
        <v>0</v>
      </c>
      <c r="G117" s="6">
        <v>6.25E-2</v>
      </c>
      <c r="H117" s="6">
        <v>0.125</v>
      </c>
      <c r="I117" s="6">
        <v>1.6875</v>
      </c>
      <c r="J117" s="6">
        <v>-2.125</v>
      </c>
      <c r="K117" s="6">
        <v>-15.125</v>
      </c>
      <c r="L117" s="6">
        <v>0</v>
      </c>
      <c r="M117" s="6">
        <v>-6.25E-2</v>
      </c>
      <c r="N117" s="6">
        <v>-6.25E-2</v>
      </c>
      <c r="O117" s="6">
        <v>0.8125</v>
      </c>
      <c r="P117" s="6">
        <v>-2.0625</v>
      </c>
      <c r="Q117" s="6">
        <v>-39.125</v>
      </c>
      <c r="R117" s="6">
        <v>6.4306020736694294E-2</v>
      </c>
      <c r="S117" s="6">
        <v>-3.1510829925537102E-2</v>
      </c>
      <c r="T117" s="6">
        <v>-6.9526910781860393E-2</v>
      </c>
      <c r="U117" s="6">
        <v>1.2026298046112101</v>
      </c>
      <c r="V117" s="6">
        <v>-33.210742950439503</v>
      </c>
      <c r="W117" s="6">
        <v>-17.7358703613281</v>
      </c>
    </row>
    <row r="118" spans="1:23" ht="18.95" customHeight="1">
      <c r="A118" s="4">
        <v>114</v>
      </c>
      <c r="B118" s="4">
        <v>2428</v>
      </c>
      <c r="C118" s="4">
        <v>1</v>
      </c>
      <c r="D118" s="6">
        <v>0</v>
      </c>
      <c r="E118" s="6">
        <v>0</v>
      </c>
      <c r="F118" s="6">
        <v>0</v>
      </c>
      <c r="G118" s="6">
        <v>-0.125</v>
      </c>
      <c r="H118" s="6">
        <v>0</v>
      </c>
      <c r="I118" s="6">
        <v>1.6875</v>
      </c>
      <c r="J118" s="6">
        <v>-2.125</v>
      </c>
      <c r="K118" s="6">
        <v>-15.125</v>
      </c>
      <c r="L118" s="6">
        <v>0</v>
      </c>
      <c r="M118" s="6">
        <v>-0.25</v>
      </c>
      <c r="N118" s="6">
        <v>0</v>
      </c>
      <c r="O118" s="6">
        <v>0.8125</v>
      </c>
      <c r="P118" s="6">
        <v>-2.0625</v>
      </c>
      <c r="Q118" s="6">
        <v>-39.125</v>
      </c>
      <c r="R118" s="6">
        <v>-8.8365554809570299E-2</v>
      </c>
      <c r="S118" s="6">
        <v>-7.7312350273132296E-2</v>
      </c>
      <c r="T118" s="6">
        <v>-0.22219866514205899</v>
      </c>
      <c r="U118" s="6">
        <v>1.2096405029296899</v>
      </c>
      <c r="V118" s="6">
        <v>-33.207798004150398</v>
      </c>
      <c r="W118" s="6">
        <v>-17.7387790679932</v>
      </c>
    </row>
    <row r="119" spans="1:23" ht="18.95" customHeight="1">
      <c r="A119" s="4">
        <v>115</v>
      </c>
      <c r="B119" s="4">
        <v>2448</v>
      </c>
      <c r="C119" s="4">
        <v>1</v>
      </c>
      <c r="D119" s="6">
        <v>0</v>
      </c>
      <c r="E119" s="6">
        <v>0</v>
      </c>
      <c r="F119" s="6">
        <v>0.125</v>
      </c>
      <c r="G119" s="6">
        <v>-0.125</v>
      </c>
      <c r="H119" s="6">
        <v>0.1875</v>
      </c>
      <c r="I119" s="6">
        <v>1.6875</v>
      </c>
      <c r="J119" s="6">
        <v>-2.125</v>
      </c>
      <c r="K119" s="6">
        <v>-15.125</v>
      </c>
      <c r="L119" s="6">
        <v>6.25E-2</v>
      </c>
      <c r="M119" s="6">
        <v>0.125</v>
      </c>
      <c r="N119" s="6">
        <v>6.25E-2</v>
      </c>
      <c r="O119" s="6">
        <v>0.8125</v>
      </c>
      <c r="P119" s="6">
        <v>-2.0625</v>
      </c>
      <c r="Q119" s="6">
        <v>-39.125</v>
      </c>
      <c r="R119" s="6">
        <v>-0.25630450248718301</v>
      </c>
      <c r="S119" s="6">
        <v>-0.24525129795074499</v>
      </c>
      <c r="T119" s="6">
        <v>6.80899620056152E-3</v>
      </c>
      <c r="U119" s="6">
        <v>1.2033976316452</v>
      </c>
      <c r="V119" s="6">
        <v>-33.211193084716797</v>
      </c>
      <c r="W119" s="6">
        <v>-17.740871429443398</v>
      </c>
    </row>
    <row r="120" spans="1:23" ht="18.95" customHeight="1">
      <c r="A120" s="4">
        <v>116</v>
      </c>
      <c r="B120" s="4">
        <v>2468</v>
      </c>
      <c r="C120" s="4">
        <v>1</v>
      </c>
      <c r="D120" s="6">
        <v>0</v>
      </c>
      <c r="E120" s="6">
        <v>0</v>
      </c>
      <c r="F120" s="6">
        <v>6.25E-2</v>
      </c>
      <c r="G120" s="6">
        <v>6.25E-2</v>
      </c>
      <c r="H120" s="6">
        <v>-0.125</v>
      </c>
      <c r="I120" s="6">
        <v>1.6875</v>
      </c>
      <c r="J120" s="6">
        <v>-2.125</v>
      </c>
      <c r="K120" s="6">
        <v>-15.125</v>
      </c>
      <c r="L120" s="6">
        <v>6.25E-2</v>
      </c>
      <c r="M120" s="6">
        <v>-0.125</v>
      </c>
      <c r="N120" s="6">
        <v>-6.25E-2</v>
      </c>
      <c r="O120" s="6">
        <v>0.8125</v>
      </c>
      <c r="P120" s="6">
        <v>-2.0625</v>
      </c>
      <c r="Q120" s="6">
        <v>-39.125</v>
      </c>
      <c r="R120" s="6">
        <v>-4.25641536712646E-2</v>
      </c>
      <c r="S120" s="6">
        <v>6.0092210769653299E-2</v>
      </c>
      <c r="T120" s="6">
        <v>-5.4259717464447001E-2</v>
      </c>
      <c r="U120" s="6">
        <v>1.1942609548568699</v>
      </c>
      <c r="V120" s="6">
        <v>-33.223712921142599</v>
      </c>
      <c r="W120" s="6">
        <v>-17.741611480712901</v>
      </c>
    </row>
    <row r="121" spans="1:23" ht="18.95" customHeight="1">
      <c r="A121" s="4">
        <v>117</v>
      </c>
      <c r="B121" s="4">
        <v>2496</v>
      </c>
      <c r="C121" s="4">
        <v>1</v>
      </c>
      <c r="D121" s="6">
        <v>0</v>
      </c>
      <c r="E121" s="6">
        <v>0</v>
      </c>
      <c r="F121" s="6">
        <v>0</v>
      </c>
      <c r="G121" s="6">
        <v>0</v>
      </c>
      <c r="H121" s="6">
        <v>0.1875</v>
      </c>
      <c r="I121" s="6">
        <v>1.6875</v>
      </c>
      <c r="J121" s="6">
        <v>-2.125</v>
      </c>
      <c r="K121" s="6">
        <v>-15.125</v>
      </c>
      <c r="L121" s="6">
        <v>6.25E-2</v>
      </c>
      <c r="M121" s="6">
        <v>0</v>
      </c>
      <c r="N121" s="6">
        <v>0.125</v>
      </c>
      <c r="O121" s="6">
        <v>0.8125</v>
      </c>
      <c r="P121" s="6">
        <v>-2.0625</v>
      </c>
      <c r="Q121" s="6">
        <v>-39.125</v>
      </c>
      <c r="R121" s="6">
        <v>-1.2029886245727499E-2</v>
      </c>
      <c r="S121" s="6">
        <v>0.21276396512985199</v>
      </c>
      <c r="T121" s="6">
        <v>-0.191664308309555</v>
      </c>
      <c r="U121" s="6">
        <v>1.1924848556518599</v>
      </c>
      <c r="V121" s="6">
        <v>-33.213844299316399</v>
      </c>
      <c r="W121" s="6">
        <v>-17.747169494628899</v>
      </c>
    </row>
    <row r="122" spans="1:23" ht="18.95" customHeight="1">
      <c r="A122" s="4">
        <v>118</v>
      </c>
      <c r="B122" s="4">
        <v>2518</v>
      </c>
      <c r="C122" s="4">
        <v>1</v>
      </c>
      <c r="D122" s="6">
        <v>0</v>
      </c>
      <c r="E122" s="6">
        <v>0</v>
      </c>
      <c r="F122" s="6">
        <v>-6.25E-2</v>
      </c>
      <c r="G122" s="6">
        <v>-6.25E-2</v>
      </c>
      <c r="H122" s="6">
        <v>6.25E-2</v>
      </c>
      <c r="I122" s="6">
        <v>1.6875</v>
      </c>
      <c r="J122" s="6">
        <v>-2.125</v>
      </c>
      <c r="K122" s="6">
        <v>-15.125</v>
      </c>
      <c r="L122" s="6">
        <v>0</v>
      </c>
      <c r="M122" s="6">
        <v>0</v>
      </c>
      <c r="N122" s="6">
        <v>0.1875</v>
      </c>
      <c r="O122" s="6">
        <v>0.8125</v>
      </c>
      <c r="P122" s="6">
        <v>-2.0625</v>
      </c>
      <c r="Q122" s="6">
        <v>-39.125</v>
      </c>
      <c r="R122" s="6">
        <v>4.9038887023925802E-2</v>
      </c>
      <c r="S122" s="6">
        <v>0.136428117752075</v>
      </c>
      <c r="T122" s="6">
        <v>-6.9526910781860393E-2</v>
      </c>
      <c r="U122" s="6">
        <v>1.1868822574615501</v>
      </c>
      <c r="V122" s="6">
        <v>-33.221462249755902</v>
      </c>
      <c r="W122" s="6">
        <v>-17.7489337921143</v>
      </c>
    </row>
    <row r="123" spans="1:23" ht="18.95" customHeight="1">
      <c r="A123" s="4">
        <v>119</v>
      </c>
      <c r="B123" s="4">
        <v>2538</v>
      </c>
      <c r="C123" s="4">
        <v>1</v>
      </c>
      <c r="D123" s="6">
        <v>0</v>
      </c>
      <c r="E123" s="6">
        <v>0</v>
      </c>
      <c r="F123" s="6">
        <v>6.25E-2</v>
      </c>
      <c r="G123" s="6">
        <v>0</v>
      </c>
      <c r="H123" s="6">
        <v>0</v>
      </c>
      <c r="I123" s="6">
        <v>1.6875</v>
      </c>
      <c r="J123" s="6">
        <v>-2.125</v>
      </c>
      <c r="K123" s="6">
        <v>-15.125</v>
      </c>
      <c r="L123" s="6">
        <v>0</v>
      </c>
      <c r="M123" s="6">
        <v>-0.125</v>
      </c>
      <c r="N123" s="6">
        <v>-6.25E-2</v>
      </c>
      <c r="O123" s="6">
        <v>0.8125</v>
      </c>
      <c r="P123" s="6">
        <v>-2.0625</v>
      </c>
      <c r="Q123" s="6">
        <v>-39.125</v>
      </c>
      <c r="R123" s="6">
        <v>0.27804660797119102</v>
      </c>
      <c r="S123" s="6">
        <v>-1.62436962127686E-2</v>
      </c>
      <c r="T123" s="6">
        <v>-0.35960325598716703</v>
      </c>
      <c r="U123" s="6">
        <v>1.1881184577941899</v>
      </c>
      <c r="V123" s="6">
        <v>-33.225757598877003</v>
      </c>
      <c r="W123" s="6">
        <v>-17.748989105224599</v>
      </c>
    </row>
    <row r="124" spans="1:23" ht="18.95" customHeight="1">
      <c r="A124" s="4">
        <v>120</v>
      </c>
      <c r="B124" s="4">
        <v>2559</v>
      </c>
      <c r="C124" s="4">
        <v>1</v>
      </c>
      <c r="D124" s="6">
        <v>0</v>
      </c>
      <c r="E124" s="6">
        <v>0</v>
      </c>
      <c r="F124" s="6">
        <v>-0.125</v>
      </c>
      <c r="G124" s="6">
        <v>-6.25E-2</v>
      </c>
      <c r="H124" s="6">
        <v>-6.25E-2</v>
      </c>
      <c r="I124" s="6">
        <v>1.6875</v>
      </c>
      <c r="J124" s="6">
        <v>-2.125</v>
      </c>
      <c r="K124" s="6">
        <v>-15.125</v>
      </c>
      <c r="L124" s="6">
        <v>-6.25E-2</v>
      </c>
      <c r="M124" s="6">
        <v>0</v>
      </c>
      <c r="N124" s="6">
        <v>0</v>
      </c>
      <c r="O124" s="6">
        <v>0.8125</v>
      </c>
      <c r="P124" s="6">
        <v>-2.0625</v>
      </c>
      <c r="Q124" s="6">
        <v>-39.125</v>
      </c>
      <c r="R124" s="6">
        <v>0.110107660293579</v>
      </c>
      <c r="S124" s="6">
        <v>-9.76443290710449E-4</v>
      </c>
      <c r="T124" s="6">
        <v>-6.9526910781860393E-2</v>
      </c>
      <c r="U124" s="6">
        <v>1.18180251121521</v>
      </c>
      <c r="V124" s="6">
        <v>-33.226924896240199</v>
      </c>
      <c r="W124" s="6">
        <v>-17.7495021820068</v>
      </c>
    </row>
    <row r="125" spans="1:23" ht="18.95" customHeight="1">
      <c r="A125" s="4">
        <v>121</v>
      </c>
      <c r="B125" s="4">
        <v>2580</v>
      </c>
      <c r="C125" s="4">
        <v>1</v>
      </c>
      <c r="D125" s="6">
        <v>0</v>
      </c>
      <c r="E125" s="6">
        <v>0</v>
      </c>
      <c r="F125" s="6">
        <v>-6.25E-2</v>
      </c>
      <c r="G125" s="6">
        <v>-0.125</v>
      </c>
      <c r="H125" s="6">
        <v>0</v>
      </c>
      <c r="I125" s="6">
        <v>1.6875</v>
      </c>
      <c r="J125" s="6">
        <v>-2.125</v>
      </c>
      <c r="K125" s="6">
        <v>-15.125</v>
      </c>
      <c r="L125" s="6">
        <v>6.25E-2</v>
      </c>
      <c r="M125" s="6">
        <v>0</v>
      </c>
      <c r="N125" s="6">
        <v>6.25E-2</v>
      </c>
      <c r="O125" s="6">
        <v>0.8125</v>
      </c>
      <c r="P125" s="6">
        <v>-2.0625</v>
      </c>
      <c r="Q125" s="6">
        <v>-39.125</v>
      </c>
      <c r="R125" s="6">
        <v>-5.7831287384033203E-2</v>
      </c>
      <c r="S125" s="6">
        <v>2.9557824134826698E-2</v>
      </c>
      <c r="T125" s="6">
        <v>-0.14586275815963701</v>
      </c>
      <c r="U125" s="6">
        <v>1.1873923540115401</v>
      </c>
      <c r="V125" s="6">
        <v>-33.22119140625</v>
      </c>
      <c r="W125" s="6">
        <v>-17.751274108886701</v>
      </c>
    </row>
    <row r="126" spans="1:23" ht="18.95" customHeight="1">
      <c r="A126" s="4">
        <v>122</v>
      </c>
      <c r="B126" s="4">
        <v>2603</v>
      </c>
      <c r="C126" s="4">
        <v>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1.6875</v>
      </c>
      <c r="J126" s="6">
        <v>-2.125</v>
      </c>
      <c r="K126" s="6">
        <v>-15.125</v>
      </c>
      <c r="L126" s="6">
        <v>0</v>
      </c>
      <c r="M126" s="6">
        <v>0.1875</v>
      </c>
      <c r="N126" s="6">
        <v>0.125</v>
      </c>
      <c r="O126" s="6">
        <v>0.8125</v>
      </c>
      <c r="P126" s="6">
        <v>-2.0625</v>
      </c>
      <c r="Q126" s="6">
        <v>-39.125</v>
      </c>
      <c r="R126" s="6">
        <v>-0.14943432807922399</v>
      </c>
      <c r="S126" s="6">
        <v>0.21276396512985199</v>
      </c>
      <c r="T126" s="6">
        <v>-0.100061237812042</v>
      </c>
      <c r="U126" s="6">
        <v>1.1841952800750699</v>
      </c>
      <c r="V126" s="6">
        <v>-33.240486145019503</v>
      </c>
      <c r="W126" s="6">
        <v>-17.754077911376999</v>
      </c>
    </row>
    <row r="127" spans="1:23" ht="18.95" customHeight="1">
      <c r="A127" s="4">
        <v>123</v>
      </c>
      <c r="B127" s="4">
        <v>2623</v>
      </c>
      <c r="C127" s="4">
        <v>1</v>
      </c>
      <c r="D127" s="6">
        <v>0</v>
      </c>
      <c r="E127" s="6">
        <v>0</v>
      </c>
      <c r="F127" s="6">
        <v>6.25E-2</v>
      </c>
      <c r="G127" s="6">
        <v>-6.25E-2</v>
      </c>
      <c r="H127" s="6">
        <v>-6.25E-2</v>
      </c>
      <c r="I127" s="6">
        <v>1.6875</v>
      </c>
      <c r="J127" s="6">
        <v>-2.125</v>
      </c>
      <c r="K127" s="6">
        <v>-15.125</v>
      </c>
      <c r="L127" s="6">
        <v>6.25E-2</v>
      </c>
      <c r="M127" s="6">
        <v>6.25E-2</v>
      </c>
      <c r="N127" s="6">
        <v>6.25E-2</v>
      </c>
      <c r="O127" s="6">
        <v>0.8125</v>
      </c>
      <c r="P127" s="6">
        <v>-2.0625</v>
      </c>
      <c r="Q127" s="6">
        <v>-39.125</v>
      </c>
      <c r="R127" s="6">
        <v>-8.8365554809570299E-2</v>
      </c>
      <c r="S127" s="6">
        <v>0.136428117752075</v>
      </c>
      <c r="T127" s="6">
        <v>-0.35960325598716703</v>
      </c>
      <c r="U127" s="6">
        <v>1.1956478357315099</v>
      </c>
      <c r="V127" s="6">
        <v>-33.215087890625</v>
      </c>
      <c r="W127" s="6">
        <v>-17.757158279418899</v>
      </c>
    </row>
    <row r="128" spans="1:23" ht="18.95" customHeight="1">
      <c r="A128" s="4">
        <v>124</v>
      </c>
      <c r="B128" s="4">
        <v>2645</v>
      </c>
      <c r="C128" s="4">
        <v>1</v>
      </c>
      <c r="D128" s="6">
        <v>0</v>
      </c>
      <c r="E128" s="6">
        <v>0</v>
      </c>
      <c r="F128" s="6">
        <v>0.125</v>
      </c>
      <c r="G128" s="6">
        <v>-0.125</v>
      </c>
      <c r="H128" s="6">
        <v>0</v>
      </c>
      <c r="I128" s="6">
        <v>1.6875</v>
      </c>
      <c r="J128" s="6">
        <v>-2.125</v>
      </c>
      <c r="K128" s="6">
        <v>-15.125</v>
      </c>
      <c r="L128" s="6">
        <v>0</v>
      </c>
      <c r="M128" s="6">
        <v>0</v>
      </c>
      <c r="N128" s="6">
        <v>0</v>
      </c>
      <c r="O128" s="6">
        <v>0.8125</v>
      </c>
      <c r="P128" s="6">
        <v>-2.0625</v>
      </c>
      <c r="Q128" s="6">
        <v>-39.0625</v>
      </c>
      <c r="R128" s="6">
        <v>-9.9662284851074201</v>
      </c>
      <c r="S128" s="6">
        <v>-6.8254041671752903</v>
      </c>
      <c r="T128" s="6">
        <v>-2.20693159103394</v>
      </c>
      <c r="U128" s="6">
        <v>1.68083572387695</v>
      </c>
      <c r="V128" s="6">
        <v>-34.150539398193402</v>
      </c>
      <c r="W128" s="6">
        <v>-17.8148384094238</v>
      </c>
    </row>
    <row r="129" spans="1:23" ht="18.95" customHeight="1">
      <c r="A129" s="4">
        <v>125</v>
      </c>
      <c r="B129" s="4">
        <v>2666</v>
      </c>
      <c r="C129" s="4">
        <v>1</v>
      </c>
      <c r="D129" s="6">
        <v>0</v>
      </c>
      <c r="E129" s="6">
        <v>0</v>
      </c>
      <c r="F129" s="6">
        <v>6.5625</v>
      </c>
      <c r="G129" s="6">
        <v>-0.4375</v>
      </c>
      <c r="H129" s="6">
        <v>-2.625</v>
      </c>
      <c r="I129" s="6">
        <v>1.75</v>
      </c>
      <c r="J129" s="6">
        <v>-2.125</v>
      </c>
      <c r="K129" s="6">
        <v>-15.1875</v>
      </c>
      <c r="L129" s="6">
        <v>-13.875</v>
      </c>
      <c r="M129" s="6">
        <v>-0.125</v>
      </c>
      <c r="N129" s="6">
        <v>-0.6875</v>
      </c>
      <c r="O129" s="6">
        <v>0.8125</v>
      </c>
      <c r="P129" s="6">
        <v>-2.0625</v>
      </c>
      <c r="Q129" s="6">
        <v>-38.75</v>
      </c>
      <c r="R129" s="6">
        <v>3.2246115207672101</v>
      </c>
      <c r="S129" s="6">
        <v>-8.5505952835083008</v>
      </c>
      <c r="T129" s="6">
        <v>2.2358167171478298</v>
      </c>
      <c r="U129" s="6">
        <v>1.1511858701705899</v>
      </c>
      <c r="V129" s="6">
        <v>-34.037929534912102</v>
      </c>
      <c r="W129" s="6">
        <v>-17.7524738311768</v>
      </c>
    </row>
    <row r="130" spans="1:23" ht="18.95" customHeight="1">
      <c r="A130" s="4">
        <v>126</v>
      </c>
      <c r="B130" s="4">
        <v>2689</v>
      </c>
      <c r="C130" s="4">
        <v>1</v>
      </c>
      <c r="D130" s="6">
        <v>0</v>
      </c>
      <c r="E130" s="6">
        <v>0</v>
      </c>
      <c r="F130" s="6">
        <v>10.75</v>
      </c>
      <c r="G130" s="6">
        <v>2.875</v>
      </c>
      <c r="H130" s="6">
        <v>2.8125</v>
      </c>
      <c r="I130" s="6">
        <v>1.6875</v>
      </c>
      <c r="J130" s="6">
        <v>-2.125</v>
      </c>
      <c r="K130" s="6">
        <v>-15.375</v>
      </c>
      <c r="L130" s="6">
        <v>-15.9375</v>
      </c>
      <c r="M130" s="6">
        <v>1.1875</v>
      </c>
      <c r="N130" s="6">
        <v>0.8125</v>
      </c>
      <c r="O130" s="6">
        <v>0.8125</v>
      </c>
      <c r="P130" s="6">
        <v>-2.0625</v>
      </c>
      <c r="Q130" s="6">
        <v>-38.4375</v>
      </c>
      <c r="R130" s="6">
        <v>-2.16470146179199</v>
      </c>
      <c r="S130" s="6">
        <v>-11.8177700042725</v>
      </c>
      <c r="T130" s="6">
        <v>-0.57334369421005205</v>
      </c>
      <c r="U130" s="6">
        <v>1.9939925670623799</v>
      </c>
      <c r="V130" s="6">
        <v>-34.266056060791001</v>
      </c>
      <c r="W130" s="6">
        <v>-17.770866394043001</v>
      </c>
    </row>
    <row r="131" spans="1:23" ht="18.95" customHeight="1">
      <c r="A131" s="4">
        <v>127</v>
      </c>
      <c r="B131" s="4">
        <v>2709</v>
      </c>
      <c r="C131" s="4">
        <v>1</v>
      </c>
      <c r="D131" s="6">
        <v>0</v>
      </c>
      <c r="E131" s="6">
        <v>0</v>
      </c>
      <c r="F131" s="6">
        <v>9.875</v>
      </c>
      <c r="G131" s="6">
        <v>1.6875</v>
      </c>
      <c r="H131" s="6">
        <v>0.8125</v>
      </c>
      <c r="I131" s="6">
        <v>1.6875</v>
      </c>
      <c r="J131" s="6">
        <v>-2.125</v>
      </c>
      <c r="K131" s="6">
        <v>-15.5625</v>
      </c>
      <c r="L131" s="6">
        <v>-21.9375</v>
      </c>
      <c r="M131" s="6">
        <v>-1.5</v>
      </c>
      <c r="N131" s="6">
        <v>-0.5625</v>
      </c>
      <c r="O131" s="6">
        <v>0.8125</v>
      </c>
      <c r="P131" s="6">
        <v>-2.0625</v>
      </c>
      <c r="Q131" s="6">
        <v>-38.0625</v>
      </c>
      <c r="R131" s="6">
        <v>0.53758859634399403</v>
      </c>
      <c r="S131" s="6">
        <v>-12.5200605392456</v>
      </c>
      <c r="T131" s="6">
        <v>-0.77181696891784701</v>
      </c>
      <c r="U131" s="6">
        <v>1.2680355310440099</v>
      </c>
      <c r="V131" s="6">
        <v>-34.746295928955099</v>
      </c>
      <c r="W131" s="6">
        <v>-17.826206207275401</v>
      </c>
    </row>
    <row r="132" spans="1:23" ht="18.95" customHeight="1">
      <c r="A132" s="4">
        <v>128</v>
      </c>
      <c r="B132" s="4">
        <v>2729</v>
      </c>
      <c r="C132" s="4">
        <v>1</v>
      </c>
      <c r="D132" s="6">
        <v>0</v>
      </c>
      <c r="E132" s="6">
        <v>0</v>
      </c>
      <c r="F132" s="6">
        <v>12.375</v>
      </c>
      <c r="G132" s="6">
        <v>-2.9375</v>
      </c>
      <c r="H132" s="6">
        <v>-1.4375</v>
      </c>
      <c r="I132" s="6">
        <v>1.6875</v>
      </c>
      <c r="J132" s="6">
        <v>-2.125</v>
      </c>
      <c r="K132" s="6">
        <v>-15.75</v>
      </c>
      <c r="L132" s="6">
        <v>-25</v>
      </c>
      <c r="M132" s="6">
        <v>0.5</v>
      </c>
      <c r="N132" s="6">
        <v>6.25E-2</v>
      </c>
      <c r="O132" s="6">
        <v>0.8125</v>
      </c>
      <c r="P132" s="6">
        <v>-2.0625</v>
      </c>
      <c r="Q132" s="6">
        <v>-37.5625</v>
      </c>
      <c r="R132" s="6">
        <v>1.8810999393463099</v>
      </c>
      <c r="S132" s="6">
        <v>-12.3368539810181</v>
      </c>
      <c r="T132" s="6">
        <v>-0.42067193984985402</v>
      </c>
      <c r="U132" s="6">
        <v>1.7339891195297199</v>
      </c>
      <c r="V132" s="6">
        <v>-34.879222869872997</v>
      </c>
      <c r="W132" s="6">
        <v>-17.765449523925799</v>
      </c>
    </row>
    <row r="133" spans="1:23" ht="18.95" customHeight="1">
      <c r="A133" s="4">
        <v>129</v>
      </c>
      <c r="B133" s="4">
        <v>2750</v>
      </c>
      <c r="C133" s="4">
        <v>1</v>
      </c>
      <c r="D133" s="6">
        <v>0</v>
      </c>
      <c r="E133" s="6">
        <v>0</v>
      </c>
      <c r="F133" s="6">
        <v>12.875</v>
      </c>
      <c r="G133" s="6">
        <v>3.4375</v>
      </c>
      <c r="H133" s="6">
        <v>3.4375</v>
      </c>
      <c r="I133" s="6">
        <v>1.6875</v>
      </c>
      <c r="J133" s="6">
        <v>-2.125</v>
      </c>
      <c r="K133" s="6">
        <v>-16.125</v>
      </c>
      <c r="L133" s="6">
        <v>-28.375</v>
      </c>
      <c r="M133" s="6">
        <v>1.5</v>
      </c>
      <c r="N133" s="6">
        <v>0.3125</v>
      </c>
      <c r="O133" s="6">
        <v>0.75</v>
      </c>
      <c r="P133" s="6">
        <v>-2.0625</v>
      </c>
      <c r="Q133" s="6">
        <v>-37.0625</v>
      </c>
      <c r="R133" s="6">
        <v>-3.1418008804321298</v>
      </c>
      <c r="S133" s="6">
        <v>-13.970441818237299</v>
      </c>
      <c r="T133" s="6">
        <v>-3.1992979049682599</v>
      </c>
      <c r="U133" s="6">
        <v>2.4028799533843999</v>
      </c>
      <c r="V133" s="6">
        <v>-35.160152435302699</v>
      </c>
      <c r="W133" s="6">
        <v>-17.768375396728501</v>
      </c>
    </row>
    <row r="134" spans="1:23" ht="18.95" customHeight="1">
      <c r="A134" s="4">
        <v>130</v>
      </c>
      <c r="B134" s="4">
        <v>2773</v>
      </c>
      <c r="C134" s="4">
        <v>1</v>
      </c>
      <c r="D134" s="6">
        <v>0</v>
      </c>
      <c r="E134" s="6">
        <v>0</v>
      </c>
      <c r="F134" s="6">
        <v>14.125</v>
      </c>
      <c r="G134" s="6">
        <v>-1.6875</v>
      </c>
      <c r="H134" s="6">
        <v>-0.8125</v>
      </c>
      <c r="I134" s="6">
        <v>1.75</v>
      </c>
      <c r="J134" s="6">
        <v>-2.125</v>
      </c>
      <c r="K134" s="6">
        <v>-16.4375</v>
      </c>
      <c r="L134" s="6">
        <v>-33.3125</v>
      </c>
      <c r="M134" s="6">
        <v>-0.3125</v>
      </c>
      <c r="N134" s="6">
        <v>-0.625</v>
      </c>
      <c r="O134" s="6">
        <v>0.75</v>
      </c>
      <c r="P134" s="6">
        <v>-2.0625</v>
      </c>
      <c r="Q134" s="6">
        <v>-36.4375</v>
      </c>
      <c r="R134" s="6">
        <v>3.4078176021575901</v>
      </c>
      <c r="S134" s="6">
        <v>-13.1765489578247</v>
      </c>
      <c r="T134" s="6">
        <v>2.5869617462158199</v>
      </c>
      <c r="U134" s="6">
        <v>1.4738128185272199</v>
      </c>
      <c r="V134" s="6">
        <v>-35.736240386962898</v>
      </c>
      <c r="W134" s="6">
        <v>-17.767820358276399</v>
      </c>
    </row>
    <row r="135" spans="1:23" ht="18.95" customHeight="1">
      <c r="A135" s="4">
        <v>131</v>
      </c>
      <c r="B135" s="4">
        <v>2794</v>
      </c>
      <c r="C135" s="4">
        <v>1</v>
      </c>
      <c r="D135" s="6">
        <v>0</v>
      </c>
      <c r="E135" s="6">
        <v>0</v>
      </c>
      <c r="F135" s="6">
        <v>13.125</v>
      </c>
      <c r="G135" s="6">
        <v>2.5625</v>
      </c>
      <c r="H135" s="6">
        <v>2.3125</v>
      </c>
      <c r="I135" s="6">
        <v>1.75</v>
      </c>
      <c r="J135" s="6">
        <v>-2.125</v>
      </c>
      <c r="K135" s="6">
        <v>-16.6875</v>
      </c>
      <c r="L135" s="6">
        <v>-35.9375</v>
      </c>
      <c r="M135" s="6">
        <v>0.8125</v>
      </c>
      <c r="N135" s="6">
        <v>0.1875</v>
      </c>
      <c r="O135" s="6">
        <v>0.75</v>
      </c>
      <c r="P135" s="6">
        <v>-2.125</v>
      </c>
      <c r="Q135" s="6">
        <v>-35.75</v>
      </c>
      <c r="R135" s="6">
        <v>0.94980227947235096</v>
      </c>
      <c r="S135" s="6">
        <v>-12.5047931671143</v>
      </c>
      <c r="T135" s="6">
        <v>0.70909905433654796</v>
      </c>
      <c r="U135" s="6">
        <v>1.90117955207825</v>
      </c>
      <c r="V135" s="6">
        <v>-35.9340209960938</v>
      </c>
      <c r="W135" s="6">
        <v>-17.7287292480469</v>
      </c>
    </row>
    <row r="136" spans="1:23" ht="18.95" customHeight="1">
      <c r="A136" s="4">
        <v>132</v>
      </c>
      <c r="B136" s="4">
        <v>2816</v>
      </c>
      <c r="C136" s="4">
        <v>1</v>
      </c>
      <c r="D136" s="6">
        <v>0</v>
      </c>
      <c r="E136" s="6">
        <v>0</v>
      </c>
      <c r="F136" s="6">
        <v>12.75</v>
      </c>
      <c r="G136" s="6">
        <v>0.5625</v>
      </c>
      <c r="H136" s="6">
        <v>0.8125</v>
      </c>
      <c r="I136" s="6">
        <v>1.6875</v>
      </c>
      <c r="J136" s="6">
        <v>-2.125</v>
      </c>
      <c r="K136" s="6">
        <v>-16.9375</v>
      </c>
      <c r="L136" s="6">
        <v>-39.75</v>
      </c>
      <c r="M136" s="6">
        <v>0.875</v>
      </c>
      <c r="N136" s="6">
        <v>0.25</v>
      </c>
      <c r="O136" s="6">
        <v>0.6875</v>
      </c>
      <c r="P136" s="6">
        <v>-2.125</v>
      </c>
      <c r="Q136" s="6">
        <v>-34.625</v>
      </c>
      <c r="R136" s="6">
        <v>-1.9662284851074201</v>
      </c>
      <c r="S136" s="6">
        <v>-11.634564399719199</v>
      </c>
      <c r="T136" s="6">
        <v>-2.0389924049377401</v>
      </c>
      <c r="U136" s="6">
        <v>2.0490691661834699</v>
      </c>
      <c r="V136" s="6">
        <v>-36.102664947509801</v>
      </c>
      <c r="W136" s="6">
        <v>-17.7617073059082</v>
      </c>
    </row>
    <row r="137" spans="1:23" ht="18.95" customHeight="1">
      <c r="A137" s="4">
        <v>133</v>
      </c>
      <c r="B137" s="4">
        <v>2838</v>
      </c>
      <c r="C137" s="4">
        <v>1</v>
      </c>
      <c r="D137" s="6">
        <v>0</v>
      </c>
      <c r="E137" s="6">
        <v>0</v>
      </c>
      <c r="F137" s="6">
        <v>11.8125</v>
      </c>
      <c r="G137" s="6">
        <v>-1.6875</v>
      </c>
      <c r="H137" s="6">
        <v>-1.375</v>
      </c>
      <c r="I137" s="6">
        <v>1.75</v>
      </c>
      <c r="J137" s="6">
        <v>-2.125</v>
      </c>
      <c r="K137" s="6">
        <v>-17.1875</v>
      </c>
      <c r="L137" s="6">
        <v>-44</v>
      </c>
      <c r="M137" s="6">
        <v>0.3125</v>
      </c>
      <c r="N137" s="6">
        <v>-6.25E-2</v>
      </c>
      <c r="O137" s="6">
        <v>0.6875</v>
      </c>
      <c r="P137" s="6">
        <v>-2.125</v>
      </c>
      <c r="Q137" s="6">
        <v>-33.75</v>
      </c>
      <c r="R137" s="6">
        <v>2.0948405265808101</v>
      </c>
      <c r="S137" s="6">
        <v>-9.2528848648071307</v>
      </c>
      <c r="T137" s="6">
        <v>0.93810665607452404</v>
      </c>
      <c r="U137" s="6">
        <v>1.5398083925247199</v>
      </c>
      <c r="V137" s="6">
        <v>-36.390632629394503</v>
      </c>
      <c r="W137" s="6">
        <v>-17.742839813232401</v>
      </c>
    </row>
    <row r="138" spans="1:23" ht="18.95" customHeight="1">
      <c r="A138" s="4">
        <v>134</v>
      </c>
      <c r="B138" s="4">
        <v>2860</v>
      </c>
      <c r="C138" s="4">
        <v>1</v>
      </c>
      <c r="D138" s="6">
        <v>0</v>
      </c>
      <c r="E138" s="6">
        <v>0</v>
      </c>
      <c r="F138" s="6">
        <v>9.6875</v>
      </c>
      <c r="G138" s="6">
        <v>1.6875</v>
      </c>
      <c r="H138" s="6">
        <v>1.75</v>
      </c>
      <c r="I138" s="6">
        <v>1.6875</v>
      </c>
      <c r="J138" s="6">
        <v>-2.125</v>
      </c>
      <c r="K138" s="6">
        <v>-17.375</v>
      </c>
      <c r="L138" s="6">
        <v>-46.5</v>
      </c>
      <c r="M138" s="6">
        <v>1.0625</v>
      </c>
      <c r="N138" s="6">
        <v>0.3125</v>
      </c>
      <c r="O138" s="6">
        <v>0.6875</v>
      </c>
      <c r="P138" s="6">
        <v>-2.125</v>
      </c>
      <c r="Q138" s="6">
        <v>-32.875</v>
      </c>
      <c r="R138" s="6">
        <v>-2.7297019958496101E-2</v>
      </c>
      <c r="S138" s="6">
        <v>-7.74143409729004</v>
      </c>
      <c r="T138" s="6">
        <v>0.38848841190338101</v>
      </c>
      <c r="U138" s="6">
        <v>1.8400071859359699</v>
      </c>
      <c r="V138" s="6">
        <v>-36.552989959716797</v>
      </c>
      <c r="W138" s="6">
        <v>-17.728004455566399</v>
      </c>
    </row>
    <row r="139" spans="1:23" ht="18.95" customHeight="1">
      <c r="A139" s="4">
        <v>135</v>
      </c>
      <c r="B139" s="4">
        <v>2893</v>
      </c>
      <c r="C139" s="4">
        <v>1</v>
      </c>
      <c r="D139" s="6">
        <v>0</v>
      </c>
      <c r="E139" s="6">
        <v>0</v>
      </c>
      <c r="F139" s="6">
        <v>5.9375</v>
      </c>
      <c r="G139" s="6">
        <v>-1.125</v>
      </c>
      <c r="H139" s="6">
        <v>-0.75</v>
      </c>
      <c r="I139" s="6">
        <v>1.6875</v>
      </c>
      <c r="J139" s="6">
        <v>-2.125</v>
      </c>
      <c r="K139" s="6">
        <v>-17.625</v>
      </c>
      <c r="L139" s="6">
        <v>-51.6875</v>
      </c>
      <c r="M139" s="6">
        <v>0.125</v>
      </c>
      <c r="N139" s="6">
        <v>0</v>
      </c>
      <c r="O139" s="6">
        <v>0.625</v>
      </c>
      <c r="P139" s="6">
        <v>-2.125</v>
      </c>
      <c r="Q139" s="6">
        <v>-31.4375</v>
      </c>
      <c r="R139" s="6">
        <v>1.01087093353271</v>
      </c>
      <c r="S139" s="6">
        <v>-3.2986865043640101</v>
      </c>
      <c r="T139" s="6">
        <v>1.1213127374648999</v>
      </c>
      <c r="U139" s="6">
        <v>1.7879626750946001</v>
      </c>
      <c r="V139" s="6">
        <v>-36.6659545898438</v>
      </c>
      <c r="W139" s="6">
        <v>-17.721046447753899</v>
      </c>
    </row>
    <row r="140" spans="1:23" ht="18.95" customHeight="1">
      <c r="A140" s="4">
        <v>136</v>
      </c>
      <c r="B140" s="4">
        <v>2915</v>
      </c>
      <c r="C140" s="4">
        <v>1</v>
      </c>
      <c r="D140" s="6">
        <v>0</v>
      </c>
      <c r="E140" s="6">
        <v>0</v>
      </c>
      <c r="F140" s="6">
        <v>3.3125</v>
      </c>
      <c r="G140" s="6">
        <v>1.1875</v>
      </c>
      <c r="H140" s="6">
        <v>0.9375</v>
      </c>
      <c r="I140" s="6">
        <v>1.6875</v>
      </c>
      <c r="J140" s="6">
        <v>-2.125</v>
      </c>
      <c r="K140" s="6">
        <v>-17.75</v>
      </c>
      <c r="L140" s="6">
        <v>-53.0625</v>
      </c>
      <c r="M140" s="6">
        <v>0.8125</v>
      </c>
      <c r="N140" s="6">
        <v>0.1875</v>
      </c>
      <c r="O140" s="6">
        <v>0.625</v>
      </c>
      <c r="P140" s="6">
        <v>-2.125</v>
      </c>
      <c r="Q140" s="6">
        <v>-29.9375</v>
      </c>
      <c r="R140" s="6">
        <v>0.20171070098877</v>
      </c>
      <c r="S140" s="6">
        <v>-0.65746498107910201</v>
      </c>
      <c r="T140" s="6">
        <v>0.54116010665893599</v>
      </c>
      <c r="U140" s="6">
        <v>1.93054223060608</v>
      </c>
      <c r="V140" s="6">
        <v>-36.718696594238303</v>
      </c>
      <c r="W140" s="6">
        <v>-17.701637268066399</v>
      </c>
    </row>
    <row r="141" spans="1:23" ht="18.95" customHeight="1">
      <c r="A141" s="4">
        <v>137</v>
      </c>
      <c r="B141" s="4">
        <v>2935</v>
      </c>
      <c r="C141" s="4">
        <v>1</v>
      </c>
      <c r="D141" s="6">
        <v>0</v>
      </c>
      <c r="E141" s="6">
        <v>0</v>
      </c>
      <c r="F141" s="6">
        <v>0.8125</v>
      </c>
      <c r="G141" s="6">
        <v>0</v>
      </c>
      <c r="H141" s="6">
        <v>0.4375</v>
      </c>
      <c r="I141" s="6">
        <v>1.6875</v>
      </c>
      <c r="J141" s="6">
        <v>-2.125</v>
      </c>
      <c r="K141" s="6">
        <v>-17.75</v>
      </c>
      <c r="L141" s="6">
        <v>-56.125</v>
      </c>
      <c r="M141" s="6">
        <v>0.5</v>
      </c>
      <c r="N141" s="6">
        <v>-6.25E-2</v>
      </c>
      <c r="O141" s="6">
        <v>0.5625</v>
      </c>
      <c r="P141" s="6">
        <v>-2.125</v>
      </c>
      <c r="Q141" s="6">
        <v>-29.375</v>
      </c>
      <c r="R141" s="6">
        <v>-1.2029886245727499E-2</v>
      </c>
      <c r="S141" s="6">
        <v>1.8005502223968499</v>
      </c>
      <c r="T141" s="6">
        <v>9.8412036895751995E-2</v>
      </c>
      <c r="U141" s="6">
        <v>1.7922675609588601</v>
      </c>
      <c r="V141" s="6">
        <v>-36.5830688476562</v>
      </c>
      <c r="W141" s="6">
        <v>-17.701921463012699</v>
      </c>
    </row>
    <row r="142" spans="1:23" ht="18.95" customHeight="1">
      <c r="A142" s="4">
        <v>138</v>
      </c>
      <c r="B142" s="4">
        <v>2955</v>
      </c>
      <c r="C142" s="4">
        <v>1</v>
      </c>
      <c r="D142" s="6">
        <v>0</v>
      </c>
      <c r="E142" s="6">
        <v>0</v>
      </c>
      <c r="F142" s="6">
        <v>-1.75</v>
      </c>
      <c r="G142" s="6">
        <v>-0.25</v>
      </c>
      <c r="H142" s="6">
        <v>-6.25E-2</v>
      </c>
      <c r="I142" s="6">
        <v>1.6875</v>
      </c>
      <c r="J142" s="6">
        <v>-2.125</v>
      </c>
      <c r="K142" s="6">
        <v>-17.75</v>
      </c>
      <c r="L142" s="6">
        <v>-56.625</v>
      </c>
      <c r="M142" s="6">
        <v>0.25</v>
      </c>
      <c r="N142" s="6">
        <v>6.25E-2</v>
      </c>
      <c r="O142" s="6">
        <v>0.5625</v>
      </c>
      <c r="P142" s="6">
        <v>-2.125</v>
      </c>
      <c r="Q142" s="6">
        <v>-28.25</v>
      </c>
      <c r="R142" s="6">
        <v>0.247512102127075</v>
      </c>
      <c r="S142" s="6">
        <v>4.7318477630615199</v>
      </c>
      <c r="T142" s="6">
        <v>0.23581659793853799</v>
      </c>
      <c r="U142" s="6">
        <v>1.7005258798599201</v>
      </c>
      <c r="V142" s="6">
        <v>-36.613792419433601</v>
      </c>
      <c r="W142" s="6">
        <v>-17.698671340942401</v>
      </c>
    </row>
    <row r="143" spans="1:23" ht="18.95" customHeight="1">
      <c r="A143" s="4">
        <v>139</v>
      </c>
      <c r="B143" s="4">
        <v>2975</v>
      </c>
      <c r="C143" s="4">
        <v>1</v>
      </c>
      <c r="D143" s="6">
        <v>0</v>
      </c>
      <c r="E143" s="6">
        <v>0</v>
      </c>
      <c r="F143" s="6">
        <v>-4.625</v>
      </c>
      <c r="G143" s="6">
        <v>6.25E-2</v>
      </c>
      <c r="H143" s="6">
        <v>6.25E-2</v>
      </c>
      <c r="I143" s="6">
        <v>1.6875</v>
      </c>
      <c r="J143" s="6">
        <v>-2.125</v>
      </c>
      <c r="K143" s="6">
        <v>-17.6875</v>
      </c>
      <c r="L143" s="6">
        <v>-58.5</v>
      </c>
      <c r="M143" s="6">
        <v>0.625</v>
      </c>
      <c r="N143" s="6">
        <v>0.125</v>
      </c>
      <c r="O143" s="6">
        <v>0.5</v>
      </c>
      <c r="P143" s="6">
        <v>-2.1875</v>
      </c>
      <c r="Q143" s="6">
        <v>-26.5625</v>
      </c>
      <c r="R143" s="6">
        <v>0.369649648666382</v>
      </c>
      <c r="S143" s="6">
        <v>7.6478786468505904</v>
      </c>
      <c r="T143" s="6">
        <v>0.464824199676514</v>
      </c>
      <c r="U143" s="6">
        <v>1.6363319158554099</v>
      </c>
      <c r="V143" s="6">
        <v>-36.470794677734403</v>
      </c>
      <c r="W143" s="6">
        <v>-17.684612274169901</v>
      </c>
    </row>
    <row r="144" spans="1:23" ht="18.95" customHeight="1">
      <c r="A144" s="4">
        <v>140</v>
      </c>
      <c r="B144" s="4">
        <v>2996</v>
      </c>
      <c r="C144" s="4">
        <v>1</v>
      </c>
      <c r="D144" s="6">
        <v>0</v>
      </c>
      <c r="E144" s="6">
        <v>0</v>
      </c>
      <c r="F144" s="6">
        <v>-7.8125</v>
      </c>
      <c r="G144" s="6">
        <v>-6.25E-2</v>
      </c>
      <c r="H144" s="6">
        <v>0.625</v>
      </c>
      <c r="I144" s="6">
        <v>1.625</v>
      </c>
      <c r="J144" s="6">
        <v>-2.125</v>
      </c>
      <c r="K144" s="6">
        <v>-17.5</v>
      </c>
      <c r="L144" s="6">
        <v>-61.125</v>
      </c>
      <c r="M144" s="6">
        <v>0.6875</v>
      </c>
      <c r="N144" s="6">
        <v>6.25E-2</v>
      </c>
      <c r="O144" s="6">
        <v>0.5</v>
      </c>
      <c r="P144" s="6">
        <v>-2.1875</v>
      </c>
      <c r="Q144" s="6">
        <v>-26</v>
      </c>
      <c r="R144" s="6">
        <v>-0.27157187461853</v>
      </c>
      <c r="S144" s="6">
        <v>10.334901809692401</v>
      </c>
      <c r="T144" s="6">
        <v>9.8412036895751995E-2</v>
      </c>
      <c r="U144" s="6">
        <v>1.6968412399292001</v>
      </c>
      <c r="V144" s="6">
        <v>-36.271247863769503</v>
      </c>
      <c r="W144" s="6">
        <v>-17.6742248535156</v>
      </c>
    </row>
    <row r="145" spans="1:23" ht="18.95" customHeight="1">
      <c r="A145" s="4">
        <v>141</v>
      </c>
      <c r="B145" s="4">
        <v>3018</v>
      </c>
      <c r="C145" s="4">
        <v>1</v>
      </c>
      <c r="D145" s="6">
        <v>0</v>
      </c>
      <c r="E145" s="6">
        <v>0</v>
      </c>
      <c r="F145" s="6">
        <v>-10.625</v>
      </c>
      <c r="G145" s="6">
        <v>-0.5625</v>
      </c>
      <c r="H145" s="6">
        <v>-6.25E-2</v>
      </c>
      <c r="I145" s="6">
        <v>1.625</v>
      </c>
      <c r="J145" s="6">
        <v>-2.125</v>
      </c>
      <c r="K145" s="6">
        <v>-17.3125</v>
      </c>
      <c r="L145" s="6">
        <v>-63.375</v>
      </c>
      <c r="M145" s="6">
        <v>0.5625</v>
      </c>
      <c r="N145" s="6">
        <v>0.1875</v>
      </c>
      <c r="O145" s="6">
        <v>0.5</v>
      </c>
      <c r="P145" s="6">
        <v>-2.1875</v>
      </c>
      <c r="Q145" s="6">
        <v>-24.1875</v>
      </c>
      <c r="R145" s="6">
        <v>-1.3402740955352801</v>
      </c>
      <c r="S145" s="6">
        <v>14.105894088745099</v>
      </c>
      <c r="T145" s="6">
        <v>5.2610516548156697E-2</v>
      </c>
      <c r="U145" s="6">
        <v>1.6082621812820399</v>
      </c>
      <c r="V145" s="6">
        <v>-36.028079986572301</v>
      </c>
      <c r="W145" s="6">
        <v>-17.675462722778299</v>
      </c>
    </row>
    <row r="146" spans="1:23" ht="18.95" customHeight="1">
      <c r="A146" s="4">
        <v>142</v>
      </c>
      <c r="B146" s="4">
        <v>3040</v>
      </c>
      <c r="C146" s="4">
        <v>1</v>
      </c>
      <c r="D146" s="6">
        <v>0</v>
      </c>
      <c r="E146" s="6">
        <v>0</v>
      </c>
      <c r="F146" s="6">
        <v>-13.8125</v>
      </c>
      <c r="G146" s="6">
        <v>-0.5625</v>
      </c>
      <c r="H146" s="6">
        <v>6.25E-2</v>
      </c>
      <c r="I146" s="6">
        <v>1.625</v>
      </c>
      <c r="J146" s="6">
        <v>-2.125</v>
      </c>
      <c r="K146" s="6">
        <v>-17.0625</v>
      </c>
      <c r="L146" s="6">
        <v>-64.8125</v>
      </c>
      <c r="M146" s="6">
        <v>0.5</v>
      </c>
      <c r="N146" s="6">
        <v>0.125</v>
      </c>
      <c r="O146" s="6">
        <v>0.4375</v>
      </c>
      <c r="P146" s="6">
        <v>-2.1875</v>
      </c>
      <c r="Q146" s="6">
        <v>-22.9375</v>
      </c>
      <c r="R146" s="6">
        <v>-0.62271690368652299</v>
      </c>
      <c r="S146" s="6">
        <v>16.8539848327637</v>
      </c>
      <c r="T146" s="6">
        <v>5.2610516548156697E-2</v>
      </c>
      <c r="U146" s="6">
        <v>1.5638679265976001</v>
      </c>
      <c r="V146" s="6">
        <v>-35.676624298095703</v>
      </c>
      <c r="W146" s="6">
        <v>-17.6612358093262</v>
      </c>
    </row>
    <row r="147" spans="1:23" ht="18.95" customHeight="1">
      <c r="A147" s="4">
        <v>143</v>
      </c>
      <c r="B147" s="4">
        <v>3060</v>
      </c>
      <c r="C147" s="4">
        <v>1</v>
      </c>
      <c r="D147" s="6">
        <v>0</v>
      </c>
      <c r="E147" s="6">
        <v>0</v>
      </c>
      <c r="F147" s="6">
        <v>-16.625</v>
      </c>
      <c r="G147" s="6">
        <v>0.125</v>
      </c>
      <c r="H147" s="6">
        <v>0.5625</v>
      </c>
      <c r="I147" s="6">
        <v>1.625</v>
      </c>
      <c r="J147" s="6">
        <v>-2.125</v>
      </c>
      <c r="K147" s="6">
        <v>-16.75</v>
      </c>
      <c r="L147" s="6">
        <v>-66</v>
      </c>
      <c r="M147" s="6">
        <v>0.625</v>
      </c>
      <c r="N147" s="6">
        <v>0.1875</v>
      </c>
      <c r="O147" s="6">
        <v>0.4375</v>
      </c>
      <c r="P147" s="6">
        <v>-2.1875</v>
      </c>
      <c r="Q147" s="6">
        <v>-21.625</v>
      </c>
      <c r="R147" s="6">
        <v>-0.63798403739929199</v>
      </c>
      <c r="S147" s="6">
        <v>20.731847763061499</v>
      </c>
      <c r="T147" s="6">
        <v>0.20528227090835599</v>
      </c>
      <c r="U147" s="6">
        <v>1.5597399473190301</v>
      </c>
      <c r="V147" s="6">
        <v>-35.4275932312012</v>
      </c>
      <c r="W147" s="6">
        <v>-17.655961990356399</v>
      </c>
    </row>
    <row r="148" spans="1:23" ht="18.95" customHeight="1">
      <c r="A148" s="4">
        <v>144</v>
      </c>
      <c r="B148" s="4">
        <v>3082</v>
      </c>
      <c r="C148" s="4">
        <v>1</v>
      </c>
      <c r="D148" s="6">
        <v>0</v>
      </c>
      <c r="E148" s="6">
        <v>0</v>
      </c>
      <c r="F148" s="6">
        <v>-20.1875</v>
      </c>
      <c r="G148" s="6">
        <v>-0.5</v>
      </c>
      <c r="H148" s="6">
        <v>-6.25E-2</v>
      </c>
      <c r="I148" s="6">
        <v>1.625</v>
      </c>
      <c r="J148" s="6">
        <v>-2.125</v>
      </c>
      <c r="K148" s="6">
        <v>-16.4375</v>
      </c>
      <c r="L148" s="6">
        <v>-69.25</v>
      </c>
      <c r="M148" s="6">
        <v>0.5</v>
      </c>
      <c r="N148" s="6">
        <v>-0.125</v>
      </c>
      <c r="O148" s="6">
        <v>0.375</v>
      </c>
      <c r="P148" s="6">
        <v>-2.1875</v>
      </c>
      <c r="Q148" s="6">
        <v>-20.3125</v>
      </c>
      <c r="R148" s="6">
        <v>-7.3098421096801799E-2</v>
      </c>
      <c r="S148" s="6">
        <v>23.800550460815401</v>
      </c>
      <c r="T148" s="6">
        <v>1.01444256305695</v>
      </c>
      <c r="U148" s="6">
        <v>1.4552521705627399</v>
      </c>
      <c r="V148" s="6">
        <v>-34.987377166747997</v>
      </c>
      <c r="W148" s="6">
        <v>-17.646734237670898</v>
      </c>
    </row>
    <row r="149" spans="1:23" ht="18.95" customHeight="1">
      <c r="A149" s="4">
        <v>145</v>
      </c>
      <c r="B149" s="4">
        <v>3103</v>
      </c>
      <c r="C149" s="4">
        <v>1</v>
      </c>
      <c r="D149" s="6">
        <v>0</v>
      </c>
      <c r="E149" s="6">
        <v>0</v>
      </c>
      <c r="F149" s="6">
        <v>-23.6875</v>
      </c>
      <c r="G149" s="6">
        <v>-0.3125</v>
      </c>
      <c r="H149" s="6">
        <v>0.125</v>
      </c>
      <c r="I149" s="6">
        <v>1.625</v>
      </c>
      <c r="J149" s="6">
        <v>-2.125</v>
      </c>
      <c r="K149" s="6">
        <v>-15.75</v>
      </c>
      <c r="L149" s="6">
        <v>-70.375</v>
      </c>
      <c r="M149" s="6">
        <v>0.6875</v>
      </c>
      <c r="N149" s="6">
        <v>0</v>
      </c>
      <c r="O149" s="6">
        <v>0.375</v>
      </c>
      <c r="P149" s="6">
        <v>-2.1875</v>
      </c>
      <c r="Q149" s="6">
        <v>-18.9375</v>
      </c>
      <c r="R149" s="6">
        <v>-0.71431994438171398</v>
      </c>
      <c r="S149" s="6">
        <v>27.8158168792725</v>
      </c>
      <c r="T149" s="6">
        <v>0.128946363925934</v>
      </c>
      <c r="U149" s="6">
        <v>1.4814600944519001</v>
      </c>
      <c r="V149" s="6">
        <v>-34.535804748535199</v>
      </c>
      <c r="W149" s="6">
        <v>-17.637323379516602</v>
      </c>
    </row>
    <row r="150" spans="1:23" ht="18.95" customHeight="1">
      <c r="A150" s="4">
        <v>146</v>
      </c>
      <c r="B150" s="4">
        <v>3125</v>
      </c>
      <c r="C150" s="4">
        <v>1</v>
      </c>
      <c r="D150" s="6">
        <v>0</v>
      </c>
      <c r="E150" s="6">
        <v>0</v>
      </c>
      <c r="F150" s="6">
        <v>-28.8125</v>
      </c>
      <c r="G150" s="6">
        <v>-0.25</v>
      </c>
      <c r="H150" s="6">
        <v>0.1875</v>
      </c>
      <c r="I150" s="6">
        <v>1.625</v>
      </c>
      <c r="J150" s="6">
        <v>-2.125</v>
      </c>
      <c r="K150" s="6">
        <v>-15.1875</v>
      </c>
      <c r="L150" s="6">
        <v>-72.125</v>
      </c>
      <c r="M150" s="6">
        <v>0.6875</v>
      </c>
      <c r="N150" s="6">
        <v>0.125</v>
      </c>
      <c r="O150" s="6">
        <v>0.3125</v>
      </c>
      <c r="P150" s="6">
        <v>-2.1875</v>
      </c>
      <c r="Q150" s="6">
        <v>-17.5625</v>
      </c>
      <c r="R150" s="6">
        <v>-1.2028694152832</v>
      </c>
      <c r="S150" s="6">
        <v>31.2967338562012</v>
      </c>
      <c r="T150" s="6">
        <v>0.40375554561615001</v>
      </c>
      <c r="U150" s="6">
        <v>1.3853856325149501</v>
      </c>
      <c r="V150" s="6">
        <v>-33.8602294921875</v>
      </c>
      <c r="W150" s="6">
        <v>-17.641426086425799</v>
      </c>
    </row>
    <row r="151" spans="1:23" ht="18.95" customHeight="1">
      <c r="A151" s="4">
        <v>147</v>
      </c>
      <c r="B151" s="4">
        <v>3145</v>
      </c>
      <c r="C151" s="4">
        <v>1</v>
      </c>
      <c r="D151" s="6">
        <v>0</v>
      </c>
      <c r="E151" s="6">
        <v>0</v>
      </c>
      <c r="F151" s="6">
        <v>-32</v>
      </c>
      <c r="G151" s="6">
        <v>-0.5</v>
      </c>
      <c r="H151" s="6">
        <v>0</v>
      </c>
      <c r="I151" s="6">
        <v>1.5625</v>
      </c>
      <c r="J151" s="6">
        <v>-2.125</v>
      </c>
      <c r="K151" s="6">
        <v>-14.5625</v>
      </c>
      <c r="L151" s="6">
        <v>-73.125</v>
      </c>
      <c r="M151" s="6">
        <v>0.8125</v>
      </c>
      <c r="N151" s="6">
        <v>-6.25E-2</v>
      </c>
      <c r="O151" s="6">
        <v>0.3125</v>
      </c>
      <c r="P151" s="6">
        <v>-2.1875</v>
      </c>
      <c r="Q151" s="6">
        <v>-16.125</v>
      </c>
      <c r="R151" s="6">
        <v>-1.3402740955352801</v>
      </c>
      <c r="S151" s="6">
        <v>34.701316833496101</v>
      </c>
      <c r="T151" s="6">
        <v>0.40375554561615001</v>
      </c>
      <c r="U151" s="6">
        <v>1.3390136957168599</v>
      </c>
      <c r="V151" s="6">
        <v>-33.283706665039098</v>
      </c>
      <c r="W151" s="6">
        <v>-17.638177871704102</v>
      </c>
    </row>
    <row r="152" spans="1:23" ht="18.95" customHeight="1">
      <c r="A152" s="4">
        <v>148</v>
      </c>
      <c r="B152" s="4">
        <v>3165</v>
      </c>
      <c r="C152" s="4">
        <v>1</v>
      </c>
      <c r="D152" s="6">
        <v>0</v>
      </c>
      <c r="E152" s="6">
        <v>0</v>
      </c>
      <c r="F152" s="6">
        <v>-35.3125</v>
      </c>
      <c r="G152" s="6">
        <v>-0.625</v>
      </c>
      <c r="H152" s="6">
        <v>0</v>
      </c>
      <c r="I152" s="6">
        <v>1.5625</v>
      </c>
      <c r="J152" s="6">
        <v>-2.0625</v>
      </c>
      <c r="K152" s="6">
        <v>-13.9375</v>
      </c>
      <c r="L152" s="6">
        <v>-73.6875</v>
      </c>
      <c r="M152" s="6">
        <v>0.75</v>
      </c>
      <c r="N152" s="6">
        <v>-6.25E-2</v>
      </c>
      <c r="O152" s="6">
        <v>0.25</v>
      </c>
      <c r="P152" s="6">
        <v>-2.25</v>
      </c>
      <c r="Q152" s="6">
        <v>-14</v>
      </c>
      <c r="R152" s="6">
        <v>-1.73722076416016</v>
      </c>
      <c r="S152" s="6">
        <v>38.563911437988303</v>
      </c>
      <c r="T152" s="6">
        <v>0.23581659793853799</v>
      </c>
      <c r="U152" s="6">
        <v>1.3788132667541499</v>
      </c>
      <c r="V152" s="6">
        <v>-32.721450805664098</v>
      </c>
      <c r="W152" s="6">
        <v>-17.626974105835</v>
      </c>
    </row>
    <row r="153" spans="1:23" ht="18.95" customHeight="1">
      <c r="A153" s="4">
        <v>149</v>
      </c>
      <c r="B153" s="4">
        <v>3185</v>
      </c>
      <c r="C153" s="4">
        <v>1</v>
      </c>
      <c r="D153" s="6">
        <v>0</v>
      </c>
      <c r="E153" s="6">
        <v>0</v>
      </c>
      <c r="F153" s="6">
        <v>-39.3125</v>
      </c>
      <c r="G153" s="6">
        <v>-1.125</v>
      </c>
      <c r="H153" s="6">
        <v>-0.1875</v>
      </c>
      <c r="I153" s="6">
        <v>1.5625</v>
      </c>
      <c r="J153" s="6">
        <v>-2.0625</v>
      </c>
      <c r="K153" s="6">
        <v>-13.1875</v>
      </c>
      <c r="L153" s="6">
        <v>-75.875</v>
      </c>
      <c r="M153" s="6">
        <v>0.75</v>
      </c>
      <c r="N153" s="6">
        <v>-0.25</v>
      </c>
      <c r="O153" s="6">
        <v>0.25</v>
      </c>
      <c r="P153" s="6">
        <v>-2.25</v>
      </c>
      <c r="Q153" s="6">
        <v>-13.25</v>
      </c>
      <c r="R153" s="6">
        <v>-1.50821304321289</v>
      </c>
      <c r="S153" s="6">
        <v>41.922691345214801</v>
      </c>
      <c r="T153" s="6">
        <v>-0.115328431129456</v>
      </c>
      <c r="U153" s="6">
        <v>1.3459222316741899</v>
      </c>
      <c r="V153" s="6">
        <v>-32.006839752197301</v>
      </c>
      <c r="W153" s="6">
        <v>-17.616060256958001</v>
      </c>
    </row>
    <row r="154" spans="1:23" ht="18.95" customHeight="1">
      <c r="A154" s="4">
        <v>150</v>
      </c>
      <c r="B154" s="4">
        <v>3205</v>
      </c>
      <c r="C154" s="4">
        <v>1</v>
      </c>
      <c r="D154" s="6">
        <v>0</v>
      </c>
      <c r="E154" s="6">
        <v>0</v>
      </c>
      <c r="F154" s="6">
        <v>-41.125</v>
      </c>
      <c r="G154" s="6">
        <v>-0.875</v>
      </c>
      <c r="H154" s="6">
        <v>-6.25E-2</v>
      </c>
      <c r="I154" s="6">
        <v>1.5625</v>
      </c>
      <c r="J154" s="6">
        <v>-2.0625</v>
      </c>
      <c r="K154" s="6">
        <v>-12.375</v>
      </c>
      <c r="L154" s="6">
        <v>-77.25</v>
      </c>
      <c r="M154" s="6">
        <v>0.625</v>
      </c>
      <c r="N154" s="6">
        <v>-0.1875</v>
      </c>
      <c r="O154" s="6">
        <v>0.1875</v>
      </c>
      <c r="P154" s="6">
        <v>-2.25</v>
      </c>
      <c r="Q154" s="6">
        <v>-11.0625</v>
      </c>
      <c r="R154" s="6">
        <v>-1.08073210716248</v>
      </c>
      <c r="S154" s="6">
        <v>45.3272705078125</v>
      </c>
      <c r="T154" s="6">
        <v>0.73963344097137496</v>
      </c>
      <c r="U154" s="6">
        <v>1.25856196880341</v>
      </c>
      <c r="V154" s="6">
        <v>-31.337034225463899</v>
      </c>
      <c r="W154" s="6">
        <v>-17.603176116943398</v>
      </c>
    </row>
    <row r="155" spans="1:23" ht="18.95" customHeight="1">
      <c r="A155" s="4">
        <v>151</v>
      </c>
      <c r="B155" s="4">
        <v>3225</v>
      </c>
      <c r="C155" s="4">
        <v>1</v>
      </c>
      <c r="D155" s="6">
        <v>0</v>
      </c>
      <c r="E155" s="6">
        <v>0</v>
      </c>
      <c r="F155" s="6">
        <v>-44.75</v>
      </c>
      <c r="G155" s="6">
        <v>-0.875</v>
      </c>
      <c r="H155" s="6">
        <v>-0.1875</v>
      </c>
      <c r="I155" s="6">
        <v>1.5625</v>
      </c>
      <c r="J155" s="6">
        <v>-2.0625</v>
      </c>
      <c r="K155" s="6">
        <v>-11.5</v>
      </c>
      <c r="L155" s="6">
        <v>-78.125</v>
      </c>
      <c r="M155" s="6">
        <v>0.625</v>
      </c>
      <c r="N155" s="6">
        <v>0</v>
      </c>
      <c r="O155" s="6">
        <v>0.1875</v>
      </c>
      <c r="P155" s="6">
        <v>-2.25</v>
      </c>
      <c r="Q155" s="6">
        <v>-9.5</v>
      </c>
      <c r="R155" s="6">
        <v>-1.6761517524719201</v>
      </c>
      <c r="S155" s="6">
        <v>48.533370971679702</v>
      </c>
      <c r="T155" s="6">
        <v>0.23581659793853799</v>
      </c>
      <c r="U155" s="6">
        <v>1.2132592201232899</v>
      </c>
      <c r="V155" s="6">
        <v>-30.510850906372099</v>
      </c>
      <c r="W155" s="6">
        <v>-17.600124359130898</v>
      </c>
    </row>
    <row r="156" spans="1:23" ht="18.95" customHeight="1">
      <c r="A156" s="4">
        <v>152</v>
      </c>
      <c r="B156" s="4">
        <v>3246</v>
      </c>
      <c r="C156" s="4">
        <v>1</v>
      </c>
      <c r="D156" s="6">
        <v>0</v>
      </c>
      <c r="E156" s="6">
        <v>0</v>
      </c>
      <c r="F156" s="6">
        <v>-49.875</v>
      </c>
      <c r="G156" s="6">
        <v>-0.875</v>
      </c>
      <c r="H156" s="6">
        <v>0</v>
      </c>
      <c r="I156" s="6">
        <v>1.5</v>
      </c>
      <c r="J156" s="6">
        <v>-2.0625</v>
      </c>
      <c r="K156" s="6">
        <v>-10.5625</v>
      </c>
      <c r="L156" s="6">
        <v>-78.5</v>
      </c>
      <c r="M156" s="6">
        <v>0.75</v>
      </c>
      <c r="N156" s="6">
        <v>-0.125</v>
      </c>
      <c r="O156" s="6">
        <v>0.125</v>
      </c>
      <c r="P156" s="6">
        <v>-2.25</v>
      </c>
      <c r="Q156" s="6">
        <v>-8.75</v>
      </c>
      <c r="R156" s="6">
        <v>-1.44714450836182</v>
      </c>
      <c r="S156" s="6">
        <v>52.289100646972699</v>
      </c>
      <c r="T156" s="6">
        <v>0.15948075056076</v>
      </c>
      <c r="U156" s="6">
        <v>1.16442835330963</v>
      </c>
      <c r="V156" s="6">
        <v>-29.625219345092798</v>
      </c>
      <c r="W156" s="6">
        <v>-17.604362487793001</v>
      </c>
    </row>
    <row r="157" spans="1:23" ht="18.95" customHeight="1">
      <c r="A157" s="4">
        <v>153</v>
      </c>
      <c r="B157" s="4">
        <v>3268</v>
      </c>
      <c r="C157" s="4">
        <v>1</v>
      </c>
      <c r="D157" s="6">
        <v>0</v>
      </c>
      <c r="E157" s="6">
        <v>0</v>
      </c>
      <c r="F157" s="6">
        <v>-53.6875</v>
      </c>
      <c r="G157" s="6">
        <v>-1.125</v>
      </c>
      <c r="H157" s="6">
        <v>-0.3125</v>
      </c>
      <c r="I157" s="6">
        <v>1.5</v>
      </c>
      <c r="J157" s="6">
        <v>-2</v>
      </c>
      <c r="K157" s="6">
        <v>-9.5</v>
      </c>
      <c r="L157" s="6">
        <v>-79.5</v>
      </c>
      <c r="M157" s="6">
        <v>0.75</v>
      </c>
      <c r="N157" s="6">
        <v>-6.25E-2</v>
      </c>
      <c r="O157" s="6">
        <v>0.125</v>
      </c>
      <c r="P157" s="6">
        <v>-2.3125</v>
      </c>
      <c r="Q157" s="6">
        <v>-6.4375</v>
      </c>
      <c r="R157" s="6">
        <v>-1.0959992408752399</v>
      </c>
      <c r="S157" s="6">
        <v>55.785285949707003</v>
      </c>
      <c r="T157" s="6">
        <v>0.41902267932891801</v>
      </c>
      <c r="U157" s="6">
        <v>1.07497346401215</v>
      </c>
      <c r="V157" s="6">
        <v>-28.5285549163818</v>
      </c>
      <c r="W157" s="6">
        <v>-17.603204727172901</v>
      </c>
    </row>
    <row r="158" spans="1:23" ht="18.95" customHeight="1">
      <c r="A158" s="4">
        <v>154</v>
      </c>
      <c r="B158" s="4">
        <v>3298</v>
      </c>
      <c r="C158" s="4">
        <v>1</v>
      </c>
      <c r="D158" s="6">
        <v>0</v>
      </c>
      <c r="E158" s="6">
        <v>0</v>
      </c>
      <c r="F158" s="6">
        <v>-58.25</v>
      </c>
      <c r="G158" s="6">
        <v>-0.875</v>
      </c>
      <c r="H158" s="6">
        <v>-6.25E-2</v>
      </c>
      <c r="I158" s="6">
        <v>1.5</v>
      </c>
      <c r="J158" s="6">
        <v>-2</v>
      </c>
      <c r="K158" s="6">
        <v>-7.875</v>
      </c>
      <c r="L158" s="6">
        <v>-77.9375</v>
      </c>
      <c r="M158" s="6">
        <v>1</v>
      </c>
      <c r="N158" s="6">
        <v>-0.125</v>
      </c>
      <c r="O158" s="6">
        <v>6.25E-2</v>
      </c>
      <c r="P158" s="6">
        <v>-2.3125</v>
      </c>
      <c r="Q158" s="6">
        <v>-4.1875</v>
      </c>
      <c r="R158" s="6">
        <v>-1.5845489501953101</v>
      </c>
      <c r="S158" s="6">
        <v>60.319633483886697</v>
      </c>
      <c r="T158" s="6">
        <v>0.25108379125595098</v>
      </c>
      <c r="U158" s="6">
        <v>1.1092901229858401</v>
      </c>
      <c r="V158" s="6">
        <v>-26.720027923583999</v>
      </c>
      <c r="W158" s="6">
        <v>-17.5982360839844</v>
      </c>
    </row>
    <row r="159" spans="1:23" ht="18.95" customHeight="1">
      <c r="A159" s="4">
        <v>155</v>
      </c>
      <c r="B159" s="4">
        <v>3319</v>
      </c>
      <c r="C159" s="4">
        <v>1</v>
      </c>
      <c r="D159" s="6">
        <v>0</v>
      </c>
      <c r="E159" s="6">
        <v>0</v>
      </c>
      <c r="F159" s="6">
        <v>-61.5</v>
      </c>
      <c r="G159" s="6">
        <v>-0.875</v>
      </c>
      <c r="H159" s="6">
        <v>-0.25</v>
      </c>
      <c r="I159" s="6">
        <v>1.4375</v>
      </c>
      <c r="J159" s="6">
        <v>-1.9375</v>
      </c>
      <c r="K159" s="6">
        <v>-6.6875</v>
      </c>
      <c r="L159" s="6">
        <v>-76.75</v>
      </c>
      <c r="M159" s="6">
        <v>0.875</v>
      </c>
      <c r="N159" s="6">
        <v>-0.1875</v>
      </c>
      <c r="O159" s="6">
        <v>0</v>
      </c>
      <c r="P159" s="6">
        <v>-2.3125</v>
      </c>
      <c r="Q159" s="6">
        <v>-2.6875</v>
      </c>
      <c r="R159" s="6">
        <v>-2.4547777175903298</v>
      </c>
      <c r="S159" s="6">
        <v>61.434135437011697</v>
      </c>
      <c r="T159" s="6">
        <v>-0.43593913316726701</v>
      </c>
      <c r="U159" s="6">
        <v>1.1284081935882599</v>
      </c>
      <c r="V159" s="6">
        <v>-25.451240539550799</v>
      </c>
      <c r="W159" s="6">
        <v>-17.6017742156982</v>
      </c>
    </row>
    <row r="160" spans="1:23" ht="18.95" customHeight="1">
      <c r="A160" s="4">
        <v>156</v>
      </c>
      <c r="B160" s="4">
        <v>3339</v>
      </c>
      <c r="C160" s="4">
        <v>0</v>
      </c>
      <c r="D160" s="6">
        <v>0</v>
      </c>
      <c r="E160" s="6">
        <v>0</v>
      </c>
      <c r="F160" s="6">
        <v>-62.875</v>
      </c>
      <c r="G160" s="6">
        <v>-1.25</v>
      </c>
      <c r="H160" s="6">
        <v>-0.375</v>
      </c>
      <c r="I160" s="6">
        <v>1.4375</v>
      </c>
      <c r="J160" s="6">
        <v>-1.9375</v>
      </c>
      <c r="K160" s="6">
        <v>-5.5</v>
      </c>
      <c r="L160" s="6">
        <v>-73.8125</v>
      </c>
      <c r="M160" s="6">
        <v>0.5</v>
      </c>
      <c r="N160" s="6">
        <v>0.1875</v>
      </c>
      <c r="O160" s="6">
        <v>0</v>
      </c>
      <c r="P160" s="6">
        <v>-2.3125</v>
      </c>
      <c r="Q160" s="6">
        <v>-1.25</v>
      </c>
      <c r="R160" s="6">
        <v>-1.5845489501953101</v>
      </c>
      <c r="S160" s="6">
        <v>64.136428833007798</v>
      </c>
      <c r="T160" s="6">
        <v>0.19001507759094199</v>
      </c>
      <c r="U160" s="6">
        <v>0.97160255908966098</v>
      </c>
      <c r="V160" s="6">
        <v>-24.4382209777832</v>
      </c>
      <c r="W160" s="6">
        <v>-17.601568222045898</v>
      </c>
    </row>
    <row r="161" spans="1:23" ht="18.95" customHeight="1">
      <c r="A161" s="4">
        <v>157</v>
      </c>
      <c r="B161" s="4">
        <v>3361</v>
      </c>
      <c r="C161" s="4">
        <v>0</v>
      </c>
      <c r="D161" s="6">
        <v>0</v>
      </c>
      <c r="E161" s="6">
        <v>0</v>
      </c>
      <c r="F161" s="6">
        <v>-65.3125</v>
      </c>
      <c r="G161" s="6">
        <v>-1</v>
      </c>
      <c r="H161" s="6">
        <v>-0.1875</v>
      </c>
      <c r="I161" s="6">
        <v>1.4375</v>
      </c>
      <c r="J161" s="6">
        <v>-1.9375</v>
      </c>
      <c r="K161" s="6">
        <v>-4.25</v>
      </c>
      <c r="L161" s="6">
        <v>-72.25</v>
      </c>
      <c r="M161" s="6">
        <v>0.75</v>
      </c>
      <c r="N161" s="6">
        <v>-0.125</v>
      </c>
      <c r="O161" s="6">
        <v>359.9375</v>
      </c>
      <c r="P161" s="6">
        <v>-2.375</v>
      </c>
      <c r="Q161" s="6">
        <v>0.125</v>
      </c>
      <c r="R161" s="6">
        <v>-1.6303505897521999</v>
      </c>
      <c r="S161" s="6">
        <v>63.708946228027301</v>
      </c>
      <c r="T161" s="6">
        <v>-0.14586275815963701</v>
      </c>
      <c r="U161" s="6">
        <v>0.97833502292633101</v>
      </c>
      <c r="V161" s="6">
        <v>-22.841310501098601</v>
      </c>
      <c r="W161" s="6">
        <v>-17.603584289550799</v>
      </c>
    </row>
    <row r="162" spans="1:23" ht="18.95" customHeight="1">
      <c r="A162" s="4">
        <v>158</v>
      </c>
      <c r="B162" s="4">
        <v>3381</v>
      </c>
      <c r="C162" s="4">
        <v>0</v>
      </c>
      <c r="D162" s="6">
        <v>0</v>
      </c>
      <c r="E162" s="6">
        <v>0</v>
      </c>
      <c r="F162" s="6">
        <v>-66</v>
      </c>
      <c r="G162" s="6">
        <v>-1.25</v>
      </c>
      <c r="H162" s="6">
        <v>-0.4375</v>
      </c>
      <c r="I162" s="6">
        <v>1.4375</v>
      </c>
      <c r="J162" s="6">
        <v>-1.875</v>
      </c>
      <c r="K162" s="6">
        <v>-2.9375</v>
      </c>
      <c r="L162" s="6">
        <v>-67.6875</v>
      </c>
      <c r="M162" s="6">
        <v>0.5</v>
      </c>
      <c r="N162" s="6">
        <v>0.125</v>
      </c>
      <c r="O162" s="6">
        <v>359.9375</v>
      </c>
      <c r="P162" s="6">
        <v>-2.375</v>
      </c>
      <c r="Q162" s="6">
        <v>1.4375</v>
      </c>
      <c r="R162" s="6">
        <v>-1.6761517524719201</v>
      </c>
      <c r="S162" s="6">
        <v>66.228034973144503</v>
      </c>
      <c r="T162" s="6">
        <v>-0.40540477633476302</v>
      </c>
      <c r="U162" s="6">
        <v>0.85821926593780495</v>
      </c>
      <c r="V162" s="6">
        <v>-21.5319423675537</v>
      </c>
      <c r="W162" s="6">
        <v>-17.6086025238037</v>
      </c>
    </row>
    <row r="163" spans="1:23" ht="18.95" customHeight="1">
      <c r="A163" s="4">
        <v>159</v>
      </c>
      <c r="B163" s="4">
        <v>3403</v>
      </c>
      <c r="C163" s="4">
        <v>0</v>
      </c>
      <c r="D163" s="6">
        <v>0</v>
      </c>
      <c r="E163" s="6">
        <v>0</v>
      </c>
      <c r="F163" s="6">
        <v>-67.5625</v>
      </c>
      <c r="G163" s="6">
        <v>-1.4375</v>
      </c>
      <c r="H163" s="6">
        <v>-0.5625</v>
      </c>
      <c r="I163" s="6">
        <v>1.4375</v>
      </c>
      <c r="J163" s="6">
        <v>-1.875</v>
      </c>
      <c r="K163" s="6">
        <v>-1.6875</v>
      </c>
      <c r="L163" s="6">
        <v>-65.0625</v>
      </c>
      <c r="M163" s="6">
        <v>0.6875</v>
      </c>
      <c r="N163" s="6">
        <v>-0.125</v>
      </c>
      <c r="O163" s="6">
        <v>359.9375</v>
      </c>
      <c r="P163" s="6">
        <v>-2.375</v>
      </c>
      <c r="Q163" s="6">
        <v>2.6875</v>
      </c>
      <c r="R163" s="6">
        <v>-2.1188998222351101</v>
      </c>
      <c r="S163" s="6">
        <v>65.571540832519503</v>
      </c>
      <c r="T163" s="6">
        <v>-0.29853454232215898</v>
      </c>
      <c r="U163" s="6">
        <v>0.81565421819686901</v>
      </c>
      <c r="V163" s="6">
        <v>-19.971433639526399</v>
      </c>
      <c r="W163" s="6">
        <v>-17.6111164093018</v>
      </c>
    </row>
    <row r="164" spans="1:23" ht="18.95" customHeight="1">
      <c r="A164" s="4">
        <v>160</v>
      </c>
      <c r="B164" s="4">
        <v>3423</v>
      </c>
      <c r="C164" s="4">
        <v>0</v>
      </c>
      <c r="D164" s="6">
        <v>0</v>
      </c>
      <c r="E164" s="6">
        <v>0</v>
      </c>
      <c r="F164" s="6">
        <v>-67.75</v>
      </c>
      <c r="G164" s="6">
        <v>-1.3125</v>
      </c>
      <c r="H164" s="6">
        <v>-0.625</v>
      </c>
      <c r="I164" s="6">
        <v>1.375</v>
      </c>
      <c r="J164" s="6">
        <v>-1.8125</v>
      </c>
      <c r="K164" s="6">
        <v>-0.375</v>
      </c>
      <c r="L164" s="6">
        <v>-59.875</v>
      </c>
      <c r="M164" s="6">
        <v>0.25</v>
      </c>
      <c r="N164" s="6">
        <v>0.25</v>
      </c>
      <c r="O164" s="6">
        <v>359.875</v>
      </c>
      <c r="P164" s="6">
        <v>-2.375</v>
      </c>
      <c r="Q164" s="6">
        <v>3.875</v>
      </c>
      <c r="R164" s="6">
        <v>-1.5540146827697801</v>
      </c>
      <c r="S164" s="6">
        <v>68.457038879394503</v>
      </c>
      <c r="T164" s="6">
        <v>0.54116010665893599</v>
      </c>
      <c r="U164" s="6">
        <v>0.708415627479553</v>
      </c>
      <c r="V164" s="6">
        <v>-18.730463027954102</v>
      </c>
      <c r="W164" s="6">
        <v>-17.604486465454102</v>
      </c>
    </row>
    <row r="165" spans="1:23" ht="18.95" customHeight="1">
      <c r="A165" s="4">
        <v>161</v>
      </c>
      <c r="B165" s="4">
        <v>3444</v>
      </c>
      <c r="C165" s="4">
        <v>1</v>
      </c>
      <c r="D165" s="6">
        <v>0</v>
      </c>
      <c r="E165" s="6">
        <v>0</v>
      </c>
      <c r="F165" s="6">
        <v>-69.0625</v>
      </c>
      <c r="G165" s="6">
        <v>-1.1875</v>
      </c>
      <c r="H165" s="6">
        <v>-0.5</v>
      </c>
      <c r="I165" s="6">
        <v>1.375</v>
      </c>
      <c r="J165" s="6">
        <v>-1.8125</v>
      </c>
      <c r="K165" s="6">
        <v>0.9375</v>
      </c>
      <c r="L165" s="6">
        <v>-57.5625</v>
      </c>
      <c r="M165" s="6">
        <v>0.8125</v>
      </c>
      <c r="N165" s="6">
        <v>-0.125</v>
      </c>
      <c r="O165" s="6">
        <v>359.875</v>
      </c>
      <c r="P165" s="6">
        <v>-2.375</v>
      </c>
      <c r="Q165" s="6">
        <v>5</v>
      </c>
      <c r="R165" s="6">
        <v>-2.42424345016479</v>
      </c>
      <c r="S165" s="6">
        <v>66.2127685546875</v>
      </c>
      <c r="T165" s="6">
        <v>-0.68021392822265603</v>
      </c>
      <c r="U165" s="6">
        <v>0.75997012853622403</v>
      </c>
      <c r="V165" s="6">
        <v>-17.012748718261701</v>
      </c>
      <c r="W165" s="6">
        <v>-17.613340377807599</v>
      </c>
    </row>
    <row r="166" spans="1:23" ht="18.95" customHeight="1">
      <c r="A166" s="4">
        <v>162</v>
      </c>
      <c r="B166" s="4">
        <v>3466</v>
      </c>
      <c r="C166" s="4">
        <v>1</v>
      </c>
      <c r="D166" s="6">
        <v>0</v>
      </c>
      <c r="E166" s="6">
        <v>0</v>
      </c>
      <c r="F166" s="6">
        <v>-69.5625</v>
      </c>
      <c r="G166" s="6">
        <v>-1.6875</v>
      </c>
      <c r="H166" s="6">
        <v>-1</v>
      </c>
      <c r="I166" s="6">
        <v>1.375</v>
      </c>
      <c r="J166" s="6">
        <v>-1.75</v>
      </c>
      <c r="K166" s="6">
        <v>2.9375</v>
      </c>
      <c r="L166" s="6">
        <v>-51.25</v>
      </c>
      <c r="M166" s="6">
        <v>6.25E-2</v>
      </c>
      <c r="N166" s="6">
        <v>0</v>
      </c>
      <c r="O166" s="6">
        <v>359.8125</v>
      </c>
      <c r="P166" s="6">
        <v>-2.375</v>
      </c>
      <c r="Q166" s="6">
        <v>6.5</v>
      </c>
      <c r="R166" s="6">
        <v>-1.44714450836182</v>
      </c>
      <c r="S166" s="6">
        <v>66.502845764160199</v>
      </c>
      <c r="T166" s="6">
        <v>0.64803040027618397</v>
      </c>
      <c r="U166" s="6">
        <v>0.478403300046921</v>
      </c>
      <c r="V166" s="6">
        <v>-15.4623250961304</v>
      </c>
      <c r="W166" s="6">
        <v>-17.620626449585</v>
      </c>
    </row>
    <row r="167" spans="1:23" ht="18.95" customHeight="1">
      <c r="A167" s="4">
        <v>163</v>
      </c>
      <c r="B167" s="4">
        <v>3486</v>
      </c>
      <c r="C167" s="4">
        <v>1</v>
      </c>
      <c r="D167" s="6">
        <v>0</v>
      </c>
      <c r="E167" s="6">
        <v>0</v>
      </c>
      <c r="F167" s="6">
        <v>-68.8125</v>
      </c>
      <c r="G167" s="6">
        <v>-1.75</v>
      </c>
      <c r="H167" s="6">
        <v>-1.0625</v>
      </c>
      <c r="I167" s="6">
        <v>1.375</v>
      </c>
      <c r="J167" s="6">
        <v>-1.75</v>
      </c>
      <c r="K167" s="6">
        <v>4.25</v>
      </c>
      <c r="L167" s="6">
        <v>-46.3125</v>
      </c>
      <c r="M167" s="6">
        <v>0.6875</v>
      </c>
      <c r="N167" s="6">
        <v>-0.3125</v>
      </c>
      <c r="O167" s="6">
        <v>359.8125</v>
      </c>
      <c r="P167" s="6">
        <v>-2.375</v>
      </c>
      <c r="Q167" s="6">
        <v>7.375</v>
      </c>
      <c r="R167" s="6">
        <v>-2.6532511711120601</v>
      </c>
      <c r="S167" s="6">
        <v>63.495208740234403</v>
      </c>
      <c r="T167" s="6">
        <v>-0.32906889915466297</v>
      </c>
      <c r="U167" s="6">
        <v>0.56451165676116899</v>
      </c>
      <c r="V167" s="6">
        <v>-13.814068794250501</v>
      </c>
      <c r="W167" s="6">
        <v>-17.620424270629901</v>
      </c>
    </row>
    <row r="168" spans="1:23" ht="18.95" customHeight="1">
      <c r="A168" s="4">
        <v>164</v>
      </c>
      <c r="B168" s="4">
        <v>3507</v>
      </c>
      <c r="C168" s="4">
        <v>1</v>
      </c>
      <c r="D168" s="6">
        <v>0</v>
      </c>
      <c r="E168" s="6">
        <v>0</v>
      </c>
      <c r="F168" s="6">
        <v>-67</v>
      </c>
      <c r="G168" s="6">
        <v>-1.125</v>
      </c>
      <c r="H168" s="6">
        <v>-0.25</v>
      </c>
      <c r="I168" s="6">
        <v>1.3125</v>
      </c>
      <c r="J168" s="6">
        <v>-1.6875</v>
      </c>
      <c r="K168" s="6">
        <v>5.5625</v>
      </c>
      <c r="L168" s="6">
        <v>-39.1875</v>
      </c>
      <c r="M168" s="6">
        <v>0</v>
      </c>
      <c r="N168" s="6">
        <v>6.25E-2</v>
      </c>
      <c r="O168" s="6">
        <v>359.8125</v>
      </c>
      <c r="P168" s="6">
        <v>-2.375</v>
      </c>
      <c r="Q168" s="6">
        <v>8.125</v>
      </c>
      <c r="R168" s="6">
        <v>-1.92042684555054</v>
      </c>
      <c r="S168" s="6">
        <v>62.853988647460902</v>
      </c>
      <c r="T168" s="6">
        <v>-0.31380170583724998</v>
      </c>
      <c r="U168" s="6">
        <v>0.47387731075286899</v>
      </c>
      <c r="V168" s="6">
        <v>-12.4204206466675</v>
      </c>
      <c r="W168" s="6">
        <v>-17.625892639160199</v>
      </c>
    </row>
    <row r="169" spans="1:23" ht="18.95" customHeight="1">
      <c r="A169" s="4">
        <v>165</v>
      </c>
      <c r="B169" s="4">
        <v>3529</v>
      </c>
      <c r="C169" s="4">
        <v>1</v>
      </c>
      <c r="D169" s="6">
        <v>0</v>
      </c>
      <c r="E169" s="6">
        <v>0</v>
      </c>
      <c r="F169" s="6">
        <v>-64.9375</v>
      </c>
      <c r="G169" s="6">
        <v>-1.375</v>
      </c>
      <c r="H169" s="6">
        <v>-0.875</v>
      </c>
      <c r="I169" s="6">
        <v>1.3125</v>
      </c>
      <c r="J169" s="6">
        <v>-1.6875</v>
      </c>
      <c r="K169" s="6">
        <v>6.8125</v>
      </c>
      <c r="L169" s="6">
        <v>-30.5</v>
      </c>
      <c r="M169" s="6">
        <v>0.375</v>
      </c>
      <c r="N169" s="6">
        <v>-0.1875</v>
      </c>
      <c r="O169" s="6">
        <v>359.8125</v>
      </c>
      <c r="P169" s="6">
        <v>-2.375</v>
      </c>
      <c r="Q169" s="6">
        <v>8.75</v>
      </c>
      <c r="R169" s="6">
        <v>-1.6303505897521999</v>
      </c>
      <c r="S169" s="6">
        <v>59.357803344726598</v>
      </c>
      <c r="T169" s="6">
        <v>0.11367923021316501</v>
      </c>
      <c r="U169" s="6">
        <v>0.34787657856941201</v>
      </c>
      <c r="V169" s="6">
        <v>-10.779751777648899</v>
      </c>
      <c r="W169" s="6">
        <v>-17.6251544952393</v>
      </c>
    </row>
    <row r="170" spans="1:23" ht="18.95" customHeight="1">
      <c r="A170" s="4">
        <v>166</v>
      </c>
      <c r="B170" s="4">
        <v>3549</v>
      </c>
      <c r="C170" s="4">
        <v>1</v>
      </c>
      <c r="D170" s="6">
        <v>0</v>
      </c>
      <c r="E170" s="6">
        <v>0</v>
      </c>
      <c r="F170" s="6">
        <v>-62.0625</v>
      </c>
      <c r="G170" s="6">
        <v>-1.3125</v>
      </c>
      <c r="H170" s="6">
        <v>-0.5</v>
      </c>
      <c r="I170" s="6">
        <v>1.3125</v>
      </c>
      <c r="J170" s="6">
        <v>-1.6875</v>
      </c>
      <c r="K170" s="6">
        <v>8.0625</v>
      </c>
      <c r="L170" s="6">
        <v>-24.25</v>
      </c>
      <c r="M170" s="6">
        <v>0.25</v>
      </c>
      <c r="N170" s="6">
        <v>-0.125</v>
      </c>
      <c r="O170" s="6">
        <v>359.75</v>
      </c>
      <c r="P170" s="6">
        <v>-2.375</v>
      </c>
      <c r="Q170" s="6">
        <v>9.25</v>
      </c>
      <c r="R170" s="6">
        <v>-1.56928157806396</v>
      </c>
      <c r="S170" s="6">
        <v>57.312004089355497</v>
      </c>
      <c r="T170" s="6">
        <v>0.23581659793853799</v>
      </c>
      <c r="U170" s="6">
        <v>0.33908787369728099</v>
      </c>
      <c r="V170" s="6">
        <v>-9.4744148254394496</v>
      </c>
      <c r="W170" s="6">
        <v>-17.6240329742432</v>
      </c>
    </row>
    <row r="171" spans="1:23" ht="18.95" customHeight="1">
      <c r="A171" s="4">
        <v>167</v>
      </c>
      <c r="B171" s="4">
        <v>3570</v>
      </c>
      <c r="C171" s="4">
        <v>1</v>
      </c>
      <c r="D171" s="6">
        <v>0</v>
      </c>
      <c r="E171" s="6">
        <v>0</v>
      </c>
      <c r="F171" s="6">
        <v>-59.625</v>
      </c>
      <c r="G171" s="6">
        <v>-1</v>
      </c>
      <c r="H171" s="6">
        <v>-0.4375</v>
      </c>
      <c r="I171" s="6">
        <v>1.3125</v>
      </c>
      <c r="J171" s="6">
        <v>-1.625</v>
      </c>
      <c r="K171" s="6">
        <v>9.1875</v>
      </c>
      <c r="L171" s="6">
        <v>-18.0625</v>
      </c>
      <c r="M171" s="6">
        <v>6.25E-2</v>
      </c>
      <c r="N171" s="6">
        <v>-6.25E-2</v>
      </c>
      <c r="O171" s="6">
        <v>359.75</v>
      </c>
      <c r="P171" s="6">
        <v>-2.375</v>
      </c>
      <c r="Q171" s="6">
        <v>9.625</v>
      </c>
      <c r="R171" s="6">
        <v>-1.92042684555054</v>
      </c>
      <c r="S171" s="6">
        <v>55.006660461425803</v>
      </c>
      <c r="T171" s="6">
        <v>8.3144843578338595E-2</v>
      </c>
      <c r="U171" s="6">
        <v>0.26084679365158098</v>
      </c>
      <c r="V171" s="6">
        <v>-8.2165946960449201</v>
      </c>
      <c r="W171" s="6">
        <v>-17.6343097686768</v>
      </c>
    </row>
    <row r="172" spans="1:23" ht="18.95" customHeight="1">
      <c r="A172" s="4">
        <v>168</v>
      </c>
      <c r="B172" s="4">
        <v>3590</v>
      </c>
      <c r="C172" s="4">
        <v>1</v>
      </c>
      <c r="D172" s="6">
        <v>0</v>
      </c>
      <c r="E172" s="6">
        <v>0</v>
      </c>
      <c r="F172" s="6">
        <v>-56.875</v>
      </c>
      <c r="G172" s="6">
        <v>-1.5</v>
      </c>
      <c r="H172" s="6">
        <v>-0.8125</v>
      </c>
      <c r="I172" s="6">
        <v>1.3125</v>
      </c>
      <c r="J172" s="6">
        <v>-1.625</v>
      </c>
      <c r="K172" s="6">
        <v>10.3125</v>
      </c>
      <c r="L172" s="6">
        <v>-12.4375</v>
      </c>
      <c r="M172" s="6">
        <v>6.25E-2</v>
      </c>
      <c r="N172" s="6">
        <v>0</v>
      </c>
      <c r="O172" s="6">
        <v>359.75</v>
      </c>
      <c r="P172" s="6">
        <v>-2.4375</v>
      </c>
      <c r="Q172" s="6">
        <v>10</v>
      </c>
      <c r="R172" s="6">
        <v>-1.9662284851074201</v>
      </c>
      <c r="S172" s="6">
        <v>53.571540832519503</v>
      </c>
      <c r="T172" s="6">
        <v>-0.31380170583724998</v>
      </c>
      <c r="U172" s="6">
        <v>0.302124083042145</v>
      </c>
      <c r="V172" s="6">
        <v>-7.0353264808654803</v>
      </c>
      <c r="W172" s="6">
        <v>-17.6419353485107</v>
      </c>
    </row>
    <row r="173" spans="1:23" ht="18.95" customHeight="1">
      <c r="A173" s="4">
        <v>169</v>
      </c>
      <c r="B173" s="4">
        <v>3611</v>
      </c>
      <c r="C173" s="4">
        <v>1</v>
      </c>
      <c r="D173" s="6">
        <v>0</v>
      </c>
      <c r="E173" s="6">
        <v>0</v>
      </c>
      <c r="F173" s="6">
        <v>-56.0625</v>
      </c>
      <c r="G173" s="6">
        <v>-1.125</v>
      </c>
      <c r="H173" s="6">
        <v>-1</v>
      </c>
      <c r="I173" s="6">
        <v>1.3125</v>
      </c>
      <c r="J173" s="6">
        <v>-1.5625</v>
      </c>
      <c r="K173" s="6">
        <v>11.4375</v>
      </c>
      <c r="L173" s="6">
        <v>-6.875</v>
      </c>
      <c r="M173" s="6">
        <v>-0.25</v>
      </c>
      <c r="N173" s="6">
        <v>-0.125</v>
      </c>
      <c r="O173" s="6">
        <v>359.75</v>
      </c>
      <c r="P173" s="6">
        <v>-2.4375</v>
      </c>
      <c r="Q173" s="6">
        <v>10.3125</v>
      </c>
      <c r="R173" s="6">
        <v>-1.82882356643677</v>
      </c>
      <c r="S173" s="6">
        <v>50.212760925292997</v>
      </c>
      <c r="T173" s="6">
        <v>-0.31380170583724998</v>
      </c>
      <c r="U173" s="6">
        <v>0.22964492440223699</v>
      </c>
      <c r="V173" s="6">
        <v>-5.9392781257629403</v>
      </c>
      <c r="W173" s="6">
        <v>-17.651685714721701</v>
      </c>
    </row>
    <row r="174" spans="1:23" ht="18.95" customHeight="1">
      <c r="A174" s="4">
        <v>170</v>
      </c>
      <c r="B174" s="4">
        <v>3632</v>
      </c>
      <c r="C174" s="4">
        <v>1</v>
      </c>
      <c r="D174" s="6">
        <v>0</v>
      </c>
      <c r="E174" s="6">
        <v>0</v>
      </c>
      <c r="F174" s="6">
        <v>-52.75</v>
      </c>
      <c r="G174" s="6">
        <v>-1.25</v>
      </c>
      <c r="H174" s="6">
        <v>-0.9375</v>
      </c>
      <c r="I174" s="6">
        <v>1.3125</v>
      </c>
      <c r="J174" s="6">
        <v>-1.5625</v>
      </c>
      <c r="K174" s="6">
        <v>12.4375</v>
      </c>
      <c r="L174" s="6">
        <v>-1.3125</v>
      </c>
      <c r="M174" s="6">
        <v>-6.25E-2</v>
      </c>
      <c r="N174" s="6">
        <v>-0.1875</v>
      </c>
      <c r="O174" s="6">
        <v>359.75</v>
      </c>
      <c r="P174" s="6">
        <v>-2.5</v>
      </c>
      <c r="Q174" s="6">
        <v>10.4375</v>
      </c>
      <c r="R174" s="6">
        <v>-2.1494345664978001</v>
      </c>
      <c r="S174" s="6">
        <v>47.037193298339801</v>
      </c>
      <c r="T174" s="6">
        <v>-1.24509942531586</v>
      </c>
      <c r="U174" s="6">
        <v>0.38332599401473999</v>
      </c>
      <c r="V174" s="6">
        <v>-4.8576984405517596</v>
      </c>
      <c r="W174" s="6">
        <v>-17.667089462280298</v>
      </c>
    </row>
    <row r="175" spans="1:23" ht="18.95" customHeight="1">
      <c r="A175" s="4">
        <v>171</v>
      </c>
      <c r="B175" s="4">
        <v>3654</v>
      </c>
      <c r="C175" s="4">
        <v>1</v>
      </c>
      <c r="D175" s="6">
        <v>0</v>
      </c>
      <c r="E175" s="6">
        <v>0</v>
      </c>
      <c r="F175" s="6">
        <v>-50.6875</v>
      </c>
      <c r="G175" s="6">
        <v>-0.8125</v>
      </c>
      <c r="H175" s="6">
        <v>-1.0625</v>
      </c>
      <c r="I175" s="6">
        <v>1.3125</v>
      </c>
      <c r="J175" s="6">
        <v>-1.5</v>
      </c>
      <c r="K175" s="6">
        <v>13.4375</v>
      </c>
      <c r="L175" s="6">
        <v>3.3125</v>
      </c>
      <c r="M175" s="6">
        <v>0.125</v>
      </c>
      <c r="N175" s="6">
        <v>-0.3125</v>
      </c>
      <c r="O175" s="6">
        <v>359.75</v>
      </c>
      <c r="P175" s="6">
        <v>-2.5</v>
      </c>
      <c r="Q175" s="6">
        <v>10.5</v>
      </c>
      <c r="R175" s="6">
        <v>-2.1799688339233398</v>
      </c>
      <c r="S175" s="6">
        <v>44.014289855957003</v>
      </c>
      <c r="T175" s="6">
        <v>-0.60387802124023404</v>
      </c>
      <c r="U175" s="6">
        <v>0.35961747169494601</v>
      </c>
      <c r="V175" s="6">
        <v>-3.8954839706420898</v>
      </c>
      <c r="W175" s="6">
        <v>-17.6745796203613</v>
      </c>
    </row>
    <row r="176" spans="1:23" ht="18.95" customHeight="1">
      <c r="A176" s="4">
        <v>172</v>
      </c>
      <c r="B176" s="4">
        <v>3674</v>
      </c>
      <c r="C176" s="4">
        <v>1</v>
      </c>
      <c r="D176" s="6">
        <v>0</v>
      </c>
      <c r="E176" s="6">
        <v>0</v>
      </c>
      <c r="F176" s="6">
        <v>-46.4375</v>
      </c>
      <c r="G176" s="6">
        <v>-1.75</v>
      </c>
      <c r="H176" s="6">
        <v>-0.875</v>
      </c>
      <c r="I176" s="6">
        <v>1.3125</v>
      </c>
      <c r="J176" s="6">
        <v>-1.5</v>
      </c>
      <c r="K176" s="6">
        <v>14.5625</v>
      </c>
      <c r="L176" s="6">
        <v>8.75</v>
      </c>
      <c r="M176" s="6">
        <v>-0.75</v>
      </c>
      <c r="N176" s="6">
        <v>-0.5625</v>
      </c>
      <c r="O176" s="6">
        <v>359.75</v>
      </c>
      <c r="P176" s="6">
        <v>-2.5</v>
      </c>
      <c r="Q176" s="6">
        <v>10.4375</v>
      </c>
      <c r="R176" s="6">
        <v>-1.1876022815704299</v>
      </c>
      <c r="S176" s="6">
        <v>42.182228088378899</v>
      </c>
      <c r="T176" s="6">
        <v>-0.39013758301734902</v>
      </c>
      <c r="U176" s="6">
        <v>0.20728826522827101</v>
      </c>
      <c r="V176" s="6">
        <v>-3.0769500732421902</v>
      </c>
      <c r="W176" s="6">
        <v>-17.6845512390137</v>
      </c>
    </row>
    <row r="177" spans="1:23" ht="18.95" customHeight="1">
      <c r="A177" s="4">
        <v>173</v>
      </c>
      <c r="B177" s="4">
        <v>3705</v>
      </c>
      <c r="C177" s="4">
        <v>1</v>
      </c>
      <c r="D177" s="6">
        <v>0</v>
      </c>
      <c r="E177" s="6">
        <v>0</v>
      </c>
      <c r="F177" s="6">
        <v>-43.375</v>
      </c>
      <c r="G177" s="6">
        <v>-1</v>
      </c>
      <c r="H177" s="6">
        <v>-0.5625</v>
      </c>
      <c r="I177" s="6">
        <v>1.3125</v>
      </c>
      <c r="J177" s="6">
        <v>-1.4375</v>
      </c>
      <c r="K177" s="6">
        <v>16.0625</v>
      </c>
      <c r="L177" s="6">
        <v>15.25</v>
      </c>
      <c r="M177" s="6">
        <v>-0.375</v>
      </c>
      <c r="N177" s="6">
        <v>-0.1875</v>
      </c>
      <c r="O177" s="6">
        <v>359.75</v>
      </c>
      <c r="P177" s="6">
        <v>-2.5625</v>
      </c>
      <c r="Q177" s="6">
        <v>10</v>
      </c>
      <c r="R177" s="6">
        <v>-1.7524876594543499</v>
      </c>
      <c r="S177" s="6">
        <v>38.457038879394503</v>
      </c>
      <c r="T177" s="6">
        <v>-0.40540477633476302</v>
      </c>
      <c r="U177" s="6">
        <v>0.17137736082077001</v>
      </c>
      <c r="V177" s="6">
        <v>-1.9286534786224401</v>
      </c>
      <c r="W177" s="6">
        <v>-17.689332962036101</v>
      </c>
    </row>
    <row r="178" spans="1:23" ht="18.95" customHeight="1">
      <c r="A178" s="4">
        <v>174</v>
      </c>
      <c r="B178" s="4">
        <v>3727</v>
      </c>
      <c r="C178" s="4">
        <v>1</v>
      </c>
      <c r="D178" s="6">
        <v>0</v>
      </c>
      <c r="E178" s="6">
        <v>0</v>
      </c>
      <c r="F178" s="6">
        <v>-41.125</v>
      </c>
      <c r="G178" s="6">
        <v>-0.8125</v>
      </c>
      <c r="H178" s="6">
        <v>-0.6875</v>
      </c>
      <c r="I178" s="6">
        <v>1.3125</v>
      </c>
      <c r="J178" s="6">
        <v>-1.4375</v>
      </c>
      <c r="K178" s="6">
        <v>17</v>
      </c>
      <c r="L178" s="6">
        <v>19.3125</v>
      </c>
      <c r="M178" s="6">
        <v>-0.1875</v>
      </c>
      <c r="N178" s="6">
        <v>-0.25</v>
      </c>
      <c r="O178" s="6">
        <v>359.8125</v>
      </c>
      <c r="P178" s="6">
        <v>-2.5625</v>
      </c>
      <c r="Q178" s="6">
        <v>9.5625</v>
      </c>
      <c r="R178" s="6">
        <v>-0.576915264129639</v>
      </c>
      <c r="S178" s="6">
        <v>35.418869018554702</v>
      </c>
      <c r="T178" s="6">
        <v>-0.23746582865714999</v>
      </c>
      <c r="U178" s="6">
        <v>1.5734096989035599E-2</v>
      </c>
      <c r="V178" s="6">
        <v>-1.46182584762573</v>
      </c>
      <c r="W178" s="6">
        <v>-17.6973972320557</v>
      </c>
    </row>
    <row r="179" spans="1:23" ht="18.95" customHeight="1">
      <c r="A179" s="4">
        <v>175</v>
      </c>
      <c r="B179" s="4">
        <v>3747</v>
      </c>
      <c r="C179" s="4">
        <v>1</v>
      </c>
      <c r="D179" s="6">
        <v>0</v>
      </c>
      <c r="E179" s="6">
        <v>0</v>
      </c>
      <c r="F179" s="6">
        <v>-38.5</v>
      </c>
      <c r="G179" s="6">
        <v>-1.375</v>
      </c>
      <c r="H179" s="6">
        <v>-0.75</v>
      </c>
      <c r="I179" s="6">
        <v>1.3125</v>
      </c>
      <c r="J179" s="6">
        <v>-1.375</v>
      </c>
      <c r="K179" s="6">
        <v>18.125</v>
      </c>
      <c r="L179" s="6">
        <v>24.375</v>
      </c>
      <c r="M179" s="6">
        <v>-6.25E-2</v>
      </c>
      <c r="N179" s="6">
        <v>-0.1875</v>
      </c>
      <c r="O179" s="6">
        <v>359.8125</v>
      </c>
      <c r="P179" s="6">
        <v>-2.5625</v>
      </c>
      <c r="Q179" s="6">
        <v>9.125</v>
      </c>
      <c r="R179" s="6">
        <v>-1.2181365489959699</v>
      </c>
      <c r="S179" s="6">
        <v>34.624977111816399</v>
      </c>
      <c r="T179" s="6">
        <v>-2.3725390434265099E-2</v>
      </c>
      <c r="U179" s="6">
        <v>8.9166015386581393E-2</v>
      </c>
      <c r="V179" s="6">
        <v>-0.69423490762710605</v>
      </c>
      <c r="W179" s="6">
        <v>-17.695365905761701</v>
      </c>
    </row>
    <row r="180" spans="1:23" ht="18.95" customHeight="1">
      <c r="A180" s="4">
        <v>176</v>
      </c>
      <c r="B180" s="4">
        <v>3767</v>
      </c>
      <c r="C180" s="4">
        <v>1</v>
      </c>
      <c r="D180" s="6">
        <v>0</v>
      </c>
      <c r="E180" s="6">
        <v>0</v>
      </c>
      <c r="F180" s="6">
        <v>-36.8125</v>
      </c>
      <c r="G180" s="6">
        <v>-0.5625</v>
      </c>
      <c r="H180" s="6">
        <v>-0.625</v>
      </c>
      <c r="I180" s="6">
        <v>1.3125</v>
      </c>
      <c r="J180" s="6">
        <v>-1.375</v>
      </c>
      <c r="K180" s="6">
        <v>18.8125</v>
      </c>
      <c r="L180" s="6">
        <v>29.0625</v>
      </c>
      <c r="M180" s="6">
        <v>-0.5</v>
      </c>
      <c r="N180" s="6">
        <v>0</v>
      </c>
      <c r="O180" s="6">
        <v>359.8125</v>
      </c>
      <c r="P180" s="6">
        <v>-2.5625</v>
      </c>
      <c r="Q180" s="6">
        <v>8.625</v>
      </c>
      <c r="R180" s="6">
        <v>-0.92806029319763195</v>
      </c>
      <c r="S180" s="6">
        <v>32.4417724609375</v>
      </c>
      <c r="T180" s="6">
        <v>-0.37487041950225802</v>
      </c>
      <c r="U180" s="6">
        <v>-5.87009824812412E-3</v>
      </c>
      <c r="V180" s="6">
        <v>-0.43874096870422402</v>
      </c>
      <c r="W180" s="6">
        <v>-17.700401306152301</v>
      </c>
    </row>
    <row r="181" spans="1:23" ht="18.95" customHeight="1">
      <c r="A181" s="4">
        <v>177</v>
      </c>
      <c r="B181" s="4">
        <v>3787</v>
      </c>
      <c r="C181" s="4">
        <v>1</v>
      </c>
      <c r="D181" s="6">
        <v>0</v>
      </c>
      <c r="E181" s="6">
        <v>0</v>
      </c>
      <c r="F181" s="6">
        <v>-35.0625</v>
      </c>
      <c r="G181" s="6">
        <v>-1.125</v>
      </c>
      <c r="H181" s="6">
        <v>-0.6875</v>
      </c>
      <c r="I181" s="6">
        <v>1.3125</v>
      </c>
      <c r="J181" s="6">
        <v>-1.375</v>
      </c>
      <c r="K181" s="6">
        <v>19.125</v>
      </c>
      <c r="L181" s="6">
        <v>31.1875</v>
      </c>
      <c r="M181" s="6">
        <v>-0.125</v>
      </c>
      <c r="N181" s="6">
        <v>-0.1875</v>
      </c>
      <c r="O181" s="6">
        <v>359.8125</v>
      </c>
      <c r="P181" s="6">
        <v>-2.5625</v>
      </c>
      <c r="Q181" s="6">
        <v>8</v>
      </c>
      <c r="R181" s="6">
        <v>-1.4929456710815401</v>
      </c>
      <c r="S181" s="6">
        <v>31.2967338562012</v>
      </c>
      <c r="T181" s="6">
        <v>-0.42067193984985402</v>
      </c>
      <c r="U181" s="6">
        <v>8.00491273403168E-2</v>
      </c>
      <c r="V181" s="6">
        <v>0.187812849879265</v>
      </c>
      <c r="W181" s="6">
        <v>-17.7052116394043</v>
      </c>
    </row>
    <row r="182" spans="1:23" ht="18.95" customHeight="1">
      <c r="A182" s="4">
        <v>178</v>
      </c>
      <c r="B182" s="4">
        <v>3807</v>
      </c>
      <c r="C182" s="4">
        <v>1</v>
      </c>
      <c r="D182" s="6">
        <v>0</v>
      </c>
      <c r="E182" s="6">
        <v>0</v>
      </c>
      <c r="F182" s="6">
        <v>-33.125</v>
      </c>
      <c r="G182" s="6">
        <v>-0.5</v>
      </c>
      <c r="H182" s="6">
        <v>-0.8125</v>
      </c>
      <c r="I182" s="6">
        <v>1.3125</v>
      </c>
      <c r="J182" s="6">
        <v>-1.375</v>
      </c>
      <c r="K182" s="6">
        <v>20.3125</v>
      </c>
      <c r="L182" s="6">
        <v>35.5625</v>
      </c>
      <c r="M182" s="6">
        <v>-0.625</v>
      </c>
      <c r="N182" s="6">
        <v>0.125</v>
      </c>
      <c r="O182" s="6">
        <v>359.8125</v>
      </c>
      <c r="P182" s="6">
        <v>-2.5625</v>
      </c>
      <c r="Q182" s="6">
        <v>7.375</v>
      </c>
      <c r="R182" s="6">
        <v>-0.80592298507690396</v>
      </c>
      <c r="S182" s="6">
        <v>29.098260879516602</v>
      </c>
      <c r="T182" s="6">
        <v>-0.176397144794464</v>
      </c>
      <c r="U182" s="6">
        <v>-2.02437192201614E-2</v>
      </c>
      <c r="V182" s="6">
        <v>0.31264990568161</v>
      </c>
      <c r="W182" s="6">
        <v>-17.709608078002901</v>
      </c>
    </row>
    <row r="183" spans="1:23" ht="18.95" customHeight="1">
      <c r="A183" s="4">
        <v>179</v>
      </c>
      <c r="B183" s="4">
        <v>3827</v>
      </c>
      <c r="C183" s="4">
        <v>1</v>
      </c>
      <c r="D183" s="6">
        <v>0</v>
      </c>
      <c r="E183" s="6">
        <v>0</v>
      </c>
      <c r="F183" s="6">
        <v>-31.3125</v>
      </c>
      <c r="G183" s="6">
        <v>-1.125</v>
      </c>
      <c r="H183" s="6">
        <v>-0.6875</v>
      </c>
      <c r="I183" s="6">
        <v>1.3125</v>
      </c>
      <c r="J183" s="6">
        <v>-1.375</v>
      </c>
      <c r="K183" s="6">
        <v>20.625</v>
      </c>
      <c r="L183" s="6">
        <v>36.0625</v>
      </c>
      <c r="M183" s="6">
        <v>-0.4375</v>
      </c>
      <c r="N183" s="6">
        <v>-0.125</v>
      </c>
      <c r="O183" s="6">
        <v>359.875</v>
      </c>
      <c r="P183" s="6">
        <v>-2.5625</v>
      </c>
      <c r="Q183" s="6">
        <v>6.625</v>
      </c>
      <c r="R183" s="6">
        <v>-1.26393818855286</v>
      </c>
      <c r="S183" s="6">
        <v>27.8310852050781</v>
      </c>
      <c r="T183" s="6">
        <v>-0.23746582865714999</v>
      </c>
      <c r="U183" s="6">
        <v>3.4161131829023403E-2</v>
      </c>
      <c r="V183" s="6">
        <v>0.88257247209548995</v>
      </c>
      <c r="W183" s="6">
        <v>-17.712648391723601</v>
      </c>
    </row>
    <row r="184" spans="1:23" ht="18.95" customHeight="1">
      <c r="A184" s="4">
        <v>180</v>
      </c>
      <c r="B184" s="4">
        <v>3848</v>
      </c>
      <c r="C184" s="4">
        <v>1</v>
      </c>
      <c r="D184" s="6">
        <v>0</v>
      </c>
      <c r="E184" s="6">
        <v>0</v>
      </c>
      <c r="F184" s="6">
        <v>-29.375</v>
      </c>
      <c r="G184" s="6">
        <v>-0.625</v>
      </c>
      <c r="H184" s="6">
        <v>-0.625</v>
      </c>
      <c r="I184" s="6">
        <v>1.3125</v>
      </c>
      <c r="J184" s="6">
        <v>-1.3125</v>
      </c>
      <c r="K184" s="6">
        <v>21.3125</v>
      </c>
      <c r="L184" s="6">
        <v>41.625</v>
      </c>
      <c r="M184" s="6">
        <v>-0.375</v>
      </c>
      <c r="N184" s="6">
        <v>-0.1875</v>
      </c>
      <c r="O184" s="6">
        <v>359.875</v>
      </c>
      <c r="P184" s="6">
        <v>-2.5625</v>
      </c>
      <c r="Q184" s="6">
        <v>5.875</v>
      </c>
      <c r="R184" s="6">
        <v>-0.95859456062316895</v>
      </c>
      <c r="S184" s="6">
        <v>25.922687530517599</v>
      </c>
      <c r="T184" s="6">
        <v>-0.26800018548965499</v>
      </c>
      <c r="U184" s="6">
        <v>1.9111357629299199E-2</v>
      </c>
      <c r="V184" s="6">
        <v>1.0362361669540401</v>
      </c>
      <c r="W184" s="6">
        <v>-17.718084335327099</v>
      </c>
    </row>
    <row r="185" spans="1:23" ht="18.95" customHeight="1">
      <c r="A185" s="4">
        <v>181</v>
      </c>
      <c r="B185" s="4">
        <v>3870</v>
      </c>
      <c r="C185" s="4">
        <v>1</v>
      </c>
      <c r="D185" s="6">
        <v>0</v>
      </c>
      <c r="E185" s="6">
        <v>0</v>
      </c>
      <c r="F185" s="6">
        <v>-27.5625</v>
      </c>
      <c r="G185" s="6">
        <v>-0.6875</v>
      </c>
      <c r="H185" s="6">
        <v>-0.6875</v>
      </c>
      <c r="I185" s="6">
        <v>1.3125</v>
      </c>
      <c r="J185" s="6">
        <v>-1.3125</v>
      </c>
      <c r="K185" s="6">
        <v>22.1875</v>
      </c>
      <c r="L185" s="6">
        <v>43.875</v>
      </c>
      <c r="M185" s="6">
        <v>-0.4375</v>
      </c>
      <c r="N185" s="6">
        <v>0</v>
      </c>
      <c r="O185" s="6">
        <v>359.875</v>
      </c>
      <c r="P185" s="6">
        <v>-2.5625</v>
      </c>
      <c r="Q185" s="6">
        <v>5</v>
      </c>
      <c r="R185" s="6">
        <v>-0.74485421180725098</v>
      </c>
      <c r="S185" s="6">
        <v>25.098260879516602</v>
      </c>
      <c r="T185" s="6">
        <v>-0.25273302197456399</v>
      </c>
      <c r="U185" s="6">
        <v>8.8997380807995796E-3</v>
      </c>
      <c r="V185" s="6">
        <v>1.55835628509521</v>
      </c>
      <c r="W185" s="6">
        <v>-17.714174270629901</v>
      </c>
    </row>
    <row r="186" spans="1:23" ht="18.95" customHeight="1">
      <c r="A186" s="4">
        <v>182</v>
      </c>
      <c r="B186" s="4">
        <v>3890</v>
      </c>
      <c r="C186" s="4">
        <v>1</v>
      </c>
      <c r="D186" s="6">
        <v>0</v>
      </c>
      <c r="E186" s="6">
        <v>0</v>
      </c>
      <c r="F186" s="6">
        <v>-26.75</v>
      </c>
      <c r="G186" s="6">
        <v>-0.5</v>
      </c>
      <c r="H186" s="6">
        <v>-0.5</v>
      </c>
      <c r="I186" s="6">
        <v>1.3125</v>
      </c>
      <c r="J186" s="6">
        <v>-1.3125</v>
      </c>
      <c r="K186" s="6">
        <v>22.75</v>
      </c>
      <c r="L186" s="6">
        <v>47.3125</v>
      </c>
      <c r="M186" s="6">
        <v>-0.5625</v>
      </c>
      <c r="N186" s="6">
        <v>0.1875</v>
      </c>
      <c r="O186" s="6">
        <v>359.9375</v>
      </c>
      <c r="P186" s="6">
        <v>-2.5625</v>
      </c>
      <c r="Q186" s="6">
        <v>4.125</v>
      </c>
      <c r="R186" s="6">
        <v>-0.77538847923278797</v>
      </c>
      <c r="S186" s="6">
        <v>23.266199111938501</v>
      </c>
      <c r="T186" s="6">
        <v>-8.4794104099273696E-2</v>
      </c>
      <c r="U186" s="6">
        <v>1.5876777470111798E-2</v>
      </c>
      <c r="V186" s="6">
        <v>1.5335071086883501</v>
      </c>
      <c r="W186" s="6">
        <v>-17.7146110534668</v>
      </c>
    </row>
    <row r="187" spans="1:23" ht="18.95" customHeight="1">
      <c r="A187" s="4">
        <v>183</v>
      </c>
      <c r="B187" s="4">
        <v>3911</v>
      </c>
      <c r="C187" s="4">
        <v>1</v>
      </c>
      <c r="D187" s="6">
        <v>0</v>
      </c>
      <c r="E187" s="6">
        <v>0</v>
      </c>
      <c r="F187" s="6">
        <v>-24.6875</v>
      </c>
      <c r="G187" s="6">
        <v>-0.625</v>
      </c>
      <c r="H187" s="6">
        <v>-0.5</v>
      </c>
      <c r="I187" s="6">
        <v>1.3125</v>
      </c>
      <c r="J187" s="6">
        <v>-1.3125</v>
      </c>
      <c r="K187" s="6">
        <v>23.25</v>
      </c>
      <c r="L187" s="6">
        <v>48.4375</v>
      </c>
      <c r="M187" s="6">
        <v>-0.375</v>
      </c>
      <c r="N187" s="6">
        <v>-0.25</v>
      </c>
      <c r="O187" s="6">
        <v>359.9375</v>
      </c>
      <c r="P187" s="6">
        <v>-2.5</v>
      </c>
      <c r="Q187" s="6">
        <v>3.1875</v>
      </c>
      <c r="R187" s="6">
        <v>-1.0349304676055899</v>
      </c>
      <c r="S187" s="6">
        <v>22.090625762939499</v>
      </c>
      <c r="T187" s="6">
        <v>-0.51227498054504395</v>
      </c>
      <c r="U187" s="6">
        <v>2.0985756069421799E-2</v>
      </c>
      <c r="V187" s="6">
        <v>1.90664851665497</v>
      </c>
      <c r="W187" s="6">
        <v>-17.7187824249268</v>
      </c>
    </row>
    <row r="188" spans="1:23" ht="18.95" customHeight="1">
      <c r="A188" s="4">
        <v>184</v>
      </c>
      <c r="B188" s="4">
        <v>3932</v>
      </c>
      <c r="C188" s="4">
        <v>1</v>
      </c>
      <c r="D188" s="6">
        <v>0</v>
      </c>
      <c r="E188" s="6">
        <v>0</v>
      </c>
      <c r="F188" s="6">
        <v>-22.5</v>
      </c>
      <c r="G188" s="6">
        <v>-0.625</v>
      </c>
      <c r="H188" s="6">
        <v>-0.6875</v>
      </c>
      <c r="I188" s="6">
        <v>1.3125</v>
      </c>
      <c r="J188" s="6">
        <v>-1.3125</v>
      </c>
      <c r="K188" s="6">
        <v>23.6875</v>
      </c>
      <c r="L188" s="6">
        <v>51.3125</v>
      </c>
      <c r="M188" s="6">
        <v>-0.375</v>
      </c>
      <c r="N188" s="6">
        <v>6.25E-2</v>
      </c>
      <c r="O188" s="6">
        <v>359.9375</v>
      </c>
      <c r="P188" s="6">
        <v>-2.5</v>
      </c>
      <c r="Q188" s="6">
        <v>2.1875</v>
      </c>
      <c r="R188" s="6">
        <v>-0.68378543853759799</v>
      </c>
      <c r="S188" s="6">
        <v>20.838718414306602</v>
      </c>
      <c r="T188" s="6">
        <v>0.144213557243347</v>
      </c>
      <c r="U188" s="6">
        <v>-3.1721331179141998E-3</v>
      </c>
      <c r="V188" s="6">
        <v>1.93007004261017</v>
      </c>
      <c r="W188" s="6">
        <v>-17.719028472900401</v>
      </c>
    </row>
    <row r="189" spans="1:23" ht="18.95" customHeight="1">
      <c r="A189" s="4">
        <v>185</v>
      </c>
      <c r="B189" s="4">
        <v>3953</v>
      </c>
      <c r="C189" s="4">
        <v>1</v>
      </c>
      <c r="D189" s="6">
        <v>0</v>
      </c>
      <c r="E189" s="6">
        <v>0</v>
      </c>
      <c r="F189" s="6">
        <v>-20.8125</v>
      </c>
      <c r="G189" s="6">
        <v>-0.5</v>
      </c>
      <c r="H189" s="6">
        <v>-0.4375</v>
      </c>
      <c r="I189" s="6">
        <v>1.3125</v>
      </c>
      <c r="J189" s="6">
        <v>-1.3125</v>
      </c>
      <c r="K189" s="6">
        <v>24.0625</v>
      </c>
      <c r="L189" s="6">
        <v>53.5</v>
      </c>
      <c r="M189" s="6">
        <v>-0.625</v>
      </c>
      <c r="N189" s="6">
        <v>6.25E-2</v>
      </c>
      <c r="O189" s="6">
        <v>0</v>
      </c>
      <c r="P189" s="6">
        <v>-2.5</v>
      </c>
      <c r="Q189" s="6">
        <v>1.1875</v>
      </c>
      <c r="R189" s="6">
        <v>-0.94332742691039995</v>
      </c>
      <c r="S189" s="6">
        <v>19.800550460815401</v>
      </c>
      <c r="T189" s="6">
        <v>-0.34433606266975397</v>
      </c>
      <c r="U189" s="6">
        <v>-1.11603401601315E-2</v>
      </c>
      <c r="V189" s="6">
        <v>2.1685526371002202</v>
      </c>
      <c r="W189" s="6">
        <v>-17.7204685211182</v>
      </c>
    </row>
    <row r="190" spans="1:23" ht="18.95" customHeight="1">
      <c r="A190" s="4">
        <v>186</v>
      </c>
      <c r="B190" s="4">
        <v>3975</v>
      </c>
      <c r="C190" s="4">
        <v>1</v>
      </c>
      <c r="D190" s="6">
        <v>0</v>
      </c>
      <c r="E190" s="6">
        <v>0</v>
      </c>
      <c r="F190" s="6">
        <v>-19.5</v>
      </c>
      <c r="G190" s="6">
        <v>-0.25</v>
      </c>
      <c r="H190" s="6">
        <v>-0.75</v>
      </c>
      <c r="I190" s="6">
        <v>1.3125</v>
      </c>
      <c r="J190" s="6">
        <v>-1.3125</v>
      </c>
      <c r="K190" s="6">
        <v>24.5</v>
      </c>
      <c r="L190" s="6">
        <v>55.4375</v>
      </c>
      <c r="M190" s="6">
        <v>-0.4375</v>
      </c>
      <c r="N190" s="6">
        <v>6.25E-2</v>
      </c>
      <c r="O190" s="6">
        <v>0</v>
      </c>
      <c r="P190" s="6">
        <v>-2.5</v>
      </c>
      <c r="Q190" s="6">
        <v>0.125</v>
      </c>
      <c r="R190" s="6">
        <v>-0.65325117111206099</v>
      </c>
      <c r="S190" s="6">
        <v>18.151695251464801</v>
      </c>
      <c r="T190" s="6">
        <v>6.80899620056152E-3</v>
      </c>
      <c r="U190" s="6">
        <v>-7.2502896189689595E-2</v>
      </c>
      <c r="V190" s="6">
        <v>2.0694456100463898</v>
      </c>
      <c r="W190" s="6">
        <v>-17.728080749511701</v>
      </c>
    </row>
    <row r="191" spans="1:23" ht="18.95" customHeight="1">
      <c r="A191" s="4">
        <v>187</v>
      </c>
      <c r="B191" s="4">
        <v>3996</v>
      </c>
      <c r="C191" s="4">
        <v>1</v>
      </c>
      <c r="D191" s="6">
        <v>0</v>
      </c>
      <c r="E191" s="6">
        <v>0</v>
      </c>
      <c r="F191" s="6">
        <v>-18.0625</v>
      </c>
      <c r="G191" s="6">
        <v>-0.5</v>
      </c>
      <c r="H191" s="6">
        <v>-0.5625</v>
      </c>
      <c r="I191" s="6">
        <v>1.3125</v>
      </c>
      <c r="J191" s="6">
        <v>-1.3125</v>
      </c>
      <c r="K191" s="6">
        <v>24.8125</v>
      </c>
      <c r="L191" s="6">
        <v>56.6875</v>
      </c>
      <c r="M191" s="6">
        <v>-0.5</v>
      </c>
      <c r="N191" s="6">
        <v>-6.25E-2</v>
      </c>
      <c r="O191" s="6">
        <v>6.25E-2</v>
      </c>
      <c r="P191" s="6">
        <v>-2.5</v>
      </c>
      <c r="Q191" s="6">
        <v>-1.4375</v>
      </c>
      <c r="R191" s="6">
        <v>-0.31737327575683599</v>
      </c>
      <c r="S191" s="6">
        <v>16.563907623291001</v>
      </c>
      <c r="T191" s="6">
        <v>-0.51227498054504395</v>
      </c>
      <c r="U191" s="6">
        <v>-3.8341015577316298E-2</v>
      </c>
      <c r="V191" s="6">
        <v>2.2094149589538601</v>
      </c>
      <c r="W191" s="6">
        <v>-17.734683990478501</v>
      </c>
    </row>
    <row r="192" spans="1:23" ht="18.95" customHeight="1">
      <c r="A192" s="4">
        <v>188</v>
      </c>
      <c r="B192" s="4">
        <v>4017</v>
      </c>
      <c r="C192" s="4">
        <v>1</v>
      </c>
      <c r="D192" s="6">
        <v>0</v>
      </c>
      <c r="E192" s="6">
        <v>0</v>
      </c>
      <c r="F192" s="6">
        <v>-16.8125</v>
      </c>
      <c r="G192" s="6">
        <v>-0.625</v>
      </c>
      <c r="H192" s="6">
        <v>-0.6875</v>
      </c>
      <c r="I192" s="6">
        <v>1.3125</v>
      </c>
      <c r="J192" s="6">
        <v>-1.25</v>
      </c>
      <c r="K192" s="6">
        <v>25.1875</v>
      </c>
      <c r="L192" s="6">
        <v>59.3125</v>
      </c>
      <c r="M192" s="6">
        <v>-0.5625</v>
      </c>
      <c r="N192" s="6">
        <v>-6.25E-2</v>
      </c>
      <c r="O192" s="6">
        <v>6.25E-2</v>
      </c>
      <c r="P192" s="6">
        <v>-2.5</v>
      </c>
      <c r="Q192" s="6">
        <v>-2.625</v>
      </c>
      <c r="R192" s="6">
        <v>-6.0425643920898402</v>
      </c>
      <c r="S192" s="6">
        <v>13.846351623535201</v>
      </c>
      <c r="T192" s="6">
        <v>0.128946363925934</v>
      </c>
      <c r="U192" s="6">
        <v>0.20253981649875599</v>
      </c>
      <c r="V192" s="6">
        <v>2.2294373512268102</v>
      </c>
      <c r="W192" s="6">
        <v>-17.7422580718994</v>
      </c>
    </row>
    <row r="193" spans="1:23" ht="18.95" customHeight="1">
      <c r="A193" s="4">
        <v>189</v>
      </c>
      <c r="B193" s="4">
        <v>4038</v>
      </c>
      <c r="C193" s="4">
        <v>1</v>
      </c>
      <c r="D193" s="6">
        <v>0</v>
      </c>
      <c r="E193" s="6">
        <v>0</v>
      </c>
      <c r="F193" s="6">
        <v>-15.25</v>
      </c>
      <c r="G193" s="6">
        <v>-1.6875</v>
      </c>
      <c r="H193" s="6">
        <v>-0.625</v>
      </c>
      <c r="I193" s="6">
        <v>1.3125</v>
      </c>
      <c r="J193" s="6">
        <v>-1.25</v>
      </c>
      <c r="K193" s="6">
        <v>25.5</v>
      </c>
      <c r="L193" s="6">
        <v>60.3125</v>
      </c>
      <c r="M193" s="6">
        <v>-0.5625</v>
      </c>
      <c r="N193" s="6">
        <v>0.125</v>
      </c>
      <c r="O193" s="6">
        <v>6.25E-2</v>
      </c>
      <c r="P193" s="6">
        <v>-2.5</v>
      </c>
      <c r="Q193" s="6">
        <v>-3.75</v>
      </c>
      <c r="R193" s="6">
        <v>-0.79065585136413596</v>
      </c>
      <c r="S193" s="6">
        <v>14.1669626235962</v>
      </c>
      <c r="T193" s="6">
        <v>-0.37487041950225802</v>
      </c>
      <c r="U193" s="6">
        <v>7.5883820652961703E-2</v>
      </c>
      <c r="V193" s="6">
        <v>2.4464707374572798</v>
      </c>
      <c r="W193" s="6">
        <v>-17.761919021606399</v>
      </c>
    </row>
    <row r="194" spans="1:23" ht="18.95" customHeight="1">
      <c r="A194" s="4">
        <v>190</v>
      </c>
      <c r="B194" s="4">
        <v>4058</v>
      </c>
      <c r="C194" s="4">
        <v>1</v>
      </c>
      <c r="D194" s="6">
        <v>0</v>
      </c>
      <c r="E194" s="6">
        <v>0</v>
      </c>
      <c r="F194" s="6">
        <v>-14.5625</v>
      </c>
      <c r="G194" s="6">
        <v>0.4375</v>
      </c>
      <c r="H194" s="6">
        <v>-0.5</v>
      </c>
      <c r="I194" s="6">
        <v>1.3125</v>
      </c>
      <c r="J194" s="6">
        <v>-1.25</v>
      </c>
      <c r="K194" s="6">
        <v>25.75</v>
      </c>
      <c r="L194" s="6">
        <v>62.0625</v>
      </c>
      <c r="M194" s="6">
        <v>-0.9375</v>
      </c>
      <c r="N194" s="6">
        <v>6.25E-2</v>
      </c>
      <c r="O194" s="6">
        <v>0.125</v>
      </c>
      <c r="P194" s="6">
        <v>-2.5</v>
      </c>
      <c r="Q194" s="6">
        <v>-4.9375</v>
      </c>
      <c r="R194" s="6">
        <v>-2.0120296478271502</v>
      </c>
      <c r="S194" s="6">
        <v>13.418870925903301</v>
      </c>
      <c r="T194" s="6">
        <v>-1.7489162683486901</v>
      </c>
      <c r="U194" s="6">
        <v>0.23717954754829401</v>
      </c>
      <c r="V194" s="6">
        <v>2.3741409778595002</v>
      </c>
      <c r="W194" s="6">
        <v>-17.7919216156006</v>
      </c>
    </row>
    <row r="195" spans="1:23" ht="18.95" customHeight="1">
      <c r="A195" s="4">
        <v>191</v>
      </c>
      <c r="B195" s="4">
        <v>4079</v>
      </c>
      <c r="C195" s="4">
        <v>1</v>
      </c>
      <c r="D195" s="6">
        <v>0</v>
      </c>
      <c r="E195" s="6">
        <v>0</v>
      </c>
      <c r="F195" s="6">
        <v>-13.1875</v>
      </c>
      <c r="G195" s="6">
        <v>-1.4375</v>
      </c>
      <c r="H195" s="6">
        <v>-1.5625</v>
      </c>
      <c r="I195" s="6">
        <v>1.3125</v>
      </c>
      <c r="J195" s="6">
        <v>-1.25</v>
      </c>
      <c r="K195" s="6">
        <v>26.0625</v>
      </c>
      <c r="L195" s="6">
        <v>62.75</v>
      </c>
      <c r="M195" s="6">
        <v>-0.75</v>
      </c>
      <c r="N195" s="6">
        <v>-0.25</v>
      </c>
      <c r="O195" s="6">
        <v>0.125</v>
      </c>
      <c r="P195" s="6">
        <v>-2.5</v>
      </c>
      <c r="Q195" s="6">
        <v>-6.1875</v>
      </c>
      <c r="R195" s="6">
        <v>0.17117643356323201</v>
      </c>
      <c r="S195" s="6">
        <v>12.6097106933594</v>
      </c>
      <c r="T195" s="6">
        <v>-0.22219866514205899</v>
      </c>
      <c r="U195" s="6">
        <v>3.9284579455852502E-2</v>
      </c>
      <c r="V195" s="6">
        <v>2.55363249778748</v>
      </c>
      <c r="W195" s="6">
        <v>-17.787126541137699</v>
      </c>
    </row>
    <row r="196" spans="1:23" ht="18.95" customHeight="1">
      <c r="A196" s="4">
        <v>192</v>
      </c>
      <c r="B196" s="4">
        <v>4109</v>
      </c>
      <c r="C196" s="4">
        <v>1</v>
      </c>
      <c r="D196" s="6">
        <v>0</v>
      </c>
      <c r="E196" s="6">
        <v>0</v>
      </c>
      <c r="F196" s="6">
        <v>-11.8125</v>
      </c>
      <c r="G196" s="6">
        <v>0.625</v>
      </c>
      <c r="H196" s="6">
        <v>-0.25</v>
      </c>
      <c r="I196" s="6">
        <v>1.3125</v>
      </c>
      <c r="J196" s="6">
        <v>-1.25</v>
      </c>
      <c r="K196" s="6">
        <v>26.4375</v>
      </c>
      <c r="L196" s="6">
        <v>66</v>
      </c>
      <c r="M196" s="6">
        <v>-0.625</v>
      </c>
      <c r="N196" s="6">
        <v>0</v>
      </c>
      <c r="O196" s="6">
        <v>0.1875</v>
      </c>
      <c r="P196" s="6">
        <v>-2.5</v>
      </c>
      <c r="Q196" s="6">
        <v>-8.0625</v>
      </c>
      <c r="R196" s="6">
        <v>-0.79065585136413596</v>
      </c>
      <c r="S196" s="6">
        <v>9.9379549026489293</v>
      </c>
      <c r="T196" s="6">
        <v>-0.90922152996063199</v>
      </c>
      <c r="U196" s="6">
        <v>4.1215050965547603E-2</v>
      </c>
      <c r="V196" s="6">
        <v>2.67529344558716</v>
      </c>
      <c r="W196" s="6">
        <v>-17.807441711425799</v>
      </c>
    </row>
    <row r="197" spans="1:23" ht="18.95" customHeight="1">
      <c r="A197" s="4">
        <v>193</v>
      </c>
      <c r="B197" s="4">
        <v>4129</v>
      </c>
      <c r="C197" s="4">
        <v>1</v>
      </c>
      <c r="D197" s="6">
        <v>0</v>
      </c>
      <c r="E197" s="6">
        <v>0</v>
      </c>
      <c r="F197" s="6">
        <v>-10.3125</v>
      </c>
      <c r="G197" s="6">
        <v>-0.9375</v>
      </c>
      <c r="H197" s="6">
        <v>-1</v>
      </c>
      <c r="I197" s="6">
        <v>1.375</v>
      </c>
      <c r="J197" s="6">
        <v>-1.25</v>
      </c>
      <c r="K197" s="6">
        <v>26.625</v>
      </c>
      <c r="L197" s="6">
        <v>66.0625</v>
      </c>
      <c r="M197" s="6">
        <v>-0.875</v>
      </c>
      <c r="N197" s="6">
        <v>-0.125</v>
      </c>
      <c r="O197" s="6">
        <v>0.1875</v>
      </c>
      <c r="P197" s="6">
        <v>-2.4375</v>
      </c>
      <c r="Q197" s="6">
        <v>-9.3125</v>
      </c>
      <c r="R197" s="6">
        <v>-0.25630450248718301</v>
      </c>
      <c r="S197" s="6">
        <v>8.8692531585693395</v>
      </c>
      <c r="T197" s="6">
        <v>-0.191664308309555</v>
      </c>
      <c r="U197" s="6">
        <v>-0.155657738447189</v>
      </c>
      <c r="V197" s="6">
        <v>2.4274861812591602</v>
      </c>
      <c r="W197" s="6">
        <v>-17.825366973876999</v>
      </c>
    </row>
    <row r="198" spans="1:23" ht="18.95" customHeight="1">
      <c r="A198" s="4">
        <v>194</v>
      </c>
      <c r="B198" s="4">
        <v>4149</v>
      </c>
      <c r="C198" s="4">
        <v>1</v>
      </c>
      <c r="D198" s="6">
        <v>0</v>
      </c>
      <c r="E198" s="6">
        <v>0</v>
      </c>
      <c r="F198" s="6">
        <v>-9.25</v>
      </c>
      <c r="G198" s="6">
        <v>-0.5</v>
      </c>
      <c r="H198" s="6">
        <v>-0.875</v>
      </c>
      <c r="I198" s="6">
        <v>1.375</v>
      </c>
      <c r="J198" s="6">
        <v>-1.1875</v>
      </c>
      <c r="K198" s="6">
        <v>26.8125</v>
      </c>
      <c r="L198" s="6">
        <v>66.6875</v>
      </c>
      <c r="M198" s="6">
        <v>-0.4375</v>
      </c>
      <c r="N198" s="6">
        <v>0.125</v>
      </c>
      <c r="O198" s="6">
        <v>0.25</v>
      </c>
      <c r="P198" s="6">
        <v>-2.4375</v>
      </c>
      <c r="Q198" s="6">
        <v>-10.625</v>
      </c>
      <c r="R198" s="6">
        <v>-2.7297019958496101E-2</v>
      </c>
      <c r="S198" s="6">
        <v>6.8692526817321804</v>
      </c>
      <c r="T198" s="6">
        <v>-0.14586275815963701</v>
      </c>
      <c r="U198" s="6">
        <v>-3.5383202135562897E-2</v>
      </c>
      <c r="V198" s="6">
        <v>2.12025022506714</v>
      </c>
      <c r="W198" s="6">
        <v>-17.822925567626999</v>
      </c>
    </row>
    <row r="199" spans="1:23" ht="18.95" customHeight="1">
      <c r="A199" s="4">
        <v>195</v>
      </c>
      <c r="B199" s="4">
        <v>4169</v>
      </c>
      <c r="C199" s="4">
        <v>1</v>
      </c>
      <c r="D199" s="6">
        <v>0</v>
      </c>
      <c r="E199" s="6">
        <v>0</v>
      </c>
      <c r="F199" s="6">
        <v>-7.875</v>
      </c>
      <c r="G199" s="6">
        <v>0.1875</v>
      </c>
      <c r="H199" s="6">
        <v>6.25E-2</v>
      </c>
      <c r="I199" s="6">
        <v>1.375</v>
      </c>
      <c r="J199" s="6">
        <v>-1.1875</v>
      </c>
      <c r="K199" s="6">
        <v>26.9375</v>
      </c>
      <c r="L199" s="6">
        <v>66.25</v>
      </c>
      <c r="M199" s="6">
        <v>-0.8125</v>
      </c>
      <c r="N199" s="6">
        <v>6.25E-2</v>
      </c>
      <c r="O199" s="6">
        <v>0.25</v>
      </c>
      <c r="P199" s="6">
        <v>-2.4375</v>
      </c>
      <c r="Q199" s="6">
        <v>-11.9375</v>
      </c>
      <c r="R199" s="6">
        <v>-0.48531222343444802</v>
      </c>
      <c r="S199" s="6">
        <v>6.1516952514648402</v>
      </c>
      <c r="T199" s="6">
        <v>-0.74128264188766502</v>
      </c>
      <c r="U199" s="6">
        <v>-2.9571469873189898E-2</v>
      </c>
      <c r="V199" s="6">
        <v>2.0404858589172399</v>
      </c>
      <c r="W199" s="6">
        <v>-17.838691711425799</v>
      </c>
    </row>
    <row r="200" spans="1:23" ht="18.95" customHeight="1">
      <c r="A200" s="4">
        <v>196</v>
      </c>
      <c r="B200" s="4">
        <v>4191</v>
      </c>
      <c r="C200" s="4">
        <v>1</v>
      </c>
      <c r="D200" s="6">
        <v>0</v>
      </c>
      <c r="E200" s="6">
        <v>0</v>
      </c>
      <c r="F200" s="6">
        <v>-6.8125</v>
      </c>
      <c r="G200" s="6">
        <v>-0.6875</v>
      </c>
      <c r="H200" s="6">
        <v>-0.9375</v>
      </c>
      <c r="I200" s="6">
        <v>1.375</v>
      </c>
      <c r="J200" s="6">
        <v>-1.1875</v>
      </c>
      <c r="K200" s="6">
        <v>27.0625</v>
      </c>
      <c r="L200" s="6">
        <v>67.6875</v>
      </c>
      <c r="M200" s="6">
        <v>-0.6875</v>
      </c>
      <c r="N200" s="6">
        <v>0.125</v>
      </c>
      <c r="O200" s="6">
        <v>0.3125</v>
      </c>
      <c r="P200" s="6">
        <v>-2.4375</v>
      </c>
      <c r="Q200" s="6">
        <v>-13.25</v>
      </c>
      <c r="R200" s="6">
        <v>-2.7297019958496101E-2</v>
      </c>
      <c r="S200" s="6">
        <v>4.8387184143066397</v>
      </c>
      <c r="T200" s="6">
        <v>-0.45120629668235801</v>
      </c>
      <c r="U200" s="6">
        <v>-9.8683118820190402E-2</v>
      </c>
      <c r="V200" s="6">
        <v>1.7432502508163501</v>
      </c>
      <c r="W200" s="6">
        <v>-17.848922729492202</v>
      </c>
    </row>
    <row r="201" spans="1:23" ht="18.95" customHeight="1">
      <c r="A201" s="4">
        <v>197</v>
      </c>
      <c r="B201" s="4">
        <v>4213</v>
      </c>
      <c r="C201" s="4">
        <v>1</v>
      </c>
      <c r="D201" s="6">
        <v>0</v>
      </c>
      <c r="E201" s="6">
        <v>0</v>
      </c>
      <c r="F201" s="6">
        <v>-5</v>
      </c>
      <c r="G201" s="6">
        <v>0</v>
      </c>
      <c r="H201" s="6">
        <v>-0.375</v>
      </c>
      <c r="I201" s="6">
        <v>1.375</v>
      </c>
      <c r="J201" s="6">
        <v>-1.1875</v>
      </c>
      <c r="K201" s="6">
        <v>27.125</v>
      </c>
      <c r="L201" s="6">
        <v>67.1875</v>
      </c>
      <c r="M201" s="6">
        <v>-0.6875</v>
      </c>
      <c r="N201" s="6">
        <v>-0.125</v>
      </c>
      <c r="O201" s="6">
        <v>0.3125</v>
      </c>
      <c r="P201" s="6">
        <v>-2.4375</v>
      </c>
      <c r="Q201" s="6">
        <v>-14.5</v>
      </c>
      <c r="R201" s="6">
        <v>-0.48531222343444802</v>
      </c>
      <c r="S201" s="6">
        <v>4.2585654258728001</v>
      </c>
      <c r="T201" s="6">
        <v>-0.66494673490524303</v>
      </c>
      <c r="U201" s="6">
        <v>-5.5369753390550596E-3</v>
      </c>
      <c r="V201" s="6">
        <v>1.4654623270034799</v>
      </c>
      <c r="W201" s="6">
        <v>-17.859207153320298</v>
      </c>
    </row>
    <row r="202" spans="1:23" ht="18.95" customHeight="1">
      <c r="A202" s="4">
        <v>198</v>
      </c>
      <c r="B202" s="4">
        <v>4234</v>
      </c>
      <c r="C202" s="4">
        <v>1</v>
      </c>
      <c r="D202" s="6">
        <v>0</v>
      </c>
      <c r="E202" s="6">
        <v>0</v>
      </c>
      <c r="F202" s="6">
        <v>-4.0625</v>
      </c>
      <c r="G202" s="6">
        <v>-0.4375</v>
      </c>
      <c r="H202" s="6">
        <v>-0.875</v>
      </c>
      <c r="I202" s="6">
        <v>1.375</v>
      </c>
      <c r="J202" s="6">
        <v>-1.1875</v>
      </c>
      <c r="K202" s="6">
        <v>27.0625</v>
      </c>
      <c r="L202" s="6">
        <v>68.1875</v>
      </c>
      <c r="M202" s="6">
        <v>-0.6875</v>
      </c>
      <c r="N202" s="6">
        <v>0.25</v>
      </c>
      <c r="O202" s="6">
        <v>0.375</v>
      </c>
      <c r="P202" s="6">
        <v>-2.4375</v>
      </c>
      <c r="Q202" s="6">
        <v>-15.875</v>
      </c>
      <c r="R202" s="6">
        <v>-0.118900060653687</v>
      </c>
      <c r="S202" s="6">
        <v>2.5486416816711399</v>
      </c>
      <c r="T202" s="6">
        <v>-0.206931471824646</v>
      </c>
      <c r="U202" s="6">
        <v>-3.7799071520566899E-2</v>
      </c>
      <c r="V202" s="6">
        <v>1.2529615163803101</v>
      </c>
      <c r="W202" s="6">
        <v>-17.8713474273682</v>
      </c>
    </row>
    <row r="203" spans="1:23" ht="18.95" customHeight="1">
      <c r="A203" s="4">
        <v>199</v>
      </c>
      <c r="B203" s="4">
        <v>4256</v>
      </c>
      <c r="C203" s="4">
        <v>1</v>
      </c>
      <c r="D203" s="6">
        <v>0</v>
      </c>
      <c r="E203" s="6">
        <v>0</v>
      </c>
      <c r="F203" s="6">
        <v>-2.75</v>
      </c>
      <c r="G203" s="6">
        <v>-0.25</v>
      </c>
      <c r="H203" s="6">
        <v>-0.25</v>
      </c>
      <c r="I203" s="6">
        <v>1.375</v>
      </c>
      <c r="J203" s="6">
        <v>-1.1875</v>
      </c>
      <c r="K203" s="6">
        <v>27.0625</v>
      </c>
      <c r="L203" s="6">
        <v>67</v>
      </c>
      <c r="M203" s="6">
        <v>-0.8125</v>
      </c>
      <c r="N203" s="6">
        <v>-0.1875</v>
      </c>
      <c r="O203" s="6">
        <v>0.375</v>
      </c>
      <c r="P203" s="6">
        <v>-2.375</v>
      </c>
      <c r="Q203" s="6">
        <v>-17.8125</v>
      </c>
      <c r="R203" s="6">
        <v>0.38491678237915</v>
      </c>
      <c r="S203" s="6">
        <v>1.3578021526336701</v>
      </c>
      <c r="T203" s="6">
        <v>-0.26800018548965499</v>
      </c>
      <c r="U203" s="6">
        <v>-0.17585220932960499</v>
      </c>
      <c r="V203" s="6">
        <v>0.936143279075623</v>
      </c>
      <c r="W203" s="6">
        <v>-17.895402908325199</v>
      </c>
    </row>
    <row r="204" spans="1:23" ht="18.95" customHeight="1">
      <c r="A204" s="4">
        <v>200</v>
      </c>
      <c r="B204" s="4">
        <v>4277</v>
      </c>
      <c r="C204" s="4">
        <v>1</v>
      </c>
      <c r="D204" s="6">
        <v>0</v>
      </c>
      <c r="E204" s="6">
        <v>0</v>
      </c>
      <c r="F204" s="6">
        <v>-1.8125</v>
      </c>
      <c r="G204" s="6">
        <v>-0.375</v>
      </c>
      <c r="H204" s="6">
        <v>-0.75</v>
      </c>
      <c r="I204" s="6">
        <v>1.375</v>
      </c>
      <c r="J204" s="6">
        <v>-1.1875</v>
      </c>
      <c r="K204" s="6">
        <v>27</v>
      </c>
      <c r="L204" s="6">
        <v>68.3125</v>
      </c>
      <c r="M204" s="6">
        <v>-0.6875</v>
      </c>
      <c r="N204" s="6">
        <v>6.25E-2</v>
      </c>
      <c r="O204" s="6">
        <v>0.4375</v>
      </c>
      <c r="P204" s="6">
        <v>-2.375</v>
      </c>
      <c r="Q204" s="6">
        <v>-19.125</v>
      </c>
      <c r="R204" s="6">
        <v>-4.25641536712646E-2</v>
      </c>
      <c r="S204" s="6">
        <v>0.54864186048507702</v>
      </c>
      <c r="T204" s="6">
        <v>-0.39013758301734902</v>
      </c>
      <c r="U204" s="6">
        <v>-8.8945284485816997E-2</v>
      </c>
      <c r="V204" s="6">
        <v>0.69577109813690197</v>
      </c>
      <c r="W204" s="6">
        <v>-17.894435882568398</v>
      </c>
    </row>
    <row r="205" spans="1:23" ht="18.95" customHeight="1">
      <c r="A205" s="4">
        <v>201</v>
      </c>
      <c r="B205" s="4">
        <v>4297</v>
      </c>
      <c r="C205" s="4">
        <v>1</v>
      </c>
      <c r="D205" s="6">
        <v>0</v>
      </c>
      <c r="E205" s="6">
        <v>0</v>
      </c>
      <c r="F205" s="6">
        <v>-0.5</v>
      </c>
      <c r="G205" s="6">
        <v>0.25</v>
      </c>
      <c r="H205" s="6">
        <v>-6.25E-2</v>
      </c>
      <c r="I205" s="6">
        <v>1.375</v>
      </c>
      <c r="J205" s="6">
        <v>-1.1875</v>
      </c>
      <c r="K205" s="6">
        <v>26.9375</v>
      </c>
      <c r="L205" s="6">
        <v>67.3125</v>
      </c>
      <c r="M205" s="6">
        <v>-0.75</v>
      </c>
      <c r="N205" s="6">
        <v>0.125</v>
      </c>
      <c r="O205" s="6">
        <v>0.4375</v>
      </c>
      <c r="P205" s="6">
        <v>-2.375</v>
      </c>
      <c r="Q205" s="6">
        <v>-20.4375</v>
      </c>
      <c r="R205" s="6">
        <v>0.29331374168396002</v>
      </c>
      <c r="S205" s="6">
        <v>-0.93227410316467296</v>
      </c>
      <c r="T205" s="6">
        <v>-0.37487041950225802</v>
      </c>
      <c r="U205" s="6">
        <v>-9.1074973344802898E-2</v>
      </c>
      <c r="V205" s="6">
        <v>0.38287752866745001</v>
      </c>
      <c r="W205" s="6">
        <v>-17.909856796264599</v>
      </c>
    </row>
    <row r="206" spans="1:23" ht="18.95" customHeight="1">
      <c r="A206" s="4">
        <v>202</v>
      </c>
      <c r="B206" s="4">
        <v>4318</v>
      </c>
      <c r="C206" s="4">
        <v>1</v>
      </c>
      <c r="D206" s="6">
        <v>0</v>
      </c>
      <c r="E206" s="6">
        <v>0</v>
      </c>
      <c r="F206" s="6">
        <v>0.4375</v>
      </c>
      <c r="G206" s="6">
        <v>-0.125</v>
      </c>
      <c r="H206" s="6">
        <v>-0.6875</v>
      </c>
      <c r="I206" s="6">
        <v>1.375</v>
      </c>
      <c r="J206" s="6">
        <v>-1.1875</v>
      </c>
      <c r="K206" s="6">
        <v>26.8125</v>
      </c>
      <c r="L206" s="6">
        <v>65.8125</v>
      </c>
      <c r="M206" s="6">
        <v>-0.6875</v>
      </c>
      <c r="N206" s="6">
        <v>-6.25E-2</v>
      </c>
      <c r="O206" s="6">
        <v>0.5</v>
      </c>
      <c r="P206" s="6">
        <v>-2.375</v>
      </c>
      <c r="Q206" s="6">
        <v>-21.6875</v>
      </c>
      <c r="R206" s="6">
        <v>0.110107660293579</v>
      </c>
      <c r="S206" s="6">
        <v>-1.5734956264495801</v>
      </c>
      <c r="T206" s="6">
        <v>-3.8992583751678501E-2</v>
      </c>
      <c r="U206" s="6">
        <v>-8.1349149346351596E-2</v>
      </c>
      <c r="V206" s="6">
        <v>9.8717808723449693E-2</v>
      </c>
      <c r="W206" s="6">
        <v>-17.9109497070312</v>
      </c>
    </row>
    <row r="207" spans="1:23" ht="18.95" customHeight="1">
      <c r="A207" s="4">
        <v>203</v>
      </c>
      <c r="B207" s="4">
        <v>4339</v>
      </c>
      <c r="C207" s="4">
        <v>1</v>
      </c>
      <c r="D207" s="6">
        <v>0</v>
      </c>
      <c r="E207" s="6">
        <v>0</v>
      </c>
      <c r="F207" s="6">
        <v>1.75</v>
      </c>
      <c r="G207" s="6">
        <v>0.3125</v>
      </c>
      <c r="H207" s="6">
        <v>0</v>
      </c>
      <c r="I207" s="6">
        <v>1.375</v>
      </c>
      <c r="J207" s="6">
        <v>-1.1875</v>
      </c>
      <c r="K207" s="6">
        <v>26.6875</v>
      </c>
      <c r="L207" s="6">
        <v>64.9375</v>
      </c>
      <c r="M207" s="6">
        <v>-0.6875</v>
      </c>
      <c r="N207" s="6">
        <v>0</v>
      </c>
      <c r="O207" s="6">
        <v>0.5</v>
      </c>
      <c r="P207" s="6">
        <v>-2.3125</v>
      </c>
      <c r="Q207" s="6">
        <v>-22.9375</v>
      </c>
      <c r="R207" s="6">
        <v>0.47651982307434099</v>
      </c>
      <c r="S207" s="6">
        <v>-3.13074731826782</v>
      </c>
      <c r="T207" s="6">
        <v>-0.51227498054504395</v>
      </c>
      <c r="U207" s="6">
        <v>-3.5074908286333098E-2</v>
      </c>
      <c r="V207" s="6">
        <v>-0.156768843531609</v>
      </c>
      <c r="W207" s="6">
        <v>-17.919572830200199</v>
      </c>
    </row>
    <row r="208" spans="1:23" ht="18.95" customHeight="1">
      <c r="A208" s="4">
        <v>204</v>
      </c>
      <c r="B208" s="4">
        <v>4361</v>
      </c>
      <c r="C208" s="4">
        <v>1</v>
      </c>
      <c r="D208" s="6">
        <v>0</v>
      </c>
      <c r="E208" s="6">
        <v>0</v>
      </c>
      <c r="F208" s="6">
        <v>2.8125</v>
      </c>
      <c r="G208" s="6">
        <v>0.1875</v>
      </c>
      <c r="H208" s="6">
        <v>-0.5</v>
      </c>
      <c r="I208" s="6">
        <v>1.375</v>
      </c>
      <c r="J208" s="6">
        <v>-1.1875</v>
      </c>
      <c r="K208" s="6">
        <v>26.5625</v>
      </c>
      <c r="L208" s="6">
        <v>64.875</v>
      </c>
      <c r="M208" s="6">
        <v>-0.75</v>
      </c>
      <c r="N208" s="6">
        <v>0.25</v>
      </c>
      <c r="O208" s="6">
        <v>0.5625</v>
      </c>
      <c r="P208" s="6">
        <v>-2.3125</v>
      </c>
      <c r="Q208" s="6">
        <v>-24.25</v>
      </c>
      <c r="R208" s="6">
        <v>0.46125268936157199</v>
      </c>
      <c r="S208" s="6">
        <v>-4.2910528182983398</v>
      </c>
      <c r="T208" s="6">
        <v>-3.8992583751678501E-2</v>
      </c>
      <c r="U208" s="6">
        <v>-4.4204108417034101E-2</v>
      </c>
      <c r="V208" s="6">
        <v>-0.47987896203994801</v>
      </c>
      <c r="W208" s="6">
        <v>-17.925298690795898</v>
      </c>
    </row>
    <row r="209" spans="1:23" ht="18.95" customHeight="1">
      <c r="A209" s="4">
        <v>205</v>
      </c>
      <c r="B209" s="4">
        <v>4383</v>
      </c>
      <c r="C209" s="4">
        <v>1</v>
      </c>
      <c r="D209" s="6">
        <v>0</v>
      </c>
      <c r="E209" s="6">
        <v>0</v>
      </c>
      <c r="F209" s="6">
        <v>4.0625</v>
      </c>
      <c r="G209" s="6">
        <v>0.25</v>
      </c>
      <c r="H209" s="6">
        <v>-0.125</v>
      </c>
      <c r="I209" s="6">
        <v>1.375</v>
      </c>
      <c r="J209" s="6">
        <v>-1.25</v>
      </c>
      <c r="K209" s="6">
        <v>26.3125</v>
      </c>
      <c r="L209" s="6">
        <v>63.625</v>
      </c>
      <c r="M209" s="6">
        <v>-0.875</v>
      </c>
      <c r="N209" s="6">
        <v>-0.25</v>
      </c>
      <c r="O209" s="6">
        <v>0.5625</v>
      </c>
      <c r="P209" s="6">
        <v>-2.3125</v>
      </c>
      <c r="Q209" s="6">
        <v>-25.4375</v>
      </c>
      <c r="R209" s="6">
        <v>3.2374858856201198E-3</v>
      </c>
      <c r="S209" s="6">
        <v>-5.5734953880310103</v>
      </c>
      <c r="T209" s="6">
        <v>-0.63441240787506104</v>
      </c>
      <c r="U209" s="6">
        <v>-6.2047854065895101E-2</v>
      </c>
      <c r="V209" s="6">
        <v>-0.82565540075302102</v>
      </c>
      <c r="W209" s="6">
        <v>-17.9391784667969</v>
      </c>
    </row>
    <row r="210" spans="1:23" ht="18.95" customHeight="1">
      <c r="A210" s="4">
        <v>206</v>
      </c>
      <c r="B210" s="4">
        <v>4405</v>
      </c>
      <c r="C210" s="4">
        <v>1</v>
      </c>
      <c r="D210" s="6">
        <v>0</v>
      </c>
      <c r="E210" s="6">
        <v>0</v>
      </c>
      <c r="F210" s="6">
        <v>5.75</v>
      </c>
      <c r="G210" s="6">
        <v>-0.125</v>
      </c>
      <c r="H210" s="6">
        <v>-0.375</v>
      </c>
      <c r="I210" s="6">
        <v>1.375</v>
      </c>
      <c r="J210" s="6">
        <v>-1.25</v>
      </c>
      <c r="K210" s="6">
        <v>26.0625</v>
      </c>
      <c r="L210" s="6">
        <v>62.5</v>
      </c>
      <c r="M210" s="6">
        <v>-0.75</v>
      </c>
      <c r="N210" s="6">
        <v>6.25E-2</v>
      </c>
      <c r="O210" s="6">
        <v>0.625</v>
      </c>
      <c r="P210" s="6">
        <v>-2.3125</v>
      </c>
      <c r="Q210" s="6">
        <v>-26.6875</v>
      </c>
      <c r="R210" s="6">
        <v>0.30858087539672902</v>
      </c>
      <c r="S210" s="6">
        <v>-6.8712053298950204</v>
      </c>
      <c r="T210" s="6">
        <v>-0.497007817029953</v>
      </c>
      <c r="U210" s="6">
        <v>1.76120921969414E-2</v>
      </c>
      <c r="V210" s="6">
        <v>-1.0542079210281401</v>
      </c>
      <c r="W210" s="6">
        <v>-17.941082000732401</v>
      </c>
    </row>
    <row r="211" spans="1:23" ht="18.95" customHeight="1">
      <c r="A211" s="4">
        <v>207</v>
      </c>
      <c r="B211" s="4">
        <v>4426</v>
      </c>
      <c r="C211" s="4">
        <v>1</v>
      </c>
      <c r="D211" s="6">
        <v>0</v>
      </c>
      <c r="E211" s="6">
        <v>0</v>
      </c>
      <c r="F211" s="6">
        <v>6.9375</v>
      </c>
      <c r="G211" s="6">
        <v>0.1875</v>
      </c>
      <c r="H211" s="6">
        <v>0</v>
      </c>
      <c r="I211" s="6">
        <v>1.375</v>
      </c>
      <c r="J211" s="6">
        <v>-1.25</v>
      </c>
      <c r="K211" s="6">
        <v>25.9375</v>
      </c>
      <c r="L211" s="6">
        <v>62</v>
      </c>
      <c r="M211" s="6">
        <v>-0.8125</v>
      </c>
      <c r="N211" s="6">
        <v>0</v>
      </c>
      <c r="O211" s="6">
        <v>0.625</v>
      </c>
      <c r="P211" s="6">
        <v>-2.3125</v>
      </c>
      <c r="Q211" s="6">
        <v>-27.875</v>
      </c>
      <c r="R211" s="6">
        <v>-8.8365554809570299E-2</v>
      </c>
      <c r="S211" s="6">
        <v>-8.3063201904296893</v>
      </c>
      <c r="T211" s="6">
        <v>-0.69548112154007002</v>
      </c>
      <c r="U211" s="6">
        <v>-1.7420658841729199E-2</v>
      </c>
      <c r="V211" s="6">
        <v>-1.3889473676681501</v>
      </c>
      <c r="W211" s="6">
        <v>-17.955175399780298</v>
      </c>
    </row>
    <row r="212" spans="1:23" ht="18.95" customHeight="1">
      <c r="A212" s="4">
        <v>208</v>
      </c>
      <c r="B212" s="4">
        <v>4447</v>
      </c>
      <c r="C212" s="4">
        <v>1</v>
      </c>
      <c r="D212" s="6">
        <v>0</v>
      </c>
      <c r="E212" s="6">
        <v>0</v>
      </c>
      <c r="F212" s="6">
        <v>8.375</v>
      </c>
      <c r="G212" s="6">
        <v>-6.25E-2</v>
      </c>
      <c r="H212" s="6">
        <v>-0.625</v>
      </c>
      <c r="I212" s="6">
        <v>1.375</v>
      </c>
      <c r="J212" s="6">
        <v>-1.25</v>
      </c>
      <c r="K212" s="6">
        <v>25.75</v>
      </c>
      <c r="L212" s="6">
        <v>62.3125</v>
      </c>
      <c r="M212" s="6">
        <v>-0.6875</v>
      </c>
      <c r="N212" s="6">
        <v>0.125</v>
      </c>
      <c r="O212" s="6">
        <v>0.6875</v>
      </c>
      <c r="P212" s="6">
        <v>-2.25</v>
      </c>
      <c r="Q212" s="6">
        <v>-29.6875</v>
      </c>
      <c r="R212" s="6">
        <v>0.55285573005676303</v>
      </c>
      <c r="S212" s="6">
        <v>-9.8941059112548793</v>
      </c>
      <c r="T212" s="6">
        <v>-0.13059562444686901</v>
      </c>
      <c r="U212" s="6">
        <v>1.15424059331417E-2</v>
      </c>
      <c r="V212" s="6">
        <v>-1.5966057777404801</v>
      </c>
      <c r="W212" s="6">
        <v>-17.9624214172363</v>
      </c>
    </row>
    <row r="213" spans="1:23" ht="18.95" customHeight="1">
      <c r="A213" s="4">
        <v>209</v>
      </c>
      <c r="B213" s="4">
        <v>4467</v>
      </c>
      <c r="C213" s="4">
        <v>1</v>
      </c>
      <c r="D213" s="6">
        <v>0</v>
      </c>
      <c r="E213" s="6">
        <v>0</v>
      </c>
      <c r="F213" s="6">
        <v>9.8125</v>
      </c>
      <c r="G213" s="6">
        <v>0</v>
      </c>
      <c r="H213" s="6">
        <v>0</v>
      </c>
      <c r="I213" s="6">
        <v>1.375</v>
      </c>
      <c r="J213" s="6">
        <v>-1.25</v>
      </c>
      <c r="K213" s="6">
        <v>25.5625</v>
      </c>
      <c r="L213" s="6">
        <v>60.875</v>
      </c>
      <c r="M213" s="6">
        <v>-0.875</v>
      </c>
      <c r="N213" s="6">
        <v>0</v>
      </c>
      <c r="O213" s="6">
        <v>0.6875</v>
      </c>
      <c r="P213" s="6">
        <v>-2.25</v>
      </c>
      <c r="Q213" s="6">
        <v>-30.875</v>
      </c>
      <c r="R213" s="6">
        <v>0.232244968414307</v>
      </c>
      <c r="S213" s="6">
        <v>-11.115480422973601</v>
      </c>
      <c r="T213" s="6">
        <v>-0.55807650089263905</v>
      </c>
      <c r="U213" s="6">
        <v>-0.102735325694084</v>
      </c>
      <c r="V213" s="6">
        <v>-1.9567171335220299</v>
      </c>
      <c r="W213" s="6">
        <v>-17.9778347015381</v>
      </c>
    </row>
    <row r="214" spans="1:23" ht="18.95" customHeight="1">
      <c r="A214" s="4">
        <v>210</v>
      </c>
      <c r="B214" s="4">
        <v>4487</v>
      </c>
      <c r="C214" s="4">
        <v>1</v>
      </c>
      <c r="D214" s="6">
        <v>0</v>
      </c>
      <c r="E214" s="6">
        <v>0</v>
      </c>
      <c r="F214" s="6">
        <v>10.9375</v>
      </c>
      <c r="G214" s="6">
        <v>0</v>
      </c>
      <c r="H214" s="6">
        <v>-0.4375</v>
      </c>
      <c r="I214" s="6">
        <v>1.4375</v>
      </c>
      <c r="J214" s="6">
        <v>-1.25</v>
      </c>
      <c r="K214" s="6">
        <v>25.3125</v>
      </c>
      <c r="L214" s="6">
        <v>60.75</v>
      </c>
      <c r="M214" s="6">
        <v>-0.5625</v>
      </c>
      <c r="N214" s="6">
        <v>0.125</v>
      </c>
      <c r="O214" s="6">
        <v>0.75</v>
      </c>
      <c r="P214" s="6">
        <v>-2.25</v>
      </c>
      <c r="Q214" s="6">
        <v>-31.4375</v>
      </c>
      <c r="R214" s="6">
        <v>0.58338999748230003</v>
      </c>
      <c r="S214" s="6">
        <v>-12.367388725280801</v>
      </c>
      <c r="T214" s="6">
        <v>2.2076129913330099E-2</v>
      </c>
      <c r="U214" s="6">
        <v>4.62167598307133E-2</v>
      </c>
      <c r="V214" s="6">
        <v>-2.25382375717163</v>
      </c>
      <c r="W214" s="6">
        <v>-17.978782653808601</v>
      </c>
    </row>
    <row r="215" spans="1:23" ht="18.95" customHeight="1">
      <c r="A215" s="4">
        <v>211</v>
      </c>
      <c r="B215" s="4">
        <v>4514</v>
      </c>
      <c r="C215" s="4">
        <v>1</v>
      </c>
      <c r="D215" s="6">
        <v>0</v>
      </c>
      <c r="E215" s="6">
        <v>0</v>
      </c>
      <c r="F215" s="6">
        <v>13.1875</v>
      </c>
      <c r="G215" s="6">
        <v>6.25E-2</v>
      </c>
      <c r="H215" s="6">
        <v>-0.375</v>
      </c>
      <c r="I215" s="6">
        <v>1.4375</v>
      </c>
      <c r="J215" s="6">
        <v>-1.25</v>
      </c>
      <c r="K215" s="6">
        <v>24.9375</v>
      </c>
      <c r="L215" s="6">
        <v>58.75</v>
      </c>
      <c r="M215" s="6">
        <v>-0.5625</v>
      </c>
      <c r="N215" s="6">
        <v>0.125</v>
      </c>
      <c r="O215" s="6">
        <v>0.75</v>
      </c>
      <c r="P215" s="6">
        <v>-2.25</v>
      </c>
      <c r="Q215" s="6">
        <v>-33.1875</v>
      </c>
      <c r="R215" s="6">
        <v>0.720794677734375</v>
      </c>
      <c r="S215" s="6">
        <v>-14.3979234695435</v>
      </c>
      <c r="T215" s="6">
        <v>-0.191664308309555</v>
      </c>
      <c r="U215" s="6">
        <v>4.8482775688171401E-2</v>
      </c>
      <c r="V215" s="6">
        <v>-2.6355452537536599</v>
      </c>
      <c r="W215" s="6">
        <v>-17.983766555786101</v>
      </c>
    </row>
    <row r="216" spans="1:23" ht="18.95" customHeight="1">
      <c r="A216" s="4">
        <v>212</v>
      </c>
      <c r="B216" s="4">
        <v>4536</v>
      </c>
      <c r="C216" s="4">
        <v>1</v>
      </c>
      <c r="D216" s="6">
        <v>0</v>
      </c>
      <c r="E216" s="6">
        <v>0</v>
      </c>
      <c r="F216" s="6">
        <v>14.625</v>
      </c>
      <c r="G216" s="6">
        <v>0.375</v>
      </c>
      <c r="H216" s="6">
        <v>-6.25E-2</v>
      </c>
      <c r="I216" s="6">
        <v>1.4375</v>
      </c>
      <c r="J216" s="6">
        <v>-1.25</v>
      </c>
      <c r="K216" s="6">
        <v>24.625</v>
      </c>
      <c r="L216" s="6">
        <v>57.75</v>
      </c>
      <c r="M216" s="6">
        <v>-0.5</v>
      </c>
      <c r="N216" s="6">
        <v>0.125</v>
      </c>
      <c r="O216" s="6">
        <v>0.8125</v>
      </c>
      <c r="P216" s="6">
        <v>-2.25</v>
      </c>
      <c r="Q216" s="6">
        <v>-34.3125</v>
      </c>
      <c r="R216" s="6">
        <v>0.29331374168396002</v>
      </c>
      <c r="S216" s="6">
        <v>-16.306320190429702</v>
      </c>
      <c r="T216" s="6">
        <v>-0.60387802124023404</v>
      </c>
      <c r="U216" s="6">
        <v>0.143746823072433</v>
      </c>
      <c r="V216" s="6">
        <v>-2.9689984321594198</v>
      </c>
      <c r="W216" s="6">
        <v>-17.981859207153299</v>
      </c>
    </row>
    <row r="217" spans="1:23" ht="18.95" customHeight="1">
      <c r="A217" s="4">
        <v>213</v>
      </c>
      <c r="B217" s="4">
        <v>4557</v>
      </c>
      <c r="C217" s="4">
        <v>1</v>
      </c>
      <c r="D217" s="6">
        <v>0</v>
      </c>
      <c r="E217" s="6">
        <v>0</v>
      </c>
      <c r="F217" s="6">
        <v>16.3125</v>
      </c>
      <c r="G217" s="6">
        <v>0.3125</v>
      </c>
      <c r="H217" s="6">
        <v>0.1875</v>
      </c>
      <c r="I217" s="6">
        <v>1.4375</v>
      </c>
      <c r="J217" s="6">
        <v>-1.25</v>
      </c>
      <c r="K217" s="6">
        <v>24.25</v>
      </c>
      <c r="L217" s="6">
        <v>56.25</v>
      </c>
      <c r="M217" s="6">
        <v>-0.375</v>
      </c>
      <c r="N217" s="6">
        <v>-6.25E-2</v>
      </c>
      <c r="O217" s="6">
        <v>0.8125</v>
      </c>
      <c r="P217" s="6">
        <v>-2.25</v>
      </c>
      <c r="Q217" s="6">
        <v>-35.9375</v>
      </c>
      <c r="R217" s="6">
        <v>1.33148169517517</v>
      </c>
      <c r="S217" s="6">
        <v>-17.512426376342798</v>
      </c>
      <c r="T217" s="6">
        <v>0.15948075056076</v>
      </c>
      <c r="U217" s="6">
        <v>2.73223593831062E-2</v>
      </c>
      <c r="V217" s="6">
        <v>-3.4380877017974898</v>
      </c>
      <c r="W217" s="6">
        <v>-17.991846084594702</v>
      </c>
    </row>
    <row r="218" spans="1:23" ht="18.95" customHeight="1">
      <c r="A218" s="4">
        <v>214</v>
      </c>
      <c r="B218" s="4">
        <v>4578</v>
      </c>
      <c r="C218" s="4">
        <v>1</v>
      </c>
      <c r="D218" s="6">
        <v>0</v>
      </c>
      <c r="E218" s="6">
        <v>0</v>
      </c>
      <c r="F218" s="6">
        <v>17.6875</v>
      </c>
      <c r="G218" s="6">
        <v>0.5</v>
      </c>
      <c r="H218" s="6">
        <v>-6.25E-2</v>
      </c>
      <c r="I218" s="6">
        <v>1.4375</v>
      </c>
      <c r="J218" s="6">
        <v>-1.25</v>
      </c>
      <c r="K218" s="6">
        <v>23.9375</v>
      </c>
      <c r="L218" s="6">
        <v>54.9375</v>
      </c>
      <c r="M218" s="6">
        <v>-0.4375</v>
      </c>
      <c r="N218" s="6">
        <v>0.25</v>
      </c>
      <c r="O218" s="6">
        <v>0.875</v>
      </c>
      <c r="P218" s="6">
        <v>-2.25</v>
      </c>
      <c r="Q218" s="6">
        <v>-37</v>
      </c>
      <c r="R218" s="6">
        <v>0.720794677734375</v>
      </c>
      <c r="S218" s="6">
        <v>-19.512426376342798</v>
      </c>
      <c r="T218" s="6">
        <v>-0.80235135555267301</v>
      </c>
      <c r="U218" s="6">
        <v>0.15400737524032601</v>
      </c>
      <c r="V218" s="6">
        <v>-3.75727462768555</v>
      </c>
      <c r="W218" s="6">
        <v>-17.995769500732401</v>
      </c>
    </row>
    <row r="219" spans="1:23" ht="18.95" customHeight="1">
      <c r="A219" s="4">
        <v>215</v>
      </c>
      <c r="B219" s="4">
        <v>4600</v>
      </c>
      <c r="C219" s="4">
        <v>1</v>
      </c>
      <c r="D219" s="6">
        <v>0</v>
      </c>
      <c r="E219" s="6">
        <v>0</v>
      </c>
      <c r="F219" s="6">
        <v>19.5</v>
      </c>
      <c r="G219" s="6">
        <v>0.4375</v>
      </c>
      <c r="H219" s="6">
        <v>0.125</v>
      </c>
      <c r="I219" s="6">
        <v>1.4375</v>
      </c>
      <c r="J219" s="6">
        <v>-1.25</v>
      </c>
      <c r="K219" s="6">
        <v>23.5625</v>
      </c>
      <c r="L219" s="6">
        <v>53.125</v>
      </c>
      <c r="M219" s="6">
        <v>-0.5</v>
      </c>
      <c r="N219" s="6">
        <v>0.1875</v>
      </c>
      <c r="O219" s="6">
        <v>0.875</v>
      </c>
      <c r="P219" s="6">
        <v>-2.25</v>
      </c>
      <c r="Q219" s="6">
        <v>-38</v>
      </c>
      <c r="R219" s="6">
        <v>1.42308473587036</v>
      </c>
      <c r="S219" s="6">
        <v>-20.932273864746101</v>
      </c>
      <c r="T219" s="6">
        <v>0.43428993225097701</v>
      </c>
      <c r="U219" s="6">
        <v>4.5866314321756398E-2</v>
      </c>
      <c r="V219" s="6">
        <v>-4.2722077369689897</v>
      </c>
      <c r="W219" s="6">
        <v>-17.9992065429688</v>
      </c>
    </row>
    <row r="220" spans="1:23" ht="18.95" customHeight="1">
      <c r="A220" s="4">
        <v>216</v>
      </c>
      <c r="B220" s="4">
        <v>4621</v>
      </c>
      <c r="C220" s="4">
        <v>1</v>
      </c>
      <c r="D220" s="6">
        <v>0</v>
      </c>
      <c r="E220" s="6">
        <v>0</v>
      </c>
      <c r="F220" s="6">
        <v>20.8125</v>
      </c>
      <c r="G220" s="6">
        <v>0.625</v>
      </c>
      <c r="H220" s="6">
        <v>0.125</v>
      </c>
      <c r="I220" s="6">
        <v>1.4375</v>
      </c>
      <c r="J220" s="6">
        <v>-1.25</v>
      </c>
      <c r="K220" s="6">
        <v>23</v>
      </c>
      <c r="L220" s="6">
        <v>50.125</v>
      </c>
      <c r="M220" s="6">
        <v>-0.5</v>
      </c>
      <c r="N220" s="6">
        <v>-0.125</v>
      </c>
      <c r="O220" s="6">
        <v>0.875</v>
      </c>
      <c r="P220" s="6">
        <v>-2.25</v>
      </c>
      <c r="Q220" s="6">
        <v>-39</v>
      </c>
      <c r="R220" s="6">
        <v>0.27804660797119102</v>
      </c>
      <c r="S220" s="6">
        <v>-22.733800888061499</v>
      </c>
      <c r="T220" s="6">
        <v>-1.0618933439254801</v>
      </c>
      <c r="U220" s="6">
        <v>0.212454333901405</v>
      </c>
      <c r="V220" s="6">
        <v>-4.6705727577209499</v>
      </c>
      <c r="W220" s="6">
        <v>-17.998252868652301</v>
      </c>
    </row>
    <row r="221" spans="1:23" ht="18.95" customHeight="1">
      <c r="A221" s="4">
        <v>217</v>
      </c>
      <c r="B221" s="4">
        <v>4641</v>
      </c>
      <c r="C221" s="4">
        <v>1</v>
      </c>
      <c r="D221" s="6">
        <v>0</v>
      </c>
      <c r="E221" s="6">
        <v>0</v>
      </c>
      <c r="F221" s="6">
        <v>22.6875</v>
      </c>
      <c r="G221" s="6">
        <v>0.75</v>
      </c>
      <c r="H221" s="6">
        <v>0.25</v>
      </c>
      <c r="I221" s="6">
        <v>1.4375</v>
      </c>
      <c r="J221" s="6">
        <v>-1.25</v>
      </c>
      <c r="K221" s="6">
        <v>22.5625</v>
      </c>
      <c r="L221" s="6">
        <v>48.625</v>
      </c>
      <c r="M221" s="6">
        <v>-0.4375</v>
      </c>
      <c r="N221" s="6">
        <v>0</v>
      </c>
      <c r="O221" s="6">
        <v>0.9375</v>
      </c>
      <c r="P221" s="6">
        <v>-2.25</v>
      </c>
      <c r="Q221" s="6">
        <v>-39.9375</v>
      </c>
      <c r="R221" s="6">
        <v>1.3467488288879399</v>
      </c>
      <c r="S221" s="6">
        <v>-23.909374237060501</v>
      </c>
      <c r="T221" s="6">
        <v>0.41902267932891801</v>
      </c>
      <c r="U221" s="6">
        <v>0.171177923679352</v>
      </c>
      <c r="V221" s="6">
        <v>-5.1816892623901403</v>
      </c>
      <c r="W221" s="6">
        <v>-18.006454467773398</v>
      </c>
    </row>
    <row r="222" spans="1:23" ht="18.95" customHeight="1">
      <c r="A222" s="4">
        <v>218</v>
      </c>
      <c r="B222" s="4">
        <v>4663</v>
      </c>
      <c r="C222" s="4">
        <v>1</v>
      </c>
      <c r="D222" s="6">
        <v>0</v>
      </c>
      <c r="E222" s="6">
        <v>0</v>
      </c>
      <c r="F222" s="6">
        <v>23.9375</v>
      </c>
      <c r="G222" s="6">
        <v>0.625</v>
      </c>
      <c r="H222" s="6">
        <v>6.25E-2</v>
      </c>
      <c r="I222" s="6">
        <v>1.4375</v>
      </c>
      <c r="J222" s="6">
        <v>-1.25</v>
      </c>
      <c r="K222" s="6">
        <v>21.8125</v>
      </c>
      <c r="L222" s="6">
        <v>45.5625</v>
      </c>
      <c r="M222" s="6">
        <v>-0.5</v>
      </c>
      <c r="N222" s="6">
        <v>0</v>
      </c>
      <c r="O222" s="6">
        <v>0.9375</v>
      </c>
      <c r="P222" s="6">
        <v>-2.25</v>
      </c>
      <c r="Q222" s="6">
        <v>-40.8125</v>
      </c>
      <c r="R222" s="6">
        <v>1.1635427474975599</v>
      </c>
      <c r="S222" s="6">
        <v>-25.7567024230957</v>
      </c>
      <c r="T222" s="6">
        <v>0.128946363925934</v>
      </c>
      <c r="U222" s="6">
        <v>0.193154066801071</v>
      </c>
      <c r="V222" s="6">
        <v>-5.6908903121948198</v>
      </c>
      <c r="W222" s="6">
        <v>-18.013166427612301</v>
      </c>
    </row>
    <row r="223" spans="1:23" ht="18.95" customHeight="1">
      <c r="A223" s="4">
        <v>219</v>
      </c>
      <c r="B223" s="4">
        <v>4685</v>
      </c>
      <c r="C223" s="4">
        <v>1</v>
      </c>
      <c r="D223" s="6">
        <v>0</v>
      </c>
      <c r="E223" s="6">
        <v>0</v>
      </c>
      <c r="F223" s="6">
        <v>26.25</v>
      </c>
      <c r="G223" s="6">
        <v>0.5</v>
      </c>
      <c r="H223" s="6">
        <v>0.1875</v>
      </c>
      <c r="I223" s="6">
        <v>1.4375</v>
      </c>
      <c r="J223" s="6">
        <v>-1.3125</v>
      </c>
      <c r="K223" s="6">
        <v>21.25</v>
      </c>
      <c r="L223" s="6">
        <v>43.375</v>
      </c>
      <c r="M223" s="6">
        <v>-0.5</v>
      </c>
      <c r="N223" s="6">
        <v>6.25E-2</v>
      </c>
      <c r="O223" s="6">
        <v>0.9375</v>
      </c>
      <c r="P223" s="6">
        <v>-2.25</v>
      </c>
      <c r="Q223" s="6">
        <v>-41.6875</v>
      </c>
      <c r="R223" s="6">
        <v>1.0719397068023699</v>
      </c>
      <c r="S223" s="6">
        <v>-26.886472702026399</v>
      </c>
      <c r="T223" s="6">
        <v>0.128946363925934</v>
      </c>
      <c r="U223" s="6">
        <v>0.14872786402702301</v>
      </c>
      <c r="V223" s="6">
        <v>-6.2247719764709499</v>
      </c>
      <c r="W223" s="6">
        <v>-18.021526336669901</v>
      </c>
    </row>
    <row r="224" spans="1:23" ht="18.95" customHeight="1">
      <c r="A224" s="4">
        <v>220</v>
      </c>
      <c r="B224" s="4">
        <v>4705</v>
      </c>
      <c r="C224" s="4">
        <v>1</v>
      </c>
      <c r="D224" s="6">
        <v>0</v>
      </c>
      <c r="E224" s="6">
        <v>0</v>
      </c>
      <c r="F224" s="6">
        <v>26.8125</v>
      </c>
      <c r="G224" s="6">
        <v>0.5625</v>
      </c>
      <c r="H224" s="6">
        <v>0.125</v>
      </c>
      <c r="I224" s="6">
        <v>1.4375</v>
      </c>
      <c r="J224" s="6">
        <v>-1.3125</v>
      </c>
      <c r="K224" s="6">
        <v>20.6875</v>
      </c>
      <c r="L224" s="6">
        <v>41.25</v>
      </c>
      <c r="M224" s="6">
        <v>-0.4375</v>
      </c>
      <c r="N224" s="6">
        <v>0.125</v>
      </c>
      <c r="O224" s="6">
        <v>1</v>
      </c>
      <c r="P224" s="6">
        <v>-2.25</v>
      </c>
      <c r="Q224" s="6">
        <v>-42.5</v>
      </c>
      <c r="R224" s="6">
        <v>1.5299549102783201</v>
      </c>
      <c r="S224" s="6">
        <v>-28.123113632202099</v>
      </c>
      <c r="T224" s="6">
        <v>-8.4581971168518101E-3</v>
      </c>
      <c r="U224" s="6">
        <v>0.16571772098541299</v>
      </c>
      <c r="V224" s="6">
        <v>-6.7277479171752903</v>
      </c>
      <c r="W224" s="6">
        <v>-18.022151947021499</v>
      </c>
    </row>
    <row r="225" spans="1:23" ht="18.95" customHeight="1">
      <c r="A225" s="4">
        <v>221</v>
      </c>
      <c r="B225" s="4">
        <v>4726</v>
      </c>
      <c r="C225" s="4">
        <v>1</v>
      </c>
      <c r="D225" s="6">
        <v>0</v>
      </c>
      <c r="E225" s="6">
        <v>0</v>
      </c>
      <c r="F225" s="6">
        <v>29</v>
      </c>
      <c r="G225" s="6">
        <v>0.75</v>
      </c>
      <c r="H225" s="6">
        <v>0.1875</v>
      </c>
      <c r="I225" s="6">
        <v>1.5</v>
      </c>
      <c r="J225" s="6">
        <v>-1.3125</v>
      </c>
      <c r="K225" s="6">
        <v>20.0625</v>
      </c>
      <c r="L225" s="6">
        <v>38.5625</v>
      </c>
      <c r="M225" s="6">
        <v>-0.375</v>
      </c>
      <c r="N225" s="6">
        <v>-6.25E-2</v>
      </c>
      <c r="O225" s="6">
        <v>1</v>
      </c>
      <c r="P225" s="6">
        <v>-2.25</v>
      </c>
      <c r="Q225" s="6">
        <v>-43.625</v>
      </c>
      <c r="R225" s="6">
        <v>1.2246114015579199</v>
      </c>
      <c r="S225" s="6">
        <v>-29.7567024230957</v>
      </c>
      <c r="T225" s="6">
        <v>-5.4259717464447001E-2</v>
      </c>
      <c r="U225" s="6">
        <v>0.16405038535594901</v>
      </c>
      <c r="V225" s="6">
        <v>-7.2801947593689</v>
      </c>
      <c r="W225" s="6">
        <v>-18.026689529418899</v>
      </c>
    </row>
    <row r="226" spans="1:23" ht="18.95" customHeight="1">
      <c r="A226" s="4">
        <v>222</v>
      </c>
      <c r="B226" s="4">
        <v>4747</v>
      </c>
      <c r="C226" s="4">
        <v>1</v>
      </c>
      <c r="D226" s="6">
        <v>0</v>
      </c>
      <c r="E226" s="6">
        <v>0</v>
      </c>
      <c r="F226" s="6">
        <v>30.375</v>
      </c>
      <c r="G226" s="6">
        <v>0.5625</v>
      </c>
      <c r="H226" s="6">
        <v>0.3125</v>
      </c>
      <c r="I226" s="6">
        <v>1.5</v>
      </c>
      <c r="J226" s="6">
        <v>-1.3125</v>
      </c>
      <c r="K226" s="6">
        <v>19.4375</v>
      </c>
      <c r="L226" s="6">
        <v>36.75</v>
      </c>
      <c r="M226" s="6">
        <v>-0.3125</v>
      </c>
      <c r="N226" s="6">
        <v>-6.25E-2</v>
      </c>
      <c r="O226" s="6">
        <v>1</v>
      </c>
      <c r="P226" s="6">
        <v>-2.25</v>
      </c>
      <c r="Q226" s="6">
        <v>-44</v>
      </c>
      <c r="R226" s="6">
        <v>1.36201608181</v>
      </c>
      <c r="S226" s="6">
        <v>-32.22998046875</v>
      </c>
      <c r="T226" s="6">
        <v>5.2610516548156697E-2</v>
      </c>
      <c r="U226" s="6">
        <v>0.190879136323929</v>
      </c>
      <c r="V226" s="6">
        <v>-7.8125987052917498</v>
      </c>
      <c r="W226" s="6">
        <v>-18.0276889801025</v>
      </c>
    </row>
    <row r="227" spans="1:23" ht="18.95" customHeight="1">
      <c r="A227" s="4">
        <v>223</v>
      </c>
      <c r="B227" s="4">
        <v>4769</v>
      </c>
      <c r="C227" s="4">
        <v>1</v>
      </c>
      <c r="D227" s="6">
        <v>0</v>
      </c>
      <c r="E227" s="6">
        <v>0</v>
      </c>
      <c r="F227" s="6">
        <v>32.5</v>
      </c>
      <c r="G227" s="6">
        <v>0.9375</v>
      </c>
      <c r="H227" s="6">
        <v>0.3125</v>
      </c>
      <c r="I227" s="6">
        <v>1.5</v>
      </c>
      <c r="J227" s="6">
        <v>-1.3125</v>
      </c>
      <c r="K227" s="6">
        <v>18.8125</v>
      </c>
      <c r="L227" s="6">
        <v>34</v>
      </c>
      <c r="M227" s="6">
        <v>-0.4375</v>
      </c>
      <c r="N227" s="6">
        <v>6.25E-2</v>
      </c>
      <c r="O227" s="6">
        <v>1.0625</v>
      </c>
      <c r="P227" s="6">
        <v>-2.25</v>
      </c>
      <c r="Q227" s="6">
        <v>-45</v>
      </c>
      <c r="R227" s="6">
        <v>1.4078176021575901</v>
      </c>
      <c r="S227" s="6">
        <v>-33.3292236328125</v>
      </c>
      <c r="T227" s="6">
        <v>0.28161811828613298</v>
      </c>
      <c r="U227" s="6">
        <v>0.16298507153987901</v>
      </c>
      <c r="V227" s="6">
        <v>-8.4326753616333008</v>
      </c>
      <c r="W227" s="6">
        <v>-18.030431747436499</v>
      </c>
    </row>
    <row r="228" spans="1:23" ht="18.95" customHeight="1">
      <c r="A228" s="4">
        <v>224</v>
      </c>
      <c r="B228" s="4">
        <v>4791</v>
      </c>
      <c r="C228" s="4">
        <v>1</v>
      </c>
      <c r="D228" s="6">
        <v>0</v>
      </c>
      <c r="E228" s="6">
        <v>0</v>
      </c>
      <c r="F228" s="6">
        <v>33.8125</v>
      </c>
      <c r="G228" s="6">
        <v>0.875</v>
      </c>
      <c r="H228" s="6">
        <v>0.125</v>
      </c>
      <c r="I228" s="6">
        <v>1.5</v>
      </c>
      <c r="J228" s="6">
        <v>-1.3125</v>
      </c>
      <c r="K228" s="6">
        <v>18.125</v>
      </c>
      <c r="L228" s="6">
        <v>31</v>
      </c>
      <c r="M228" s="6">
        <v>-0.1875</v>
      </c>
      <c r="N228" s="6">
        <v>-0.1875</v>
      </c>
      <c r="O228" s="6">
        <v>1.0625</v>
      </c>
      <c r="P228" s="6">
        <v>-2.1875</v>
      </c>
      <c r="Q228" s="6">
        <v>-45.6875</v>
      </c>
      <c r="R228" s="6">
        <v>1.5910236835479701</v>
      </c>
      <c r="S228" s="6">
        <v>-35.176551818847699</v>
      </c>
      <c r="T228" s="6">
        <v>-0.161129951477051</v>
      </c>
      <c r="U228" s="6">
        <v>0.28550878167152399</v>
      </c>
      <c r="V228" s="6">
        <v>-9.1176929473877006</v>
      </c>
      <c r="W228" s="6">
        <v>-18.032871246337901</v>
      </c>
    </row>
    <row r="229" spans="1:23" ht="18.95" customHeight="1">
      <c r="A229" s="4">
        <v>225</v>
      </c>
      <c r="B229" s="4">
        <v>4812</v>
      </c>
      <c r="C229" s="4">
        <v>1</v>
      </c>
      <c r="D229" s="6">
        <v>0</v>
      </c>
      <c r="E229" s="6">
        <v>0</v>
      </c>
      <c r="F229" s="6">
        <v>35.5</v>
      </c>
      <c r="G229" s="6">
        <v>0.875</v>
      </c>
      <c r="H229" s="6">
        <v>0.375</v>
      </c>
      <c r="I229" s="6">
        <v>1.5</v>
      </c>
      <c r="J229" s="6">
        <v>-1.375</v>
      </c>
      <c r="K229" s="6">
        <v>17.4375</v>
      </c>
      <c r="L229" s="6">
        <v>29.5</v>
      </c>
      <c r="M229" s="6">
        <v>-0.25</v>
      </c>
      <c r="N229" s="6">
        <v>0.125</v>
      </c>
      <c r="O229" s="6">
        <v>1.0625</v>
      </c>
      <c r="P229" s="6">
        <v>-2.1875</v>
      </c>
      <c r="Q229" s="6">
        <v>-46.25</v>
      </c>
      <c r="R229" s="6">
        <v>1.7131609916687001</v>
      </c>
      <c r="S229" s="6">
        <v>-35.924636840820298</v>
      </c>
      <c r="T229" s="6">
        <v>0.480091452598572</v>
      </c>
      <c r="U229" s="6">
        <v>0.23436439037323001</v>
      </c>
      <c r="V229" s="6">
        <v>-9.7563829421997106</v>
      </c>
      <c r="W229" s="6">
        <v>-18.034378051757798</v>
      </c>
    </row>
    <row r="230" spans="1:23" ht="18.95" customHeight="1">
      <c r="A230" s="4">
        <v>226</v>
      </c>
      <c r="B230" s="4">
        <v>4833</v>
      </c>
      <c r="C230" s="4">
        <v>1</v>
      </c>
      <c r="D230" s="6">
        <v>0</v>
      </c>
      <c r="E230" s="6">
        <v>0</v>
      </c>
      <c r="F230" s="6">
        <v>36.1875</v>
      </c>
      <c r="G230" s="6">
        <v>0.875</v>
      </c>
      <c r="H230" s="6">
        <v>0.375</v>
      </c>
      <c r="I230" s="6">
        <v>1.5</v>
      </c>
      <c r="J230" s="6">
        <v>-1.375</v>
      </c>
      <c r="K230" s="6">
        <v>16.6875</v>
      </c>
      <c r="L230" s="6">
        <v>25.8125</v>
      </c>
      <c r="M230" s="6">
        <v>-0.1875</v>
      </c>
      <c r="N230" s="6">
        <v>0</v>
      </c>
      <c r="O230" s="6">
        <v>1.0625</v>
      </c>
      <c r="P230" s="6">
        <v>-2.1875</v>
      </c>
      <c r="Q230" s="6">
        <v>-46.8125</v>
      </c>
      <c r="R230" s="6">
        <v>1.7131609916687001</v>
      </c>
      <c r="S230" s="6">
        <v>-37.634567260742202</v>
      </c>
      <c r="T230" s="6">
        <v>-3.8992583751678501E-2</v>
      </c>
      <c r="U230" s="6">
        <v>0.25719776749610901</v>
      </c>
      <c r="V230" s="6">
        <v>-10.433041572570801</v>
      </c>
      <c r="W230" s="6">
        <v>-18.041532516479499</v>
      </c>
    </row>
    <row r="231" spans="1:23" ht="18.95" customHeight="1">
      <c r="A231" s="4">
        <v>227</v>
      </c>
      <c r="B231" s="4">
        <v>4855</v>
      </c>
      <c r="C231" s="4">
        <v>1</v>
      </c>
      <c r="D231" s="6">
        <v>0</v>
      </c>
      <c r="E231" s="6">
        <v>0</v>
      </c>
      <c r="F231" s="6">
        <v>37.6875</v>
      </c>
      <c r="G231" s="6">
        <v>0.75</v>
      </c>
      <c r="H231" s="6">
        <v>0.25</v>
      </c>
      <c r="I231" s="6">
        <v>1.5</v>
      </c>
      <c r="J231" s="6">
        <v>-1.4375</v>
      </c>
      <c r="K231" s="6">
        <v>15.5625</v>
      </c>
      <c r="L231" s="6">
        <v>24.625</v>
      </c>
      <c r="M231" s="6">
        <v>-0.3125</v>
      </c>
      <c r="N231" s="6">
        <v>0.1875</v>
      </c>
      <c r="O231" s="6">
        <v>1.0625</v>
      </c>
      <c r="P231" s="6">
        <v>-2.1875</v>
      </c>
      <c r="Q231" s="6">
        <v>-47.3125</v>
      </c>
      <c r="R231" s="6">
        <v>2.0643060207366899</v>
      </c>
      <c r="S231" s="6">
        <v>-39.084945678710902</v>
      </c>
      <c r="T231" s="6">
        <v>0.26635098457336398</v>
      </c>
      <c r="U231" s="6">
        <v>0.238834798336029</v>
      </c>
      <c r="V231" s="6">
        <v>-11.1240034103394</v>
      </c>
      <c r="W231" s="6">
        <v>-18.044017791748001</v>
      </c>
    </row>
    <row r="232" spans="1:23" ht="18.95" customHeight="1">
      <c r="A232" s="4">
        <v>228</v>
      </c>
      <c r="B232" s="4">
        <v>4877</v>
      </c>
      <c r="C232" s="4">
        <v>1</v>
      </c>
      <c r="D232" s="6">
        <v>0</v>
      </c>
      <c r="E232" s="6">
        <v>0</v>
      </c>
      <c r="F232" s="6">
        <v>40</v>
      </c>
      <c r="G232" s="6">
        <v>1.1875</v>
      </c>
      <c r="H232" s="6">
        <v>0.5625</v>
      </c>
      <c r="I232" s="6">
        <v>1.5625</v>
      </c>
      <c r="J232" s="6">
        <v>-1.4375</v>
      </c>
      <c r="K232" s="6">
        <v>14.8125</v>
      </c>
      <c r="L232" s="6">
        <v>21.875</v>
      </c>
      <c r="M232" s="6">
        <v>-0.1875</v>
      </c>
      <c r="N232" s="6">
        <v>-6.25E-2</v>
      </c>
      <c r="O232" s="6">
        <v>1.0625</v>
      </c>
      <c r="P232" s="6">
        <v>-2.1875</v>
      </c>
      <c r="Q232" s="6">
        <v>-48</v>
      </c>
      <c r="R232" s="6">
        <v>1.30094730854034</v>
      </c>
      <c r="S232" s="6">
        <v>-41.130744934082003</v>
      </c>
      <c r="T232" s="6">
        <v>-0.63441240787506104</v>
      </c>
      <c r="U232" s="6">
        <v>0.33949002623558</v>
      </c>
      <c r="V232" s="6">
        <v>-11.906211853027299</v>
      </c>
      <c r="W232" s="6">
        <v>-18.046533584594702</v>
      </c>
    </row>
    <row r="233" spans="1:23" ht="18.95" customHeight="1">
      <c r="A233" s="4">
        <v>229</v>
      </c>
      <c r="B233" s="4">
        <v>4911</v>
      </c>
      <c r="C233" s="4">
        <v>1</v>
      </c>
      <c r="D233" s="6">
        <v>0</v>
      </c>
      <c r="E233" s="6">
        <v>0</v>
      </c>
      <c r="F233" s="6">
        <v>42.5625</v>
      </c>
      <c r="G233" s="6">
        <v>0.875</v>
      </c>
      <c r="H233" s="6">
        <v>0.1875</v>
      </c>
      <c r="I233" s="6">
        <v>1.5625</v>
      </c>
      <c r="J233" s="6">
        <v>-1.4375</v>
      </c>
      <c r="K233" s="6">
        <v>13.5625</v>
      </c>
      <c r="L233" s="6">
        <v>17.4375</v>
      </c>
      <c r="M233" s="6">
        <v>-6.25E-2</v>
      </c>
      <c r="N233" s="6">
        <v>-6.25E-2</v>
      </c>
      <c r="O233" s="6">
        <v>1.0625</v>
      </c>
      <c r="P233" s="6">
        <v>-2.1875</v>
      </c>
      <c r="Q233" s="6">
        <v>-48.5625</v>
      </c>
      <c r="R233" s="6">
        <v>1.48415338993073</v>
      </c>
      <c r="S233" s="6">
        <v>-44.260520935058601</v>
      </c>
      <c r="T233" s="6">
        <v>-0.161129951477051</v>
      </c>
      <c r="U233" s="6">
        <v>0.42496469616889998</v>
      </c>
      <c r="V233" s="6">
        <v>-13.2822360992432</v>
      </c>
      <c r="W233" s="6">
        <v>-18.053159713745099</v>
      </c>
    </row>
    <row r="234" spans="1:23" ht="18.95" customHeight="1">
      <c r="A234" s="4">
        <v>230</v>
      </c>
      <c r="B234" s="4">
        <v>4932</v>
      </c>
      <c r="C234" s="4">
        <v>1</v>
      </c>
      <c r="D234" s="6">
        <v>0</v>
      </c>
      <c r="E234" s="6">
        <v>0</v>
      </c>
      <c r="F234" s="6">
        <v>43.875</v>
      </c>
      <c r="G234" s="6">
        <v>1</v>
      </c>
      <c r="H234" s="6">
        <v>0.5625</v>
      </c>
      <c r="I234" s="6">
        <v>1.5625</v>
      </c>
      <c r="J234" s="6">
        <v>-1.5</v>
      </c>
      <c r="K234" s="6">
        <v>12.75</v>
      </c>
      <c r="L234" s="6">
        <v>15.875</v>
      </c>
      <c r="M234" s="6">
        <v>-0.375</v>
      </c>
      <c r="N234" s="6">
        <v>0</v>
      </c>
      <c r="O234" s="6">
        <v>1.125</v>
      </c>
      <c r="P234" s="6">
        <v>-2.1875</v>
      </c>
      <c r="Q234" s="6">
        <v>-48.9375</v>
      </c>
      <c r="R234" s="6">
        <v>1.86583280563354</v>
      </c>
      <c r="S234" s="6">
        <v>-44.1078491210938</v>
      </c>
      <c r="T234" s="6">
        <v>0.43428993225097701</v>
      </c>
      <c r="U234" s="6">
        <v>0.34684401750564597</v>
      </c>
      <c r="V234" s="6">
        <v>-14.1156568527222</v>
      </c>
      <c r="W234" s="6">
        <v>-18.055749893188501</v>
      </c>
    </row>
    <row r="235" spans="1:23" ht="18.95" customHeight="1">
      <c r="A235" s="4">
        <v>231</v>
      </c>
      <c r="B235" s="4">
        <v>4952</v>
      </c>
      <c r="C235" s="4">
        <v>1</v>
      </c>
      <c r="D235" s="6">
        <v>0</v>
      </c>
      <c r="E235" s="6">
        <v>0</v>
      </c>
      <c r="F235" s="6">
        <v>45.5625</v>
      </c>
      <c r="G235" s="6">
        <v>1.125</v>
      </c>
      <c r="H235" s="6">
        <v>0.1875</v>
      </c>
      <c r="I235" s="6">
        <v>1.5625</v>
      </c>
      <c r="J235" s="6">
        <v>-1.5</v>
      </c>
      <c r="K235" s="6">
        <v>11.875</v>
      </c>
      <c r="L235" s="6">
        <v>12.9375</v>
      </c>
      <c r="M235" s="6">
        <v>-0.1875</v>
      </c>
      <c r="N235" s="6">
        <v>0</v>
      </c>
      <c r="O235" s="6">
        <v>1.125</v>
      </c>
      <c r="P235" s="6">
        <v>-2.1875</v>
      </c>
      <c r="Q235" s="6">
        <v>-49.1875</v>
      </c>
      <c r="R235" s="6">
        <v>1.57575643062592</v>
      </c>
      <c r="S235" s="6">
        <v>-46.291053771972699</v>
      </c>
      <c r="T235" s="6">
        <v>-0.26800018548965499</v>
      </c>
      <c r="U235" s="6">
        <v>0.51241374015808105</v>
      </c>
      <c r="V235" s="6">
        <v>-14.8415012359619</v>
      </c>
      <c r="W235" s="6">
        <v>-18.058139801025401</v>
      </c>
    </row>
    <row r="236" spans="1:23" ht="18.95" customHeight="1">
      <c r="A236" s="4">
        <v>232</v>
      </c>
      <c r="B236" s="4">
        <v>4973</v>
      </c>
      <c r="C236" s="4">
        <v>1</v>
      </c>
      <c r="D236" s="6">
        <v>0</v>
      </c>
      <c r="E236" s="6">
        <v>0</v>
      </c>
      <c r="F236" s="6">
        <v>46.3125</v>
      </c>
      <c r="G236" s="6">
        <v>0.9375</v>
      </c>
      <c r="H236" s="6">
        <v>0.5625</v>
      </c>
      <c r="I236" s="6">
        <v>1.625</v>
      </c>
      <c r="J236" s="6">
        <v>-1.5</v>
      </c>
      <c r="K236" s="6">
        <v>10.9375</v>
      </c>
      <c r="L236" s="6">
        <v>11.25</v>
      </c>
      <c r="M236" s="6">
        <v>-0.1875</v>
      </c>
      <c r="N236" s="6">
        <v>-6.25E-2</v>
      </c>
      <c r="O236" s="6">
        <v>1.125</v>
      </c>
      <c r="P236" s="6">
        <v>-2.1875</v>
      </c>
      <c r="Q236" s="6">
        <v>-49.4375</v>
      </c>
      <c r="R236" s="6">
        <v>2.29331374168396</v>
      </c>
      <c r="S236" s="6">
        <v>-45.115478515625</v>
      </c>
      <c r="T236" s="6">
        <v>0.86177074909210205</v>
      </c>
      <c r="U236" s="6">
        <v>0.41239708662033098</v>
      </c>
      <c r="V236" s="6">
        <v>-15.7075490951538</v>
      </c>
      <c r="W236" s="6">
        <v>-18.059928894043001</v>
      </c>
    </row>
    <row r="237" spans="1:23" ht="18.95" customHeight="1">
      <c r="A237" s="4">
        <v>233</v>
      </c>
      <c r="B237" s="4">
        <v>4994</v>
      </c>
      <c r="C237" s="4">
        <v>1</v>
      </c>
      <c r="D237" s="6">
        <v>0</v>
      </c>
      <c r="E237" s="6">
        <v>0</v>
      </c>
      <c r="F237" s="6">
        <v>47</v>
      </c>
      <c r="G237" s="6">
        <v>0.875</v>
      </c>
      <c r="H237" s="6">
        <v>0.125</v>
      </c>
      <c r="I237" s="6">
        <v>1.625</v>
      </c>
      <c r="J237" s="6">
        <v>-1.5</v>
      </c>
      <c r="K237" s="6">
        <v>10.0625</v>
      </c>
      <c r="L237" s="6">
        <v>8.1875</v>
      </c>
      <c r="M237" s="6">
        <v>0</v>
      </c>
      <c r="N237" s="6">
        <v>0.125</v>
      </c>
      <c r="O237" s="6">
        <v>1.125</v>
      </c>
      <c r="P237" s="6">
        <v>-2.1875</v>
      </c>
      <c r="Q237" s="6">
        <v>-49.625</v>
      </c>
      <c r="R237" s="6">
        <v>1.1940771341323899</v>
      </c>
      <c r="S237" s="6">
        <v>-47.130744934082003</v>
      </c>
      <c r="T237" s="6">
        <v>-0.42067193984985402</v>
      </c>
      <c r="U237" s="6">
        <v>0.48792138695716902</v>
      </c>
      <c r="V237" s="6">
        <v>-16.562625885009801</v>
      </c>
      <c r="W237" s="6">
        <v>-18.0716953277588</v>
      </c>
    </row>
    <row r="238" spans="1:23" ht="18.95" customHeight="1">
      <c r="A238" s="4">
        <v>234</v>
      </c>
      <c r="B238" s="4">
        <v>5016</v>
      </c>
      <c r="C238" s="4">
        <v>1</v>
      </c>
      <c r="D238" s="6">
        <v>0</v>
      </c>
      <c r="E238" s="6">
        <v>0</v>
      </c>
      <c r="F238" s="6">
        <v>47</v>
      </c>
      <c r="G238" s="6">
        <v>1</v>
      </c>
      <c r="H238" s="6">
        <v>0.4375</v>
      </c>
      <c r="I238" s="6">
        <v>1.625</v>
      </c>
      <c r="J238" s="6">
        <v>-1.5625</v>
      </c>
      <c r="K238" s="6">
        <v>8.6875</v>
      </c>
      <c r="L238" s="6">
        <v>6.6875</v>
      </c>
      <c r="M238" s="6">
        <v>-6.25E-2</v>
      </c>
      <c r="N238" s="6">
        <v>6.25E-2</v>
      </c>
      <c r="O238" s="6">
        <v>1.125</v>
      </c>
      <c r="P238" s="6">
        <v>-2.125</v>
      </c>
      <c r="Q238" s="6">
        <v>-49.875</v>
      </c>
      <c r="R238" s="6">
        <v>2.2780466079711901</v>
      </c>
      <c r="S238" s="6">
        <v>-46.794868469238303</v>
      </c>
      <c r="T238" s="6">
        <v>0.57169449329376198</v>
      </c>
      <c r="U238" s="6">
        <v>0.42374593019485501</v>
      </c>
      <c r="V238" s="6">
        <v>-17.388130187988299</v>
      </c>
      <c r="W238" s="6">
        <v>-18.0734767913818</v>
      </c>
    </row>
    <row r="239" spans="1:23" ht="18.95" customHeight="1">
      <c r="A239" s="4">
        <v>235</v>
      </c>
      <c r="B239" s="4">
        <v>5038</v>
      </c>
      <c r="C239" s="4">
        <v>1</v>
      </c>
      <c r="D239" s="6">
        <v>0</v>
      </c>
      <c r="E239" s="6">
        <v>0</v>
      </c>
      <c r="F239" s="6">
        <v>48.4375</v>
      </c>
      <c r="G239" s="6">
        <v>1.125</v>
      </c>
      <c r="H239" s="6">
        <v>0.375</v>
      </c>
      <c r="I239" s="6">
        <v>1.625</v>
      </c>
      <c r="J239" s="6">
        <v>-1.5625</v>
      </c>
      <c r="K239" s="6">
        <v>7.75</v>
      </c>
      <c r="L239" s="6">
        <v>4.125</v>
      </c>
      <c r="M239" s="6">
        <v>0</v>
      </c>
      <c r="N239" s="6">
        <v>-6.25E-2</v>
      </c>
      <c r="O239" s="6">
        <v>1.125</v>
      </c>
      <c r="P239" s="6">
        <v>-2.125</v>
      </c>
      <c r="Q239" s="6">
        <v>-49.875</v>
      </c>
      <c r="R239" s="6">
        <v>1.0261381864547701</v>
      </c>
      <c r="S239" s="6">
        <v>-48.199447631835902</v>
      </c>
      <c r="T239" s="6">
        <v>-0.42067193984985402</v>
      </c>
      <c r="U239" s="6">
        <v>0.53924518823623702</v>
      </c>
      <c r="V239" s="6">
        <v>-18.263740539550799</v>
      </c>
      <c r="W239" s="6">
        <v>-18.0794353485107</v>
      </c>
    </row>
    <row r="240" spans="1:23" ht="18.95" customHeight="1">
      <c r="A240" s="4">
        <v>236</v>
      </c>
      <c r="B240" s="4">
        <v>5059</v>
      </c>
      <c r="C240" s="4">
        <v>1</v>
      </c>
      <c r="D240" s="6">
        <v>0</v>
      </c>
      <c r="E240" s="6">
        <v>0</v>
      </c>
      <c r="F240" s="6">
        <v>49.25</v>
      </c>
      <c r="G240" s="6">
        <v>1.0625</v>
      </c>
      <c r="H240" s="6">
        <v>0.4375</v>
      </c>
      <c r="I240" s="6">
        <v>1.625</v>
      </c>
      <c r="J240" s="6">
        <v>-1.625</v>
      </c>
      <c r="K240" s="6">
        <v>6.8125</v>
      </c>
      <c r="L240" s="6">
        <v>1.3125</v>
      </c>
      <c r="M240" s="6">
        <v>-6.25E-2</v>
      </c>
      <c r="N240" s="6">
        <v>-6.25E-2</v>
      </c>
      <c r="O240" s="6">
        <v>1.125</v>
      </c>
      <c r="P240" s="6">
        <v>-2.125</v>
      </c>
      <c r="Q240" s="6">
        <v>-50</v>
      </c>
      <c r="R240" s="6">
        <v>2.4459855556488002</v>
      </c>
      <c r="S240" s="6">
        <v>-47.176551818847699</v>
      </c>
      <c r="T240" s="6">
        <v>0.70909905433654796</v>
      </c>
      <c r="U240" s="6">
        <v>0.50624597072601296</v>
      </c>
      <c r="V240" s="6">
        <v>-19.1511325836182</v>
      </c>
      <c r="W240" s="6">
        <v>-18.078140258789102</v>
      </c>
    </row>
    <row r="241" spans="1:23" ht="18.95" customHeight="1">
      <c r="A241" s="4">
        <v>237</v>
      </c>
      <c r="B241" s="4">
        <v>5079</v>
      </c>
      <c r="C241" s="4">
        <v>1</v>
      </c>
      <c r="D241" s="6">
        <v>0</v>
      </c>
      <c r="E241" s="6">
        <v>0</v>
      </c>
      <c r="F241" s="6">
        <v>49</v>
      </c>
      <c r="G241" s="6">
        <v>1.1875</v>
      </c>
      <c r="H241" s="6">
        <v>0.5625</v>
      </c>
      <c r="I241" s="6">
        <v>1.6875</v>
      </c>
      <c r="J241" s="6">
        <v>-1.625</v>
      </c>
      <c r="K241" s="6">
        <v>5.8125</v>
      </c>
      <c r="L241" s="6">
        <v>0.375</v>
      </c>
      <c r="M241" s="6">
        <v>6.25E-2</v>
      </c>
      <c r="N241" s="6">
        <v>0</v>
      </c>
      <c r="O241" s="6">
        <v>1.125</v>
      </c>
      <c r="P241" s="6">
        <v>-2.125</v>
      </c>
      <c r="Q241" s="6">
        <v>-50</v>
      </c>
      <c r="R241" s="6">
        <v>1.39255034923553</v>
      </c>
      <c r="S241" s="6">
        <v>-49.008613586425803</v>
      </c>
      <c r="T241" s="6">
        <v>-0.37487041950225802</v>
      </c>
      <c r="U241" s="6">
        <v>0.53101062774658203</v>
      </c>
      <c r="V241" s="6">
        <v>-19.90749168396</v>
      </c>
      <c r="W241" s="6">
        <v>-18.077323913574201</v>
      </c>
    </row>
    <row r="242" spans="1:23" ht="18.95" customHeight="1">
      <c r="A242" s="4">
        <v>238</v>
      </c>
      <c r="B242" s="4">
        <v>5101</v>
      </c>
      <c r="C242" s="4">
        <v>1</v>
      </c>
      <c r="D242" s="6">
        <v>0</v>
      </c>
      <c r="E242" s="6">
        <v>0</v>
      </c>
      <c r="F242" s="6">
        <v>50.1875</v>
      </c>
      <c r="G242" s="6">
        <v>1.5625</v>
      </c>
      <c r="H242" s="6">
        <v>0.8125</v>
      </c>
      <c r="I242" s="6">
        <v>1.6875</v>
      </c>
      <c r="J242" s="6">
        <v>-1.6875</v>
      </c>
      <c r="K242" s="6">
        <v>4.875</v>
      </c>
      <c r="L242" s="6">
        <v>-1.625</v>
      </c>
      <c r="M242" s="6">
        <v>0.25</v>
      </c>
      <c r="N242" s="6">
        <v>6.25E-2</v>
      </c>
      <c r="O242" s="6">
        <v>1.125</v>
      </c>
      <c r="P242" s="6">
        <v>-2.125</v>
      </c>
      <c r="Q242" s="6">
        <v>-50</v>
      </c>
      <c r="R242" s="6">
        <v>3.3162145614624001</v>
      </c>
      <c r="S242" s="6">
        <v>-48.596397399902301</v>
      </c>
      <c r="T242" s="6">
        <v>1.380854845047</v>
      </c>
      <c r="U242" s="6">
        <v>0.47324341535568198</v>
      </c>
      <c r="V242" s="6">
        <v>-20.7886962890625</v>
      </c>
      <c r="W242" s="6">
        <v>-18.060197830200199</v>
      </c>
    </row>
    <row r="243" spans="1:23" ht="18.95" customHeight="1">
      <c r="A243" s="4">
        <v>239</v>
      </c>
      <c r="B243" s="4">
        <v>5121</v>
      </c>
      <c r="C243" s="4">
        <v>1</v>
      </c>
      <c r="D243" s="6">
        <v>0</v>
      </c>
      <c r="E243" s="6">
        <v>0</v>
      </c>
      <c r="F243" s="6">
        <v>49.9375</v>
      </c>
      <c r="G243" s="6">
        <v>2.0625</v>
      </c>
      <c r="H243" s="6">
        <v>1.3125</v>
      </c>
      <c r="I243" s="6">
        <v>1.625</v>
      </c>
      <c r="J243" s="6">
        <v>-1.6875</v>
      </c>
      <c r="K243" s="6">
        <v>3.875</v>
      </c>
      <c r="L243" s="6">
        <v>-4.125</v>
      </c>
      <c r="M243" s="6">
        <v>0.375</v>
      </c>
      <c r="N243" s="6">
        <v>-0.125</v>
      </c>
      <c r="O243" s="6">
        <v>1.125</v>
      </c>
      <c r="P243" s="6">
        <v>-2.125</v>
      </c>
      <c r="Q243" s="6">
        <v>-49.9375</v>
      </c>
      <c r="R243" s="6">
        <v>1.8505656719207799</v>
      </c>
      <c r="S243" s="6">
        <v>-49.726165771484403</v>
      </c>
      <c r="T243" s="6">
        <v>-0.48174065351486201</v>
      </c>
      <c r="U243" s="6">
        <v>0.68319749832153298</v>
      </c>
      <c r="V243" s="6">
        <v>-21.620307922363299</v>
      </c>
      <c r="W243" s="6">
        <v>-18.057172775268601</v>
      </c>
    </row>
    <row r="244" spans="1:23" ht="18.95" customHeight="1">
      <c r="A244" s="4">
        <v>240</v>
      </c>
      <c r="B244" s="4">
        <v>5142</v>
      </c>
      <c r="C244" s="4">
        <v>1</v>
      </c>
      <c r="D244" s="6">
        <v>0</v>
      </c>
      <c r="E244" s="6">
        <v>0</v>
      </c>
      <c r="F244" s="6">
        <v>50.5</v>
      </c>
      <c r="G244" s="6">
        <v>1.25</v>
      </c>
      <c r="H244" s="6">
        <v>0.5</v>
      </c>
      <c r="I244" s="6">
        <v>1.6875</v>
      </c>
      <c r="J244" s="6">
        <v>-1.75</v>
      </c>
      <c r="K244" s="6">
        <v>2.9375</v>
      </c>
      <c r="L244" s="6">
        <v>-5.9375</v>
      </c>
      <c r="M244" s="6">
        <v>0.1875</v>
      </c>
      <c r="N244" s="6">
        <v>0.1875</v>
      </c>
      <c r="O244" s="6">
        <v>1.0625</v>
      </c>
      <c r="P244" s="6">
        <v>-2.125</v>
      </c>
      <c r="Q244" s="6">
        <v>-49.875</v>
      </c>
      <c r="R244" s="6">
        <v>2.1559090614318799</v>
      </c>
      <c r="S244" s="6">
        <v>-47.6651000976562</v>
      </c>
      <c r="T244" s="6">
        <v>0.81596922874450695</v>
      </c>
      <c r="U244" s="6">
        <v>0.62512570619583097</v>
      </c>
      <c r="V244" s="6">
        <v>-22.444993972778299</v>
      </c>
      <c r="W244" s="6">
        <v>-18.0556545257568</v>
      </c>
    </row>
    <row r="245" spans="1:23" ht="18.95" customHeight="1">
      <c r="A245" s="4">
        <v>241</v>
      </c>
      <c r="B245" s="4">
        <v>5162</v>
      </c>
      <c r="C245" s="4">
        <v>1</v>
      </c>
      <c r="D245" s="6">
        <v>0</v>
      </c>
      <c r="E245" s="6">
        <v>0</v>
      </c>
      <c r="F245" s="6">
        <v>49.5625</v>
      </c>
      <c r="G245" s="6">
        <v>1.1875</v>
      </c>
      <c r="H245" s="6">
        <v>0.75</v>
      </c>
      <c r="I245" s="6">
        <v>1.6875</v>
      </c>
      <c r="J245" s="6">
        <v>-1.75</v>
      </c>
      <c r="K245" s="6">
        <v>1.9375</v>
      </c>
      <c r="L245" s="6">
        <v>-7.75</v>
      </c>
      <c r="M245" s="6">
        <v>0.1875</v>
      </c>
      <c r="N245" s="6">
        <v>0</v>
      </c>
      <c r="O245" s="6">
        <v>1.0625</v>
      </c>
      <c r="P245" s="6">
        <v>-2.125</v>
      </c>
      <c r="Q245" s="6">
        <v>-49.75</v>
      </c>
      <c r="R245" s="6">
        <v>2.5681228637695299</v>
      </c>
      <c r="S245" s="6">
        <v>-48.504791259765597</v>
      </c>
      <c r="T245" s="6">
        <v>0.40375554561615001</v>
      </c>
      <c r="U245" s="6">
        <v>0.67081958055496205</v>
      </c>
      <c r="V245" s="6">
        <v>-23.197353363037099</v>
      </c>
      <c r="W245" s="6">
        <v>-18.050868988037099</v>
      </c>
    </row>
    <row r="246" spans="1:23" ht="18.95" customHeight="1">
      <c r="A246" s="4">
        <v>242</v>
      </c>
      <c r="B246" s="4">
        <v>5184</v>
      </c>
      <c r="C246" s="4">
        <v>1</v>
      </c>
      <c r="D246" s="6">
        <v>0</v>
      </c>
      <c r="E246" s="6">
        <v>0</v>
      </c>
      <c r="F246" s="6">
        <v>50</v>
      </c>
      <c r="G246" s="6">
        <v>1.5625</v>
      </c>
      <c r="H246" s="6">
        <v>1</v>
      </c>
      <c r="I246" s="6">
        <v>1.6875</v>
      </c>
      <c r="J246" s="6">
        <v>-1.8125</v>
      </c>
      <c r="K246" s="6">
        <v>1</v>
      </c>
      <c r="L246" s="6">
        <v>-9.5625</v>
      </c>
      <c r="M246" s="6">
        <v>0.3125</v>
      </c>
      <c r="N246" s="6">
        <v>6.25E-2</v>
      </c>
      <c r="O246" s="6">
        <v>1.0625</v>
      </c>
      <c r="P246" s="6">
        <v>-2.125</v>
      </c>
      <c r="Q246" s="6">
        <v>-49.5625</v>
      </c>
      <c r="R246" s="6">
        <v>2.1711764335632302</v>
      </c>
      <c r="S246" s="6">
        <v>-48.565864562988303</v>
      </c>
      <c r="T246" s="6">
        <v>0.32741963863372803</v>
      </c>
      <c r="U246" s="6">
        <v>0.77848249673843395</v>
      </c>
      <c r="V246" s="6">
        <v>-24.044841766357401</v>
      </c>
      <c r="W246" s="6">
        <v>-18.044355392456101</v>
      </c>
    </row>
    <row r="247" spans="1:23" ht="18.95" customHeight="1">
      <c r="A247" s="4">
        <v>243</v>
      </c>
      <c r="B247" s="4">
        <v>5206</v>
      </c>
      <c r="C247" s="4">
        <v>1</v>
      </c>
      <c r="D247" s="6">
        <v>0</v>
      </c>
      <c r="E247" s="6">
        <v>0</v>
      </c>
      <c r="F247" s="6">
        <v>50.1875</v>
      </c>
      <c r="G247" s="6">
        <v>1.25</v>
      </c>
      <c r="H247" s="6">
        <v>0.75</v>
      </c>
      <c r="I247" s="6">
        <v>1.6875</v>
      </c>
      <c r="J247" s="6">
        <v>-1.8125</v>
      </c>
      <c r="K247" s="6">
        <v>6.25E-2</v>
      </c>
      <c r="L247" s="6">
        <v>-11.3125</v>
      </c>
      <c r="M247" s="6">
        <v>6.25E-2</v>
      </c>
      <c r="N247" s="6">
        <v>6.25E-2</v>
      </c>
      <c r="O247" s="6">
        <v>1.0625</v>
      </c>
      <c r="P247" s="6">
        <v>-2.125</v>
      </c>
      <c r="Q247" s="6">
        <v>-49.25</v>
      </c>
      <c r="R247" s="6">
        <v>1.54522216320038</v>
      </c>
      <c r="S247" s="6">
        <v>-48.6727294921875</v>
      </c>
      <c r="T247" s="6">
        <v>-0.100061237812042</v>
      </c>
      <c r="U247" s="6">
        <v>0.83821284770965598</v>
      </c>
      <c r="V247" s="6">
        <v>-24.899534225463899</v>
      </c>
      <c r="W247" s="6">
        <v>-18.043045043945298</v>
      </c>
    </row>
    <row r="248" spans="1:23" ht="18.95" customHeight="1">
      <c r="A248" s="4">
        <v>244</v>
      </c>
      <c r="B248" s="4">
        <v>5228</v>
      </c>
      <c r="C248" s="4">
        <v>1</v>
      </c>
      <c r="D248" s="6">
        <v>0</v>
      </c>
      <c r="E248" s="6">
        <v>0</v>
      </c>
      <c r="F248" s="6">
        <v>50.0625</v>
      </c>
      <c r="G248" s="6">
        <v>1.125</v>
      </c>
      <c r="H248" s="6">
        <v>0.75</v>
      </c>
      <c r="I248" s="6">
        <v>1.6875</v>
      </c>
      <c r="J248" s="6">
        <v>-1.875</v>
      </c>
      <c r="K248" s="6">
        <v>-1.375</v>
      </c>
      <c r="L248" s="6">
        <v>-13.125</v>
      </c>
      <c r="M248" s="6">
        <v>0.375</v>
      </c>
      <c r="N248" s="6">
        <v>0</v>
      </c>
      <c r="O248" s="6">
        <v>1.0625</v>
      </c>
      <c r="P248" s="6">
        <v>-2.125</v>
      </c>
      <c r="Q248" s="6">
        <v>-49</v>
      </c>
      <c r="R248" s="6">
        <v>2.1406419277191202</v>
      </c>
      <c r="S248" s="6">
        <v>-47.939910888671903</v>
      </c>
      <c r="T248" s="6">
        <v>0.55642724037170399</v>
      </c>
      <c r="U248" s="6">
        <v>0.81254184246063199</v>
      </c>
      <c r="V248" s="6">
        <v>-25.7854518890381</v>
      </c>
      <c r="W248" s="6">
        <v>-18.033262252807599</v>
      </c>
    </row>
    <row r="249" spans="1:23" ht="18.95" customHeight="1">
      <c r="A249" s="4">
        <v>245</v>
      </c>
      <c r="B249" s="4">
        <v>5249</v>
      </c>
      <c r="C249" s="4">
        <v>1</v>
      </c>
      <c r="D249" s="6">
        <v>0</v>
      </c>
      <c r="E249" s="6">
        <v>0</v>
      </c>
      <c r="F249" s="6">
        <v>49.75</v>
      </c>
      <c r="G249" s="6">
        <v>1.0625</v>
      </c>
      <c r="H249" s="6">
        <v>0.8125</v>
      </c>
      <c r="I249" s="6">
        <v>1.6875</v>
      </c>
      <c r="J249" s="6">
        <v>-1.875</v>
      </c>
      <c r="K249" s="6">
        <v>-2.3125</v>
      </c>
      <c r="L249" s="6">
        <v>-15</v>
      </c>
      <c r="M249" s="6">
        <v>0.25</v>
      </c>
      <c r="N249" s="6">
        <v>6.25E-2</v>
      </c>
      <c r="O249" s="6">
        <v>1.0625</v>
      </c>
      <c r="P249" s="6">
        <v>-2.125</v>
      </c>
      <c r="Q249" s="6">
        <v>-48.75</v>
      </c>
      <c r="R249" s="6">
        <v>1.6520923376083401</v>
      </c>
      <c r="S249" s="6">
        <v>-48.504791259765597</v>
      </c>
      <c r="T249" s="6">
        <v>-0.100061237812042</v>
      </c>
      <c r="U249" s="6">
        <v>0.90876948833465598</v>
      </c>
      <c r="V249" s="6">
        <v>-26.607053756713899</v>
      </c>
      <c r="W249" s="6">
        <v>-18.027288436889599</v>
      </c>
    </row>
    <row r="250" spans="1:23" ht="18.95" customHeight="1">
      <c r="A250" s="4">
        <v>246</v>
      </c>
      <c r="B250" s="4">
        <v>5271</v>
      </c>
      <c r="C250" s="4">
        <v>1</v>
      </c>
      <c r="D250" s="6">
        <v>0</v>
      </c>
      <c r="E250" s="6">
        <v>0</v>
      </c>
      <c r="F250" s="6">
        <v>49.875</v>
      </c>
      <c r="G250" s="6">
        <v>1.3125</v>
      </c>
      <c r="H250" s="6">
        <v>0.875</v>
      </c>
      <c r="I250" s="6">
        <v>1.6875</v>
      </c>
      <c r="J250" s="6">
        <v>-1.875</v>
      </c>
      <c r="K250" s="6">
        <v>-3.3125</v>
      </c>
      <c r="L250" s="6">
        <v>-17.5</v>
      </c>
      <c r="M250" s="6">
        <v>0.125</v>
      </c>
      <c r="N250" s="6">
        <v>0.125</v>
      </c>
      <c r="O250" s="6">
        <v>1.0625</v>
      </c>
      <c r="P250" s="6">
        <v>-2.125</v>
      </c>
      <c r="Q250" s="6">
        <v>-48.4375</v>
      </c>
      <c r="R250" s="6">
        <v>2.3238480091095002</v>
      </c>
      <c r="S250" s="6">
        <v>-47.298683166503899</v>
      </c>
      <c r="T250" s="6">
        <v>0.54116010665893599</v>
      </c>
      <c r="U250" s="6">
        <v>0.85661083459854104</v>
      </c>
      <c r="V250" s="6">
        <v>-27.475358963012699</v>
      </c>
      <c r="W250" s="6">
        <v>-18.026964187622099</v>
      </c>
    </row>
    <row r="251" spans="1:23" ht="18.95" customHeight="1">
      <c r="A251" s="4">
        <v>247</v>
      </c>
      <c r="B251" s="4">
        <v>5291</v>
      </c>
      <c r="C251" s="4">
        <v>1</v>
      </c>
      <c r="D251" s="6">
        <v>0</v>
      </c>
      <c r="E251" s="6">
        <v>0</v>
      </c>
      <c r="F251" s="6">
        <v>48.5</v>
      </c>
      <c r="G251" s="6">
        <v>1.4375</v>
      </c>
      <c r="H251" s="6">
        <v>1</v>
      </c>
      <c r="I251" s="6">
        <v>1.6875</v>
      </c>
      <c r="J251" s="6">
        <v>-1.9375</v>
      </c>
      <c r="K251" s="6">
        <v>-4.25</v>
      </c>
      <c r="L251" s="6">
        <v>-18.9375</v>
      </c>
      <c r="M251" s="6">
        <v>6.25E-2</v>
      </c>
      <c r="N251" s="6">
        <v>6.25E-2</v>
      </c>
      <c r="O251" s="6">
        <v>1.0625</v>
      </c>
      <c r="P251" s="6">
        <v>-2.125</v>
      </c>
      <c r="Q251" s="6">
        <v>-48.0625</v>
      </c>
      <c r="R251" s="6">
        <v>1.8505656719207799</v>
      </c>
      <c r="S251" s="6">
        <v>-47.2223510742188</v>
      </c>
      <c r="T251" s="6">
        <v>0.510625720024109</v>
      </c>
      <c r="U251" s="6">
        <v>0.91896253824233998</v>
      </c>
      <c r="V251" s="6">
        <v>-28.168750762939499</v>
      </c>
      <c r="W251" s="6">
        <v>-18.020683288574201</v>
      </c>
    </row>
    <row r="252" spans="1:23" ht="18.95" customHeight="1">
      <c r="A252" s="4">
        <v>248</v>
      </c>
      <c r="B252" s="4">
        <v>5317</v>
      </c>
      <c r="C252" s="4">
        <v>1</v>
      </c>
      <c r="D252" s="6">
        <v>0</v>
      </c>
      <c r="E252" s="6">
        <v>0</v>
      </c>
      <c r="F252" s="6">
        <v>48.375</v>
      </c>
      <c r="G252" s="6">
        <v>1.3125</v>
      </c>
      <c r="H252" s="6">
        <v>1.0625</v>
      </c>
      <c r="I252" s="6">
        <v>1.6875</v>
      </c>
      <c r="J252" s="6">
        <v>-1.9375</v>
      </c>
      <c r="K252" s="6">
        <v>-5.1875</v>
      </c>
      <c r="L252" s="6">
        <v>-20.875</v>
      </c>
      <c r="M252" s="6">
        <v>0.4375</v>
      </c>
      <c r="N252" s="6">
        <v>0</v>
      </c>
      <c r="O252" s="6">
        <v>1</v>
      </c>
      <c r="P252" s="6">
        <v>-2.125</v>
      </c>
      <c r="Q252" s="6">
        <v>-47.5</v>
      </c>
      <c r="R252" s="6">
        <v>2.3849167823791499</v>
      </c>
      <c r="S252" s="6">
        <v>-44.825401306152301</v>
      </c>
      <c r="T252" s="6">
        <v>0.84650361537933305</v>
      </c>
      <c r="U252" s="6">
        <v>1.0103542804718</v>
      </c>
      <c r="V252" s="6">
        <v>-29.269046783447301</v>
      </c>
      <c r="W252" s="6">
        <v>-17.998674392700199</v>
      </c>
    </row>
    <row r="253" spans="1:23" ht="18.95" customHeight="1">
      <c r="A253" s="4">
        <v>249</v>
      </c>
      <c r="B253" s="4">
        <v>5339</v>
      </c>
      <c r="C253" s="4">
        <v>1</v>
      </c>
      <c r="D253" s="6">
        <v>0</v>
      </c>
      <c r="E253" s="6">
        <v>0</v>
      </c>
      <c r="F253" s="6">
        <v>46.3125</v>
      </c>
      <c r="G253" s="6">
        <v>1.6875</v>
      </c>
      <c r="H253" s="6">
        <v>1.25</v>
      </c>
      <c r="I253" s="6">
        <v>1.625</v>
      </c>
      <c r="J253" s="6">
        <v>-2</v>
      </c>
      <c r="K253" s="6">
        <v>-6.0625</v>
      </c>
      <c r="L253" s="6">
        <v>-21.875</v>
      </c>
      <c r="M253" s="6">
        <v>0.375</v>
      </c>
      <c r="N253" s="6">
        <v>6.25E-2</v>
      </c>
      <c r="O253" s="6">
        <v>1</v>
      </c>
      <c r="P253" s="6">
        <v>-2.125</v>
      </c>
      <c r="Q253" s="6">
        <v>-47.25</v>
      </c>
      <c r="R253" s="6">
        <v>1.3467488288879399</v>
      </c>
      <c r="S253" s="6">
        <v>-44.245254516601598</v>
      </c>
      <c r="T253" s="6">
        <v>0.20528227090835599</v>
      </c>
      <c r="U253" s="6">
        <v>1.0981653928756701</v>
      </c>
      <c r="V253" s="6">
        <v>-30.042034149169901</v>
      </c>
      <c r="W253" s="6">
        <v>-17.9929809570312</v>
      </c>
    </row>
    <row r="254" spans="1:23" ht="18.95" customHeight="1">
      <c r="A254" s="4">
        <v>250</v>
      </c>
      <c r="B254" s="4">
        <v>5360</v>
      </c>
      <c r="C254" s="4">
        <v>1</v>
      </c>
      <c r="D254" s="6">
        <v>0</v>
      </c>
      <c r="E254" s="6">
        <v>0</v>
      </c>
      <c r="F254" s="6">
        <v>45.125</v>
      </c>
      <c r="G254" s="6">
        <v>0.6875</v>
      </c>
      <c r="H254" s="6">
        <v>0.625</v>
      </c>
      <c r="I254" s="6">
        <v>1.625</v>
      </c>
      <c r="J254" s="6">
        <v>-2</v>
      </c>
      <c r="K254" s="6">
        <v>-7.4375</v>
      </c>
      <c r="L254" s="6">
        <v>-24.4375</v>
      </c>
      <c r="M254" s="6">
        <v>0.3125</v>
      </c>
      <c r="N254" s="6">
        <v>-6.25E-2</v>
      </c>
      <c r="O254" s="6">
        <v>1</v>
      </c>
      <c r="P254" s="6">
        <v>-2.125</v>
      </c>
      <c r="Q254" s="6">
        <v>-46.625</v>
      </c>
      <c r="R254" s="6">
        <v>2.4765198230743399</v>
      </c>
      <c r="S254" s="6">
        <v>-41.405555725097699</v>
      </c>
      <c r="T254" s="6">
        <v>1.0602440834045399</v>
      </c>
      <c r="U254" s="6">
        <v>0.98075693845748901</v>
      </c>
      <c r="V254" s="6">
        <v>-30.6994323730469</v>
      </c>
      <c r="W254" s="6">
        <v>-17.985486984252901</v>
      </c>
    </row>
    <row r="255" spans="1:23" ht="18.95" customHeight="1">
      <c r="A255" s="4">
        <v>251</v>
      </c>
      <c r="B255" s="4">
        <v>5380</v>
      </c>
      <c r="C255" s="4">
        <v>1</v>
      </c>
      <c r="D255" s="6">
        <v>0</v>
      </c>
      <c r="E255" s="6">
        <v>0</v>
      </c>
      <c r="F255" s="6">
        <v>43.75</v>
      </c>
      <c r="G255" s="6">
        <v>1.1875</v>
      </c>
      <c r="H255" s="6">
        <v>0.875</v>
      </c>
      <c r="I255" s="6">
        <v>1.625</v>
      </c>
      <c r="J255" s="6">
        <v>-2</v>
      </c>
      <c r="K255" s="6">
        <v>-8.25</v>
      </c>
      <c r="L255" s="6">
        <v>-25.0625</v>
      </c>
      <c r="M255" s="6">
        <v>0.4375</v>
      </c>
      <c r="N255" s="6">
        <v>0.125</v>
      </c>
      <c r="O255" s="6">
        <v>1</v>
      </c>
      <c r="P255" s="6">
        <v>-2.125</v>
      </c>
      <c r="Q255" s="6">
        <v>-46.125</v>
      </c>
      <c r="R255" s="6">
        <v>1.3467488288879399</v>
      </c>
      <c r="S255" s="6">
        <v>-41.695632934570298</v>
      </c>
      <c r="T255" s="6">
        <v>0.15948075056076</v>
      </c>
      <c r="U255" s="6">
        <v>1.10398232936859</v>
      </c>
      <c r="V255" s="6">
        <v>-31.297803878784201</v>
      </c>
      <c r="W255" s="6">
        <v>-17.9823188781738</v>
      </c>
    </row>
    <row r="256" spans="1:23" ht="18.95" customHeight="1">
      <c r="A256" s="4">
        <v>252</v>
      </c>
      <c r="B256" s="4">
        <v>5402</v>
      </c>
      <c r="C256" s="4">
        <v>1</v>
      </c>
      <c r="D256" s="6">
        <v>0</v>
      </c>
      <c r="E256" s="6">
        <v>0</v>
      </c>
      <c r="F256" s="6">
        <v>42.75</v>
      </c>
      <c r="G256" s="6">
        <v>0.5625</v>
      </c>
      <c r="H256" s="6">
        <v>0.5</v>
      </c>
      <c r="I256" s="6">
        <v>1.625</v>
      </c>
      <c r="J256" s="6">
        <v>-2.0625</v>
      </c>
      <c r="K256" s="6">
        <v>-9.0625</v>
      </c>
      <c r="L256" s="6">
        <v>-27.25</v>
      </c>
      <c r="M256" s="6">
        <v>0.375</v>
      </c>
      <c r="N256" s="6">
        <v>-0.125</v>
      </c>
      <c r="O256" s="6">
        <v>1</v>
      </c>
      <c r="P256" s="6">
        <v>-2.0625</v>
      </c>
      <c r="Q256" s="6">
        <v>-45.625</v>
      </c>
      <c r="R256" s="6">
        <v>2.4917869567871098</v>
      </c>
      <c r="S256" s="6">
        <v>-39.588760375976598</v>
      </c>
      <c r="T256" s="6">
        <v>0.80070209503173795</v>
      </c>
      <c r="U256" s="6">
        <v>1.01046586036682</v>
      </c>
      <c r="V256" s="6">
        <v>-31.9356575012207</v>
      </c>
      <c r="W256" s="6">
        <v>-17.973085403442401</v>
      </c>
    </row>
    <row r="257" spans="1:23" ht="18.95" customHeight="1">
      <c r="A257" s="4">
        <v>253</v>
      </c>
      <c r="B257" s="4">
        <v>5424</v>
      </c>
      <c r="C257" s="4">
        <v>1</v>
      </c>
      <c r="D257" s="6">
        <v>0</v>
      </c>
      <c r="E257" s="6">
        <v>0</v>
      </c>
      <c r="F257" s="6">
        <v>40.6875</v>
      </c>
      <c r="G257" s="6">
        <v>1.625</v>
      </c>
      <c r="H257" s="6">
        <v>1.125</v>
      </c>
      <c r="I257" s="6">
        <v>1.625</v>
      </c>
      <c r="J257" s="6">
        <v>-2.0625</v>
      </c>
      <c r="K257" s="6">
        <v>-9.875</v>
      </c>
      <c r="L257" s="6">
        <v>-28.25</v>
      </c>
      <c r="M257" s="6">
        <v>0.1875</v>
      </c>
      <c r="N257" s="6">
        <v>0.1875</v>
      </c>
      <c r="O257" s="6">
        <v>0.9375</v>
      </c>
      <c r="P257" s="6">
        <v>-2.0625</v>
      </c>
      <c r="Q257" s="6">
        <v>-45.125</v>
      </c>
      <c r="R257" s="6">
        <v>1.6673595905303999</v>
      </c>
      <c r="S257" s="6">
        <v>-39.649833679199197</v>
      </c>
      <c r="T257" s="6">
        <v>0.54116010665893599</v>
      </c>
      <c r="U257" s="6">
        <v>1.08906757831573</v>
      </c>
      <c r="V257" s="6">
        <v>-32.649700164794901</v>
      </c>
      <c r="W257" s="6">
        <v>-17.9627780914307</v>
      </c>
    </row>
    <row r="258" spans="1:23" ht="18.95" customHeight="1">
      <c r="A258" s="4">
        <v>254</v>
      </c>
      <c r="B258" s="4">
        <v>5446</v>
      </c>
      <c r="C258" s="4">
        <v>1</v>
      </c>
      <c r="D258" s="6">
        <v>0</v>
      </c>
      <c r="E258" s="6">
        <v>0</v>
      </c>
      <c r="F258" s="6">
        <v>40.6875</v>
      </c>
      <c r="G258" s="6">
        <v>1.3125</v>
      </c>
      <c r="H258" s="6">
        <v>1.0625</v>
      </c>
      <c r="I258" s="6">
        <v>1.625</v>
      </c>
      <c r="J258" s="6">
        <v>-2.0625</v>
      </c>
      <c r="K258" s="6">
        <v>-10.6875</v>
      </c>
      <c r="L258" s="6">
        <v>-30.6875</v>
      </c>
      <c r="M258" s="6">
        <v>0.1875</v>
      </c>
      <c r="N258" s="6">
        <v>6.25E-2</v>
      </c>
      <c r="O258" s="6">
        <v>0.9375</v>
      </c>
      <c r="P258" s="6">
        <v>-2.0625</v>
      </c>
      <c r="Q258" s="6">
        <v>-44.5625</v>
      </c>
      <c r="R258" s="6">
        <v>1.7589626312255899</v>
      </c>
      <c r="S258" s="6">
        <v>-37.054412841796903</v>
      </c>
      <c r="T258" s="6">
        <v>0.31215250492095897</v>
      </c>
      <c r="U258" s="6">
        <v>1.09328365325928</v>
      </c>
      <c r="V258" s="6">
        <v>-33.180362701416001</v>
      </c>
      <c r="W258" s="6">
        <v>-17.9558429718018</v>
      </c>
    </row>
    <row r="259" spans="1:23" ht="18.95" customHeight="1">
      <c r="A259" s="4">
        <v>255</v>
      </c>
      <c r="B259" s="4">
        <v>5468</v>
      </c>
      <c r="C259" s="4">
        <v>1</v>
      </c>
      <c r="D259" s="6">
        <v>0</v>
      </c>
      <c r="E259" s="6">
        <v>0</v>
      </c>
      <c r="F259" s="6">
        <v>38.9375</v>
      </c>
      <c r="G259" s="6">
        <v>1.125</v>
      </c>
      <c r="H259" s="6">
        <v>0.8125</v>
      </c>
      <c r="I259" s="6">
        <v>1.625</v>
      </c>
      <c r="J259" s="6">
        <v>-2.125</v>
      </c>
      <c r="K259" s="6">
        <v>-11.4375</v>
      </c>
      <c r="L259" s="6">
        <v>-32.625</v>
      </c>
      <c r="M259" s="6">
        <v>0.4375</v>
      </c>
      <c r="N259" s="6">
        <v>0.125</v>
      </c>
      <c r="O259" s="6">
        <v>0.9375</v>
      </c>
      <c r="P259" s="6">
        <v>-2.0625</v>
      </c>
      <c r="Q259" s="6">
        <v>-43.625</v>
      </c>
      <c r="R259" s="6">
        <v>0.88873362541198697</v>
      </c>
      <c r="S259" s="6">
        <v>-36.458992004394503</v>
      </c>
      <c r="T259" s="6">
        <v>0.174747884273529</v>
      </c>
      <c r="U259" s="6">
        <v>1.21823298931122</v>
      </c>
      <c r="V259" s="6">
        <v>-33.766902923583999</v>
      </c>
      <c r="W259" s="6">
        <v>-17.958318710327099</v>
      </c>
    </row>
    <row r="260" spans="1:23" ht="18.95" customHeight="1">
      <c r="A260" s="4">
        <v>256</v>
      </c>
      <c r="B260" s="4">
        <v>5489</v>
      </c>
      <c r="C260" s="4">
        <v>1</v>
      </c>
      <c r="D260" s="6">
        <v>0</v>
      </c>
      <c r="E260" s="6">
        <v>0</v>
      </c>
      <c r="F260" s="6">
        <v>37.6875</v>
      </c>
      <c r="G260" s="6">
        <v>0.625</v>
      </c>
      <c r="H260" s="6">
        <v>0.4375</v>
      </c>
      <c r="I260" s="6">
        <v>1.625</v>
      </c>
      <c r="J260" s="6">
        <v>-2.125</v>
      </c>
      <c r="K260" s="6">
        <v>-12.1875</v>
      </c>
      <c r="L260" s="6">
        <v>-33.875</v>
      </c>
      <c r="M260" s="6">
        <v>0.25</v>
      </c>
      <c r="N260" s="6">
        <v>-6.25E-2</v>
      </c>
      <c r="O260" s="6">
        <v>0.9375</v>
      </c>
      <c r="P260" s="6">
        <v>-2.0625</v>
      </c>
      <c r="Q260" s="6">
        <v>-43</v>
      </c>
      <c r="R260" s="6">
        <v>2.2627794742584202</v>
      </c>
      <c r="S260" s="6">
        <v>-33.833038330078097</v>
      </c>
      <c r="T260" s="6">
        <v>0.98390817642211903</v>
      </c>
      <c r="U260" s="6">
        <v>1.1221066713333101</v>
      </c>
      <c r="V260" s="6">
        <v>-34.264938354492202</v>
      </c>
      <c r="W260" s="6">
        <v>-17.945318222045898</v>
      </c>
    </row>
    <row r="261" spans="1:23" ht="18.95" customHeight="1">
      <c r="A261" s="4">
        <v>257</v>
      </c>
      <c r="B261" s="4">
        <v>5511</v>
      </c>
      <c r="C261" s="4">
        <v>1</v>
      </c>
      <c r="D261" s="6">
        <v>0</v>
      </c>
      <c r="E261" s="6">
        <v>0</v>
      </c>
      <c r="F261" s="6">
        <v>35.75</v>
      </c>
      <c r="G261" s="6">
        <v>0.875</v>
      </c>
      <c r="H261" s="6">
        <v>1</v>
      </c>
      <c r="I261" s="6">
        <v>1.625</v>
      </c>
      <c r="J261" s="6">
        <v>-2.125</v>
      </c>
      <c r="K261" s="6">
        <v>-13.1875</v>
      </c>
      <c r="L261" s="6">
        <v>-35.5625</v>
      </c>
      <c r="M261" s="6">
        <v>0.375</v>
      </c>
      <c r="N261" s="6">
        <v>6.25E-2</v>
      </c>
      <c r="O261" s="6">
        <v>0.875</v>
      </c>
      <c r="P261" s="6">
        <v>-2.0625</v>
      </c>
      <c r="Q261" s="6">
        <v>-42.3125</v>
      </c>
      <c r="R261" s="6">
        <v>0.88873362541198697</v>
      </c>
      <c r="S261" s="6">
        <v>-32.367385864257798</v>
      </c>
      <c r="T261" s="6">
        <v>0.128946363925934</v>
      </c>
      <c r="U261" s="6">
        <v>1.22563493251801</v>
      </c>
      <c r="V261" s="6">
        <v>-34.741096496582003</v>
      </c>
      <c r="W261" s="6">
        <v>-17.9400825500488</v>
      </c>
    </row>
    <row r="262" spans="1:23" ht="18.95" customHeight="1">
      <c r="A262" s="4">
        <v>258</v>
      </c>
      <c r="B262" s="4">
        <v>5533</v>
      </c>
      <c r="C262" s="4">
        <v>1</v>
      </c>
      <c r="D262" s="6">
        <v>0</v>
      </c>
      <c r="E262" s="6">
        <v>0</v>
      </c>
      <c r="F262" s="6">
        <v>33.0625</v>
      </c>
      <c r="G262" s="6">
        <v>0.75</v>
      </c>
      <c r="H262" s="6">
        <v>0.8125</v>
      </c>
      <c r="I262" s="6">
        <v>1.625</v>
      </c>
      <c r="J262" s="6">
        <v>-2.125</v>
      </c>
      <c r="K262" s="6">
        <v>-13.8125</v>
      </c>
      <c r="L262" s="6">
        <v>-37.375</v>
      </c>
      <c r="M262" s="6">
        <v>0.25</v>
      </c>
      <c r="N262" s="6">
        <v>0</v>
      </c>
      <c r="O262" s="6">
        <v>0.875</v>
      </c>
      <c r="P262" s="6">
        <v>-2.0625</v>
      </c>
      <c r="Q262" s="6">
        <v>-41.625</v>
      </c>
      <c r="R262" s="6">
        <v>1.48415338993073</v>
      </c>
      <c r="S262" s="6">
        <v>-29.5582275390625</v>
      </c>
      <c r="T262" s="6">
        <v>0.77016770839691195</v>
      </c>
      <c r="U262" s="6">
        <v>1.16516649723053</v>
      </c>
      <c r="V262" s="6">
        <v>-35.143810272216797</v>
      </c>
      <c r="W262" s="6">
        <v>-17.937412261962901</v>
      </c>
    </row>
    <row r="263" spans="1:23" ht="18.95" customHeight="1">
      <c r="A263" s="4">
        <v>259</v>
      </c>
      <c r="B263" s="4">
        <v>5555</v>
      </c>
      <c r="C263" s="4">
        <v>1</v>
      </c>
      <c r="D263" s="6">
        <v>0</v>
      </c>
      <c r="E263" s="6">
        <v>0</v>
      </c>
      <c r="F263" s="6">
        <v>30.8125</v>
      </c>
      <c r="G263" s="6">
        <v>0.9375</v>
      </c>
      <c r="H263" s="6">
        <v>0.75</v>
      </c>
      <c r="I263" s="6">
        <v>1.625</v>
      </c>
      <c r="J263" s="6">
        <v>-2.125</v>
      </c>
      <c r="K263" s="6">
        <v>-14.4375</v>
      </c>
      <c r="L263" s="6">
        <v>-38.4375</v>
      </c>
      <c r="M263" s="6">
        <v>0.5</v>
      </c>
      <c r="N263" s="6">
        <v>6.25E-2</v>
      </c>
      <c r="O263" s="6">
        <v>0.875</v>
      </c>
      <c r="P263" s="6">
        <v>-2.0625</v>
      </c>
      <c r="Q263" s="6">
        <v>-40.875</v>
      </c>
      <c r="R263" s="6">
        <v>0.96506941318511996</v>
      </c>
      <c r="S263" s="6">
        <v>-27.329219818115199</v>
      </c>
      <c r="T263" s="6">
        <v>0.40375554561615001</v>
      </c>
      <c r="U263" s="6">
        <v>1.2403199672698999</v>
      </c>
      <c r="V263" s="6">
        <v>-35.509506225585902</v>
      </c>
      <c r="W263" s="6">
        <v>-17.925571441650401</v>
      </c>
    </row>
    <row r="264" spans="1:23" ht="18.95" customHeight="1">
      <c r="A264" s="4">
        <v>260</v>
      </c>
      <c r="B264" s="4">
        <v>5575</v>
      </c>
      <c r="C264" s="4">
        <v>1</v>
      </c>
      <c r="D264" s="6">
        <v>0</v>
      </c>
      <c r="E264" s="6">
        <v>0</v>
      </c>
      <c r="F264" s="6">
        <v>28.625</v>
      </c>
      <c r="G264" s="6">
        <v>1</v>
      </c>
      <c r="H264" s="6">
        <v>0.9375</v>
      </c>
      <c r="I264" s="6">
        <v>1.625</v>
      </c>
      <c r="J264" s="6">
        <v>-2.125</v>
      </c>
      <c r="K264" s="6">
        <v>-15</v>
      </c>
      <c r="L264" s="6">
        <v>-39.5</v>
      </c>
      <c r="M264" s="6">
        <v>0.4375</v>
      </c>
      <c r="N264" s="6">
        <v>6.25E-2</v>
      </c>
      <c r="O264" s="6">
        <v>0.8125</v>
      </c>
      <c r="P264" s="6">
        <v>-2.0625</v>
      </c>
      <c r="Q264" s="6">
        <v>-40.125</v>
      </c>
      <c r="R264" s="6">
        <v>1.0414053201675399</v>
      </c>
      <c r="S264" s="6">
        <v>-25.2070827484131</v>
      </c>
      <c r="T264" s="6">
        <v>0.22054940462112399</v>
      </c>
      <c r="U264" s="6">
        <v>1.2854530811309799</v>
      </c>
      <c r="V264" s="6">
        <v>-35.822792053222699</v>
      </c>
      <c r="W264" s="6">
        <v>-17.919969558715799</v>
      </c>
    </row>
    <row r="265" spans="1:23" ht="18.95" customHeight="1">
      <c r="A265" s="4">
        <v>261</v>
      </c>
      <c r="B265" s="4">
        <v>5596</v>
      </c>
      <c r="C265" s="4">
        <v>1</v>
      </c>
      <c r="D265" s="6">
        <v>0</v>
      </c>
      <c r="E265" s="6">
        <v>0</v>
      </c>
      <c r="F265" s="6">
        <v>26.625</v>
      </c>
      <c r="G265" s="6">
        <v>0.5</v>
      </c>
      <c r="H265" s="6">
        <v>0.8125</v>
      </c>
      <c r="I265" s="6">
        <v>1.625</v>
      </c>
      <c r="J265" s="6">
        <v>-2.125</v>
      </c>
      <c r="K265" s="6">
        <v>-15.5</v>
      </c>
      <c r="L265" s="6">
        <v>-40.625</v>
      </c>
      <c r="M265" s="6">
        <v>0.4375</v>
      </c>
      <c r="N265" s="6">
        <v>0.125</v>
      </c>
      <c r="O265" s="6">
        <v>0.8125</v>
      </c>
      <c r="P265" s="6">
        <v>-2.0625</v>
      </c>
      <c r="Q265" s="6">
        <v>-39.375</v>
      </c>
      <c r="R265" s="6">
        <v>1.4078176021575901</v>
      </c>
      <c r="S265" s="6">
        <v>-23.665098190307599</v>
      </c>
      <c r="T265" s="6">
        <v>0.81596922874450695</v>
      </c>
      <c r="U265" s="6">
        <v>1.25274550914764</v>
      </c>
      <c r="V265" s="6">
        <v>-36.2434272766113</v>
      </c>
      <c r="W265" s="6">
        <v>-17.913042068481399</v>
      </c>
    </row>
    <row r="266" spans="1:23" ht="18.95" customHeight="1">
      <c r="A266" s="4">
        <v>262</v>
      </c>
      <c r="B266" s="4">
        <v>5618</v>
      </c>
      <c r="C266" s="4">
        <v>1</v>
      </c>
      <c r="D266" s="6">
        <v>0</v>
      </c>
      <c r="E266" s="6">
        <v>0</v>
      </c>
      <c r="F266" s="6">
        <v>24.6875</v>
      </c>
      <c r="G266" s="6">
        <v>0.625</v>
      </c>
      <c r="H266" s="6">
        <v>0.3125</v>
      </c>
      <c r="I266" s="6">
        <v>1.625</v>
      </c>
      <c r="J266" s="6">
        <v>-2.1875</v>
      </c>
      <c r="K266" s="6">
        <v>-16</v>
      </c>
      <c r="L266" s="6">
        <v>-44.125</v>
      </c>
      <c r="M266" s="6">
        <v>0.5625</v>
      </c>
      <c r="N266" s="6">
        <v>0</v>
      </c>
      <c r="O266" s="6">
        <v>0.8125</v>
      </c>
      <c r="P266" s="6">
        <v>-2.0625</v>
      </c>
      <c r="Q266" s="6">
        <v>-38.1875</v>
      </c>
      <c r="R266" s="6">
        <v>0.64445877075195301</v>
      </c>
      <c r="S266" s="6">
        <v>-21.7567024230957</v>
      </c>
      <c r="T266" s="6">
        <v>-8.4794104099273696E-2</v>
      </c>
      <c r="U266" s="6">
        <v>1.22795057296753</v>
      </c>
      <c r="V266" s="6">
        <v>-36.533077239990199</v>
      </c>
      <c r="W266" s="6">
        <v>-17.910974502563501</v>
      </c>
    </row>
    <row r="267" spans="1:23" ht="18.95" customHeight="1">
      <c r="A267" s="4">
        <v>263</v>
      </c>
      <c r="B267" s="4">
        <v>5639</v>
      </c>
      <c r="C267" s="4">
        <v>1</v>
      </c>
      <c r="D267" s="6">
        <v>0</v>
      </c>
      <c r="E267" s="6">
        <v>0</v>
      </c>
      <c r="F267" s="6">
        <v>23.125</v>
      </c>
      <c r="G267" s="6">
        <v>0.1875</v>
      </c>
      <c r="H267" s="6">
        <v>0.375</v>
      </c>
      <c r="I267" s="6">
        <v>1.625</v>
      </c>
      <c r="J267" s="6">
        <v>-2.1875</v>
      </c>
      <c r="K267" s="6">
        <v>-16.4375</v>
      </c>
      <c r="L267" s="6">
        <v>-45.1875</v>
      </c>
      <c r="M267" s="6">
        <v>0.5625</v>
      </c>
      <c r="N267" s="6">
        <v>-0.1875</v>
      </c>
      <c r="O267" s="6">
        <v>0.75</v>
      </c>
      <c r="P267" s="6">
        <v>-2.0625</v>
      </c>
      <c r="Q267" s="6">
        <v>-37.3125</v>
      </c>
      <c r="R267" s="6">
        <v>0.720794677734375</v>
      </c>
      <c r="S267" s="6">
        <v>-19.023878097534201</v>
      </c>
      <c r="T267" s="6">
        <v>0.40375554561615001</v>
      </c>
      <c r="U267" s="6">
        <v>1.2399492263793901</v>
      </c>
      <c r="V267" s="6">
        <v>-36.838188171386697</v>
      </c>
      <c r="W267" s="6">
        <v>-17.908321380615199</v>
      </c>
    </row>
    <row r="268" spans="1:23" ht="18.95" customHeight="1">
      <c r="A268" s="4">
        <v>264</v>
      </c>
      <c r="B268" s="4">
        <v>5661</v>
      </c>
      <c r="C268" s="4">
        <v>1</v>
      </c>
      <c r="D268" s="6">
        <v>0</v>
      </c>
      <c r="E268" s="6">
        <v>0</v>
      </c>
      <c r="F268" s="6">
        <v>20.625</v>
      </c>
      <c r="G268" s="6">
        <v>0.5625</v>
      </c>
      <c r="H268" s="6">
        <v>0.375</v>
      </c>
      <c r="I268" s="6">
        <v>1.625</v>
      </c>
      <c r="J268" s="6">
        <v>-2.1875</v>
      </c>
      <c r="K268" s="6">
        <v>-17.0625</v>
      </c>
      <c r="L268" s="6">
        <v>-47.6875</v>
      </c>
      <c r="M268" s="6">
        <v>0.5</v>
      </c>
      <c r="N268" s="6">
        <v>0.125</v>
      </c>
      <c r="O268" s="6">
        <v>0.75</v>
      </c>
      <c r="P268" s="6">
        <v>-2.0625</v>
      </c>
      <c r="Q268" s="6">
        <v>-36.375</v>
      </c>
      <c r="R268" s="6">
        <v>1.1330083608627299</v>
      </c>
      <c r="S268" s="6">
        <v>-16.489526748657202</v>
      </c>
      <c r="T268" s="6">
        <v>0.55642724037170399</v>
      </c>
      <c r="U268" s="6">
        <v>1.1803616285324099</v>
      </c>
      <c r="V268" s="6">
        <v>-36.996395111083999</v>
      </c>
      <c r="W268" s="6">
        <v>-17.9013557434082</v>
      </c>
    </row>
    <row r="269" spans="1:23" ht="18.95" customHeight="1">
      <c r="A269" s="4">
        <v>265</v>
      </c>
      <c r="B269" s="4">
        <v>5681</v>
      </c>
      <c r="C269" s="4">
        <v>1</v>
      </c>
      <c r="D269" s="6">
        <v>0</v>
      </c>
      <c r="E269" s="6">
        <v>0</v>
      </c>
      <c r="F269" s="6">
        <v>18.4375</v>
      </c>
      <c r="G269" s="6">
        <v>0.25</v>
      </c>
      <c r="H269" s="6">
        <v>0.8125</v>
      </c>
      <c r="I269" s="6">
        <v>1.625</v>
      </c>
      <c r="J269" s="6">
        <v>-2.1875</v>
      </c>
      <c r="K269" s="6">
        <v>-17.375</v>
      </c>
      <c r="L269" s="6">
        <v>-48.6875</v>
      </c>
      <c r="M269" s="6">
        <v>0.5625</v>
      </c>
      <c r="N269" s="6">
        <v>6.25E-2</v>
      </c>
      <c r="O269" s="6">
        <v>0.75</v>
      </c>
      <c r="P269" s="6">
        <v>-2.0625</v>
      </c>
      <c r="Q269" s="6">
        <v>-35.4375</v>
      </c>
      <c r="R269" s="6">
        <v>0.720794677734375</v>
      </c>
      <c r="S269" s="6">
        <v>-14.0009765625</v>
      </c>
      <c r="T269" s="6">
        <v>3.7343323230743401E-2</v>
      </c>
      <c r="U269" s="6">
        <v>1.2905119657516499</v>
      </c>
      <c r="V269" s="6">
        <v>-37.126007080078097</v>
      </c>
      <c r="W269" s="6">
        <v>-17.8882350921631</v>
      </c>
    </row>
    <row r="270" spans="1:23" ht="18.95" customHeight="1">
      <c r="A270" s="4">
        <v>266</v>
      </c>
      <c r="B270" s="4">
        <v>5714</v>
      </c>
      <c r="C270" s="4">
        <v>1</v>
      </c>
      <c r="D270" s="6">
        <v>0</v>
      </c>
      <c r="E270" s="6">
        <v>0</v>
      </c>
      <c r="F270" s="6">
        <v>13.3125</v>
      </c>
      <c r="G270" s="6">
        <v>0.1875</v>
      </c>
      <c r="H270" s="6">
        <v>0.1875</v>
      </c>
      <c r="I270" s="6">
        <v>1.625</v>
      </c>
      <c r="J270" s="6">
        <v>-2.1875</v>
      </c>
      <c r="K270" s="6">
        <v>-17.8125</v>
      </c>
      <c r="L270" s="6">
        <v>-51.4375</v>
      </c>
      <c r="M270" s="6">
        <v>0.5625</v>
      </c>
      <c r="N270" s="6">
        <v>6.25E-2</v>
      </c>
      <c r="O270" s="6">
        <v>0.6875</v>
      </c>
      <c r="P270" s="6">
        <v>-2.125</v>
      </c>
      <c r="Q270" s="6">
        <v>-34</v>
      </c>
      <c r="R270" s="6">
        <v>0.91926789283752397</v>
      </c>
      <c r="S270" s="6">
        <v>-9.8177700042724592</v>
      </c>
      <c r="T270" s="6">
        <v>0.92283952236175504</v>
      </c>
      <c r="U270" s="6">
        <v>1.30505430698395</v>
      </c>
      <c r="V270" s="6">
        <v>-37.418807983398402</v>
      </c>
      <c r="W270" s="6">
        <v>-17.866828918456999</v>
      </c>
    </row>
    <row r="271" spans="1:23" ht="18.95" customHeight="1">
      <c r="A271" s="4">
        <v>267</v>
      </c>
      <c r="B271" s="4">
        <v>5735</v>
      </c>
      <c r="C271" s="4">
        <v>1</v>
      </c>
      <c r="D271" s="6">
        <v>0</v>
      </c>
      <c r="E271" s="6">
        <v>0</v>
      </c>
      <c r="F271" s="6">
        <v>10.8125</v>
      </c>
      <c r="G271" s="6">
        <v>0.25</v>
      </c>
      <c r="H271" s="6">
        <v>0.375</v>
      </c>
      <c r="I271" s="6">
        <v>1.625</v>
      </c>
      <c r="J271" s="6">
        <v>-2.1875</v>
      </c>
      <c r="K271" s="6">
        <v>-18.0625</v>
      </c>
      <c r="L271" s="6">
        <v>-53</v>
      </c>
      <c r="M271" s="6">
        <v>0.5</v>
      </c>
      <c r="N271" s="6">
        <v>6.25E-2</v>
      </c>
      <c r="O271" s="6">
        <v>0.6875</v>
      </c>
      <c r="P271" s="6">
        <v>-2.125</v>
      </c>
      <c r="Q271" s="6">
        <v>-33</v>
      </c>
      <c r="R271" s="6">
        <v>0.79713058471679699</v>
      </c>
      <c r="S271" s="6">
        <v>-7.0086097717285201</v>
      </c>
      <c r="T271" s="6">
        <v>0.37322115898132302</v>
      </c>
      <c r="U271" s="6">
        <v>1.3605340719223</v>
      </c>
      <c r="V271" s="6">
        <v>-37.458824157714801</v>
      </c>
      <c r="W271" s="6">
        <v>-17.855510711669901</v>
      </c>
    </row>
    <row r="272" spans="1:23" ht="18.95" customHeight="1">
      <c r="A272" s="4">
        <v>268</v>
      </c>
      <c r="B272" s="4">
        <v>5756</v>
      </c>
      <c r="C272" s="4">
        <v>1</v>
      </c>
      <c r="D272" s="6">
        <v>0</v>
      </c>
      <c r="E272" s="6">
        <v>0</v>
      </c>
      <c r="F272" s="6">
        <v>8.0625</v>
      </c>
      <c r="G272" s="6">
        <v>0.5</v>
      </c>
      <c r="H272" s="6">
        <v>0.5625</v>
      </c>
      <c r="I272" s="6">
        <v>1.625</v>
      </c>
      <c r="J272" s="6">
        <v>-2.1875</v>
      </c>
      <c r="K272" s="6">
        <v>-18.1875</v>
      </c>
      <c r="L272" s="6">
        <v>-55.1875</v>
      </c>
      <c r="M272" s="6">
        <v>0.6875</v>
      </c>
      <c r="N272" s="6">
        <v>6.25E-2</v>
      </c>
      <c r="O272" s="6">
        <v>0.6875</v>
      </c>
      <c r="P272" s="6">
        <v>-2.125</v>
      </c>
      <c r="Q272" s="6">
        <v>-31.9375</v>
      </c>
      <c r="R272" s="6">
        <v>-4.25641536712646E-2</v>
      </c>
      <c r="S272" s="6">
        <v>-4.18418264389038</v>
      </c>
      <c r="T272" s="6">
        <v>6.7877650260925307E-2</v>
      </c>
      <c r="U272" s="6">
        <v>1.3861820697784399</v>
      </c>
      <c r="V272" s="6">
        <v>-37.359199523925803</v>
      </c>
      <c r="W272" s="6">
        <v>-17.847467422485401</v>
      </c>
    </row>
    <row r="273" spans="1:23" ht="18.95" customHeight="1">
      <c r="A273" s="4">
        <v>269</v>
      </c>
      <c r="B273" s="4">
        <v>5777</v>
      </c>
      <c r="C273" s="4">
        <v>1</v>
      </c>
      <c r="D273" s="6">
        <v>0</v>
      </c>
      <c r="E273" s="6">
        <v>0</v>
      </c>
      <c r="F273" s="6">
        <v>5.1875</v>
      </c>
      <c r="G273" s="6">
        <v>0</v>
      </c>
      <c r="H273" s="6">
        <v>0.25</v>
      </c>
      <c r="I273" s="6">
        <v>1.625</v>
      </c>
      <c r="J273" s="6">
        <v>-2.1875</v>
      </c>
      <c r="K273" s="6">
        <v>-18.3125</v>
      </c>
      <c r="L273" s="6">
        <v>-56.625</v>
      </c>
      <c r="M273" s="6">
        <v>0.625</v>
      </c>
      <c r="N273" s="6">
        <v>0.125</v>
      </c>
      <c r="O273" s="6">
        <v>0.625</v>
      </c>
      <c r="P273" s="6">
        <v>-2.125</v>
      </c>
      <c r="Q273" s="6">
        <v>-30.3125</v>
      </c>
      <c r="R273" s="6">
        <v>-0.17996859550476099</v>
      </c>
      <c r="S273" s="6">
        <v>-1.19181609153748</v>
      </c>
      <c r="T273" s="6">
        <v>0.26635098457336398</v>
      </c>
      <c r="U273" s="6">
        <v>1.38814401626587</v>
      </c>
      <c r="V273" s="6">
        <v>-37.404495239257798</v>
      </c>
      <c r="W273" s="6">
        <v>-17.845951080322301</v>
      </c>
    </row>
    <row r="274" spans="1:23" ht="18.95" customHeight="1">
      <c r="A274" s="4">
        <v>270</v>
      </c>
      <c r="B274" s="4">
        <v>5798</v>
      </c>
      <c r="C274" s="4">
        <v>1</v>
      </c>
      <c r="D274" s="6">
        <v>0</v>
      </c>
      <c r="E274" s="6">
        <v>0</v>
      </c>
      <c r="F274" s="6">
        <v>2.3125</v>
      </c>
      <c r="G274" s="6">
        <v>0.375</v>
      </c>
      <c r="H274" s="6">
        <v>0.25</v>
      </c>
      <c r="I274" s="6">
        <v>1.625</v>
      </c>
      <c r="J274" s="6">
        <v>-2.1875</v>
      </c>
      <c r="K274" s="6">
        <v>-18.375</v>
      </c>
      <c r="L274" s="6">
        <v>-58.6875</v>
      </c>
      <c r="M274" s="6">
        <v>0.6875</v>
      </c>
      <c r="N274" s="6">
        <v>6.25E-2</v>
      </c>
      <c r="O274" s="6">
        <v>0.625</v>
      </c>
      <c r="P274" s="6">
        <v>-2.125</v>
      </c>
      <c r="Q274" s="6">
        <v>-29.125</v>
      </c>
      <c r="R274" s="6">
        <v>0.20171070098877</v>
      </c>
      <c r="S274" s="6">
        <v>2.1364281177520801</v>
      </c>
      <c r="T274" s="6">
        <v>0.15948075056076</v>
      </c>
      <c r="U274" s="6">
        <v>1.3625952005386399</v>
      </c>
      <c r="V274" s="6">
        <v>-37.317657470703097</v>
      </c>
      <c r="W274" s="6">
        <v>-17.8394870758057</v>
      </c>
    </row>
    <row r="275" spans="1:23" ht="18.95" customHeight="1">
      <c r="A275" s="4">
        <v>271</v>
      </c>
      <c r="B275" s="4">
        <v>5818</v>
      </c>
      <c r="C275" s="4">
        <v>1</v>
      </c>
      <c r="D275" s="6">
        <v>0</v>
      </c>
      <c r="E275" s="6">
        <v>0</v>
      </c>
      <c r="F275" s="6">
        <v>-0.8125</v>
      </c>
      <c r="G275" s="6">
        <v>0.125</v>
      </c>
      <c r="H275" s="6">
        <v>0.25</v>
      </c>
      <c r="I275" s="6">
        <v>1.625</v>
      </c>
      <c r="J275" s="6">
        <v>-2.1875</v>
      </c>
      <c r="K275" s="6">
        <v>-18.375</v>
      </c>
      <c r="L275" s="6">
        <v>-62.1875</v>
      </c>
      <c r="M275" s="6">
        <v>0.625</v>
      </c>
      <c r="N275" s="6">
        <v>0.125</v>
      </c>
      <c r="O275" s="6">
        <v>0.5625</v>
      </c>
      <c r="P275" s="6">
        <v>-2.125</v>
      </c>
      <c r="Q275" s="6">
        <v>-27.9375</v>
      </c>
      <c r="R275" s="6">
        <v>0.30858087539672902</v>
      </c>
      <c r="S275" s="6">
        <v>4.8387184143066397</v>
      </c>
      <c r="T275" s="6">
        <v>-0.31380170583724998</v>
      </c>
      <c r="U275" s="6">
        <v>1.4004114866256701</v>
      </c>
      <c r="V275" s="6">
        <v>-37.214340209960902</v>
      </c>
      <c r="W275" s="6">
        <v>-17.829154968261701</v>
      </c>
    </row>
    <row r="276" spans="1:23" ht="18.95" customHeight="1">
      <c r="A276" s="4">
        <v>272</v>
      </c>
      <c r="B276" s="4">
        <v>5839</v>
      </c>
      <c r="C276" s="4">
        <v>1</v>
      </c>
      <c r="D276" s="6">
        <v>0</v>
      </c>
      <c r="E276" s="6">
        <v>0</v>
      </c>
      <c r="F276" s="6">
        <v>-3.9375</v>
      </c>
      <c r="G276" s="6">
        <v>0</v>
      </c>
      <c r="H276" s="6">
        <v>0.625</v>
      </c>
      <c r="I276" s="6">
        <v>1.625</v>
      </c>
      <c r="J276" s="6">
        <v>-2.1875</v>
      </c>
      <c r="K276" s="6">
        <v>-18.3125</v>
      </c>
      <c r="L276" s="6">
        <v>-63.3125</v>
      </c>
      <c r="M276" s="6">
        <v>0.75</v>
      </c>
      <c r="N276" s="6">
        <v>0</v>
      </c>
      <c r="O276" s="6">
        <v>0.5625</v>
      </c>
      <c r="P276" s="6">
        <v>-2.1875</v>
      </c>
      <c r="Q276" s="6">
        <v>-26.6875</v>
      </c>
      <c r="R276" s="6">
        <v>-0.83645725250244096</v>
      </c>
      <c r="S276" s="6">
        <v>8.8387184143066406</v>
      </c>
      <c r="T276" s="6">
        <v>0.15948075056076</v>
      </c>
      <c r="U276" s="6">
        <v>1.3896342515945399</v>
      </c>
      <c r="V276" s="6">
        <v>-37.032321929931598</v>
      </c>
      <c r="W276" s="6">
        <v>-17.825078964233398</v>
      </c>
    </row>
    <row r="277" spans="1:23" ht="18.95" customHeight="1">
      <c r="A277" s="4">
        <v>273</v>
      </c>
      <c r="B277" s="4">
        <v>5861</v>
      </c>
      <c r="C277" s="4">
        <v>1</v>
      </c>
      <c r="D277" s="6">
        <v>0</v>
      </c>
      <c r="E277" s="6">
        <v>0</v>
      </c>
      <c r="F277" s="6">
        <v>-7.3125</v>
      </c>
      <c r="G277" s="6">
        <v>-0.25</v>
      </c>
      <c r="H277" s="6">
        <v>0.25</v>
      </c>
      <c r="I277" s="6">
        <v>1.625</v>
      </c>
      <c r="J277" s="6">
        <v>-2.1875</v>
      </c>
      <c r="K277" s="6">
        <v>-18.1875</v>
      </c>
      <c r="L277" s="6">
        <v>-66.6875</v>
      </c>
      <c r="M277" s="6">
        <v>0.9375</v>
      </c>
      <c r="N277" s="6">
        <v>-6.25E-2</v>
      </c>
      <c r="O277" s="6">
        <v>0.5</v>
      </c>
      <c r="P277" s="6">
        <v>-2.1875</v>
      </c>
      <c r="Q277" s="6">
        <v>-25.4375</v>
      </c>
      <c r="R277" s="6">
        <v>-0.39370918273925798</v>
      </c>
      <c r="S277" s="6">
        <v>12.25856590271</v>
      </c>
      <c r="T277" s="6">
        <v>0.77016770839691195</v>
      </c>
      <c r="U277" s="6">
        <v>1.3426551818847701</v>
      </c>
      <c r="V277" s="6">
        <v>-36.726680755615199</v>
      </c>
      <c r="W277" s="6">
        <v>-17.814418792724599</v>
      </c>
    </row>
    <row r="278" spans="1:23" ht="18.95" customHeight="1">
      <c r="A278" s="4">
        <v>274</v>
      </c>
      <c r="B278" s="4">
        <v>5882</v>
      </c>
      <c r="C278" s="4">
        <v>1</v>
      </c>
      <c r="D278" s="6">
        <v>0</v>
      </c>
      <c r="E278" s="6">
        <v>0</v>
      </c>
      <c r="F278" s="6">
        <v>-10.5625</v>
      </c>
      <c r="G278" s="6">
        <v>6.25E-2</v>
      </c>
      <c r="H278" s="6">
        <v>0.375</v>
      </c>
      <c r="I278" s="6">
        <v>1.625</v>
      </c>
      <c r="J278" s="6">
        <v>-2.1875</v>
      </c>
      <c r="K278" s="6">
        <v>-17.875</v>
      </c>
      <c r="L278" s="6">
        <v>-68.0625</v>
      </c>
      <c r="M278" s="6">
        <v>0.8125</v>
      </c>
      <c r="N278" s="6">
        <v>0.1875</v>
      </c>
      <c r="O278" s="6">
        <v>0.5</v>
      </c>
      <c r="P278" s="6">
        <v>-2.1875</v>
      </c>
      <c r="Q278" s="6">
        <v>-24.125</v>
      </c>
      <c r="R278" s="6">
        <v>-1.23340392112732</v>
      </c>
      <c r="S278" s="6">
        <v>16.395969390869102</v>
      </c>
      <c r="T278" s="6">
        <v>5.2610516548156697E-2</v>
      </c>
      <c r="U278" s="6">
        <v>1.3925546407699601</v>
      </c>
      <c r="V278" s="6">
        <v>-36.5517578125</v>
      </c>
      <c r="W278" s="6">
        <v>-17.811944961547901</v>
      </c>
    </row>
    <row r="279" spans="1:23" ht="18.95" customHeight="1">
      <c r="A279" s="4">
        <v>275</v>
      </c>
      <c r="B279" s="4">
        <v>5903</v>
      </c>
      <c r="C279" s="4">
        <v>1</v>
      </c>
      <c r="D279" s="6">
        <v>0</v>
      </c>
      <c r="E279" s="6">
        <v>0</v>
      </c>
      <c r="F279" s="6">
        <v>-14.125</v>
      </c>
      <c r="G279" s="6">
        <v>-0.5625</v>
      </c>
      <c r="H279" s="6">
        <v>0</v>
      </c>
      <c r="I279" s="6">
        <v>1.625</v>
      </c>
      <c r="J279" s="6">
        <v>-2.125</v>
      </c>
      <c r="K279" s="6">
        <v>-17.625</v>
      </c>
      <c r="L279" s="6">
        <v>-71.3125</v>
      </c>
      <c r="M279" s="6">
        <v>0.5625</v>
      </c>
      <c r="N279" s="6">
        <v>-0.3125</v>
      </c>
      <c r="O279" s="6">
        <v>0.4375</v>
      </c>
      <c r="P279" s="6">
        <v>-2.1875</v>
      </c>
      <c r="Q279" s="6">
        <v>-22.75</v>
      </c>
      <c r="R279" s="6">
        <v>0.44598555564880399</v>
      </c>
      <c r="S279" s="6">
        <v>19.8310852050781</v>
      </c>
      <c r="T279" s="6">
        <v>1.1823815107345601</v>
      </c>
      <c r="U279" s="6">
        <v>1.20693218708038</v>
      </c>
      <c r="V279" s="6">
        <v>-36.176799774169901</v>
      </c>
      <c r="W279" s="6">
        <v>-17.7989177703857</v>
      </c>
    </row>
    <row r="280" spans="1:23" ht="18.95" customHeight="1">
      <c r="A280" s="4">
        <v>276</v>
      </c>
      <c r="B280" s="4">
        <v>5923</v>
      </c>
      <c r="C280" s="4">
        <v>1</v>
      </c>
      <c r="D280" s="6">
        <v>0</v>
      </c>
      <c r="E280" s="6">
        <v>0</v>
      </c>
      <c r="F280" s="6">
        <v>-18.0625</v>
      </c>
      <c r="G280" s="6">
        <v>-0.9375</v>
      </c>
      <c r="H280" s="6">
        <v>0.1875</v>
      </c>
      <c r="I280" s="6">
        <v>1.5625</v>
      </c>
      <c r="J280" s="6">
        <v>-2.125</v>
      </c>
      <c r="K280" s="6">
        <v>-17.25</v>
      </c>
      <c r="L280" s="6">
        <v>-72.4375</v>
      </c>
      <c r="M280" s="6">
        <v>0.8125</v>
      </c>
      <c r="N280" s="6">
        <v>6.25E-2</v>
      </c>
      <c r="O280" s="6">
        <v>0.4375</v>
      </c>
      <c r="P280" s="6">
        <v>-2.1875</v>
      </c>
      <c r="Q280" s="6">
        <v>-21.375</v>
      </c>
      <c r="R280" s="6">
        <v>-1.0349304676055899</v>
      </c>
      <c r="S280" s="6">
        <v>24.014289855956999</v>
      </c>
      <c r="T280" s="6">
        <v>0.34268689155578602</v>
      </c>
      <c r="U280" s="6">
        <v>1.3062949180603001</v>
      </c>
      <c r="V280" s="6">
        <v>-35.877613067627003</v>
      </c>
      <c r="W280" s="6">
        <v>-17.792278289794901</v>
      </c>
    </row>
    <row r="281" spans="1:23" ht="18.95" customHeight="1">
      <c r="A281" s="4">
        <v>277</v>
      </c>
      <c r="B281" s="4">
        <v>5945</v>
      </c>
      <c r="C281" s="4">
        <v>1</v>
      </c>
      <c r="D281" s="6">
        <v>0</v>
      </c>
      <c r="E281" s="6">
        <v>0</v>
      </c>
      <c r="F281" s="6">
        <v>-23.875</v>
      </c>
      <c r="G281" s="6">
        <v>-0.3125</v>
      </c>
      <c r="H281" s="6">
        <v>0.5</v>
      </c>
      <c r="I281" s="6">
        <v>1.5625</v>
      </c>
      <c r="J281" s="6">
        <v>-2.125</v>
      </c>
      <c r="K281" s="6">
        <v>-16.8125</v>
      </c>
      <c r="L281" s="6">
        <v>-75.5625</v>
      </c>
      <c r="M281" s="6">
        <v>0.5</v>
      </c>
      <c r="N281" s="6">
        <v>0</v>
      </c>
      <c r="O281" s="6">
        <v>0.375</v>
      </c>
      <c r="P281" s="6">
        <v>-2.1875</v>
      </c>
      <c r="Q281" s="6">
        <v>-19.9375</v>
      </c>
      <c r="R281" s="6">
        <v>-1.2792053222656199</v>
      </c>
      <c r="S281" s="6">
        <v>27.8310852050781</v>
      </c>
      <c r="T281" s="6">
        <v>0.70909905433654796</v>
      </c>
      <c r="U281" s="6">
        <v>1.15967798233032</v>
      </c>
      <c r="V281" s="6">
        <v>-35.256717681884801</v>
      </c>
      <c r="W281" s="6">
        <v>-17.79709815979</v>
      </c>
    </row>
    <row r="282" spans="1:23" ht="18.95" customHeight="1">
      <c r="A282" s="4">
        <v>278</v>
      </c>
      <c r="B282" s="4">
        <v>5966</v>
      </c>
      <c r="C282" s="4">
        <v>1</v>
      </c>
      <c r="D282" s="6">
        <v>0</v>
      </c>
      <c r="E282" s="6">
        <v>0</v>
      </c>
      <c r="F282" s="6">
        <v>-27.5625</v>
      </c>
      <c r="G282" s="6">
        <v>-1.125</v>
      </c>
      <c r="H282" s="6">
        <v>-6.25E-2</v>
      </c>
      <c r="I282" s="6">
        <v>1.5625</v>
      </c>
      <c r="J282" s="6">
        <v>-2.125</v>
      </c>
      <c r="K282" s="6">
        <v>-16.3125</v>
      </c>
      <c r="L282" s="6">
        <v>-76.25</v>
      </c>
      <c r="M282" s="6">
        <v>0.4375</v>
      </c>
      <c r="N282" s="6">
        <v>6.25E-2</v>
      </c>
      <c r="O282" s="6">
        <v>0.375</v>
      </c>
      <c r="P282" s="6">
        <v>-2.1875</v>
      </c>
      <c r="Q282" s="6">
        <v>-18.4375</v>
      </c>
      <c r="R282" s="6">
        <v>-0.89752602577209495</v>
      </c>
      <c r="S282" s="6">
        <v>32.075359344482401</v>
      </c>
      <c r="T282" s="6">
        <v>0.66329753398895297</v>
      </c>
      <c r="U282" s="6">
        <v>1.1458979845046999</v>
      </c>
      <c r="V282" s="6">
        <v>-34.776908874511697</v>
      </c>
      <c r="W282" s="6">
        <v>-17.785121917724599</v>
      </c>
    </row>
    <row r="283" spans="1:23" ht="18.95" customHeight="1">
      <c r="A283" s="4">
        <v>279</v>
      </c>
      <c r="B283" s="4">
        <v>5988</v>
      </c>
      <c r="C283" s="4">
        <v>1</v>
      </c>
      <c r="D283" s="6">
        <v>0</v>
      </c>
      <c r="E283" s="6">
        <v>0</v>
      </c>
      <c r="F283" s="6">
        <v>-31.375</v>
      </c>
      <c r="G283" s="6">
        <v>-0.4375</v>
      </c>
      <c r="H283" s="6">
        <v>0.375</v>
      </c>
      <c r="I283" s="6">
        <v>1.5625</v>
      </c>
      <c r="J283" s="6">
        <v>-2.125</v>
      </c>
      <c r="K283" s="6">
        <v>-15.6875</v>
      </c>
      <c r="L283" s="6">
        <v>-77.9375</v>
      </c>
      <c r="M283" s="6">
        <v>0.625</v>
      </c>
      <c r="N283" s="6">
        <v>0.125</v>
      </c>
      <c r="O283" s="6">
        <v>0.3125</v>
      </c>
      <c r="P283" s="6">
        <v>-2.25</v>
      </c>
      <c r="Q283" s="6">
        <v>-16.9375</v>
      </c>
      <c r="R283" s="6">
        <v>-0.86699151992797896</v>
      </c>
      <c r="S283" s="6">
        <v>36.060089111328097</v>
      </c>
      <c r="T283" s="6">
        <v>0.86177074909210205</v>
      </c>
      <c r="U283" s="6">
        <v>1.0842422246932999</v>
      </c>
      <c r="V283" s="6">
        <v>-34.060539245605497</v>
      </c>
      <c r="W283" s="6">
        <v>-17.7795925140381</v>
      </c>
    </row>
    <row r="284" spans="1:23" ht="18.95" customHeight="1">
      <c r="A284" s="4">
        <v>280</v>
      </c>
      <c r="B284" s="4">
        <v>6009</v>
      </c>
      <c r="C284" s="4">
        <v>1</v>
      </c>
      <c r="D284" s="6">
        <v>0</v>
      </c>
      <c r="E284" s="6">
        <v>0</v>
      </c>
      <c r="F284" s="6">
        <v>-35.875</v>
      </c>
      <c r="G284" s="6">
        <v>-1</v>
      </c>
      <c r="H284" s="6">
        <v>0.125</v>
      </c>
      <c r="I284" s="6">
        <v>1.5625</v>
      </c>
      <c r="J284" s="6">
        <v>-2.125</v>
      </c>
      <c r="K284" s="6">
        <v>-15</v>
      </c>
      <c r="L284" s="6">
        <v>-79.4375</v>
      </c>
      <c r="M284" s="6">
        <v>0.625</v>
      </c>
      <c r="N284" s="6">
        <v>-6.25E-2</v>
      </c>
      <c r="O284" s="6">
        <v>0.25</v>
      </c>
      <c r="P284" s="6">
        <v>-2.25</v>
      </c>
      <c r="Q284" s="6">
        <v>-14.625</v>
      </c>
      <c r="R284" s="6">
        <v>-1.9051594734191899</v>
      </c>
      <c r="S284" s="6">
        <v>40.121162414550803</v>
      </c>
      <c r="T284" s="6">
        <v>0.144213557243347</v>
      </c>
      <c r="U284" s="6">
        <v>1.1207355260848999</v>
      </c>
      <c r="V284" s="6">
        <v>-33.407222747802699</v>
      </c>
      <c r="W284" s="6">
        <v>-17.776563644409201</v>
      </c>
    </row>
    <row r="285" spans="1:23" ht="18.95" customHeight="1">
      <c r="A285" s="4">
        <v>281</v>
      </c>
      <c r="B285" s="4">
        <v>6031</v>
      </c>
      <c r="C285" s="4">
        <v>1</v>
      </c>
      <c r="D285" s="6">
        <v>0</v>
      </c>
      <c r="E285" s="6">
        <v>0</v>
      </c>
      <c r="F285" s="6">
        <v>-39.125</v>
      </c>
      <c r="G285" s="6">
        <v>-0.9375</v>
      </c>
      <c r="H285" s="6">
        <v>-6.25E-2</v>
      </c>
      <c r="I285" s="6">
        <v>1.5625</v>
      </c>
      <c r="J285" s="6">
        <v>-2.0625</v>
      </c>
      <c r="K285" s="6">
        <v>-14.3125</v>
      </c>
      <c r="L285" s="6">
        <v>-81.0625</v>
      </c>
      <c r="M285" s="6">
        <v>0.8125</v>
      </c>
      <c r="N285" s="6">
        <v>-0.125</v>
      </c>
      <c r="O285" s="6">
        <v>0.25</v>
      </c>
      <c r="P285" s="6">
        <v>-2.25</v>
      </c>
      <c r="Q285" s="6">
        <v>-13.0625</v>
      </c>
      <c r="R285" s="6">
        <v>-1.0654649734497099</v>
      </c>
      <c r="S285" s="6">
        <v>43.296730041503899</v>
      </c>
      <c r="T285" s="6">
        <v>0.86177074909210205</v>
      </c>
      <c r="U285" s="6">
        <v>1.03686022758484</v>
      </c>
      <c r="V285" s="6">
        <v>-32.486202239990199</v>
      </c>
      <c r="W285" s="6">
        <v>-17.766508102416999</v>
      </c>
    </row>
    <row r="286" spans="1:23" ht="18.95" customHeight="1">
      <c r="A286" s="4">
        <v>282</v>
      </c>
      <c r="B286" s="4">
        <v>6051</v>
      </c>
      <c r="C286" s="4">
        <v>1</v>
      </c>
      <c r="D286" s="6">
        <v>0</v>
      </c>
      <c r="E286" s="6">
        <v>0</v>
      </c>
      <c r="F286" s="6">
        <v>-43.1875</v>
      </c>
      <c r="G286" s="6">
        <v>-0.8125</v>
      </c>
      <c r="H286" s="6">
        <v>6.25E-2</v>
      </c>
      <c r="I286" s="6">
        <v>1.5</v>
      </c>
      <c r="J286" s="6">
        <v>-2.0625</v>
      </c>
      <c r="K286" s="6">
        <v>-13.4375</v>
      </c>
      <c r="L286" s="6">
        <v>-80.25</v>
      </c>
      <c r="M286" s="6">
        <v>0.6875</v>
      </c>
      <c r="N286" s="6">
        <v>-0.125</v>
      </c>
      <c r="O286" s="6">
        <v>0.1875</v>
      </c>
      <c r="P286" s="6">
        <v>-2.25</v>
      </c>
      <c r="Q286" s="6">
        <v>-11.5</v>
      </c>
      <c r="R286" s="6">
        <v>-1.8593578338623</v>
      </c>
      <c r="S286" s="6">
        <v>46.869255065917997</v>
      </c>
      <c r="T286" s="6">
        <v>0.20528227090835599</v>
      </c>
      <c r="U286" s="6">
        <v>1.1316012144088701</v>
      </c>
      <c r="V286" s="6">
        <v>-31.6286716461182</v>
      </c>
      <c r="W286" s="6">
        <v>-17.754854202270501</v>
      </c>
    </row>
    <row r="287" spans="1:23" ht="18.95" customHeight="1">
      <c r="A287" s="4">
        <v>283</v>
      </c>
      <c r="B287" s="4">
        <v>6071</v>
      </c>
      <c r="C287" s="4">
        <v>1</v>
      </c>
      <c r="D287" s="6">
        <v>0</v>
      </c>
      <c r="E287" s="6">
        <v>0</v>
      </c>
      <c r="F287" s="6">
        <v>-46.0625</v>
      </c>
      <c r="G287" s="6">
        <v>-0.75</v>
      </c>
      <c r="H287" s="6">
        <v>0.25</v>
      </c>
      <c r="I287" s="6">
        <v>1.5</v>
      </c>
      <c r="J287" s="6">
        <v>-2.0625</v>
      </c>
      <c r="K287" s="6">
        <v>-12.5625</v>
      </c>
      <c r="L287" s="6">
        <v>-81</v>
      </c>
      <c r="M287" s="6">
        <v>0.6875</v>
      </c>
      <c r="N287" s="6">
        <v>0</v>
      </c>
      <c r="O287" s="6">
        <v>0.1875</v>
      </c>
      <c r="P287" s="6">
        <v>-2.3125</v>
      </c>
      <c r="Q287" s="6">
        <v>-9.9375</v>
      </c>
      <c r="R287" s="6">
        <v>-1.7524876594543499</v>
      </c>
      <c r="S287" s="6">
        <v>50.686042785644503</v>
      </c>
      <c r="T287" s="6">
        <v>-0.206931471824646</v>
      </c>
      <c r="U287" s="6">
        <v>1.0711858272552499</v>
      </c>
      <c r="V287" s="6">
        <v>-30.798311233520501</v>
      </c>
      <c r="W287" s="6">
        <v>-17.755271911621101</v>
      </c>
    </row>
    <row r="288" spans="1:23" ht="18.95" customHeight="1">
      <c r="A288" s="4">
        <v>284</v>
      </c>
      <c r="B288" s="4">
        <v>6092</v>
      </c>
      <c r="C288" s="4">
        <v>1</v>
      </c>
      <c r="D288" s="6">
        <v>0</v>
      </c>
      <c r="E288" s="6">
        <v>0</v>
      </c>
      <c r="F288" s="6">
        <v>-50.3125</v>
      </c>
      <c r="G288" s="6">
        <v>-1.375</v>
      </c>
      <c r="H288" s="6">
        <v>-0.4375</v>
      </c>
      <c r="I288" s="6">
        <v>1.5</v>
      </c>
      <c r="J288" s="6">
        <v>-2.0625</v>
      </c>
      <c r="K288" s="6">
        <v>-11.625</v>
      </c>
      <c r="L288" s="6">
        <v>-81.375</v>
      </c>
      <c r="M288" s="6">
        <v>0.625</v>
      </c>
      <c r="N288" s="6">
        <v>-0.1875</v>
      </c>
      <c r="O288" s="6">
        <v>0.125</v>
      </c>
      <c r="P288" s="6">
        <v>-2.3125</v>
      </c>
      <c r="Q288" s="6">
        <v>-8.375</v>
      </c>
      <c r="R288" s="6">
        <v>-1.56928157806396</v>
      </c>
      <c r="S288" s="6">
        <v>53.724212646484403</v>
      </c>
      <c r="T288" s="6">
        <v>9.8412036895751995E-2</v>
      </c>
      <c r="U288" s="6">
        <v>1.0437860488891599</v>
      </c>
      <c r="V288" s="6">
        <v>-29.766029357910199</v>
      </c>
      <c r="W288" s="6">
        <v>-17.744792938232401</v>
      </c>
    </row>
    <row r="289" spans="1:23" ht="18.95" customHeight="1">
      <c r="A289" s="4">
        <v>285</v>
      </c>
      <c r="B289" s="4">
        <v>6122</v>
      </c>
      <c r="C289" s="4">
        <v>1</v>
      </c>
      <c r="D289" s="6">
        <v>0</v>
      </c>
      <c r="E289" s="6">
        <v>0</v>
      </c>
      <c r="F289" s="6">
        <v>-54.875</v>
      </c>
      <c r="G289" s="6">
        <v>-0.875</v>
      </c>
      <c r="H289" s="6">
        <v>0</v>
      </c>
      <c r="I289" s="6">
        <v>1.4375</v>
      </c>
      <c r="J289" s="6">
        <v>-2</v>
      </c>
      <c r="K289" s="6">
        <v>-10.0625</v>
      </c>
      <c r="L289" s="6">
        <v>-81.0625</v>
      </c>
      <c r="M289" s="6">
        <v>0.6875</v>
      </c>
      <c r="N289" s="6">
        <v>-6.25E-2</v>
      </c>
      <c r="O289" s="6">
        <v>0.125</v>
      </c>
      <c r="P289" s="6">
        <v>-2.3125</v>
      </c>
      <c r="Q289" s="6">
        <v>-6</v>
      </c>
      <c r="R289" s="6">
        <v>-1.92042684555054</v>
      </c>
      <c r="S289" s="6">
        <v>57.861618041992202</v>
      </c>
      <c r="T289" s="6">
        <v>0.15948075056076</v>
      </c>
      <c r="U289" s="6">
        <v>1.01248466968536</v>
      </c>
      <c r="V289" s="6">
        <v>-28.1349487304688</v>
      </c>
      <c r="W289" s="6">
        <v>-17.7346496582031</v>
      </c>
    </row>
    <row r="290" spans="1:23" ht="18.95" customHeight="1">
      <c r="A290" s="4">
        <v>286</v>
      </c>
      <c r="B290" s="4">
        <v>6145</v>
      </c>
      <c r="C290" s="4">
        <v>1</v>
      </c>
      <c r="D290" s="6">
        <v>0</v>
      </c>
      <c r="E290" s="6">
        <v>0</v>
      </c>
      <c r="F290" s="6">
        <v>-58.5</v>
      </c>
      <c r="G290" s="6">
        <v>-1</v>
      </c>
      <c r="H290" s="6">
        <v>-0.125</v>
      </c>
      <c r="I290" s="6">
        <v>1.4375</v>
      </c>
      <c r="J290" s="6">
        <v>-2</v>
      </c>
      <c r="K290" s="6">
        <v>-8.375</v>
      </c>
      <c r="L290" s="6">
        <v>-79.0625</v>
      </c>
      <c r="M290" s="6">
        <v>0.4375</v>
      </c>
      <c r="N290" s="6">
        <v>0.125</v>
      </c>
      <c r="O290" s="6">
        <v>6.25E-2</v>
      </c>
      <c r="P290" s="6">
        <v>-2.3125</v>
      </c>
      <c r="Q290" s="6">
        <v>-4.5</v>
      </c>
      <c r="R290" s="6">
        <v>-1.53874731063843</v>
      </c>
      <c r="S290" s="6">
        <v>62.624977111816399</v>
      </c>
      <c r="T290" s="6">
        <v>0.40375554561615001</v>
      </c>
      <c r="U290" s="6">
        <v>0.91051834821701005</v>
      </c>
      <c r="V290" s="6">
        <v>-26.979619979858398</v>
      </c>
      <c r="W290" s="6">
        <v>-17.735187530517599</v>
      </c>
    </row>
    <row r="291" spans="1:23" ht="18.95" customHeight="1">
      <c r="A291" s="4">
        <v>287</v>
      </c>
      <c r="B291" s="4">
        <v>6166</v>
      </c>
      <c r="C291" s="4">
        <v>1</v>
      </c>
      <c r="D291" s="6">
        <v>0</v>
      </c>
      <c r="E291" s="6">
        <v>0</v>
      </c>
      <c r="F291" s="6">
        <v>-63.0625</v>
      </c>
      <c r="G291" s="6">
        <v>-1.375</v>
      </c>
      <c r="H291" s="6">
        <v>-0.5625</v>
      </c>
      <c r="I291" s="6">
        <v>1.4375</v>
      </c>
      <c r="J291" s="6">
        <v>-1.9375</v>
      </c>
      <c r="K291" s="6">
        <v>-7.1875</v>
      </c>
      <c r="L291" s="6">
        <v>-79.625</v>
      </c>
      <c r="M291" s="6">
        <v>0.875</v>
      </c>
      <c r="N291" s="6">
        <v>-0.125</v>
      </c>
      <c r="O291" s="6">
        <v>6.25E-2</v>
      </c>
      <c r="P291" s="6">
        <v>-2.3125</v>
      </c>
      <c r="Q291" s="6">
        <v>-2.9375</v>
      </c>
      <c r="R291" s="6">
        <v>-1.92042684555054</v>
      </c>
      <c r="S291" s="6">
        <v>64.090629577636705</v>
      </c>
      <c r="T291" s="6">
        <v>0.60222876071929898</v>
      </c>
      <c r="U291" s="6">
        <v>0.926486015319824</v>
      </c>
      <c r="V291" s="6">
        <v>-25.455701828002901</v>
      </c>
      <c r="W291" s="6">
        <v>-17.735702514648398</v>
      </c>
    </row>
    <row r="292" spans="1:23" ht="18.95" customHeight="1">
      <c r="A292" s="4">
        <v>288</v>
      </c>
      <c r="B292" s="4">
        <v>6188</v>
      </c>
      <c r="C292" s="4">
        <v>0</v>
      </c>
      <c r="D292" s="6">
        <v>0</v>
      </c>
      <c r="E292" s="6">
        <v>0</v>
      </c>
      <c r="F292" s="6">
        <v>-65.8125</v>
      </c>
      <c r="G292" s="6">
        <v>-1.375</v>
      </c>
      <c r="H292" s="6">
        <v>-0.5</v>
      </c>
      <c r="I292" s="6">
        <v>1.375</v>
      </c>
      <c r="J292" s="6">
        <v>-1.9375</v>
      </c>
      <c r="K292" s="6">
        <v>-5.9375</v>
      </c>
      <c r="L292" s="6">
        <v>-76.6875</v>
      </c>
      <c r="M292" s="6">
        <v>0.375</v>
      </c>
      <c r="N292" s="6">
        <v>-0.125</v>
      </c>
      <c r="O292" s="6">
        <v>0</v>
      </c>
      <c r="P292" s="6">
        <v>-2.375</v>
      </c>
      <c r="Q292" s="6">
        <v>-1.4375</v>
      </c>
      <c r="R292" s="6">
        <v>-1.8135566711425799</v>
      </c>
      <c r="S292" s="6">
        <v>66.930320739746094</v>
      </c>
      <c r="T292" s="6">
        <v>-0.25273302197456399</v>
      </c>
      <c r="U292" s="6">
        <v>0.84887564182281505</v>
      </c>
      <c r="V292" s="6">
        <v>-24.194198608398398</v>
      </c>
      <c r="W292" s="6">
        <v>-17.738719940185501</v>
      </c>
    </row>
    <row r="293" spans="1:23" ht="18.95" customHeight="1">
      <c r="A293" s="4">
        <v>289</v>
      </c>
      <c r="B293" s="4">
        <v>6209</v>
      </c>
      <c r="C293" s="4">
        <v>0</v>
      </c>
      <c r="D293" s="6">
        <v>0</v>
      </c>
      <c r="E293" s="6">
        <v>0</v>
      </c>
      <c r="F293" s="6">
        <v>-67.9375</v>
      </c>
      <c r="G293" s="6">
        <v>-1.4375</v>
      </c>
      <c r="H293" s="6">
        <v>-0.75</v>
      </c>
      <c r="I293" s="6">
        <v>1.375</v>
      </c>
      <c r="J293" s="6">
        <v>-1.9375</v>
      </c>
      <c r="K293" s="6">
        <v>-4.625</v>
      </c>
      <c r="L293" s="6">
        <v>-72.6875</v>
      </c>
      <c r="M293" s="6">
        <v>0.875</v>
      </c>
      <c r="N293" s="6">
        <v>-0.1875</v>
      </c>
      <c r="O293" s="6">
        <v>359.9375</v>
      </c>
      <c r="P293" s="6">
        <v>-2.375</v>
      </c>
      <c r="Q293" s="6">
        <v>0.625</v>
      </c>
      <c r="R293" s="6">
        <v>-2.4395108222961399</v>
      </c>
      <c r="S293" s="6">
        <v>67.037193298339801</v>
      </c>
      <c r="T293" s="6">
        <v>-0.22219866514205899</v>
      </c>
      <c r="U293" s="6">
        <v>0.86278426647186302</v>
      </c>
      <c r="V293" s="6">
        <v>-22.404935836791999</v>
      </c>
      <c r="W293" s="6">
        <v>-17.743013381958001</v>
      </c>
    </row>
    <row r="294" spans="1:23" ht="18.95" customHeight="1">
      <c r="A294" s="4">
        <v>290</v>
      </c>
      <c r="B294" s="4">
        <v>6230</v>
      </c>
      <c r="C294" s="4">
        <v>0</v>
      </c>
      <c r="D294" s="6">
        <v>0</v>
      </c>
      <c r="E294" s="6">
        <v>0</v>
      </c>
      <c r="F294" s="6">
        <v>-68.6875</v>
      </c>
      <c r="G294" s="6">
        <v>-1.4375</v>
      </c>
      <c r="H294" s="6">
        <v>-0.625</v>
      </c>
      <c r="I294" s="6">
        <v>1.375</v>
      </c>
      <c r="J294" s="6">
        <v>-1.875</v>
      </c>
      <c r="K294" s="6">
        <v>-3.3125</v>
      </c>
      <c r="L294" s="6">
        <v>-67.625</v>
      </c>
      <c r="M294" s="6">
        <v>0.6875</v>
      </c>
      <c r="N294" s="6">
        <v>0.1875</v>
      </c>
      <c r="O294" s="6">
        <v>359.9375</v>
      </c>
      <c r="P294" s="6">
        <v>-2.375</v>
      </c>
      <c r="Q294" s="6">
        <v>2</v>
      </c>
      <c r="R294" s="6">
        <v>-2.1952357292175302</v>
      </c>
      <c r="S294" s="6">
        <v>68.869255065917997</v>
      </c>
      <c r="T294" s="6">
        <v>0.41902267932891801</v>
      </c>
      <c r="U294" s="6">
        <v>0.72351455688476596</v>
      </c>
      <c r="V294" s="6">
        <v>-21.225650787353501</v>
      </c>
      <c r="W294" s="6">
        <v>-17.7419624328613</v>
      </c>
    </row>
    <row r="295" spans="1:23" ht="18.95" customHeight="1">
      <c r="A295" s="4">
        <v>291</v>
      </c>
      <c r="B295" s="4">
        <v>6250</v>
      </c>
      <c r="C295" s="4">
        <v>0</v>
      </c>
      <c r="D295" s="6">
        <v>0</v>
      </c>
      <c r="E295" s="6">
        <v>0</v>
      </c>
      <c r="F295" s="6">
        <v>-70.6875</v>
      </c>
      <c r="G295" s="6">
        <v>-0.9375</v>
      </c>
      <c r="H295" s="6">
        <v>-0.4375</v>
      </c>
      <c r="I295" s="6">
        <v>1.375</v>
      </c>
      <c r="J295" s="6">
        <v>-1.875</v>
      </c>
      <c r="K295" s="6">
        <v>-1.9375</v>
      </c>
      <c r="L295" s="6">
        <v>-66.5</v>
      </c>
      <c r="M295" s="6">
        <v>0.625</v>
      </c>
      <c r="N295" s="6">
        <v>0</v>
      </c>
      <c r="O295" s="6">
        <v>359.875</v>
      </c>
      <c r="P295" s="6">
        <v>-2.375</v>
      </c>
      <c r="Q295" s="6">
        <v>3.25</v>
      </c>
      <c r="R295" s="6">
        <v>-1.8593578338623</v>
      </c>
      <c r="S295" s="6">
        <v>68.228034973144503</v>
      </c>
      <c r="T295" s="6">
        <v>0.32741963863372803</v>
      </c>
      <c r="U295" s="6">
        <v>0.661809802055359</v>
      </c>
      <c r="V295" s="6">
        <v>-19.623455047607401</v>
      </c>
      <c r="W295" s="6">
        <v>-17.744010925293001</v>
      </c>
    </row>
    <row r="296" spans="1:23" ht="18.95" customHeight="1">
      <c r="A296" s="4">
        <v>292</v>
      </c>
      <c r="B296" s="4">
        <v>6272</v>
      </c>
      <c r="C296" s="4">
        <v>1</v>
      </c>
      <c r="D296" s="6">
        <v>0</v>
      </c>
      <c r="E296" s="6">
        <v>0</v>
      </c>
      <c r="F296" s="6">
        <v>-70.4375</v>
      </c>
      <c r="G296" s="6">
        <v>-1.125</v>
      </c>
      <c r="H296" s="6">
        <v>-0.3125</v>
      </c>
      <c r="I296" s="6">
        <v>1.3125</v>
      </c>
      <c r="J296" s="6">
        <v>-1.8125</v>
      </c>
      <c r="K296" s="6">
        <v>-0.5625</v>
      </c>
      <c r="L296" s="6">
        <v>-59.0625</v>
      </c>
      <c r="M296" s="6">
        <v>0.5</v>
      </c>
      <c r="N296" s="6">
        <v>6.25E-2</v>
      </c>
      <c r="O296" s="6">
        <v>359.875</v>
      </c>
      <c r="P296" s="6">
        <v>-2.375</v>
      </c>
      <c r="Q296" s="6">
        <v>4.4375</v>
      </c>
      <c r="R296" s="6">
        <v>-2.57691526412964</v>
      </c>
      <c r="S296" s="6">
        <v>68.624977111816406</v>
      </c>
      <c r="T296" s="6">
        <v>-0.206931471824646</v>
      </c>
      <c r="U296" s="6">
        <v>0.64130979776382402</v>
      </c>
      <c r="V296" s="6">
        <v>-17.949457168579102</v>
      </c>
      <c r="W296" s="6">
        <v>-17.75559425354</v>
      </c>
    </row>
    <row r="297" spans="1:23" ht="18.95" customHeight="1">
      <c r="A297" s="4">
        <v>293</v>
      </c>
      <c r="B297" s="4">
        <v>6292</v>
      </c>
      <c r="C297" s="4">
        <v>1</v>
      </c>
      <c r="D297" s="6">
        <v>0</v>
      </c>
      <c r="E297" s="6">
        <v>0</v>
      </c>
      <c r="F297" s="6">
        <v>-70.8125</v>
      </c>
      <c r="G297" s="6">
        <v>-1.75</v>
      </c>
      <c r="H297" s="6">
        <v>-0.9375</v>
      </c>
      <c r="I297" s="6">
        <v>1.3125</v>
      </c>
      <c r="J297" s="6">
        <v>-1.8125</v>
      </c>
      <c r="K297" s="6">
        <v>0.75</v>
      </c>
      <c r="L297" s="6">
        <v>-54.5</v>
      </c>
      <c r="M297" s="6">
        <v>0.625</v>
      </c>
      <c r="N297" s="6">
        <v>-0.1875</v>
      </c>
      <c r="O297" s="6">
        <v>359.875</v>
      </c>
      <c r="P297" s="6">
        <v>-2.375</v>
      </c>
      <c r="Q297" s="6">
        <v>5.5</v>
      </c>
      <c r="R297" s="6">
        <v>-2.5616478919982901</v>
      </c>
      <c r="S297" s="6">
        <v>66.808189392089801</v>
      </c>
      <c r="T297" s="6">
        <v>0.57169449329376198</v>
      </c>
      <c r="U297" s="6">
        <v>0.54403638839721702</v>
      </c>
      <c r="V297" s="6">
        <v>-16.382534027099599</v>
      </c>
      <c r="W297" s="6">
        <v>-17.757564544677699</v>
      </c>
    </row>
    <row r="298" spans="1:23" ht="18.95" customHeight="1">
      <c r="A298" s="4">
        <v>294</v>
      </c>
      <c r="B298" s="4">
        <v>6314</v>
      </c>
      <c r="C298" s="4">
        <v>1</v>
      </c>
      <c r="D298" s="6">
        <v>0</v>
      </c>
      <c r="E298" s="6">
        <v>0</v>
      </c>
      <c r="F298" s="6">
        <v>-69.0625</v>
      </c>
      <c r="G298" s="6">
        <v>-1.25</v>
      </c>
      <c r="H298" s="6">
        <v>-0.3125</v>
      </c>
      <c r="I298" s="6">
        <v>1.3125</v>
      </c>
      <c r="J298" s="6">
        <v>-1.75</v>
      </c>
      <c r="K298" s="6">
        <v>2.0625</v>
      </c>
      <c r="L298" s="6">
        <v>-47.375</v>
      </c>
      <c r="M298" s="6">
        <v>0.1875</v>
      </c>
      <c r="N298" s="6">
        <v>0.1875</v>
      </c>
      <c r="O298" s="6">
        <v>359.8125</v>
      </c>
      <c r="P298" s="6">
        <v>-2.375</v>
      </c>
      <c r="Q298" s="6">
        <v>6.4375</v>
      </c>
      <c r="R298" s="6">
        <v>-1.70668649673462</v>
      </c>
      <c r="S298" s="6">
        <v>66.792915344238295</v>
      </c>
      <c r="T298" s="6">
        <v>-0.46647346019744901</v>
      </c>
      <c r="U298" s="6">
        <v>0.56386399269104004</v>
      </c>
      <c r="V298" s="6">
        <v>-14.820116996765099</v>
      </c>
      <c r="W298" s="6">
        <v>-17.7594909667969</v>
      </c>
    </row>
    <row r="299" spans="1:23" ht="18.95" customHeight="1">
      <c r="A299" s="4">
        <v>295</v>
      </c>
      <c r="B299" s="4">
        <v>6334</v>
      </c>
      <c r="C299" s="4">
        <v>1</v>
      </c>
      <c r="D299" s="6">
        <v>0</v>
      </c>
      <c r="E299" s="6">
        <v>0</v>
      </c>
      <c r="F299" s="6">
        <v>-69.25</v>
      </c>
      <c r="G299" s="6">
        <v>-1.375</v>
      </c>
      <c r="H299" s="6">
        <v>-1</v>
      </c>
      <c r="I299" s="6">
        <v>1.3125</v>
      </c>
      <c r="J299" s="6">
        <v>-1.75</v>
      </c>
      <c r="K299" s="6">
        <v>3.4375</v>
      </c>
      <c r="L299" s="6">
        <v>-43</v>
      </c>
      <c r="M299" s="6">
        <v>0.625</v>
      </c>
      <c r="N299" s="6">
        <v>-0.3125</v>
      </c>
      <c r="O299" s="6">
        <v>359.8125</v>
      </c>
      <c r="P299" s="6">
        <v>-2.375</v>
      </c>
      <c r="Q299" s="6">
        <v>7.3125</v>
      </c>
      <c r="R299" s="6">
        <v>-2.39370918273926</v>
      </c>
      <c r="S299" s="6">
        <v>64.151695251464801</v>
      </c>
      <c r="T299" s="6">
        <v>0.26635098457336398</v>
      </c>
      <c r="U299" s="6">
        <v>0.50023519992828402</v>
      </c>
      <c r="V299" s="6">
        <v>-13.2339992523193</v>
      </c>
      <c r="W299" s="6">
        <v>-17.762821197509801</v>
      </c>
    </row>
    <row r="300" spans="1:23" ht="18.95" customHeight="1">
      <c r="A300" s="4">
        <v>296</v>
      </c>
      <c r="B300" s="4">
        <v>6356</v>
      </c>
      <c r="C300" s="4">
        <v>1</v>
      </c>
      <c r="D300" s="6">
        <v>0</v>
      </c>
      <c r="E300" s="6">
        <v>0</v>
      </c>
      <c r="F300" s="6">
        <v>-66.5625</v>
      </c>
      <c r="G300" s="6">
        <v>-1.875</v>
      </c>
      <c r="H300" s="6">
        <v>-0.625</v>
      </c>
      <c r="I300" s="6">
        <v>1.3125</v>
      </c>
      <c r="J300" s="6">
        <v>-1.6875</v>
      </c>
      <c r="K300" s="6">
        <v>4.75</v>
      </c>
      <c r="L300" s="6">
        <v>-35.1875</v>
      </c>
      <c r="M300" s="6">
        <v>-6.25E-2</v>
      </c>
      <c r="N300" s="6">
        <v>0.1875</v>
      </c>
      <c r="O300" s="6">
        <v>359.8125</v>
      </c>
      <c r="P300" s="6">
        <v>-2.375</v>
      </c>
      <c r="Q300" s="6">
        <v>8</v>
      </c>
      <c r="R300" s="6">
        <v>-1.7830219268798799</v>
      </c>
      <c r="S300" s="6">
        <v>61.922691345214801</v>
      </c>
      <c r="T300" s="6">
        <v>-0.497007817029953</v>
      </c>
      <c r="U300" s="6">
        <v>0.406697958707809</v>
      </c>
      <c r="V300" s="6">
        <v>-11.6522359848022</v>
      </c>
      <c r="W300" s="6">
        <v>-17.773332595825199</v>
      </c>
    </row>
    <row r="301" spans="1:23" ht="18.95" customHeight="1">
      <c r="A301" s="4">
        <v>297</v>
      </c>
      <c r="B301" s="4">
        <v>6377</v>
      </c>
      <c r="C301" s="4">
        <v>1</v>
      </c>
      <c r="D301" s="6">
        <v>0</v>
      </c>
      <c r="E301" s="6">
        <v>0</v>
      </c>
      <c r="F301" s="6">
        <v>-65.1875</v>
      </c>
      <c r="G301" s="6">
        <v>-1.125</v>
      </c>
      <c r="H301" s="6">
        <v>-0.8125</v>
      </c>
      <c r="I301" s="6">
        <v>1.3125</v>
      </c>
      <c r="J301" s="6">
        <v>-1.6875</v>
      </c>
      <c r="K301" s="6">
        <v>6.625</v>
      </c>
      <c r="L301" s="6">
        <v>-29.75</v>
      </c>
      <c r="M301" s="6">
        <v>0.4375</v>
      </c>
      <c r="N301" s="6">
        <v>-0.125</v>
      </c>
      <c r="O301" s="6">
        <v>359.8125</v>
      </c>
      <c r="P301" s="6">
        <v>-2.375</v>
      </c>
      <c r="Q301" s="6">
        <v>8.625</v>
      </c>
      <c r="R301" s="6">
        <v>-2.2868390083313002</v>
      </c>
      <c r="S301" s="6">
        <v>59.510475158691399</v>
      </c>
      <c r="T301" s="6">
        <v>-8.4794104099273696E-2</v>
      </c>
      <c r="U301" s="6">
        <v>0.40981253981590299</v>
      </c>
      <c r="V301" s="6">
        <v>-10.184643745422401</v>
      </c>
      <c r="W301" s="6">
        <v>-17.773817062377901</v>
      </c>
    </row>
    <row r="302" spans="1:23" ht="18.95" customHeight="1">
      <c r="A302" s="4">
        <v>298</v>
      </c>
      <c r="B302" s="4">
        <v>6399</v>
      </c>
      <c r="C302" s="4">
        <v>1</v>
      </c>
      <c r="D302" s="6">
        <v>0</v>
      </c>
      <c r="E302" s="6">
        <v>0</v>
      </c>
      <c r="F302" s="6">
        <v>-61.625</v>
      </c>
      <c r="G302" s="6">
        <v>-1.375</v>
      </c>
      <c r="H302" s="6">
        <v>-0.8125</v>
      </c>
      <c r="I302" s="6">
        <v>1.3125</v>
      </c>
      <c r="J302" s="6">
        <v>-1.625</v>
      </c>
      <c r="K302" s="6">
        <v>7.8125</v>
      </c>
      <c r="L302" s="6">
        <v>-22.3125</v>
      </c>
      <c r="M302" s="6">
        <v>0</v>
      </c>
      <c r="N302" s="6">
        <v>6.25E-2</v>
      </c>
      <c r="O302" s="6">
        <v>359.75</v>
      </c>
      <c r="P302" s="6">
        <v>-2.375</v>
      </c>
      <c r="Q302" s="6">
        <v>9.125</v>
      </c>
      <c r="R302" s="6">
        <v>-1.8593578338623</v>
      </c>
      <c r="S302" s="6">
        <v>56.792915344238303</v>
      </c>
      <c r="T302" s="6">
        <v>-0.206931471824646</v>
      </c>
      <c r="U302" s="6">
        <v>0.36364293098449701</v>
      </c>
      <c r="V302" s="6">
        <v>-8.6311378479003906</v>
      </c>
      <c r="W302" s="6">
        <v>-17.784172058105501</v>
      </c>
    </row>
    <row r="303" spans="1:23" ht="18.95" customHeight="1">
      <c r="A303" s="4">
        <v>299</v>
      </c>
      <c r="B303" s="4">
        <v>6420</v>
      </c>
      <c r="C303" s="4">
        <v>1</v>
      </c>
      <c r="D303" s="6">
        <v>0</v>
      </c>
      <c r="E303" s="6">
        <v>0</v>
      </c>
      <c r="F303" s="6">
        <v>-58.25</v>
      </c>
      <c r="G303" s="6">
        <v>-1.3125</v>
      </c>
      <c r="H303" s="6">
        <v>-0.8125</v>
      </c>
      <c r="I303" s="6">
        <v>1.3125</v>
      </c>
      <c r="J303" s="6">
        <v>-1.625</v>
      </c>
      <c r="K303" s="6">
        <v>8.9375</v>
      </c>
      <c r="L303" s="6">
        <v>-13.3125</v>
      </c>
      <c r="M303" s="6">
        <v>0.125</v>
      </c>
      <c r="N303" s="6">
        <v>0.125</v>
      </c>
      <c r="O303" s="6">
        <v>359.75</v>
      </c>
      <c r="P303" s="6">
        <v>-2.4375</v>
      </c>
      <c r="Q303" s="6">
        <v>9.875</v>
      </c>
      <c r="R303" s="6">
        <v>-2.57691526412964</v>
      </c>
      <c r="S303" s="6">
        <v>55.342536926269503</v>
      </c>
      <c r="T303" s="6">
        <v>-1.3825039863586399</v>
      </c>
      <c r="U303" s="6">
        <v>0.43827745318412797</v>
      </c>
      <c r="V303" s="6">
        <v>-7.2754478454589799</v>
      </c>
      <c r="W303" s="6">
        <v>-17.7904949188232</v>
      </c>
    </row>
    <row r="304" spans="1:23" ht="18.95" customHeight="1">
      <c r="A304" s="4">
        <v>300</v>
      </c>
      <c r="B304" s="4">
        <v>6443</v>
      </c>
      <c r="C304" s="4">
        <v>1</v>
      </c>
      <c r="D304" s="6">
        <v>0</v>
      </c>
      <c r="E304" s="6">
        <v>0</v>
      </c>
      <c r="F304" s="6">
        <v>-56.6875</v>
      </c>
      <c r="G304" s="6">
        <v>-1.5625</v>
      </c>
      <c r="H304" s="6">
        <v>-1.25</v>
      </c>
      <c r="I304" s="6">
        <v>1.3125</v>
      </c>
      <c r="J304" s="6">
        <v>-1.5625</v>
      </c>
      <c r="K304" s="6">
        <v>10.0625</v>
      </c>
      <c r="L304" s="6">
        <v>-7.9375</v>
      </c>
      <c r="M304" s="6">
        <v>0</v>
      </c>
      <c r="N304" s="6">
        <v>0</v>
      </c>
      <c r="O304" s="6">
        <v>359.75</v>
      </c>
      <c r="P304" s="6">
        <v>-2.4375</v>
      </c>
      <c r="Q304" s="6">
        <v>10.125</v>
      </c>
      <c r="R304" s="6">
        <v>-1.7830219268798799</v>
      </c>
      <c r="S304" s="6">
        <v>51.006660461425803</v>
      </c>
      <c r="T304" s="6">
        <v>0.23581659793853799</v>
      </c>
      <c r="U304" s="6">
        <v>0.29353311657905601</v>
      </c>
      <c r="V304" s="6">
        <v>-6.0004911422729501</v>
      </c>
      <c r="W304" s="6">
        <v>-17.795505523681602</v>
      </c>
    </row>
    <row r="305" spans="1:23" ht="18.95" customHeight="1">
      <c r="A305" s="4">
        <v>301</v>
      </c>
      <c r="B305" s="4">
        <v>6464</v>
      </c>
      <c r="C305" s="4">
        <v>1</v>
      </c>
      <c r="D305" s="6">
        <v>0</v>
      </c>
      <c r="E305" s="6">
        <v>0</v>
      </c>
      <c r="F305" s="6">
        <v>-53.1875</v>
      </c>
      <c r="G305" s="6">
        <v>-1</v>
      </c>
      <c r="H305" s="6">
        <v>-0.5625</v>
      </c>
      <c r="I305" s="6">
        <v>1.3125</v>
      </c>
      <c r="J305" s="6">
        <v>-1.5625</v>
      </c>
      <c r="K305" s="6">
        <v>11.125</v>
      </c>
      <c r="L305" s="6">
        <v>-1.9375</v>
      </c>
      <c r="M305" s="6">
        <v>6.25E-2</v>
      </c>
      <c r="N305" s="6">
        <v>6.25E-2</v>
      </c>
      <c r="O305" s="6">
        <v>359.75</v>
      </c>
      <c r="P305" s="6">
        <v>-2.5</v>
      </c>
      <c r="Q305" s="6">
        <v>10.3125</v>
      </c>
      <c r="R305" s="6">
        <v>-1.50821304321289</v>
      </c>
      <c r="S305" s="6">
        <v>51.296730041503899</v>
      </c>
      <c r="T305" s="6">
        <v>-0.66494673490524303</v>
      </c>
      <c r="U305" s="6">
        <v>0.32021290063857999</v>
      </c>
      <c r="V305" s="6">
        <v>-5.0900921821594203</v>
      </c>
      <c r="W305" s="6">
        <v>-17.8042182922363</v>
      </c>
    </row>
    <row r="306" spans="1:23" ht="18.95" customHeight="1">
      <c r="A306" s="4">
        <v>302</v>
      </c>
      <c r="B306" s="4">
        <v>6485</v>
      </c>
      <c r="C306" s="4">
        <v>1</v>
      </c>
      <c r="D306" s="6">
        <v>0</v>
      </c>
      <c r="E306" s="6">
        <v>0</v>
      </c>
      <c r="F306" s="6">
        <v>-52.75</v>
      </c>
      <c r="G306" s="6">
        <v>-0.875</v>
      </c>
      <c r="H306" s="6">
        <v>-1</v>
      </c>
      <c r="I306" s="6">
        <v>1.3125</v>
      </c>
      <c r="J306" s="6">
        <v>-1.5625</v>
      </c>
      <c r="K306" s="6">
        <v>12.125</v>
      </c>
      <c r="L306" s="6">
        <v>2.625</v>
      </c>
      <c r="M306" s="6">
        <v>0.125</v>
      </c>
      <c r="N306" s="6">
        <v>-0.5625</v>
      </c>
      <c r="O306" s="6">
        <v>359.75</v>
      </c>
      <c r="P306" s="6">
        <v>-2.5</v>
      </c>
      <c r="Q306" s="6">
        <v>10.4375</v>
      </c>
      <c r="R306" s="6">
        <v>-2.5921826362609899</v>
      </c>
      <c r="S306" s="6">
        <v>45.479942321777301</v>
      </c>
      <c r="T306" s="6">
        <v>2.2076129913330099E-2</v>
      </c>
      <c r="U306" s="6">
        <v>0.30485478043556202</v>
      </c>
      <c r="V306" s="6">
        <v>-3.9451816082000701</v>
      </c>
      <c r="W306" s="6">
        <v>-17.8190002441406</v>
      </c>
    </row>
    <row r="307" spans="1:23" ht="18.95" customHeight="1">
      <c r="A307" s="4">
        <v>303</v>
      </c>
      <c r="B307" s="4">
        <v>6521</v>
      </c>
      <c r="C307" s="4">
        <v>1</v>
      </c>
      <c r="D307" s="6">
        <v>0</v>
      </c>
      <c r="E307" s="6">
        <v>0</v>
      </c>
      <c r="F307" s="6">
        <v>-46.875</v>
      </c>
      <c r="G307" s="6">
        <v>-2</v>
      </c>
      <c r="H307" s="6">
        <v>-2.0625</v>
      </c>
      <c r="I307" s="6">
        <v>1.3125</v>
      </c>
      <c r="J307" s="6">
        <v>-1.4375</v>
      </c>
      <c r="K307" s="6">
        <v>14</v>
      </c>
      <c r="L307" s="6">
        <v>13.25</v>
      </c>
      <c r="M307" s="6">
        <v>-0.125</v>
      </c>
      <c r="N307" s="6">
        <v>-6.25E-2</v>
      </c>
      <c r="O307" s="6">
        <v>359.75</v>
      </c>
      <c r="P307" s="6">
        <v>-2.5625</v>
      </c>
      <c r="Q307" s="6">
        <v>10.25</v>
      </c>
      <c r="R307" s="6">
        <v>-1.1570680141448999</v>
      </c>
      <c r="S307" s="6">
        <v>40.686042785644503</v>
      </c>
      <c r="T307" s="6">
        <v>-3.8992583751678501E-2</v>
      </c>
      <c r="U307" s="6">
        <v>0.17065131664276101</v>
      </c>
      <c r="V307" s="6">
        <v>-2.5562434196472199</v>
      </c>
      <c r="W307" s="6">
        <v>-17.845777511596701</v>
      </c>
    </row>
    <row r="308" spans="1:23" ht="18.95" customHeight="1">
      <c r="A308" s="4">
        <v>304</v>
      </c>
      <c r="B308" s="4">
        <v>6541</v>
      </c>
      <c r="C308" s="4">
        <v>1</v>
      </c>
      <c r="D308" s="6">
        <v>0</v>
      </c>
      <c r="E308" s="6">
        <v>0</v>
      </c>
      <c r="F308" s="6">
        <v>-42.8125</v>
      </c>
      <c r="G308" s="6">
        <v>-0.5</v>
      </c>
      <c r="H308" s="6">
        <v>-6.25E-2</v>
      </c>
      <c r="I308" s="6">
        <v>1.3125</v>
      </c>
      <c r="J308" s="6">
        <v>-1.4375</v>
      </c>
      <c r="K308" s="6">
        <v>14.875</v>
      </c>
      <c r="L308" s="6">
        <v>17.5625</v>
      </c>
      <c r="M308" s="6">
        <v>0</v>
      </c>
      <c r="N308" s="6">
        <v>-0.125</v>
      </c>
      <c r="O308" s="6">
        <v>359.8125</v>
      </c>
      <c r="P308" s="6">
        <v>-2.5625</v>
      </c>
      <c r="Q308" s="6">
        <v>9.9375</v>
      </c>
      <c r="R308" s="6">
        <v>-1.0654649734497099</v>
      </c>
      <c r="S308" s="6">
        <v>40.1058959960938</v>
      </c>
      <c r="T308" s="6">
        <v>-0.64967960119247403</v>
      </c>
      <c r="U308" s="6">
        <v>0.22157390415668499</v>
      </c>
      <c r="V308" s="6">
        <v>-1.7474732398986801</v>
      </c>
      <c r="W308" s="6">
        <v>-17.8433723449707</v>
      </c>
    </row>
    <row r="309" spans="1:23" ht="18.95" customHeight="1">
      <c r="A309" s="4">
        <v>305</v>
      </c>
      <c r="B309" s="4">
        <v>6562</v>
      </c>
      <c r="C309" s="4">
        <v>1</v>
      </c>
      <c r="D309" s="6">
        <v>0</v>
      </c>
      <c r="E309" s="6">
        <v>0</v>
      </c>
      <c r="F309" s="6">
        <v>-41.4375</v>
      </c>
      <c r="G309" s="6">
        <v>-0.75</v>
      </c>
      <c r="H309" s="6">
        <v>-0.6875</v>
      </c>
      <c r="I309" s="6">
        <v>1.3125</v>
      </c>
      <c r="J309" s="6">
        <v>-1.4375</v>
      </c>
      <c r="K309" s="6">
        <v>15.9375</v>
      </c>
      <c r="L309" s="6">
        <v>22.4375</v>
      </c>
      <c r="M309" s="6">
        <v>-0.3125</v>
      </c>
      <c r="N309" s="6">
        <v>0</v>
      </c>
      <c r="O309" s="6">
        <v>359.8125</v>
      </c>
      <c r="P309" s="6">
        <v>-2.5625</v>
      </c>
      <c r="Q309" s="6">
        <v>9.5</v>
      </c>
      <c r="R309" s="6">
        <v>-1.4624114036560101</v>
      </c>
      <c r="S309" s="6">
        <v>36.838714599609403</v>
      </c>
      <c r="T309" s="6">
        <v>-0.66494673490524303</v>
      </c>
      <c r="U309" s="6">
        <v>0.14024235308170299</v>
      </c>
      <c r="V309" s="6">
        <v>-1.26472544670105</v>
      </c>
      <c r="W309" s="6">
        <v>-17.861314773559599</v>
      </c>
    </row>
    <row r="310" spans="1:23" ht="18.95" customHeight="1">
      <c r="A310" s="4">
        <v>306</v>
      </c>
      <c r="B310" s="4">
        <v>6582</v>
      </c>
      <c r="C310" s="4">
        <v>1</v>
      </c>
      <c r="D310" s="6">
        <v>0</v>
      </c>
      <c r="E310" s="6">
        <v>0</v>
      </c>
      <c r="F310" s="6">
        <v>-38.4375</v>
      </c>
      <c r="G310" s="6">
        <v>-1.375</v>
      </c>
      <c r="H310" s="6">
        <v>-1</v>
      </c>
      <c r="I310" s="6">
        <v>1.3125</v>
      </c>
      <c r="J310" s="6">
        <v>-1.4375</v>
      </c>
      <c r="K310" s="6">
        <v>16.8125</v>
      </c>
      <c r="L310" s="6">
        <v>25.5</v>
      </c>
      <c r="M310" s="6">
        <v>-0.4375</v>
      </c>
      <c r="N310" s="6">
        <v>-6.25E-2</v>
      </c>
      <c r="O310" s="6">
        <v>359.8125</v>
      </c>
      <c r="P310" s="6">
        <v>-2.5625</v>
      </c>
      <c r="Q310" s="6">
        <v>9.0625</v>
      </c>
      <c r="R310" s="6">
        <v>-0.53111386299133301</v>
      </c>
      <c r="S310" s="6">
        <v>35.312004089355497</v>
      </c>
      <c r="T310" s="6">
        <v>0.23581659793853799</v>
      </c>
      <c r="U310" s="6">
        <v>7.3619559407234201E-3</v>
      </c>
      <c r="V310" s="6">
        <v>-0.56303447484970104</v>
      </c>
      <c r="W310" s="6">
        <v>-17.865924835205099</v>
      </c>
    </row>
    <row r="311" spans="1:23" ht="18.95" customHeight="1">
      <c r="A311" s="4">
        <v>307</v>
      </c>
      <c r="B311" s="4">
        <v>6603</v>
      </c>
      <c r="C311" s="4">
        <v>1</v>
      </c>
      <c r="D311" s="6">
        <v>0</v>
      </c>
      <c r="E311" s="6">
        <v>0</v>
      </c>
      <c r="F311" s="6">
        <v>-37.0625</v>
      </c>
      <c r="G311" s="6">
        <v>-0.4375</v>
      </c>
      <c r="H311" s="6">
        <v>-0.375</v>
      </c>
      <c r="I311" s="6">
        <v>1.3125</v>
      </c>
      <c r="J311" s="6">
        <v>-1.4375</v>
      </c>
      <c r="K311" s="6">
        <v>17.75</v>
      </c>
      <c r="L311" s="6">
        <v>30.375</v>
      </c>
      <c r="M311" s="6">
        <v>-0.375</v>
      </c>
      <c r="N311" s="6">
        <v>0.1875</v>
      </c>
      <c r="O311" s="6">
        <v>359.8125</v>
      </c>
      <c r="P311" s="6">
        <v>-2.5625</v>
      </c>
      <c r="Q311" s="6">
        <v>8.5625</v>
      </c>
      <c r="R311" s="6">
        <v>-1.3097395896911601</v>
      </c>
      <c r="S311" s="6">
        <v>32.228031158447301</v>
      </c>
      <c r="T311" s="6">
        <v>-0.69548112154007002</v>
      </c>
      <c r="U311" s="6">
        <v>0.192554891109467</v>
      </c>
      <c r="V311" s="6">
        <v>-0.37015825510025002</v>
      </c>
      <c r="W311" s="6">
        <v>-17.868120193481399</v>
      </c>
    </row>
    <row r="312" spans="1:23" ht="18.95" customHeight="1">
      <c r="A312" s="4">
        <v>308</v>
      </c>
      <c r="B312" s="4">
        <v>6623</v>
      </c>
      <c r="C312" s="4">
        <v>1</v>
      </c>
      <c r="D312" s="6">
        <v>0</v>
      </c>
      <c r="E312" s="6">
        <v>0</v>
      </c>
      <c r="F312" s="6">
        <v>-34.3125</v>
      </c>
      <c r="G312" s="6">
        <v>-0.9375</v>
      </c>
      <c r="H312" s="6">
        <v>-0.625</v>
      </c>
      <c r="I312" s="6">
        <v>1.3125</v>
      </c>
      <c r="J312" s="6">
        <v>-1.375</v>
      </c>
      <c r="K312" s="6">
        <v>18.5</v>
      </c>
      <c r="L312" s="6">
        <v>32.3125</v>
      </c>
      <c r="M312" s="6">
        <v>-0.3125</v>
      </c>
      <c r="N312" s="6">
        <v>-0.1875</v>
      </c>
      <c r="O312" s="6">
        <v>359.8125</v>
      </c>
      <c r="P312" s="6">
        <v>-2.5625</v>
      </c>
      <c r="Q312" s="6">
        <v>7.9375</v>
      </c>
      <c r="R312" s="6">
        <v>-0.77538847923278797</v>
      </c>
      <c r="S312" s="6">
        <v>30.838718414306602</v>
      </c>
      <c r="T312" s="6">
        <v>-0.25273302197456399</v>
      </c>
      <c r="U312" s="6">
        <v>0.13064320385456099</v>
      </c>
      <c r="V312" s="6">
        <v>0.28848758339881903</v>
      </c>
      <c r="W312" s="6">
        <v>-17.877420425415</v>
      </c>
    </row>
    <row r="313" spans="1:23" ht="18.95" customHeight="1">
      <c r="A313" s="4">
        <v>309</v>
      </c>
      <c r="B313" s="4">
        <v>6643</v>
      </c>
      <c r="C313" s="4">
        <v>1</v>
      </c>
      <c r="D313" s="6">
        <v>0</v>
      </c>
      <c r="E313" s="6">
        <v>0</v>
      </c>
      <c r="F313" s="6">
        <v>-32.75</v>
      </c>
      <c r="G313" s="6">
        <v>-1</v>
      </c>
      <c r="H313" s="6">
        <v>-0.6875</v>
      </c>
      <c r="I313" s="6">
        <v>1.3125</v>
      </c>
      <c r="J313" s="6">
        <v>-1.375</v>
      </c>
      <c r="K313" s="6">
        <v>19.25</v>
      </c>
      <c r="L313" s="6">
        <v>37.0625</v>
      </c>
      <c r="M313" s="6">
        <v>-0.4375</v>
      </c>
      <c r="N313" s="6">
        <v>0.1875</v>
      </c>
      <c r="O313" s="6">
        <v>359.875</v>
      </c>
      <c r="P313" s="6">
        <v>-2.5625</v>
      </c>
      <c r="Q313" s="6">
        <v>7.25</v>
      </c>
      <c r="R313" s="6">
        <v>-0.92806029319763195</v>
      </c>
      <c r="S313" s="6">
        <v>28.5028400421143</v>
      </c>
      <c r="T313" s="6">
        <v>8.3144843578338595E-2</v>
      </c>
      <c r="U313" s="6">
        <v>6.4424745738506303E-2</v>
      </c>
      <c r="V313" s="6">
        <v>0.45663285255432101</v>
      </c>
      <c r="W313" s="6">
        <v>-17.876298904418899</v>
      </c>
    </row>
    <row r="314" spans="1:23" ht="18.95" customHeight="1">
      <c r="A314" s="4">
        <v>310</v>
      </c>
      <c r="B314" s="4">
        <v>6665</v>
      </c>
      <c r="C314" s="4">
        <v>1</v>
      </c>
      <c r="D314" s="6">
        <v>0</v>
      </c>
      <c r="E314" s="6">
        <v>0</v>
      </c>
      <c r="F314" s="6">
        <v>-30.625</v>
      </c>
      <c r="G314" s="6">
        <v>-0.6875</v>
      </c>
      <c r="H314" s="6">
        <v>-0.5625</v>
      </c>
      <c r="I314" s="6">
        <v>1.3125</v>
      </c>
      <c r="J314" s="6">
        <v>-1.375</v>
      </c>
      <c r="K314" s="6">
        <v>19.8125</v>
      </c>
      <c r="L314" s="6">
        <v>38.9375</v>
      </c>
      <c r="M314" s="6">
        <v>-0.4375</v>
      </c>
      <c r="N314" s="6">
        <v>-0.125</v>
      </c>
      <c r="O314" s="6">
        <v>359.875</v>
      </c>
      <c r="P314" s="6">
        <v>-2.5625</v>
      </c>
      <c r="Q314" s="6">
        <v>6.5</v>
      </c>
      <c r="R314" s="6">
        <v>-0.65325117111206099</v>
      </c>
      <c r="S314" s="6">
        <v>27.189863204956101</v>
      </c>
      <c r="T314" s="6">
        <v>-0.37487041950225802</v>
      </c>
      <c r="U314" s="6">
        <v>8.5116118192672702E-2</v>
      </c>
      <c r="V314" s="6">
        <v>1.00559937953949</v>
      </c>
      <c r="W314" s="6">
        <v>-17.876111984252901</v>
      </c>
    </row>
    <row r="315" spans="1:23" ht="18.95" customHeight="1">
      <c r="A315" s="4">
        <v>311</v>
      </c>
      <c r="B315" s="4">
        <v>6685</v>
      </c>
      <c r="C315" s="4">
        <v>1</v>
      </c>
      <c r="D315" s="6">
        <v>0</v>
      </c>
      <c r="E315" s="6">
        <v>0</v>
      </c>
      <c r="F315" s="6">
        <v>-29</v>
      </c>
      <c r="G315" s="6">
        <v>-0.5</v>
      </c>
      <c r="H315" s="6">
        <v>-0.4375</v>
      </c>
      <c r="I315" s="6">
        <v>1.3125</v>
      </c>
      <c r="J315" s="6">
        <v>-1.375</v>
      </c>
      <c r="K315" s="6">
        <v>20.5</v>
      </c>
      <c r="L315" s="6">
        <v>42.375</v>
      </c>
      <c r="M315" s="6">
        <v>-0.4375</v>
      </c>
      <c r="N315" s="6">
        <v>-6.25E-2</v>
      </c>
      <c r="O315" s="6">
        <v>359.875</v>
      </c>
      <c r="P315" s="6">
        <v>-2.5625</v>
      </c>
      <c r="Q315" s="6">
        <v>5.6875</v>
      </c>
      <c r="R315" s="6">
        <v>-0.74485421180725098</v>
      </c>
      <c r="S315" s="6">
        <v>24.7929172515869</v>
      </c>
      <c r="T315" s="6">
        <v>0.26635098457336398</v>
      </c>
      <c r="U315" s="6">
        <v>2.7470365166664099E-2</v>
      </c>
      <c r="V315" s="6">
        <v>1.0640207529068</v>
      </c>
      <c r="W315" s="6">
        <v>-17.877128601074201</v>
      </c>
    </row>
    <row r="316" spans="1:23" ht="18.95" customHeight="1">
      <c r="A316" s="4">
        <v>312</v>
      </c>
      <c r="B316" s="4">
        <v>6706</v>
      </c>
      <c r="C316" s="4">
        <v>1</v>
      </c>
      <c r="D316" s="6">
        <v>0</v>
      </c>
      <c r="E316" s="6">
        <v>0</v>
      </c>
      <c r="F316" s="6">
        <v>-26.6875</v>
      </c>
      <c r="G316" s="6">
        <v>-0.75</v>
      </c>
      <c r="H316" s="6">
        <v>-0.8125</v>
      </c>
      <c r="I316" s="6">
        <v>1.3125</v>
      </c>
      <c r="J316" s="6">
        <v>-1.375</v>
      </c>
      <c r="K316" s="6">
        <v>21.0625</v>
      </c>
      <c r="L316" s="6">
        <v>43.6875</v>
      </c>
      <c r="M316" s="6">
        <v>-0.375</v>
      </c>
      <c r="N316" s="6">
        <v>-0.25</v>
      </c>
      <c r="O316" s="6">
        <v>359.875</v>
      </c>
      <c r="P316" s="6">
        <v>-2.5625</v>
      </c>
      <c r="Q316" s="6">
        <v>4.8125</v>
      </c>
      <c r="R316" s="6">
        <v>-0.54638099670410201</v>
      </c>
      <c r="S316" s="6">
        <v>23.922687530517599</v>
      </c>
      <c r="T316" s="6">
        <v>6.7877650260925307E-2</v>
      </c>
      <c r="U316" s="6">
        <v>1.01874470710754E-2</v>
      </c>
      <c r="V316" s="6">
        <v>1.3450837135314899</v>
      </c>
      <c r="W316" s="6">
        <v>-17.872491836547901</v>
      </c>
    </row>
    <row r="317" spans="1:23" ht="18.95" customHeight="1">
      <c r="A317" s="4">
        <v>313</v>
      </c>
      <c r="B317" s="4">
        <v>6727</v>
      </c>
      <c r="C317" s="4">
        <v>1</v>
      </c>
      <c r="D317" s="6">
        <v>0</v>
      </c>
      <c r="E317" s="6">
        <v>0</v>
      </c>
      <c r="F317" s="6">
        <v>-24.8125</v>
      </c>
      <c r="G317" s="6">
        <v>0</v>
      </c>
      <c r="H317" s="6">
        <v>-0.3125</v>
      </c>
      <c r="I317" s="6">
        <v>1.3125</v>
      </c>
      <c r="J317" s="6">
        <v>-1.375</v>
      </c>
      <c r="K317" s="6">
        <v>21.625</v>
      </c>
      <c r="L317" s="6">
        <v>45.6875</v>
      </c>
      <c r="M317" s="6">
        <v>-0.3125</v>
      </c>
      <c r="N317" s="6">
        <v>0.125</v>
      </c>
      <c r="O317" s="6">
        <v>359.9375</v>
      </c>
      <c r="P317" s="6">
        <v>-2.5625</v>
      </c>
      <c r="Q317" s="6">
        <v>3.5</v>
      </c>
      <c r="R317" s="6">
        <v>-1.23340392112732</v>
      </c>
      <c r="S317" s="6">
        <v>21.8158168792725</v>
      </c>
      <c r="T317" s="6">
        <v>-0.26800018548965499</v>
      </c>
      <c r="U317" s="6">
        <v>0.158635929226875</v>
      </c>
      <c r="V317" s="6">
        <v>1.4820135831832899</v>
      </c>
      <c r="W317" s="6">
        <v>-17.871801376342798</v>
      </c>
    </row>
    <row r="318" spans="1:23" ht="18.95" customHeight="1">
      <c r="A318" s="4">
        <v>314</v>
      </c>
      <c r="B318" s="4">
        <v>6747</v>
      </c>
      <c r="C318" s="4">
        <v>1</v>
      </c>
      <c r="D318" s="6">
        <v>0</v>
      </c>
      <c r="E318" s="6">
        <v>0</v>
      </c>
      <c r="F318" s="6">
        <v>-23.4375</v>
      </c>
      <c r="G318" s="6">
        <v>-0.6875</v>
      </c>
      <c r="H318" s="6">
        <v>-0.5</v>
      </c>
      <c r="I318" s="6">
        <v>1.3125</v>
      </c>
      <c r="J318" s="6">
        <v>-1.375</v>
      </c>
      <c r="K318" s="6">
        <v>22.125</v>
      </c>
      <c r="L318" s="6">
        <v>47.5</v>
      </c>
      <c r="M318" s="6">
        <v>-0.5625</v>
      </c>
      <c r="N318" s="6">
        <v>0</v>
      </c>
      <c r="O318" s="6">
        <v>359.9375</v>
      </c>
      <c r="P318" s="6">
        <v>-2.5625</v>
      </c>
      <c r="Q318" s="6">
        <v>3.0625</v>
      </c>
      <c r="R318" s="6">
        <v>-0.85172438621520996</v>
      </c>
      <c r="S318" s="6">
        <v>20.731847763061499</v>
      </c>
      <c r="T318" s="6">
        <v>-0.100061237812042</v>
      </c>
      <c r="U318" s="6">
        <v>4.6398557722568498E-2</v>
      </c>
      <c r="V318" s="6">
        <v>1.60161221027374</v>
      </c>
      <c r="W318" s="6">
        <v>-17.8759460449219</v>
      </c>
    </row>
    <row r="319" spans="1:23" ht="18.95" customHeight="1">
      <c r="A319" s="4">
        <v>315</v>
      </c>
      <c r="B319" s="4">
        <v>6768</v>
      </c>
      <c r="C319" s="4">
        <v>1</v>
      </c>
      <c r="D319" s="6">
        <v>0</v>
      </c>
      <c r="E319" s="6">
        <v>0</v>
      </c>
      <c r="F319" s="6">
        <v>-21.75</v>
      </c>
      <c r="G319" s="6">
        <v>-0.4375</v>
      </c>
      <c r="H319" s="6">
        <v>-0.6875</v>
      </c>
      <c r="I319" s="6">
        <v>1.3125</v>
      </c>
      <c r="J319" s="6">
        <v>-1.3125</v>
      </c>
      <c r="K319" s="6">
        <v>22.75</v>
      </c>
      <c r="L319" s="6">
        <v>49.25</v>
      </c>
      <c r="M319" s="6">
        <v>-0.4375</v>
      </c>
      <c r="N319" s="6">
        <v>-6.25E-2</v>
      </c>
      <c r="O319" s="6">
        <v>0</v>
      </c>
      <c r="P319" s="6">
        <v>-2.5625</v>
      </c>
      <c r="Q319" s="6">
        <v>1.625</v>
      </c>
      <c r="R319" s="6">
        <v>-0.56164813041687001</v>
      </c>
      <c r="S319" s="6">
        <v>19.724214553833001</v>
      </c>
      <c r="T319" s="6">
        <v>5.2610516548156697E-2</v>
      </c>
      <c r="U319" s="6">
        <v>6.6684886813163799E-2</v>
      </c>
      <c r="V319" s="6">
        <v>1.66706931591034</v>
      </c>
      <c r="W319" s="6">
        <v>-17.871360778808601</v>
      </c>
    </row>
    <row r="320" spans="1:23" ht="18.95" customHeight="1">
      <c r="A320" s="4">
        <v>316</v>
      </c>
      <c r="B320" s="4">
        <v>6789</v>
      </c>
      <c r="C320" s="4">
        <v>1</v>
      </c>
      <c r="D320" s="6">
        <v>0</v>
      </c>
      <c r="E320" s="6">
        <v>0</v>
      </c>
      <c r="F320" s="6">
        <v>-20.5</v>
      </c>
      <c r="G320" s="6">
        <v>-0.25</v>
      </c>
      <c r="H320" s="6">
        <v>-0.125</v>
      </c>
      <c r="I320" s="6">
        <v>1.3125</v>
      </c>
      <c r="J320" s="6">
        <v>-1.3125</v>
      </c>
      <c r="K320" s="6">
        <v>23.1875</v>
      </c>
      <c r="L320" s="6">
        <v>51.125</v>
      </c>
      <c r="M320" s="6">
        <v>-0.5625</v>
      </c>
      <c r="N320" s="6">
        <v>0</v>
      </c>
      <c r="O320" s="6">
        <v>0</v>
      </c>
      <c r="P320" s="6">
        <v>-2.5625</v>
      </c>
      <c r="Q320" s="6">
        <v>0.625</v>
      </c>
      <c r="R320" s="6">
        <v>-0.66851830482482899</v>
      </c>
      <c r="S320" s="6">
        <v>18.563909530639599</v>
      </c>
      <c r="T320" s="6">
        <v>-8.4581971168518101E-3</v>
      </c>
      <c r="U320" s="6">
        <v>9.9997237324714702E-2</v>
      </c>
      <c r="V320" s="6">
        <v>1.77099704742432</v>
      </c>
      <c r="W320" s="6">
        <v>-17.874021530151399</v>
      </c>
    </row>
    <row r="321" spans="1:23" ht="18.95" customHeight="1">
      <c r="A321" s="4">
        <v>317</v>
      </c>
      <c r="B321" s="4">
        <v>6809</v>
      </c>
      <c r="C321" s="4">
        <v>1</v>
      </c>
      <c r="D321" s="6">
        <v>0</v>
      </c>
      <c r="E321" s="6">
        <v>0</v>
      </c>
      <c r="F321" s="6">
        <v>-19.125</v>
      </c>
      <c r="G321" s="6">
        <v>-0.4375</v>
      </c>
      <c r="H321" s="6">
        <v>-0.5625</v>
      </c>
      <c r="I321" s="6">
        <v>1.3125</v>
      </c>
      <c r="J321" s="6">
        <v>-1.3125</v>
      </c>
      <c r="K321" s="6">
        <v>23.625</v>
      </c>
      <c r="L321" s="6">
        <v>52.5625</v>
      </c>
      <c r="M321" s="6">
        <v>-0.5625</v>
      </c>
      <c r="N321" s="6">
        <v>0</v>
      </c>
      <c r="O321" s="6">
        <v>0</v>
      </c>
      <c r="P321" s="6">
        <v>-2.5625</v>
      </c>
      <c r="Q321" s="6">
        <v>-0.375</v>
      </c>
      <c r="R321" s="6">
        <v>-1.0349304676055899</v>
      </c>
      <c r="S321" s="6">
        <v>17.922687530517599</v>
      </c>
      <c r="T321" s="6">
        <v>-0.74128264188766502</v>
      </c>
      <c r="U321" s="6">
        <v>0.12886711955070501</v>
      </c>
      <c r="V321" s="6">
        <v>1.96344590187073</v>
      </c>
      <c r="W321" s="6">
        <v>-17.881061553955099</v>
      </c>
    </row>
    <row r="322" spans="1:23" ht="18.95" customHeight="1">
      <c r="A322" s="4">
        <v>318</v>
      </c>
      <c r="B322" s="4">
        <v>6830</v>
      </c>
      <c r="C322" s="4">
        <v>1</v>
      </c>
      <c r="D322" s="6">
        <v>0</v>
      </c>
      <c r="E322" s="6">
        <v>0</v>
      </c>
      <c r="F322" s="6">
        <v>-18.375</v>
      </c>
      <c r="G322" s="6">
        <v>-0.4375</v>
      </c>
      <c r="H322" s="6">
        <v>-0.6875</v>
      </c>
      <c r="I322" s="6">
        <v>1.3125</v>
      </c>
      <c r="J322" s="6">
        <v>-1.3125</v>
      </c>
      <c r="K322" s="6">
        <v>24</v>
      </c>
      <c r="L322" s="6">
        <v>55.75</v>
      </c>
      <c r="M322" s="6">
        <v>-0.625</v>
      </c>
      <c r="N322" s="6">
        <v>0</v>
      </c>
      <c r="O322" s="6">
        <v>6.25E-2</v>
      </c>
      <c r="P322" s="6">
        <v>-2.5</v>
      </c>
      <c r="Q322" s="6">
        <v>-1.4375</v>
      </c>
      <c r="R322" s="6">
        <v>-1.8440909385681199</v>
      </c>
      <c r="S322" s="6">
        <v>16.151695251464801</v>
      </c>
      <c r="T322" s="6">
        <v>-8.4581971168518101E-3</v>
      </c>
      <c r="U322" s="6">
        <v>0.104263037443161</v>
      </c>
      <c r="V322" s="6">
        <v>1.75400114059448</v>
      </c>
      <c r="W322" s="6">
        <v>-17.891565322876001</v>
      </c>
    </row>
    <row r="323" spans="1:23" ht="18.95" customHeight="1">
      <c r="A323" s="4">
        <v>319</v>
      </c>
      <c r="B323" s="4">
        <v>6850</v>
      </c>
      <c r="C323" s="4">
        <v>1</v>
      </c>
      <c r="D323" s="6">
        <v>0</v>
      </c>
      <c r="E323" s="6">
        <v>0</v>
      </c>
      <c r="F323" s="6">
        <v>-16.6875</v>
      </c>
      <c r="G323" s="6">
        <v>-0.75</v>
      </c>
      <c r="H323" s="6">
        <v>-0.875</v>
      </c>
      <c r="I323" s="6">
        <v>1.3125</v>
      </c>
      <c r="J323" s="6">
        <v>-1.3125</v>
      </c>
      <c r="K323" s="6">
        <v>24.3125</v>
      </c>
      <c r="L323" s="6">
        <v>56</v>
      </c>
      <c r="M323" s="6">
        <v>-0.75</v>
      </c>
      <c r="N323" s="6">
        <v>-0.125</v>
      </c>
      <c r="O323" s="6">
        <v>6.25E-2</v>
      </c>
      <c r="P323" s="6">
        <v>-2.5</v>
      </c>
      <c r="Q323" s="6">
        <v>-2.5</v>
      </c>
      <c r="R323" s="6">
        <v>-0.39370918273925798</v>
      </c>
      <c r="S323" s="6">
        <v>14.808183670043899</v>
      </c>
      <c r="T323" s="6">
        <v>-0.39013758301734902</v>
      </c>
      <c r="U323" s="6">
        <v>0.201452881097794</v>
      </c>
      <c r="V323" s="6">
        <v>1.7837270498275799</v>
      </c>
      <c r="W323" s="6">
        <v>-17.894605636596701</v>
      </c>
    </row>
    <row r="324" spans="1:23" ht="18.95" customHeight="1">
      <c r="A324" s="4">
        <v>320</v>
      </c>
      <c r="B324" s="4">
        <v>6870</v>
      </c>
      <c r="C324" s="4">
        <v>1</v>
      </c>
      <c r="D324" s="6">
        <v>0</v>
      </c>
      <c r="E324" s="6">
        <v>0</v>
      </c>
      <c r="F324" s="6">
        <v>-15.75</v>
      </c>
      <c r="G324" s="6">
        <v>0.1875</v>
      </c>
      <c r="H324" s="6">
        <v>-0.375</v>
      </c>
      <c r="I324" s="6">
        <v>1.3125</v>
      </c>
      <c r="J324" s="6">
        <v>-1.3125</v>
      </c>
      <c r="K324" s="6">
        <v>24.625</v>
      </c>
      <c r="L324" s="6">
        <v>57.375</v>
      </c>
      <c r="M324" s="6">
        <v>-0.5</v>
      </c>
      <c r="N324" s="6">
        <v>0.1875</v>
      </c>
      <c r="O324" s="6">
        <v>6.25E-2</v>
      </c>
      <c r="P324" s="6">
        <v>-2.5</v>
      </c>
      <c r="Q324" s="6">
        <v>-3.625</v>
      </c>
      <c r="R324" s="6">
        <v>-0.95859456062316895</v>
      </c>
      <c r="S324" s="6">
        <v>13.6478786468506</v>
      </c>
      <c r="T324" s="6">
        <v>-0.81761848926544201</v>
      </c>
      <c r="U324" s="6">
        <v>0.233968496322632</v>
      </c>
      <c r="V324" s="6">
        <v>1.70288014411926</v>
      </c>
      <c r="W324" s="6">
        <v>-17.903530120849599</v>
      </c>
    </row>
    <row r="325" spans="1:23" ht="18.95" customHeight="1">
      <c r="A325" s="4">
        <v>321</v>
      </c>
      <c r="B325" s="4">
        <v>6890</v>
      </c>
      <c r="C325" s="4">
        <v>1</v>
      </c>
      <c r="D325" s="6">
        <v>0</v>
      </c>
      <c r="E325" s="6">
        <v>0</v>
      </c>
      <c r="F325" s="6">
        <v>-14.0625</v>
      </c>
      <c r="G325" s="6">
        <v>-0.375</v>
      </c>
      <c r="H325" s="6">
        <v>-0.6875</v>
      </c>
      <c r="I325" s="6">
        <v>1.3125</v>
      </c>
      <c r="J325" s="6">
        <v>-1.3125</v>
      </c>
      <c r="K325" s="6">
        <v>24.875</v>
      </c>
      <c r="L325" s="6">
        <v>57.9375</v>
      </c>
      <c r="M325" s="6">
        <v>-0.5625</v>
      </c>
      <c r="N325" s="6">
        <v>0</v>
      </c>
      <c r="O325" s="6">
        <v>0.125</v>
      </c>
      <c r="P325" s="6">
        <v>-2.5</v>
      </c>
      <c r="Q325" s="6">
        <v>-4.75</v>
      </c>
      <c r="R325" s="6">
        <v>-4.25641536712646E-2</v>
      </c>
      <c r="S325" s="6">
        <v>11.1593284606934</v>
      </c>
      <c r="T325" s="6">
        <v>-0.31380170583724998</v>
      </c>
      <c r="U325" s="6">
        <v>6.9154456257820102E-2</v>
      </c>
      <c r="V325" s="6">
        <v>1.8191014528274501</v>
      </c>
      <c r="W325" s="6">
        <v>-17.9122104644775</v>
      </c>
    </row>
    <row r="326" spans="1:23" ht="18.95" customHeight="1">
      <c r="A326" s="4">
        <v>322</v>
      </c>
      <c r="B326" s="4">
        <v>6923</v>
      </c>
      <c r="C326" s="4">
        <v>1</v>
      </c>
      <c r="D326" s="6">
        <v>0</v>
      </c>
      <c r="E326" s="6">
        <v>0</v>
      </c>
      <c r="F326" s="6">
        <v>-12.1875</v>
      </c>
      <c r="G326" s="6">
        <v>0</v>
      </c>
      <c r="H326" s="6">
        <v>-0.25</v>
      </c>
      <c r="I326" s="6">
        <v>1.3125</v>
      </c>
      <c r="J326" s="6">
        <v>-1.3125</v>
      </c>
      <c r="K326" s="6">
        <v>25.25</v>
      </c>
      <c r="L326" s="6">
        <v>60.3125</v>
      </c>
      <c r="M326" s="6">
        <v>-0.75</v>
      </c>
      <c r="N326" s="6">
        <v>0</v>
      </c>
      <c r="O326" s="6">
        <v>0.125</v>
      </c>
      <c r="P326" s="6">
        <v>-2.5</v>
      </c>
      <c r="Q326" s="6">
        <v>-6.5</v>
      </c>
      <c r="R326" s="6">
        <v>-0.77538847923278797</v>
      </c>
      <c r="S326" s="6">
        <v>10.9913902282715</v>
      </c>
      <c r="T326" s="6">
        <v>-0.81761848926544201</v>
      </c>
      <c r="U326" s="6">
        <v>6.4199626445770305E-2</v>
      </c>
      <c r="V326" s="6">
        <v>2.0346221923828098</v>
      </c>
      <c r="W326" s="6">
        <v>-17.93630027771</v>
      </c>
    </row>
    <row r="327" spans="1:23" ht="18.95" customHeight="1">
      <c r="A327" s="4">
        <v>323</v>
      </c>
      <c r="B327" s="4">
        <v>6945</v>
      </c>
      <c r="C327" s="4">
        <v>1</v>
      </c>
      <c r="D327" s="6">
        <v>0</v>
      </c>
      <c r="E327" s="6">
        <v>0</v>
      </c>
      <c r="F327" s="6">
        <v>-11.1875</v>
      </c>
      <c r="G327" s="6">
        <v>-0.3125</v>
      </c>
      <c r="H327" s="6">
        <v>-0.75</v>
      </c>
      <c r="I327" s="6">
        <v>1.3125</v>
      </c>
      <c r="J327" s="6">
        <v>-1.3125</v>
      </c>
      <c r="K327" s="6">
        <v>25.5</v>
      </c>
      <c r="L327" s="6">
        <v>62.4375</v>
      </c>
      <c r="M327" s="6">
        <v>-0.5625</v>
      </c>
      <c r="N327" s="6">
        <v>6.25E-2</v>
      </c>
      <c r="O327" s="6">
        <v>0.1875</v>
      </c>
      <c r="P327" s="6">
        <v>-2.5</v>
      </c>
      <c r="Q327" s="6">
        <v>-7.6875</v>
      </c>
      <c r="R327" s="6">
        <v>-0.74485421180725098</v>
      </c>
      <c r="S327" s="6">
        <v>9.8158178329467791</v>
      </c>
      <c r="T327" s="6">
        <v>-0.39013758301734902</v>
      </c>
      <c r="U327" s="6">
        <v>3.3564746379852302E-2</v>
      </c>
      <c r="V327" s="6">
        <v>1.7165056467056301</v>
      </c>
      <c r="W327" s="6">
        <v>-17.944364547729499</v>
      </c>
    </row>
    <row r="328" spans="1:23" ht="18.95" customHeight="1">
      <c r="A328" s="4">
        <v>324</v>
      </c>
      <c r="B328" s="4">
        <v>6965</v>
      </c>
      <c r="C328" s="4">
        <v>1</v>
      </c>
      <c r="D328" s="6">
        <v>0</v>
      </c>
      <c r="E328" s="6">
        <v>0</v>
      </c>
      <c r="F328" s="6">
        <v>-10.0625</v>
      </c>
      <c r="G328" s="6">
        <v>-0.1875</v>
      </c>
      <c r="H328" s="6">
        <v>-0.4375</v>
      </c>
      <c r="I328" s="6">
        <v>1.3125</v>
      </c>
      <c r="J328" s="6">
        <v>-1.3125</v>
      </c>
      <c r="K328" s="6">
        <v>25.6875</v>
      </c>
      <c r="L328" s="6">
        <v>62.5625</v>
      </c>
      <c r="M328" s="6">
        <v>-0.5625</v>
      </c>
      <c r="N328" s="6">
        <v>6.25E-2</v>
      </c>
      <c r="O328" s="6">
        <v>0.1875</v>
      </c>
      <c r="P328" s="6">
        <v>-2.5</v>
      </c>
      <c r="Q328" s="6">
        <v>-8.875</v>
      </c>
      <c r="R328" s="6">
        <v>-0.88225889205932595</v>
      </c>
      <c r="S328" s="6">
        <v>8.9608554840087908</v>
      </c>
      <c r="T328" s="6">
        <v>-0.64967960119247403</v>
      </c>
      <c r="U328" s="6">
        <v>9.4777330756187397E-2</v>
      </c>
      <c r="V328" s="6">
        <v>1.84844446182251</v>
      </c>
      <c r="W328" s="6">
        <v>-17.950464248657202</v>
      </c>
    </row>
    <row r="329" spans="1:23" ht="18.95" customHeight="1">
      <c r="A329" s="4">
        <v>325</v>
      </c>
      <c r="B329" s="4">
        <v>6985</v>
      </c>
      <c r="C329" s="4">
        <v>1</v>
      </c>
      <c r="D329" s="6">
        <v>0</v>
      </c>
      <c r="E329" s="6">
        <v>0</v>
      </c>
      <c r="F329" s="6">
        <v>-9.125</v>
      </c>
      <c r="G329" s="6">
        <v>-0.4375</v>
      </c>
      <c r="H329" s="6">
        <v>-0.625</v>
      </c>
      <c r="I329" s="6">
        <v>1.3125</v>
      </c>
      <c r="J329" s="6">
        <v>-1.3125</v>
      </c>
      <c r="K329" s="6">
        <v>25.875</v>
      </c>
      <c r="L329" s="6">
        <v>64.3125</v>
      </c>
      <c r="M329" s="6">
        <v>-0.8125</v>
      </c>
      <c r="N329" s="6">
        <v>0</v>
      </c>
      <c r="O329" s="6">
        <v>0.25</v>
      </c>
      <c r="P329" s="6">
        <v>-2.5</v>
      </c>
      <c r="Q329" s="6">
        <v>-10.125</v>
      </c>
      <c r="R329" s="6">
        <v>-0.40897631645202598</v>
      </c>
      <c r="S329" s="6">
        <v>7.81581735610962</v>
      </c>
      <c r="T329" s="6">
        <v>-0.63441240787506104</v>
      </c>
      <c r="U329" s="6">
        <v>-7.9655293375253695E-3</v>
      </c>
      <c r="V329" s="6">
        <v>1.59993767738342</v>
      </c>
      <c r="W329" s="6">
        <v>-17.970535278320298</v>
      </c>
    </row>
    <row r="330" spans="1:23" ht="18.95" customHeight="1">
      <c r="A330" s="4">
        <v>326</v>
      </c>
      <c r="B330" s="4">
        <v>7006</v>
      </c>
      <c r="C330" s="4">
        <v>1</v>
      </c>
      <c r="D330" s="6">
        <v>0</v>
      </c>
      <c r="E330" s="6">
        <v>0</v>
      </c>
      <c r="F330" s="6">
        <v>-8.1875</v>
      </c>
      <c r="G330" s="6">
        <v>-0.5</v>
      </c>
      <c r="H330" s="6">
        <v>-0.875</v>
      </c>
      <c r="I330" s="6">
        <v>1.3125</v>
      </c>
      <c r="J330" s="6">
        <v>-1.25</v>
      </c>
      <c r="K330" s="6">
        <v>26.0625</v>
      </c>
      <c r="L330" s="6">
        <v>65.125</v>
      </c>
      <c r="M330" s="6">
        <v>-0.6875</v>
      </c>
      <c r="N330" s="6">
        <v>0.125</v>
      </c>
      <c r="O330" s="6">
        <v>0.25</v>
      </c>
      <c r="P330" s="6">
        <v>-2.5</v>
      </c>
      <c r="Q330" s="6">
        <v>-11.375</v>
      </c>
      <c r="R330" s="6">
        <v>-4.25641536712646E-2</v>
      </c>
      <c r="S330" s="6">
        <v>6.5639090538024902</v>
      </c>
      <c r="T330" s="6">
        <v>0.22054940462112399</v>
      </c>
      <c r="U330" s="6">
        <v>-1.05051584541798E-2</v>
      </c>
      <c r="V330" s="6">
        <v>1.5141527652740501</v>
      </c>
      <c r="W330" s="6">
        <v>-17.973682403564499</v>
      </c>
    </row>
    <row r="331" spans="1:23" ht="18.95" customHeight="1">
      <c r="A331" s="4">
        <v>327</v>
      </c>
      <c r="B331" s="4">
        <v>7026</v>
      </c>
      <c r="C331" s="4">
        <v>1</v>
      </c>
      <c r="D331" s="6">
        <v>0</v>
      </c>
      <c r="E331" s="6">
        <v>0</v>
      </c>
      <c r="F331" s="6">
        <v>-7</v>
      </c>
      <c r="G331" s="6">
        <v>0</v>
      </c>
      <c r="H331" s="6">
        <v>-0.125</v>
      </c>
      <c r="I331" s="6">
        <v>1.3125</v>
      </c>
      <c r="J331" s="6">
        <v>-1.25</v>
      </c>
      <c r="K331" s="6">
        <v>26.1875</v>
      </c>
      <c r="L331" s="6">
        <v>65.125</v>
      </c>
      <c r="M331" s="6">
        <v>-0.6875</v>
      </c>
      <c r="N331" s="6">
        <v>0.125</v>
      </c>
      <c r="O331" s="6">
        <v>0.3125</v>
      </c>
      <c r="P331" s="6">
        <v>-2.4375</v>
      </c>
      <c r="Q331" s="6">
        <v>-13.3125</v>
      </c>
      <c r="R331" s="6">
        <v>-0.43951058387756298</v>
      </c>
      <c r="S331" s="6">
        <v>5.4799394607543901</v>
      </c>
      <c r="T331" s="6">
        <v>-1.1229619979858401</v>
      </c>
      <c r="U331" s="6">
        <v>4.8771435394883199E-3</v>
      </c>
      <c r="V331" s="6">
        <v>1.1772272586822501</v>
      </c>
      <c r="W331" s="6">
        <v>-17.994989395141602</v>
      </c>
    </row>
    <row r="332" spans="1:23" ht="18.95" customHeight="1">
      <c r="A332" s="4">
        <v>328</v>
      </c>
      <c r="B332" s="4">
        <v>7047</v>
      </c>
      <c r="C332" s="4">
        <v>1</v>
      </c>
      <c r="D332" s="6">
        <v>0</v>
      </c>
      <c r="E332" s="6">
        <v>0</v>
      </c>
      <c r="F332" s="6">
        <v>-5.9375</v>
      </c>
      <c r="G332" s="6">
        <v>-0.5</v>
      </c>
      <c r="H332" s="6">
        <v>-0.8125</v>
      </c>
      <c r="I332" s="6">
        <v>1.3125</v>
      </c>
      <c r="J332" s="6">
        <v>-1.25</v>
      </c>
      <c r="K332" s="6">
        <v>26.3125</v>
      </c>
      <c r="L332" s="6">
        <v>64.9375</v>
      </c>
      <c r="M332" s="6">
        <v>-0.625</v>
      </c>
      <c r="N332" s="6">
        <v>0</v>
      </c>
      <c r="O332" s="6">
        <v>0.3125</v>
      </c>
      <c r="P332" s="6">
        <v>-2.4375</v>
      </c>
      <c r="Q332" s="6">
        <v>-13.9375</v>
      </c>
      <c r="R332" s="6">
        <v>-1.2029886245727499E-2</v>
      </c>
      <c r="S332" s="6">
        <v>4.3349013328552202</v>
      </c>
      <c r="T332" s="6">
        <v>-0.34433606266975397</v>
      </c>
      <c r="U332" s="6">
        <v>2.2384580224752398E-2</v>
      </c>
      <c r="V332" s="6">
        <v>1.18099749088287</v>
      </c>
      <c r="W332" s="6">
        <v>-17.999862670898398</v>
      </c>
    </row>
    <row r="333" spans="1:23" ht="18.95" customHeight="1">
      <c r="A333" s="4">
        <v>329</v>
      </c>
      <c r="B333" s="4">
        <v>7068</v>
      </c>
      <c r="C333" s="4">
        <v>1</v>
      </c>
      <c r="D333" s="6">
        <v>0</v>
      </c>
      <c r="E333" s="6">
        <v>0</v>
      </c>
      <c r="F333" s="6">
        <v>-4.625</v>
      </c>
      <c r="G333" s="6">
        <v>0</v>
      </c>
      <c r="H333" s="6">
        <v>-0.125</v>
      </c>
      <c r="I333" s="6">
        <v>1.3125</v>
      </c>
      <c r="J333" s="6">
        <v>-1.25</v>
      </c>
      <c r="K333" s="6">
        <v>26.375</v>
      </c>
      <c r="L333" s="6">
        <v>64.4375</v>
      </c>
      <c r="M333" s="6">
        <v>-0.5625</v>
      </c>
      <c r="N333" s="6">
        <v>-6.25E-2</v>
      </c>
      <c r="O333" s="6">
        <v>0.375</v>
      </c>
      <c r="P333" s="6">
        <v>-2.4375</v>
      </c>
      <c r="Q333" s="6">
        <v>-15.8125</v>
      </c>
      <c r="R333" s="6">
        <v>0.20171070098877</v>
      </c>
      <c r="S333" s="6">
        <v>3.2661991119384801</v>
      </c>
      <c r="T333" s="6">
        <v>-0.81761848926544201</v>
      </c>
      <c r="U333" s="6">
        <v>-2.59617436677217E-2</v>
      </c>
      <c r="V333" s="6">
        <v>0.88167637586593595</v>
      </c>
      <c r="W333" s="6">
        <v>-18.017564773559599</v>
      </c>
    </row>
    <row r="334" spans="1:23" ht="18.95" customHeight="1">
      <c r="A334" s="4">
        <v>330</v>
      </c>
      <c r="B334" s="4">
        <v>7088</v>
      </c>
      <c r="C334" s="4">
        <v>1</v>
      </c>
      <c r="D334" s="6">
        <v>0</v>
      </c>
      <c r="E334" s="6">
        <v>0</v>
      </c>
      <c r="F334" s="6">
        <v>-3.875</v>
      </c>
      <c r="G334" s="6">
        <v>-0.25</v>
      </c>
      <c r="H334" s="6">
        <v>-1</v>
      </c>
      <c r="I334" s="6">
        <v>1.375</v>
      </c>
      <c r="J334" s="6">
        <v>-1.25</v>
      </c>
      <c r="K334" s="6">
        <v>26.4375</v>
      </c>
      <c r="L334" s="6">
        <v>65.4375</v>
      </c>
      <c r="M334" s="6">
        <v>-0.625</v>
      </c>
      <c r="N334" s="6">
        <v>0.1875</v>
      </c>
      <c r="O334" s="6">
        <v>0.375</v>
      </c>
      <c r="P334" s="6">
        <v>-2.4375</v>
      </c>
      <c r="Q334" s="6">
        <v>-16.4375</v>
      </c>
      <c r="R334" s="6">
        <v>-0.118900060653687</v>
      </c>
      <c r="S334" s="6">
        <v>2.2432982921600302</v>
      </c>
      <c r="T334" s="6">
        <v>-0.52754217386245705</v>
      </c>
      <c r="U334" s="6">
        <v>1.3846192508935901E-2</v>
      </c>
      <c r="V334" s="6">
        <v>0.75918185710907005</v>
      </c>
      <c r="W334" s="6">
        <v>-18.026802062988299</v>
      </c>
    </row>
    <row r="335" spans="1:23" ht="18.95" customHeight="1">
      <c r="A335" s="4">
        <v>331</v>
      </c>
      <c r="B335" s="4">
        <v>7108</v>
      </c>
      <c r="C335" s="4">
        <v>1</v>
      </c>
      <c r="D335" s="6">
        <v>0</v>
      </c>
      <c r="E335" s="6">
        <v>0</v>
      </c>
      <c r="F335" s="6">
        <v>-2.625</v>
      </c>
      <c r="G335" s="6">
        <v>6.25E-2</v>
      </c>
      <c r="H335" s="6">
        <v>-0.25</v>
      </c>
      <c r="I335" s="6">
        <v>1.375</v>
      </c>
      <c r="J335" s="6">
        <v>-1.25</v>
      </c>
      <c r="K335" s="6">
        <v>26.5</v>
      </c>
      <c r="L335" s="6">
        <v>64.1875</v>
      </c>
      <c r="M335" s="6">
        <v>-0.875</v>
      </c>
      <c r="N335" s="6">
        <v>0.125</v>
      </c>
      <c r="O335" s="6">
        <v>0.4375</v>
      </c>
      <c r="P335" s="6">
        <v>-2.4375</v>
      </c>
      <c r="Q335" s="6">
        <v>-17.6875</v>
      </c>
      <c r="R335" s="6">
        <v>-0.22577023506164601</v>
      </c>
      <c r="S335" s="6">
        <v>1.31200063228607</v>
      </c>
      <c r="T335" s="6">
        <v>-0.31380170583724998</v>
      </c>
      <c r="U335" s="6">
        <v>-4.7071110457181903E-2</v>
      </c>
      <c r="V335" s="6">
        <v>0.47057831287384</v>
      </c>
      <c r="W335" s="6">
        <v>-18.044994354248001</v>
      </c>
    </row>
    <row r="336" spans="1:23" ht="18.95" customHeight="1">
      <c r="A336" s="4">
        <v>332</v>
      </c>
      <c r="B336" s="4">
        <v>7129</v>
      </c>
      <c r="C336" s="4">
        <v>1</v>
      </c>
      <c r="D336" s="6">
        <v>0</v>
      </c>
      <c r="E336" s="6">
        <v>0</v>
      </c>
      <c r="F336" s="6">
        <v>-1.75</v>
      </c>
      <c r="G336" s="6">
        <v>-0.1875</v>
      </c>
      <c r="H336" s="6">
        <v>-0.875</v>
      </c>
      <c r="I336" s="6">
        <v>1.375</v>
      </c>
      <c r="J336" s="6">
        <v>-1.25</v>
      </c>
      <c r="K336" s="6">
        <v>26.5</v>
      </c>
      <c r="L336" s="6">
        <v>63.625</v>
      </c>
      <c r="M336" s="6">
        <v>-0.5625</v>
      </c>
      <c r="N336" s="6">
        <v>6.25E-2</v>
      </c>
      <c r="O336" s="6">
        <v>0.4375</v>
      </c>
      <c r="P336" s="6">
        <v>-2.4375</v>
      </c>
      <c r="Q336" s="6">
        <v>-19.5625</v>
      </c>
      <c r="R336" s="6">
        <v>-0.28683900833129899</v>
      </c>
      <c r="S336" s="6">
        <v>0.18222963809966999</v>
      </c>
      <c r="T336" s="6">
        <v>-0.52754217386245705</v>
      </c>
      <c r="U336" s="6">
        <v>-1.49492584168911E-2</v>
      </c>
      <c r="V336" s="6">
        <v>0.32504212856292702</v>
      </c>
      <c r="W336" s="6">
        <v>-18.044486999511701</v>
      </c>
    </row>
    <row r="337" spans="1:23" ht="18.95" customHeight="1">
      <c r="A337" s="4">
        <v>333</v>
      </c>
      <c r="B337" s="4">
        <v>7150</v>
      </c>
      <c r="C337" s="4">
        <v>1</v>
      </c>
      <c r="D337" s="6">
        <v>0</v>
      </c>
      <c r="E337" s="6">
        <v>0</v>
      </c>
      <c r="F337" s="6">
        <v>-0.5</v>
      </c>
      <c r="G337" s="6">
        <v>0.125</v>
      </c>
      <c r="H337" s="6">
        <v>0.125</v>
      </c>
      <c r="I337" s="6">
        <v>1.375</v>
      </c>
      <c r="J337" s="6">
        <v>-1.25</v>
      </c>
      <c r="K337" s="6">
        <v>26.5</v>
      </c>
      <c r="L337" s="6">
        <v>64.25</v>
      </c>
      <c r="M337" s="6">
        <v>-0.6875</v>
      </c>
      <c r="N337" s="6">
        <v>6.25E-2</v>
      </c>
      <c r="O337" s="6">
        <v>0.5</v>
      </c>
      <c r="P337" s="6">
        <v>-2.375</v>
      </c>
      <c r="Q337" s="6">
        <v>-20.75</v>
      </c>
      <c r="R337" s="6">
        <v>6.4306020736694294E-2</v>
      </c>
      <c r="S337" s="6">
        <v>-1.1765489578247099</v>
      </c>
      <c r="T337" s="6">
        <v>-0.115328431129456</v>
      </c>
      <c r="U337" s="6">
        <v>-1.2488048523664501E-2</v>
      </c>
      <c r="V337" s="6">
        <v>0.21342140436172499</v>
      </c>
      <c r="W337" s="6">
        <v>-18.061824798583999</v>
      </c>
    </row>
    <row r="338" spans="1:23" ht="18.95" customHeight="1">
      <c r="A338" s="4">
        <v>334</v>
      </c>
      <c r="B338" s="4">
        <v>7171</v>
      </c>
      <c r="C338" s="4">
        <v>1</v>
      </c>
      <c r="D338" s="6">
        <v>0</v>
      </c>
      <c r="E338" s="6">
        <v>0</v>
      </c>
      <c r="F338" s="6">
        <v>0.4375</v>
      </c>
      <c r="G338" s="6">
        <v>-6.25E-2</v>
      </c>
      <c r="H338" s="6">
        <v>-0.5625</v>
      </c>
      <c r="I338" s="6">
        <v>1.375</v>
      </c>
      <c r="J338" s="6">
        <v>-1.25</v>
      </c>
      <c r="K338" s="6">
        <v>26.5</v>
      </c>
      <c r="L338" s="6">
        <v>64.625</v>
      </c>
      <c r="M338" s="6">
        <v>-0.625</v>
      </c>
      <c r="N338" s="6">
        <v>0.1875</v>
      </c>
      <c r="O338" s="6">
        <v>0.5</v>
      </c>
      <c r="P338" s="6">
        <v>-2.375</v>
      </c>
      <c r="Q338" s="6">
        <v>-22.0625</v>
      </c>
      <c r="R338" s="6">
        <v>0.61392450332641602</v>
      </c>
      <c r="S338" s="6">
        <v>-2.3063199520111102</v>
      </c>
      <c r="T338" s="6">
        <v>6.7877650260925307E-2</v>
      </c>
      <c r="U338" s="6">
        <v>-0.102128364145756</v>
      </c>
      <c r="V338" s="6">
        <v>-7.2302266955375699E-2</v>
      </c>
      <c r="W338" s="6">
        <v>-18.0622749328613</v>
      </c>
    </row>
    <row r="339" spans="1:23" ht="18.95" customHeight="1">
      <c r="A339" s="4">
        <v>335</v>
      </c>
      <c r="B339" s="4">
        <v>7191</v>
      </c>
      <c r="C339" s="4">
        <v>1</v>
      </c>
      <c r="D339" s="6">
        <v>0</v>
      </c>
      <c r="E339" s="6">
        <v>0</v>
      </c>
      <c r="F339" s="6">
        <v>1.5</v>
      </c>
      <c r="G339" s="6">
        <v>6.25E-2</v>
      </c>
      <c r="H339" s="6">
        <v>-0.3125</v>
      </c>
      <c r="I339" s="6">
        <v>1.375</v>
      </c>
      <c r="J339" s="6">
        <v>-1.25</v>
      </c>
      <c r="K339" s="6">
        <v>26.375</v>
      </c>
      <c r="L339" s="6">
        <v>63.5625</v>
      </c>
      <c r="M339" s="6">
        <v>-0.6875</v>
      </c>
      <c r="N339" s="6">
        <v>0</v>
      </c>
      <c r="O339" s="6">
        <v>0.5625</v>
      </c>
      <c r="P339" s="6">
        <v>-2.375</v>
      </c>
      <c r="Q339" s="6">
        <v>-23.25</v>
      </c>
      <c r="R339" s="6">
        <v>-0.17996859550476099</v>
      </c>
      <c r="S339" s="6">
        <v>-3.0086102485656698</v>
      </c>
      <c r="T339" s="6">
        <v>-0.61914521455764804</v>
      </c>
      <c r="U339" s="6">
        <v>1.5840971842408201E-2</v>
      </c>
      <c r="V339" s="6">
        <v>-0.244891703128815</v>
      </c>
      <c r="W339" s="6">
        <v>-18.0732746124268</v>
      </c>
    </row>
    <row r="340" spans="1:23" ht="18.95" customHeight="1">
      <c r="A340" s="4">
        <v>336</v>
      </c>
      <c r="B340" s="4">
        <v>7212</v>
      </c>
      <c r="C340" s="4">
        <v>1</v>
      </c>
      <c r="D340" s="6">
        <v>0</v>
      </c>
      <c r="E340" s="6">
        <v>0</v>
      </c>
      <c r="F340" s="6">
        <v>2.6875</v>
      </c>
      <c r="G340" s="6">
        <v>0.25</v>
      </c>
      <c r="H340" s="6">
        <v>0</v>
      </c>
      <c r="I340" s="6">
        <v>1.375</v>
      </c>
      <c r="J340" s="6">
        <v>-1.25</v>
      </c>
      <c r="K340" s="6">
        <v>26.375</v>
      </c>
      <c r="L340" s="6">
        <v>63.0625</v>
      </c>
      <c r="M340" s="6">
        <v>-0.625</v>
      </c>
      <c r="N340" s="6">
        <v>-6.25E-2</v>
      </c>
      <c r="O340" s="6">
        <v>0.5625</v>
      </c>
      <c r="P340" s="6">
        <v>-2.375</v>
      </c>
      <c r="Q340" s="6">
        <v>-24.5</v>
      </c>
      <c r="R340" s="6">
        <v>0.44598555564880399</v>
      </c>
      <c r="S340" s="6">
        <v>-4.3826560974121103</v>
      </c>
      <c r="T340" s="6">
        <v>0.11367923021316501</v>
      </c>
      <c r="U340" s="6">
        <v>-4.4601745903492002E-2</v>
      </c>
      <c r="V340" s="6">
        <v>-0.56087803840637196</v>
      </c>
      <c r="W340" s="6">
        <v>-18.0831623077393</v>
      </c>
    </row>
    <row r="341" spans="1:23" ht="18.95" customHeight="1">
      <c r="A341" s="4">
        <v>337</v>
      </c>
      <c r="B341" s="4">
        <v>7233</v>
      </c>
      <c r="C341" s="4">
        <v>1</v>
      </c>
      <c r="D341" s="6">
        <v>0</v>
      </c>
      <c r="E341" s="6">
        <v>0</v>
      </c>
      <c r="F341" s="6">
        <v>4.375</v>
      </c>
      <c r="G341" s="6">
        <v>0.1875</v>
      </c>
      <c r="H341" s="6">
        <v>0</v>
      </c>
      <c r="I341" s="6">
        <v>1.375</v>
      </c>
      <c r="J341" s="6">
        <v>-1.25</v>
      </c>
      <c r="K341" s="6">
        <v>26.125</v>
      </c>
      <c r="L341" s="6">
        <v>61.5625</v>
      </c>
      <c r="M341" s="6">
        <v>-0.9375</v>
      </c>
      <c r="N341" s="6">
        <v>-6.25E-2</v>
      </c>
      <c r="O341" s="6">
        <v>0.625</v>
      </c>
      <c r="P341" s="6">
        <v>-2.375</v>
      </c>
      <c r="Q341" s="6">
        <v>-25.6875</v>
      </c>
      <c r="R341" s="6">
        <v>9.4840526580810505E-2</v>
      </c>
      <c r="S341" s="6">
        <v>-5.4360909461975098</v>
      </c>
      <c r="T341" s="6">
        <v>-0.37487041950225802</v>
      </c>
      <c r="U341" s="6">
        <v>-4.5535661280155203E-2</v>
      </c>
      <c r="V341" s="6">
        <v>-0.75959974527358998</v>
      </c>
      <c r="W341" s="6">
        <v>-18.094524383544901</v>
      </c>
    </row>
    <row r="342" spans="1:23" ht="18.95" customHeight="1">
      <c r="A342" s="4">
        <v>338</v>
      </c>
      <c r="B342" s="4">
        <v>7253</v>
      </c>
      <c r="C342" s="4">
        <v>1</v>
      </c>
      <c r="D342" s="6">
        <v>0</v>
      </c>
      <c r="E342" s="6">
        <v>0</v>
      </c>
      <c r="F342" s="6">
        <v>4.75</v>
      </c>
      <c r="G342" s="6">
        <v>6.25E-2</v>
      </c>
      <c r="H342" s="6">
        <v>-0.125</v>
      </c>
      <c r="I342" s="6">
        <v>1.375</v>
      </c>
      <c r="J342" s="6">
        <v>-1.25</v>
      </c>
      <c r="K342" s="6">
        <v>26</v>
      </c>
      <c r="L342" s="6">
        <v>61.5</v>
      </c>
      <c r="M342" s="6">
        <v>-0.75</v>
      </c>
      <c r="N342" s="6">
        <v>6.25E-2</v>
      </c>
      <c r="O342" s="6">
        <v>0.625</v>
      </c>
      <c r="P342" s="6">
        <v>-2.3125</v>
      </c>
      <c r="Q342" s="6">
        <v>-26.875</v>
      </c>
      <c r="R342" s="6">
        <v>0.186443567276001</v>
      </c>
      <c r="S342" s="6">
        <v>-6.6574649810790998</v>
      </c>
      <c r="T342" s="6">
        <v>-0.206931471824646</v>
      </c>
      <c r="U342" s="6">
        <v>-2.68428325653076E-2</v>
      </c>
      <c r="V342" s="6">
        <v>-1.0174987316131601</v>
      </c>
      <c r="W342" s="6">
        <v>-18.103172302246101</v>
      </c>
    </row>
    <row r="343" spans="1:23" ht="18.95" customHeight="1">
      <c r="A343" s="4">
        <v>339</v>
      </c>
      <c r="B343" s="4">
        <v>7274</v>
      </c>
      <c r="C343" s="4">
        <v>1</v>
      </c>
      <c r="D343" s="6">
        <v>0</v>
      </c>
      <c r="E343" s="6">
        <v>0</v>
      </c>
      <c r="F343" s="6">
        <v>6.5</v>
      </c>
      <c r="G343" s="6">
        <v>0.125</v>
      </c>
      <c r="H343" s="6">
        <v>-0.25</v>
      </c>
      <c r="I343" s="6">
        <v>1.375</v>
      </c>
      <c r="J343" s="6">
        <v>-1.25</v>
      </c>
      <c r="K343" s="6">
        <v>25.8125</v>
      </c>
      <c r="L343" s="6">
        <v>60.6875</v>
      </c>
      <c r="M343" s="6">
        <v>-0.6875</v>
      </c>
      <c r="N343" s="6">
        <v>6.25E-2</v>
      </c>
      <c r="O343" s="6">
        <v>0.6875</v>
      </c>
      <c r="P343" s="6">
        <v>-2.3125</v>
      </c>
      <c r="Q343" s="6">
        <v>-28.0625</v>
      </c>
      <c r="R343" s="6">
        <v>7.9573392868042006E-2</v>
      </c>
      <c r="S343" s="6">
        <v>-7.9551753997802699</v>
      </c>
      <c r="T343" s="6">
        <v>-0.34433606266975397</v>
      </c>
      <c r="U343" s="6">
        <v>1.6972191631794E-2</v>
      </c>
      <c r="V343" s="6">
        <v>-1.22982966899872</v>
      </c>
      <c r="W343" s="6">
        <v>-18.112655639648398</v>
      </c>
    </row>
    <row r="344" spans="1:23" ht="18.95" customHeight="1">
      <c r="A344" s="4">
        <v>340</v>
      </c>
      <c r="B344" s="4">
        <v>7295</v>
      </c>
      <c r="C344" s="4">
        <v>1</v>
      </c>
      <c r="D344" s="6">
        <v>0</v>
      </c>
      <c r="E344" s="6">
        <v>0</v>
      </c>
      <c r="F344" s="6">
        <v>7.8125</v>
      </c>
      <c r="G344" s="6">
        <v>0.125</v>
      </c>
      <c r="H344" s="6">
        <v>-0.3125</v>
      </c>
      <c r="I344" s="6">
        <v>1.375</v>
      </c>
      <c r="J344" s="6">
        <v>-1.25</v>
      </c>
      <c r="K344" s="6">
        <v>25.6875</v>
      </c>
      <c r="L344" s="6">
        <v>60.5625</v>
      </c>
      <c r="M344" s="6">
        <v>-0.75</v>
      </c>
      <c r="N344" s="6">
        <v>6.25E-2</v>
      </c>
      <c r="O344" s="6">
        <v>0.6875</v>
      </c>
      <c r="P344" s="6">
        <v>-2.3125</v>
      </c>
      <c r="Q344" s="6">
        <v>-29.25</v>
      </c>
      <c r="R344" s="6">
        <v>-4.25641536712646E-2</v>
      </c>
      <c r="S344" s="6">
        <v>-9.1002130508422905</v>
      </c>
      <c r="T344" s="6">
        <v>-0.72601544857025102</v>
      </c>
      <c r="U344" s="6">
        <v>2.1209161728620501E-2</v>
      </c>
      <c r="V344" s="6">
        <v>-1.5253497362136801</v>
      </c>
      <c r="W344" s="6">
        <v>-18.128269195556602</v>
      </c>
    </row>
    <row r="345" spans="1:23" ht="18.95" customHeight="1">
      <c r="A345" s="4">
        <v>341</v>
      </c>
      <c r="B345" s="4">
        <v>7324</v>
      </c>
      <c r="C345" s="4">
        <v>1</v>
      </c>
      <c r="D345" s="6">
        <v>0</v>
      </c>
      <c r="E345" s="6">
        <v>0</v>
      </c>
      <c r="F345" s="6">
        <v>9.8125</v>
      </c>
      <c r="G345" s="6">
        <v>0</v>
      </c>
      <c r="H345" s="6">
        <v>-0.125</v>
      </c>
      <c r="I345" s="6">
        <v>1.375</v>
      </c>
      <c r="J345" s="6">
        <v>-1.25</v>
      </c>
      <c r="K345" s="6">
        <v>25.375</v>
      </c>
      <c r="L345" s="6">
        <v>59.375</v>
      </c>
      <c r="M345" s="6">
        <v>-0.75</v>
      </c>
      <c r="N345" s="6">
        <v>6.25E-2</v>
      </c>
      <c r="O345" s="6">
        <v>0.75</v>
      </c>
      <c r="P345" s="6">
        <v>-2.3125</v>
      </c>
      <c r="Q345" s="6">
        <v>-31</v>
      </c>
      <c r="R345" s="6">
        <v>0.736061811447144</v>
      </c>
      <c r="S345" s="6">
        <v>-11.283419609069799</v>
      </c>
      <c r="T345" s="6">
        <v>-0.161129951477051</v>
      </c>
      <c r="U345" s="6">
        <v>1.7662968486547501E-2</v>
      </c>
      <c r="V345" s="6">
        <v>-1.8950442075729399</v>
      </c>
      <c r="W345" s="6">
        <v>-18.135017395019499</v>
      </c>
    </row>
    <row r="346" spans="1:23" ht="18.95" customHeight="1">
      <c r="A346" s="4">
        <v>342</v>
      </c>
      <c r="B346" s="4">
        <v>7345</v>
      </c>
      <c r="C346" s="4">
        <v>1</v>
      </c>
      <c r="D346" s="6">
        <v>0</v>
      </c>
      <c r="E346" s="6">
        <v>0</v>
      </c>
      <c r="F346" s="6">
        <v>11.0625</v>
      </c>
      <c r="G346" s="6">
        <v>0.25</v>
      </c>
      <c r="H346" s="6">
        <v>-0.1875</v>
      </c>
      <c r="I346" s="6">
        <v>1.375</v>
      </c>
      <c r="J346" s="6">
        <v>-1.25</v>
      </c>
      <c r="K346" s="6">
        <v>25.125</v>
      </c>
      <c r="L346" s="6">
        <v>59.5</v>
      </c>
      <c r="M346" s="6">
        <v>-0.5</v>
      </c>
      <c r="N346" s="6">
        <v>0.3125</v>
      </c>
      <c r="O346" s="6">
        <v>0.75</v>
      </c>
      <c r="P346" s="6">
        <v>-2.3125</v>
      </c>
      <c r="Q346" s="6">
        <v>-32.125</v>
      </c>
      <c r="R346" s="6">
        <v>0.400183916091919</v>
      </c>
      <c r="S346" s="6">
        <v>-12.3826560974121</v>
      </c>
      <c r="T346" s="6">
        <v>-0.115328431129456</v>
      </c>
      <c r="U346" s="6">
        <v>3.2167900353670099E-3</v>
      </c>
      <c r="V346" s="6">
        <v>-2.2791430950164799</v>
      </c>
      <c r="W346" s="6">
        <v>-18.138170242309599</v>
      </c>
    </row>
    <row r="347" spans="1:23" ht="18.95" customHeight="1">
      <c r="A347" s="4">
        <v>343</v>
      </c>
      <c r="B347" s="4">
        <v>7366</v>
      </c>
      <c r="C347" s="4">
        <v>1</v>
      </c>
      <c r="D347" s="6">
        <v>0</v>
      </c>
      <c r="E347" s="6">
        <v>0</v>
      </c>
      <c r="F347" s="6">
        <v>12.5</v>
      </c>
      <c r="G347" s="6">
        <v>0.4375</v>
      </c>
      <c r="H347" s="6">
        <v>0.1875</v>
      </c>
      <c r="I347" s="6">
        <v>1.375</v>
      </c>
      <c r="J347" s="6">
        <v>-1.25</v>
      </c>
      <c r="K347" s="6">
        <v>24.9375</v>
      </c>
      <c r="L347" s="6">
        <v>56.875</v>
      </c>
      <c r="M347" s="6">
        <v>-0.75</v>
      </c>
      <c r="N347" s="6">
        <v>0.125</v>
      </c>
      <c r="O347" s="6">
        <v>0.8125</v>
      </c>
      <c r="P347" s="6">
        <v>-2.3125</v>
      </c>
      <c r="Q347" s="6">
        <v>-33.25</v>
      </c>
      <c r="R347" s="6">
        <v>0.82766485214233398</v>
      </c>
      <c r="S347" s="6">
        <v>-13.848304748535201</v>
      </c>
      <c r="T347" s="6">
        <v>-3.8992583751678501E-2</v>
      </c>
      <c r="U347" s="6">
        <v>-8.1604635342955607E-3</v>
      </c>
      <c r="V347" s="6">
        <v>-2.6352410316467298</v>
      </c>
      <c r="W347" s="6">
        <v>-18.153062820434599</v>
      </c>
    </row>
    <row r="348" spans="1:23" ht="18.95" customHeight="1">
      <c r="A348" s="4">
        <v>344</v>
      </c>
      <c r="B348" s="4">
        <v>7386</v>
      </c>
      <c r="C348" s="4">
        <v>1</v>
      </c>
      <c r="D348" s="6">
        <v>0</v>
      </c>
      <c r="E348" s="6">
        <v>0</v>
      </c>
      <c r="F348" s="6">
        <v>13.6875</v>
      </c>
      <c r="G348" s="6">
        <v>6.25E-2</v>
      </c>
      <c r="H348" s="6">
        <v>-0.6875</v>
      </c>
      <c r="I348" s="6">
        <v>1.375</v>
      </c>
      <c r="J348" s="6">
        <v>-1.25</v>
      </c>
      <c r="K348" s="6">
        <v>24.6875</v>
      </c>
      <c r="L348" s="6">
        <v>56.25</v>
      </c>
      <c r="M348" s="6">
        <v>-0.5</v>
      </c>
      <c r="N348" s="6">
        <v>0.1875</v>
      </c>
      <c r="O348" s="6">
        <v>0.8125</v>
      </c>
      <c r="P348" s="6">
        <v>-2.3125</v>
      </c>
      <c r="Q348" s="6">
        <v>-34.3125</v>
      </c>
      <c r="R348" s="6">
        <v>0.50705409049987804</v>
      </c>
      <c r="S348" s="6">
        <v>-15.1307468414307</v>
      </c>
      <c r="T348" s="6">
        <v>-0.161129951477051</v>
      </c>
      <c r="U348" s="6">
        <v>6.5882995724677998E-2</v>
      </c>
      <c r="V348" s="6">
        <v>-2.9522686004638699</v>
      </c>
      <c r="W348" s="6">
        <v>-18.147331237793001</v>
      </c>
    </row>
    <row r="349" spans="1:23" ht="18.95" customHeight="1">
      <c r="A349" s="4">
        <v>345</v>
      </c>
      <c r="B349" s="4">
        <v>7407</v>
      </c>
      <c r="C349" s="4">
        <v>1</v>
      </c>
      <c r="D349" s="6">
        <v>0</v>
      </c>
      <c r="E349" s="6">
        <v>0</v>
      </c>
      <c r="F349" s="6">
        <v>15.5625</v>
      </c>
      <c r="G349" s="6">
        <v>0.375</v>
      </c>
      <c r="H349" s="6">
        <v>6.25E-2</v>
      </c>
      <c r="I349" s="6">
        <v>1.375</v>
      </c>
      <c r="J349" s="6">
        <v>-1.25</v>
      </c>
      <c r="K349" s="6">
        <v>24.25</v>
      </c>
      <c r="L349" s="6">
        <v>53.5625</v>
      </c>
      <c r="M349" s="6">
        <v>-0.5625</v>
      </c>
      <c r="N349" s="6">
        <v>0</v>
      </c>
      <c r="O349" s="6">
        <v>0.8125</v>
      </c>
      <c r="P349" s="6">
        <v>-2.3125</v>
      </c>
      <c r="Q349" s="6">
        <v>-35.375</v>
      </c>
      <c r="R349" s="6">
        <v>0.85819923877716098</v>
      </c>
      <c r="S349" s="6">
        <v>-16.474258422851602</v>
      </c>
      <c r="T349" s="6">
        <v>0.32741963863372803</v>
      </c>
      <c r="U349" s="6">
        <v>4.7102313488721799E-2</v>
      </c>
      <c r="V349" s="6">
        <v>-3.3079757690429701</v>
      </c>
      <c r="W349" s="6">
        <v>-18.154890060424801</v>
      </c>
    </row>
    <row r="350" spans="1:23" ht="18.95" customHeight="1">
      <c r="A350" s="4">
        <v>346</v>
      </c>
      <c r="B350" s="4">
        <v>7429</v>
      </c>
      <c r="C350" s="4">
        <v>1</v>
      </c>
      <c r="D350" s="6">
        <v>0</v>
      </c>
      <c r="E350" s="6">
        <v>0</v>
      </c>
      <c r="F350" s="6">
        <v>16.25</v>
      </c>
      <c r="G350" s="6">
        <v>0.1875</v>
      </c>
      <c r="H350" s="6">
        <v>-0.25</v>
      </c>
      <c r="I350" s="6">
        <v>1.375</v>
      </c>
      <c r="J350" s="6">
        <v>-1.3125</v>
      </c>
      <c r="K350" s="6">
        <v>23.875</v>
      </c>
      <c r="L350" s="6">
        <v>52.875</v>
      </c>
      <c r="M350" s="6">
        <v>-0.5625</v>
      </c>
      <c r="N350" s="6">
        <v>6.25E-2</v>
      </c>
      <c r="O350" s="6">
        <v>0.875</v>
      </c>
      <c r="P350" s="6">
        <v>-2.25</v>
      </c>
      <c r="Q350" s="6">
        <v>-36.875</v>
      </c>
      <c r="R350" s="6">
        <v>0.96506941318511996</v>
      </c>
      <c r="S350" s="6">
        <v>-17.665098190307599</v>
      </c>
      <c r="T350" s="6">
        <v>-0.13059562444686901</v>
      </c>
      <c r="U350" s="6">
        <v>4.7552175819873803E-2</v>
      </c>
      <c r="V350" s="6">
        <v>-3.74800801277161</v>
      </c>
      <c r="W350" s="6">
        <v>-18.155250549316399</v>
      </c>
    </row>
    <row r="351" spans="1:23" ht="18.95" customHeight="1">
      <c r="A351" s="4">
        <v>347</v>
      </c>
      <c r="B351" s="4">
        <v>7449</v>
      </c>
      <c r="C351" s="4">
        <v>1</v>
      </c>
      <c r="D351" s="6">
        <v>0</v>
      </c>
      <c r="E351" s="6">
        <v>0</v>
      </c>
      <c r="F351" s="6">
        <v>18.1875</v>
      </c>
      <c r="G351" s="6">
        <v>0.5</v>
      </c>
      <c r="H351" s="6">
        <v>0.25</v>
      </c>
      <c r="I351" s="6">
        <v>1.375</v>
      </c>
      <c r="J351" s="6">
        <v>-1.3125</v>
      </c>
      <c r="K351" s="6">
        <v>23.4375</v>
      </c>
      <c r="L351" s="6">
        <v>49.6875</v>
      </c>
      <c r="M351" s="6">
        <v>-0.4375</v>
      </c>
      <c r="N351" s="6">
        <v>-6.25E-2</v>
      </c>
      <c r="O351" s="6">
        <v>0.875</v>
      </c>
      <c r="P351" s="6">
        <v>-2.25</v>
      </c>
      <c r="Q351" s="6">
        <v>-37.375</v>
      </c>
      <c r="R351" s="6">
        <v>0.62919163703918501</v>
      </c>
      <c r="S351" s="6">
        <v>-19.069679260253899</v>
      </c>
      <c r="T351" s="6">
        <v>-0.64967960119247403</v>
      </c>
      <c r="U351" s="6">
        <v>8.6813613772392301E-2</v>
      </c>
      <c r="V351" s="6">
        <v>-4.1435275077819798</v>
      </c>
      <c r="W351" s="6">
        <v>-18.164497375488299</v>
      </c>
    </row>
    <row r="352" spans="1:23" ht="18.95" customHeight="1">
      <c r="A352" s="4">
        <v>348</v>
      </c>
      <c r="B352" s="4">
        <v>7470</v>
      </c>
      <c r="C352" s="4">
        <v>1</v>
      </c>
      <c r="D352" s="6">
        <v>0</v>
      </c>
      <c r="E352" s="6">
        <v>0</v>
      </c>
      <c r="F352" s="6">
        <v>19.625</v>
      </c>
      <c r="G352" s="6">
        <v>0.375</v>
      </c>
      <c r="H352" s="6">
        <v>-0.25</v>
      </c>
      <c r="I352" s="6">
        <v>1.375</v>
      </c>
      <c r="J352" s="6">
        <v>-1.3125</v>
      </c>
      <c r="K352" s="6">
        <v>23</v>
      </c>
      <c r="L352" s="6">
        <v>49.125</v>
      </c>
      <c r="M352" s="6">
        <v>-0.75</v>
      </c>
      <c r="N352" s="6">
        <v>0.125</v>
      </c>
      <c r="O352" s="6">
        <v>0.9375</v>
      </c>
      <c r="P352" s="6">
        <v>-2.25</v>
      </c>
      <c r="Q352" s="6">
        <v>-38.8125</v>
      </c>
      <c r="R352" s="6">
        <v>1.1635427474975599</v>
      </c>
      <c r="S352" s="6">
        <v>-20.718534469604499</v>
      </c>
      <c r="T352" s="6">
        <v>0.29688531160354598</v>
      </c>
      <c r="U352" s="6">
        <v>3.6515414714813198E-2</v>
      </c>
      <c r="V352" s="6">
        <v>-4.5149574279785201</v>
      </c>
      <c r="W352" s="6">
        <v>-18.1639614105225</v>
      </c>
    </row>
    <row r="353" spans="1:23" ht="18.95" customHeight="1">
      <c r="A353" s="4">
        <v>349</v>
      </c>
      <c r="B353" s="4">
        <v>7490</v>
      </c>
      <c r="C353" s="4">
        <v>1</v>
      </c>
      <c r="D353" s="6">
        <v>0</v>
      </c>
      <c r="E353" s="6">
        <v>0</v>
      </c>
      <c r="F353" s="6">
        <v>21.0625</v>
      </c>
      <c r="G353" s="6">
        <v>0.75</v>
      </c>
      <c r="H353" s="6">
        <v>0.5625</v>
      </c>
      <c r="I353" s="6">
        <v>1.375</v>
      </c>
      <c r="J353" s="6">
        <v>-1.3125</v>
      </c>
      <c r="K353" s="6">
        <v>22.5</v>
      </c>
      <c r="L353" s="6">
        <v>46.0625</v>
      </c>
      <c r="M353" s="6">
        <v>-0.5</v>
      </c>
      <c r="N353" s="6">
        <v>-6.25E-2</v>
      </c>
      <c r="O353" s="6">
        <v>0.9375</v>
      </c>
      <c r="P353" s="6">
        <v>-2.25</v>
      </c>
      <c r="Q353" s="6">
        <v>-39.6875</v>
      </c>
      <c r="R353" s="6">
        <v>0.53758859634399403</v>
      </c>
      <c r="S353" s="6">
        <v>-22.275785446166999</v>
      </c>
      <c r="T353" s="6">
        <v>-0.43593913316726701</v>
      </c>
      <c r="U353" s="6">
        <v>7.8922107815742507E-2</v>
      </c>
      <c r="V353" s="6">
        <v>-4.8466553688049299</v>
      </c>
      <c r="W353" s="6">
        <v>-18.172084808349599</v>
      </c>
    </row>
    <row r="354" spans="1:23" ht="18.95" customHeight="1">
      <c r="A354" s="4">
        <v>350</v>
      </c>
      <c r="B354" s="4">
        <v>7511</v>
      </c>
      <c r="C354" s="4">
        <v>1</v>
      </c>
      <c r="D354" s="6">
        <v>0</v>
      </c>
      <c r="E354" s="6">
        <v>0</v>
      </c>
      <c r="F354" s="6">
        <v>22.6875</v>
      </c>
      <c r="G354" s="6">
        <v>0.375</v>
      </c>
      <c r="H354" s="6">
        <v>-0.3125</v>
      </c>
      <c r="I354" s="6">
        <v>1.375</v>
      </c>
      <c r="J354" s="6">
        <v>-1.3125</v>
      </c>
      <c r="K354" s="6">
        <v>22.0625</v>
      </c>
      <c r="L354" s="6">
        <v>46.0625</v>
      </c>
      <c r="M354" s="6">
        <v>-0.625</v>
      </c>
      <c r="N354" s="6">
        <v>0</v>
      </c>
      <c r="O354" s="6">
        <v>0.9375</v>
      </c>
      <c r="P354" s="6">
        <v>-2.25</v>
      </c>
      <c r="Q354" s="6">
        <v>-40.5625</v>
      </c>
      <c r="R354" s="6">
        <v>1.54522216320038</v>
      </c>
      <c r="S354" s="6">
        <v>-23.527694702148398</v>
      </c>
      <c r="T354" s="6">
        <v>0.57169449329376198</v>
      </c>
      <c r="U354" s="6">
        <v>5.0172396004200003E-2</v>
      </c>
      <c r="V354" s="6">
        <v>-5.37319087982178</v>
      </c>
      <c r="W354" s="6">
        <v>-18.172056198120099</v>
      </c>
    </row>
    <row r="355" spans="1:23" ht="18.95" customHeight="1">
      <c r="A355" s="4">
        <v>351</v>
      </c>
      <c r="B355" s="4">
        <v>7533</v>
      </c>
      <c r="C355" s="4">
        <v>1</v>
      </c>
      <c r="D355" s="6">
        <v>0</v>
      </c>
      <c r="E355" s="6">
        <v>0</v>
      </c>
      <c r="F355" s="6">
        <v>24.25</v>
      </c>
      <c r="G355" s="6">
        <v>1.0625</v>
      </c>
      <c r="H355" s="6">
        <v>0.5</v>
      </c>
      <c r="I355" s="6">
        <v>1.4375</v>
      </c>
      <c r="J355" s="6">
        <v>-1.3125</v>
      </c>
      <c r="K355" s="6">
        <v>21.375</v>
      </c>
      <c r="L355" s="6">
        <v>42.5625</v>
      </c>
      <c r="M355" s="6">
        <v>-0.5</v>
      </c>
      <c r="N355" s="6">
        <v>0</v>
      </c>
      <c r="O355" s="6">
        <v>1</v>
      </c>
      <c r="P355" s="6">
        <v>-2.25</v>
      </c>
      <c r="Q355" s="6">
        <v>-41.4375</v>
      </c>
      <c r="R355" s="6">
        <v>0.44598555564880399</v>
      </c>
      <c r="S355" s="6">
        <v>-25.268152236938501</v>
      </c>
      <c r="T355" s="6">
        <v>-0.64967960119247403</v>
      </c>
      <c r="U355" s="6">
        <v>0.152935281395912</v>
      </c>
      <c r="V355" s="6">
        <v>-5.8438701629638699</v>
      </c>
      <c r="W355" s="6">
        <v>-18.180614471435501</v>
      </c>
    </row>
    <row r="356" spans="1:23" ht="18.95" customHeight="1">
      <c r="A356" s="4">
        <v>352</v>
      </c>
      <c r="B356" s="4">
        <v>7554</v>
      </c>
      <c r="C356" s="4">
        <v>1</v>
      </c>
      <c r="D356" s="6">
        <v>0</v>
      </c>
      <c r="E356" s="6">
        <v>0</v>
      </c>
      <c r="F356" s="6">
        <v>25.75</v>
      </c>
      <c r="G356" s="6">
        <v>0.5</v>
      </c>
      <c r="H356" s="6">
        <v>-0.1875</v>
      </c>
      <c r="I356" s="6">
        <v>1.4375</v>
      </c>
      <c r="J356" s="6">
        <v>-1.3125</v>
      </c>
      <c r="K356" s="6">
        <v>21.125</v>
      </c>
      <c r="L356" s="6">
        <v>41.1875</v>
      </c>
      <c r="M356" s="6">
        <v>-0.4375</v>
      </c>
      <c r="N356" s="6">
        <v>0.125</v>
      </c>
      <c r="O356" s="6">
        <v>1</v>
      </c>
      <c r="P356" s="6">
        <v>-2.25</v>
      </c>
      <c r="Q356" s="6">
        <v>-42.25</v>
      </c>
      <c r="R356" s="6">
        <v>1.11774122714996</v>
      </c>
      <c r="S356" s="6">
        <v>-26.733800888061499</v>
      </c>
      <c r="T356" s="6">
        <v>0.41902267932891801</v>
      </c>
      <c r="U356" s="6">
        <v>0.105238012969494</v>
      </c>
      <c r="V356" s="6">
        <v>-6.3549108505248997</v>
      </c>
      <c r="W356" s="6">
        <v>-18.182153701782202</v>
      </c>
    </row>
    <row r="357" spans="1:23" ht="18.95" customHeight="1">
      <c r="A357" s="4">
        <v>353</v>
      </c>
      <c r="B357" s="4">
        <v>7575</v>
      </c>
      <c r="C357" s="4">
        <v>1</v>
      </c>
      <c r="D357" s="6">
        <v>0</v>
      </c>
      <c r="E357" s="6">
        <v>0</v>
      </c>
      <c r="F357" s="6">
        <v>26.9375</v>
      </c>
      <c r="G357" s="6">
        <v>1</v>
      </c>
      <c r="H357" s="6">
        <v>0.4375</v>
      </c>
      <c r="I357" s="6">
        <v>1.4375</v>
      </c>
      <c r="J357" s="6">
        <v>-1.3125</v>
      </c>
      <c r="K357" s="6">
        <v>20.3125</v>
      </c>
      <c r="L357" s="6">
        <v>38</v>
      </c>
      <c r="M357" s="6">
        <v>-0.5625</v>
      </c>
      <c r="N357" s="6">
        <v>-6.25E-2</v>
      </c>
      <c r="O357" s="6">
        <v>1</v>
      </c>
      <c r="P357" s="6">
        <v>-2.25</v>
      </c>
      <c r="Q357" s="6">
        <v>-43</v>
      </c>
      <c r="R357" s="6">
        <v>1.1940771341323899</v>
      </c>
      <c r="S357" s="6">
        <v>-28.2452507019043</v>
      </c>
      <c r="T357" s="6">
        <v>-2.3725390434265099E-2</v>
      </c>
      <c r="U357" s="6">
        <v>0.17869248986244199</v>
      </c>
      <c r="V357" s="6">
        <v>-6.8433885574340803</v>
      </c>
      <c r="W357" s="6">
        <v>-18.191116333007798</v>
      </c>
    </row>
    <row r="358" spans="1:23" ht="18.95" customHeight="1">
      <c r="A358" s="4">
        <v>354</v>
      </c>
      <c r="B358" s="4">
        <v>7597</v>
      </c>
      <c r="C358" s="4">
        <v>1</v>
      </c>
      <c r="D358" s="6">
        <v>0</v>
      </c>
      <c r="E358" s="6">
        <v>0</v>
      </c>
      <c r="F358" s="6">
        <v>28.9375</v>
      </c>
      <c r="G358" s="6">
        <v>0.5625</v>
      </c>
      <c r="H358" s="6">
        <v>0.3125</v>
      </c>
      <c r="I358" s="6">
        <v>1.4375</v>
      </c>
      <c r="J358" s="6">
        <v>-1.3125</v>
      </c>
      <c r="K358" s="6">
        <v>19.8125</v>
      </c>
      <c r="L358" s="6">
        <v>36.5625</v>
      </c>
      <c r="M358" s="6">
        <v>-0.4375</v>
      </c>
      <c r="N358" s="6">
        <v>0</v>
      </c>
      <c r="O358" s="6">
        <v>1</v>
      </c>
      <c r="P358" s="6">
        <v>-2.25</v>
      </c>
      <c r="Q358" s="6">
        <v>-43.6875</v>
      </c>
      <c r="R358" s="6">
        <v>1.4078176021575901</v>
      </c>
      <c r="S358" s="6">
        <v>-28.901739120483398</v>
      </c>
      <c r="T358" s="6">
        <v>0.44955706596374501</v>
      </c>
      <c r="U358" s="6">
        <v>0.17101596295833599</v>
      </c>
      <c r="V358" s="6">
        <v>-7.4643645286560103</v>
      </c>
      <c r="W358" s="6">
        <v>-18.191301345825199</v>
      </c>
    </row>
    <row r="359" spans="1:23" ht="18.95" customHeight="1">
      <c r="A359" s="4">
        <v>355</v>
      </c>
      <c r="B359" s="4">
        <v>7618</v>
      </c>
      <c r="C359" s="4">
        <v>1</v>
      </c>
      <c r="D359" s="6">
        <v>0</v>
      </c>
      <c r="E359" s="6">
        <v>0</v>
      </c>
      <c r="F359" s="6">
        <v>30</v>
      </c>
      <c r="G359" s="6">
        <v>1.0625</v>
      </c>
      <c r="H359" s="6">
        <v>0.4375</v>
      </c>
      <c r="I359" s="6">
        <v>1.4375</v>
      </c>
      <c r="J359" s="6">
        <v>-1.375</v>
      </c>
      <c r="K359" s="6">
        <v>19.1875</v>
      </c>
      <c r="L359" s="6">
        <v>33.625</v>
      </c>
      <c r="M359" s="6">
        <v>-0.375</v>
      </c>
      <c r="N359" s="6">
        <v>0</v>
      </c>
      <c r="O359" s="6">
        <v>1.0625</v>
      </c>
      <c r="P359" s="6">
        <v>-2.25</v>
      </c>
      <c r="Q359" s="6">
        <v>-44.6875</v>
      </c>
      <c r="R359" s="6">
        <v>0.91926789283752397</v>
      </c>
      <c r="S359" s="6">
        <v>-30.550594329833999</v>
      </c>
      <c r="T359" s="6">
        <v>-0.72601544857025102</v>
      </c>
      <c r="U359" s="6">
        <v>0.26928055286407498</v>
      </c>
      <c r="V359" s="6">
        <v>-7.9812908172607404</v>
      </c>
      <c r="W359" s="6">
        <v>-18.197830200195298</v>
      </c>
    </row>
    <row r="360" spans="1:23" ht="18.95" customHeight="1">
      <c r="A360" s="4">
        <v>356</v>
      </c>
      <c r="B360" s="4">
        <v>7640</v>
      </c>
      <c r="C360" s="4">
        <v>1</v>
      </c>
      <c r="D360" s="6">
        <v>0</v>
      </c>
      <c r="E360" s="6">
        <v>0</v>
      </c>
      <c r="F360" s="6">
        <v>31.1875</v>
      </c>
      <c r="G360" s="6">
        <v>0.375</v>
      </c>
      <c r="H360" s="6">
        <v>0.125</v>
      </c>
      <c r="I360" s="6">
        <v>1.4375</v>
      </c>
      <c r="J360" s="6">
        <v>-1.375</v>
      </c>
      <c r="K360" s="6">
        <v>18.5625</v>
      </c>
      <c r="L360" s="6">
        <v>31.875</v>
      </c>
      <c r="M360" s="6">
        <v>-0.5</v>
      </c>
      <c r="N360" s="6">
        <v>6.25E-2</v>
      </c>
      <c r="O360" s="6">
        <v>1.0625</v>
      </c>
      <c r="P360" s="6">
        <v>-2.25</v>
      </c>
      <c r="Q360" s="6">
        <v>-45.375</v>
      </c>
      <c r="R360" s="6">
        <v>1.4078176021575901</v>
      </c>
      <c r="S360" s="6">
        <v>-31.100214004516602</v>
      </c>
      <c r="T360" s="6">
        <v>0.28161811828613298</v>
      </c>
      <c r="U360" s="6">
        <v>0.19308212399482699</v>
      </c>
      <c r="V360" s="6">
        <v>-8.5767555236816406</v>
      </c>
      <c r="W360" s="6">
        <v>-18.196651458740199</v>
      </c>
    </row>
    <row r="361" spans="1:23" ht="18.95" customHeight="1">
      <c r="A361" s="4">
        <v>357</v>
      </c>
      <c r="B361" s="4">
        <v>7660</v>
      </c>
      <c r="C361" s="4">
        <v>1</v>
      </c>
      <c r="D361" s="6">
        <v>0</v>
      </c>
      <c r="E361" s="6">
        <v>0</v>
      </c>
      <c r="F361" s="6">
        <v>32.0625</v>
      </c>
      <c r="G361" s="6">
        <v>1.0625</v>
      </c>
      <c r="H361" s="6">
        <v>0.5</v>
      </c>
      <c r="I361" s="6">
        <v>1.4375</v>
      </c>
      <c r="J361" s="6">
        <v>-1.375</v>
      </c>
      <c r="K361" s="6">
        <v>17.9375</v>
      </c>
      <c r="L361" s="6">
        <v>29.0625</v>
      </c>
      <c r="M361" s="6">
        <v>-0.1875</v>
      </c>
      <c r="N361" s="6">
        <v>-6.25E-2</v>
      </c>
      <c r="O361" s="6">
        <v>1.0625</v>
      </c>
      <c r="P361" s="6">
        <v>-2.25</v>
      </c>
      <c r="Q361" s="6">
        <v>-45.9375</v>
      </c>
      <c r="R361" s="6">
        <v>0.67499315738678001</v>
      </c>
      <c r="S361" s="6">
        <v>-33.573493957519503</v>
      </c>
      <c r="T361" s="6">
        <v>-0.57334369421005205</v>
      </c>
      <c r="U361" s="6">
        <v>0.30834972858428999</v>
      </c>
      <c r="V361" s="6">
        <v>-9.1149368286132795</v>
      </c>
      <c r="W361" s="6">
        <v>-18.2004795074463</v>
      </c>
    </row>
    <row r="362" spans="1:23" ht="18.95" customHeight="1">
      <c r="A362" s="4">
        <v>358</v>
      </c>
      <c r="B362" s="4">
        <v>7681</v>
      </c>
      <c r="C362" s="4">
        <v>1</v>
      </c>
      <c r="D362" s="6">
        <v>0</v>
      </c>
      <c r="E362" s="6">
        <v>0</v>
      </c>
      <c r="F362" s="6">
        <v>34</v>
      </c>
      <c r="G362" s="6">
        <v>0.625</v>
      </c>
      <c r="H362" s="6">
        <v>6.25E-2</v>
      </c>
      <c r="I362" s="6">
        <v>1.5</v>
      </c>
      <c r="J362" s="6">
        <v>-1.375</v>
      </c>
      <c r="K362" s="6">
        <v>17.3125</v>
      </c>
      <c r="L362" s="6">
        <v>27.1875</v>
      </c>
      <c r="M362" s="6">
        <v>-0.1875</v>
      </c>
      <c r="N362" s="6">
        <v>0.125</v>
      </c>
      <c r="O362" s="6">
        <v>1.0625</v>
      </c>
      <c r="P362" s="6">
        <v>-2.25</v>
      </c>
      <c r="Q362" s="6">
        <v>-46.4375</v>
      </c>
      <c r="R362" s="6">
        <v>1.74369549751282</v>
      </c>
      <c r="S362" s="6">
        <v>-34.6727294921875</v>
      </c>
      <c r="T362" s="6">
        <v>0.29688531160354598</v>
      </c>
      <c r="U362" s="6">
        <v>0.221439823508263</v>
      </c>
      <c r="V362" s="6">
        <v>-9.7332172393798793</v>
      </c>
      <c r="W362" s="6">
        <v>-18.198127746581999</v>
      </c>
    </row>
    <row r="363" spans="1:23" ht="18.95" customHeight="1">
      <c r="A363" s="4">
        <v>359</v>
      </c>
      <c r="B363" s="4">
        <v>7701</v>
      </c>
      <c r="C363" s="4">
        <v>1</v>
      </c>
      <c r="D363" s="6">
        <v>0</v>
      </c>
      <c r="E363" s="6">
        <v>0</v>
      </c>
      <c r="F363" s="6">
        <v>35.4375</v>
      </c>
      <c r="G363" s="6">
        <v>1.125</v>
      </c>
      <c r="H363" s="6">
        <v>0.375</v>
      </c>
      <c r="I363" s="6">
        <v>1.5</v>
      </c>
      <c r="J363" s="6">
        <v>-1.4375</v>
      </c>
      <c r="K363" s="6">
        <v>16.5625</v>
      </c>
      <c r="L363" s="6">
        <v>25.875</v>
      </c>
      <c r="M363" s="6">
        <v>-0.1875</v>
      </c>
      <c r="N363" s="6">
        <v>6.25E-2</v>
      </c>
      <c r="O363" s="6">
        <v>1.0625</v>
      </c>
      <c r="P363" s="6">
        <v>-2.25</v>
      </c>
      <c r="Q363" s="6">
        <v>-46.9375</v>
      </c>
      <c r="R363" s="6">
        <v>1.0719397068023699</v>
      </c>
      <c r="S363" s="6">
        <v>-36.428459167480497</v>
      </c>
      <c r="T363" s="6">
        <v>-0.35960325598716703</v>
      </c>
      <c r="U363" s="6">
        <v>0.40049824118614202</v>
      </c>
      <c r="V363" s="6">
        <v>-10.3171653747559</v>
      </c>
      <c r="W363" s="6">
        <v>-18.203062057495099</v>
      </c>
    </row>
    <row r="364" spans="1:23" ht="18.95" customHeight="1">
      <c r="A364" s="4">
        <v>360</v>
      </c>
      <c r="B364" s="4">
        <v>7731</v>
      </c>
      <c r="C364" s="4">
        <v>1</v>
      </c>
      <c r="D364" s="6">
        <v>0</v>
      </c>
      <c r="E364" s="6">
        <v>0</v>
      </c>
      <c r="F364" s="6">
        <v>37.75</v>
      </c>
      <c r="G364" s="6">
        <v>0.6875</v>
      </c>
      <c r="H364" s="6">
        <v>0</v>
      </c>
      <c r="I364" s="6">
        <v>1.5</v>
      </c>
      <c r="J364" s="6">
        <v>-1.4375</v>
      </c>
      <c r="K364" s="6">
        <v>15.4375</v>
      </c>
      <c r="L364" s="6">
        <v>21.75</v>
      </c>
      <c r="M364" s="6">
        <v>-0.1875</v>
      </c>
      <c r="N364" s="6">
        <v>0</v>
      </c>
      <c r="O364" s="6">
        <v>1.125</v>
      </c>
      <c r="P364" s="6">
        <v>-2.25</v>
      </c>
      <c r="Q364" s="6">
        <v>-47.625</v>
      </c>
      <c r="R364" s="6">
        <v>1.5910236835479701</v>
      </c>
      <c r="S364" s="6">
        <v>-37.436088562011697</v>
      </c>
      <c r="T364" s="6">
        <v>0.128946363925934</v>
      </c>
      <c r="U364" s="6">
        <v>0.449782013893127</v>
      </c>
      <c r="V364" s="6">
        <v>-11.403104782104499</v>
      </c>
      <c r="W364" s="6">
        <v>-18.203590393066399</v>
      </c>
    </row>
    <row r="365" spans="1:23" ht="18.95" customHeight="1">
      <c r="A365" s="4">
        <v>361</v>
      </c>
      <c r="B365" s="4">
        <v>7751</v>
      </c>
      <c r="C365" s="4">
        <v>1</v>
      </c>
      <c r="D365" s="6">
        <v>0</v>
      </c>
      <c r="E365" s="6">
        <v>0</v>
      </c>
      <c r="F365" s="6">
        <v>38.25</v>
      </c>
      <c r="G365" s="6">
        <v>1.25</v>
      </c>
      <c r="H365" s="6">
        <v>0.5</v>
      </c>
      <c r="I365" s="6">
        <v>1.5</v>
      </c>
      <c r="J365" s="6">
        <v>-1.4375</v>
      </c>
      <c r="K365" s="6">
        <v>14.6875</v>
      </c>
      <c r="L365" s="6">
        <v>20.0625</v>
      </c>
      <c r="M365" s="6">
        <v>-0.25</v>
      </c>
      <c r="N365" s="6">
        <v>-0.125</v>
      </c>
      <c r="O365" s="6">
        <v>1.125</v>
      </c>
      <c r="P365" s="6">
        <v>-2.25</v>
      </c>
      <c r="Q365" s="6">
        <v>-48.0625</v>
      </c>
      <c r="R365" s="6">
        <v>1.2551457881927499</v>
      </c>
      <c r="S365" s="6">
        <v>-38.901741027832003</v>
      </c>
      <c r="T365" s="6">
        <v>-2.3725390434265099E-2</v>
      </c>
      <c r="U365" s="6">
        <v>0.48328122496604897</v>
      </c>
      <c r="V365" s="6">
        <v>-12.049455642700201</v>
      </c>
      <c r="W365" s="6">
        <v>-18.208276748657202</v>
      </c>
    </row>
    <row r="366" spans="1:23" ht="18.95" customHeight="1">
      <c r="A366" s="4">
        <v>362</v>
      </c>
      <c r="B366" s="4">
        <v>7773</v>
      </c>
      <c r="C366" s="4">
        <v>1</v>
      </c>
      <c r="D366" s="6">
        <v>0</v>
      </c>
      <c r="E366" s="6">
        <v>0</v>
      </c>
      <c r="F366" s="6">
        <v>39.75</v>
      </c>
      <c r="G366" s="6">
        <v>0.75</v>
      </c>
      <c r="H366" s="6">
        <v>6.25E-2</v>
      </c>
      <c r="I366" s="6">
        <v>1.5</v>
      </c>
      <c r="J366" s="6">
        <v>-1.5</v>
      </c>
      <c r="K366" s="6">
        <v>13.9375</v>
      </c>
      <c r="L366" s="6">
        <v>17.5625</v>
      </c>
      <c r="M366" s="6">
        <v>-0.375</v>
      </c>
      <c r="N366" s="6">
        <v>0.125</v>
      </c>
      <c r="O366" s="6">
        <v>1.125</v>
      </c>
      <c r="P366" s="6">
        <v>-2.25</v>
      </c>
      <c r="Q366" s="6">
        <v>-48.4375</v>
      </c>
      <c r="R366" s="6">
        <v>1.5910236835479701</v>
      </c>
      <c r="S366" s="6">
        <v>-39.283416748046903</v>
      </c>
      <c r="T366" s="6">
        <v>3.7343323230743401E-2</v>
      </c>
      <c r="U366" s="6">
        <v>0.46206298470497098</v>
      </c>
      <c r="V366" s="6">
        <v>-12.782769203186</v>
      </c>
      <c r="W366" s="6">
        <v>-18.209753036498999</v>
      </c>
    </row>
    <row r="367" spans="1:23" ht="18.95" customHeight="1">
      <c r="A367" s="4">
        <v>363</v>
      </c>
      <c r="B367" s="4">
        <v>7795</v>
      </c>
      <c r="C367" s="4">
        <v>1</v>
      </c>
      <c r="D367" s="6">
        <v>0</v>
      </c>
      <c r="E367" s="6">
        <v>0</v>
      </c>
      <c r="F367" s="6">
        <v>40.125</v>
      </c>
      <c r="G367" s="6">
        <v>1.1875</v>
      </c>
      <c r="H367" s="6">
        <v>0.5</v>
      </c>
      <c r="I367" s="6">
        <v>1.5625</v>
      </c>
      <c r="J367" s="6">
        <v>-1.5</v>
      </c>
      <c r="K367" s="6">
        <v>12.75</v>
      </c>
      <c r="L367" s="6">
        <v>15.25</v>
      </c>
      <c r="M367" s="6">
        <v>-0.1875</v>
      </c>
      <c r="N367" s="6">
        <v>0.125</v>
      </c>
      <c r="O367" s="6">
        <v>1.125</v>
      </c>
      <c r="P367" s="6">
        <v>-2.25</v>
      </c>
      <c r="Q367" s="6">
        <v>-48.75</v>
      </c>
      <c r="R367" s="6">
        <v>1.48415338993073</v>
      </c>
      <c r="S367" s="6">
        <v>-41.115478515625</v>
      </c>
      <c r="T367" s="6">
        <v>-0.46647346019744901</v>
      </c>
      <c r="U367" s="6">
        <v>0.50774526596069303</v>
      </c>
      <c r="V367" s="6">
        <v>-13.4844751358032</v>
      </c>
      <c r="W367" s="6">
        <v>-18.215394973754901</v>
      </c>
    </row>
    <row r="368" spans="1:23" ht="18.95" customHeight="1">
      <c r="A368" s="4">
        <v>364</v>
      </c>
      <c r="B368" s="4">
        <v>7816</v>
      </c>
      <c r="C368" s="4">
        <v>1</v>
      </c>
      <c r="D368" s="6">
        <v>0</v>
      </c>
      <c r="E368" s="6">
        <v>0</v>
      </c>
      <c r="F368" s="6">
        <v>41.8125</v>
      </c>
      <c r="G368" s="6">
        <v>0.625</v>
      </c>
      <c r="H368" s="6">
        <v>0.25</v>
      </c>
      <c r="I368" s="6">
        <v>1.5625</v>
      </c>
      <c r="J368" s="6">
        <v>-1.5</v>
      </c>
      <c r="K368" s="6">
        <v>12.375</v>
      </c>
      <c r="L368" s="6">
        <v>13.625</v>
      </c>
      <c r="M368" s="6">
        <v>-0.3125</v>
      </c>
      <c r="N368" s="6">
        <v>-6.25E-2</v>
      </c>
      <c r="O368" s="6">
        <v>1.125</v>
      </c>
      <c r="P368" s="6">
        <v>-2.25</v>
      </c>
      <c r="Q368" s="6">
        <v>-49</v>
      </c>
      <c r="R368" s="6">
        <v>1.48415338993073</v>
      </c>
      <c r="S368" s="6">
        <v>-41.848304748535199</v>
      </c>
      <c r="T368" s="6">
        <v>9.8412036895751995E-2</v>
      </c>
      <c r="U368" s="6">
        <v>0.46405321359634399</v>
      </c>
      <c r="V368" s="6">
        <v>-14.2343130111694</v>
      </c>
      <c r="W368" s="6">
        <v>-18.2151584625244</v>
      </c>
    </row>
    <row r="369" spans="1:23" ht="18.95" customHeight="1">
      <c r="A369" s="4">
        <v>365</v>
      </c>
      <c r="B369" s="4">
        <v>7836</v>
      </c>
      <c r="C369" s="4">
        <v>1</v>
      </c>
      <c r="D369" s="6">
        <v>0</v>
      </c>
      <c r="E369" s="6">
        <v>0</v>
      </c>
      <c r="F369" s="6">
        <v>42.5</v>
      </c>
      <c r="G369" s="6">
        <v>0.875</v>
      </c>
      <c r="H369" s="6">
        <v>0.4375</v>
      </c>
      <c r="I369" s="6">
        <v>1.5625</v>
      </c>
      <c r="J369" s="6">
        <v>-1.5625</v>
      </c>
      <c r="K369" s="6">
        <v>11.125</v>
      </c>
      <c r="L369" s="6">
        <v>11.25</v>
      </c>
      <c r="M369" s="6">
        <v>-6.25E-2</v>
      </c>
      <c r="N369" s="6">
        <v>0</v>
      </c>
      <c r="O369" s="6">
        <v>1.125</v>
      </c>
      <c r="P369" s="6">
        <v>-2.1875</v>
      </c>
      <c r="Q369" s="6">
        <v>-49.25</v>
      </c>
      <c r="R369" s="6">
        <v>0.91926789283752397</v>
      </c>
      <c r="S369" s="6">
        <v>-44.214714050292997</v>
      </c>
      <c r="T369" s="6">
        <v>-0.58861088752746604</v>
      </c>
      <c r="U369" s="6">
        <v>0.570531725883484</v>
      </c>
      <c r="V369" s="6">
        <v>-14.980416297912599</v>
      </c>
      <c r="W369" s="6">
        <v>-18.222587585449201</v>
      </c>
    </row>
    <row r="370" spans="1:23" ht="18.95" customHeight="1">
      <c r="A370" s="4">
        <v>366</v>
      </c>
      <c r="B370" s="4">
        <v>7856</v>
      </c>
      <c r="C370" s="4">
        <v>1</v>
      </c>
      <c r="D370" s="6">
        <v>0</v>
      </c>
      <c r="E370" s="6">
        <v>0</v>
      </c>
      <c r="F370" s="6">
        <v>44.125</v>
      </c>
      <c r="G370" s="6">
        <v>1</v>
      </c>
      <c r="H370" s="6">
        <v>0.3125</v>
      </c>
      <c r="I370" s="6">
        <v>1.5625</v>
      </c>
      <c r="J370" s="6">
        <v>-1.5625</v>
      </c>
      <c r="K370" s="6">
        <v>10.6875</v>
      </c>
      <c r="L370" s="6">
        <v>9.9375</v>
      </c>
      <c r="M370" s="6">
        <v>0</v>
      </c>
      <c r="N370" s="6">
        <v>6.25E-2</v>
      </c>
      <c r="O370" s="6">
        <v>1.125</v>
      </c>
      <c r="P370" s="6">
        <v>-2.1875</v>
      </c>
      <c r="Q370" s="6">
        <v>-49.5</v>
      </c>
      <c r="R370" s="6">
        <v>2.2169778347015399</v>
      </c>
      <c r="S370" s="6">
        <v>-44.245254516601598</v>
      </c>
      <c r="T370" s="6">
        <v>0.26635098457336398</v>
      </c>
      <c r="U370" s="6">
        <v>0.53768950700759899</v>
      </c>
      <c r="V370" s="6">
        <v>-15.7445688247681</v>
      </c>
      <c r="W370" s="6">
        <v>-18.225307464599599</v>
      </c>
    </row>
    <row r="371" spans="1:23" ht="18.95" customHeight="1">
      <c r="A371" s="4">
        <v>367</v>
      </c>
      <c r="B371" s="4">
        <v>7876</v>
      </c>
      <c r="C371" s="4">
        <v>1</v>
      </c>
      <c r="D371" s="6">
        <v>0</v>
      </c>
      <c r="E371" s="6">
        <v>0</v>
      </c>
      <c r="F371" s="6">
        <v>45.6875</v>
      </c>
      <c r="G371" s="6">
        <v>1.0625</v>
      </c>
      <c r="H371" s="6">
        <v>0.3125</v>
      </c>
      <c r="I371" s="6">
        <v>1.625</v>
      </c>
      <c r="J371" s="6">
        <v>-1.5625</v>
      </c>
      <c r="K371" s="6">
        <v>9.375</v>
      </c>
      <c r="L371" s="6">
        <v>7.6875</v>
      </c>
      <c r="M371" s="6">
        <v>0</v>
      </c>
      <c r="N371" s="6">
        <v>-6.25E-2</v>
      </c>
      <c r="O371" s="6">
        <v>1.125</v>
      </c>
      <c r="P371" s="6">
        <v>-2.1875</v>
      </c>
      <c r="Q371" s="6">
        <v>-49.6875</v>
      </c>
      <c r="R371" s="6">
        <v>1.7589626312255899</v>
      </c>
      <c r="S371" s="6">
        <v>-46.413192749023402</v>
      </c>
      <c r="T371" s="6">
        <v>-0.34433606266975397</v>
      </c>
      <c r="U371" s="6">
        <v>0.66013783216476396</v>
      </c>
      <c r="V371" s="6">
        <v>-16.5373630523682</v>
      </c>
      <c r="W371" s="6">
        <v>-18.22802734375</v>
      </c>
    </row>
    <row r="372" spans="1:23" ht="18.95" customHeight="1">
      <c r="A372" s="4">
        <v>368</v>
      </c>
      <c r="B372" s="4">
        <v>7896</v>
      </c>
      <c r="C372" s="4">
        <v>1</v>
      </c>
      <c r="D372" s="6">
        <v>0</v>
      </c>
      <c r="E372" s="6">
        <v>0</v>
      </c>
      <c r="F372" s="6">
        <v>46.6875</v>
      </c>
      <c r="G372" s="6">
        <v>1.125</v>
      </c>
      <c r="H372" s="6">
        <v>0.5</v>
      </c>
      <c r="I372" s="6">
        <v>1.625</v>
      </c>
      <c r="J372" s="6">
        <v>-1.625</v>
      </c>
      <c r="K372" s="6">
        <v>8.4375</v>
      </c>
      <c r="L372" s="6">
        <v>5.8125</v>
      </c>
      <c r="M372" s="6">
        <v>-0.25</v>
      </c>
      <c r="N372" s="6">
        <v>-6.25E-2</v>
      </c>
      <c r="O372" s="6">
        <v>1.125</v>
      </c>
      <c r="P372" s="6">
        <v>-2.1875</v>
      </c>
      <c r="Q372" s="6">
        <v>-49.8125</v>
      </c>
      <c r="R372" s="6">
        <v>1.4383518695831301</v>
      </c>
      <c r="S372" s="6">
        <v>-46.291053771972699</v>
      </c>
      <c r="T372" s="6">
        <v>-0.35960325598716703</v>
      </c>
      <c r="U372" s="6">
        <v>0.67062222957611095</v>
      </c>
      <c r="V372" s="6">
        <v>-17.332221984863299</v>
      </c>
      <c r="W372" s="6">
        <v>-18.2284545898438</v>
      </c>
    </row>
    <row r="373" spans="1:23" ht="18.95" customHeight="1">
      <c r="A373" s="4">
        <v>369</v>
      </c>
      <c r="B373" s="4">
        <v>7916</v>
      </c>
      <c r="C373" s="4">
        <v>1</v>
      </c>
      <c r="D373" s="6">
        <v>0</v>
      </c>
      <c r="E373" s="6">
        <v>0</v>
      </c>
      <c r="F373" s="6">
        <v>47.8125</v>
      </c>
      <c r="G373" s="6">
        <v>1.0625</v>
      </c>
      <c r="H373" s="6">
        <v>0.3125</v>
      </c>
      <c r="I373" s="6">
        <v>1.625</v>
      </c>
      <c r="J373" s="6">
        <v>-1.625</v>
      </c>
      <c r="K373" s="6">
        <v>8</v>
      </c>
      <c r="L373" s="6">
        <v>3.625</v>
      </c>
      <c r="M373" s="6">
        <v>6.25E-2</v>
      </c>
      <c r="N373" s="6">
        <v>6.25E-2</v>
      </c>
      <c r="O373" s="6">
        <v>1.125</v>
      </c>
      <c r="P373" s="6">
        <v>-2.1875</v>
      </c>
      <c r="Q373" s="6">
        <v>-49.875</v>
      </c>
      <c r="R373" s="6">
        <v>2.2322449684143102</v>
      </c>
      <c r="S373" s="6">
        <v>-47.436088562011697</v>
      </c>
      <c r="T373" s="6">
        <v>0.19001507759094199</v>
      </c>
      <c r="U373" s="6">
        <v>0.732183396816254</v>
      </c>
      <c r="V373" s="6">
        <v>-18.116127014160199</v>
      </c>
      <c r="W373" s="6">
        <v>-18.2267761230469</v>
      </c>
    </row>
    <row r="374" spans="1:23" ht="18.95" customHeight="1">
      <c r="A374" s="4">
        <v>370</v>
      </c>
      <c r="B374" s="4">
        <v>7936</v>
      </c>
      <c r="C374" s="4">
        <v>1</v>
      </c>
      <c r="D374" s="6">
        <v>0</v>
      </c>
      <c r="E374" s="6">
        <v>0</v>
      </c>
      <c r="F374" s="6">
        <v>48.0625</v>
      </c>
      <c r="G374" s="6">
        <v>1.375</v>
      </c>
      <c r="H374" s="6">
        <v>0.5625</v>
      </c>
      <c r="I374" s="6">
        <v>1.625</v>
      </c>
      <c r="J374" s="6">
        <v>-1.625</v>
      </c>
      <c r="K374" s="6">
        <v>7.0625</v>
      </c>
      <c r="L374" s="6">
        <v>1.8125</v>
      </c>
      <c r="M374" s="6">
        <v>-0.1875</v>
      </c>
      <c r="N374" s="6">
        <v>6.25E-2</v>
      </c>
      <c r="O374" s="6">
        <v>1.125</v>
      </c>
      <c r="P374" s="6">
        <v>-2.1875</v>
      </c>
      <c r="Q374" s="6">
        <v>-49.9375</v>
      </c>
      <c r="R374" s="6">
        <v>2.01850461959839</v>
      </c>
      <c r="S374" s="6">
        <v>-48.3368530273438</v>
      </c>
      <c r="T374" s="6">
        <v>-0.26800018548965499</v>
      </c>
      <c r="U374" s="6">
        <v>0.73164904117584195</v>
      </c>
      <c r="V374" s="6">
        <v>-18.9237575531006</v>
      </c>
      <c r="W374" s="6">
        <v>-18.224189758300799</v>
      </c>
    </row>
    <row r="375" spans="1:23" ht="18.95" customHeight="1">
      <c r="A375" s="4">
        <v>371</v>
      </c>
      <c r="B375" s="4">
        <v>7956</v>
      </c>
      <c r="C375" s="4">
        <v>1</v>
      </c>
      <c r="D375" s="6">
        <v>0</v>
      </c>
      <c r="E375" s="6">
        <v>0</v>
      </c>
      <c r="F375" s="6">
        <v>49.9375</v>
      </c>
      <c r="G375" s="6">
        <v>1.1875</v>
      </c>
      <c r="H375" s="6">
        <v>0.5</v>
      </c>
      <c r="I375" s="6">
        <v>1.625</v>
      </c>
      <c r="J375" s="6">
        <v>-1.6875</v>
      </c>
      <c r="K375" s="6">
        <v>6.0625</v>
      </c>
      <c r="L375" s="6">
        <v>0</v>
      </c>
      <c r="M375" s="6">
        <v>0.1875</v>
      </c>
      <c r="N375" s="6">
        <v>0</v>
      </c>
      <c r="O375" s="6">
        <v>1.125</v>
      </c>
      <c r="P375" s="6">
        <v>-2.1875</v>
      </c>
      <c r="Q375" s="6">
        <v>-50</v>
      </c>
      <c r="R375" s="6">
        <v>2.2322449684143102</v>
      </c>
      <c r="S375" s="6">
        <v>-48.4437255859375</v>
      </c>
      <c r="T375" s="6">
        <v>-5.4259717464447001E-2</v>
      </c>
      <c r="U375" s="6">
        <v>0.76477718353271495</v>
      </c>
      <c r="V375" s="6">
        <v>-19.742214202880898</v>
      </c>
      <c r="W375" s="6">
        <v>-18.216709136962901</v>
      </c>
    </row>
    <row r="376" spans="1:23" ht="18.95" customHeight="1">
      <c r="A376" s="4">
        <v>372</v>
      </c>
      <c r="B376" s="4">
        <v>7977</v>
      </c>
      <c r="C376" s="4">
        <v>1</v>
      </c>
      <c r="D376" s="6">
        <v>0</v>
      </c>
      <c r="E376" s="6">
        <v>0</v>
      </c>
      <c r="F376" s="6">
        <v>49.5625</v>
      </c>
      <c r="G376" s="6">
        <v>1.5</v>
      </c>
      <c r="H376" s="6">
        <v>0.9375</v>
      </c>
      <c r="I376" s="6">
        <v>1.625</v>
      </c>
      <c r="J376" s="6">
        <v>-1.6875</v>
      </c>
      <c r="K376" s="6">
        <v>4.625</v>
      </c>
      <c r="L376" s="6">
        <v>-1.375</v>
      </c>
      <c r="M376" s="6">
        <v>0.3125</v>
      </c>
      <c r="N376" s="6">
        <v>-0.125</v>
      </c>
      <c r="O376" s="6">
        <v>1.125</v>
      </c>
      <c r="P376" s="6">
        <v>-2.1875</v>
      </c>
      <c r="Q376" s="6">
        <v>-50</v>
      </c>
      <c r="R376" s="6">
        <v>3.01087093353271</v>
      </c>
      <c r="S376" s="6">
        <v>-49.207084655761697</v>
      </c>
      <c r="T376" s="6">
        <v>0.64803040027618397</v>
      </c>
      <c r="U376" s="6">
        <v>0.70588594675064098</v>
      </c>
      <c r="V376" s="6">
        <v>-20.679264068603501</v>
      </c>
      <c r="W376" s="6">
        <v>-18.205034255981399</v>
      </c>
    </row>
    <row r="377" spans="1:23" ht="18.95" customHeight="1">
      <c r="A377" s="4">
        <v>373</v>
      </c>
      <c r="B377" s="4">
        <v>7999</v>
      </c>
      <c r="C377" s="4">
        <v>1</v>
      </c>
      <c r="D377" s="6">
        <v>0</v>
      </c>
      <c r="E377" s="6">
        <v>0</v>
      </c>
      <c r="F377" s="6">
        <v>50.75</v>
      </c>
      <c r="G377" s="6">
        <v>2</v>
      </c>
      <c r="H377" s="6">
        <v>1.1875</v>
      </c>
      <c r="I377" s="6">
        <v>1.625</v>
      </c>
      <c r="J377" s="6">
        <v>-1.75</v>
      </c>
      <c r="K377" s="6">
        <v>3.625</v>
      </c>
      <c r="L377" s="6">
        <v>-3.8125</v>
      </c>
      <c r="M377" s="6">
        <v>0.4375</v>
      </c>
      <c r="N377" s="6">
        <v>-6.25E-2</v>
      </c>
      <c r="O377" s="6">
        <v>1.125</v>
      </c>
      <c r="P377" s="6">
        <v>-2.1875</v>
      </c>
      <c r="Q377" s="6">
        <v>-49.9375</v>
      </c>
      <c r="R377" s="6">
        <v>2.29331374168396</v>
      </c>
      <c r="S377" s="6">
        <v>-49.512428283691399</v>
      </c>
      <c r="T377" s="6">
        <v>0.40375554561615001</v>
      </c>
      <c r="U377" s="6">
        <v>0.879225373268127</v>
      </c>
      <c r="V377" s="6">
        <v>-21.547958374023398</v>
      </c>
      <c r="W377" s="6">
        <v>-18.192182540893601</v>
      </c>
    </row>
    <row r="378" spans="1:23" ht="18.95" customHeight="1">
      <c r="A378" s="4">
        <v>374</v>
      </c>
      <c r="B378" s="4">
        <v>8021</v>
      </c>
      <c r="C378" s="4">
        <v>1</v>
      </c>
      <c r="D378" s="6">
        <v>0</v>
      </c>
      <c r="E378" s="6">
        <v>0</v>
      </c>
      <c r="F378" s="6">
        <v>50.75</v>
      </c>
      <c r="G378" s="6">
        <v>1.625</v>
      </c>
      <c r="H378" s="6">
        <v>0.8125</v>
      </c>
      <c r="I378" s="6">
        <v>1.625</v>
      </c>
      <c r="J378" s="6">
        <v>-1.8125</v>
      </c>
      <c r="K378" s="6">
        <v>2.6875</v>
      </c>
      <c r="L378" s="6">
        <v>-5.5625</v>
      </c>
      <c r="M378" s="6">
        <v>0.375</v>
      </c>
      <c r="N378" s="6">
        <v>6.25E-2</v>
      </c>
      <c r="O378" s="6">
        <v>1.125</v>
      </c>
      <c r="P378" s="6">
        <v>-2.1875</v>
      </c>
      <c r="Q378" s="6">
        <v>-49.8125</v>
      </c>
      <c r="R378" s="6">
        <v>1.7742297649383501</v>
      </c>
      <c r="S378" s="6">
        <v>-49.527694702148402</v>
      </c>
      <c r="T378" s="6">
        <v>-0.51227498054504395</v>
      </c>
      <c r="U378" s="6">
        <v>0.84228062629699696</v>
      </c>
      <c r="V378" s="6">
        <v>-22.4501762390137</v>
      </c>
      <c r="W378" s="6">
        <v>-18.194429397583001</v>
      </c>
    </row>
    <row r="379" spans="1:23" ht="18.95" customHeight="1">
      <c r="A379" s="4">
        <v>375</v>
      </c>
      <c r="B379" s="4">
        <v>8041</v>
      </c>
      <c r="C379" s="4">
        <v>1</v>
      </c>
      <c r="D379" s="6">
        <v>0</v>
      </c>
      <c r="E379" s="6">
        <v>0</v>
      </c>
      <c r="F379" s="6">
        <v>51.5625</v>
      </c>
      <c r="G379" s="6">
        <v>1.1875</v>
      </c>
      <c r="H379" s="6">
        <v>0.4375</v>
      </c>
      <c r="I379" s="6">
        <v>1.625</v>
      </c>
      <c r="J379" s="6">
        <v>-1.8125</v>
      </c>
      <c r="K379" s="6">
        <v>1.6875</v>
      </c>
      <c r="L379" s="6">
        <v>-7.8125</v>
      </c>
      <c r="M379" s="6">
        <v>0.1875</v>
      </c>
      <c r="N379" s="6">
        <v>0.1875</v>
      </c>
      <c r="O379" s="6">
        <v>1.125</v>
      </c>
      <c r="P379" s="6">
        <v>-2.1875</v>
      </c>
      <c r="Q379" s="6">
        <v>-49.625</v>
      </c>
      <c r="R379" s="6">
        <v>2.64445877075195</v>
      </c>
      <c r="S379" s="6">
        <v>-50.153648376464801</v>
      </c>
      <c r="T379" s="6">
        <v>0.93810665607452404</v>
      </c>
      <c r="U379" s="6">
        <v>0.92512619495391801</v>
      </c>
      <c r="V379" s="6">
        <v>-23.254400253295898</v>
      </c>
      <c r="W379" s="6">
        <v>-18.1816291809082</v>
      </c>
    </row>
    <row r="380" spans="1:23" ht="18.95" customHeight="1">
      <c r="A380" s="4">
        <v>376</v>
      </c>
      <c r="B380" s="4">
        <v>8063</v>
      </c>
      <c r="C380" s="4">
        <v>1</v>
      </c>
      <c r="D380" s="6">
        <v>0</v>
      </c>
      <c r="E380" s="6">
        <v>0</v>
      </c>
      <c r="F380" s="6">
        <v>51.25</v>
      </c>
      <c r="G380" s="6">
        <v>2</v>
      </c>
      <c r="H380" s="6">
        <v>0.875</v>
      </c>
      <c r="I380" s="6">
        <v>1.625</v>
      </c>
      <c r="J380" s="6">
        <v>-1.8125</v>
      </c>
      <c r="K380" s="6">
        <v>0.6875</v>
      </c>
      <c r="L380" s="6">
        <v>-10.625</v>
      </c>
      <c r="M380" s="6">
        <v>6.25E-2</v>
      </c>
      <c r="N380" s="6">
        <v>0.125</v>
      </c>
      <c r="O380" s="6">
        <v>1.125</v>
      </c>
      <c r="P380" s="6">
        <v>-2.1875</v>
      </c>
      <c r="Q380" s="6">
        <v>-49.5</v>
      </c>
      <c r="R380" s="6">
        <v>1.5910236835479701</v>
      </c>
      <c r="S380" s="6">
        <v>-48.611663818359403</v>
      </c>
      <c r="T380" s="6">
        <v>-0.191664308309555</v>
      </c>
      <c r="U380" s="6">
        <v>0.981029033660889</v>
      </c>
      <c r="V380" s="6">
        <v>-24.097408294677699</v>
      </c>
      <c r="W380" s="6">
        <v>-18.178592681884801</v>
      </c>
    </row>
    <row r="381" spans="1:23" ht="18.95" customHeight="1">
      <c r="A381" s="4">
        <v>377</v>
      </c>
      <c r="B381" s="4">
        <v>8084</v>
      </c>
      <c r="C381" s="4">
        <v>1</v>
      </c>
      <c r="D381" s="6">
        <v>0</v>
      </c>
      <c r="E381" s="6">
        <v>0</v>
      </c>
      <c r="F381" s="6">
        <v>50.75</v>
      </c>
      <c r="G381" s="6">
        <v>1.125</v>
      </c>
      <c r="H381" s="6">
        <v>0.75</v>
      </c>
      <c r="I381" s="6">
        <v>1.625</v>
      </c>
      <c r="J381" s="6">
        <v>-1.875</v>
      </c>
      <c r="K381" s="6">
        <v>-0.25</v>
      </c>
      <c r="L381" s="6">
        <v>-12.0625</v>
      </c>
      <c r="M381" s="6">
        <v>6.25E-2</v>
      </c>
      <c r="N381" s="6">
        <v>6.25E-2</v>
      </c>
      <c r="O381" s="6">
        <v>1.125</v>
      </c>
      <c r="P381" s="6">
        <v>-2.1875</v>
      </c>
      <c r="Q381" s="6">
        <v>-49.25</v>
      </c>
      <c r="R381" s="6">
        <v>1.95743584632874</v>
      </c>
      <c r="S381" s="6">
        <v>-48.626930236816399</v>
      </c>
      <c r="T381" s="6">
        <v>0.40375554561615001</v>
      </c>
      <c r="U381" s="6">
        <v>1.04521095752716</v>
      </c>
      <c r="V381" s="6">
        <v>-24.9568061828613</v>
      </c>
      <c r="W381" s="6">
        <v>-18.1761360168457</v>
      </c>
    </row>
    <row r="382" spans="1:23" ht="18.95" customHeight="1">
      <c r="A382" s="4">
        <v>378</v>
      </c>
      <c r="B382" s="4">
        <v>8106</v>
      </c>
      <c r="C382" s="4">
        <v>1</v>
      </c>
      <c r="D382" s="6">
        <v>0</v>
      </c>
      <c r="E382" s="6">
        <v>0</v>
      </c>
      <c r="F382" s="6">
        <v>50</v>
      </c>
      <c r="G382" s="6">
        <v>1.0625</v>
      </c>
      <c r="H382" s="6">
        <v>0.4375</v>
      </c>
      <c r="I382" s="6">
        <v>1.6875</v>
      </c>
      <c r="J382" s="6">
        <v>-1.875</v>
      </c>
      <c r="K382" s="6">
        <v>-1.1875</v>
      </c>
      <c r="L382" s="6">
        <v>-13.8125</v>
      </c>
      <c r="M382" s="6">
        <v>0.3125</v>
      </c>
      <c r="N382" s="6">
        <v>-0.1875</v>
      </c>
      <c r="O382" s="6">
        <v>1.0625</v>
      </c>
      <c r="P382" s="6">
        <v>-2.125</v>
      </c>
      <c r="Q382" s="6">
        <v>-49</v>
      </c>
      <c r="R382" s="6">
        <v>1.63682520389557</v>
      </c>
      <c r="S382" s="6">
        <v>-48.153648376464801</v>
      </c>
      <c r="T382" s="6">
        <v>-3.8992583751678501E-2</v>
      </c>
      <c r="U382" s="6">
        <v>1.02838242053986</v>
      </c>
      <c r="V382" s="6">
        <v>-25.7911376953125</v>
      </c>
      <c r="W382" s="6">
        <v>-18.1699333190918</v>
      </c>
    </row>
    <row r="383" spans="1:23" ht="18.95" customHeight="1">
      <c r="A383" s="4">
        <v>379</v>
      </c>
      <c r="B383" s="4">
        <v>8135</v>
      </c>
      <c r="C383" s="4">
        <v>1</v>
      </c>
      <c r="D383" s="6">
        <v>0</v>
      </c>
      <c r="E383" s="6">
        <v>0</v>
      </c>
      <c r="F383" s="6">
        <v>49.5</v>
      </c>
      <c r="G383" s="6">
        <v>1.4375</v>
      </c>
      <c r="H383" s="6">
        <v>0.9375</v>
      </c>
      <c r="I383" s="6">
        <v>1.6875</v>
      </c>
      <c r="J383" s="6">
        <v>-1.9375</v>
      </c>
      <c r="K383" s="6">
        <v>-2.6875</v>
      </c>
      <c r="L383" s="6">
        <v>-16.25</v>
      </c>
      <c r="M383" s="6">
        <v>0.25</v>
      </c>
      <c r="N383" s="6">
        <v>0.125</v>
      </c>
      <c r="O383" s="6">
        <v>1.0625</v>
      </c>
      <c r="P383" s="6">
        <v>-2.125</v>
      </c>
      <c r="Q383" s="6">
        <v>-48.5625</v>
      </c>
      <c r="R383" s="6">
        <v>1.33148169517517</v>
      </c>
      <c r="S383" s="6">
        <v>-47.863571166992202</v>
      </c>
      <c r="T383" s="6">
        <v>-0.176397144794464</v>
      </c>
      <c r="U383" s="6">
        <v>1.0959771871566799</v>
      </c>
      <c r="V383" s="6">
        <v>-27.0991916656494</v>
      </c>
      <c r="W383" s="6">
        <v>-18.168331146240199</v>
      </c>
    </row>
    <row r="384" spans="1:23" ht="18.95" customHeight="1">
      <c r="A384" s="4">
        <v>380</v>
      </c>
      <c r="B384" s="4">
        <v>8156</v>
      </c>
      <c r="C384" s="4">
        <v>1</v>
      </c>
      <c r="D384" s="6">
        <v>0</v>
      </c>
      <c r="E384" s="6">
        <v>0</v>
      </c>
      <c r="F384" s="6">
        <v>49.4375</v>
      </c>
      <c r="G384" s="6">
        <v>1.3125</v>
      </c>
      <c r="H384" s="6">
        <v>0.75</v>
      </c>
      <c r="I384" s="6">
        <v>1.6875</v>
      </c>
      <c r="J384" s="6">
        <v>-1.9375</v>
      </c>
      <c r="K384" s="6">
        <v>-3.625</v>
      </c>
      <c r="L384" s="6">
        <v>-18.1875</v>
      </c>
      <c r="M384" s="6">
        <v>0.25</v>
      </c>
      <c r="N384" s="6">
        <v>-0.1875</v>
      </c>
      <c r="O384" s="6">
        <v>1.0625</v>
      </c>
      <c r="P384" s="6">
        <v>-2.125</v>
      </c>
      <c r="Q384" s="6">
        <v>-48.25</v>
      </c>
      <c r="R384" s="6">
        <v>2.5833899974822998</v>
      </c>
      <c r="S384" s="6">
        <v>-46.397926330566399</v>
      </c>
      <c r="T384" s="6">
        <v>0.78543496131896995</v>
      </c>
      <c r="U384" s="6">
        <v>1.0464563369751001</v>
      </c>
      <c r="V384" s="6">
        <v>-27.921165466308601</v>
      </c>
      <c r="W384" s="6">
        <v>-18.161174774169901</v>
      </c>
    </row>
    <row r="385" spans="1:23" ht="18.95" customHeight="1">
      <c r="A385" s="4">
        <v>381</v>
      </c>
      <c r="B385" s="4">
        <v>8176</v>
      </c>
      <c r="C385" s="4">
        <v>1</v>
      </c>
      <c r="D385" s="6">
        <v>0</v>
      </c>
      <c r="E385" s="6">
        <v>0</v>
      </c>
      <c r="F385" s="6">
        <v>48.5</v>
      </c>
      <c r="G385" s="6">
        <v>1.125</v>
      </c>
      <c r="H385" s="6">
        <v>0.8125</v>
      </c>
      <c r="I385" s="6">
        <v>1.6875</v>
      </c>
      <c r="J385" s="6">
        <v>-2</v>
      </c>
      <c r="K385" s="6">
        <v>-4.5625</v>
      </c>
      <c r="L385" s="6">
        <v>-19.5625</v>
      </c>
      <c r="M385" s="6">
        <v>0.1875</v>
      </c>
      <c r="N385" s="6">
        <v>0</v>
      </c>
      <c r="O385" s="6">
        <v>1.0625</v>
      </c>
      <c r="P385" s="6">
        <v>-2.125</v>
      </c>
      <c r="Q385" s="6">
        <v>-47.875</v>
      </c>
      <c r="R385" s="6">
        <v>2.1406419277191202</v>
      </c>
      <c r="S385" s="6">
        <v>-47.5582275390625</v>
      </c>
      <c r="T385" s="6">
        <v>0.43428993225097701</v>
      </c>
      <c r="U385" s="6">
        <v>1.11310350894928</v>
      </c>
      <c r="V385" s="6">
        <v>-28.6691074371338</v>
      </c>
      <c r="W385" s="6">
        <v>-18.151842117309599</v>
      </c>
    </row>
    <row r="386" spans="1:23" ht="18.95" customHeight="1">
      <c r="A386" s="4">
        <v>382</v>
      </c>
      <c r="B386" s="4">
        <v>8197</v>
      </c>
      <c r="C386" s="4">
        <v>1</v>
      </c>
      <c r="D386" s="6">
        <v>0</v>
      </c>
      <c r="E386" s="6">
        <v>0</v>
      </c>
      <c r="F386" s="6">
        <v>48.375</v>
      </c>
      <c r="G386" s="6">
        <v>1.8125</v>
      </c>
      <c r="H386" s="6">
        <v>1.25</v>
      </c>
      <c r="I386" s="6">
        <v>1.625</v>
      </c>
      <c r="J386" s="6">
        <v>-2</v>
      </c>
      <c r="K386" s="6">
        <v>-5.5</v>
      </c>
      <c r="L386" s="6">
        <v>-21.9375</v>
      </c>
      <c r="M386" s="6">
        <v>0.3125</v>
      </c>
      <c r="N386" s="6">
        <v>6.25E-2</v>
      </c>
      <c r="O386" s="6">
        <v>1.0625</v>
      </c>
      <c r="P386" s="6">
        <v>-2.125</v>
      </c>
      <c r="Q386" s="6">
        <v>-47.5</v>
      </c>
      <c r="R386" s="6">
        <v>2.3849167823791499</v>
      </c>
      <c r="S386" s="6">
        <v>-45.573493957519503</v>
      </c>
      <c r="T386" s="6">
        <v>0.32741963863372803</v>
      </c>
      <c r="U386" s="6">
        <v>1.1249765157699601</v>
      </c>
      <c r="V386" s="6">
        <v>-29.4272575378418</v>
      </c>
      <c r="W386" s="6">
        <v>-18.142997741699201</v>
      </c>
    </row>
    <row r="387" spans="1:23" ht="18.95" customHeight="1">
      <c r="A387" s="4">
        <v>383</v>
      </c>
      <c r="B387" s="4">
        <v>8217</v>
      </c>
      <c r="C387" s="4">
        <v>1</v>
      </c>
      <c r="D387" s="6">
        <v>0</v>
      </c>
      <c r="E387" s="6">
        <v>0</v>
      </c>
      <c r="F387" s="6">
        <v>47.875</v>
      </c>
      <c r="G387" s="6">
        <v>1.25</v>
      </c>
      <c r="H387" s="6">
        <v>1.0625</v>
      </c>
      <c r="I387" s="6">
        <v>1.625</v>
      </c>
      <c r="J387" s="6">
        <v>-2</v>
      </c>
      <c r="K387" s="6">
        <v>-6.4375</v>
      </c>
      <c r="L387" s="6">
        <v>-23.0625</v>
      </c>
      <c r="M387" s="6">
        <v>0.5</v>
      </c>
      <c r="N387" s="6">
        <v>0.125</v>
      </c>
      <c r="O387" s="6">
        <v>1.0625</v>
      </c>
      <c r="P387" s="6">
        <v>-2.125</v>
      </c>
      <c r="Q387" s="6">
        <v>-47.0625</v>
      </c>
      <c r="R387" s="6">
        <v>1.3772832155227701</v>
      </c>
      <c r="S387" s="6">
        <v>-45.390289306640597</v>
      </c>
      <c r="T387" s="6">
        <v>0.20528227090835599</v>
      </c>
      <c r="U387" s="6">
        <v>1.19539630413055</v>
      </c>
      <c r="V387" s="6">
        <v>-30.1601867675781</v>
      </c>
      <c r="W387" s="6">
        <v>-18.142045974731399</v>
      </c>
    </row>
    <row r="388" spans="1:23" ht="18.95" customHeight="1">
      <c r="A388" s="4">
        <v>384</v>
      </c>
      <c r="B388" s="4">
        <v>8237</v>
      </c>
      <c r="C388" s="4">
        <v>1</v>
      </c>
      <c r="D388" s="6">
        <v>0</v>
      </c>
      <c r="E388" s="6">
        <v>0</v>
      </c>
      <c r="F388" s="6">
        <v>46.8125</v>
      </c>
      <c r="G388" s="6">
        <v>1.3125</v>
      </c>
      <c r="H388" s="6">
        <v>1</v>
      </c>
      <c r="I388" s="6">
        <v>1.625</v>
      </c>
      <c r="J388" s="6">
        <v>-2.0625</v>
      </c>
      <c r="K388" s="6">
        <v>-7.375</v>
      </c>
      <c r="L388" s="6">
        <v>-25.25</v>
      </c>
      <c r="M388" s="6">
        <v>0.125</v>
      </c>
      <c r="N388" s="6">
        <v>0.125</v>
      </c>
      <c r="O388" s="6">
        <v>1</v>
      </c>
      <c r="P388" s="6">
        <v>-2.125</v>
      </c>
      <c r="Q388" s="6">
        <v>-46.625</v>
      </c>
      <c r="R388" s="6">
        <v>2.70552754402161</v>
      </c>
      <c r="S388" s="6">
        <v>-42.917007446289098</v>
      </c>
      <c r="T388" s="6">
        <v>0.80070209503173795</v>
      </c>
      <c r="U388" s="6">
        <v>1.15362048149109</v>
      </c>
      <c r="V388" s="6">
        <v>-30.8447380065918</v>
      </c>
      <c r="W388" s="6">
        <v>-18.127161026001001</v>
      </c>
    </row>
    <row r="389" spans="1:23" ht="18.95" customHeight="1">
      <c r="A389" s="4">
        <v>385</v>
      </c>
      <c r="B389" s="4">
        <v>8258</v>
      </c>
      <c r="C389" s="4">
        <v>1</v>
      </c>
      <c r="D389" s="6">
        <v>0</v>
      </c>
      <c r="E389" s="6">
        <v>0</v>
      </c>
      <c r="F389" s="6">
        <v>45.5625</v>
      </c>
      <c r="G389" s="6">
        <v>1.25</v>
      </c>
      <c r="H389" s="6">
        <v>0.875</v>
      </c>
      <c r="I389" s="6">
        <v>1.625</v>
      </c>
      <c r="J389" s="6">
        <v>-2.0625</v>
      </c>
      <c r="K389" s="6">
        <v>-8.25</v>
      </c>
      <c r="L389" s="6">
        <v>-26.0625</v>
      </c>
      <c r="M389" s="6">
        <v>0.4375</v>
      </c>
      <c r="N389" s="6">
        <v>6.25E-2</v>
      </c>
      <c r="O389" s="6">
        <v>1</v>
      </c>
      <c r="P389" s="6">
        <v>-2.125</v>
      </c>
      <c r="Q389" s="6">
        <v>-46.125</v>
      </c>
      <c r="R389" s="6">
        <v>1.57575643062592</v>
      </c>
      <c r="S389" s="6">
        <v>-42.22998046875</v>
      </c>
      <c r="T389" s="6">
        <v>0.11367923021316501</v>
      </c>
      <c r="U389" s="6">
        <v>1.25071036815643</v>
      </c>
      <c r="V389" s="6">
        <v>-31.455787658691399</v>
      </c>
      <c r="W389" s="6">
        <v>-18.124061584472699</v>
      </c>
    </row>
    <row r="390" spans="1:23" ht="18.95" customHeight="1">
      <c r="A390" s="4">
        <v>386</v>
      </c>
      <c r="B390" s="4">
        <v>8279</v>
      </c>
      <c r="C390" s="4">
        <v>1</v>
      </c>
      <c r="D390" s="6">
        <v>0</v>
      </c>
      <c r="E390" s="6">
        <v>0</v>
      </c>
      <c r="F390" s="6">
        <v>43.6875</v>
      </c>
      <c r="G390" s="6">
        <v>1.25</v>
      </c>
      <c r="H390" s="6">
        <v>1.125</v>
      </c>
      <c r="I390" s="6">
        <v>1.625</v>
      </c>
      <c r="J390" s="6">
        <v>-2.125</v>
      </c>
      <c r="K390" s="6">
        <v>-9.5</v>
      </c>
      <c r="L390" s="6">
        <v>-27.6875</v>
      </c>
      <c r="M390" s="6">
        <v>0.4375</v>
      </c>
      <c r="N390" s="6">
        <v>-6.25E-2</v>
      </c>
      <c r="O390" s="6">
        <v>1</v>
      </c>
      <c r="P390" s="6">
        <v>-2.125</v>
      </c>
      <c r="Q390" s="6">
        <v>-45.375</v>
      </c>
      <c r="R390" s="6">
        <v>1.69789385795593</v>
      </c>
      <c r="S390" s="6">
        <v>-40.153648376464801</v>
      </c>
      <c r="T390" s="6">
        <v>0.75490057468414296</v>
      </c>
      <c r="U390" s="6">
        <v>1.2020244598388701</v>
      </c>
      <c r="V390" s="6">
        <v>-32.097003936767599</v>
      </c>
      <c r="W390" s="6">
        <v>-18.121009826660199</v>
      </c>
    </row>
    <row r="391" spans="1:23" ht="18.95" customHeight="1">
      <c r="A391" s="4">
        <v>387</v>
      </c>
      <c r="B391" s="4">
        <v>8300</v>
      </c>
      <c r="C391" s="4">
        <v>1</v>
      </c>
      <c r="D391" s="6">
        <v>0</v>
      </c>
      <c r="E391" s="6">
        <v>0</v>
      </c>
      <c r="F391" s="6">
        <v>42.9375</v>
      </c>
      <c r="G391" s="6">
        <v>0.875</v>
      </c>
      <c r="H391" s="6">
        <v>0.75</v>
      </c>
      <c r="I391" s="6">
        <v>1.625</v>
      </c>
      <c r="J391" s="6">
        <v>-2.125</v>
      </c>
      <c r="K391" s="6">
        <v>-10.3125</v>
      </c>
      <c r="L391" s="6">
        <v>-29.1875</v>
      </c>
      <c r="M391" s="6">
        <v>0.375</v>
      </c>
      <c r="N391" s="6">
        <v>6.25E-2</v>
      </c>
      <c r="O391" s="6">
        <v>1</v>
      </c>
      <c r="P391" s="6">
        <v>-2.125</v>
      </c>
      <c r="Q391" s="6">
        <v>-44.8125</v>
      </c>
      <c r="R391" s="6">
        <v>1.69789385795593</v>
      </c>
      <c r="S391" s="6">
        <v>-39.436088562011697</v>
      </c>
      <c r="T391" s="6">
        <v>0.37322115898132302</v>
      </c>
      <c r="U391" s="6">
        <v>1.2789227962493901</v>
      </c>
      <c r="V391" s="6">
        <v>-32.7431640625</v>
      </c>
      <c r="W391" s="6">
        <v>-18.108839035034201</v>
      </c>
    </row>
    <row r="392" spans="1:23" ht="18.95" customHeight="1">
      <c r="A392" s="4">
        <v>388</v>
      </c>
      <c r="B392" s="4">
        <v>8320</v>
      </c>
      <c r="C392" s="4">
        <v>1</v>
      </c>
      <c r="D392" s="6">
        <v>0</v>
      </c>
      <c r="E392" s="6">
        <v>0</v>
      </c>
      <c r="F392" s="6">
        <v>41.125</v>
      </c>
      <c r="G392" s="6">
        <v>1.4375</v>
      </c>
      <c r="H392" s="6">
        <v>1.25</v>
      </c>
      <c r="I392" s="6">
        <v>1.625</v>
      </c>
      <c r="J392" s="6">
        <v>-2.125</v>
      </c>
      <c r="K392" s="6">
        <v>-11.125</v>
      </c>
      <c r="L392" s="6">
        <v>-31.0625</v>
      </c>
      <c r="M392" s="6">
        <v>0.375</v>
      </c>
      <c r="N392" s="6">
        <v>0.125</v>
      </c>
      <c r="O392" s="6">
        <v>0.9375</v>
      </c>
      <c r="P392" s="6">
        <v>-2.125</v>
      </c>
      <c r="Q392" s="6">
        <v>-44.25</v>
      </c>
      <c r="R392" s="6">
        <v>1.39255034923553</v>
      </c>
      <c r="S392" s="6">
        <v>-36.886474609375</v>
      </c>
      <c r="T392" s="6">
        <v>-3.8992583751678501E-2</v>
      </c>
      <c r="U392" s="6">
        <v>1.2872912883758501</v>
      </c>
      <c r="V392" s="6">
        <v>-33.194633483886697</v>
      </c>
      <c r="W392" s="6">
        <v>-18.104963302612301</v>
      </c>
    </row>
    <row r="393" spans="1:23" ht="18.95" customHeight="1">
      <c r="A393" s="4">
        <v>389</v>
      </c>
      <c r="B393" s="4">
        <v>8340</v>
      </c>
      <c r="C393" s="4">
        <v>1</v>
      </c>
      <c r="D393" s="6">
        <v>0</v>
      </c>
      <c r="E393" s="6">
        <v>0</v>
      </c>
      <c r="F393" s="6">
        <v>40.0625</v>
      </c>
      <c r="G393" s="6">
        <v>1.125</v>
      </c>
      <c r="H393" s="6">
        <v>0.9375</v>
      </c>
      <c r="I393" s="6">
        <v>1.625</v>
      </c>
      <c r="J393" s="6">
        <v>-2.1875</v>
      </c>
      <c r="K393" s="6">
        <v>-11.875</v>
      </c>
      <c r="L393" s="6">
        <v>-32.125</v>
      </c>
      <c r="M393" s="6">
        <v>0.5</v>
      </c>
      <c r="N393" s="6">
        <v>0</v>
      </c>
      <c r="O393" s="6">
        <v>0.9375</v>
      </c>
      <c r="P393" s="6">
        <v>-2.125</v>
      </c>
      <c r="Q393" s="6">
        <v>-43.625</v>
      </c>
      <c r="R393" s="6">
        <v>0.91926789283752397</v>
      </c>
      <c r="S393" s="6">
        <v>-35.939910888671903</v>
      </c>
      <c r="T393" s="6">
        <v>-0.34433606266975397</v>
      </c>
      <c r="U393" s="6">
        <v>1.3745155334472701</v>
      </c>
      <c r="V393" s="6">
        <v>-33.717697143554702</v>
      </c>
      <c r="W393" s="6">
        <v>-18.103590011596701</v>
      </c>
    </row>
    <row r="394" spans="1:23" ht="18.95" customHeight="1">
      <c r="A394" s="4">
        <v>390</v>
      </c>
      <c r="B394" s="4">
        <v>8361</v>
      </c>
      <c r="C394" s="4">
        <v>1</v>
      </c>
      <c r="D394" s="6">
        <v>0</v>
      </c>
      <c r="E394" s="6">
        <v>0</v>
      </c>
      <c r="F394" s="6">
        <v>37.875</v>
      </c>
      <c r="G394" s="6">
        <v>1.1875</v>
      </c>
      <c r="H394" s="6">
        <v>0.875</v>
      </c>
      <c r="I394" s="6">
        <v>1.625</v>
      </c>
      <c r="J394" s="6">
        <v>-2.1875</v>
      </c>
      <c r="K394" s="6">
        <v>-12.625</v>
      </c>
      <c r="L394" s="6">
        <v>-33.6875</v>
      </c>
      <c r="M394" s="6">
        <v>0.375</v>
      </c>
      <c r="N394" s="6">
        <v>-6.25E-2</v>
      </c>
      <c r="O394" s="6">
        <v>0.9375</v>
      </c>
      <c r="P394" s="6">
        <v>-2.125</v>
      </c>
      <c r="Q394" s="6">
        <v>-43</v>
      </c>
      <c r="R394" s="6">
        <v>1.7284282445907599</v>
      </c>
      <c r="S394" s="6">
        <v>-34.245254516601598</v>
      </c>
      <c r="T394" s="6">
        <v>0.128946363925934</v>
      </c>
      <c r="U394" s="6">
        <v>1.2932645082473799</v>
      </c>
      <c r="V394" s="6">
        <v>-34.179458618164098</v>
      </c>
      <c r="W394" s="6">
        <v>-18.095880508422901</v>
      </c>
    </row>
    <row r="395" spans="1:23" ht="18.95" customHeight="1">
      <c r="A395" s="4">
        <v>391</v>
      </c>
      <c r="B395" s="4">
        <v>8383</v>
      </c>
      <c r="C395" s="4">
        <v>1</v>
      </c>
      <c r="D395" s="6">
        <v>0</v>
      </c>
      <c r="E395" s="6">
        <v>0</v>
      </c>
      <c r="F395" s="6">
        <v>36.0625</v>
      </c>
      <c r="G395" s="6">
        <v>1</v>
      </c>
      <c r="H395" s="6">
        <v>0.8125</v>
      </c>
      <c r="I395" s="6">
        <v>1.625</v>
      </c>
      <c r="J395" s="6">
        <v>-2.1875</v>
      </c>
      <c r="K395" s="6">
        <v>-13.3125</v>
      </c>
      <c r="L395" s="6">
        <v>-36.0625</v>
      </c>
      <c r="M395" s="6">
        <v>0.4375</v>
      </c>
      <c r="N395" s="6">
        <v>0.125</v>
      </c>
      <c r="O395" s="6">
        <v>0.9375</v>
      </c>
      <c r="P395" s="6">
        <v>-2.125</v>
      </c>
      <c r="Q395" s="6">
        <v>-42.3125</v>
      </c>
      <c r="R395" s="6">
        <v>1.5299549102783201</v>
      </c>
      <c r="S395" s="6">
        <v>-32.6727294921875</v>
      </c>
      <c r="T395" s="6">
        <v>0.25108379125595098</v>
      </c>
      <c r="U395" s="6">
        <v>1.44230544567108</v>
      </c>
      <c r="V395" s="6">
        <v>-34.681240081787102</v>
      </c>
      <c r="W395" s="6">
        <v>-18.081584930419901</v>
      </c>
    </row>
    <row r="396" spans="1:23" ht="18.95" customHeight="1">
      <c r="A396" s="4">
        <v>392</v>
      </c>
      <c r="B396" s="4">
        <v>8405</v>
      </c>
      <c r="C396" s="4">
        <v>1</v>
      </c>
      <c r="D396" s="6">
        <v>0</v>
      </c>
      <c r="E396" s="6">
        <v>0</v>
      </c>
      <c r="F396" s="6">
        <v>34.0625</v>
      </c>
      <c r="G396" s="6">
        <v>1.3125</v>
      </c>
      <c r="H396" s="6">
        <v>1.0625</v>
      </c>
      <c r="I396" s="6">
        <v>1.625</v>
      </c>
      <c r="J396" s="6">
        <v>-2.1875</v>
      </c>
      <c r="K396" s="6">
        <v>-14</v>
      </c>
      <c r="L396" s="6">
        <v>-38.1875</v>
      </c>
      <c r="M396" s="6">
        <v>0.3125</v>
      </c>
      <c r="N396" s="6">
        <v>6.25E-2</v>
      </c>
      <c r="O396" s="6">
        <v>0.875</v>
      </c>
      <c r="P396" s="6">
        <v>-2.0625</v>
      </c>
      <c r="Q396" s="6">
        <v>-41.625</v>
      </c>
      <c r="R396" s="6">
        <v>0.99560379981994596</v>
      </c>
      <c r="S396" s="6">
        <v>-30.123113632202099</v>
      </c>
      <c r="T396" s="6">
        <v>-0.25273302197456399</v>
      </c>
      <c r="U396" s="6">
        <v>1.3946566581726101</v>
      </c>
      <c r="V396" s="6">
        <v>-35.041629791259801</v>
      </c>
      <c r="W396" s="6">
        <v>-18.0774955749512</v>
      </c>
    </row>
    <row r="397" spans="1:23" ht="18.95" customHeight="1">
      <c r="A397" s="4">
        <v>393</v>
      </c>
      <c r="B397" s="4">
        <v>8426</v>
      </c>
      <c r="C397" s="4">
        <v>1</v>
      </c>
      <c r="D397" s="6">
        <v>0</v>
      </c>
      <c r="E397" s="6">
        <v>0</v>
      </c>
      <c r="F397" s="6">
        <v>32.3125</v>
      </c>
      <c r="G397" s="6">
        <v>0.1875</v>
      </c>
      <c r="H397" s="6">
        <v>0.5</v>
      </c>
      <c r="I397" s="6">
        <v>1.625</v>
      </c>
      <c r="J397" s="6">
        <v>-2.1875</v>
      </c>
      <c r="K397" s="6">
        <v>-14.625</v>
      </c>
      <c r="L397" s="6">
        <v>-38.875</v>
      </c>
      <c r="M397" s="6">
        <v>0.4375</v>
      </c>
      <c r="N397" s="6">
        <v>0.1875</v>
      </c>
      <c r="O397" s="6">
        <v>0.875</v>
      </c>
      <c r="P397" s="6">
        <v>-2.0625</v>
      </c>
      <c r="Q397" s="6">
        <v>-40.875</v>
      </c>
      <c r="R397" s="6">
        <v>1.5604892969131501</v>
      </c>
      <c r="S397" s="6">
        <v>-28.031511306762699</v>
      </c>
      <c r="T397" s="6">
        <v>0.57169449329376198</v>
      </c>
      <c r="U397" s="6">
        <v>1.4236875772476201</v>
      </c>
      <c r="V397" s="6">
        <v>-35.403568267822301</v>
      </c>
      <c r="W397" s="6">
        <v>-18.06494140625</v>
      </c>
    </row>
    <row r="398" spans="1:23" ht="18.95" customHeight="1">
      <c r="A398" s="4">
        <v>394</v>
      </c>
      <c r="B398" s="4">
        <v>8447</v>
      </c>
      <c r="C398" s="4">
        <v>1</v>
      </c>
      <c r="D398" s="6">
        <v>0</v>
      </c>
      <c r="E398" s="6">
        <v>0</v>
      </c>
      <c r="F398" s="6">
        <v>29.6875</v>
      </c>
      <c r="G398" s="6">
        <v>1.0625</v>
      </c>
      <c r="H398" s="6">
        <v>1</v>
      </c>
      <c r="I398" s="6">
        <v>1.625</v>
      </c>
      <c r="J398" s="6">
        <v>-2.1875</v>
      </c>
      <c r="K398" s="6">
        <v>-15.1875</v>
      </c>
      <c r="L398" s="6">
        <v>-40.5625</v>
      </c>
      <c r="M398" s="6">
        <v>0.5</v>
      </c>
      <c r="N398" s="6">
        <v>-6.25E-2</v>
      </c>
      <c r="O398" s="6">
        <v>0.875</v>
      </c>
      <c r="P398" s="6">
        <v>-2.0625</v>
      </c>
      <c r="Q398" s="6">
        <v>-40.0625</v>
      </c>
      <c r="R398" s="6">
        <v>1.1940771341323899</v>
      </c>
      <c r="S398" s="6">
        <v>-25.695632934570298</v>
      </c>
      <c r="T398" s="6">
        <v>8.3144843578338595E-2</v>
      </c>
      <c r="U398" s="6">
        <v>1.4590607881546001</v>
      </c>
      <c r="V398" s="6">
        <v>-35.740871429443402</v>
      </c>
      <c r="W398" s="6">
        <v>-18.057172775268601</v>
      </c>
    </row>
    <row r="399" spans="1:23" ht="18.95" customHeight="1">
      <c r="A399" s="4">
        <v>395</v>
      </c>
      <c r="B399" s="4">
        <v>8467</v>
      </c>
      <c r="C399" s="4">
        <v>1</v>
      </c>
      <c r="D399" s="6">
        <v>0</v>
      </c>
      <c r="E399" s="6">
        <v>0</v>
      </c>
      <c r="F399" s="6">
        <v>28.0625</v>
      </c>
      <c r="G399" s="6">
        <v>0.625</v>
      </c>
      <c r="H399" s="6">
        <v>0.6875</v>
      </c>
      <c r="I399" s="6">
        <v>1.625</v>
      </c>
      <c r="J399" s="6">
        <v>-2.25</v>
      </c>
      <c r="K399" s="6">
        <v>-15.75</v>
      </c>
      <c r="L399" s="6">
        <v>-42.4375</v>
      </c>
      <c r="M399" s="6">
        <v>0.5625</v>
      </c>
      <c r="N399" s="6">
        <v>6.25E-2</v>
      </c>
      <c r="O399" s="6">
        <v>0.8125</v>
      </c>
      <c r="P399" s="6">
        <v>-2.0625</v>
      </c>
      <c r="Q399" s="6">
        <v>-39.25</v>
      </c>
      <c r="R399" s="6">
        <v>0.67499315738678001</v>
      </c>
      <c r="S399" s="6">
        <v>-23.4971599578857</v>
      </c>
      <c r="T399" s="6">
        <v>-0.46647346019744901</v>
      </c>
      <c r="U399" s="6">
        <v>1.5405310392379801</v>
      </c>
      <c r="V399" s="6">
        <v>-36.070686340332003</v>
      </c>
      <c r="W399" s="6">
        <v>-18.043701171875</v>
      </c>
    </row>
    <row r="400" spans="1:23" ht="18.95" customHeight="1">
      <c r="A400" s="4">
        <v>396</v>
      </c>
      <c r="B400" s="4">
        <v>8489</v>
      </c>
      <c r="C400" s="4">
        <v>1</v>
      </c>
      <c r="D400" s="6">
        <v>0</v>
      </c>
      <c r="E400" s="6">
        <v>0</v>
      </c>
      <c r="F400" s="6">
        <v>25.5</v>
      </c>
      <c r="G400" s="6">
        <v>0.75</v>
      </c>
      <c r="H400" s="6">
        <v>0.875</v>
      </c>
      <c r="I400" s="6">
        <v>1.625</v>
      </c>
      <c r="J400" s="6">
        <v>-2.25</v>
      </c>
      <c r="K400" s="6">
        <v>-16.25</v>
      </c>
      <c r="L400" s="6">
        <v>-43.625</v>
      </c>
      <c r="M400" s="6">
        <v>0.5</v>
      </c>
      <c r="N400" s="6">
        <v>6.25E-2</v>
      </c>
      <c r="O400" s="6">
        <v>0.8125</v>
      </c>
      <c r="P400" s="6">
        <v>-2.0625</v>
      </c>
      <c r="Q400" s="6">
        <v>-38.5</v>
      </c>
      <c r="R400" s="6">
        <v>0.30858087539672902</v>
      </c>
      <c r="S400" s="6">
        <v>-21.420824050903299</v>
      </c>
      <c r="T400" s="6">
        <v>-0.25273302197456399</v>
      </c>
      <c r="U400" s="6">
        <v>1.47992610931396</v>
      </c>
      <c r="V400" s="6">
        <v>-36.320514678955099</v>
      </c>
      <c r="W400" s="6">
        <v>-18.045589447021499</v>
      </c>
    </row>
    <row r="401" spans="1:23" ht="18.95" customHeight="1">
      <c r="A401" s="4">
        <v>397</v>
      </c>
      <c r="B401" s="4">
        <v>8510</v>
      </c>
      <c r="C401" s="4">
        <v>1</v>
      </c>
      <c r="D401" s="6">
        <v>0</v>
      </c>
      <c r="E401" s="6">
        <v>0</v>
      </c>
      <c r="F401" s="6">
        <v>23.75</v>
      </c>
      <c r="G401" s="6">
        <v>6.25E-2</v>
      </c>
      <c r="H401" s="6">
        <v>0.1875</v>
      </c>
      <c r="I401" s="6">
        <v>1.625</v>
      </c>
      <c r="J401" s="6">
        <v>-2.25</v>
      </c>
      <c r="K401" s="6">
        <v>-16.6875</v>
      </c>
      <c r="L401" s="6">
        <v>-45.8125</v>
      </c>
      <c r="M401" s="6">
        <v>0.4375</v>
      </c>
      <c r="N401" s="6">
        <v>-6.25E-2</v>
      </c>
      <c r="O401" s="6">
        <v>0.8125</v>
      </c>
      <c r="P401" s="6">
        <v>-2.0625</v>
      </c>
      <c r="Q401" s="6">
        <v>-37.1875</v>
      </c>
      <c r="R401" s="6">
        <v>0.736061811447144</v>
      </c>
      <c r="S401" s="6">
        <v>-19.008609771728501</v>
      </c>
      <c r="T401" s="6">
        <v>0.128946363925934</v>
      </c>
      <c r="U401" s="6">
        <v>1.4825680255889899</v>
      </c>
      <c r="V401" s="6">
        <v>-36.5938720703125</v>
      </c>
      <c r="W401" s="6">
        <v>-18.03857421875</v>
      </c>
    </row>
    <row r="402" spans="1:23" ht="18.95" customHeight="1">
      <c r="A402" s="4">
        <v>398</v>
      </c>
      <c r="B402" s="4">
        <v>8541</v>
      </c>
      <c r="C402" s="4">
        <v>1</v>
      </c>
      <c r="D402" s="6">
        <v>0</v>
      </c>
      <c r="E402" s="6">
        <v>0</v>
      </c>
      <c r="F402" s="6">
        <v>20.0625</v>
      </c>
      <c r="G402" s="6">
        <v>0.75</v>
      </c>
      <c r="H402" s="6">
        <v>0.5</v>
      </c>
      <c r="I402" s="6">
        <v>1.625</v>
      </c>
      <c r="J402" s="6">
        <v>-2.25</v>
      </c>
      <c r="K402" s="6">
        <v>-17.5</v>
      </c>
      <c r="L402" s="6">
        <v>-48.6875</v>
      </c>
      <c r="M402" s="6">
        <v>0.5625</v>
      </c>
      <c r="N402" s="6">
        <v>-6.25E-2</v>
      </c>
      <c r="O402" s="6">
        <v>0.75</v>
      </c>
      <c r="P402" s="6">
        <v>-2.125</v>
      </c>
      <c r="Q402" s="6">
        <v>-35.875</v>
      </c>
      <c r="R402" s="6">
        <v>0.69026029109954801</v>
      </c>
      <c r="S402" s="6">
        <v>-15.924640655517599</v>
      </c>
      <c r="T402" s="6">
        <v>0.23581659793853799</v>
      </c>
      <c r="U402" s="6">
        <v>1.4957650899887101</v>
      </c>
      <c r="V402" s="6">
        <v>-37.040599822997997</v>
      </c>
      <c r="W402" s="6">
        <v>-18.027553558349599</v>
      </c>
    </row>
    <row r="403" spans="1:23" ht="18.95" customHeight="1">
      <c r="A403" s="4">
        <v>399</v>
      </c>
      <c r="B403" s="4">
        <v>8561</v>
      </c>
      <c r="C403" s="4">
        <v>1</v>
      </c>
      <c r="D403" s="6">
        <v>0</v>
      </c>
      <c r="E403" s="6">
        <v>0</v>
      </c>
      <c r="F403" s="6">
        <v>18.125</v>
      </c>
      <c r="G403" s="6">
        <v>0.125</v>
      </c>
      <c r="H403" s="6">
        <v>0.3125</v>
      </c>
      <c r="I403" s="6">
        <v>1.625</v>
      </c>
      <c r="J403" s="6">
        <v>-2.25</v>
      </c>
      <c r="K403" s="6">
        <v>-17.6875</v>
      </c>
      <c r="L403" s="6">
        <v>-51.25</v>
      </c>
      <c r="M403" s="6">
        <v>0.6875</v>
      </c>
      <c r="N403" s="6">
        <v>0</v>
      </c>
      <c r="O403" s="6">
        <v>0.75</v>
      </c>
      <c r="P403" s="6">
        <v>-2.125</v>
      </c>
      <c r="Q403" s="6">
        <v>-34.875</v>
      </c>
      <c r="R403" s="6">
        <v>7.9573392868042006E-2</v>
      </c>
      <c r="S403" s="6">
        <v>-12.932273864746101</v>
      </c>
      <c r="T403" s="6">
        <v>8.3144843578338595E-2</v>
      </c>
      <c r="U403" s="6">
        <v>1.57191181182861</v>
      </c>
      <c r="V403" s="6">
        <v>-37.226631164550803</v>
      </c>
      <c r="W403" s="6">
        <v>-18.022424697876001</v>
      </c>
    </row>
    <row r="404" spans="1:23" ht="18.95" customHeight="1">
      <c r="A404" s="4">
        <v>400</v>
      </c>
      <c r="B404" s="4">
        <v>8581</v>
      </c>
      <c r="C404" s="4">
        <v>1</v>
      </c>
      <c r="D404" s="6">
        <v>0</v>
      </c>
      <c r="E404" s="6">
        <v>0</v>
      </c>
      <c r="F404" s="6">
        <v>15.375</v>
      </c>
      <c r="G404" s="6">
        <v>0.625</v>
      </c>
      <c r="H404" s="6">
        <v>1</v>
      </c>
      <c r="I404" s="6">
        <v>1.625</v>
      </c>
      <c r="J404" s="6">
        <v>-2.25</v>
      </c>
      <c r="K404" s="6">
        <v>-18.125</v>
      </c>
      <c r="L404" s="6">
        <v>-54.375</v>
      </c>
      <c r="M404" s="6">
        <v>0.5625</v>
      </c>
      <c r="N404" s="6">
        <v>-6.25E-2</v>
      </c>
      <c r="O404" s="6">
        <v>0.6875</v>
      </c>
      <c r="P404" s="6">
        <v>-2.125</v>
      </c>
      <c r="Q404" s="6">
        <v>-33.8125</v>
      </c>
      <c r="R404" s="6">
        <v>0.76659619808196999</v>
      </c>
      <c r="S404" s="6">
        <v>-10.107846260070801</v>
      </c>
      <c r="T404" s="6">
        <v>0.49535858631134</v>
      </c>
      <c r="U404" s="6">
        <v>1.5077366828918499</v>
      </c>
      <c r="V404" s="6">
        <v>-37.2855033874512</v>
      </c>
      <c r="W404" s="6">
        <v>-18.012893676757798</v>
      </c>
    </row>
    <row r="405" spans="1:23" ht="18.95" customHeight="1">
      <c r="A405" s="4">
        <v>401</v>
      </c>
      <c r="B405" s="4">
        <v>8601</v>
      </c>
      <c r="C405" s="4">
        <v>1</v>
      </c>
      <c r="D405" s="6">
        <v>0</v>
      </c>
      <c r="E405" s="6">
        <v>0</v>
      </c>
      <c r="F405" s="6">
        <v>12.75</v>
      </c>
      <c r="G405" s="6">
        <v>0.1875</v>
      </c>
      <c r="H405" s="6">
        <v>0.4375</v>
      </c>
      <c r="I405" s="6">
        <v>1.625</v>
      </c>
      <c r="J405" s="6">
        <v>-2.25</v>
      </c>
      <c r="K405" s="6">
        <v>-18.375</v>
      </c>
      <c r="L405" s="6">
        <v>-54.875</v>
      </c>
      <c r="M405" s="6">
        <v>0.75</v>
      </c>
      <c r="N405" s="6">
        <v>0.1875</v>
      </c>
      <c r="O405" s="6">
        <v>0.6875</v>
      </c>
      <c r="P405" s="6">
        <v>-2.125</v>
      </c>
      <c r="Q405" s="6">
        <v>-32.75</v>
      </c>
      <c r="R405" s="6">
        <v>0.186443567276001</v>
      </c>
      <c r="S405" s="6">
        <v>-7.2528848648071298</v>
      </c>
      <c r="T405" s="6">
        <v>0.19001507759094199</v>
      </c>
      <c r="U405" s="6">
        <v>1.60153007507324</v>
      </c>
      <c r="V405" s="6">
        <v>-37.297760009765597</v>
      </c>
      <c r="W405" s="6">
        <v>-17.999231338501001</v>
      </c>
    </row>
    <row r="406" spans="1:23" ht="18.95" customHeight="1">
      <c r="A406" s="4">
        <v>402</v>
      </c>
      <c r="B406" s="4">
        <v>8622</v>
      </c>
      <c r="C406" s="4">
        <v>1</v>
      </c>
      <c r="D406" s="6">
        <v>0</v>
      </c>
      <c r="E406" s="6">
        <v>0</v>
      </c>
      <c r="F406" s="6">
        <v>8.3125</v>
      </c>
      <c r="G406" s="6">
        <v>0.5</v>
      </c>
      <c r="H406" s="6">
        <v>0.5</v>
      </c>
      <c r="I406" s="6">
        <v>1.625</v>
      </c>
      <c r="J406" s="6">
        <v>-2.25</v>
      </c>
      <c r="K406" s="6">
        <v>-18.4375</v>
      </c>
      <c r="L406" s="6">
        <v>-55.5</v>
      </c>
      <c r="M406" s="6">
        <v>0.6875</v>
      </c>
      <c r="N406" s="6">
        <v>-6.25E-2</v>
      </c>
      <c r="O406" s="6">
        <v>0.6875</v>
      </c>
      <c r="P406" s="6">
        <v>-2.125</v>
      </c>
      <c r="Q406" s="6">
        <v>-31.6875</v>
      </c>
      <c r="R406" s="6">
        <v>-0.25630450248718301</v>
      </c>
      <c r="S406" s="6">
        <v>-4.2910528182983398</v>
      </c>
      <c r="T406" s="6">
        <v>-6.9526910781860393E-2</v>
      </c>
      <c r="U406" s="6">
        <v>1.54095995426178</v>
      </c>
      <c r="V406" s="6">
        <v>-37.353340148925803</v>
      </c>
      <c r="W406" s="6">
        <v>-18.000270843505898</v>
      </c>
    </row>
    <row r="407" spans="1:23" ht="18.95" customHeight="1">
      <c r="A407" s="4">
        <v>403</v>
      </c>
      <c r="B407" s="4">
        <v>8644</v>
      </c>
      <c r="C407" s="4">
        <v>1</v>
      </c>
      <c r="D407" s="6">
        <v>0</v>
      </c>
      <c r="E407" s="6">
        <v>0</v>
      </c>
      <c r="F407" s="6">
        <v>3.875</v>
      </c>
      <c r="G407" s="6">
        <v>6.25E-2</v>
      </c>
      <c r="H407" s="6">
        <v>0.625</v>
      </c>
      <c r="I407" s="6">
        <v>1.625</v>
      </c>
      <c r="J407" s="6">
        <v>-2.25</v>
      </c>
      <c r="K407" s="6">
        <v>-18.5625</v>
      </c>
      <c r="L407" s="6">
        <v>-58.75</v>
      </c>
      <c r="M407" s="6">
        <v>0.875</v>
      </c>
      <c r="N407" s="6">
        <v>6.25E-2</v>
      </c>
      <c r="O407" s="6">
        <v>0.625</v>
      </c>
      <c r="P407" s="6">
        <v>-2.125</v>
      </c>
      <c r="Q407" s="6">
        <v>-30.5625</v>
      </c>
      <c r="R407" s="6">
        <v>0.64445877075195301</v>
      </c>
      <c r="S407" s="6">
        <v>-0.94754147529602095</v>
      </c>
      <c r="T407" s="6">
        <v>0.86177074909210205</v>
      </c>
      <c r="U407" s="6">
        <v>1.5093476772308301</v>
      </c>
      <c r="V407" s="6">
        <v>-37.302589416503899</v>
      </c>
      <c r="W407" s="6">
        <v>-17.985694885253899</v>
      </c>
    </row>
    <row r="408" spans="1:23" ht="18.95" customHeight="1">
      <c r="A408" s="4">
        <v>404</v>
      </c>
      <c r="B408" s="4">
        <v>8666</v>
      </c>
      <c r="C408" s="4">
        <v>1</v>
      </c>
      <c r="D408" s="6">
        <v>0</v>
      </c>
      <c r="E408" s="6">
        <v>0</v>
      </c>
      <c r="F408" s="6">
        <v>0.8125</v>
      </c>
      <c r="G408" s="6">
        <v>0.4375</v>
      </c>
      <c r="H408" s="6">
        <v>0.5</v>
      </c>
      <c r="I408" s="6">
        <v>1.625</v>
      </c>
      <c r="J408" s="6">
        <v>-2.25</v>
      </c>
      <c r="K408" s="6">
        <v>-18.5625</v>
      </c>
      <c r="L408" s="6">
        <v>-60.3125</v>
      </c>
      <c r="M408" s="6">
        <v>0.625</v>
      </c>
      <c r="N408" s="6">
        <v>0.125</v>
      </c>
      <c r="O408" s="6">
        <v>0.625</v>
      </c>
      <c r="P408" s="6">
        <v>-2.125</v>
      </c>
      <c r="Q408" s="6">
        <v>-29.375</v>
      </c>
      <c r="R408" s="6">
        <v>-0.80592298507690396</v>
      </c>
      <c r="S408" s="6">
        <v>2.3196341991424601</v>
      </c>
      <c r="T408" s="6">
        <v>-0.25273302197456399</v>
      </c>
      <c r="U408" s="6">
        <v>1.59822225570679</v>
      </c>
      <c r="V408" s="6">
        <v>-37.229549407958999</v>
      </c>
      <c r="W408" s="6">
        <v>-17.983850479126001</v>
      </c>
    </row>
    <row r="409" spans="1:23" ht="18.95" customHeight="1">
      <c r="A409" s="4">
        <v>405</v>
      </c>
      <c r="B409" s="4">
        <v>8686</v>
      </c>
      <c r="C409" s="4">
        <v>1</v>
      </c>
      <c r="D409" s="6">
        <v>0</v>
      </c>
      <c r="E409" s="6">
        <v>0</v>
      </c>
      <c r="F409" s="6">
        <v>-2.3125</v>
      </c>
      <c r="G409" s="6">
        <v>-0.6875</v>
      </c>
      <c r="H409" s="6">
        <v>-0.125</v>
      </c>
      <c r="I409" s="6">
        <v>1.625</v>
      </c>
      <c r="J409" s="6">
        <v>-2.25</v>
      </c>
      <c r="K409" s="6">
        <v>-18.5625</v>
      </c>
      <c r="L409" s="6">
        <v>-62.625</v>
      </c>
      <c r="M409" s="6">
        <v>0.625</v>
      </c>
      <c r="N409" s="6">
        <v>-6.25E-2</v>
      </c>
      <c r="O409" s="6">
        <v>0.5625</v>
      </c>
      <c r="P409" s="6">
        <v>-2.125</v>
      </c>
      <c r="Q409" s="6">
        <v>-28.1875</v>
      </c>
      <c r="R409" s="6">
        <v>0.247512102127075</v>
      </c>
      <c r="S409" s="6">
        <v>5.2356648445129403</v>
      </c>
      <c r="T409" s="6">
        <v>0.29688531160354598</v>
      </c>
      <c r="U409" s="6">
        <v>1.4575765132904099</v>
      </c>
      <c r="V409" s="6">
        <v>-37.049697875976598</v>
      </c>
      <c r="W409" s="6">
        <v>-17.976800918579102</v>
      </c>
    </row>
    <row r="410" spans="1:23" ht="18.95" customHeight="1">
      <c r="A410" s="4">
        <v>406</v>
      </c>
      <c r="B410" s="4">
        <v>8706</v>
      </c>
      <c r="C410" s="4">
        <v>1</v>
      </c>
      <c r="D410" s="6">
        <v>0</v>
      </c>
      <c r="E410" s="6">
        <v>0</v>
      </c>
      <c r="F410" s="6">
        <v>-5.4375</v>
      </c>
      <c r="G410" s="6">
        <v>0.3125</v>
      </c>
      <c r="H410" s="6">
        <v>0.75</v>
      </c>
      <c r="I410" s="6">
        <v>1.625</v>
      </c>
      <c r="J410" s="6">
        <v>-2.1875</v>
      </c>
      <c r="K410" s="6">
        <v>-18.4375</v>
      </c>
      <c r="L410" s="6">
        <v>-63.0625</v>
      </c>
      <c r="M410" s="6">
        <v>0.8125</v>
      </c>
      <c r="N410" s="6">
        <v>0.1875</v>
      </c>
      <c r="O410" s="6">
        <v>0.5625</v>
      </c>
      <c r="P410" s="6">
        <v>-2.1875</v>
      </c>
      <c r="Q410" s="6">
        <v>-26.9375</v>
      </c>
      <c r="R410" s="6">
        <v>-0.22577023506164601</v>
      </c>
      <c r="S410" s="6">
        <v>8.5944433212280291</v>
      </c>
      <c r="T410" s="6">
        <v>3.7343323230743401E-2</v>
      </c>
      <c r="U410" s="6">
        <v>1.5559102296829199</v>
      </c>
      <c r="V410" s="6">
        <v>-36.959579467773402</v>
      </c>
      <c r="W410" s="6">
        <v>-17.968345642089801</v>
      </c>
    </row>
    <row r="411" spans="1:23" ht="18.95" customHeight="1">
      <c r="A411" s="4">
        <v>407</v>
      </c>
      <c r="B411" s="4">
        <v>8728</v>
      </c>
      <c r="C411" s="4">
        <v>1</v>
      </c>
      <c r="D411" s="6">
        <v>0</v>
      </c>
      <c r="E411" s="6">
        <v>0</v>
      </c>
      <c r="F411" s="6">
        <v>-9.0625</v>
      </c>
      <c r="G411" s="6">
        <v>-0.3125</v>
      </c>
      <c r="H411" s="6">
        <v>6.25E-2</v>
      </c>
      <c r="I411" s="6">
        <v>1.625</v>
      </c>
      <c r="J411" s="6">
        <v>-2.1875</v>
      </c>
      <c r="K411" s="6">
        <v>-18.3125</v>
      </c>
      <c r="L411" s="6">
        <v>-66.375</v>
      </c>
      <c r="M411" s="6">
        <v>0.5625</v>
      </c>
      <c r="N411" s="6">
        <v>0.1875</v>
      </c>
      <c r="O411" s="6">
        <v>0.5</v>
      </c>
      <c r="P411" s="6">
        <v>-2.1875</v>
      </c>
      <c r="Q411" s="6">
        <v>-25.6875</v>
      </c>
      <c r="R411" s="6">
        <v>-0.103632926940918</v>
      </c>
      <c r="S411" s="6">
        <v>12.1669626235962</v>
      </c>
      <c r="T411" s="6">
        <v>0.63276314735412598</v>
      </c>
      <c r="U411" s="6">
        <v>1.39031362533569</v>
      </c>
      <c r="V411" s="6">
        <v>-36.617286682128899</v>
      </c>
      <c r="W411" s="6">
        <v>-17.9683322906494</v>
      </c>
    </row>
    <row r="412" spans="1:23" ht="18.95" customHeight="1">
      <c r="A412" s="4">
        <v>408</v>
      </c>
      <c r="B412" s="4">
        <v>8748</v>
      </c>
      <c r="C412" s="4">
        <v>1</v>
      </c>
      <c r="D412" s="6">
        <v>0</v>
      </c>
      <c r="E412" s="6">
        <v>0</v>
      </c>
      <c r="F412" s="6">
        <v>-12.1875</v>
      </c>
      <c r="G412" s="6">
        <v>-0.3125</v>
      </c>
      <c r="H412" s="6">
        <v>0.3125</v>
      </c>
      <c r="I412" s="6">
        <v>1.5625</v>
      </c>
      <c r="J412" s="6">
        <v>-2.1875</v>
      </c>
      <c r="K412" s="6">
        <v>-18.0625</v>
      </c>
      <c r="L412" s="6">
        <v>-67.1875</v>
      </c>
      <c r="M412" s="6">
        <v>0.5625</v>
      </c>
      <c r="N412" s="6">
        <v>6.25E-2</v>
      </c>
      <c r="O412" s="6">
        <v>0.5</v>
      </c>
      <c r="P412" s="6">
        <v>-2.1875</v>
      </c>
      <c r="Q412" s="6">
        <v>-24.375</v>
      </c>
      <c r="R412" s="6">
        <v>-0.13416719436645499</v>
      </c>
      <c r="S412" s="6">
        <v>15.8158178329468</v>
      </c>
      <c r="T412" s="6">
        <v>0.41902267932891801</v>
      </c>
      <c r="U412" s="6">
        <v>1.3976180553436299</v>
      </c>
      <c r="V412" s="6">
        <v>-36.371669769287102</v>
      </c>
      <c r="W412" s="6">
        <v>-17.959936141967798</v>
      </c>
    </row>
    <row r="413" spans="1:23" ht="18.95" customHeight="1">
      <c r="A413" s="4">
        <v>409</v>
      </c>
      <c r="B413" s="4">
        <v>8770</v>
      </c>
      <c r="C413" s="4">
        <v>1</v>
      </c>
      <c r="D413" s="6">
        <v>0</v>
      </c>
      <c r="E413" s="6">
        <v>0</v>
      </c>
      <c r="F413" s="6">
        <v>-15.75</v>
      </c>
      <c r="G413" s="6">
        <v>0.1875</v>
      </c>
      <c r="H413" s="6">
        <v>0.5625</v>
      </c>
      <c r="I413" s="6">
        <v>1.5625</v>
      </c>
      <c r="J413" s="6">
        <v>-2.1875</v>
      </c>
      <c r="K413" s="6">
        <v>-17.75</v>
      </c>
      <c r="L413" s="6">
        <v>-69.25</v>
      </c>
      <c r="M413" s="6">
        <v>0.8125</v>
      </c>
      <c r="N413" s="6">
        <v>0.125</v>
      </c>
      <c r="O413" s="6">
        <v>0.4375</v>
      </c>
      <c r="P413" s="6">
        <v>-2.1875</v>
      </c>
      <c r="Q413" s="6">
        <v>-22.375</v>
      </c>
      <c r="R413" s="6">
        <v>-0.51584649085998502</v>
      </c>
      <c r="S413" s="6">
        <v>18.930320739746101</v>
      </c>
      <c r="T413" s="6">
        <v>0.32741963863372803</v>
      </c>
      <c r="U413" s="6">
        <v>1.3907830715179399</v>
      </c>
      <c r="V413" s="6">
        <v>-35.814643859863303</v>
      </c>
      <c r="W413" s="6">
        <v>-17.956365585327099</v>
      </c>
    </row>
    <row r="414" spans="1:23" ht="18.95" customHeight="1">
      <c r="A414" s="4">
        <v>410</v>
      </c>
      <c r="B414" s="4">
        <v>8791</v>
      </c>
      <c r="C414" s="4">
        <v>1</v>
      </c>
      <c r="D414" s="6">
        <v>0</v>
      </c>
      <c r="E414" s="6">
        <v>0</v>
      </c>
      <c r="F414" s="6">
        <v>-18.9375</v>
      </c>
      <c r="G414" s="6">
        <v>-0.5</v>
      </c>
      <c r="H414" s="6">
        <v>0.25</v>
      </c>
      <c r="I414" s="6">
        <v>1.5625</v>
      </c>
      <c r="J414" s="6">
        <v>-2.1875</v>
      </c>
      <c r="K414" s="6">
        <v>-17.4375</v>
      </c>
      <c r="L414" s="6">
        <v>-69.6875</v>
      </c>
      <c r="M414" s="6">
        <v>0.8125</v>
      </c>
      <c r="N414" s="6">
        <v>6.25E-2</v>
      </c>
      <c r="O414" s="6">
        <v>0.4375</v>
      </c>
      <c r="P414" s="6">
        <v>-2.1875</v>
      </c>
      <c r="Q414" s="6">
        <v>-21.0625</v>
      </c>
      <c r="R414" s="6">
        <v>-0.576915264129639</v>
      </c>
      <c r="S414" s="6">
        <v>22.3501682281494</v>
      </c>
      <c r="T414" s="6">
        <v>0.35795402526855502</v>
      </c>
      <c r="U414" s="6">
        <v>1.3474304676055899</v>
      </c>
      <c r="V414" s="6">
        <v>-35.388019561767599</v>
      </c>
      <c r="W414" s="6">
        <v>-17.956102371215799</v>
      </c>
    </row>
    <row r="415" spans="1:23" ht="18.95" customHeight="1">
      <c r="A415" s="4">
        <v>411</v>
      </c>
      <c r="B415" s="4">
        <v>8811</v>
      </c>
      <c r="C415" s="4">
        <v>1</v>
      </c>
      <c r="D415" s="6">
        <v>0</v>
      </c>
      <c r="E415" s="6">
        <v>0</v>
      </c>
      <c r="F415" s="6">
        <v>-22.0625</v>
      </c>
      <c r="G415" s="6">
        <v>-0.4375</v>
      </c>
      <c r="H415" s="6">
        <v>-0.125</v>
      </c>
      <c r="I415" s="6">
        <v>1.5625</v>
      </c>
      <c r="J415" s="6">
        <v>-2.1875</v>
      </c>
      <c r="K415" s="6">
        <v>-17</v>
      </c>
      <c r="L415" s="6">
        <v>-70.375</v>
      </c>
      <c r="M415" s="6">
        <v>0.8125</v>
      </c>
      <c r="N415" s="6">
        <v>-6.25E-2</v>
      </c>
      <c r="O415" s="6">
        <v>0.375</v>
      </c>
      <c r="P415" s="6">
        <v>-2.1875</v>
      </c>
      <c r="Q415" s="6">
        <v>-19.6875</v>
      </c>
      <c r="R415" s="6">
        <v>-0.607449531555176</v>
      </c>
      <c r="S415" s="6">
        <v>25.724214553833001</v>
      </c>
      <c r="T415" s="6">
        <v>-0.34433606266975397</v>
      </c>
      <c r="U415" s="6">
        <v>1.35153520107269</v>
      </c>
      <c r="V415" s="6">
        <v>-34.875381469726598</v>
      </c>
      <c r="W415" s="6">
        <v>-17.9508457183838</v>
      </c>
    </row>
    <row r="416" spans="1:23" ht="18.95" customHeight="1">
      <c r="A416" s="4">
        <v>412</v>
      </c>
      <c r="B416" s="4">
        <v>8831</v>
      </c>
      <c r="C416" s="4">
        <v>1</v>
      </c>
      <c r="D416" s="6">
        <v>0</v>
      </c>
      <c r="E416" s="6">
        <v>0</v>
      </c>
      <c r="F416" s="6">
        <v>-25.625</v>
      </c>
      <c r="G416" s="6">
        <v>-0.4375</v>
      </c>
      <c r="H416" s="6">
        <v>6.25E-2</v>
      </c>
      <c r="I416" s="6">
        <v>1.5625</v>
      </c>
      <c r="J416" s="6">
        <v>-2.1875</v>
      </c>
      <c r="K416" s="6">
        <v>-16.5</v>
      </c>
      <c r="L416" s="6">
        <v>-72.375</v>
      </c>
      <c r="M416" s="6">
        <v>0.5</v>
      </c>
      <c r="N416" s="6">
        <v>6.25E-2</v>
      </c>
      <c r="O416" s="6">
        <v>0.375</v>
      </c>
      <c r="P416" s="6">
        <v>-2.25</v>
      </c>
      <c r="Q416" s="6">
        <v>-18.25</v>
      </c>
      <c r="R416" s="6">
        <v>-1.3097395896911601</v>
      </c>
      <c r="S416" s="6">
        <v>28.579175949096701</v>
      </c>
      <c r="T416" s="6">
        <v>-0.69548112154007002</v>
      </c>
      <c r="U416" s="6">
        <v>1.3522931337356601</v>
      </c>
      <c r="V416" s="6">
        <v>-34.342613220214801</v>
      </c>
      <c r="W416" s="6">
        <v>-17.944480895996101</v>
      </c>
    </row>
    <row r="417" spans="1:23" ht="18.95" customHeight="1">
      <c r="A417" s="4">
        <v>413</v>
      </c>
      <c r="B417" s="4">
        <v>8852</v>
      </c>
      <c r="C417" s="4">
        <v>1</v>
      </c>
      <c r="D417" s="6">
        <v>0</v>
      </c>
      <c r="E417" s="6">
        <v>0</v>
      </c>
      <c r="F417" s="6">
        <v>-28.75</v>
      </c>
      <c r="G417" s="6">
        <v>-0.625</v>
      </c>
      <c r="H417" s="6">
        <v>0.125</v>
      </c>
      <c r="I417" s="6">
        <v>1.5625</v>
      </c>
      <c r="J417" s="6">
        <v>-2.1875</v>
      </c>
      <c r="K417" s="6">
        <v>-16</v>
      </c>
      <c r="L417" s="6">
        <v>-73.1875</v>
      </c>
      <c r="M417" s="6">
        <v>0.75</v>
      </c>
      <c r="N417" s="6">
        <v>6.25E-2</v>
      </c>
      <c r="O417" s="6">
        <v>0.3125</v>
      </c>
      <c r="P417" s="6">
        <v>-2.25</v>
      </c>
      <c r="Q417" s="6">
        <v>-16.875</v>
      </c>
      <c r="R417" s="6">
        <v>-1.23340392112732</v>
      </c>
      <c r="S417" s="6">
        <v>32.670780181884801</v>
      </c>
      <c r="T417" s="6">
        <v>0.29688531160354598</v>
      </c>
      <c r="U417" s="6">
        <v>1.31291592121124</v>
      </c>
      <c r="V417" s="6">
        <v>-33.840896606445298</v>
      </c>
      <c r="W417" s="6">
        <v>-17.9346523284912</v>
      </c>
    </row>
    <row r="418" spans="1:23" ht="18.95" customHeight="1">
      <c r="A418" s="4">
        <v>414</v>
      </c>
      <c r="B418" s="4">
        <v>8873</v>
      </c>
      <c r="C418" s="4">
        <v>1</v>
      </c>
      <c r="D418" s="6">
        <v>0</v>
      </c>
      <c r="E418" s="6">
        <v>0</v>
      </c>
      <c r="F418" s="6">
        <v>-32.1875</v>
      </c>
      <c r="G418" s="6">
        <v>-0.4375</v>
      </c>
      <c r="H418" s="6">
        <v>0.4375</v>
      </c>
      <c r="I418" s="6">
        <v>1.5625</v>
      </c>
      <c r="J418" s="6">
        <v>-2.1875</v>
      </c>
      <c r="K418" s="6">
        <v>-15.375</v>
      </c>
      <c r="L418" s="6">
        <v>-74.75</v>
      </c>
      <c r="M418" s="6">
        <v>0.875</v>
      </c>
      <c r="N418" s="6">
        <v>-0.125</v>
      </c>
      <c r="O418" s="6">
        <v>0.3125</v>
      </c>
      <c r="P418" s="6">
        <v>-2.25</v>
      </c>
      <c r="Q418" s="6">
        <v>-15.4375</v>
      </c>
      <c r="R418" s="6">
        <v>-1.2028694152832</v>
      </c>
      <c r="S418" s="6">
        <v>36.212760925292997</v>
      </c>
      <c r="T418" s="6">
        <v>0.67856466770172097</v>
      </c>
      <c r="U418" s="6">
        <v>1.31455266475677</v>
      </c>
      <c r="V418" s="6">
        <v>-33.174144744872997</v>
      </c>
      <c r="W418" s="6">
        <v>-17.9260139465332</v>
      </c>
    </row>
    <row r="419" spans="1:23" ht="18.95" customHeight="1">
      <c r="A419" s="4">
        <v>415</v>
      </c>
      <c r="B419" s="4">
        <v>8895</v>
      </c>
      <c r="C419" s="4">
        <v>1</v>
      </c>
      <c r="D419" s="6">
        <v>0</v>
      </c>
      <c r="E419" s="6">
        <v>0</v>
      </c>
      <c r="F419" s="6">
        <v>-37.6875</v>
      </c>
      <c r="G419" s="6">
        <v>-0.75</v>
      </c>
      <c r="H419" s="6">
        <v>0.125</v>
      </c>
      <c r="I419" s="6">
        <v>1.5</v>
      </c>
      <c r="J419" s="6">
        <v>-2.1875</v>
      </c>
      <c r="K419" s="6">
        <v>-14.3125</v>
      </c>
      <c r="L419" s="6">
        <v>-75.9375</v>
      </c>
      <c r="M419" s="6">
        <v>0.625</v>
      </c>
      <c r="N419" s="6">
        <v>0.25</v>
      </c>
      <c r="O419" s="6">
        <v>0.25</v>
      </c>
      <c r="P419" s="6">
        <v>-2.25</v>
      </c>
      <c r="Q419" s="6">
        <v>-13.9375</v>
      </c>
      <c r="R419" s="6">
        <v>-1.01966333389282</v>
      </c>
      <c r="S419" s="6">
        <v>40.823448181152301</v>
      </c>
      <c r="T419" s="6">
        <v>0.55642724037170399</v>
      </c>
      <c r="U419" s="6">
        <v>1.2866623401641799</v>
      </c>
      <c r="V419" s="6">
        <v>-32.611740112304702</v>
      </c>
      <c r="W419" s="6">
        <v>-17.924034118652301</v>
      </c>
    </row>
    <row r="420" spans="1:23" ht="18.95" customHeight="1">
      <c r="A420" s="4">
        <v>416</v>
      </c>
      <c r="B420" s="4">
        <v>8917</v>
      </c>
      <c r="C420" s="4">
        <v>1</v>
      </c>
      <c r="D420" s="6">
        <v>0</v>
      </c>
      <c r="E420" s="6">
        <v>0</v>
      </c>
      <c r="F420" s="6">
        <v>-41.875</v>
      </c>
      <c r="G420" s="6">
        <v>-1.125</v>
      </c>
      <c r="H420" s="6">
        <v>-0.125</v>
      </c>
      <c r="I420" s="6">
        <v>1.5</v>
      </c>
      <c r="J420" s="6">
        <v>-2.1875</v>
      </c>
      <c r="K420" s="6">
        <v>-13.5625</v>
      </c>
      <c r="L420" s="6">
        <v>-78.625</v>
      </c>
      <c r="M420" s="6">
        <v>0.6875</v>
      </c>
      <c r="N420" s="6">
        <v>-0.1875</v>
      </c>
      <c r="O420" s="6">
        <v>0.25</v>
      </c>
      <c r="P420" s="6">
        <v>-2.25</v>
      </c>
      <c r="Q420" s="6">
        <v>-12.4375</v>
      </c>
      <c r="R420" s="6">
        <v>-1.4013428688049301</v>
      </c>
      <c r="S420" s="6">
        <v>43.876884460449197</v>
      </c>
      <c r="T420" s="6">
        <v>0.63276314735412598</v>
      </c>
      <c r="U420" s="6">
        <v>1.16174817085266</v>
      </c>
      <c r="V420" s="6">
        <v>-31.7078247070312</v>
      </c>
      <c r="W420" s="6">
        <v>-17.917533874511701</v>
      </c>
    </row>
    <row r="421" spans="1:23" ht="18.95" customHeight="1">
      <c r="A421" s="4">
        <v>417</v>
      </c>
      <c r="B421" s="4">
        <v>8948</v>
      </c>
      <c r="C421" s="4">
        <v>1</v>
      </c>
      <c r="D421" s="6">
        <v>0</v>
      </c>
      <c r="E421" s="6">
        <v>0</v>
      </c>
      <c r="F421" s="6">
        <v>-46.875</v>
      </c>
      <c r="G421" s="6">
        <v>-0.8125</v>
      </c>
      <c r="H421" s="6">
        <v>-0.125</v>
      </c>
      <c r="I421" s="6">
        <v>1.5</v>
      </c>
      <c r="J421" s="6">
        <v>-2.125</v>
      </c>
      <c r="K421" s="6">
        <v>-12.25</v>
      </c>
      <c r="L421" s="6">
        <v>-78.625</v>
      </c>
      <c r="M421" s="6">
        <v>0.875</v>
      </c>
      <c r="N421" s="6">
        <v>6.25E-2</v>
      </c>
      <c r="O421" s="6">
        <v>0.1875</v>
      </c>
      <c r="P421" s="6">
        <v>-2.3125</v>
      </c>
      <c r="Q421" s="6">
        <v>-10.1875</v>
      </c>
      <c r="R421" s="6">
        <v>-1.64561748504639</v>
      </c>
      <c r="S421" s="6">
        <v>49.266197204589801</v>
      </c>
      <c r="T421" s="6">
        <v>6.80899620056152E-3</v>
      </c>
      <c r="U421" s="6">
        <v>1.14067542552948</v>
      </c>
      <c r="V421" s="6">
        <v>-30.22873878479</v>
      </c>
      <c r="W421" s="6">
        <v>-17.917779922485401</v>
      </c>
    </row>
    <row r="422" spans="1:23" ht="18.95" customHeight="1">
      <c r="A422" s="4">
        <v>418</v>
      </c>
      <c r="B422" s="4">
        <v>8970</v>
      </c>
      <c r="C422" s="4">
        <v>1</v>
      </c>
      <c r="D422" s="6">
        <v>0</v>
      </c>
      <c r="E422" s="6">
        <v>0</v>
      </c>
      <c r="F422" s="6">
        <v>-50.5625</v>
      </c>
      <c r="G422" s="6">
        <v>-0.9375</v>
      </c>
      <c r="H422" s="6">
        <v>-6.25E-2</v>
      </c>
      <c r="I422" s="6">
        <v>1.4375</v>
      </c>
      <c r="J422" s="6">
        <v>-2.125</v>
      </c>
      <c r="K422" s="6">
        <v>-11.25</v>
      </c>
      <c r="L422" s="6">
        <v>-78.8125</v>
      </c>
      <c r="M422" s="6">
        <v>0.6875</v>
      </c>
      <c r="N422" s="6">
        <v>0</v>
      </c>
      <c r="O422" s="6">
        <v>0.1875</v>
      </c>
      <c r="P422" s="6">
        <v>-2.3125</v>
      </c>
      <c r="Q422" s="6">
        <v>-8.625</v>
      </c>
      <c r="R422" s="6">
        <v>-1.8746252059936499</v>
      </c>
      <c r="S422" s="6">
        <v>51.434135437011697</v>
      </c>
      <c r="T422" s="6">
        <v>-0.13059562444686901</v>
      </c>
      <c r="U422" s="6">
        <v>1.08626449108124</v>
      </c>
      <c r="V422" s="6">
        <v>-29.164546966552699</v>
      </c>
      <c r="W422" s="6">
        <v>-17.913385391235401</v>
      </c>
    </row>
    <row r="423" spans="1:23" ht="18.95" customHeight="1">
      <c r="A423" s="4">
        <v>419</v>
      </c>
      <c r="B423" s="4">
        <v>8990</v>
      </c>
      <c r="C423" s="4">
        <v>1</v>
      </c>
      <c r="D423" s="6">
        <v>0</v>
      </c>
      <c r="E423" s="6">
        <v>0</v>
      </c>
      <c r="F423" s="6">
        <v>-52.5</v>
      </c>
      <c r="G423" s="6">
        <v>-1.1875</v>
      </c>
      <c r="H423" s="6">
        <v>-0.125</v>
      </c>
      <c r="I423" s="6">
        <v>1.4375</v>
      </c>
      <c r="J423" s="6">
        <v>-2.125</v>
      </c>
      <c r="K423" s="6">
        <v>-10.25</v>
      </c>
      <c r="L423" s="6">
        <v>-77.1875</v>
      </c>
      <c r="M423" s="6">
        <v>0.5625</v>
      </c>
      <c r="N423" s="6">
        <v>0.125</v>
      </c>
      <c r="O423" s="6">
        <v>0.125</v>
      </c>
      <c r="P423" s="6">
        <v>-2.3125</v>
      </c>
      <c r="Q423" s="6">
        <v>-6.375</v>
      </c>
      <c r="R423" s="6">
        <v>-1.56928157806396</v>
      </c>
      <c r="S423" s="6">
        <v>55.739479064941399</v>
      </c>
      <c r="T423" s="6">
        <v>0.66329753398895297</v>
      </c>
      <c r="U423" s="6">
        <v>1.0416997671127299</v>
      </c>
      <c r="V423" s="6">
        <v>-28.3218479156494</v>
      </c>
      <c r="W423" s="6">
        <v>-17.9029140472412</v>
      </c>
    </row>
    <row r="424" spans="1:23" ht="18.95" customHeight="1">
      <c r="A424" s="4">
        <v>420</v>
      </c>
      <c r="B424" s="4">
        <v>9012</v>
      </c>
      <c r="C424" s="4">
        <v>1</v>
      </c>
      <c r="D424" s="6">
        <v>0</v>
      </c>
      <c r="E424" s="6">
        <v>0</v>
      </c>
      <c r="F424" s="6">
        <v>-56.1875</v>
      </c>
      <c r="G424" s="6">
        <v>-0.5625</v>
      </c>
      <c r="H424" s="6">
        <v>0.25</v>
      </c>
      <c r="I424" s="6">
        <v>1.4375</v>
      </c>
      <c r="J424" s="6">
        <v>-2.125</v>
      </c>
      <c r="K424" s="6">
        <v>-9.1875</v>
      </c>
      <c r="L424" s="6">
        <v>-77.8125</v>
      </c>
      <c r="M424" s="6">
        <v>0.75</v>
      </c>
      <c r="N424" s="6">
        <v>0</v>
      </c>
      <c r="O424" s="6">
        <v>6.25E-2</v>
      </c>
      <c r="P424" s="6">
        <v>-2.3125</v>
      </c>
      <c r="Q424" s="6">
        <v>-4.875</v>
      </c>
      <c r="R424" s="6">
        <v>-1.9967627525329601</v>
      </c>
      <c r="S424" s="6">
        <v>58.090629577636697</v>
      </c>
      <c r="T424" s="6">
        <v>-0.23746582865714999</v>
      </c>
      <c r="U424" s="6">
        <v>1.07860326766968</v>
      </c>
      <c r="V424" s="6">
        <v>-27.173393249511701</v>
      </c>
      <c r="W424" s="6">
        <v>-17.895870208740199</v>
      </c>
    </row>
    <row r="425" spans="1:23" ht="18.95" customHeight="1">
      <c r="A425" s="4">
        <v>421</v>
      </c>
      <c r="B425" s="4">
        <v>9034</v>
      </c>
      <c r="C425" s="4">
        <v>1</v>
      </c>
      <c r="D425" s="6">
        <v>0</v>
      </c>
      <c r="E425" s="6">
        <v>0</v>
      </c>
      <c r="F425" s="6">
        <v>-58.75</v>
      </c>
      <c r="G425" s="6">
        <v>-1.0625</v>
      </c>
      <c r="H425" s="6">
        <v>-0.1875</v>
      </c>
      <c r="I425" s="6">
        <v>1.375</v>
      </c>
      <c r="J425" s="6">
        <v>-2.0625</v>
      </c>
      <c r="K425" s="6">
        <v>-7.5</v>
      </c>
      <c r="L425" s="6">
        <v>-76.0625</v>
      </c>
      <c r="M425" s="6">
        <v>0.625</v>
      </c>
      <c r="N425" s="6">
        <v>0.1875</v>
      </c>
      <c r="O425" s="6">
        <v>6.25E-2</v>
      </c>
      <c r="P425" s="6">
        <v>-2.3125</v>
      </c>
      <c r="Q425" s="6">
        <v>-3.4375</v>
      </c>
      <c r="R425" s="6">
        <v>-1.92042684555054</v>
      </c>
      <c r="S425" s="6">
        <v>61.708946228027301</v>
      </c>
      <c r="T425" s="6">
        <v>-0.26800018548965499</v>
      </c>
      <c r="U425" s="6">
        <v>0.97900527715682995</v>
      </c>
      <c r="V425" s="6">
        <v>-26.049949645996101</v>
      </c>
      <c r="W425" s="6">
        <v>-17.903995513916001</v>
      </c>
    </row>
    <row r="426" spans="1:23" ht="18.95" customHeight="1">
      <c r="A426" s="4">
        <v>422</v>
      </c>
      <c r="B426" s="4">
        <v>9054</v>
      </c>
      <c r="C426" s="4">
        <v>1</v>
      </c>
      <c r="D426" s="6">
        <v>0</v>
      </c>
      <c r="E426" s="6">
        <v>0</v>
      </c>
      <c r="F426" s="6">
        <v>-61.9375</v>
      </c>
      <c r="G426" s="6">
        <v>-1.1875</v>
      </c>
      <c r="H426" s="6">
        <v>-0.75</v>
      </c>
      <c r="I426" s="6">
        <v>1.375</v>
      </c>
      <c r="J426" s="6">
        <v>-2.0625</v>
      </c>
      <c r="K426" s="6">
        <v>-6.25</v>
      </c>
      <c r="L426" s="6">
        <v>-74.9375</v>
      </c>
      <c r="M426" s="6">
        <v>0.75</v>
      </c>
      <c r="N426" s="6">
        <v>-0.25</v>
      </c>
      <c r="O426" s="6">
        <v>0</v>
      </c>
      <c r="P426" s="6">
        <v>-2.375</v>
      </c>
      <c r="Q426" s="6">
        <v>-1.9375</v>
      </c>
      <c r="R426" s="6">
        <v>-1.6303505897521999</v>
      </c>
      <c r="S426" s="6">
        <v>62.731849670410199</v>
      </c>
      <c r="T426" s="6">
        <v>0.52589297294616699</v>
      </c>
      <c r="U426" s="6">
        <v>0.87657427787780795</v>
      </c>
      <c r="V426" s="6">
        <v>-24.753944396972699</v>
      </c>
      <c r="W426" s="6">
        <v>-17.905227661132798</v>
      </c>
    </row>
    <row r="427" spans="1:23" ht="18.95" customHeight="1">
      <c r="A427" s="4">
        <v>423</v>
      </c>
      <c r="B427" s="4">
        <v>9075</v>
      </c>
      <c r="C427" s="4">
        <v>0</v>
      </c>
      <c r="D427" s="6">
        <v>0</v>
      </c>
      <c r="E427" s="6">
        <v>0</v>
      </c>
      <c r="F427" s="6">
        <v>-63.875</v>
      </c>
      <c r="G427" s="6">
        <v>-1.5</v>
      </c>
      <c r="H427" s="6">
        <v>-0.75</v>
      </c>
      <c r="I427" s="6">
        <v>1.375</v>
      </c>
      <c r="J427" s="6">
        <v>-2</v>
      </c>
      <c r="K427" s="6">
        <v>-5</v>
      </c>
      <c r="L427" s="6">
        <v>-72.25</v>
      </c>
      <c r="M427" s="6">
        <v>0.4375</v>
      </c>
      <c r="N427" s="6">
        <v>0.125</v>
      </c>
      <c r="O427" s="6">
        <v>0</v>
      </c>
      <c r="P427" s="6">
        <v>-2.375</v>
      </c>
      <c r="Q427" s="6">
        <v>-0.5625</v>
      </c>
      <c r="R427" s="6">
        <v>-1.44714450836182</v>
      </c>
      <c r="S427" s="6">
        <v>67.098258972167997</v>
      </c>
      <c r="T427" s="6">
        <v>0.54116010665893599</v>
      </c>
      <c r="U427" s="6">
        <v>0.86114406585693404</v>
      </c>
      <c r="V427" s="6">
        <v>-23.620674133300799</v>
      </c>
      <c r="W427" s="6">
        <v>-17.900642395019499</v>
      </c>
    </row>
    <row r="428" spans="1:23" ht="18.95" customHeight="1">
      <c r="A428" s="4">
        <v>424</v>
      </c>
      <c r="B428" s="4">
        <v>9097</v>
      </c>
      <c r="C428" s="4">
        <v>0</v>
      </c>
      <c r="D428" s="6">
        <v>0</v>
      </c>
      <c r="E428" s="6">
        <v>0</v>
      </c>
      <c r="F428" s="6">
        <v>-68.5</v>
      </c>
      <c r="G428" s="6">
        <v>-0.6875</v>
      </c>
      <c r="H428" s="6">
        <v>-0.375</v>
      </c>
      <c r="I428" s="6">
        <v>1.375</v>
      </c>
      <c r="J428" s="6">
        <v>-2</v>
      </c>
      <c r="K428" s="6">
        <v>-3.75</v>
      </c>
      <c r="L428" s="6">
        <v>-71.375</v>
      </c>
      <c r="M428" s="6">
        <v>0.75</v>
      </c>
      <c r="N428" s="6">
        <v>-0.1875</v>
      </c>
      <c r="O428" s="6">
        <v>359.9375</v>
      </c>
      <c r="P428" s="6">
        <v>-2.375</v>
      </c>
      <c r="Q428" s="6">
        <v>0.8125</v>
      </c>
      <c r="R428" s="6">
        <v>-3.2486710548400901</v>
      </c>
      <c r="S428" s="6">
        <v>66.350173950195298</v>
      </c>
      <c r="T428" s="6">
        <v>-0.63441240787506104</v>
      </c>
      <c r="U428" s="6">
        <v>0.92290830612182595</v>
      </c>
      <c r="V428" s="6">
        <v>-21.9559650421143</v>
      </c>
      <c r="W428" s="6">
        <v>-17.911659240722699</v>
      </c>
    </row>
    <row r="429" spans="1:23" ht="18.95" customHeight="1">
      <c r="A429" s="4">
        <v>425</v>
      </c>
      <c r="B429" s="4">
        <v>9118</v>
      </c>
      <c r="C429" s="4">
        <v>0</v>
      </c>
      <c r="D429" s="6">
        <v>0</v>
      </c>
      <c r="E429" s="6">
        <v>0</v>
      </c>
      <c r="F429" s="6">
        <v>-68.6875</v>
      </c>
      <c r="G429" s="6">
        <v>-2.1875</v>
      </c>
      <c r="H429" s="6">
        <v>-0.9375</v>
      </c>
      <c r="I429" s="6">
        <v>1.375</v>
      </c>
      <c r="J429" s="6">
        <v>-1.9375</v>
      </c>
      <c r="K429" s="6">
        <v>-2.375</v>
      </c>
      <c r="L429" s="6">
        <v>-66.5</v>
      </c>
      <c r="M429" s="6">
        <v>0.3125</v>
      </c>
      <c r="N429" s="6">
        <v>0.125</v>
      </c>
      <c r="O429" s="6">
        <v>359.9375</v>
      </c>
      <c r="P429" s="6">
        <v>-2.375</v>
      </c>
      <c r="Q429" s="6">
        <v>2.125</v>
      </c>
      <c r="R429" s="6">
        <v>-1.50821304321289</v>
      </c>
      <c r="S429" s="6">
        <v>67.831085205078097</v>
      </c>
      <c r="T429" s="6">
        <v>0.28161811828613298</v>
      </c>
      <c r="U429" s="6">
        <v>0.70020318031311002</v>
      </c>
      <c r="V429" s="6">
        <v>-20.506912231445298</v>
      </c>
      <c r="W429" s="6">
        <v>-17.912662506103501</v>
      </c>
    </row>
    <row r="430" spans="1:23" ht="18.95" customHeight="1">
      <c r="A430" s="4">
        <v>426</v>
      </c>
      <c r="B430" s="4">
        <v>9140</v>
      </c>
      <c r="C430" s="4">
        <v>0</v>
      </c>
      <c r="D430" s="6">
        <v>0</v>
      </c>
      <c r="E430" s="6">
        <v>0</v>
      </c>
      <c r="F430" s="6">
        <v>-70.125</v>
      </c>
      <c r="G430" s="6">
        <v>-0.5625</v>
      </c>
      <c r="H430" s="6">
        <v>-0.5625</v>
      </c>
      <c r="I430" s="6">
        <v>1.3125</v>
      </c>
      <c r="J430" s="6">
        <v>-1.9375</v>
      </c>
      <c r="K430" s="6">
        <v>-1.0625</v>
      </c>
      <c r="L430" s="6">
        <v>-63.125</v>
      </c>
      <c r="M430" s="6">
        <v>1.125</v>
      </c>
      <c r="N430" s="6">
        <v>-0.1875</v>
      </c>
      <c r="O430" s="6">
        <v>359.9375</v>
      </c>
      <c r="P430" s="6">
        <v>-2.375</v>
      </c>
      <c r="Q430" s="6">
        <v>3.3125</v>
      </c>
      <c r="R430" s="6">
        <v>-3.11126661300659</v>
      </c>
      <c r="S430" s="6">
        <v>66.075363159179702</v>
      </c>
      <c r="T430" s="6">
        <v>-0.39013758301734902</v>
      </c>
      <c r="U430" s="6">
        <v>0.76566815376281705</v>
      </c>
      <c r="V430" s="6">
        <v>-18.791410446166999</v>
      </c>
      <c r="W430" s="6">
        <v>-17.905567169189499</v>
      </c>
    </row>
    <row r="431" spans="1:23" ht="18.95" customHeight="1">
      <c r="A431" s="4">
        <v>427</v>
      </c>
      <c r="B431" s="4">
        <v>9162</v>
      </c>
      <c r="C431" s="4">
        <v>1</v>
      </c>
      <c r="D431" s="6">
        <v>0</v>
      </c>
      <c r="E431" s="6">
        <v>0</v>
      </c>
      <c r="F431" s="6">
        <v>-68.375</v>
      </c>
      <c r="G431" s="6">
        <v>-1.9375</v>
      </c>
      <c r="H431" s="6">
        <v>-0.4375</v>
      </c>
      <c r="I431" s="6">
        <v>1.3125</v>
      </c>
      <c r="J431" s="6">
        <v>-1.9375</v>
      </c>
      <c r="K431" s="6">
        <v>0.25</v>
      </c>
      <c r="L431" s="6">
        <v>-56.1875</v>
      </c>
      <c r="M431" s="6">
        <v>0.3125</v>
      </c>
      <c r="N431" s="6">
        <v>0.1875</v>
      </c>
      <c r="O431" s="6">
        <v>359.875</v>
      </c>
      <c r="P431" s="6">
        <v>-2.375</v>
      </c>
      <c r="Q431" s="6">
        <v>5</v>
      </c>
      <c r="R431" s="6">
        <v>-2.2715716361999498</v>
      </c>
      <c r="S431" s="6">
        <v>66.915054321289105</v>
      </c>
      <c r="T431" s="6">
        <v>-0.52754217386245705</v>
      </c>
      <c r="U431" s="6">
        <v>0.72254705429077104</v>
      </c>
      <c r="V431" s="6">
        <v>-17.1011047363281</v>
      </c>
      <c r="W431" s="6">
        <v>-17.912303924560501</v>
      </c>
    </row>
    <row r="432" spans="1:23" ht="18.95" customHeight="1">
      <c r="A432" s="4">
        <v>428</v>
      </c>
      <c r="B432" s="4">
        <v>9182</v>
      </c>
      <c r="C432" s="4">
        <v>1</v>
      </c>
      <c r="D432" s="6">
        <v>0</v>
      </c>
      <c r="E432" s="6">
        <v>0</v>
      </c>
      <c r="F432" s="6">
        <v>-69.5625</v>
      </c>
      <c r="G432" s="6">
        <v>-0.9375</v>
      </c>
      <c r="H432" s="6">
        <v>-0.75</v>
      </c>
      <c r="I432" s="6">
        <v>1.3125</v>
      </c>
      <c r="J432" s="6">
        <v>-1.875</v>
      </c>
      <c r="K432" s="6">
        <v>1.5625</v>
      </c>
      <c r="L432" s="6">
        <v>-49</v>
      </c>
      <c r="M432" s="6">
        <v>0.25</v>
      </c>
      <c r="N432" s="6">
        <v>6.25E-2</v>
      </c>
      <c r="O432" s="6">
        <v>359.875</v>
      </c>
      <c r="P432" s="6">
        <v>-2.375</v>
      </c>
      <c r="Q432" s="6">
        <v>6</v>
      </c>
      <c r="R432" s="6">
        <v>-2.8669915199279798</v>
      </c>
      <c r="S432" s="6">
        <v>65.113525390625</v>
      </c>
      <c r="T432" s="6">
        <v>-0.22219866514205899</v>
      </c>
      <c r="U432" s="6">
        <v>0.67589330673217796</v>
      </c>
      <c r="V432" s="6">
        <v>-15.5844459533691</v>
      </c>
      <c r="W432" s="6">
        <v>-17.913236618041999</v>
      </c>
    </row>
    <row r="433" spans="1:23" ht="18.95" customHeight="1">
      <c r="A433" s="4">
        <v>429</v>
      </c>
      <c r="B433" s="4">
        <v>9203</v>
      </c>
      <c r="C433" s="4">
        <v>1</v>
      </c>
      <c r="D433" s="6">
        <v>0</v>
      </c>
      <c r="E433" s="6">
        <v>0</v>
      </c>
      <c r="F433" s="6">
        <v>-67.5</v>
      </c>
      <c r="G433" s="6">
        <v>-1.875</v>
      </c>
      <c r="H433" s="6">
        <v>-0.6875</v>
      </c>
      <c r="I433" s="6">
        <v>1.3125</v>
      </c>
      <c r="J433" s="6">
        <v>-1.875</v>
      </c>
      <c r="K433" s="6">
        <v>2.875</v>
      </c>
      <c r="L433" s="6">
        <v>-43.875</v>
      </c>
      <c r="M433" s="6">
        <v>0.5625</v>
      </c>
      <c r="N433" s="6">
        <v>-0.1875</v>
      </c>
      <c r="O433" s="6">
        <v>359.8125</v>
      </c>
      <c r="P433" s="6">
        <v>-2.375</v>
      </c>
      <c r="Q433" s="6">
        <v>6.875</v>
      </c>
      <c r="R433" s="6">
        <v>-1.8593578338623</v>
      </c>
      <c r="S433" s="6">
        <v>64.334899902343807</v>
      </c>
      <c r="T433" s="6">
        <v>0.37322115898132302</v>
      </c>
      <c r="U433" s="6">
        <v>0.64068174362182595</v>
      </c>
      <c r="V433" s="6">
        <v>-13.945462226867701</v>
      </c>
      <c r="W433" s="6">
        <v>-17.9174900054932</v>
      </c>
    </row>
    <row r="434" spans="1:23" ht="18.95" customHeight="1">
      <c r="A434" s="4">
        <v>430</v>
      </c>
      <c r="B434" s="4">
        <v>9225</v>
      </c>
      <c r="C434" s="4">
        <v>1</v>
      </c>
      <c r="D434" s="6">
        <v>0</v>
      </c>
      <c r="E434" s="6">
        <v>0</v>
      </c>
      <c r="F434" s="6">
        <v>-67.1875</v>
      </c>
      <c r="G434" s="6">
        <v>-0.8125</v>
      </c>
      <c r="H434" s="6">
        <v>-0.6875</v>
      </c>
      <c r="I434" s="6">
        <v>1.3125</v>
      </c>
      <c r="J434" s="6">
        <v>-1.8125</v>
      </c>
      <c r="K434" s="6">
        <v>4.1875</v>
      </c>
      <c r="L434" s="6">
        <v>-37.1875</v>
      </c>
      <c r="M434" s="6">
        <v>0.125</v>
      </c>
      <c r="N434" s="6">
        <v>0.125</v>
      </c>
      <c r="O434" s="6">
        <v>359.8125</v>
      </c>
      <c r="P434" s="6">
        <v>-2.375</v>
      </c>
      <c r="Q434" s="6">
        <v>7.625</v>
      </c>
      <c r="R434" s="6">
        <v>-2.4547777175903298</v>
      </c>
      <c r="S434" s="6">
        <v>62.518104553222699</v>
      </c>
      <c r="T434" s="6">
        <v>-0.13059562444686901</v>
      </c>
      <c r="U434" s="6">
        <v>0.67069274187088002</v>
      </c>
      <c r="V434" s="6">
        <v>-12.513500213623001</v>
      </c>
      <c r="W434" s="6">
        <v>-17.919950485229499</v>
      </c>
    </row>
    <row r="435" spans="1:23" ht="18.95" customHeight="1">
      <c r="A435" s="4">
        <v>431</v>
      </c>
      <c r="B435" s="4">
        <v>9247</v>
      </c>
      <c r="C435" s="4">
        <v>1</v>
      </c>
      <c r="D435" s="6">
        <v>0</v>
      </c>
      <c r="E435" s="6">
        <v>0</v>
      </c>
      <c r="F435" s="6">
        <v>-64.8125</v>
      </c>
      <c r="G435" s="6">
        <v>-1.625</v>
      </c>
      <c r="H435" s="6">
        <v>-0.8125</v>
      </c>
      <c r="I435" s="6">
        <v>1.25</v>
      </c>
      <c r="J435" s="6">
        <v>-1.8125</v>
      </c>
      <c r="K435" s="6">
        <v>6.0625</v>
      </c>
      <c r="L435" s="6">
        <v>-32</v>
      </c>
      <c r="M435" s="6">
        <v>0.1875</v>
      </c>
      <c r="N435" s="6">
        <v>-6.25E-2</v>
      </c>
      <c r="O435" s="6">
        <v>359.8125</v>
      </c>
      <c r="P435" s="6">
        <v>-2.375</v>
      </c>
      <c r="Q435" s="6">
        <v>8.25</v>
      </c>
      <c r="R435" s="6">
        <v>-2.3021059036254901</v>
      </c>
      <c r="S435" s="6">
        <v>61.082992553710902</v>
      </c>
      <c r="T435" s="6">
        <v>-0.77181696891784701</v>
      </c>
      <c r="U435" s="6">
        <v>0.64271146059036299</v>
      </c>
      <c r="V435" s="6">
        <v>-10.807518959045399</v>
      </c>
      <c r="W435" s="6">
        <v>-17.930641174316399</v>
      </c>
    </row>
    <row r="436" spans="1:23" ht="18.95" customHeight="1">
      <c r="A436" s="4">
        <v>432</v>
      </c>
      <c r="B436" s="4">
        <v>9267</v>
      </c>
      <c r="C436" s="4">
        <v>1</v>
      </c>
      <c r="D436" s="6">
        <v>0</v>
      </c>
      <c r="E436" s="6">
        <v>0</v>
      </c>
      <c r="F436" s="6">
        <v>-64.75</v>
      </c>
      <c r="G436" s="6">
        <v>-1.125</v>
      </c>
      <c r="H436" s="6">
        <v>-0.875</v>
      </c>
      <c r="I436" s="6">
        <v>1.25</v>
      </c>
      <c r="J436" s="6">
        <v>-1.75</v>
      </c>
      <c r="K436" s="6">
        <v>7.3125</v>
      </c>
      <c r="L436" s="6">
        <v>-25.8125</v>
      </c>
      <c r="M436" s="6">
        <v>0.1875</v>
      </c>
      <c r="N436" s="6">
        <v>-0.125</v>
      </c>
      <c r="O436" s="6">
        <v>359.8125</v>
      </c>
      <c r="P436" s="6">
        <v>-2.375</v>
      </c>
      <c r="Q436" s="6">
        <v>8.75</v>
      </c>
      <c r="R436" s="6">
        <v>-2.1188998222351101</v>
      </c>
      <c r="S436" s="6">
        <v>58.899787902832003</v>
      </c>
      <c r="T436" s="6">
        <v>-0.28326734900474498</v>
      </c>
      <c r="U436" s="6">
        <v>0.64209908246993996</v>
      </c>
      <c r="V436" s="6">
        <v>-9.4328250885009801</v>
      </c>
      <c r="W436" s="6">
        <v>-17.9294528961182</v>
      </c>
    </row>
    <row r="437" spans="1:23" ht="18.95" customHeight="1">
      <c r="A437" s="4">
        <v>433</v>
      </c>
      <c r="B437" s="4">
        <v>9287</v>
      </c>
      <c r="C437" s="4">
        <v>1</v>
      </c>
      <c r="D437" s="6">
        <v>0</v>
      </c>
      <c r="E437" s="6">
        <v>0</v>
      </c>
      <c r="F437" s="6">
        <v>-60.9375</v>
      </c>
      <c r="G437" s="6">
        <v>-1.5625</v>
      </c>
      <c r="H437" s="6">
        <v>-0.875</v>
      </c>
      <c r="I437" s="6">
        <v>1.25</v>
      </c>
      <c r="J437" s="6">
        <v>-1.75</v>
      </c>
      <c r="K437" s="6">
        <v>8.5</v>
      </c>
      <c r="L437" s="6">
        <v>-19.375</v>
      </c>
      <c r="M437" s="6">
        <v>0.3125</v>
      </c>
      <c r="N437" s="6">
        <v>-0.125</v>
      </c>
      <c r="O437" s="6">
        <v>359.8125</v>
      </c>
      <c r="P437" s="6">
        <v>-2.375</v>
      </c>
      <c r="Q437" s="6">
        <v>9.1875</v>
      </c>
      <c r="R437" s="6">
        <v>-2.1036329269409202</v>
      </c>
      <c r="S437" s="6">
        <v>55.6631469726562</v>
      </c>
      <c r="T437" s="6">
        <v>-0.34433606266975397</v>
      </c>
      <c r="U437" s="6">
        <v>0.54483169317245495</v>
      </c>
      <c r="V437" s="6">
        <v>-7.9930610656738299</v>
      </c>
      <c r="W437" s="6">
        <v>-17.939081192016602</v>
      </c>
    </row>
    <row r="438" spans="1:23" ht="18.95" customHeight="1">
      <c r="A438" s="4">
        <v>434</v>
      </c>
      <c r="B438" s="4">
        <v>9307</v>
      </c>
      <c r="C438" s="4">
        <v>1</v>
      </c>
      <c r="D438" s="6">
        <v>0</v>
      </c>
      <c r="E438" s="6">
        <v>0</v>
      </c>
      <c r="F438" s="6">
        <v>-59.875</v>
      </c>
      <c r="G438" s="6">
        <v>-1.3125</v>
      </c>
      <c r="H438" s="6">
        <v>-1.0625</v>
      </c>
      <c r="I438" s="6">
        <v>1.25</v>
      </c>
      <c r="J438" s="6">
        <v>-1.6875</v>
      </c>
      <c r="K438" s="6">
        <v>9.625</v>
      </c>
      <c r="L438" s="6">
        <v>-13.5</v>
      </c>
      <c r="M438" s="6">
        <v>0</v>
      </c>
      <c r="N438" s="6">
        <v>-0.125</v>
      </c>
      <c r="O438" s="6">
        <v>359.8125</v>
      </c>
      <c r="P438" s="6">
        <v>-2.4375</v>
      </c>
      <c r="Q438" s="6">
        <v>9.5625</v>
      </c>
      <c r="R438" s="6">
        <v>-2.2410373687744101</v>
      </c>
      <c r="S438" s="6">
        <v>52.731849670410199</v>
      </c>
      <c r="T438" s="6">
        <v>-8.4581971168518101E-3</v>
      </c>
      <c r="U438" s="6">
        <v>0.518829345703125</v>
      </c>
      <c r="V438" s="6">
        <v>-6.8720355033874503</v>
      </c>
      <c r="W438" s="6">
        <v>-17.939701080322301</v>
      </c>
    </row>
    <row r="439" spans="1:23" ht="18.95" customHeight="1">
      <c r="A439" s="4">
        <v>435</v>
      </c>
      <c r="B439" s="4">
        <v>9328</v>
      </c>
      <c r="C439" s="4">
        <v>1</v>
      </c>
      <c r="D439" s="6">
        <v>0</v>
      </c>
      <c r="E439" s="6">
        <v>0</v>
      </c>
      <c r="F439" s="6">
        <v>-54.875</v>
      </c>
      <c r="G439" s="6">
        <v>-1.4375</v>
      </c>
      <c r="H439" s="6">
        <v>-0.6875</v>
      </c>
      <c r="I439" s="6">
        <v>1.25</v>
      </c>
      <c r="J439" s="6">
        <v>-1.6875</v>
      </c>
      <c r="K439" s="6">
        <v>10.75</v>
      </c>
      <c r="L439" s="6">
        <v>-7.25</v>
      </c>
      <c r="M439" s="6">
        <v>0.125</v>
      </c>
      <c r="N439" s="6">
        <v>-0.125</v>
      </c>
      <c r="O439" s="6">
        <v>359.75</v>
      </c>
      <c r="P439" s="6">
        <v>-2.4375</v>
      </c>
      <c r="Q439" s="6">
        <v>9.875</v>
      </c>
      <c r="R439" s="6">
        <v>-2.2257704734802202</v>
      </c>
      <c r="S439" s="6">
        <v>51.021926879882798</v>
      </c>
      <c r="T439" s="6">
        <v>-0.63441240787506104</v>
      </c>
      <c r="U439" s="6">
        <v>0.50885188579559304</v>
      </c>
      <c r="V439" s="6">
        <v>-5.6500949859619096</v>
      </c>
      <c r="W439" s="6">
        <v>-17.9509391784668</v>
      </c>
    </row>
    <row r="440" spans="1:23" ht="18.95" customHeight="1">
      <c r="A440" s="4">
        <v>436</v>
      </c>
      <c r="B440" s="4">
        <v>9358</v>
      </c>
      <c r="C440" s="4">
        <v>1</v>
      </c>
      <c r="D440" s="6">
        <v>0</v>
      </c>
      <c r="E440" s="6">
        <v>0</v>
      </c>
      <c r="F440" s="6">
        <v>-53.3125</v>
      </c>
      <c r="G440" s="6">
        <v>-1.1875</v>
      </c>
      <c r="H440" s="6">
        <v>-1.125</v>
      </c>
      <c r="I440" s="6">
        <v>1.25</v>
      </c>
      <c r="J440" s="6">
        <v>-1.625</v>
      </c>
      <c r="K440" s="6">
        <v>12.25</v>
      </c>
      <c r="L440" s="6">
        <v>0.6875</v>
      </c>
      <c r="M440" s="6">
        <v>-6.25E-2</v>
      </c>
      <c r="N440" s="6">
        <v>-0.125</v>
      </c>
      <c r="O440" s="6">
        <v>359.8125</v>
      </c>
      <c r="P440" s="6">
        <v>-2.4375</v>
      </c>
      <c r="Q440" s="6">
        <v>10.125</v>
      </c>
      <c r="R440" s="6">
        <v>-1.6608848571777299</v>
      </c>
      <c r="S440" s="6">
        <v>47.77001953125</v>
      </c>
      <c r="T440" s="6">
        <v>-0.87868720293045</v>
      </c>
      <c r="U440" s="6">
        <v>0.51080983877181996</v>
      </c>
      <c r="V440" s="6">
        <v>-4.2298712730407697</v>
      </c>
      <c r="W440" s="6">
        <v>-17.9764213562012</v>
      </c>
    </row>
    <row r="441" spans="1:23" ht="18.95" customHeight="1">
      <c r="A441" s="4">
        <v>437</v>
      </c>
      <c r="B441" s="4">
        <v>9379</v>
      </c>
      <c r="C441" s="4">
        <v>1</v>
      </c>
      <c r="D441" s="6">
        <v>0</v>
      </c>
      <c r="E441" s="6">
        <v>0</v>
      </c>
      <c r="F441" s="6">
        <v>-49.9375</v>
      </c>
      <c r="G441" s="6">
        <v>-1.0625</v>
      </c>
      <c r="H441" s="6">
        <v>-1.375</v>
      </c>
      <c r="I441" s="6">
        <v>1.25</v>
      </c>
      <c r="J441" s="6">
        <v>-1.625</v>
      </c>
      <c r="K441" s="6">
        <v>13.25</v>
      </c>
      <c r="L441" s="6">
        <v>5.4375</v>
      </c>
      <c r="M441" s="6">
        <v>-0.1875</v>
      </c>
      <c r="N441" s="6">
        <v>-0.6875</v>
      </c>
      <c r="O441" s="6">
        <v>359.8125</v>
      </c>
      <c r="P441" s="6">
        <v>-2.4375</v>
      </c>
      <c r="Q441" s="6">
        <v>10.125</v>
      </c>
      <c r="R441" s="6">
        <v>-2.6379837989807098</v>
      </c>
      <c r="S441" s="6">
        <v>44.243301391601598</v>
      </c>
      <c r="T441" s="6">
        <v>-1.76418340206146</v>
      </c>
      <c r="U441" s="6">
        <v>0.44406089186668402</v>
      </c>
      <c r="V441" s="6">
        <v>-3.4577901363372798</v>
      </c>
      <c r="W441" s="6">
        <v>-17.998476028442401</v>
      </c>
    </row>
    <row r="442" spans="1:23" ht="18.95" customHeight="1">
      <c r="A442" s="4">
        <v>438</v>
      </c>
      <c r="B442" s="4">
        <v>9400</v>
      </c>
      <c r="C442" s="4">
        <v>1</v>
      </c>
      <c r="D442" s="6">
        <v>0</v>
      </c>
      <c r="E442" s="6">
        <v>0</v>
      </c>
      <c r="F442" s="6">
        <v>-46.1875</v>
      </c>
      <c r="G442" s="6">
        <v>-2.5625</v>
      </c>
      <c r="H442" s="6">
        <v>-1.625</v>
      </c>
      <c r="I442" s="6">
        <v>1.25</v>
      </c>
      <c r="J442" s="6">
        <v>-1.5625</v>
      </c>
      <c r="K442" s="6">
        <v>14.1875</v>
      </c>
      <c r="L442" s="6">
        <v>10.875</v>
      </c>
      <c r="M442" s="6">
        <v>-0.5625</v>
      </c>
      <c r="N442" s="6">
        <v>-0.4375</v>
      </c>
      <c r="O442" s="6">
        <v>359.8125</v>
      </c>
      <c r="P442" s="6">
        <v>-2.5</v>
      </c>
      <c r="Q442" s="6">
        <v>10.0625</v>
      </c>
      <c r="R442" s="6">
        <v>-0.65325117111206099</v>
      </c>
      <c r="S442" s="6">
        <v>42.273834228515597</v>
      </c>
      <c r="T442" s="6">
        <v>0.89230513572692904</v>
      </c>
      <c r="U442" s="6">
        <v>0.133074641227722</v>
      </c>
      <c r="V442" s="6">
        <v>-2.4731688499450701</v>
      </c>
      <c r="W442" s="6">
        <v>-18.001304626464801</v>
      </c>
    </row>
    <row r="443" spans="1:23" ht="18.95" customHeight="1">
      <c r="A443" s="4">
        <v>439</v>
      </c>
      <c r="B443" s="4">
        <v>9422</v>
      </c>
      <c r="C443" s="4">
        <v>1</v>
      </c>
      <c r="D443" s="6">
        <v>0</v>
      </c>
      <c r="E443" s="6">
        <v>0</v>
      </c>
      <c r="F443" s="6">
        <v>-44.9375</v>
      </c>
      <c r="G443" s="6">
        <v>-0.75</v>
      </c>
      <c r="H443" s="6">
        <v>-0.375</v>
      </c>
      <c r="I443" s="6">
        <v>1.25</v>
      </c>
      <c r="J443" s="6">
        <v>-1.5625</v>
      </c>
      <c r="K443" s="6">
        <v>15.0625</v>
      </c>
      <c r="L443" s="6">
        <v>15.75</v>
      </c>
      <c r="M443" s="6">
        <v>-0.1875</v>
      </c>
      <c r="N443" s="6">
        <v>0</v>
      </c>
      <c r="O443" s="6">
        <v>359.8125</v>
      </c>
      <c r="P443" s="6">
        <v>-2.5</v>
      </c>
      <c r="Q443" s="6">
        <v>9.6875</v>
      </c>
      <c r="R443" s="6">
        <v>-1.38607549667358</v>
      </c>
      <c r="S443" s="6">
        <v>39.128791809082003</v>
      </c>
      <c r="T443" s="6">
        <v>-0.75654983520507801</v>
      </c>
      <c r="U443" s="6">
        <v>0.31226071715354897</v>
      </c>
      <c r="V443" s="6">
        <v>-1.9974441528320299</v>
      </c>
      <c r="W443" s="6">
        <v>-18.003633499145501</v>
      </c>
    </row>
    <row r="444" spans="1:23" ht="18.95" customHeight="1">
      <c r="A444" s="4">
        <v>440</v>
      </c>
      <c r="B444" s="4">
        <v>9442</v>
      </c>
      <c r="C444" s="4">
        <v>1</v>
      </c>
      <c r="D444" s="6">
        <v>0</v>
      </c>
      <c r="E444" s="6">
        <v>0</v>
      </c>
      <c r="F444" s="6">
        <v>-41.375</v>
      </c>
      <c r="G444" s="6">
        <v>-0.875</v>
      </c>
      <c r="H444" s="6">
        <v>-0.4375</v>
      </c>
      <c r="I444" s="6">
        <v>1.25</v>
      </c>
      <c r="J444" s="6">
        <v>-1.5625</v>
      </c>
      <c r="K444" s="6">
        <v>15.9375</v>
      </c>
      <c r="L444" s="6">
        <v>19.25</v>
      </c>
      <c r="M444" s="6">
        <v>-0.25</v>
      </c>
      <c r="N444" s="6">
        <v>-6.25E-2</v>
      </c>
      <c r="O444" s="6">
        <v>359.8125</v>
      </c>
      <c r="P444" s="6">
        <v>-2.5</v>
      </c>
      <c r="Q444" s="6">
        <v>9.3125</v>
      </c>
      <c r="R444" s="6">
        <v>-2.0578312873840301</v>
      </c>
      <c r="S444" s="6">
        <v>36.655509948730497</v>
      </c>
      <c r="T444" s="6">
        <v>-0.40540477633476302</v>
      </c>
      <c r="U444" s="6">
        <v>0.27748596668243403</v>
      </c>
      <c r="V444" s="6">
        <v>-1.31080198287964</v>
      </c>
      <c r="W444" s="6">
        <v>-18.024335861206101</v>
      </c>
    </row>
    <row r="445" spans="1:23" ht="18.95" customHeight="1">
      <c r="A445" s="4">
        <v>441</v>
      </c>
      <c r="B445" s="4">
        <v>9463</v>
      </c>
      <c r="C445" s="4">
        <v>1</v>
      </c>
      <c r="D445" s="6">
        <v>0</v>
      </c>
      <c r="E445" s="6">
        <v>0</v>
      </c>
      <c r="F445" s="6">
        <v>-39.3125</v>
      </c>
      <c r="G445" s="6">
        <v>-1.75</v>
      </c>
      <c r="H445" s="6">
        <v>-1.3125</v>
      </c>
      <c r="I445" s="6">
        <v>1.25</v>
      </c>
      <c r="J445" s="6">
        <v>-1.5</v>
      </c>
      <c r="K445" s="6">
        <v>16.875</v>
      </c>
      <c r="L445" s="6">
        <v>25.25</v>
      </c>
      <c r="M445" s="6">
        <v>-0.4375</v>
      </c>
      <c r="N445" s="6">
        <v>6.25E-2</v>
      </c>
      <c r="O445" s="6">
        <v>359.8125</v>
      </c>
      <c r="P445" s="6">
        <v>-2.5</v>
      </c>
      <c r="Q445" s="6">
        <v>8.875</v>
      </c>
      <c r="R445" s="6">
        <v>-0.48531222343444802</v>
      </c>
      <c r="S445" s="6">
        <v>33.693679809570298</v>
      </c>
      <c r="T445" s="6">
        <v>-0.23746582865714999</v>
      </c>
      <c r="U445" s="6">
        <v>6.1955682933330501E-2</v>
      </c>
      <c r="V445" s="6">
        <v>-1.0375727415084799</v>
      </c>
      <c r="W445" s="6">
        <v>-18.0267848968506</v>
      </c>
    </row>
    <row r="446" spans="1:23" ht="18.95" customHeight="1">
      <c r="A446" s="4">
        <v>442</v>
      </c>
      <c r="B446" s="4">
        <v>9483</v>
      </c>
      <c r="C446" s="4">
        <v>1</v>
      </c>
      <c r="D446" s="6">
        <v>0</v>
      </c>
      <c r="E446" s="6">
        <v>0</v>
      </c>
      <c r="F446" s="6">
        <v>-36.125</v>
      </c>
      <c r="G446" s="6">
        <v>-0.375</v>
      </c>
      <c r="H446" s="6">
        <v>-0.5625</v>
      </c>
      <c r="I446" s="6">
        <v>1.25</v>
      </c>
      <c r="J446" s="6">
        <v>-1.5</v>
      </c>
      <c r="K446" s="6">
        <v>17.625</v>
      </c>
      <c r="L446" s="6">
        <v>28.1875</v>
      </c>
      <c r="M446" s="6">
        <v>-0.125</v>
      </c>
      <c r="N446" s="6">
        <v>6.25E-2</v>
      </c>
      <c r="O446" s="6">
        <v>359.8125</v>
      </c>
      <c r="P446" s="6">
        <v>-2.5</v>
      </c>
      <c r="Q446" s="6">
        <v>8.375</v>
      </c>
      <c r="R446" s="6">
        <v>-1.6150832176208501</v>
      </c>
      <c r="S446" s="6">
        <v>31.800550460815401</v>
      </c>
      <c r="T446" s="6">
        <v>-0.848152875900269</v>
      </c>
      <c r="U446" s="6">
        <v>0.28405165672302202</v>
      </c>
      <c r="V446" s="6">
        <v>-0.50905990600585904</v>
      </c>
      <c r="W446" s="6">
        <v>-18.0258598327637</v>
      </c>
    </row>
    <row r="447" spans="1:23" ht="18.95" customHeight="1">
      <c r="A447" s="4">
        <v>443</v>
      </c>
      <c r="B447" s="4">
        <v>9505</v>
      </c>
      <c r="C447" s="4">
        <v>1</v>
      </c>
      <c r="D447" s="6">
        <v>0</v>
      </c>
      <c r="E447" s="6">
        <v>0</v>
      </c>
      <c r="F447" s="6">
        <v>-34.125</v>
      </c>
      <c r="G447" s="6">
        <v>-0.5625</v>
      </c>
      <c r="H447" s="6">
        <v>-0.375</v>
      </c>
      <c r="I447" s="6">
        <v>1.25</v>
      </c>
      <c r="J447" s="6">
        <v>-1.5</v>
      </c>
      <c r="K447" s="6">
        <v>18.375</v>
      </c>
      <c r="L447" s="6">
        <v>30.375</v>
      </c>
      <c r="M447" s="6">
        <v>-0.5</v>
      </c>
      <c r="N447" s="6">
        <v>0.1875</v>
      </c>
      <c r="O447" s="6">
        <v>359.875</v>
      </c>
      <c r="P447" s="6">
        <v>-2.5</v>
      </c>
      <c r="Q447" s="6">
        <v>7.8125</v>
      </c>
      <c r="R447" s="6">
        <v>-0.607449531555176</v>
      </c>
      <c r="S447" s="6">
        <v>28.640245437622099</v>
      </c>
      <c r="T447" s="6">
        <v>-0.37487041950225802</v>
      </c>
      <c r="U447" s="6">
        <v>0.100744381546974</v>
      </c>
      <c r="V447" s="6">
        <v>-0.34730759263038602</v>
      </c>
      <c r="W447" s="6">
        <v>-18.036441802978501</v>
      </c>
    </row>
    <row r="448" spans="1:23" ht="18.95" customHeight="1">
      <c r="A448" s="4">
        <v>444</v>
      </c>
      <c r="B448" s="4">
        <v>9526</v>
      </c>
      <c r="C448" s="4">
        <v>1</v>
      </c>
      <c r="D448" s="6">
        <v>0</v>
      </c>
      <c r="E448" s="6">
        <v>0</v>
      </c>
      <c r="F448" s="6">
        <v>-31.4375</v>
      </c>
      <c r="G448" s="6">
        <v>-1.125</v>
      </c>
      <c r="H448" s="6">
        <v>-0.9375</v>
      </c>
      <c r="I448" s="6">
        <v>1.25</v>
      </c>
      <c r="J448" s="6">
        <v>-1.4375</v>
      </c>
      <c r="K448" s="6">
        <v>19</v>
      </c>
      <c r="L448" s="6">
        <v>33.125</v>
      </c>
      <c r="M448" s="6">
        <v>-0.375</v>
      </c>
      <c r="N448" s="6">
        <v>-6.25E-2</v>
      </c>
      <c r="O448" s="6">
        <v>359.875</v>
      </c>
      <c r="P448" s="6">
        <v>-2.5</v>
      </c>
      <c r="Q448" s="6">
        <v>7.1875</v>
      </c>
      <c r="R448" s="6">
        <v>-1.2028694152832</v>
      </c>
      <c r="S448" s="6">
        <v>27.357801437377901</v>
      </c>
      <c r="T448" s="6">
        <v>-0.61914521455764804</v>
      </c>
      <c r="U448" s="6">
        <v>0.15380910038948101</v>
      </c>
      <c r="V448" s="6">
        <v>0.105707719922066</v>
      </c>
      <c r="W448" s="6">
        <v>-18.040979385376001</v>
      </c>
    </row>
    <row r="449" spans="1:23" ht="18.95" customHeight="1">
      <c r="A449" s="4">
        <v>445</v>
      </c>
      <c r="B449" s="4">
        <v>9546</v>
      </c>
      <c r="C449" s="4">
        <v>1</v>
      </c>
      <c r="D449" s="6">
        <v>0</v>
      </c>
      <c r="E449" s="6">
        <v>0</v>
      </c>
      <c r="F449" s="6">
        <v>-29.875</v>
      </c>
      <c r="G449" s="6">
        <v>-0.6875</v>
      </c>
      <c r="H449" s="6">
        <v>-0.5625</v>
      </c>
      <c r="I449" s="6">
        <v>1.25</v>
      </c>
      <c r="J449" s="6">
        <v>-1.4375</v>
      </c>
      <c r="K449" s="6">
        <v>19.6875</v>
      </c>
      <c r="L449" s="6">
        <v>36.25</v>
      </c>
      <c r="M449" s="6">
        <v>-0.5</v>
      </c>
      <c r="N449" s="6">
        <v>6.25E-2</v>
      </c>
      <c r="O449" s="6">
        <v>359.875</v>
      </c>
      <c r="P449" s="6">
        <v>-2.5</v>
      </c>
      <c r="Q449" s="6">
        <v>6.5</v>
      </c>
      <c r="R449" s="6">
        <v>-0.592182397842407</v>
      </c>
      <c r="S449" s="6">
        <v>25.5715427398682</v>
      </c>
      <c r="T449" s="6">
        <v>0.32741963863372803</v>
      </c>
      <c r="U449" s="6">
        <v>9.90328639745712E-2</v>
      </c>
      <c r="V449" s="6">
        <v>0.28267514705657998</v>
      </c>
      <c r="W449" s="6">
        <v>-18.045719146728501</v>
      </c>
    </row>
    <row r="450" spans="1:23" ht="18.95" customHeight="1">
      <c r="A450" s="4">
        <v>446</v>
      </c>
      <c r="B450" s="4">
        <v>9567</v>
      </c>
      <c r="C450" s="4">
        <v>1</v>
      </c>
      <c r="D450" s="6">
        <v>0</v>
      </c>
      <c r="E450" s="6">
        <v>0</v>
      </c>
      <c r="F450" s="6">
        <v>-28</v>
      </c>
      <c r="G450" s="6">
        <v>-0.75</v>
      </c>
      <c r="H450" s="6">
        <v>-0.6875</v>
      </c>
      <c r="I450" s="6">
        <v>1.25</v>
      </c>
      <c r="J450" s="6">
        <v>-1.4375</v>
      </c>
      <c r="K450" s="6">
        <v>20.25</v>
      </c>
      <c r="L450" s="6">
        <v>36.9375</v>
      </c>
      <c r="M450" s="6">
        <v>-0.375</v>
      </c>
      <c r="N450" s="6">
        <v>-6.25E-2</v>
      </c>
      <c r="O450" s="6">
        <v>359.875</v>
      </c>
      <c r="P450" s="6">
        <v>-2.5</v>
      </c>
      <c r="Q450" s="6">
        <v>5.8125</v>
      </c>
      <c r="R450" s="6">
        <v>-1.2792053222656199</v>
      </c>
      <c r="S450" s="6">
        <v>25.342535018920898</v>
      </c>
      <c r="T450" s="6">
        <v>-3.8992583751678501E-2</v>
      </c>
      <c r="U450" s="6">
        <v>0.105935163795948</v>
      </c>
      <c r="V450" s="6">
        <v>0.835313200950623</v>
      </c>
      <c r="W450" s="6">
        <v>-18.046545028686499</v>
      </c>
    </row>
    <row r="451" spans="1:23" ht="18.95" customHeight="1">
      <c r="A451" s="4">
        <v>447</v>
      </c>
      <c r="B451" s="4">
        <v>9589</v>
      </c>
      <c r="C451" s="4">
        <v>1</v>
      </c>
      <c r="D451" s="6">
        <v>0</v>
      </c>
      <c r="E451" s="6">
        <v>0</v>
      </c>
      <c r="F451" s="6">
        <v>-26.625</v>
      </c>
      <c r="G451" s="6">
        <v>-0.875</v>
      </c>
      <c r="H451" s="6">
        <v>-0.625</v>
      </c>
      <c r="I451" s="6">
        <v>1.25</v>
      </c>
      <c r="J451" s="6">
        <v>-1.4375</v>
      </c>
      <c r="K451" s="6">
        <v>21.0625</v>
      </c>
      <c r="L451" s="6">
        <v>42.4375</v>
      </c>
      <c r="M451" s="6">
        <v>-0.375</v>
      </c>
      <c r="N451" s="6">
        <v>0.125</v>
      </c>
      <c r="O451" s="6">
        <v>359.9375</v>
      </c>
      <c r="P451" s="6">
        <v>-2.5</v>
      </c>
      <c r="Q451" s="6">
        <v>5.0625</v>
      </c>
      <c r="R451" s="6">
        <v>-0.40897631645202598</v>
      </c>
      <c r="S451" s="6">
        <v>23.3883361816406</v>
      </c>
      <c r="T451" s="6">
        <v>0.37322115898132302</v>
      </c>
      <c r="U451" s="6">
        <v>-6.6291233524680103E-3</v>
      </c>
      <c r="V451" s="6">
        <v>0.80450236797332797</v>
      </c>
      <c r="W451" s="6">
        <v>-18.042303085327099</v>
      </c>
    </row>
    <row r="452" spans="1:23" ht="18.95" customHeight="1">
      <c r="A452" s="4">
        <v>448</v>
      </c>
      <c r="B452" s="4">
        <v>9609</v>
      </c>
      <c r="C452" s="4">
        <v>1</v>
      </c>
      <c r="D452" s="6">
        <v>0</v>
      </c>
      <c r="E452" s="6">
        <v>0</v>
      </c>
      <c r="F452" s="6">
        <v>-25.75</v>
      </c>
      <c r="G452" s="6">
        <v>-0.6875</v>
      </c>
      <c r="H452" s="6">
        <v>-0.5</v>
      </c>
      <c r="I452" s="6">
        <v>1.25</v>
      </c>
      <c r="J452" s="6">
        <v>-1.375</v>
      </c>
      <c r="K452" s="6">
        <v>21.5</v>
      </c>
      <c r="L452" s="6">
        <v>43.125</v>
      </c>
      <c r="M452" s="6">
        <v>-0.5</v>
      </c>
      <c r="N452" s="6">
        <v>0.125</v>
      </c>
      <c r="O452" s="6">
        <v>359.9375</v>
      </c>
      <c r="P452" s="6">
        <v>-2.5</v>
      </c>
      <c r="Q452" s="6">
        <v>4.25</v>
      </c>
      <c r="R452" s="6">
        <v>-0.88225889205932595</v>
      </c>
      <c r="S452" s="6">
        <v>22.25856590271</v>
      </c>
      <c r="T452" s="6">
        <v>-0.832885682582855</v>
      </c>
      <c r="U452" s="6">
        <v>0.15448914468288399</v>
      </c>
      <c r="V452" s="6">
        <v>1.1290466785430899</v>
      </c>
      <c r="W452" s="6">
        <v>-18.0381565093994</v>
      </c>
    </row>
    <row r="453" spans="1:23" ht="18.95" customHeight="1">
      <c r="A453" s="4">
        <v>449</v>
      </c>
      <c r="B453" s="4">
        <v>9630</v>
      </c>
      <c r="C453" s="4">
        <v>1</v>
      </c>
      <c r="D453" s="6">
        <v>0</v>
      </c>
      <c r="E453" s="6">
        <v>0</v>
      </c>
      <c r="F453" s="6">
        <v>-23.5625</v>
      </c>
      <c r="G453" s="6">
        <v>-0.4375</v>
      </c>
      <c r="H453" s="6">
        <v>-0.625</v>
      </c>
      <c r="I453" s="6">
        <v>1.25</v>
      </c>
      <c r="J453" s="6">
        <v>-1.4375</v>
      </c>
      <c r="K453" s="6">
        <v>22.0625</v>
      </c>
      <c r="L453" s="6">
        <v>46.5</v>
      </c>
      <c r="M453" s="6">
        <v>-0.5625</v>
      </c>
      <c r="N453" s="6">
        <v>0.125</v>
      </c>
      <c r="O453" s="6">
        <v>359.9375</v>
      </c>
      <c r="P453" s="6">
        <v>-2.5</v>
      </c>
      <c r="Q453" s="6">
        <v>3.3125</v>
      </c>
      <c r="R453" s="6">
        <v>-0.66851830482482899</v>
      </c>
      <c r="S453" s="6">
        <v>20.563909530639599</v>
      </c>
      <c r="T453" s="6">
        <v>-0.31380170583724998</v>
      </c>
      <c r="U453" s="6">
        <v>1.6884265467524501E-2</v>
      </c>
      <c r="V453" s="6">
        <v>1.0575923919677701</v>
      </c>
      <c r="W453" s="6">
        <v>-18.045534133911101</v>
      </c>
    </row>
    <row r="454" spans="1:23" ht="18.95" customHeight="1">
      <c r="A454" s="4">
        <v>450</v>
      </c>
      <c r="B454" s="4">
        <v>9652</v>
      </c>
      <c r="C454" s="4">
        <v>1</v>
      </c>
      <c r="D454" s="6">
        <v>0</v>
      </c>
      <c r="E454" s="6">
        <v>0</v>
      </c>
      <c r="F454" s="6">
        <v>-21.625</v>
      </c>
      <c r="G454" s="6">
        <v>-0.8125</v>
      </c>
      <c r="H454" s="6">
        <v>-0.625</v>
      </c>
      <c r="I454" s="6">
        <v>1.25</v>
      </c>
      <c r="J454" s="6">
        <v>-1.375</v>
      </c>
      <c r="K454" s="6">
        <v>22.5</v>
      </c>
      <c r="L454" s="6">
        <v>46.6875</v>
      </c>
      <c r="M454" s="6">
        <v>-0.4375</v>
      </c>
      <c r="N454" s="6">
        <v>-0.1875</v>
      </c>
      <c r="O454" s="6">
        <v>0</v>
      </c>
      <c r="P454" s="6">
        <v>-2.5</v>
      </c>
      <c r="Q454" s="6">
        <v>2.4375</v>
      </c>
      <c r="R454" s="6">
        <v>-0.53111386299133301</v>
      </c>
      <c r="S454" s="6">
        <v>19.892152786254901</v>
      </c>
      <c r="T454" s="6">
        <v>-3.8992583751678501E-2</v>
      </c>
      <c r="U454" s="6">
        <v>7.7524952590465504E-2</v>
      </c>
      <c r="V454" s="6">
        <v>1.37775754928589</v>
      </c>
      <c r="W454" s="6">
        <v>-18.0426425933838</v>
      </c>
    </row>
    <row r="455" spans="1:23" ht="18.95" customHeight="1">
      <c r="A455" s="4">
        <v>451</v>
      </c>
      <c r="B455" s="4">
        <v>9673</v>
      </c>
      <c r="C455" s="4">
        <v>1</v>
      </c>
      <c r="D455" s="6">
        <v>0</v>
      </c>
      <c r="E455" s="6">
        <v>0</v>
      </c>
      <c r="F455" s="6">
        <v>-20.375</v>
      </c>
      <c r="G455" s="6">
        <v>-0.25</v>
      </c>
      <c r="H455" s="6">
        <v>-0.375</v>
      </c>
      <c r="I455" s="6">
        <v>1.25</v>
      </c>
      <c r="J455" s="6">
        <v>-1.375</v>
      </c>
      <c r="K455" s="6">
        <v>22.9375</v>
      </c>
      <c r="L455" s="6">
        <v>49.8125</v>
      </c>
      <c r="M455" s="6">
        <v>-0.5625</v>
      </c>
      <c r="N455" s="6">
        <v>0</v>
      </c>
      <c r="O455" s="6">
        <v>0</v>
      </c>
      <c r="P455" s="6">
        <v>-2.5</v>
      </c>
      <c r="Q455" s="6">
        <v>1.0625</v>
      </c>
      <c r="R455" s="6">
        <v>-0.83645725250244096</v>
      </c>
      <c r="S455" s="6">
        <v>18.289100646972699</v>
      </c>
      <c r="T455" s="6">
        <v>-0.40540477633476302</v>
      </c>
      <c r="U455" s="6">
        <v>0.10314454138279</v>
      </c>
      <c r="V455" s="6">
        <v>1.3128751516342201</v>
      </c>
      <c r="W455" s="6">
        <v>-18.046829223632798</v>
      </c>
    </row>
    <row r="456" spans="1:23" ht="18.95" customHeight="1">
      <c r="A456" s="4">
        <v>452</v>
      </c>
      <c r="B456" s="4">
        <v>9693</v>
      </c>
      <c r="C456" s="4">
        <v>1</v>
      </c>
      <c r="D456" s="6">
        <v>0</v>
      </c>
      <c r="E456" s="6">
        <v>0</v>
      </c>
      <c r="F456" s="6">
        <v>-19</v>
      </c>
      <c r="G456" s="6">
        <v>-0.5</v>
      </c>
      <c r="H456" s="6">
        <v>-0.5625</v>
      </c>
      <c r="I456" s="6">
        <v>1.25</v>
      </c>
      <c r="J456" s="6">
        <v>-1.375</v>
      </c>
      <c r="K456" s="6">
        <v>23.3125</v>
      </c>
      <c r="L456" s="6">
        <v>50.25</v>
      </c>
      <c r="M456" s="6">
        <v>-0.6875</v>
      </c>
      <c r="N456" s="6">
        <v>-6.25E-2</v>
      </c>
      <c r="O456" s="6">
        <v>0</v>
      </c>
      <c r="P456" s="6">
        <v>-2.5</v>
      </c>
      <c r="Q456" s="6">
        <v>6.25E-2</v>
      </c>
      <c r="R456" s="6">
        <v>-0.74485421180725098</v>
      </c>
      <c r="S456" s="6">
        <v>17.021923065185501</v>
      </c>
      <c r="T456" s="6">
        <v>-0.23746582865714999</v>
      </c>
      <c r="U456" s="6">
        <v>8.9786611497402205E-2</v>
      </c>
      <c r="V456" s="6">
        <v>1.40086317062378</v>
      </c>
      <c r="W456" s="6">
        <v>-18.048768997192401</v>
      </c>
    </row>
    <row r="457" spans="1:23" ht="18.95" customHeight="1">
      <c r="A457" s="4">
        <v>453</v>
      </c>
      <c r="B457" s="4">
        <v>9715</v>
      </c>
      <c r="C457" s="4">
        <v>1</v>
      </c>
      <c r="D457" s="6">
        <v>0</v>
      </c>
      <c r="E457" s="6">
        <v>0</v>
      </c>
      <c r="F457" s="6">
        <v>-17.75</v>
      </c>
      <c r="G457" s="6">
        <v>-0.3125</v>
      </c>
      <c r="H457" s="6">
        <v>-0.625</v>
      </c>
      <c r="I457" s="6">
        <v>1.25</v>
      </c>
      <c r="J457" s="6">
        <v>-1.375</v>
      </c>
      <c r="K457" s="6">
        <v>23.6875</v>
      </c>
      <c r="L457" s="6">
        <v>52.1875</v>
      </c>
      <c r="M457" s="6">
        <v>-0.5625</v>
      </c>
      <c r="N457" s="6">
        <v>-6.25E-2</v>
      </c>
      <c r="O457" s="6">
        <v>6.25E-2</v>
      </c>
      <c r="P457" s="6">
        <v>-2.5</v>
      </c>
      <c r="Q457" s="6">
        <v>-0.875</v>
      </c>
      <c r="R457" s="6">
        <v>-0.69905257225036599</v>
      </c>
      <c r="S457" s="6">
        <v>16.121160507202099</v>
      </c>
      <c r="T457" s="6">
        <v>-0.45120629668235801</v>
      </c>
      <c r="U457" s="6">
        <v>8.2161583006382002E-2</v>
      </c>
      <c r="V457" s="6">
        <v>1.32096147537231</v>
      </c>
      <c r="W457" s="6">
        <v>-18.053159713745099</v>
      </c>
    </row>
    <row r="458" spans="1:23" ht="18.95" customHeight="1">
      <c r="A458" s="4">
        <v>454</v>
      </c>
      <c r="B458" s="4">
        <v>9750</v>
      </c>
      <c r="C458" s="4">
        <v>1</v>
      </c>
      <c r="D458" s="6">
        <v>0</v>
      </c>
      <c r="E458" s="6">
        <v>0</v>
      </c>
      <c r="F458" s="6">
        <v>-15.875</v>
      </c>
      <c r="G458" s="6">
        <v>-0.3125</v>
      </c>
      <c r="H458" s="6">
        <v>-0.625</v>
      </c>
      <c r="I458" s="6">
        <v>1.25</v>
      </c>
      <c r="J458" s="6">
        <v>-1.375</v>
      </c>
      <c r="K458" s="6">
        <v>24.375</v>
      </c>
      <c r="L458" s="6">
        <v>53.4375</v>
      </c>
      <c r="M458" s="6">
        <v>-0.625</v>
      </c>
      <c r="N458" s="6">
        <v>0</v>
      </c>
      <c r="O458" s="6">
        <v>6.25E-2</v>
      </c>
      <c r="P458" s="6">
        <v>-2.5</v>
      </c>
      <c r="Q458" s="6">
        <v>-2.375</v>
      </c>
      <c r="R458" s="6">
        <v>2.3696496486663801</v>
      </c>
      <c r="S458" s="6">
        <v>14.869252204895</v>
      </c>
      <c r="T458" s="6">
        <v>-0.176397144794464</v>
      </c>
      <c r="U458" s="6">
        <v>-0.259424448013306</v>
      </c>
      <c r="V458" s="6">
        <v>1.52918541431427</v>
      </c>
      <c r="W458" s="6">
        <v>-18.0623264312744</v>
      </c>
    </row>
    <row r="459" spans="1:23" ht="18.95" customHeight="1">
      <c r="A459" s="4">
        <v>455</v>
      </c>
      <c r="B459" s="4">
        <v>9770</v>
      </c>
      <c r="C459" s="4">
        <v>1</v>
      </c>
      <c r="D459" s="6">
        <v>0</v>
      </c>
      <c r="E459" s="6">
        <v>0</v>
      </c>
      <c r="F459" s="6">
        <v>-14.9375</v>
      </c>
      <c r="G459" s="6">
        <v>-0.4375</v>
      </c>
      <c r="H459" s="6">
        <v>-0.625</v>
      </c>
      <c r="I459" s="6">
        <v>1.25</v>
      </c>
      <c r="J459" s="6">
        <v>-1.375</v>
      </c>
      <c r="K459" s="6">
        <v>24.625</v>
      </c>
      <c r="L459" s="6">
        <v>56.25</v>
      </c>
      <c r="M459" s="6">
        <v>-0.75</v>
      </c>
      <c r="N459" s="6">
        <v>0.125</v>
      </c>
      <c r="O459" s="6">
        <v>0.125</v>
      </c>
      <c r="P459" s="6">
        <v>-2.5</v>
      </c>
      <c r="Q459" s="6">
        <v>-3.4375</v>
      </c>
      <c r="R459" s="6">
        <v>-8.8365554809570299E-2</v>
      </c>
      <c r="S459" s="6">
        <v>13.373069763183601</v>
      </c>
      <c r="T459" s="6">
        <v>-8.4794104099273696E-2</v>
      </c>
      <c r="U459" s="6">
        <v>-0.200946524739265</v>
      </c>
      <c r="V459" s="6">
        <v>1.4862529039382899</v>
      </c>
      <c r="W459" s="6">
        <v>-18.0774822235107</v>
      </c>
    </row>
    <row r="460" spans="1:23" ht="18.95" customHeight="1">
      <c r="A460" s="4">
        <v>456</v>
      </c>
      <c r="B460" s="4">
        <v>9791</v>
      </c>
      <c r="C460" s="4">
        <v>1</v>
      </c>
      <c r="D460" s="6">
        <v>0</v>
      </c>
      <c r="E460" s="6">
        <v>0</v>
      </c>
      <c r="F460" s="6">
        <v>-12.875</v>
      </c>
      <c r="G460" s="6">
        <v>-0.25</v>
      </c>
      <c r="H460" s="6">
        <v>-0.5625</v>
      </c>
      <c r="I460" s="6">
        <v>1.25</v>
      </c>
      <c r="J460" s="6">
        <v>-1.375</v>
      </c>
      <c r="K460" s="6">
        <v>24.875</v>
      </c>
      <c r="L460" s="6">
        <v>56.375</v>
      </c>
      <c r="M460" s="6">
        <v>-0.375</v>
      </c>
      <c r="N460" s="6">
        <v>0.125</v>
      </c>
      <c r="O460" s="6">
        <v>0.125</v>
      </c>
      <c r="P460" s="6">
        <v>-2.5</v>
      </c>
      <c r="Q460" s="6">
        <v>-4.5625</v>
      </c>
      <c r="R460" s="6">
        <v>-1.26393818855286</v>
      </c>
      <c r="S460" s="6">
        <v>11.8310842514038</v>
      </c>
      <c r="T460" s="6">
        <v>-1.1229619979858401</v>
      </c>
      <c r="U460" s="6">
        <v>-0.157975673675537</v>
      </c>
      <c r="V460" s="6">
        <v>1.6815646886825599</v>
      </c>
      <c r="W460" s="6">
        <v>-18.094537734985401</v>
      </c>
    </row>
    <row r="461" spans="1:23" ht="18.95" customHeight="1">
      <c r="A461" s="4">
        <v>457</v>
      </c>
      <c r="B461" s="4">
        <v>9813</v>
      </c>
      <c r="C461" s="4">
        <v>1</v>
      </c>
      <c r="D461" s="6">
        <v>0</v>
      </c>
      <c r="E461" s="6">
        <v>0</v>
      </c>
      <c r="F461" s="6">
        <v>-11.9375</v>
      </c>
      <c r="G461" s="6">
        <v>-0.75</v>
      </c>
      <c r="H461" s="6">
        <v>-0.8125</v>
      </c>
      <c r="I461" s="6">
        <v>1.25</v>
      </c>
      <c r="J461" s="6">
        <v>-1.375</v>
      </c>
      <c r="K461" s="6">
        <v>25.1875</v>
      </c>
      <c r="L461" s="6">
        <v>57.375</v>
      </c>
      <c r="M461" s="6">
        <v>-0.875</v>
      </c>
      <c r="N461" s="6">
        <v>-6.25E-2</v>
      </c>
      <c r="O461" s="6">
        <v>0.1875</v>
      </c>
      <c r="P461" s="6">
        <v>-2.4375</v>
      </c>
      <c r="Q461" s="6">
        <v>-6.25</v>
      </c>
      <c r="R461" s="6">
        <v>0.58338999748230003</v>
      </c>
      <c r="S461" s="6">
        <v>10.548642158508301</v>
      </c>
      <c r="T461" s="6">
        <v>0.57169449329376198</v>
      </c>
      <c r="U461" s="6">
        <v>-0.25670152902603099</v>
      </c>
      <c r="V461" s="6">
        <v>1.50699734687805</v>
      </c>
      <c r="W461" s="6">
        <v>-18.088748931884801</v>
      </c>
    </row>
    <row r="462" spans="1:23" ht="18.95" customHeight="1">
      <c r="A462" s="4">
        <v>458</v>
      </c>
      <c r="B462" s="4">
        <v>9835</v>
      </c>
      <c r="C462" s="4">
        <v>1</v>
      </c>
      <c r="D462" s="6">
        <v>0</v>
      </c>
      <c r="E462" s="6">
        <v>0</v>
      </c>
      <c r="F462" s="6">
        <v>-10.875</v>
      </c>
      <c r="G462" s="6">
        <v>0.6875</v>
      </c>
      <c r="H462" s="6">
        <v>0</v>
      </c>
      <c r="I462" s="6">
        <v>1.25</v>
      </c>
      <c r="J462" s="6">
        <v>-1.375</v>
      </c>
      <c r="K462" s="6">
        <v>25.375</v>
      </c>
      <c r="L462" s="6">
        <v>58.8125</v>
      </c>
      <c r="M462" s="6">
        <v>-0.5625</v>
      </c>
      <c r="N462" s="6">
        <v>0.125</v>
      </c>
      <c r="O462" s="6">
        <v>0.1875</v>
      </c>
      <c r="P462" s="6">
        <v>-2.4375</v>
      </c>
      <c r="Q462" s="6">
        <v>-7.375</v>
      </c>
      <c r="R462" s="6">
        <v>-1.3097395896911601</v>
      </c>
      <c r="S462" s="6">
        <v>9.7700157165527308</v>
      </c>
      <c r="T462" s="6">
        <v>-1.1840307712554901</v>
      </c>
      <c r="U462" s="6">
        <v>3.7468340247869499E-2</v>
      </c>
      <c r="V462" s="6">
        <v>1.6283165216445901</v>
      </c>
      <c r="W462" s="6">
        <v>-18.097520828247099</v>
      </c>
    </row>
    <row r="463" spans="1:23" ht="18.95" customHeight="1">
      <c r="A463" s="4">
        <v>459</v>
      </c>
      <c r="B463" s="4">
        <v>9855</v>
      </c>
      <c r="C463" s="4">
        <v>1</v>
      </c>
      <c r="D463" s="6">
        <v>0</v>
      </c>
      <c r="E463" s="6">
        <v>0</v>
      </c>
      <c r="F463" s="6">
        <v>-9.9375</v>
      </c>
      <c r="G463" s="6">
        <v>-0.875</v>
      </c>
      <c r="H463" s="6">
        <v>-1.375</v>
      </c>
      <c r="I463" s="6">
        <v>1.3125</v>
      </c>
      <c r="J463" s="6">
        <v>-1.375</v>
      </c>
      <c r="K463" s="6">
        <v>25.625</v>
      </c>
      <c r="L463" s="6">
        <v>59.875</v>
      </c>
      <c r="M463" s="6">
        <v>-0.875</v>
      </c>
      <c r="N463" s="6">
        <v>6.25E-2</v>
      </c>
      <c r="O463" s="6">
        <v>0.1875</v>
      </c>
      <c r="P463" s="6">
        <v>-2.4375</v>
      </c>
      <c r="Q463" s="6">
        <v>-8.5</v>
      </c>
      <c r="R463" s="6">
        <v>-0.65325117111206099</v>
      </c>
      <c r="S463" s="6">
        <v>8.8997869491577095</v>
      </c>
      <c r="T463" s="6">
        <v>-0.57334369421005205</v>
      </c>
      <c r="U463" s="6">
        <v>-7.1457780897617298E-2</v>
      </c>
      <c r="V463" s="6">
        <v>1.4515562057495099</v>
      </c>
      <c r="W463" s="6">
        <v>-18.10910987854</v>
      </c>
    </row>
    <row r="464" spans="1:23" ht="18.95" customHeight="1">
      <c r="A464" s="4">
        <v>460</v>
      </c>
      <c r="B464" s="4">
        <v>9876</v>
      </c>
      <c r="C464" s="4">
        <v>1</v>
      </c>
      <c r="D464" s="6">
        <v>0</v>
      </c>
      <c r="E464" s="6">
        <v>0</v>
      </c>
      <c r="F464" s="6">
        <v>-8.8125</v>
      </c>
      <c r="G464" s="6">
        <v>-0.3125</v>
      </c>
      <c r="H464" s="6">
        <v>-0.5</v>
      </c>
      <c r="I464" s="6">
        <v>1.3125</v>
      </c>
      <c r="J464" s="6">
        <v>-1.3125</v>
      </c>
      <c r="K464" s="6">
        <v>25.75</v>
      </c>
      <c r="L464" s="6">
        <v>60.125</v>
      </c>
      <c r="M464" s="6">
        <v>-0.5</v>
      </c>
      <c r="N464" s="6">
        <v>-6.25E-2</v>
      </c>
      <c r="O464" s="6">
        <v>0.25</v>
      </c>
      <c r="P464" s="6">
        <v>-2.4375</v>
      </c>
      <c r="Q464" s="6">
        <v>-9.6875</v>
      </c>
      <c r="R464" s="6">
        <v>-0.54638099670410201</v>
      </c>
      <c r="S464" s="6">
        <v>7.4188709259033203</v>
      </c>
      <c r="T464" s="6">
        <v>-0.97029030323028598</v>
      </c>
      <c r="U464" s="6">
        <v>9.0685233473777799E-2</v>
      </c>
      <c r="V464" s="6">
        <v>1.45226383209229</v>
      </c>
      <c r="W464" s="6">
        <v>-18.114324569702099</v>
      </c>
    </row>
    <row r="465" spans="1:23" ht="18.95" customHeight="1">
      <c r="A465" s="4">
        <v>461</v>
      </c>
      <c r="B465" s="4">
        <v>9899</v>
      </c>
      <c r="C465" s="4">
        <v>1</v>
      </c>
      <c r="D465" s="6">
        <v>0</v>
      </c>
      <c r="E465" s="6">
        <v>0</v>
      </c>
      <c r="F465" s="6">
        <v>-8.1875</v>
      </c>
      <c r="G465" s="6">
        <v>-0.25</v>
      </c>
      <c r="H465" s="6">
        <v>-0.8125</v>
      </c>
      <c r="I465" s="6">
        <v>1.3125</v>
      </c>
      <c r="J465" s="6">
        <v>-1.3125</v>
      </c>
      <c r="K465" s="6">
        <v>25.9375</v>
      </c>
      <c r="L465" s="6">
        <v>61.6875</v>
      </c>
      <c r="M465" s="6">
        <v>-0.5</v>
      </c>
      <c r="N465" s="6">
        <v>6.25E-2</v>
      </c>
      <c r="O465" s="6">
        <v>0.25</v>
      </c>
      <c r="P465" s="6">
        <v>-2.4375</v>
      </c>
      <c r="Q465" s="6">
        <v>-10.875</v>
      </c>
      <c r="R465" s="6">
        <v>-0.24103736877441401</v>
      </c>
      <c r="S465" s="6">
        <v>6.7165808677673304</v>
      </c>
      <c r="T465" s="6">
        <v>-8.4794104099273696E-2</v>
      </c>
      <c r="U465" s="6">
        <v>-1.7820004373788799E-2</v>
      </c>
      <c r="V465" s="6">
        <v>1.1940071582794201</v>
      </c>
      <c r="W465" s="6">
        <v>-18.126838684081999</v>
      </c>
    </row>
    <row r="466" spans="1:23" ht="18.95" customHeight="1">
      <c r="A466" s="4">
        <v>462</v>
      </c>
      <c r="B466" s="4">
        <v>9919</v>
      </c>
      <c r="C466" s="4">
        <v>1</v>
      </c>
      <c r="D466" s="6">
        <v>0</v>
      </c>
      <c r="E466" s="6">
        <v>0</v>
      </c>
      <c r="F466" s="6">
        <v>-7</v>
      </c>
      <c r="G466" s="6">
        <v>-0.25</v>
      </c>
      <c r="H466" s="6">
        <v>-0.5</v>
      </c>
      <c r="I466" s="6">
        <v>1.3125</v>
      </c>
      <c r="J466" s="6">
        <v>-1.3125</v>
      </c>
      <c r="K466" s="6">
        <v>26.0625</v>
      </c>
      <c r="L466" s="6">
        <v>61.25</v>
      </c>
      <c r="M466" s="6">
        <v>-0.6875</v>
      </c>
      <c r="N466" s="6">
        <v>-0.125</v>
      </c>
      <c r="O466" s="6">
        <v>0.3125</v>
      </c>
      <c r="P466" s="6">
        <v>-2.4375</v>
      </c>
      <c r="Q466" s="6">
        <v>-12.0625</v>
      </c>
      <c r="R466" s="6">
        <v>-0.74485421180725098</v>
      </c>
      <c r="S466" s="6">
        <v>5.8310847282409703</v>
      </c>
      <c r="T466" s="6">
        <v>-1.0008245706558201</v>
      </c>
      <c r="U466" s="6">
        <v>4.6151753515005098E-2</v>
      </c>
      <c r="V466" s="6">
        <v>1.3401966094970701</v>
      </c>
      <c r="W466" s="6">
        <v>-18.136314392089801</v>
      </c>
    </row>
    <row r="467" spans="1:23" ht="18.95" customHeight="1">
      <c r="A467" s="4">
        <v>463</v>
      </c>
      <c r="B467" s="4">
        <v>9941</v>
      </c>
      <c r="C467" s="4">
        <v>1</v>
      </c>
      <c r="D467" s="6">
        <v>0</v>
      </c>
      <c r="E467" s="6">
        <v>0</v>
      </c>
      <c r="F467" s="6">
        <v>-6.1875</v>
      </c>
      <c r="G467" s="6">
        <v>-0.1875</v>
      </c>
      <c r="H467" s="6">
        <v>-0.375</v>
      </c>
      <c r="I467" s="6">
        <v>1.3125</v>
      </c>
      <c r="J467" s="6">
        <v>-1.3125</v>
      </c>
      <c r="K467" s="6">
        <v>26.25</v>
      </c>
      <c r="L467" s="6">
        <v>63.25</v>
      </c>
      <c r="M467" s="6">
        <v>-0.5625</v>
      </c>
      <c r="N467" s="6">
        <v>0.125</v>
      </c>
      <c r="O467" s="6">
        <v>0.3125</v>
      </c>
      <c r="P467" s="6">
        <v>-2.4375</v>
      </c>
      <c r="Q467" s="6">
        <v>-13.25</v>
      </c>
      <c r="R467" s="6">
        <v>-0.77538847923278797</v>
      </c>
      <c r="S467" s="6">
        <v>4.5639090538024902</v>
      </c>
      <c r="T467" s="6">
        <v>-0.78708416223526001</v>
      </c>
      <c r="U467" s="6">
        <v>6.7574605345725999E-2</v>
      </c>
      <c r="V467" s="6">
        <v>1.09131860733032</v>
      </c>
      <c r="W467" s="6">
        <v>-18.147529602050799</v>
      </c>
    </row>
    <row r="468" spans="1:23" ht="18.95" customHeight="1">
      <c r="A468" s="4">
        <v>464</v>
      </c>
      <c r="B468" s="4">
        <v>9961</v>
      </c>
      <c r="C468" s="4">
        <v>1</v>
      </c>
      <c r="D468" s="6">
        <v>0</v>
      </c>
      <c r="E468" s="6">
        <v>0</v>
      </c>
      <c r="F468" s="6">
        <v>-5.25</v>
      </c>
      <c r="G468" s="6">
        <v>-0.3125</v>
      </c>
      <c r="H468" s="6">
        <v>-0.4375</v>
      </c>
      <c r="I468" s="6">
        <v>1.3125</v>
      </c>
      <c r="J468" s="6">
        <v>-1.3125</v>
      </c>
      <c r="K468" s="6">
        <v>26.3125</v>
      </c>
      <c r="L468" s="6">
        <v>63.9375</v>
      </c>
      <c r="M468" s="6">
        <v>-0.75</v>
      </c>
      <c r="N468" s="6">
        <v>6.25E-2</v>
      </c>
      <c r="O468" s="6">
        <v>0.375</v>
      </c>
      <c r="P468" s="6">
        <v>-2.4375</v>
      </c>
      <c r="Q468" s="6">
        <v>-15.125</v>
      </c>
      <c r="R468" s="6">
        <v>-5.7831287384033203E-2</v>
      </c>
      <c r="S468" s="6">
        <v>3.9226875305175799</v>
      </c>
      <c r="T468" s="6">
        <v>-0.43593913316726701</v>
      </c>
      <c r="U468" s="6">
        <v>0.118372946977615</v>
      </c>
      <c r="V468" s="6">
        <v>1.15227127075195</v>
      </c>
      <c r="W468" s="6">
        <v>-18.146844863891602</v>
      </c>
    </row>
    <row r="469" spans="1:23" ht="18.95" customHeight="1">
      <c r="A469" s="4">
        <v>465</v>
      </c>
      <c r="B469" s="4">
        <v>9981</v>
      </c>
      <c r="C469" s="4">
        <v>1</v>
      </c>
      <c r="D469" s="6">
        <v>0</v>
      </c>
      <c r="E469" s="6">
        <v>0</v>
      </c>
      <c r="F469" s="6">
        <v>-4.0625</v>
      </c>
      <c r="G469" s="6">
        <v>0</v>
      </c>
      <c r="H469" s="6">
        <v>-6.25E-2</v>
      </c>
      <c r="I469" s="6">
        <v>1.3125</v>
      </c>
      <c r="J469" s="6">
        <v>-1.3125</v>
      </c>
      <c r="K469" s="6">
        <v>26.375</v>
      </c>
      <c r="L469" s="6">
        <v>64.625</v>
      </c>
      <c r="M469" s="6">
        <v>-0.75</v>
      </c>
      <c r="N469" s="6">
        <v>0.1875</v>
      </c>
      <c r="O469" s="6">
        <v>0.375</v>
      </c>
      <c r="P469" s="6">
        <v>-2.375</v>
      </c>
      <c r="Q469" s="6">
        <v>-16.375</v>
      </c>
      <c r="R469" s="6">
        <v>-0.37844204902648898</v>
      </c>
      <c r="S469" s="6">
        <v>3.0066571235656698</v>
      </c>
      <c r="T469" s="6">
        <v>-0.848152875900269</v>
      </c>
      <c r="U469" s="6">
        <v>5.20082004368305E-2</v>
      </c>
      <c r="V469" s="6">
        <v>0.78122115135192904</v>
      </c>
      <c r="W469" s="6">
        <v>-18.163414001464801</v>
      </c>
    </row>
    <row r="470" spans="1:23" ht="18.95" customHeight="1">
      <c r="A470" s="4">
        <v>466</v>
      </c>
      <c r="B470" s="4">
        <v>10002</v>
      </c>
      <c r="C470" s="4">
        <v>1</v>
      </c>
      <c r="D470" s="6">
        <v>0</v>
      </c>
      <c r="E470" s="6">
        <v>0</v>
      </c>
      <c r="F470" s="6">
        <v>-2.625</v>
      </c>
      <c r="G470" s="6">
        <v>-0.4375</v>
      </c>
      <c r="H470" s="6">
        <v>-0.4375</v>
      </c>
      <c r="I470" s="6">
        <v>1.3125</v>
      </c>
      <c r="J470" s="6">
        <v>-1.3125</v>
      </c>
      <c r="K470" s="6">
        <v>26.375</v>
      </c>
      <c r="L470" s="6">
        <v>64.25</v>
      </c>
      <c r="M470" s="6">
        <v>-0.5</v>
      </c>
      <c r="N470" s="6">
        <v>0.1875</v>
      </c>
      <c r="O470" s="6">
        <v>0.4375</v>
      </c>
      <c r="P470" s="6">
        <v>-2.375</v>
      </c>
      <c r="Q470" s="6">
        <v>-17.625</v>
      </c>
      <c r="R470" s="6">
        <v>0.110107660293579</v>
      </c>
      <c r="S470" s="6">
        <v>1.93795478343964</v>
      </c>
      <c r="T470" s="6">
        <v>-0.45120629668235801</v>
      </c>
      <c r="U470" s="6">
        <v>4.6848401427269003E-2</v>
      </c>
      <c r="V470" s="6">
        <v>0.64938431978225697</v>
      </c>
      <c r="W470" s="6">
        <v>-18.173814773559599</v>
      </c>
    </row>
    <row r="471" spans="1:23" ht="18.95" customHeight="1">
      <c r="A471" s="4">
        <v>467</v>
      </c>
      <c r="B471" s="4">
        <v>10022</v>
      </c>
      <c r="C471" s="4">
        <v>1</v>
      </c>
      <c r="D471" s="6">
        <v>0</v>
      </c>
      <c r="E471" s="6">
        <v>0</v>
      </c>
      <c r="F471" s="6">
        <v>-2.125</v>
      </c>
      <c r="G471" s="6">
        <v>-0.125</v>
      </c>
      <c r="H471" s="6">
        <v>-0.375</v>
      </c>
      <c r="I471" s="6">
        <v>1.3125</v>
      </c>
      <c r="J471" s="6">
        <v>-1.3125</v>
      </c>
      <c r="K471" s="6">
        <v>26.4375</v>
      </c>
      <c r="L471" s="6">
        <v>63.75</v>
      </c>
      <c r="M471" s="6">
        <v>-0.625</v>
      </c>
      <c r="N471" s="6">
        <v>0.125</v>
      </c>
      <c r="O471" s="6">
        <v>0.4375</v>
      </c>
      <c r="P471" s="6">
        <v>-2.375</v>
      </c>
      <c r="Q471" s="6">
        <v>-18.875</v>
      </c>
      <c r="R471" s="6">
        <v>0.232244968414307</v>
      </c>
      <c r="S471" s="6">
        <v>0.70131361484527599</v>
      </c>
      <c r="T471" s="6">
        <v>-0.176397144794464</v>
      </c>
      <c r="U471" s="6">
        <v>4.2552117258310297E-2</v>
      </c>
      <c r="V471" s="6">
        <v>0.442866832017899</v>
      </c>
      <c r="W471" s="6">
        <v>-18.174287796020501</v>
      </c>
    </row>
    <row r="472" spans="1:23" ht="18.95" customHeight="1">
      <c r="A472" s="4">
        <v>468</v>
      </c>
      <c r="B472" s="4">
        <v>10042</v>
      </c>
      <c r="C472" s="4">
        <v>1</v>
      </c>
      <c r="D472" s="6">
        <v>0</v>
      </c>
      <c r="E472" s="6">
        <v>0</v>
      </c>
      <c r="F472" s="6">
        <v>-1.125</v>
      </c>
      <c r="G472" s="6">
        <v>0</v>
      </c>
      <c r="H472" s="6">
        <v>-0.125</v>
      </c>
      <c r="I472" s="6">
        <v>1.3125</v>
      </c>
      <c r="J472" s="6">
        <v>-1.3125</v>
      </c>
      <c r="K472" s="6">
        <v>26.4375</v>
      </c>
      <c r="L472" s="6">
        <v>64.5625</v>
      </c>
      <c r="M472" s="6">
        <v>-0.5625</v>
      </c>
      <c r="N472" s="6">
        <v>0</v>
      </c>
      <c r="O472" s="6">
        <v>0.4375</v>
      </c>
      <c r="P472" s="6">
        <v>-2.375</v>
      </c>
      <c r="Q472" s="6">
        <v>-19.5</v>
      </c>
      <c r="R472" s="6">
        <v>3.2374858856201198E-3</v>
      </c>
      <c r="S472" s="6">
        <v>-0.55059480667114302</v>
      </c>
      <c r="T472" s="6">
        <v>6.7877650260925307E-2</v>
      </c>
      <c r="U472" s="6">
        <v>-1.24087575823069E-2</v>
      </c>
      <c r="V472" s="6">
        <v>0.291515082120895</v>
      </c>
      <c r="W472" s="6">
        <v>-18.179784774780298</v>
      </c>
    </row>
    <row r="473" spans="1:23" ht="18.95" customHeight="1">
      <c r="A473" s="4">
        <v>469</v>
      </c>
      <c r="B473" s="4">
        <v>10064</v>
      </c>
      <c r="C473" s="4">
        <v>1</v>
      </c>
      <c r="D473" s="6">
        <v>0</v>
      </c>
      <c r="E473" s="6">
        <v>0</v>
      </c>
      <c r="F473" s="6">
        <v>0.5625</v>
      </c>
      <c r="G473" s="6">
        <v>0.25</v>
      </c>
      <c r="H473" s="6">
        <v>-6.25E-2</v>
      </c>
      <c r="I473" s="6">
        <v>1.3125</v>
      </c>
      <c r="J473" s="6">
        <v>-1.3125</v>
      </c>
      <c r="K473" s="6">
        <v>26.4375</v>
      </c>
      <c r="L473" s="6">
        <v>64.0625</v>
      </c>
      <c r="M473" s="6">
        <v>-0.75</v>
      </c>
      <c r="N473" s="6">
        <v>-0.1875</v>
      </c>
      <c r="O473" s="6">
        <v>0.5</v>
      </c>
      <c r="P473" s="6">
        <v>-2.375</v>
      </c>
      <c r="Q473" s="6">
        <v>-21.3125</v>
      </c>
      <c r="R473" s="6">
        <v>-8.8365554809570299E-2</v>
      </c>
      <c r="S473" s="6">
        <v>-1.46662545204163</v>
      </c>
      <c r="T473" s="6">
        <v>-0.34433606266975397</v>
      </c>
      <c r="U473" s="6">
        <v>-5.7410318404436103E-3</v>
      </c>
      <c r="V473" s="6">
        <v>0.11662220954895</v>
      </c>
      <c r="W473" s="6">
        <v>-18.197948455810501</v>
      </c>
    </row>
    <row r="474" spans="1:23" ht="18.95" customHeight="1">
      <c r="A474" s="4">
        <v>470</v>
      </c>
      <c r="B474" s="4">
        <v>10084</v>
      </c>
      <c r="C474" s="4">
        <v>1</v>
      </c>
      <c r="D474" s="6">
        <v>0</v>
      </c>
      <c r="E474" s="6">
        <v>0</v>
      </c>
      <c r="F474" s="6">
        <v>1.5625</v>
      </c>
      <c r="G474" s="6">
        <v>-0.25</v>
      </c>
      <c r="H474" s="6">
        <v>-0.5</v>
      </c>
      <c r="I474" s="6">
        <v>1.3125</v>
      </c>
      <c r="J474" s="6">
        <v>-1.3125</v>
      </c>
      <c r="K474" s="6">
        <v>26.375</v>
      </c>
      <c r="L474" s="6">
        <v>65.625</v>
      </c>
      <c r="M474" s="6">
        <v>-0.5625</v>
      </c>
      <c r="N474" s="6">
        <v>0.1875</v>
      </c>
      <c r="O474" s="6">
        <v>0.5625</v>
      </c>
      <c r="P474" s="6">
        <v>-2.375</v>
      </c>
      <c r="Q474" s="6">
        <v>-22.625</v>
      </c>
      <c r="R474" s="6">
        <v>0.33911514282226601</v>
      </c>
      <c r="S474" s="6">
        <v>-2.4895260334014901</v>
      </c>
      <c r="T474" s="6">
        <v>-0.39013758301734902</v>
      </c>
      <c r="U474" s="6">
        <v>-9.0691447257995595E-4</v>
      </c>
      <c r="V474" s="6">
        <v>-0.182576209306717</v>
      </c>
      <c r="W474" s="6">
        <v>-18.196498870849599</v>
      </c>
    </row>
    <row r="475" spans="1:23" ht="18.95" customHeight="1">
      <c r="A475" s="4">
        <v>471</v>
      </c>
      <c r="B475" s="4">
        <v>10105</v>
      </c>
      <c r="C475" s="4">
        <v>1</v>
      </c>
      <c r="D475" s="6">
        <v>0</v>
      </c>
      <c r="E475" s="6">
        <v>0</v>
      </c>
      <c r="F475" s="6">
        <v>2.75</v>
      </c>
      <c r="G475" s="6">
        <v>0.125</v>
      </c>
      <c r="H475" s="6">
        <v>-0.125</v>
      </c>
      <c r="I475" s="6">
        <v>1.3125</v>
      </c>
      <c r="J475" s="6">
        <v>-1.3125</v>
      </c>
      <c r="K475" s="6">
        <v>26.3125</v>
      </c>
      <c r="L475" s="6">
        <v>63.9375</v>
      </c>
      <c r="M475" s="6">
        <v>-0.75</v>
      </c>
      <c r="N475" s="6">
        <v>-0.1875</v>
      </c>
      <c r="O475" s="6">
        <v>0.5625</v>
      </c>
      <c r="P475" s="6">
        <v>-2.375</v>
      </c>
      <c r="Q475" s="6">
        <v>-23.8125</v>
      </c>
      <c r="R475" s="6">
        <v>-4.25641536712646E-2</v>
      </c>
      <c r="S475" s="6">
        <v>-3.8025031089782702</v>
      </c>
      <c r="T475" s="6">
        <v>-0.35960325598716703</v>
      </c>
      <c r="U475" s="6">
        <v>8.6423240602016393E-2</v>
      </c>
      <c r="V475" s="6">
        <v>-0.30371323227882402</v>
      </c>
      <c r="W475" s="6">
        <v>-18.210441589355501</v>
      </c>
    </row>
    <row r="476" spans="1:23" ht="18.95" customHeight="1">
      <c r="A476" s="4">
        <v>472</v>
      </c>
      <c r="B476" s="4">
        <v>10125</v>
      </c>
      <c r="C476" s="4">
        <v>1</v>
      </c>
      <c r="D476" s="6">
        <v>0</v>
      </c>
      <c r="E476" s="6">
        <v>0</v>
      </c>
      <c r="F476" s="6">
        <v>3.8125</v>
      </c>
      <c r="G476" s="6">
        <v>-6.25E-2</v>
      </c>
      <c r="H476" s="6">
        <v>-0.5</v>
      </c>
      <c r="I476" s="6">
        <v>1.3125</v>
      </c>
      <c r="J476" s="6">
        <v>-1.3125</v>
      </c>
      <c r="K476" s="6">
        <v>26.25</v>
      </c>
      <c r="L476" s="6">
        <v>64.9375</v>
      </c>
      <c r="M476" s="6">
        <v>-0.6875</v>
      </c>
      <c r="N476" s="6">
        <v>0.125</v>
      </c>
      <c r="O476" s="6">
        <v>0.625</v>
      </c>
      <c r="P476" s="6">
        <v>-2.3125</v>
      </c>
      <c r="Q476" s="6">
        <v>-25.0625</v>
      </c>
      <c r="R476" s="6">
        <v>0.17117643356323201</v>
      </c>
      <c r="S476" s="6">
        <v>-4.9933428764343297</v>
      </c>
      <c r="T476" s="6">
        <v>-0.191664308309555</v>
      </c>
      <c r="U476" s="6">
        <v>5.3735352121293501E-3</v>
      </c>
      <c r="V476" s="6">
        <v>-0.64104044437408403</v>
      </c>
      <c r="W476" s="6">
        <v>-18.218877792358398</v>
      </c>
    </row>
    <row r="477" spans="1:23" ht="18.95" customHeight="1">
      <c r="A477" s="4">
        <v>473</v>
      </c>
      <c r="B477" s="4">
        <v>10155</v>
      </c>
      <c r="C477" s="4">
        <v>1</v>
      </c>
      <c r="D477" s="6">
        <v>0</v>
      </c>
      <c r="E477" s="6">
        <v>0</v>
      </c>
      <c r="F477" s="6">
        <v>5.625</v>
      </c>
      <c r="G477" s="6">
        <v>0.125</v>
      </c>
      <c r="H477" s="6">
        <v>-0.25</v>
      </c>
      <c r="I477" s="6">
        <v>1.3125</v>
      </c>
      <c r="J477" s="6">
        <v>-1.3125</v>
      </c>
      <c r="K477" s="6">
        <v>26</v>
      </c>
      <c r="L477" s="6">
        <v>63.0625</v>
      </c>
      <c r="M477" s="6">
        <v>-0.75</v>
      </c>
      <c r="N477" s="6">
        <v>-0.3125</v>
      </c>
      <c r="O477" s="6">
        <v>0.625</v>
      </c>
      <c r="P477" s="6">
        <v>-2.3125</v>
      </c>
      <c r="Q477" s="6">
        <v>-26.9375</v>
      </c>
      <c r="R477" s="6">
        <v>3.3771753311157199E-2</v>
      </c>
      <c r="S477" s="6">
        <v>-6.7185335159301802</v>
      </c>
      <c r="T477" s="6">
        <v>-0.54280936717987105</v>
      </c>
      <c r="U477" s="6">
        <v>2.6125365868210799E-2</v>
      </c>
      <c r="V477" s="6">
        <v>-0.87969380617141701</v>
      </c>
      <c r="W477" s="6">
        <v>-18.232353210449201</v>
      </c>
    </row>
    <row r="478" spans="1:23" ht="18.95" customHeight="1">
      <c r="A478" s="4">
        <v>474</v>
      </c>
      <c r="B478" s="4">
        <v>10176</v>
      </c>
      <c r="C478" s="4">
        <v>1</v>
      </c>
      <c r="D478" s="6">
        <v>0</v>
      </c>
      <c r="E478" s="6">
        <v>0</v>
      </c>
      <c r="F478" s="6">
        <v>6.75</v>
      </c>
      <c r="G478" s="6">
        <v>6.25E-2</v>
      </c>
      <c r="H478" s="6">
        <v>-0.125</v>
      </c>
      <c r="I478" s="6">
        <v>1.3125</v>
      </c>
      <c r="J478" s="6">
        <v>-1.3125</v>
      </c>
      <c r="K478" s="6">
        <v>25.875</v>
      </c>
      <c r="L478" s="6">
        <v>62.5</v>
      </c>
      <c r="M478" s="6">
        <v>-0.75</v>
      </c>
      <c r="N478" s="6">
        <v>0.125</v>
      </c>
      <c r="O478" s="6">
        <v>0.6875</v>
      </c>
      <c r="P478" s="6">
        <v>-2.3125</v>
      </c>
      <c r="Q478" s="6">
        <v>-28.125</v>
      </c>
      <c r="R478" s="6">
        <v>6.4306020736694294E-2</v>
      </c>
      <c r="S478" s="6">
        <v>-7.8788394927978498</v>
      </c>
      <c r="T478" s="6">
        <v>-0.98555743694305398</v>
      </c>
      <c r="U478" s="6">
        <v>0.17096140980720501</v>
      </c>
      <c r="V478" s="6">
        <v>-1.14292657375336</v>
      </c>
      <c r="W478" s="6">
        <v>-18.237012863159201</v>
      </c>
    </row>
    <row r="479" spans="1:23" ht="18.95" customHeight="1">
      <c r="A479" s="4">
        <v>475</v>
      </c>
      <c r="B479" s="4">
        <v>10196</v>
      </c>
      <c r="C479" s="4">
        <v>1</v>
      </c>
      <c r="D479" s="6">
        <v>0</v>
      </c>
      <c r="E479" s="6">
        <v>0</v>
      </c>
      <c r="F479" s="6">
        <v>8</v>
      </c>
      <c r="G479" s="6">
        <v>6.25E-2</v>
      </c>
      <c r="H479" s="6">
        <v>-0.375</v>
      </c>
      <c r="I479" s="6">
        <v>1.3125</v>
      </c>
      <c r="J479" s="6">
        <v>-1.3125</v>
      </c>
      <c r="K479" s="6">
        <v>25.75</v>
      </c>
      <c r="L479" s="6">
        <v>60.8125</v>
      </c>
      <c r="M479" s="6">
        <v>-0.625</v>
      </c>
      <c r="N479" s="6">
        <v>6.25E-2</v>
      </c>
      <c r="O479" s="6">
        <v>0.6875</v>
      </c>
      <c r="P479" s="6">
        <v>-2.3125</v>
      </c>
      <c r="Q479" s="6">
        <v>-29.3125</v>
      </c>
      <c r="R479" s="6">
        <v>-0.24103736877441401</v>
      </c>
      <c r="S479" s="6">
        <v>-9.3292207717895508</v>
      </c>
      <c r="T479" s="6">
        <v>-1.1534963846206701</v>
      </c>
      <c r="U479" s="6">
        <v>0.13678097724914601</v>
      </c>
      <c r="V479" s="6">
        <v>-1.38698077201843</v>
      </c>
      <c r="W479" s="6">
        <v>-18.250120162963899</v>
      </c>
    </row>
    <row r="480" spans="1:23" ht="18.95" customHeight="1">
      <c r="A480" s="4">
        <v>476</v>
      </c>
      <c r="B480" s="4">
        <v>10217</v>
      </c>
      <c r="C480" s="4">
        <v>1</v>
      </c>
      <c r="D480" s="6">
        <v>0</v>
      </c>
      <c r="E480" s="6">
        <v>0</v>
      </c>
      <c r="F480" s="6">
        <v>9.4375</v>
      </c>
      <c r="G480" s="6">
        <v>-0.3125</v>
      </c>
      <c r="H480" s="6">
        <v>-0.3125</v>
      </c>
      <c r="I480" s="6">
        <v>1.3125</v>
      </c>
      <c r="J480" s="6">
        <v>-1.3125</v>
      </c>
      <c r="K480" s="6">
        <v>25.5625</v>
      </c>
      <c r="L480" s="6">
        <v>61.125</v>
      </c>
      <c r="M480" s="6">
        <v>-0.75</v>
      </c>
      <c r="N480" s="6">
        <v>-6.25E-2</v>
      </c>
      <c r="O480" s="6">
        <v>0.75</v>
      </c>
      <c r="P480" s="6">
        <v>-2.3125</v>
      </c>
      <c r="Q480" s="6">
        <v>-30.5</v>
      </c>
      <c r="R480" s="6">
        <v>0.85819923877716098</v>
      </c>
      <c r="S480" s="6">
        <v>-10.7796020507812</v>
      </c>
      <c r="T480" s="6">
        <v>-2.3725390434265099E-2</v>
      </c>
      <c r="U480" s="6">
        <v>7.4501454830169705E-2</v>
      </c>
      <c r="V480" s="6">
        <v>-1.7143374681472801</v>
      </c>
      <c r="W480" s="6">
        <v>-18.256931304931602</v>
      </c>
    </row>
    <row r="481" spans="1:23" ht="18.95" customHeight="1">
      <c r="A481" s="4">
        <v>477</v>
      </c>
      <c r="B481" s="4">
        <v>10237</v>
      </c>
      <c r="C481" s="4">
        <v>1</v>
      </c>
      <c r="D481" s="6">
        <v>0</v>
      </c>
      <c r="E481" s="6">
        <v>0</v>
      </c>
      <c r="F481" s="6">
        <v>10.8125</v>
      </c>
      <c r="G481" s="6">
        <v>0.375</v>
      </c>
      <c r="H481" s="6">
        <v>6.25E-2</v>
      </c>
      <c r="I481" s="6">
        <v>1.3125</v>
      </c>
      <c r="J481" s="6">
        <v>-1.3125</v>
      </c>
      <c r="K481" s="6">
        <v>25.375</v>
      </c>
      <c r="L481" s="6">
        <v>59.875</v>
      </c>
      <c r="M481" s="6">
        <v>-0.6875</v>
      </c>
      <c r="N481" s="6">
        <v>0.125</v>
      </c>
      <c r="O481" s="6">
        <v>0.75</v>
      </c>
      <c r="P481" s="6">
        <v>-2.25</v>
      </c>
      <c r="Q481" s="6">
        <v>-31.6875</v>
      </c>
      <c r="R481" s="6">
        <v>0.232244968414307</v>
      </c>
      <c r="S481" s="6">
        <v>-11.9551753997803</v>
      </c>
      <c r="T481" s="6">
        <v>-0.78708416223526001</v>
      </c>
      <c r="U481" s="6">
        <v>0.132209792733192</v>
      </c>
      <c r="V481" s="6">
        <v>-2.0517151355743399</v>
      </c>
      <c r="W481" s="6">
        <v>-18.266689300537099</v>
      </c>
    </row>
    <row r="482" spans="1:23" ht="18.95" customHeight="1">
      <c r="A482" s="4">
        <v>478</v>
      </c>
      <c r="B482" s="4">
        <v>10257</v>
      </c>
      <c r="C482" s="4">
        <v>1</v>
      </c>
      <c r="D482" s="6">
        <v>0</v>
      </c>
      <c r="E482" s="6">
        <v>0</v>
      </c>
      <c r="F482" s="6">
        <v>12.0625</v>
      </c>
      <c r="G482" s="6">
        <v>0.3125</v>
      </c>
      <c r="H482" s="6">
        <v>-0.3125</v>
      </c>
      <c r="I482" s="6">
        <v>1.3125</v>
      </c>
      <c r="J482" s="6">
        <v>-1.3125</v>
      </c>
      <c r="K482" s="6">
        <v>25.0625</v>
      </c>
      <c r="L482" s="6">
        <v>59.9375</v>
      </c>
      <c r="M482" s="6">
        <v>-0.5</v>
      </c>
      <c r="N482" s="6">
        <v>6.25E-2</v>
      </c>
      <c r="O482" s="6">
        <v>0.75</v>
      </c>
      <c r="P482" s="6">
        <v>-2.25</v>
      </c>
      <c r="Q482" s="6">
        <v>-32.8125</v>
      </c>
      <c r="R482" s="6">
        <v>0.85819923877716098</v>
      </c>
      <c r="S482" s="6">
        <v>-13.771968841552701</v>
      </c>
      <c r="T482" s="6">
        <v>0.11367923021316501</v>
      </c>
      <c r="U482" s="6">
        <v>0.13283167779445601</v>
      </c>
      <c r="V482" s="6">
        <v>-2.36678218841553</v>
      </c>
      <c r="W482" s="6">
        <v>-18.269773483276399</v>
      </c>
    </row>
    <row r="483" spans="1:23" ht="18.95" customHeight="1">
      <c r="A483" s="4">
        <v>479</v>
      </c>
      <c r="B483" s="4">
        <v>10278</v>
      </c>
      <c r="C483" s="4">
        <v>1</v>
      </c>
      <c r="D483" s="6">
        <v>0</v>
      </c>
      <c r="E483" s="6">
        <v>0</v>
      </c>
      <c r="F483" s="6">
        <v>13.8125</v>
      </c>
      <c r="G483" s="6">
        <v>0.5</v>
      </c>
      <c r="H483" s="6">
        <v>-6.25E-2</v>
      </c>
      <c r="I483" s="6">
        <v>1.375</v>
      </c>
      <c r="J483" s="6">
        <v>-1.3125</v>
      </c>
      <c r="K483" s="6">
        <v>24.8125</v>
      </c>
      <c r="L483" s="6">
        <v>57.8125</v>
      </c>
      <c r="M483" s="6">
        <v>-0.6875</v>
      </c>
      <c r="N483" s="6">
        <v>-0.125</v>
      </c>
      <c r="O483" s="6">
        <v>0.8125</v>
      </c>
      <c r="P483" s="6">
        <v>-2.25</v>
      </c>
      <c r="Q483" s="6">
        <v>-34</v>
      </c>
      <c r="R483" s="6">
        <v>0.70552742481231701</v>
      </c>
      <c r="S483" s="6">
        <v>-15.115480422973601</v>
      </c>
      <c r="T483" s="6">
        <v>-0.39013758301734902</v>
      </c>
      <c r="U483" s="6">
        <v>3.0237518250942199E-2</v>
      </c>
      <c r="V483" s="6">
        <v>-2.7621836662292498</v>
      </c>
      <c r="W483" s="6">
        <v>-18.285036087036101</v>
      </c>
    </row>
    <row r="484" spans="1:23" ht="18.95" customHeight="1">
      <c r="A484" s="4">
        <v>480</v>
      </c>
      <c r="B484" s="4">
        <v>10299</v>
      </c>
      <c r="C484" s="4">
        <v>1</v>
      </c>
      <c r="D484" s="6">
        <v>0</v>
      </c>
      <c r="E484" s="6">
        <v>0</v>
      </c>
      <c r="F484" s="6">
        <v>15.125</v>
      </c>
      <c r="G484" s="6">
        <v>0.125</v>
      </c>
      <c r="H484" s="6">
        <v>-0.375</v>
      </c>
      <c r="I484" s="6">
        <v>1.375</v>
      </c>
      <c r="J484" s="6">
        <v>-1.3125</v>
      </c>
      <c r="K484" s="6">
        <v>24.4375</v>
      </c>
      <c r="L484" s="6">
        <v>57.4375</v>
      </c>
      <c r="M484" s="6">
        <v>-0.625</v>
      </c>
      <c r="N484" s="6">
        <v>0.125</v>
      </c>
      <c r="O484" s="6">
        <v>0.8125</v>
      </c>
      <c r="P484" s="6">
        <v>-2.25</v>
      </c>
      <c r="Q484" s="6">
        <v>-35.0625</v>
      </c>
      <c r="R484" s="6">
        <v>1.01087093353271</v>
      </c>
      <c r="S484" s="6">
        <v>-16.8712062835693</v>
      </c>
      <c r="T484" s="6">
        <v>0.128946363925934</v>
      </c>
      <c r="U484" s="6">
        <v>9.1584868729114505E-2</v>
      </c>
      <c r="V484" s="6">
        <v>-3.1773438453674299</v>
      </c>
      <c r="W484" s="6">
        <v>-18.279579162597699</v>
      </c>
    </row>
    <row r="485" spans="1:23" ht="18.95" customHeight="1">
      <c r="A485" s="4">
        <v>481</v>
      </c>
      <c r="B485" s="4">
        <v>10321</v>
      </c>
      <c r="C485" s="4">
        <v>1</v>
      </c>
      <c r="D485" s="6">
        <v>0</v>
      </c>
      <c r="E485" s="6">
        <v>0</v>
      </c>
      <c r="F485" s="6">
        <v>16.9375</v>
      </c>
      <c r="G485" s="6">
        <v>0.625</v>
      </c>
      <c r="H485" s="6">
        <v>0.4375</v>
      </c>
      <c r="I485" s="6">
        <v>1.375</v>
      </c>
      <c r="J485" s="6">
        <v>-1.3125</v>
      </c>
      <c r="K485" s="6">
        <v>24.125</v>
      </c>
      <c r="L485" s="6">
        <v>55.6875</v>
      </c>
      <c r="M485" s="6">
        <v>-0.625</v>
      </c>
      <c r="N485" s="6">
        <v>-0.125</v>
      </c>
      <c r="O485" s="6">
        <v>0.875</v>
      </c>
      <c r="P485" s="6">
        <v>-2.25</v>
      </c>
      <c r="Q485" s="6">
        <v>-36.75</v>
      </c>
      <c r="R485" s="6">
        <v>0.26277947425842302</v>
      </c>
      <c r="S485" s="6">
        <v>-18.565862655639599</v>
      </c>
      <c r="T485" s="6">
        <v>-0.28326734900474498</v>
      </c>
      <c r="U485" s="6">
        <v>3.00697330385447E-2</v>
      </c>
      <c r="V485" s="6">
        <v>-3.6616740226745601</v>
      </c>
      <c r="W485" s="6">
        <v>-18.2914142608643</v>
      </c>
    </row>
    <row r="486" spans="1:23" ht="18.95" customHeight="1">
      <c r="A486" s="4">
        <v>482</v>
      </c>
      <c r="B486" s="4">
        <v>10342</v>
      </c>
      <c r="C486" s="4">
        <v>1</v>
      </c>
      <c r="D486" s="6">
        <v>0</v>
      </c>
      <c r="E486" s="6">
        <v>0</v>
      </c>
      <c r="F486" s="6">
        <v>18.1875</v>
      </c>
      <c r="G486" s="6">
        <v>0.5</v>
      </c>
      <c r="H486" s="6">
        <v>-0.3125</v>
      </c>
      <c r="I486" s="6">
        <v>1.375</v>
      </c>
      <c r="J486" s="6">
        <v>-1.3125</v>
      </c>
      <c r="K486" s="6">
        <v>23.8125</v>
      </c>
      <c r="L486" s="6">
        <v>55.125</v>
      </c>
      <c r="M486" s="6">
        <v>-0.5</v>
      </c>
      <c r="N486" s="6">
        <v>0</v>
      </c>
      <c r="O486" s="6">
        <v>0.875</v>
      </c>
      <c r="P486" s="6">
        <v>-2.25</v>
      </c>
      <c r="Q486" s="6">
        <v>-37.75</v>
      </c>
      <c r="R486" s="6">
        <v>0.85819923877716098</v>
      </c>
      <c r="S486" s="6">
        <v>-19.588762283325199</v>
      </c>
      <c r="T486" s="6">
        <v>-0.29853454232215898</v>
      </c>
      <c r="U486" s="6">
        <v>0.144152671098709</v>
      </c>
      <c r="V486" s="6">
        <v>-4.0559611320495597</v>
      </c>
      <c r="W486" s="6">
        <v>-18.289066314697301</v>
      </c>
    </row>
    <row r="487" spans="1:23" ht="18.95" customHeight="1">
      <c r="A487" s="4">
        <v>483</v>
      </c>
      <c r="B487" s="4">
        <v>10362</v>
      </c>
      <c r="C487" s="4">
        <v>1</v>
      </c>
      <c r="D487" s="6">
        <v>0</v>
      </c>
      <c r="E487" s="6">
        <v>0</v>
      </c>
      <c r="F487" s="6">
        <v>19.625</v>
      </c>
      <c r="G487" s="6">
        <v>0.5625</v>
      </c>
      <c r="H487" s="6">
        <v>0.375</v>
      </c>
      <c r="I487" s="6">
        <v>1.375</v>
      </c>
      <c r="J487" s="6">
        <v>-1.3125</v>
      </c>
      <c r="K487" s="6">
        <v>23.25</v>
      </c>
      <c r="L487" s="6">
        <v>50.875</v>
      </c>
      <c r="M487" s="6">
        <v>-0.5</v>
      </c>
      <c r="N487" s="6">
        <v>6.25E-2</v>
      </c>
      <c r="O487" s="6">
        <v>0.9375</v>
      </c>
      <c r="P487" s="6">
        <v>-2.25</v>
      </c>
      <c r="Q487" s="6">
        <v>-38.75</v>
      </c>
      <c r="R487" s="6">
        <v>0.81239771842956499</v>
      </c>
      <c r="S487" s="6">
        <v>-21.344488143920898</v>
      </c>
      <c r="T487" s="6">
        <v>-0.26800018548965499</v>
      </c>
      <c r="U487" s="6">
        <v>0.13627938926219901</v>
      </c>
      <c r="V487" s="6">
        <v>-4.5086154937744096</v>
      </c>
      <c r="W487" s="6">
        <v>-18.292985916137699</v>
      </c>
    </row>
    <row r="488" spans="1:23" ht="18.95" customHeight="1">
      <c r="A488" s="4">
        <v>484</v>
      </c>
      <c r="B488" s="4">
        <v>10383</v>
      </c>
      <c r="C488" s="4">
        <v>1</v>
      </c>
      <c r="D488" s="6">
        <v>0</v>
      </c>
      <c r="E488" s="6">
        <v>0</v>
      </c>
      <c r="F488" s="6">
        <v>21.3125</v>
      </c>
      <c r="G488" s="6">
        <v>0.4375</v>
      </c>
      <c r="H488" s="6">
        <v>6.25E-2</v>
      </c>
      <c r="I488" s="6">
        <v>1.375</v>
      </c>
      <c r="J488" s="6">
        <v>-1.3125</v>
      </c>
      <c r="K488" s="6">
        <v>23</v>
      </c>
      <c r="L488" s="6">
        <v>50.5</v>
      </c>
      <c r="M488" s="6">
        <v>-0.5625</v>
      </c>
      <c r="N488" s="6">
        <v>6.25E-2</v>
      </c>
      <c r="O488" s="6">
        <v>0.9375</v>
      </c>
      <c r="P488" s="6">
        <v>-2.25</v>
      </c>
      <c r="Q488" s="6">
        <v>-39.75</v>
      </c>
      <c r="R488" s="6">
        <v>1.1024740934371899</v>
      </c>
      <c r="S488" s="6">
        <v>-23.008609771728501</v>
      </c>
      <c r="T488" s="6">
        <v>0.15948075056076</v>
      </c>
      <c r="U488" s="6">
        <v>0.16888670623302501</v>
      </c>
      <c r="V488" s="6">
        <v>-4.9077892303466797</v>
      </c>
      <c r="W488" s="6">
        <v>-18.291925430297901</v>
      </c>
    </row>
    <row r="489" spans="1:23" ht="18.95" customHeight="1">
      <c r="A489" s="4">
        <v>485</v>
      </c>
      <c r="B489" s="4">
        <v>10403</v>
      </c>
      <c r="C489" s="4">
        <v>1</v>
      </c>
      <c r="D489" s="6">
        <v>0</v>
      </c>
      <c r="E489" s="6">
        <v>0</v>
      </c>
      <c r="F489" s="6">
        <v>22.8125</v>
      </c>
      <c r="G489" s="6">
        <v>0.6875</v>
      </c>
      <c r="H489" s="6">
        <v>6.25E-2</v>
      </c>
      <c r="I489" s="6">
        <v>1.375</v>
      </c>
      <c r="J489" s="6">
        <v>-1.3125</v>
      </c>
      <c r="K489" s="6">
        <v>22.25</v>
      </c>
      <c r="L489" s="6">
        <v>47.25</v>
      </c>
      <c r="M489" s="6">
        <v>-0.5</v>
      </c>
      <c r="N489" s="6">
        <v>-0.125</v>
      </c>
      <c r="O489" s="6">
        <v>0.9375</v>
      </c>
      <c r="P489" s="6">
        <v>-2.25</v>
      </c>
      <c r="Q489" s="6">
        <v>-40.625</v>
      </c>
      <c r="R489" s="6">
        <v>0.70552742481231701</v>
      </c>
      <c r="S489" s="6">
        <v>-24.3521213531494</v>
      </c>
      <c r="T489" s="6">
        <v>-0.43593913316726701</v>
      </c>
      <c r="U489" s="6">
        <v>0.14489436149597201</v>
      </c>
      <c r="V489" s="6">
        <v>-5.3714714050293004</v>
      </c>
      <c r="W489" s="6">
        <v>-18.2997341156006</v>
      </c>
    </row>
    <row r="490" spans="1:23" ht="18.95" customHeight="1">
      <c r="A490" s="4">
        <v>486</v>
      </c>
      <c r="B490" s="4">
        <v>10423</v>
      </c>
      <c r="C490" s="4">
        <v>1</v>
      </c>
      <c r="D490" s="6">
        <v>0</v>
      </c>
      <c r="E490" s="6">
        <v>0</v>
      </c>
      <c r="F490" s="6">
        <v>24.5</v>
      </c>
      <c r="G490" s="6">
        <v>0.5625</v>
      </c>
      <c r="H490" s="6">
        <v>-0.1875</v>
      </c>
      <c r="I490" s="6">
        <v>1.375</v>
      </c>
      <c r="J490" s="6">
        <v>-1.3125</v>
      </c>
      <c r="K490" s="6">
        <v>22</v>
      </c>
      <c r="L490" s="6">
        <v>45.75</v>
      </c>
      <c r="M490" s="6">
        <v>-0.4375</v>
      </c>
      <c r="N490" s="6">
        <v>-6.25E-2</v>
      </c>
      <c r="O490" s="6">
        <v>1</v>
      </c>
      <c r="P490" s="6">
        <v>-2.25</v>
      </c>
      <c r="Q490" s="6">
        <v>-41.5625</v>
      </c>
      <c r="R490" s="6">
        <v>1.20934426784515</v>
      </c>
      <c r="S490" s="6">
        <v>-25.7567024230957</v>
      </c>
      <c r="T490" s="6">
        <v>-0.42067193984985402</v>
      </c>
      <c r="U490" s="6">
        <v>0.26802587509155301</v>
      </c>
      <c r="V490" s="6">
        <v>-5.8536839485168501</v>
      </c>
      <c r="W490" s="6">
        <v>-18.294370651245099</v>
      </c>
    </row>
    <row r="491" spans="1:23" ht="18.95" customHeight="1">
      <c r="A491" s="4">
        <v>487</v>
      </c>
      <c r="B491" s="4">
        <v>10443</v>
      </c>
      <c r="C491" s="4">
        <v>1</v>
      </c>
      <c r="D491" s="6">
        <v>0</v>
      </c>
      <c r="E491" s="6">
        <v>0</v>
      </c>
      <c r="F491" s="6">
        <v>25.75</v>
      </c>
      <c r="G491" s="6">
        <v>0.875</v>
      </c>
      <c r="H491" s="6">
        <v>0.375</v>
      </c>
      <c r="I491" s="6">
        <v>1.375</v>
      </c>
      <c r="J491" s="6">
        <v>-1.3125</v>
      </c>
      <c r="K491" s="6">
        <v>21.4375</v>
      </c>
      <c r="L491" s="6">
        <v>42.625</v>
      </c>
      <c r="M491" s="6">
        <v>-0.5</v>
      </c>
      <c r="N491" s="6">
        <v>6.25E-2</v>
      </c>
      <c r="O491" s="6">
        <v>1</v>
      </c>
      <c r="P491" s="6">
        <v>-2.25</v>
      </c>
      <c r="Q491" s="6">
        <v>-42.375</v>
      </c>
      <c r="R491" s="6">
        <v>1.6520923376083401</v>
      </c>
      <c r="S491" s="6">
        <v>-27.771968841552699</v>
      </c>
      <c r="T491" s="6">
        <v>-0.25273302197456399</v>
      </c>
      <c r="U491" s="6">
        <v>0.18222093582153301</v>
      </c>
      <c r="V491" s="6">
        <v>-6.3230037689209002</v>
      </c>
      <c r="W491" s="6">
        <v>-18.300701141357401</v>
      </c>
    </row>
    <row r="492" spans="1:23" ht="18.95" customHeight="1">
      <c r="A492" s="4">
        <v>488</v>
      </c>
      <c r="B492" s="4">
        <v>10463</v>
      </c>
      <c r="C492" s="4">
        <v>1</v>
      </c>
      <c r="D492" s="6">
        <v>0</v>
      </c>
      <c r="E492" s="6">
        <v>0</v>
      </c>
      <c r="F492" s="6">
        <v>27.5625</v>
      </c>
      <c r="G492" s="6">
        <v>0.3125</v>
      </c>
      <c r="H492" s="6">
        <v>-0.125</v>
      </c>
      <c r="I492" s="6">
        <v>1.375</v>
      </c>
      <c r="J492" s="6">
        <v>-1.375</v>
      </c>
      <c r="K492" s="6">
        <v>20.5625</v>
      </c>
      <c r="L492" s="6">
        <v>41.75</v>
      </c>
      <c r="M492" s="6">
        <v>-0.25</v>
      </c>
      <c r="N492" s="6">
        <v>6.25E-2</v>
      </c>
      <c r="O492" s="6">
        <v>1</v>
      </c>
      <c r="P492" s="6">
        <v>-2.25</v>
      </c>
      <c r="Q492" s="6">
        <v>-43.1875</v>
      </c>
      <c r="R492" s="6">
        <v>0.79713058471679699</v>
      </c>
      <c r="S492" s="6">
        <v>-29.0544109344482</v>
      </c>
      <c r="T492" s="6">
        <v>-0.34433606266975397</v>
      </c>
      <c r="U492" s="6">
        <v>0.32810118794441201</v>
      </c>
      <c r="V492" s="6">
        <v>-6.8467998504638699</v>
      </c>
      <c r="W492" s="6">
        <v>-18.296756744384801</v>
      </c>
    </row>
    <row r="493" spans="1:23" ht="18.95" customHeight="1">
      <c r="A493" s="4">
        <v>489</v>
      </c>
      <c r="B493" s="4">
        <v>10484</v>
      </c>
      <c r="C493" s="4">
        <v>1</v>
      </c>
      <c r="D493" s="6">
        <v>0</v>
      </c>
      <c r="E493" s="6">
        <v>0</v>
      </c>
      <c r="F493" s="6">
        <v>28.9375</v>
      </c>
      <c r="G493" s="6">
        <v>1</v>
      </c>
      <c r="H493" s="6">
        <v>0.5625</v>
      </c>
      <c r="I493" s="6">
        <v>1.4375</v>
      </c>
      <c r="J493" s="6">
        <v>-1.375</v>
      </c>
      <c r="K493" s="6">
        <v>20.25</v>
      </c>
      <c r="L493" s="6">
        <v>38.625</v>
      </c>
      <c r="M493" s="6">
        <v>-0.375</v>
      </c>
      <c r="N493" s="6">
        <v>0</v>
      </c>
      <c r="O493" s="6">
        <v>1.0625</v>
      </c>
      <c r="P493" s="6">
        <v>-2.25</v>
      </c>
      <c r="Q493" s="6">
        <v>-44</v>
      </c>
      <c r="R493" s="6">
        <v>1.5299549102783201</v>
      </c>
      <c r="S493" s="6">
        <v>-30.214717864990199</v>
      </c>
      <c r="T493" s="6">
        <v>-0.90922152996063199</v>
      </c>
      <c r="U493" s="6">
        <v>0.272338896989822</v>
      </c>
      <c r="V493" s="6">
        <v>-7.4011368751525897</v>
      </c>
      <c r="W493" s="6">
        <v>-18.3022861480713</v>
      </c>
    </row>
    <row r="494" spans="1:23" ht="18.95" customHeight="1">
      <c r="A494" s="4">
        <v>490</v>
      </c>
      <c r="B494" s="4">
        <v>10504</v>
      </c>
      <c r="C494" s="4">
        <v>1</v>
      </c>
      <c r="D494" s="6">
        <v>0</v>
      </c>
      <c r="E494" s="6">
        <v>0</v>
      </c>
      <c r="F494" s="6">
        <v>30.625</v>
      </c>
      <c r="G494" s="6">
        <v>0.375</v>
      </c>
      <c r="H494" s="6">
        <v>0.1875</v>
      </c>
      <c r="I494" s="6">
        <v>1.4375</v>
      </c>
      <c r="J494" s="6">
        <v>-1.375</v>
      </c>
      <c r="K494" s="6">
        <v>19.625</v>
      </c>
      <c r="L494" s="6">
        <v>36.875</v>
      </c>
      <c r="M494" s="6">
        <v>-0.3125</v>
      </c>
      <c r="N494" s="6">
        <v>-6.25E-2</v>
      </c>
      <c r="O494" s="6">
        <v>1.0625</v>
      </c>
      <c r="P494" s="6">
        <v>-2.25</v>
      </c>
      <c r="Q494" s="6">
        <v>-44.6875</v>
      </c>
      <c r="R494" s="6">
        <v>1.0414053201675399</v>
      </c>
      <c r="S494" s="6">
        <v>-31.375020980835</v>
      </c>
      <c r="T494" s="6">
        <v>-0.13059562444686901</v>
      </c>
      <c r="U494" s="6">
        <v>0.35375389456749001</v>
      </c>
      <c r="V494" s="6">
        <v>-7.9192953109741202</v>
      </c>
      <c r="W494" s="6">
        <v>-18.295097351074201</v>
      </c>
    </row>
    <row r="495" spans="1:23" ht="18.95" customHeight="1">
      <c r="A495" s="4">
        <v>491</v>
      </c>
      <c r="B495" s="4">
        <v>10524</v>
      </c>
      <c r="C495" s="4">
        <v>1</v>
      </c>
      <c r="D495" s="6">
        <v>0</v>
      </c>
      <c r="E495" s="6">
        <v>0</v>
      </c>
      <c r="F495" s="6">
        <v>31.625</v>
      </c>
      <c r="G495" s="6">
        <v>1.1875</v>
      </c>
      <c r="H495" s="6">
        <v>0.75</v>
      </c>
      <c r="I495" s="6">
        <v>1.4375</v>
      </c>
      <c r="J495" s="6">
        <v>-1.375</v>
      </c>
      <c r="K495" s="6">
        <v>19.0625</v>
      </c>
      <c r="L495" s="6">
        <v>33.1875</v>
      </c>
      <c r="M495" s="6">
        <v>-0.375</v>
      </c>
      <c r="N495" s="6">
        <v>-0.1875</v>
      </c>
      <c r="O495" s="6">
        <v>1.0625</v>
      </c>
      <c r="P495" s="6">
        <v>-2.25</v>
      </c>
      <c r="Q495" s="6">
        <v>-45.375</v>
      </c>
      <c r="R495" s="6">
        <v>1.6826267242431601</v>
      </c>
      <c r="S495" s="6">
        <v>-32.886474609375</v>
      </c>
      <c r="T495" s="6">
        <v>-0.32906889915466297</v>
      </c>
      <c r="U495" s="6">
        <v>0.303727477788925</v>
      </c>
      <c r="V495" s="6">
        <v>-8.4872741699218803</v>
      </c>
      <c r="W495" s="6">
        <v>-18.3062438964844</v>
      </c>
    </row>
    <row r="496" spans="1:23" ht="18.95" customHeight="1">
      <c r="A496" s="4">
        <v>492</v>
      </c>
      <c r="B496" s="4">
        <v>10554</v>
      </c>
      <c r="C496" s="4">
        <v>1</v>
      </c>
      <c r="D496" s="6">
        <v>0</v>
      </c>
      <c r="E496" s="6">
        <v>0</v>
      </c>
      <c r="F496" s="6">
        <v>33.75</v>
      </c>
      <c r="G496" s="6">
        <v>0.625</v>
      </c>
      <c r="H496" s="6">
        <v>0.125</v>
      </c>
      <c r="I496" s="6">
        <v>1.4375</v>
      </c>
      <c r="J496" s="6">
        <v>-1.4375</v>
      </c>
      <c r="K496" s="6">
        <v>17.625</v>
      </c>
      <c r="L496" s="6">
        <v>30.3125</v>
      </c>
      <c r="M496" s="6">
        <v>-0.125</v>
      </c>
      <c r="N496" s="6">
        <v>-6.25E-2</v>
      </c>
      <c r="O496" s="6">
        <v>1.0625</v>
      </c>
      <c r="P496" s="6">
        <v>-2.25</v>
      </c>
      <c r="Q496" s="6">
        <v>-46.3125</v>
      </c>
      <c r="R496" s="6">
        <v>0.58338999748230003</v>
      </c>
      <c r="S496" s="6">
        <v>-35.5582275390625</v>
      </c>
      <c r="T496" s="6">
        <v>-0.87868720293045</v>
      </c>
      <c r="U496" s="6">
        <v>0.283907920122147</v>
      </c>
      <c r="V496" s="6">
        <v>-9.5207824707031197</v>
      </c>
      <c r="W496" s="6">
        <v>-18.320146560668899</v>
      </c>
    </row>
    <row r="497" spans="1:23" ht="18.95" customHeight="1">
      <c r="A497" s="4">
        <v>493</v>
      </c>
      <c r="B497" s="4">
        <v>10574</v>
      </c>
      <c r="C497" s="4">
        <v>1</v>
      </c>
      <c r="D497" s="6">
        <v>0</v>
      </c>
      <c r="E497" s="6">
        <v>0</v>
      </c>
      <c r="F497" s="6">
        <v>35.3125</v>
      </c>
      <c r="G497" s="6">
        <v>1.0625</v>
      </c>
      <c r="H497" s="6">
        <v>0.5</v>
      </c>
      <c r="I497" s="6">
        <v>1.4375</v>
      </c>
      <c r="J497" s="6">
        <v>-1.4375</v>
      </c>
      <c r="K497" s="6">
        <v>17.3125</v>
      </c>
      <c r="L497" s="6">
        <v>28.5625</v>
      </c>
      <c r="M497" s="6">
        <v>-0.375</v>
      </c>
      <c r="N497" s="6">
        <v>6.25E-2</v>
      </c>
      <c r="O497" s="6">
        <v>1.125</v>
      </c>
      <c r="P497" s="6">
        <v>-2.1875</v>
      </c>
      <c r="Q497" s="6">
        <v>-46.875</v>
      </c>
      <c r="R497" s="6">
        <v>2.11010766029358</v>
      </c>
      <c r="S497" s="6">
        <v>-35.802505493164098</v>
      </c>
      <c r="T497" s="6">
        <v>1.01444256305695</v>
      </c>
      <c r="U497" s="6">
        <v>0.147272884845734</v>
      </c>
      <c r="V497" s="6">
        <v>-10.1640214920044</v>
      </c>
      <c r="W497" s="6">
        <v>-18.3239936828613</v>
      </c>
    </row>
    <row r="498" spans="1:23" ht="18.95" customHeight="1">
      <c r="A498" s="4">
        <v>494</v>
      </c>
      <c r="B498" s="4">
        <v>10596</v>
      </c>
      <c r="C498" s="4">
        <v>1</v>
      </c>
      <c r="D498" s="6">
        <v>0</v>
      </c>
      <c r="E498" s="6">
        <v>0</v>
      </c>
      <c r="F498" s="6">
        <v>36.5625</v>
      </c>
      <c r="G498" s="6">
        <v>0.75</v>
      </c>
      <c r="H498" s="6">
        <v>0.1875</v>
      </c>
      <c r="I498" s="6">
        <v>1.4375</v>
      </c>
      <c r="J498" s="6">
        <v>-1.4375</v>
      </c>
      <c r="K498" s="6">
        <v>16.1875</v>
      </c>
      <c r="L498" s="6">
        <v>25.8125</v>
      </c>
      <c r="M498" s="6">
        <v>-0.25</v>
      </c>
      <c r="N498" s="6">
        <v>0</v>
      </c>
      <c r="O498" s="6">
        <v>1.125</v>
      </c>
      <c r="P498" s="6">
        <v>-2.1875</v>
      </c>
      <c r="Q498" s="6">
        <v>-47.4375</v>
      </c>
      <c r="R498" s="6">
        <v>0.415451049804688</v>
      </c>
      <c r="S498" s="6">
        <v>-39.100212097167997</v>
      </c>
      <c r="T498" s="6">
        <v>-1.0008245706558201</v>
      </c>
      <c r="U498" s="6">
        <v>0.37271893024444602</v>
      </c>
      <c r="V498" s="6">
        <v>-10.809822082519499</v>
      </c>
      <c r="W498" s="6">
        <v>-18.3307075500488</v>
      </c>
    </row>
    <row r="499" spans="1:23" ht="18.95" customHeight="1">
      <c r="A499" s="4">
        <v>495</v>
      </c>
      <c r="B499" s="4">
        <v>10618</v>
      </c>
      <c r="C499" s="4">
        <v>1</v>
      </c>
      <c r="D499" s="6">
        <v>0</v>
      </c>
      <c r="E499" s="6">
        <v>0</v>
      </c>
      <c r="F499" s="6">
        <v>39.4375</v>
      </c>
      <c r="G499" s="6">
        <v>0.9375</v>
      </c>
      <c r="H499" s="6">
        <v>0.3125</v>
      </c>
      <c r="I499" s="6">
        <v>1.4375</v>
      </c>
      <c r="J499" s="6">
        <v>-1.4375</v>
      </c>
      <c r="K499" s="6">
        <v>15.4375</v>
      </c>
      <c r="L499" s="6">
        <v>24.25</v>
      </c>
      <c r="M499" s="6">
        <v>-0.3125</v>
      </c>
      <c r="N499" s="6">
        <v>-6.25E-2</v>
      </c>
      <c r="O499" s="6">
        <v>1.125</v>
      </c>
      <c r="P499" s="6">
        <v>-2.1875</v>
      </c>
      <c r="Q499" s="6">
        <v>-47.875</v>
      </c>
      <c r="R499" s="6">
        <v>2.4765198230743399</v>
      </c>
      <c r="S499" s="6">
        <v>-39.405555725097699</v>
      </c>
      <c r="T499" s="6">
        <v>0.77016770839691195</v>
      </c>
      <c r="U499" s="6">
        <v>0.23288643360137901</v>
      </c>
      <c r="V499" s="6">
        <v>-11.564557075500501</v>
      </c>
      <c r="W499" s="6">
        <v>-18.3328247070312</v>
      </c>
    </row>
    <row r="500" spans="1:23" ht="18.95" customHeight="1">
      <c r="A500" s="4">
        <v>496</v>
      </c>
      <c r="B500" s="4">
        <v>10638</v>
      </c>
      <c r="C500" s="4">
        <v>1</v>
      </c>
      <c r="D500" s="6">
        <v>0</v>
      </c>
      <c r="E500" s="6">
        <v>0</v>
      </c>
      <c r="F500" s="6">
        <v>40.4375</v>
      </c>
      <c r="G500" s="6">
        <v>1.0625</v>
      </c>
      <c r="H500" s="6">
        <v>0.4375</v>
      </c>
      <c r="I500" s="6">
        <v>1.5</v>
      </c>
      <c r="J500" s="6">
        <v>-1.5</v>
      </c>
      <c r="K500" s="6">
        <v>14.625</v>
      </c>
      <c r="L500" s="6">
        <v>22.375</v>
      </c>
      <c r="M500" s="6">
        <v>-0.25</v>
      </c>
      <c r="N500" s="6">
        <v>0.125</v>
      </c>
      <c r="O500" s="6">
        <v>1.125</v>
      </c>
      <c r="P500" s="6">
        <v>-2.1875</v>
      </c>
      <c r="Q500" s="6">
        <v>-48.375</v>
      </c>
      <c r="R500" s="6">
        <v>0.90400075912475597</v>
      </c>
      <c r="S500" s="6">
        <v>-41.985710144042997</v>
      </c>
      <c r="T500" s="6">
        <v>-0.832885682582855</v>
      </c>
      <c r="U500" s="6">
        <v>0.45976299047470098</v>
      </c>
      <c r="V500" s="6">
        <v>-12.2446947097778</v>
      </c>
      <c r="W500" s="6">
        <v>-18.335908889770501</v>
      </c>
    </row>
    <row r="501" spans="1:23" ht="18.95" customHeight="1">
      <c r="A501" s="4">
        <v>497</v>
      </c>
      <c r="B501" s="4">
        <v>10659</v>
      </c>
      <c r="C501" s="4">
        <v>1</v>
      </c>
      <c r="D501" s="6">
        <v>0</v>
      </c>
      <c r="E501" s="6">
        <v>0</v>
      </c>
      <c r="F501" s="6">
        <v>42.5625</v>
      </c>
      <c r="G501" s="6">
        <v>0.8125</v>
      </c>
      <c r="H501" s="6">
        <v>0.3125</v>
      </c>
      <c r="I501" s="6">
        <v>1.5</v>
      </c>
      <c r="J501" s="6">
        <v>-1.5</v>
      </c>
      <c r="K501" s="6">
        <v>13.8125</v>
      </c>
      <c r="L501" s="6">
        <v>19.4375</v>
      </c>
      <c r="M501" s="6">
        <v>-0.25</v>
      </c>
      <c r="N501" s="6">
        <v>-6.25E-2</v>
      </c>
      <c r="O501" s="6">
        <v>1.125</v>
      </c>
      <c r="P501" s="6">
        <v>-2.1875</v>
      </c>
      <c r="Q501" s="6">
        <v>-48.75</v>
      </c>
      <c r="R501" s="6">
        <v>2.6597259044647199</v>
      </c>
      <c r="S501" s="6">
        <v>-41.848304748535199</v>
      </c>
      <c r="T501" s="6">
        <v>0.96864104270935103</v>
      </c>
      <c r="U501" s="6">
        <v>0.29271826148033098</v>
      </c>
      <c r="V501" s="6">
        <v>-13.048082351684601</v>
      </c>
      <c r="W501" s="6">
        <v>-18.3370685577393</v>
      </c>
    </row>
    <row r="502" spans="1:23" ht="18.95" customHeight="1">
      <c r="A502" s="4">
        <v>498</v>
      </c>
      <c r="B502" s="4">
        <v>10679</v>
      </c>
      <c r="C502" s="4">
        <v>1</v>
      </c>
      <c r="D502" s="6">
        <v>0</v>
      </c>
      <c r="E502" s="6">
        <v>0</v>
      </c>
      <c r="F502" s="6">
        <v>42.75</v>
      </c>
      <c r="G502" s="6">
        <v>0.9375</v>
      </c>
      <c r="H502" s="6">
        <v>0.375</v>
      </c>
      <c r="I502" s="6">
        <v>1.5</v>
      </c>
      <c r="J502" s="6">
        <v>-1.5</v>
      </c>
      <c r="K502" s="6">
        <v>13</v>
      </c>
      <c r="L502" s="6">
        <v>17.75</v>
      </c>
      <c r="M502" s="6">
        <v>-0.125</v>
      </c>
      <c r="N502" s="6">
        <v>0.1875</v>
      </c>
      <c r="O502" s="6">
        <v>1.125</v>
      </c>
      <c r="P502" s="6">
        <v>-2.1875</v>
      </c>
      <c r="Q502" s="6">
        <v>-49.125</v>
      </c>
      <c r="R502" s="6">
        <v>1.1635427474975599</v>
      </c>
      <c r="S502" s="6">
        <v>-43.924636840820298</v>
      </c>
      <c r="T502" s="6">
        <v>-0.68021392822265603</v>
      </c>
      <c r="U502" s="6">
        <v>0.46314507722854598</v>
      </c>
      <c r="V502" s="6">
        <v>-13.724291801452599</v>
      </c>
      <c r="W502" s="6">
        <v>-18.340175628662099</v>
      </c>
    </row>
    <row r="503" spans="1:23" ht="18.95" customHeight="1">
      <c r="A503" s="4">
        <v>499</v>
      </c>
      <c r="B503" s="4">
        <v>10699</v>
      </c>
      <c r="C503" s="4">
        <v>1</v>
      </c>
      <c r="D503" s="6">
        <v>0</v>
      </c>
      <c r="E503" s="6">
        <v>0</v>
      </c>
      <c r="F503" s="6">
        <v>44.25</v>
      </c>
      <c r="G503" s="6">
        <v>1.0625</v>
      </c>
      <c r="H503" s="6">
        <v>0.375</v>
      </c>
      <c r="I503" s="6">
        <v>1.5</v>
      </c>
      <c r="J503" s="6">
        <v>-1.5625</v>
      </c>
      <c r="K503" s="6">
        <v>12.125</v>
      </c>
      <c r="L503" s="6">
        <v>14.8125</v>
      </c>
      <c r="M503" s="6">
        <v>6.25E-2</v>
      </c>
      <c r="N503" s="6">
        <v>-6.25E-2</v>
      </c>
      <c r="O503" s="6">
        <v>1.125</v>
      </c>
      <c r="P503" s="6">
        <v>-2.1875</v>
      </c>
      <c r="Q503" s="6">
        <v>-49.4375</v>
      </c>
      <c r="R503" s="6">
        <v>2.0490388870239298</v>
      </c>
      <c r="S503" s="6">
        <v>-44.092582702636697</v>
      </c>
      <c r="T503" s="6">
        <v>0.28161811828613298</v>
      </c>
      <c r="U503" s="6">
        <v>0.34749978780746499</v>
      </c>
      <c r="V503" s="6">
        <v>-14.5374088287354</v>
      </c>
      <c r="W503" s="6">
        <v>-18.350858688354499</v>
      </c>
    </row>
    <row r="504" spans="1:23" ht="18.95" customHeight="1">
      <c r="A504" s="4">
        <v>500</v>
      </c>
      <c r="B504" s="4">
        <v>10719</v>
      </c>
      <c r="C504" s="4">
        <v>1</v>
      </c>
      <c r="D504" s="6">
        <v>0</v>
      </c>
      <c r="E504" s="6">
        <v>0</v>
      </c>
      <c r="F504" s="6">
        <v>45.4375</v>
      </c>
      <c r="G504" s="6">
        <v>0.6875</v>
      </c>
      <c r="H504" s="6">
        <v>0.25</v>
      </c>
      <c r="I504" s="6">
        <v>1.5</v>
      </c>
      <c r="J504" s="6">
        <v>-1.5625</v>
      </c>
      <c r="K504" s="6">
        <v>11.25</v>
      </c>
      <c r="L504" s="6">
        <v>13.125</v>
      </c>
      <c r="M504" s="6">
        <v>-0.1875</v>
      </c>
      <c r="N504" s="6">
        <v>0</v>
      </c>
      <c r="O504" s="6">
        <v>1.125</v>
      </c>
      <c r="P504" s="6">
        <v>-2.1875</v>
      </c>
      <c r="Q504" s="6">
        <v>-49.6875</v>
      </c>
      <c r="R504" s="6">
        <v>2.01850461959839</v>
      </c>
      <c r="S504" s="6">
        <v>-45.970443725585902</v>
      </c>
      <c r="T504" s="6">
        <v>0.25108379125595098</v>
      </c>
      <c r="U504" s="6">
        <v>0.46552774310112</v>
      </c>
      <c r="V504" s="6">
        <v>-15.2947444915771</v>
      </c>
      <c r="W504" s="6">
        <v>-18.347242355346701</v>
      </c>
    </row>
    <row r="505" spans="1:23" ht="18.95" customHeight="1">
      <c r="A505" s="4">
        <v>501</v>
      </c>
      <c r="B505" s="4">
        <v>10739</v>
      </c>
      <c r="C505" s="4">
        <v>1</v>
      </c>
      <c r="D505" s="6">
        <v>0</v>
      </c>
      <c r="E505" s="6">
        <v>0</v>
      </c>
      <c r="F505" s="6">
        <v>46.6875</v>
      </c>
      <c r="G505" s="6">
        <v>1.25</v>
      </c>
      <c r="H505" s="6">
        <v>0.625</v>
      </c>
      <c r="I505" s="6">
        <v>1.5</v>
      </c>
      <c r="J505" s="6">
        <v>-1.5625</v>
      </c>
      <c r="K505" s="6">
        <v>10.375</v>
      </c>
      <c r="L505" s="6">
        <v>10.5</v>
      </c>
      <c r="M505" s="6">
        <v>0.125</v>
      </c>
      <c r="N505" s="6">
        <v>6.25E-2</v>
      </c>
      <c r="O505" s="6">
        <v>1.125</v>
      </c>
      <c r="P505" s="6">
        <v>-2.1875</v>
      </c>
      <c r="Q505" s="6">
        <v>-49.9375</v>
      </c>
      <c r="R505" s="6">
        <v>1.27041292190552</v>
      </c>
      <c r="S505" s="6">
        <v>-45.985710144042997</v>
      </c>
      <c r="T505" s="6">
        <v>-0.80235135555267301</v>
      </c>
      <c r="U505" s="6">
        <v>0.47899919748306302</v>
      </c>
      <c r="V505" s="6">
        <v>-16.034538269043001</v>
      </c>
      <c r="W505" s="6">
        <v>-18.355892181396499</v>
      </c>
    </row>
    <row r="506" spans="1:23" ht="18.95" customHeight="1">
      <c r="A506" s="4">
        <v>502</v>
      </c>
      <c r="B506" s="4">
        <v>10761</v>
      </c>
      <c r="C506" s="4">
        <v>1</v>
      </c>
      <c r="D506" s="6">
        <v>0</v>
      </c>
      <c r="E506" s="6">
        <v>0</v>
      </c>
      <c r="F506" s="6">
        <v>47.4375</v>
      </c>
      <c r="G506" s="6">
        <v>0.9375</v>
      </c>
      <c r="H506" s="6">
        <v>0.125</v>
      </c>
      <c r="I506" s="6">
        <v>1.5625</v>
      </c>
      <c r="J506" s="6">
        <v>-1.5625</v>
      </c>
      <c r="K506" s="6">
        <v>9.4375</v>
      </c>
      <c r="L506" s="6">
        <v>8.6875</v>
      </c>
      <c r="M506" s="6">
        <v>-0.125</v>
      </c>
      <c r="N506" s="6">
        <v>-6.25E-2</v>
      </c>
      <c r="O506" s="6">
        <v>1.125</v>
      </c>
      <c r="P506" s="6">
        <v>-2.1875</v>
      </c>
      <c r="Q506" s="6">
        <v>-50.1875</v>
      </c>
      <c r="R506" s="6">
        <v>2.0948405265808101</v>
      </c>
      <c r="S506" s="6">
        <v>-47.619300842285199</v>
      </c>
      <c r="T506" s="6">
        <v>-3.8992583751678501E-2</v>
      </c>
      <c r="U506" s="6">
        <v>0.54932075738906905</v>
      </c>
      <c r="V506" s="6">
        <v>-16.955570220947301</v>
      </c>
      <c r="W506" s="6">
        <v>-18.354404449462901</v>
      </c>
    </row>
    <row r="507" spans="1:23" ht="18.95" customHeight="1">
      <c r="A507" s="4">
        <v>503</v>
      </c>
      <c r="B507" s="4">
        <v>10782</v>
      </c>
      <c r="C507" s="4">
        <v>1</v>
      </c>
      <c r="D507" s="6">
        <v>0</v>
      </c>
      <c r="E507" s="6">
        <v>0</v>
      </c>
      <c r="F507" s="6">
        <v>47.9375</v>
      </c>
      <c r="G507" s="6">
        <v>1.125</v>
      </c>
      <c r="H507" s="6">
        <v>0.6875</v>
      </c>
      <c r="I507" s="6">
        <v>1.5625</v>
      </c>
      <c r="J507" s="6">
        <v>-1.625</v>
      </c>
      <c r="K507" s="6">
        <v>8.5</v>
      </c>
      <c r="L507" s="6">
        <v>6.1875</v>
      </c>
      <c r="M507" s="6">
        <v>-6.25E-2</v>
      </c>
      <c r="N507" s="6">
        <v>0.125</v>
      </c>
      <c r="O507" s="6">
        <v>1.125</v>
      </c>
      <c r="P507" s="6">
        <v>-2.1875</v>
      </c>
      <c r="Q507" s="6">
        <v>-50.3125</v>
      </c>
      <c r="R507" s="6">
        <v>1.89636719226837</v>
      </c>
      <c r="S507" s="6">
        <v>-47.573493957519503</v>
      </c>
      <c r="T507" s="6">
        <v>-2.3725390434265099E-2</v>
      </c>
      <c r="U507" s="6">
        <v>0.54091757535934404</v>
      </c>
      <c r="V507" s="6">
        <v>-17.809770584106399</v>
      </c>
      <c r="W507" s="6">
        <v>-18.3590087890625</v>
      </c>
    </row>
    <row r="508" spans="1:23" ht="18.95" customHeight="1">
      <c r="A508" s="4">
        <v>504</v>
      </c>
      <c r="B508" s="4">
        <v>10803</v>
      </c>
      <c r="C508" s="4">
        <v>1</v>
      </c>
      <c r="D508" s="6">
        <v>0</v>
      </c>
      <c r="E508" s="6">
        <v>0</v>
      </c>
      <c r="F508" s="6">
        <v>49.625</v>
      </c>
      <c r="G508" s="6">
        <v>1.3125</v>
      </c>
      <c r="H508" s="6">
        <v>0.5</v>
      </c>
      <c r="I508" s="6">
        <v>1.5625</v>
      </c>
      <c r="J508" s="6">
        <v>-1.625</v>
      </c>
      <c r="K508" s="6">
        <v>7.5625</v>
      </c>
      <c r="L508" s="6">
        <v>3.4375</v>
      </c>
      <c r="M508" s="6">
        <v>0</v>
      </c>
      <c r="N508" s="6">
        <v>0.125</v>
      </c>
      <c r="O508" s="6">
        <v>1.125</v>
      </c>
      <c r="P508" s="6">
        <v>-2.1875</v>
      </c>
      <c r="Q508" s="6">
        <v>-50.4375</v>
      </c>
      <c r="R508" s="6">
        <v>2.11010766029358</v>
      </c>
      <c r="S508" s="6">
        <v>-49.298683166503899</v>
      </c>
      <c r="T508" s="6">
        <v>-8.4581971168518101E-3</v>
      </c>
      <c r="U508" s="6">
        <v>0.63870054483413696</v>
      </c>
      <c r="V508" s="6">
        <v>-18.6169128417969</v>
      </c>
      <c r="W508" s="6">
        <v>-18.356447219848601</v>
      </c>
    </row>
    <row r="509" spans="1:23" ht="18.95" customHeight="1">
      <c r="A509" s="4">
        <v>505</v>
      </c>
      <c r="B509" s="4">
        <v>10824</v>
      </c>
      <c r="C509" s="4">
        <v>1</v>
      </c>
      <c r="D509" s="6">
        <v>0</v>
      </c>
      <c r="E509" s="6">
        <v>0</v>
      </c>
      <c r="F509" s="6">
        <v>49.9375</v>
      </c>
      <c r="G509" s="6">
        <v>1.25</v>
      </c>
      <c r="H509" s="6">
        <v>0.5625</v>
      </c>
      <c r="I509" s="6">
        <v>1.5625</v>
      </c>
      <c r="J509" s="6">
        <v>-1.6875</v>
      </c>
      <c r="K509" s="6">
        <v>6.625</v>
      </c>
      <c r="L509" s="6">
        <v>2.1875</v>
      </c>
      <c r="M509" s="6">
        <v>0</v>
      </c>
      <c r="N509" s="6">
        <v>0</v>
      </c>
      <c r="O509" s="6">
        <v>1.125</v>
      </c>
      <c r="P509" s="6">
        <v>-2.1875</v>
      </c>
      <c r="Q509" s="6">
        <v>-50.4375</v>
      </c>
      <c r="R509" s="6">
        <v>2.3849167823791499</v>
      </c>
      <c r="S509" s="6">
        <v>-47.436088562011697</v>
      </c>
      <c r="T509" s="6">
        <v>0.15948075056076</v>
      </c>
      <c r="U509" s="6">
        <v>0.58372497558593806</v>
      </c>
      <c r="V509" s="6">
        <v>-19.493789672851602</v>
      </c>
      <c r="W509" s="6">
        <v>-18.350824356079102</v>
      </c>
    </row>
    <row r="510" spans="1:23" ht="18.95" customHeight="1">
      <c r="A510" s="4">
        <v>506</v>
      </c>
      <c r="B510" s="4">
        <v>10844</v>
      </c>
      <c r="C510" s="4">
        <v>1</v>
      </c>
      <c r="D510" s="6">
        <v>0</v>
      </c>
      <c r="E510" s="6">
        <v>0</v>
      </c>
      <c r="F510" s="6">
        <v>50.125</v>
      </c>
      <c r="G510" s="6">
        <v>1.1875</v>
      </c>
      <c r="H510" s="6">
        <v>0.8125</v>
      </c>
      <c r="I510" s="6">
        <v>1.5625</v>
      </c>
      <c r="J510" s="6">
        <v>-1.6875</v>
      </c>
      <c r="K510" s="6">
        <v>5.625</v>
      </c>
      <c r="L510" s="6">
        <v>-0.5</v>
      </c>
      <c r="M510" s="6">
        <v>6.25E-2</v>
      </c>
      <c r="N510" s="6">
        <v>0.1875</v>
      </c>
      <c r="O510" s="6">
        <v>1.125</v>
      </c>
      <c r="P510" s="6">
        <v>-2.1875</v>
      </c>
      <c r="Q510" s="6">
        <v>-50.4375</v>
      </c>
      <c r="R510" s="6">
        <v>2.5681228637695299</v>
      </c>
      <c r="S510" s="6">
        <v>-47.710899353027301</v>
      </c>
      <c r="T510" s="6">
        <v>0.37322115898132302</v>
      </c>
      <c r="U510" s="6">
        <v>0.58118695020675704</v>
      </c>
      <c r="V510" s="6">
        <v>-20.285646438598601</v>
      </c>
      <c r="W510" s="6">
        <v>-18.347131729126001</v>
      </c>
    </row>
    <row r="511" spans="1:23" ht="18.95" customHeight="1">
      <c r="A511" s="4">
        <v>507</v>
      </c>
      <c r="B511" s="4">
        <v>10864</v>
      </c>
      <c r="C511" s="4">
        <v>1</v>
      </c>
      <c r="D511" s="6">
        <v>0</v>
      </c>
      <c r="E511" s="6">
        <v>0</v>
      </c>
      <c r="F511" s="6">
        <v>48.875</v>
      </c>
      <c r="G511" s="6">
        <v>1.4375</v>
      </c>
      <c r="H511" s="6">
        <v>0.8125</v>
      </c>
      <c r="I511" s="6">
        <v>1.5625</v>
      </c>
      <c r="J511" s="6">
        <v>-1.6875</v>
      </c>
      <c r="K511" s="6">
        <v>4.6875</v>
      </c>
      <c r="L511" s="6">
        <v>-1.875</v>
      </c>
      <c r="M511" s="6">
        <v>0.375</v>
      </c>
      <c r="N511" s="6">
        <v>0.125</v>
      </c>
      <c r="O511" s="6">
        <v>1.125</v>
      </c>
      <c r="P511" s="6">
        <v>-2.125</v>
      </c>
      <c r="Q511" s="6">
        <v>-50.4375</v>
      </c>
      <c r="R511" s="6">
        <v>2.4459855556488002</v>
      </c>
      <c r="S511" s="6">
        <v>-47.359756469726598</v>
      </c>
      <c r="T511" s="6">
        <v>0.19001507759094199</v>
      </c>
      <c r="U511" s="6">
        <v>0.64028578996658303</v>
      </c>
      <c r="V511" s="6">
        <v>-21.116111755371101</v>
      </c>
      <c r="W511" s="6">
        <v>-18.338729858398398</v>
      </c>
    </row>
    <row r="512" spans="1:23" ht="18.95" customHeight="1">
      <c r="A512" s="4">
        <v>508</v>
      </c>
      <c r="B512" s="4">
        <v>10886</v>
      </c>
      <c r="C512" s="4">
        <v>1</v>
      </c>
      <c r="D512" s="6">
        <v>0</v>
      </c>
      <c r="E512" s="6">
        <v>0</v>
      </c>
      <c r="F512" s="6">
        <v>49.3125</v>
      </c>
      <c r="G512" s="6">
        <v>1.8125</v>
      </c>
      <c r="H512" s="6">
        <v>1.125</v>
      </c>
      <c r="I512" s="6">
        <v>1.5625</v>
      </c>
      <c r="J512" s="6">
        <v>-1.75</v>
      </c>
      <c r="K512" s="6">
        <v>3.75</v>
      </c>
      <c r="L512" s="6">
        <v>-4.25</v>
      </c>
      <c r="M512" s="6">
        <v>0.5</v>
      </c>
      <c r="N512" s="6">
        <v>-6.25E-2</v>
      </c>
      <c r="O512" s="6">
        <v>1.125</v>
      </c>
      <c r="P512" s="6">
        <v>-2.125</v>
      </c>
      <c r="Q512" s="6">
        <v>-50.375</v>
      </c>
      <c r="R512" s="6">
        <v>2.0032374858856201</v>
      </c>
      <c r="S512" s="6">
        <v>-46.657463073730497</v>
      </c>
      <c r="T512" s="6">
        <v>8.3144843578338595E-2</v>
      </c>
      <c r="U512" s="6">
        <v>0.805644750595093</v>
      </c>
      <c r="V512" s="6">
        <v>-21.868707656860401</v>
      </c>
      <c r="W512" s="6">
        <v>-18.327440261840799</v>
      </c>
    </row>
    <row r="513" spans="1:23" ht="18.95" customHeight="1">
      <c r="A513" s="4">
        <v>509</v>
      </c>
      <c r="B513" s="4">
        <v>10907</v>
      </c>
      <c r="C513" s="4">
        <v>1</v>
      </c>
      <c r="D513" s="6">
        <v>0</v>
      </c>
      <c r="E513" s="6">
        <v>0</v>
      </c>
      <c r="F513" s="6">
        <v>48.4375</v>
      </c>
      <c r="G513" s="6">
        <v>1.875</v>
      </c>
      <c r="H513" s="6">
        <v>1.25</v>
      </c>
      <c r="I513" s="6">
        <v>1.5625</v>
      </c>
      <c r="J513" s="6">
        <v>-1.8125</v>
      </c>
      <c r="K513" s="6">
        <v>2.3125</v>
      </c>
      <c r="L513" s="6">
        <v>-6</v>
      </c>
      <c r="M513" s="6">
        <v>6.25E-2</v>
      </c>
      <c r="N513" s="6">
        <v>0.25</v>
      </c>
      <c r="O513" s="6">
        <v>1.125</v>
      </c>
      <c r="P513" s="6">
        <v>-2.125</v>
      </c>
      <c r="Q513" s="6">
        <v>-50.25</v>
      </c>
      <c r="R513" s="6">
        <v>1.9421687126159699</v>
      </c>
      <c r="S513" s="6">
        <v>-46.840667724609403</v>
      </c>
      <c r="T513" s="6">
        <v>-0.161129951477051</v>
      </c>
      <c r="U513" s="6">
        <v>0.77813553810119596</v>
      </c>
      <c r="V513" s="6">
        <v>-22.653274536132798</v>
      </c>
      <c r="W513" s="6">
        <v>-18.328777313232401</v>
      </c>
    </row>
    <row r="514" spans="1:23" ht="18.95" customHeight="1">
      <c r="A514" s="4">
        <v>510</v>
      </c>
      <c r="B514" s="4">
        <v>10927</v>
      </c>
      <c r="C514" s="4">
        <v>1</v>
      </c>
      <c r="D514" s="6">
        <v>0</v>
      </c>
      <c r="E514" s="6">
        <v>0</v>
      </c>
      <c r="F514" s="6">
        <v>48.6875</v>
      </c>
      <c r="G514" s="6">
        <v>1.0625</v>
      </c>
      <c r="H514" s="6">
        <v>0.5</v>
      </c>
      <c r="I514" s="6">
        <v>1.5625</v>
      </c>
      <c r="J514" s="6">
        <v>-1.8125</v>
      </c>
      <c r="K514" s="6">
        <v>1.875</v>
      </c>
      <c r="L514" s="6">
        <v>-7.5625</v>
      </c>
      <c r="M514" s="6">
        <v>0.1875</v>
      </c>
      <c r="N514" s="6">
        <v>0.1875</v>
      </c>
      <c r="O514" s="6">
        <v>1.125</v>
      </c>
      <c r="P514" s="6">
        <v>-2.125</v>
      </c>
      <c r="Q514" s="6">
        <v>-50.125</v>
      </c>
      <c r="R514" s="6">
        <v>2.64445877075195</v>
      </c>
      <c r="S514" s="6">
        <v>-47.466629028320298</v>
      </c>
      <c r="T514" s="6">
        <v>0.66329753398895297</v>
      </c>
      <c r="U514" s="6">
        <v>0.80474925041198697</v>
      </c>
      <c r="V514" s="6">
        <v>-23.464958190918001</v>
      </c>
      <c r="W514" s="6">
        <v>-18.317842483520501</v>
      </c>
    </row>
    <row r="515" spans="1:23" ht="18.95" customHeight="1">
      <c r="A515" s="4">
        <v>511</v>
      </c>
      <c r="B515" s="4">
        <v>10957</v>
      </c>
      <c r="C515" s="4">
        <v>1</v>
      </c>
      <c r="D515" s="6">
        <v>0</v>
      </c>
      <c r="E515" s="6">
        <v>0</v>
      </c>
      <c r="F515" s="6">
        <v>49.25</v>
      </c>
      <c r="G515" s="6">
        <v>1.75</v>
      </c>
      <c r="H515" s="6">
        <v>0.9375</v>
      </c>
      <c r="I515" s="6">
        <v>1.5625</v>
      </c>
      <c r="J515" s="6">
        <v>-1.875</v>
      </c>
      <c r="K515" s="6">
        <v>0</v>
      </c>
      <c r="L515" s="6">
        <v>-10.1875</v>
      </c>
      <c r="M515" s="6">
        <v>0.125</v>
      </c>
      <c r="N515" s="6">
        <v>0.125</v>
      </c>
      <c r="O515" s="6">
        <v>1.125</v>
      </c>
      <c r="P515" s="6">
        <v>-2.125</v>
      </c>
      <c r="Q515" s="6">
        <v>-49.875</v>
      </c>
      <c r="R515" s="6">
        <v>2.0490388870239298</v>
      </c>
      <c r="S515" s="6">
        <v>-47.481895446777301</v>
      </c>
      <c r="T515" s="6">
        <v>9.8412036895751995E-2</v>
      </c>
      <c r="U515" s="6">
        <v>0.87600558996200595</v>
      </c>
      <c r="V515" s="6">
        <v>-24.779394149780298</v>
      </c>
      <c r="W515" s="6">
        <v>-18.314865112304702</v>
      </c>
    </row>
    <row r="516" spans="1:23" ht="18.95" customHeight="1">
      <c r="A516" s="4">
        <v>512</v>
      </c>
      <c r="B516" s="4">
        <v>10978</v>
      </c>
      <c r="C516" s="4">
        <v>1</v>
      </c>
      <c r="D516" s="6">
        <v>0</v>
      </c>
      <c r="E516" s="6">
        <v>0</v>
      </c>
      <c r="F516" s="6">
        <v>49.25</v>
      </c>
      <c r="G516" s="6">
        <v>1</v>
      </c>
      <c r="H516" s="6">
        <v>0.5625</v>
      </c>
      <c r="I516" s="6">
        <v>1.625</v>
      </c>
      <c r="J516" s="6">
        <v>-1.875</v>
      </c>
      <c r="K516" s="6">
        <v>-0.4375</v>
      </c>
      <c r="L516" s="6">
        <v>-12.0625</v>
      </c>
      <c r="M516" s="6">
        <v>6.25E-2</v>
      </c>
      <c r="N516" s="6">
        <v>0.125</v>
      </c>
      <c r="O516" s="6">
        <v>1.125</v>
      </c>
      <c r="P516" s="6">
        <v>-2.125</v>
      </c>
      <c r="Q516" s="6">
        <v>-49.625</v>
      </c>
      <c r="R516" s="6">
        <v>1.60629081726074</v>
      </c>
      <c r="S516" s="6">
        <v>-48.321586608886697</v>
      </c>
      <c r="T516" s="6">
        <v>9.8412036895751995E-2</v>
      </c>
      <c r="U516" s="6">
        <v>0.93577933311462402</v>
      </c>
      <c r="V516" s="6">
        <v>-25.6078395843506</v>
      </c>
      <c r="W516" s="6">
        <v>-18.314323425293001</v>
      </c>
    </row>
    <row r="517" spans="1:23" ht="18.95" customHeight="1">
      <c r="A517" s="4">
        <v>513</v>
      </c>
      <c r="B517" s="4">
        <v>10999</v>
      </c>
      <c r="C517" s="4">
        <v>1</v>
      </c>
      <c r="D517" s="6">
        <v>0</v>
      </c>
      <c r="E517" s="6">
        <v>0</v>
      </c>
      <c r="F517" s="6">
        <v>49.1875</v>
      </c>
      <c r="G517" s="6">
        <v>1.1875</v>
      </c>
      <c r="H517" s="6">
        <v>0.8125</v>
      </c>
      <c r="I517" s="6">
        <v>1.625</v>
      </c>
      <c r="J517" s="6">
        <v>-1.9375</v>
      </c>
      <c r="K517" s="6">
        <v>-1.875</v>
      </c>
      <c r="L517" s="6">
        <v>-13.625</v>
      </c>
      <c r="M517" s="6">
        <v>0.3125</v>
      </c>
      <c r="N517" s="6">
        <v>6.25E-2</v>
      </c>
      <c r="O517" s="6">
        <v>1.125</v>
      </c>
      <c r="P517" s="6">
        <v>-2.125</v>
      </c>
      <c r="Q517" s="6">
        <v>-49.375</v>
      </c>
      <c r="R517" s="6">
        <v>2.5375885963439901</v>
      </c>
      <c r="S517" s="6">
        <v>-46.016242980957003</v>
      </c>
      <c r="T517" s="6">
        <v>1.10604560375214</v>
      </c>
      <c r="U517" s="6">
        <v>0.92814618349075295</v>
      </c>
      <c r="V517" s="6">
        <v>-26.381294250488299</v>
      </c>
      <c r="W517" s="6">
        <v>-18.305303573608398</v>
      </c>
    </row>
    <row r="518" spans="1:23" ht="18.95" customHeight="1">
      <c r="A518" s="4">
        <v>514</v>
      </c>
      <c r="B518" s="4">
        <v>11019</v>
      </c>
      <c r="C518" s="4">
        <v>1</v>
      </c>
      <c r="D518" s="6">
        <v>0</v>
      </c>
      <c r="E518" s="6">
        <v>0</v>
      </c>
      <c r="F518" s="6">
        <v>48</v>
      </c>
      <c r="G518" s="6">
        <v>1.5</v>
      </c>
      <c r="H518" s="6">
        <v>0.8125</v>
      </c>
      <c r="I518" s="6">
        <v>1.5625</v>
      </c>
      <c r="J518" s="6">
        <v>-1.9375</v>
      </c>
      <c r="K518" s="6">
        <v>-2.8125</v>
      </c>
      <c r="L518" s="6">
        <v>-15.125</v>
      </c>
      <c r="M518" s="6">
        <v>0.375</v>
      </c>
      <c r="N518" s="6">
        <v>0</v>
      </c>
      <c r="O518" s="6">
        <v>1.125</v>
      </c>
      <c r="P518" s="6">
        <v>-2.125</v>
      </c>
      <c r="Q518" s="6">
        <v>-49.125</v>
      </c>
      <c r="R518" s="6">
        <v>1.7589626312255899</v>
      </c>
      <c r="S518" s="6">
        <v>-46.504791259765597</v>
      </c>
      <c r="T518" s="6">
        <v>-0.176397144794464</v>
      </c>
      <c r="U518" s="6">
        <v>1.0035437345504801</v>
      </c>
      <c r="V518" s="6">
        <v>-27.050592422485401</v>
      </c>
      <c r="W518" s="6">
        <v>-18.302761077880898</v>
      </c>
    </row>
    <row r="519" spans="1:23" ht="18.95" customHeight="1">
      <c r="A519" s="4">
        <v>515</v>
      </c>
      <c r="B519" s="4">
        <v>11040</v>
      </c>
      <c r="C519" s="4">
        <v>1</v>
      </c>
      <c r="D519" s="6">
        <v>0</v>
      </c>
      <c r="E519" s="6">
        <v>0</v>
      </c>
      <c r="F519" s="6">
        <v>47.5</v>
      </c>
      <c r="G519" s="6">
        <v>1.125</v>
      </c>
      <c r="H519" s="6">
        <v>0.75</v>
      </c>
      <c r="I519" s="6">
        <v>1.625</v>
      </c>
      <c r="J519" s="6">
        <v>-1.9375</v>
      </c>
      <c r="K519" s="6">
        <v>-3.75</v>
      </c>
      <c r="L519" s="6">
        <v>-16.4375</v>
      </c>
      <c r="M519" s="6">
        <v>0.3125</v>
      </c>
      <c r="N519" s="6">
        <v>0.125</v>
      </c>
      <c r="O519" s="6">
        <v>1.125</v>
      </c>
      <c r="P519" s="6">
        <v>-2.125</v>
      </c>
      <c r="Q519" s="6">
        <v>-48.8125</v>
      </c>
      <c r="R519" s="6">
        <v>1.74369549751282</v>
      </c>
      <c r="S519" s="6">
        <v>-45.390289306640597</v>
      </c>
      <c r="T519" s="6">
        <v>0.38848841190338101</v>
      </c>
      <c r="U519" s="6">
        <v>0.984355568885803</v>
      </c>
      <c r="V519" s="6">
        <v>-27.836278915405298</v>
      </c>
      <c r="W519" s="6">
        <v>-18.2994499206543</v>
      </c>
    </row>
    <row r="520" spans="1:23" ht="18.95" customHeight="1">
      <c r="A520" s="4">
        <v>516</v>
      </c>
      <c r="B520" s="4">
        <v>11060</v>
      </c>
      <c r="C520" s="4">
        <v>1</v>
      </c>
      <c r="D520" s="6">
        <v>0</v>
      </c>
      <c r="E520" s="6">
        <v>0</v>
      </c>
      <c r="F520" s="6">
        <v>46.8125</v>
      </c>
      <c r="G520" s="6">
        <v>1.1875</v>
      </c>
      <c r="H520" s="6">
        <v>1.0625</v>
      </c>
      <c r="I520" s="6">
        <v>1.625</v>
      </c>
      <c r="J520" s="6">
        <v>-2</v>
      </c>
      <c r="K520" s="6">
        <v>-4.625</v>
      </c>
      <c r="L520" s="6">
        <v>-18.4375</v>
      </c>
      <c r="M520" s="6">
        <v>0.1875</v>
      </c>
      <c r="N520" s="6">
        <v>-0.125</v>
      </c>
      <c r="O520" s="6">
        <v>1.0625</v>
      </c>
      <c r="P520" s="6">
        <v>-2.125</v>
      </c>
      <c r="Q520" s="6">
        <v>-48.4375</v>
      </c>
      <c r="R520" s="6">
        <v>2.61392450332642</v>
      </c>
      <c r="S520" s="6">
        <v>-45.3292236328125</v>
      </c>
      <c r="T520" s="6">
        <v>0.93810665607452404</v>
      </c>
      <c r="U520" s="6">
        <v>0.99125748872757002</v>
      </c>
      <c r="V520" s="6">
        <v>-28.5095100402832</v>
      </c>
      <c r="W520" s="6">
        <v>-18.2849521636963</v>
      </c>
    </row>
    <row r="521" spans="1:23" ht="18.95" customHeight="1">
      <c r="A521" s="4">
        <v>517</v>
      </c>
      <c r="B521" s="4">
        <v>11080</v>
      </c>
      <c r="C521" s="4">
        <v>1</v>
      </c>
      <c r="D521" s="6">
        <v>0</v>
      </c>
      <c r="E521" s="6">
        <v>0</v>
      </c>
      <c r="F521" s="6">
        <v>46.5625</v>
      </c>
      <c r="G521" s="6">
        <v>1.5625</v>
      </c>
      <c r="H521" s="6">
        <v>1.3125</v>
      </c>
      <c r="I521" s="6">
        <v>1.5625</v>
      </c>
      <c r="J521" s="6">
        <v>-2</v>
      </c>
      <c r="K521" s="6">
        <v>-5.5625</v>
      </c>
      <c r="L521" s="6">
        <v>-19.75</v>
      </c>
      <c r="M521" s="6">
        <v>0.25</v>
      </c>
      <c r="N521" s="6">
        <v>0</v>
      </c>
      <c r="O521" s="6">
        <v>1.0625</v>
      </c>
      <c r="P521" s="6">
        <v>-2.125</v>
      </c>
      <c r="Q521" s="6">
        <v>-48.125</v>
      </c>
      <c r="R521" s="6">
        <v>1.7589626312255899</v>
      </c>
      <c r="S521" s="6">
        <v>-44.367385864257798</v>
      </c>
      <c r="T521" s="6">
        <v>0.38848841190338101</v>
      </c>
      <c r="U521" s="6">
        <v>1.0839644670486499</v>
      </c>
      <c r="V521" s="6">
        <v>-29.235469818115199</v>
      </c>
      <c r="W521" s="6">
        <v>-18.275955200195298</v>
      </c>
    </row>
    <row r="522" spans="1:23" ht="18.95" customHeight="1">
      <c r="A522" s="4">
        <v>518</v>
      </c>
      <c r="B522" s="4">
        <v>11102</v>
      </c>
      <c r="C522" s="4">
        <v>1</v>
      </c>
      <c r="D522" s="6">
        <v>0</v>
      </c>
      <c r="E522" s="6">
        <v>0</v>
      </c>
      <c r="F522" s="6">
        <v>45.5625</v>
      </c>
      <c r="G522" s="6">
        <v>1.1875</v>
      </c>
      <c r="H522" s="6">
        <v>0.9375</v>
      </c>
      <c r="I522" s="6">
        <v>1.5625</v>
      </c>
      <c r="J522" s="6">
        <v>-2.0625</v>
      </c>
      <c r="K522" s="6">
        <v>-6.4375</v>
      </c>
      <c r="L522" s="6">
        <v>-21.6875</v>
      </c>
      <c r="M522" s="6">
        <v>0.5</v>
      </c>
      <c r="N522" s="6">
        <v>-0.125</v>
      </c>
      <c r="O522" s="6">
        <v>1.0625</v>
      </c>
      <c r="P522" s="6">
        <v>-2.125</v>
      </c>
      <c r="Q522" s="6">
        <v>-47.6875</v>
      </c>
      <c r="R522" s="6">
        <v>1.7894968986511199</v>
      </c>
      <c r="S522" s="6">
        <v>-44.031509399414098</v>
      </c>
      <c r="T522" s="6">
        <v>0.64803040027618397</v>
      </c>
      <c r="U522" s="6">
        <v>1.0931745767593399</v>
      </c>
      <c r="V522" s="6">
        <v>-29.994785308837901</v>
      </c>
      <c r="W522" s="6">
        <v>-18.270544052123999</v>
      </c>
    </row>
    <row r="523" spans="1:23" ht="18.95" customHeight="1">
      <c r="A523" s="4">
        <v>519</v>
      </c>
      <c r="B523" s="4">
        <v>11123</v>
      </c>
      <c r="C523" s="4">
        <v>1</v>
      </c>
      <c r="D523" s="6">
        <v>0</v>
      </c>
      <c r="E523" s="6">
        <v>0</v>
      </c>
      <c r="F523" s="6">
        <v>45.375</v>
      </c>
      <c r="G523" s="6">
        <v>1.125</v>
      </c>
      <c r="H523" s="6">
        <v>0.6875</v>
      </c>
      <c r="I523" s="6">
        <v>1.5625</v>
      </c>
      <c r="J523" s="6">
        <v>-2.0625</v>
      </c>
      <c r="K523" s="6">
        <v>-7.3125</v>
      </c>
      <c r="L523" s="6">
        <v>-23</v>
      </c>
      <c r="M523" s="6">
        <v>0.25</v>
      </c>
      <c r="N523" s="6">
        <v>6.25E-2</v>
      </c>
      <c r="O523" s="6">
        <v>1.0625</v>
      </c>
      <c r="P523" s="6">
        <v>-2.125</v>
      </c>
      <c r="Q523" s="6">
        <v>-47.0625</v>
      </c>
      <c r="R523" s="6">
        <v>2.20171070098877</v>
      </c>
      <c r="S523" s="6">
        <v>-43.146011352539098</v>
      </c>
      <c r="T523" s="6">
        <v>0.64803040027618397</v>
      </c>
      <c r="U523" s="6">
        <v>1.00894951820374</v>
      </c>
      <c r="V523" s="6">
        <v>-30.713508605956999</v>
      </c>
      <c r="W523" s="6">
        <v>-18.260805130004901</v>
      </c>
    </row>
    <row r="524" spans="1:23" ht="18.95" customHeight="1">
      <c r="A524" s="4">
        <v>520</v>
      </c>
      <c r="B524" s="4">
        <v>11143</v>
      </c>
      <c r="C524" s="4">
        <v>1</v>
      </c>
      <c r="D524" s="6">
        <v>0</v>
      </c>
      <c r="E524" s="6">
        <v>0</v>
      </c>
      <c r="F524" s="6">
        <v>44.625</v>
      </c>
      <c r="G524" s="6">
        <v>1.3125</v>
      </c>
      <c r="H524" s="6">
        <v>1.125</v>
      </c>
      <c r="I524" s="6">
        <v>1.5625</v>
      </c>
      <c r="J524" s="6">
        <v>-2.0625</v>
      </c>
      <c r="K524" s="6">
        <v>-8.1875</v>
      </c>
      <c r="L524" s="6">
        <v>-25.375</v>
      </c>
      <c r="M524" s="6">
        <v>0.4375</v>
      </c>
      <c r="N524" s="6">
        <v>0</v>
      </c>
      <c r="O524" s="6">
        <v>1.0625</v>
      </c>
      <c r="P524" s="6">
        <v>-2.125</v>
      </c>
      <c r="Q524" s="6">
        <v>-46.5625</v>
      </c>
      <c r="R524" s="6">
        <v>1.6215579509735101</v>
      </c>
      <c r="S524" s="6">
        <v>-42.458992004394503</v>
      </c>
      <c r="T524" s="6">
        <v>3.7343323230743401E-2</v>
      </c>
      <c r="U524" s="6">
        <v>1.2202908992767301</v>
      </c>
      <c r="V524" s="6">
        <v>-31.317947387695298</v>
      </c>
      <c r="W524" s="6">
        <v>-18.246334075927699</v>
      </c>
    </row>
    <row r="525" spans="1:23" ht="18.95" customHeight="1">
      <c r="A525" s="4">
        <v>521</v>
      </c>
      <c r="B525" s="4">
        <v>11163</v>
      </c>
      <c r="C525" s="4">
        <v>1</v>
      </c>
      <c r="D525" s="6">
        <v>0</v>
      </c>
      <c r="E525" s="6">
        <v>0</v>
      </c>
      <c r="F525" s="6">
        <v>43.5</v>
      </c>
      <c r="G525" s="6">
        <v>1.4375</v>
      </c>
      <c r="H525" s="6">
        <v>1.0625</v>
      </c>
      <c r="I525" s="6">
        <v>1.5625</v>
      </c>
      <c r="J525" s="6">
        <v>-2.125</v>
      </c>
      <c r="K525" s="6">
        <v>-9.0625</v>
      </c>
      <c r="L525" s="6">
        <v>-26.4375</v>
      </c>
      <c r="M525" s="6">
        <v>0.625</v>
      </c>
      <c r="N525" s="6">
        <v>0</v>
      </c>
      <c r="O525" s="6">
        <v>1</v>
      </c>
      <c r="P525" s="6">
        <v>-2.125</v>
      </c>
      <c r="Q525" s="6">
        <v>-46.0625</v>
      </c>
      <c r="R525" s="6">
        <v>1.86583280563354</v>
      </c>
      <c r="S525" s="6">
        <v>-40.245254516601598</v>
      </c>
      <c r="T525" s="6">
        <v>0.64803040027618397</v>
      </c>
      <c r="U525" s="6">
        <v>1.1301344633102399</v>
      </c>
      <c r="V525" s="6">
        <v>-31.9022216796875</v>
      </c>
      <c r="W525" s="6">
        <v>-18.249223709106399</v>
      </c>
    </row>
    <row r="526" spans="1:23" ht="18.95" customHeight="1">
      <c r="A526" s="4">
        <v>522</v>
      </c>
      <c r="B526" s="4">
        <v>11183</v>
      </c>
      <c r="C526" s="4">
        <v>1</v>
      </c>
      <c r="D526" s="6">
        <v>0</v>
      </c>
      <c r="E526" s="6">
        <v>0</v>
      </c>
      <c r="F526" s="6">
        <v>42</v>
      </c>
      <c r="G526" s="6">
        <v>0.75</v>
      </c>
      <c r="H526" s="6">
        <v>0.6875</v>
      </c>
      <c r="I526" s="6">
        <v>1.5625</v>
      </c>
      <c r="J526" s="6">
        <v>-2.125</v>
      </c>
      <c r="K526" s="6">
        <v>-9.875</v>
      </c>
      <c r="L526" s="6">
        <v>-28.6875</v>
      </c>
      <c r="M526" s="6">
        <v>0.1875</v>
      </c>
      <c r="N526" s="6">
        <v>0.1875</v>
      </c>
      <c r="O526" s="6">
        <v>1</v>
      </c>
      <c r="P526" s="6">
        <v>-2.125</v>
      </c>
      <c r="Q526" s="6">
        <v>-45.5</v>
      </c>
      <c r="R526" s="6">
        <v>2.2475121021270801</v>
      </c>
      <c r="S526" s="6">
        <v>-38.489524841308601</v>
      </c>
      <c r="T526" s="6">
        <v>0.66329753398895297</v>
      </c>
      <c r="U526" s="6">
        <v>1.14097499847412</v>
      </c>
      <c r="V526" s="6">
        <v>-32.4722290039062</v>
      </c>
      <c r="W526" s="6">
        <v>-18.232049942016602</v>
      </c>
    </row>
    <row r="527" spans="1:23" ht="18.95" customHeight="1">
      <c r="A527" s="4">
        <v>523</v>
      </c>
      <c r="B527" s="4">
        <v>11203</v>
      </c>
      <c r="C527" s="4">
        <v>1</v>
      </c>
      <c r="D527" s="6">
        <v>0</v>
      </c>
      <c r="E527" s="6">
        <v>0</v>
      </c>
      <c r="F527" s="6">
        <v>39.6875</v>
      </c>
      <c r="G527" s="6">
        <v>1.875</v>
      </c>
      <c r="H527" s="6">
        <v>1.125</v>
      </c>
      <c r="I527" s="6">
        <v>1.5625</v>
      </c>
      <c r="J527" s="6">
        <v>-2.125</v>
      </c>
      <c r="K527" s="6">
        <v>-10.625</v>
      </c>
      <c r="L527" s="6">
        <v>-29.25</v>
      </c>
      <c r="M527" s="6">
        <v>0.5</v>
      </c>
      <c r="N527" s="6">
        <v>0.125</v>
      </c>
      <c r="O527" s="6">
        <v>1</v>
      </c>
      <c r="P527" s="6">
        <v>-2.125</v>
      </c>
      <c r="Q527" s="6">
        <v>-45.1875</v>
      </c>
      <c r="R527" s="6">
        <v>0.82766485214233398</v>
      </c>
      <c r="S527" s="6">
        <v>-37.6651000976562</v>
      </c>
      <c r="T527" s="6">
        <v>-8.4794104099273696E-2</v>
      </c>
      <c r="U527" s="6">
        <v>1.2527772188186601</v>
      </c>
      <c r="V527" s="6">
        <v>-32.994049072265597</v>
      </c>
      <c r="W527" s="6">
        <v>-18.230026245117202</v>
      </c>
    </row>
    <row r="528" spans="1:23" ht="18.95" customHeight="1">
      <c r="A528" s="4">
        <v>524</v>
      </c>
      <c r="B528" s="4">
        <v>11223</v>
      </c>
      <c r="C528" s="4">
        <v>1</v>
      </c>
      <c r="D528" s="6">
        <v>0</v>
      </c>
      <c r="E528" s="6">
        <v>0</v>
      </c>
      <c r="F528" s="6">
        <v>38.9375</v>
      </c>
      <c r="G528" s="6">
        <v>0.5</v>
      </c>
      <c r="H528" s="6">
        <v>0.5</v>
      </c>
      <c r="I528" s="6">
        <v>1.5625</v>
      </c>
      <c r="J528" s="6">
        <v>-2.125</v>
      </c>
      <c r="K528" s="6">
        <v>-11.375</v>
      </c>
      <c r="L528" s="6">
        <v>-31</v>
      </c>
      <c r="M528" s="6">
        <v>0.3125</v>
      </c>
      <c r="N528" s="6">
        <v>6.25E-2</v>
      </c>
      <c r="O528" s="6">
        <v>1</v>
      </c>
      <c r="P528" s="6">
        <v>-2.125</v>
      </c>
      <c r="Q528" s="6">
        <v>-44.3125</v>
      </c>
      <c r="R528" s="6">
        <v>1.11774122714996</v>
      </c>
      <c r="S528" s="6">
        <v>-35.542961120605497</v>
      </c>
      <c r="T528" s="6">
        <v>6.7877650260925307E-2</v>
      </c>
      <c r="U528" s="6">
        <v>1.2165043354034399</v>
      </c>
      <c r="V528" s="6">
        <v>-33.558414459228501</v>
      </c>
      <c r="W528" s="6">
        <v>-18.226814270019499</v>
      </c>
    </row>
    <row r="529" spans="1:23" ht="18.95" customHeight="1">
      <c r="A529" s="4">
        <v>525</v>
      </c>
      <c r="B529" s="4">
        <v>11243</v>
      </c>
      <c r="C529" s="4">
        <v>1</v>
      </c>
      <c r="D529" s="6">
        <v>0</v>
      </c>
      <c r="E529" s="6">
        <v>0</v>
      </c>
      <c r="F529" s="6">
        <v>36.75</v>
      </c>
      <c r="G529" s="6">
        <v>0.9375</v>
      </c>
      <c r="H529" s="6">
        <v>0.75</v>
      </c>
      <c r="I529" s="6">
        <v>1.5625</v>
      </c>
      <c r="J529" s="6">
        <v>-2.125</v>
      </c>
      <c r="K529" s="6">
        <v>-12.125</v>
      </c>
      <c r="L529" s="6">
        <v>-32.25</v>
      </c>
      <c r="M529" s="6">
        <v>0.3125</v>
      </c>
      <c r="N529" s="6">
        <v>0</v>
      </c>
      <c r="O529" s="6">
        <v>1</v>
      </c>
      <c r="P529" s="6">
        <v>-2.125</v>
      </c>
      <c r="Q529" s="6">
        <v>-44</v>
      </c>
      <c r="R529" s="6">
        <v>1.63682520389557</v>
      </c>
      <c r="S529" s="6">
        <v>-34.871208190917997</v>
      </c>
      <c r="T529" s="6">
        <v>0.40375554561615001</v>
      </c>
      <c r="U529" s="6">
        <v>1.1866044998168901</v>
      </c>
      <c r="V529" s="6">
        <v>-34.096771240234403</v>
      </c>
      <c r="W529" s="6">
        <v>-18.221311569213899</v>
      </c>
    </row>
    <row r="530" spans="1:23" ht="18.95" customHeight="1">
      <c r="A530" s="4">
        <v>526</v>
      </c>
      <c r="B530" s="4">
        <v>11263</v>
      </c>
      <c r="C530" s="4">
        <v>1</v>
      </c>
      <c r="D530" s="6">
        <v>0</v>
      </c>
      <c r="E530" s="6">
        <v>0</v>
      </c>
      <c r="F530" s="6">
        <v>35.6875</v>
      </c>
      <c r="G530" s="6">
        <v>0.9375</v>
      </c>
      <c r="H530" s="6">
        <v>0.75</v>
      </c>
      <c r="I530" s="6">
        <v>1.5625</v>
      </c>
      <c r="J530" s="6">
        <v>-2.1875</v>
      </c>
      <c r="K530" s="6">
        <v>-12.8125</v>
      </c>
      <c r="L530" s="6">
        <v>-33.625</v>
      </c>
      <c r="M530" s="6">
        <v>0.5</v>
      </c>
      <c r="N530" s="6">
        <v>0.25</v>
      </c>
      <c r="O530" s="6">
        <v>0.9375</v>
      </c>
      <c r="P530" s="6">
        <v>-2.125</v>
      </c>
      <c r="Q530" s="6">
        <v>-43.375</v>
      </c>
      <c r="R530" s="6">
        <v>1.3772832155227701</v>
      </c>
      <c r="S530" s="6">
        <v>-32.199447631835902</v>
      </c>
      <c r="T530" s="6">
        <v>0.64803040027618397</v>
      </c>
      <c r="U530" s="6">
        <v>1.20614814758301</v>
      </c>
      <c r="V530" s="6">
        <v>-34.507354736328097</v>
      </c>
      <c r="W530" s="6">
        <v>-18.213039398193398</v>
      </c>
    </row>
    <row r="531" spans="1:23" ht="18.95" customHeight="1">
      <c r="A531" s="4">
        <v>527</v>
      </c>
      <c r="B531" s="4">
        <v>11285</v>
      </c>
      <c r="C531" s="4">
        <v>1</v>
      </c>
      <c r="D531" s="6">
        <v>0</v>
      </c>
      <c r="E531" s="6">
        <v>0</v>
      </c>
      <c r="F531" s="6">
        <v>33.375</v>
      </c>
      <c r="G531" s="6">
        <v>0.875</v>
      </c>
      <c r="H531" s="6">
        <v>0.875</v>
      </c>
      <c r="I531" s="6">
        <v>1.5625</v>
      </c>
      <c r="J531" s="6">
        <v>-2.1875</v>
      </c>
      <c r="K531" s="6">
        <v>-13.4375</v>
      </c>
      <c r="L531" s="6">
        <v>-35.875</v>
      </c>
      <c r="M531" s="6">
        <v>0.3125</v>
      </c>
      <c r="N531" s="6">
        <v>6.25E-2</v>
      </c>
      <c r="O531" s="6">
        <v>0.9375</v>
      </c>
      <c r="P531" s="6">
        <v>-2.125</v>
      </c>
      <c r="Q531" s="6">
        <v>-42.3125</v>
      </c>
      <c r="R531" s="6">
        <v>0.720794677734375</v>
      </c>
      <c r="S531" s="6">
        <v>-31.588762283325199</v>
      </c>
      <c r="T531" s="6">
        <v>-0.37487041950225802</v>
      </c>
      <c r="U531" s="6">
        <v>1.2877722978591899</v>
      </c>
      <c r="V531" s="6">
        <v>-35.062271118164098</v>
      </c>
      <c r="W531" s="6">
        <v>-18.2110805511475</v>
      </c>
    </row>
    <row r="532" spans="1:23" ht="18.95" customHeight="1">
      <c r="A532" s="4">
        <v>528</v>
      </c>
      <c r="B532" s="4">
        <v>11305</v>
      </c>
      <c r="C532" s="4">
        <v>1</v>
      </c>
      <c r="D532" s="6">
        <v>0</v>
      </c>
      <c r="E532" s="6">
        <v>0</v>
      </c>
      <c r="F532" s="6">
        <v>32.375</v>
      </c>
      <c r="G532" s="6">
        <v>0.5</v>
      </c>
      <c r="H532" s="6">
        <v>0.6875</v>
      </c>
      <c r="I532" s="6">
        <v>1.5625</v>
      </c>
      <c r="J532" s="6">
        <v>-2.1875</v>
      </c>
      <c r="K532" s="6">
        <v>-14.125</v>
      </c>
      <c r="L532" s="6">
        <v>-38.125</v>
      </c>
      <c r="M532" s="6">
        <v>0.1875</v>
      </c>
      <c r="N532" s="6">
        <v>6.25E-2</v>
      </c>
      <c r="O532" s="6">
        <v>0.9375</v>
      </c>
      <c r="P532" s="6">
        <v>-2.125</v>
      </c>
      <c r="Q532" s="6">
        <v>-41.625</v>
      </c>
      <c r="R532" s="6">
        <v>1.5299549102783201</v>
      </c>
      <c r="S532" s="6">
        <v>-29.588762283325199</v>
      </c>
      <c r="T532" s="6">
        <v>0.54116010665893599</v>
      </c>
      <c r="U532" s="6">
        <v>1.2304657697677599</v>
      </c>
      <c r="V532" s="6">
        <v>-35.374515533447301</v>
      </c>
      <c r="W532" s="6">
        <v>-18.202325820922901</v>
      </c>
    </row>
    <row r="533" spans="1:23" ht="18.95" customHeight="1">
      <c r="A533" s="4">
        <v>529</v>
      </c>
      <c r="B533" s="4">
        <v>11327</v>
      </c>
      <c r="C533" s="4">
        <v>1</v>
      </c>
      <c r="D533" s="6">
        <v>0</v>
      </c>
      <c r="E533" s="6">
        <v>0</v>
      </c>
      <c r="F533" s="6">
        <v>30.625</v>
      </c>
      <c r="G533" s="6">
        <v>1</v>
      </c>
      <c r="H533" s="6">
        <v>0.9375</v>
      </c>
      <c r="I533" s="6">
        <v>1.5625</v>
      </c>
      <c r="J533" s="6">
        <v>-2.1875</v>
      </c>
      <c r="K533" s="6">
        <v>-14.6875</v>
      </c>
      <c r="L533" s="6">
        <v>-40</v>
      </c>
      <c r="M533" s="6">
        <v>0.5</v>
      </c>
      <c r="N533" s="6">
        <v>0.1875</v>
      </c>
      <c r="O533" s="6">
        <v>0.9375</v>
      </c>
      <c r="P533" s="6">
        <v>-2.125</v>
      </c>
      <c r="Q533" s="6">
        <v>-40.875</v>
      </c>
      <c r="R533" s="6">
        <v>1.2856801748275799</v>
      </c>
      <c r="S533" s="6">
        <v>-27.512426376342798</v>
      </c>
      <c r="T533" s="6">
        <v>0.38848841190338101</v>
      </c>
      <c r="U533" s="6">
        <v>1.3542687892913801</v>
      </c>
      <c r="V533" s="6">
        <v>-35.7990112304688</v>
      </c>
      <c r="W533" s="6">
        <v>-18.192237854003899</v>
      </c>
    </row>
    <row r="534" spans="1:23" ht="18.95" customHeight="1">
      <c r="A534" s="4">
        <v>530</v>
      </c>
      <c r="B534" s="4">
        <v>11357</v>
      </c>
      <c r="C534" s="4">
        <v>1</v>
      </c>
      <c r="D534" s="6">
        <v>0</v>
      </c>
      <c r="E534" s="6">
        <v>0</v>
      </c>
      <c r="F534" s="6">
        <v>27.625</v>
      </c>
      <c r="G534" s="6">
        <v>0.4375</v>
      </c>
      <c r="H534" s="6">
        <v>0.875</v>
      </c>
      <c r="I534" s="6">
        <v>1.5625</v>
      </c>
      <c r="J534" s="6">
        <v>-2.1875</v>
      </c>
      <c r="K534" s="6">
        <v>-15.5</v>
      </c>
      <c r="L534" s="6">
        <v>-42.75</v>
      </c>
      <c r="M534" s="6">
        <v>0.5625</v>
      </c>
      <c r="N534" s="6">
        <v>0.125</v>
      </c>
      <c r="O534" s="6">
        <v>0.875</v>
      </c>
      <c r="P534" s="6">
        <v>-2.125</v>
      </c>
      <c r="Q534" s="6">
        <v>-39.6875</v>
      </c>
      <c r="R534" s="6">
        <v>0.88873362541198697</v>
      </c>
      <c r="S534" s="6">
        <v>-23.5734958648682</v>
      </c>
      <c r="T534" s="6">
        <v>0.19001507759094199</v>
      </c>
      <c r="U534" s="6">
        <v>1.41581702232361</v>
      </c>
      <c r="V534" s="6">
        <v>-36.417572021484403</v>
      </c>
      <c r="W534" s="6">
        <v>-18.1844596862793</v>
      </c>
    </row>
    <row r="535" spans="1:23" ht="18.95" customHeight="1">
      <c r="A535" s="4">
        <v>531</v>
      </c>
      <c r="B535" s="4">
        <v>11377</v>
      </c>
      <c r="C535" s="4">
        <v>1</v>
      </c>
      <c r="D535" s="6">
        <v>0</v>
      </c>
      <c r="E535" s="6">
        <v>0</v>
      </c>
      <c r="F535" s="6">
        <v>24.875</v>
      </c>
      <c r="G535" s="6">
        <v>0.875</v>
      </c>
      <c r="H535" s="6">
        <v>0.875</v>
      </c>
      <c r="I535" s="6">
        <v>1.5625</v>
      </c>
      <c r="J535" s="6">
        <v>-2.1875</v>
      </c>
      <c r="K535" s="6">
        <v>-16</v>
      </c>
      <c r="L535" s="6">
        <v>-43.5</v>
      </c>
      <c r="M535" s="6">
        <v>0.5</v>
      </c>
      <c r="N535" s="6">
        <v>0</v>
      </c>
      <c r="O535" s="6">
        <v>0.875</v>
      </c>
      <c r="P535" s="6">
        <v>-2.125</v>
      </c>
      <c r="Q535" s="6">
        <v>-38.8125</v>
      </c>
      <c r="R535" s="6">
        <v>0.110107660293579</v>
      </c>
      <c r="S535" s="6">
        <v>-21.481891632080099</v>
      </c>
      <c r="T535" s="6">
        <v>-0.14586275815963701</v>
      </c>
      <c r="U535" s="6">
        <v>1.4583976268768299</v>
      </c>
      <c r="V535" s="6">
        <v>-36.742469787597699</v>
      </c>
      <c r="W535" s="6">
        <v>-18.1868286132812</v>
      </c>
    </row>
    <row r="536" spans="1:23" ht="18.95" customHeight="1">
      <c r="A536" s="4">
        <v>532</v>
      </c>
      <c r="B536" s="4">
        <v>11397</v>
      </c>
      <c r="C536" s="4">
        <v>1</v>
      </c>
      <c r="D536" s="6">
        <v>0</v>
      </c>
      <c r="E536" s="6">
        <v>0</v>
      </c>
      <c r="F536" s="6">
        <v>22.8125</v>
      </c>
      <c r="G536" s="6">
        <v>0</v>
      </c>
      <c r="H536" s="6">
        <v>0.1875</v>
      </c>
      <c r="I536" s="6">
        <v>1.5625</v>
      </c>
      <c r="J536" s="6">
        <v>-2.1875</v>
      </c>
      <c r="K536" s="6">
        <v>-16.4375</v>
      </c>
      <c r="L536" s="6">
        <v>-45.125</v>
      </c>
      <c r="M536" s="6">
        <v>0.5625</v>
      </c>
      <c r="N536" s="6">
        <v>-6.25E-2</v>
      </c>
      <c r="O536" s="6">
        <v>0.875</v>
      </c>
      <c r="P536" s="6">
        <v>-2.125</v>
      </c>
      <c r="Q536" s="6">
        <v>-37.9375</v>
      </c>
      <c r="R536" s="6">
        <v>0.96506941318511996</v>
      </c>
      <c r="S536" s="6">
        <v>-18.993343353271499</v>
      </c>
      <c r="T536" s="6">
        <v>0.83123648166656505</v>
      </c>
      <c r="U536" s="6">
        <v>1.3021810054779099</v>
      </c>
      <c r="V536" s="6">
        <v>-37.0166015625</v>
      </c>
      <c r="W536" s="6">
        <v>-18.187515258789102</v>
      </c>
    </row>
    <row r="537" spans="1:23" ht="18.95" customHeight="1">
      <c r="A537" s="4">
        <v>533</v>
      </c>
      <c r="B537" s="4">
        <v>11417</v>
      </c>
      <c r="C537" s="4">
        <v>1</v>
      </c>
      <c r="D537" s="6">
        <v>0</v>
      </c>
      <c r="E537" s="6">
        <v>0</v>
      </c>
      <c r="F537" s="6">
        <v>20.5625</v>
      </c>
      <c r="G537" s="6">
        <v>0.3125</v>
      </c>
      <c r="H537" s="6">
        <v>0.3125</v>
      </c>
      <c r="I537" s="6">
        <v>1.5625</v>
      </c>
      <c r="J537" s="6">
        <v>-2.1875</v>
      </c>
      <c r="K537" s="6">
        <v>-16.875</v>
      </c>
      <c r="L537" s="6">
        <v>-47.1875</v>
      </c>
      <c r="M537" s="6">
        <v>0.5625</v>
      </c>
      <c r="N537" s="6">
        <v>-6.25E-2</v>
      </c>
      <c r="O537" s="6">
        <v>0.8125</v>
      </c>
      <c r="P537" s="6">
        <v>-2.125</v>
      </c>
      <c r="Q537" s="6">
        <v>-37.0625</v>
      </c>
      <c r="R537" s="6">
        <v>0.90400075912475597</v>
      </c>
      <c r="S537" s="6">
        <v>-16.764335632324201</v>
      </c>
      <c r="T537" s="6">
        <v>0.35795402526855502</v>
      </c>
      <c r="U537" s="6">
        <v>1.3472363948821999</v>
      </c>
      <c r="V537" s="6">
        <v>-37.222969055175803</v>
      </c>
      <c r="W537" s="6">
        <v>-18.1742553710938</v>
      </c>
    </row>
    <row r="538" spans="1:23" ht="18.95" customHeight="1">
      <c r="A538" s="4">
        <v>534</v>
      </c>
      <c r="B538" s="4">
        <v>11438</v>
      </c>
      <c r="C538" s="4">
        <v>1</v>
      </c>
      <c r="D538" s="6">
        <v>0</v>
      </c>
      <c r="E538" s="6">
        <v>0</v>
      </c>
      <c r="F538" s="6">
        <v>18.0625</v>
      </c>
      <c r="G538" s="6">
        <v>0.8125</v>
      </c>
      <c r="H538" s="6">
        <v>0.9375</v>
      </c>
      <c r="I538" s="6">
        <v>1.5625</v>
      </c>
      <c r="J538" s="6">
        <v>-2.1875</v>
      </c>
      <c r="K538" s="6">
        <v>-17.1875</v>
      </c>
      <c r="L538" s="6">
        <v>-48.8125</v>
      </c>
      <c r="M538" s="6">
        <v>0.75</v>
      </c>
      <c r="N538" s="6">
        <v>0</v>
      </c>
      <c r="O538" s="6">
        <v>0.8125</v>
      </c>
      <c r="P538" s="6">
        <v>-2.125</v>
      </c>
      <c r="Q538" s="6">
        <v>-36.125</v>
      </c>
      <c r="R538" s="6">
        <v>6.4306020736694294E-2</v>
      </c>
      <c r="S538" s="6">
        <v>-14.321587562561</v>
      </c>
      <c r="T538" s="6">
        <v>0.22054940462112399</v>
      </c>
      <c r="U538" s="6">
        <v>1.3620765209198</v>
      </c>
      <c r="V538" s="6">
        <v>-37.362876892089801</v>
      </c>
      <c r="W538" s="6">
        <v>-18.1724853515625</v>
      </c>
    </row>
    <row r="539" spans="1:23" ht="18.95" customHeight="1">
      <c r="A539" s="4">
        <v>535</v>
      </c>
      <c r="B539" s="4">
        <v>11459</v>
      </c>
      <c r="C539" s="4">
        <v>1</v>
      </c>
      <c r="D539" s="6">
        <v>0</v>
      </c>
      <c r="E539" s="6">
        <v>0</v>
      </c>
      <c r="F539" s="6">
        <v>15.625</v>
      </c>
      <c r="G539" s="6">
        <v>-0.125</v>
      </c>
      <c r="H539" s="6">
        <v>0.25</v>
      </c>
      <c r="I539" s="6">
        <v>1.5625</v>
      </c>
      <c r="J539" s="6">
        <v>-2.1875</v>
      </c>
      <c r="K539" s="6">
        <v>-17.5625</v>
      </c>
      <c r="L539" s="6">
        <v>-51.0625</v>
      </c>
      <c r="M539" s="6">
        <v>0.5625</v>
      </c>
      <c r="N539" s="6">
        <v>0.1875</v>
      </c>
      <c r="O539" s="6">
        <v>0.75</v>
      </c>
      <c r="P539" s="6">
        <v>-2.125</v>
      </c>
      <c r="Q539" s="6">
        <v>-35.1875</v>
      </c>
      <c r="R539" s="6">
        <v>0.52232146263122603</v>
      </c>
      <c r="S539" s="6">
        <v>-11.2986860275269</v>
      </c>
      <c r="T539" s="6">
        <v>0.77016770839691195</v>
      </c>
      <c r="U539" s="6">
        <v>1.29926037788391</v>
      </c>
      <c r="V539" s="6">
        <v>-37.453651428222699</v>
      </c>
      <c r="W539" s="6">
        <v>-18.167131423950199</v>
      </c>
    </row>
    <row r="540" spans="1:23" ht="18.95" customHeight="1">
      <c r="A540" s="4">
        <v>536</v>
      </c>
      <c r="B540" s="4">
        <v>11480</v>
      </c>
      <c r="C540" s="4">
        <v>1</v>
      </c>
      <c r="D540" s="6">
        <v>0</v>
      </c>
      <c r="E540" s="6">
        <v>0</v>
      </c>
      <c r="F540" s="6">
        <v>12.8125</v>
      </c>
      <c r="G540" s="6">
        <v>0.3125</v>
      </c>
      <c r="H540" s="6">
        <v>0.6875</v>
      </c>
      <c r="I540" s="6">
        <v>1.5625</v>
      </c>
      <c r="J540" s="6">
        <v>-2.1875</v>
      </c>
      <c r="K540" s="6">
        <v>-17.8125</v>
      </c>
      <c r="L540" s="6">
        <v>-52.4375</v>
      </c>
      <c r="M540" s="6">
        <v>0.625</v>
      </c>
      <c r="N540" s="6">
        <v>0.125</v>
      </c>
      <c r="O540" s="6">
        <v>0.75</v>
      </c>
      <c r="P540" s="6">
        <v>-2.125</v>
      </c>
      <c r="Q540" s="6">
        <v>-34.1875</v>
      </c>
      <c r="R540" s="6">
        <v>0.52232146263122603</v>
      </c>
      <c r="S540" s="6">
        <v>-8.4895257949829102</v>
      </c>
      <c r="T540" s="6">
        <v>0.11367923021316501</v>
      </c>
      <c r="U540" s="6">
        <v>1.3594720363616899</v>
      </c>
      <c r="V540" s="6">
        <v>-37.514060974121101</v>
      </c>
      <c r="W540" s="6">
        <v>-18.161880493164102</v>
      </c>
    </row>
    <row r="541" spans="1:23" ht="18.95" customHeight="1">
      <c r="A541" s="4">
        <v>537</v>
      </c>
      <c r="B541" s="4">
        <v>11500</v>
      </c>
      <c r="C541" s="4">
        <v>1</v>
      </c>
      <c r="D541" s="6">
        <v>0</v>
      </c>
      <c r="E541" s="6">
        <v>0</v>
      </c>
      <c r="F541" s="6">
        <v>10.125</v>
      </c>
      <c r="G541" s="6">
        <v>0.1875</v>
      </c>
      <c r="H541" s="6">
        <v>0.375</v>
      </c>
      <c r="I541" s="6">
        <v>1.5625</v>
      </c>
      <c r="J541" s="6">
        <v>-2.1875</v>
      </c>
      <c r="K541" s="6">
        <v>-18.0625</v>
      </c>
      <c r="L541" s="6">
        <v>-54.75</v>
      </c>
      <c r="M541" s="6">
        <v>0.625</v>
      </c>
      <c r="N541" s="6">
        <v>6.25E-2</v>
      </c>
      <c r="O541" s="6">
        <v>0.75</v>
      </c>
      <c r="P541" s="6">
        <v>-2.125</v>
      </c>
      <c r="Q541" s="6">
        <v>-33.125</v>
      </c>
      <c r="R541" s="6">
        <v>-0.22577023506164601</v>
      </c>
      <c r="S541" s="6">
        <v>-5.7719688415527299</v>
      </c>
      <c r="T541" s="6">
        <v>2.2076129913330099E-2</v>
      </c>
      <c r="U541" s="6">
        <v>1.3834543228149401</v>
      </c>
      <c r="V541" s="6">
        <v>-37.517055511474602</v>
      </c>
      <c r="W541" s="6">
        <v>-18.1549282073975</v>
      </c>
    </row>
    <row r="542" spans="1:23" ht="18.95" customHeight="1">
      <c r="A542" s="4">
        <v>538</v>
      </c>
      <c r="B542" s="4">
        <v>11521</v>
      </c>
      <c r="C542" s="4">
        <v>1</v>
      </c>
      <c r="D542" s="6">
        <v>0</v>
      </c>
      <c r="E542" s="6">
        <v>0</v>
      </c>
      <c r="F542" s="6">
        <v>7.3125</v>
      </c>
      <c r="G542" s="6">
        <v>0.3125</v>
      </c>
      <c r="H542" s="6">
        <v>0.4375</v>
      </c>
      <c r="I542" s="6">
        <v>1.5625</v>
      </c>
      <c r="J542" s="6">
        <v>-2.1875</v>
      </c>
      <c r="K542" s="6">
        <v>-18.1875</v>
      </c>
      <c r="L542" s="6">
        <v>-55.75</v>
      </c>
      <c r="M542" s="6">
        <v>0.4375</v>
      </c>
      <c r="N542" s="6">
        <v>0</v>
      </c>
      <c r="O542" s="6">
        <v>0.6875</v>
      </c>
      <c r="P542" s="6">
        <v>-2.125</v>
      </c>
      <c r="Q542" s="6">
        <v>-32.0625</v>
      </c>
      <c r="R542" s="6">
        <v>1.85046195983887E-2</v>
      </c>
      <c r="S542" s="6">
        <v>-2.27578568458557</v>
      </c>
      <c r="T542" s="6">
        <v>0.54116010665893599</v>
      </c>
      <c r="U542" s="6">
        <v>1.3646087646484399</v>
      </c>
      <c r="V542" s="6">
        <v>-37.483371734619098</v>
      </c>
      <c r="W542" s="6">
        <v>-18.147487640380898</v>
      </c>
    </row>
    <row r="543" spans="1:23" ht="18.95" customHeight="1">
      <c r="A543" s="4">
        <v>539</v>
      </c>
      <c r="B543" s="4">
        <v>11542</v>
      </c>
      <c r="C543" s="4">
        <v>1</v>
      </c>
      <c r="D543" s="6">
        <v>0</v>
      </c>
      <c r="E543" s="6">
        <v>0</v>
      </c>
      <c r="F543" s="6">
        <v>4.375</v>
      </c>
      <c r="G543" s="6">
        <v>0.3125</v>
      </c>
      <c r="H543" s="6">
        <v>0.5625</v>
      </c>
      <c r="I543" s="6">
        <v>1.5625</v>
      </c>
      <c r="J543" s="6">
        <v>-2.1875</v>
      </c>
      <c r="K543" s="6">
        <v>-18.25</v>
      </c>
      <c r="L543" s="6">
        <v>-57.6875</v>
      </c>
      <c r="M543" s="6">
        <v>0.5625</v>
      </c>
      <c r="N543" s="6">
        <v>6.25E-2</v>
      </c>
      <c r="O543" s="6">
        <v>0.6875</v>
      </c>
      <c r="P543" s="6">
        <v>-2.1875</v>
      </c>
      <c r="Q543" s="6">
        <v>-30.9375</v>
      </c>
      <c r="R543" s="6">
        <v>0.27804660797119102</v>
      </c>
      <c r="S543" s="6">
        <v>0.319634199142456</v>
      </c>
      <c r="T543" s="6">
        <v>0.464824199676514</v>
      </c>
      <c r="U543" s="6">
        <v>1.4247585535049401</v>
      </c>
      <c r="V543" s="6">
        <v>-37.354976654052699</v>
      </c>
      <c r="W543" s="6">
        <v>-18.1344890594482</v>
      </c>
    </row>
    <row r="544" spans="1:23" ht="18.95" customHeight="1">
      <c r="A544" s="4">
        <v>540</v>
      </c>
      <c r="B544" s="4">
        <v>11563</v>
      </c>
      <c r="C544" s="4">
        <v>1</v>
      </c>
      <c r="D544" s="6">
        <v>0</v>
      </c>
      <c r="E544" s="6">
        <v>0</v>
      </c>
      <c r="F544" s="6">
        <v>1.375</v>
      </c>
      <c r="G544" s="6">
        <v>0.5625</v>
      </c>
      <c r="H544" s="6">
        <v>0.5</v>
      </c>
      <c r="I544" s="6">
        <v>1.5625</v>
      </c>
      <c r="J544" s="6">
        <v>-2.1875</v>
      </c>
      <c r="K544" s="6">
        <v>-18.25</v>
      </c>
      <c r="L544" s="6">
        <v>-58.3125</v>
      </c>
      <c r="M544" s="6">
        <v>0.625</v>
      </c>
      <c r="N544" s="6">
        <v>0.125</v>
      </c>
      <c r="O544" s="6">
        <v>0.625</v>
      </c>
      <c r="P544" s="6">
        <v>-2.1875</v>
      </c>
      <c r="Q544" s="6">
        <v>-29.25</v>
      </c>
      <c r="R544" s="6">
        <v>-0.576915264129639</v>
      </c>
      <c r="S544" s="6">
        <v>3.2967333793640101</v>
      </c>
      <c r="T544" s="6">
        <v>0.22054940462112399</v>
      </c>
      <c r="U544" s="6">
        <v>1.4246532917022701</v>
      </c>
      <c r="V544" s="6">
        <v>-37.280685424804702</v>
      </c>
      <c r="W544" s="6">
        <v>-18.135604858398398</v>
      </c>
    </row>
    <row r="545" spans="1:23" ht="18.95" customHeight="1">
      <c r="A545" s="4">
        <v>541</v>
      </c>
      <c r="B545" s="4">
        <v>11583</v>
      </c>
      <c r="C545" s="4">
        <v>1</v>
      </c>
      <c r="D545" s="6">
        <v>0</v>
      </c>
      <c r="E545" s="6">
        <v>0</v>
      </c>
      <c r="F545" s="6">
        <v>-1.375</v>
      </c>
      <c r="G545" s="6">
        <v>-0.25</v>
      </c>
      <c r="H545" s="6">
        <v>0.125</v>
      </c>
      <c r="I545" s="6">
        <v>1.5</v>
      </c>
      <c r="J545" s="6">
        <v>-2.1875</v>
      </c>
      <c r="K545" s="6">
        <v>-18.1875</v>
      </c>
      <c r="L545" s="6">
        <v>-59.5625</v>
      </c>
      <c r="M545" s="6">
        <v>0.6875</v>
      </c>
      <c r="N545" s="6">
        <v>0.1875</v>
      </c>
      <c r="O545" s="6">
        <v>0.625</v>
      </c>
      <c r="P545" s="6">
        <v>-2.1875</v>
      </c>
      <c r="Q545" s="6">
        <v>-28.0625</v>
      </c>
      <c r="R545" s="6">
        <v>1.17880988121033</v>
      </c>
      <c r="S545" s="6">
        <v>6.1364278793334996</v>
      </c>
      <c r="T545" s="6">
        <v>0.61749601364135698</v>
      </c>
      <c r="U545" s="6">
        <v>1.2727147340774501</v>
      </c>
      <c r="V545" s="6">
        <v>-37.044803619384801</v>
      </c>
      <c r="W545" s="6">
        <v>-18.129346847534201</v>
      </c>
    </row>
    <row r="546" spans="1:23" ht="18.95" customHeight="1">
      <c r="A546" s="4">
        <v>542</v>
      </c>
      <c r="B546" s="4">
        <v>11604</v>
      </c>
      <c r="C546" s="4">
        <v>1</v>
      </c>
      <c r="D546" s="6">
        <v>0</v>
      </c>
      <c r="E546" s="6">
        <v>0</v>
      </c>
      <c r="F546" s="6">
        <v>-5.9375</v>
      </c>
      <c r="G546" s="6">
        <v>0.5</v>
      </c>
      <c r="H546" s="6">
        <v>0.6875</v>
      </c>
      <c r="I546" s="6">
        <v>1.5</v>
      </c>
      <c r="J546" s="6">
        <v>-2.1875</v>
      </c>
      <c r="K546" s="6">
        <v>-18.125</v>
      </c>
      <c r="L546" s="6">
        <v>-61</v>
      </c>
      <c r="M546" s="6">
        <v>0.8125</v>
      </c>
      <c r="N546" s="6">
        <v>6.25E-2</v>
      </c>
      <c r="O546" s="6">
        <v>0.5625</v>
      </c>
      <c r="P546" s="6">
        <v>-2.1875</v>
      </c>
      <c r="Q546" s="6">
        <v>-26.875</v>
      </c>
      <c r="R546" s="6">
        <v>-0.34790754318237299</v>
      </c>
      <c r="S546" s="6">
        <v>9.1440620422363299</v>
      </c>
      <c r="T546" s="6">
        <v>-0.14586275815963701</v>
      </c>
      <c r="U546" s="6">
        <v>1.4014915227889999</v>
      </c>
      <c r="V546" s="6">
        <v>-36.855342864990199</v>
      </c>
      <c r="W546" s="6">
        <v>-18.129829406738299</v>
      </c>
    </row>
    <row r="547" spans="1:23" ht="18.95" customHeight="1">
      <c r="A547" s="4">
        <v>543</v>
      </c>
      <c r="B547" s="4">
        <v>11626</v>
      </c>
      <c r="C547" s="4">
        <v>1</v>
      </c>
      <c r="D547" s="6">
        <v>0</v>
      </c>
      <c r="E547" s="6">
        <v>0</v>
      </c>
      <c r="F547" s="6">
        <v>-8.8125</v>
      </c>
      <c r="G547" s="6">
        <v>-0.125</v>
      </c>
      <c r="H547" s="6">
        <v>0.1875</v>
      </c>
      <c r="I547" s="6">
        <v>1.5</v>
      </c>
      <c r="J547" s="6">
        <v>-2.1875</v>
      </c>
      <c r="K547" s="6">
        <v>-17.9375</v>
      </c>
      <c r="L547" s="6">
        <v>-62.3125</v>
      </c>
      <c r="M547" s="6">
        <v>0.5</v>
      </c>
      <c r="N547" s="6">
        <v>0</v>
      </c>
      <c r="O547" s="6">
        <v>0.5625</v>
      </c>
      <c r="P547" s="6">
        <v>-2.1875</v>
      </c>
      <c r="Q547" s="6">
        <v>-25.6875</v>
      </c>
      <c r="R547" s="6">
        <v>0.15590906143188499</v>
      </c>
      <c r="S547" s="6">
        <v>12.1211605072021</v>
      </c>
      <c r="T547" s="6">
        <v>0.70909905433654796</v>
      </c>
      <c r="U547" s="6">
        <v>1.21011567115784</v>
      </c>
      <c r="V547" s="6">
        <v>-36.5544242858887</v>
      </c>
      <c r="W547" s="6">
        <v>-18.131708145141602</v>
      </c>
    </row>
    <row r="548" spans="1:23" ht="18.95" customHeight="1">
      <c r="A548" s="4">
        <v>544</v>
      </c>
      <c r="B548" s="4">
        <v>11648</v>
      </c>
      <c r="C548" s="4">
        <v>1</v>
      </c>
      <c r="D548" s="6">
        <v>0</v>
      </c>
      <c r="E548" s="6">
        <v>0</v>
      </c>
      <c r="F548" s="6">
        <v>-12</v>
      </c>
      <c r="G548" s="6">
        <v>-0.25</v>
      </c>
      <c r="H548" s="6">
        <v>6.25E-2</v>
      </c>
      <c r="I548" s="6">
        <v>1.5</v>
      </c>
      <c r="J548" s="6">
        <v>-2.1875</v>
      </c>
      <c r="K548" s="6">
        <v>-17.75</v>
      </c>
      <c r="L548" s="6">
        <v>-63.8125</v>
      </c>
      <c r="M548" s="6">
        <v>0.6875</v>
      </c>
      <c r="N548" s="6">
        <v>0.125</v>
      </c>
      <c r="O548" s="6">
        <v>0.5625</v>
      </c>
      <c r="P548" s="6">
        <v>-2.1875</v>
      </c>
      <c r="Q548" s="6">
        <v>-24.4375</v>
      </c>
      <c r="R548" s="6">
        <v>0.400183916091919</v>
      </c>
      <c r="S548" s="6">
        <v>15.937954902648899</v>
      </c>
      <c r="T548" s="6">
        <v>0.26635098457336398</v>
      </c>
      <c r="U548" s="6">
        <v>1.2545646429061901</v>
      </c>
      <c r="V548" s="6">
        <v>-36.276641845703097</v>
      </c>
      <c r="W548" s="6">
        <v>-18.119522094726602</v>
      </c>
    </row>
    <row r="549" spans="1:23" ht="18.95" customHeight="1">
      <c r="A549" s="4">
        <v>545</v>
      </c>
      <c r="B549" s="4">
        <v>11670</v>
      </c>
      <c r="C549" s="4">
        <v>1</v>
      </c>
      <c r="D549" s="6">
        <v>0</v>
      </c>
      <c r="E549" s="6">
        <v>0</v>
      </c>
      <c r="F549" s="6">
        <v>-15.125</v>
      </c>
      <c r="G549" s="6">
        <v>0</v>
      </c>
      <c r="H549" s="6">
        <v>0.5</v>
      </c>
      <c r="I549" s="6">
        <v>1.5</v>
      </c>
      <c r="J549" s="6">
        <v>-2.1875</v>
      </c>
      <c r="K549" s="6">
        <v>-17.4375</v>
      </c>
      <c r="L549" s="6">
        <v>-65.5625</v>
      </c>
      <c r="M549" s="6">
        <v>0.9375</v>
      </c>
      <c r="N549" s="6">
        <v>6.25E-2</v>
      </c>
      <c r="O549" s="6">
        <v>0.5</v>
      </c>
      <c r="P549" s="6">
        <v>-2.1875</v>
      </c>
      <c r="Q549" s="6">
        <v>-22.5625</v>
      </c>
      <c r="R549" s="6">
        <v>-1.0349304676055899</v>
      </c>
      <c r="S549" s="6">
        <v>19.983757019043001</v>
      </c>
      <c r="T549" s="6">
        <v>-5.4259717464447001E-2</v>
      </c>
      <c r="U549" s="6">
        <v>1.24628329277039</v>
      </c>
      <c r="V549" s="6">
        <v>-35.898452758789098</v>
      </c>
      <c r="W549" s="6">
        <v>-18.117782592773398</v>
      </c>
    </row>
    <row r="550" spans="1:23" ht="18.95" customHeight="1">
      <c r="A550" s="4">
        <v>546</v>
      </c>
      <c r="B550" s="4">
        <v>11691</v>
      </c>
      <c r="C550" s="4">
        <v>1</v>
      </c>
      <c r="D550" s="6">
        <v>0</v>
      </c>
      <c r="E550" s="6">
        <v>0</v>
      </c>
      <c r="F550" s="6">
        <v>-18.875</v>
      </c>
      <c r="G550" s="6">
        <v>-0.75</v>
      </c>
      <c r="H550" s="6">
        <v>-0.125</v>
      </c>
      <c r="I550" s="6">
        <v>1.5</v>
      </c>
      <c r="J550" s="6">
        <v>-2.1875</v>
      </c>
      <c r="K550" s="6">
        <v>-17.125</v>
      </c>
      <c r="L550" s="6">
        <v>-68.8125</v>
      </c>
      <c r="M550" s="6">
        <v>0.625</v>
      </c>
      <c r="N550" s="6">
        <v>-0.1875</v>
      </c>
      <c r="O550" s="6">
        <v>0.5</v>
      </c>
      <c r="P550" s="6">
        <v>-2.25</v>
      </c>
      <c r="Q550" s="6">
        <v>-21.9375</v>
      </c>
      <c r="R550" s="6">
        <v>-0.72958707809448198</v>
      </c>
      <c r="S550" s="6">
        <v>23.174596786498999</v>
      </c>
      <c r="T550" s="6">
        <v>0.20528227090835599</v>
      </c>
      <c r="U550" s="6">
        <v>1.2453973293304399</v>
      </c>
      <c r="V550" s="6">
        <v>-35.492568969726598</v>
      </c>
      <c r="W550" s="6">
        <v>-18.1086826324463</v>
      </c>
    </row>
    <row r="551" spans="1:23" ht="18.95" customHeight="1">
      <c r="A551" s="4">
        <v>547</v>
      </c>
      <c r="B551" s="4">
        <v>11712</v>
      </c>
      <c r="C551" s="4">
        <v>1</v>
      </c>
      <c r="D551" s="6">
        <v>0</v>
      </c>
      <c r="E551" s="6">
        <v>0</v>
      </c>
      <c r="F551" s="6">
        <v>-22.0625</v>
      </c>
      <c r="G551" s="6">
        <v>-6.25E-2</v>
      </c>
      <c r="H551" s="6">
        <v>0.4375</v>
      </c>
      <c r="I551" s="6">
        <v>1.5</v>
      </c>
      <c r="J551" s="6">
        <v>-2.1875</v>
      </c>
      <c r="K551" s="6">
        <v>-16.5</v>
      </c>
      <c r="L551" s="6">
        <v>-70.3125</v>
      </c>
      <c r="M551" s="6">
        <v>0.4375</v>
      </c>
      <c r="N551" s="6">
        <v>0.125</v>
      </c>
      <c r="O551" s="6">
        <v>0.4375</v>
      </c>
      <c r="P551" s="6">
        <v>-2.25</v>
      </c>
      <c r="Q551" s="6">
        <v>-19.875</v>
      </c>
      <c r="R551" s="6">
        <v>-0.72958707809448198</v>
      </c>
      <c r="S551" s="6">
        <v>27.174596786498999</v>
      </c>
      <c r="T551" s="6">
        <v>0.28161811828613298</v>
      </c>
      <c r="U551" s="6">
        <v>1.2836971282959</v>
      </c>
      <c r="V551" s="6">
        <v>-34.944614410400398</v>
      </c>
      <c r="W551" s="6">
        <v>-18.1036701202393</v>
      </c>
    </row>
    <row r="552" spans="1:23" ht="18.95" customHeight="1">
      <c r="A552" s="4">
        <v>548</v>
      </c>
      <c r="B552" s="4">
        <v>11734</v>
      </c>
      <c r="C552" s="4">
        <v>1</v>
      </c>
      <c r="D552" s="6">
        <v>0</v>
      </c>
      <c r="E552" s="6">
        <v>0</v>
      </c>
      <c r="F552" s="6">
        <v>-25.875</v>
      </c>
      <c r="G552" s="6">
        <v>-0.375</v>
      </c>
      <c r="H552" s="6">
        <v>0.4375</v>
      </c>
      <c r="I552" s="6">
        <v>1.5</v>
      </c>
      <c r="J552" s="6">
        <v>-2.1875</v>
      </c>
      <c r="K552" s="6">
        <v>-16.25</v>
      </c>
      <c r="L552" s="6">
        <v>-72.5</v>
      </c>
      <c r="M552" s="6">
        <v>0.8125</v>
      </c>
      <c r="N552" s="6">
        <v>-6.25E-2</v>
      </c>
      <c r="O552" s="6">
        <v>0.375</v>
      </c>
      <c r="P552" s="6">
        <v>-2.25</v>
      </c>
      <c r="Q552" s="6">
        <v>-18.5</v>
      </c>
      <c r="R552" s="6">
        <v>-0.53111386299133301</v>
      </c>
      <c r="S552" s="6">
        <v>30.1822299957275</v>
      </c>
      <c r="T552" s="6">
        <v>0.34268689155578602</v>
      </c>
      <c r="U552" s="6">
        <v>1.2746881246566799</v>
      </c>
      <c r="V552" s="6">
        <v>-34.303531646728501</v>
      </c>
      <c r="W552" s="6">
        <v>-18.089780807495099</v>
      </c>
    </row>
    <row r="553" spans="1:23" ht="18.95" customHeight="1">
      <c r="A553" s="4">
        <v>549</v>
      </c>
      <c r="B553" s="4">
        <v>11764</v>
      </c>
      <c r="C553" s="4">
        <v>1</v>
      </c>
      <c r="D553" s="6">
        <v>0</v>
      </c>
      <c r="E553" s="6">
        <v>0</v>
      </c>
      <c r="F553" s="6">
        <v>-32.1875</v>
      </c>
      <c r="G553" s="6">
        <v>-0.5</v>
      </c>
      <c r="H553" s="6">
        <v>0.1875</v>
      </c>
      <c r="I553" s="6">
        <v>1.4375</v>
      </c>
      <c r="J553" s="6">
        <v>-2.125</v>
      </c>
      <c r="K553" s="6">
        <v>-15.0625</v>
      </c>
      <c r="L553" s="6">
        <v>-73.0625</v>
      </c>
      <c r="M553" s="6">
        <v>0.75</v>
      </c>
      <c r="N553" s="6">
        <v>0</v>
      </c>
      <c r="O553" s="6">
        <v>0.375</v>
      </c>
      <c r="P553" s="6">
        <v>-2.25</v>
      </c>
      <c r="Q553" s="6">
        <v>-16.375</v>
      </c>
      <c r="R553" s="6">
        <v>-1.29447245597839</v>
      </c>
      <c r="S553" s="6">
        <v>35.205131530761697</v>
      </c>
      <c r="T553" s="6">
        <v>-0.161129951477051</v>
      </c>
      <c r="U553" s="6">
        <v>1.24137687683105</v>
      </c>
      <c r="V553" s="6">
        <v>-33.295974731445298</v>
      </c>
      <c r="W553" s="6">
        <v>-18.090080261230501</v>
      </c>
    </row>
    <row r="554" spans="1:23" ht="18.95" customHeight="1">
      <c r="A554" s="4">
        <v>550</v>
      </c>
      <c r="B554" s="4">
        <v>11784</v>
      </c>
      <c r="C554" s="4">
        <v>1</v>
      </c>
      <c r="D554" s="6">
        <v>0</v>
      </c>
      <c r="E554" s="6">
        <v>0</v>
      </c>
      <c r="F554" s="6">
        <v>-34.0625</v>
      </c>
      <c r="G554" s="6">
        <v>-0.6875</v>
      </c>
      <c r="H554" s="6">
        <v>0.125</v>
      </c>
      <c r="I554" s="6">
        <v>1.4375</v>
      </c>
      <c r="J554" s="6">
        <v>-2.125</v>
      </c>
      <c r="K554" s="6">
        <v>-14.375</v>
      </c>
      <c r="L554" s="6">
        <v>-74.5</v>
      </c>
      <c r="M554" s="6">
        <v>0.6875</v>
      </c>
      <c r="N554" s="6">
        <v>-0.125</v>
      </c>
      <c r="O554" s="6">
        <v>0.3125</v>
      </c>
      <c r="P554" s="6">
        <v>-2.25</v>
      </c>
      <c r="Q554" s="6">
        <v>-14.9375</v>
      </c>
      <c r="R554" s="6">
        <v>-1.4318771362304701</v>
      </c>
      <c r="S554" s="6">
        <v>37.739479064941399</v>
      </c>
      <c r="T554" s="6">
        <v>0.128946363925934</v>
      </c>
      <c r="U554" s="6">
        <v>1.24375653266907</v>
      </c>
      <c r="V554" s="6">
        <v>-32.530284881591797</v>
      </c>
      <c r="W554" s="6">
        <v>-18.085477828979499</v>
      </c>
    </row>
    <row r="555" spans="1:23" ht="18.95" customHeight="1">
      <c r="A555" s="4">
        <v>551</v>
      </c>
      <c r="B555" s="4">
        <v>11804</v>
      </c>
      <c r="C555" s="4">
        <v>1</v>
      </c>
      <c r="D555" s="6">
        <v>0</v>
      </c>
      <c r="E555" s="6">
        <v>0</v>
      </c>
      <c r="F555" s="6">
        <v>-37.0625</v>
      </c>
      <c r="G555" s="6">
        <v>-0.4375</v>
      </c>
      <c r="H555" s="6">
        <v>0.25</v>
      </c>
      <c r="I555" s="6">
        <v>1.4375</v>
      </c>
      <c r="J555" s="6">
        <v>-2.125</v>
      </c>
      <c r="K555" s="6">
        <v>-13.6875</v>
      </c>
      <c r="L555" s="6">
        <v>-74.4375</v>
      </c>
      <c r="M555" s="6">
        <v>0.5625</v>
      </c>
      <c r="N555" s="6">
        <v>-6.25E-2</v>
      </c>
      <c r="O555" s="6">
        <v>0.3125</v>
      </c>
      <c r="P555" s="6">
        <v>-2.3125</v>
      </c>
      <c r="Q555" s="6">
        <v>-13.4375</v>
      </c>
      <c r="R555" s="6">
        <v>-1.6761517524719201</v>
      </c>
      <c r="S555" s="6">
        <v>41.235664367675803</v>
      </c>
      <c r="T555" s="6">
        <v>-8.4581971168518101E-3</v>
      </c>
      <c r="U555" s="6">
        <v>1.25661373138428</v>
      </c>
      <c r="V555" s="6">
        <v>-31.8409099578857</v>
      </c>
      <c r="W555" s="6">
        <v>-18.078384399414102</v>
      </c>
    </row>
    <row r="556" spans="1:23" ht="18.95" customHeight="1">
      <c r="A556" s="4">
        <v>552</v>
      </c>
      <c r="B556" s="4">
        <v>11824</v>
      </c>
      <c r="C556" s="4">
        <v>1</v>
      </c>
      <c r="D556" s="6">
        <v>0</v>
      </c>
      <c r="E556" s="6">
        <v>0</v>
      </c>
      <c r="F556" s="6">
        <v>-40.0625</v>
      </c>
      <c r="G556" s="6">
        <v>-0.625</v>
      </c>
      <c r="H556" s="6">
        <v>0.125</v>
      </c>
      <c r="I556" s="6">
        <v>1.4375</v>
      </c>
      <c r="J556" s="6">
        <v>-2.125</v>
      </c>
      <c r="K556" s="6">
        <v>-12.875</v>
      </c>
      <c r="L556" s="6">
        <v>-75.125</v>
      </c>
      <c r="M556" s="6">
        <v>0.6875</v>
      </c>
      <c r="N556" s="6">
        <v>-6.25E-2</v>
      </c>
      <c r="O556" s="6">
        <v>0.25</v>
      </c>
      <c r="P556" s="6">
        <v>-2.3125</v>
      </c>
      <c r="Q556" s="6">
        <v>-12</v>
      </c>
      <c r="R556" s="6">
        <v>-1.1876022815704299</v>
      </c>
      <c r="S556" s="6">
        <v>43.647880554199197</v>
      </c>
      <c r="T556" s="6">
        <v>0.81596922874450695</v>
      </c>
      <c r="U556" s="6">
        <v>1.17853844165802</v>
      </c>
      <c r="V556" s="6">
        <v>-31.057167053222699</v>
      </c>
      <c r="W556" s="6">
        <v>-18.070304870605501</v>
      </c>
    </row>
    <row r="557" spans="1:23" ht="18.95" customHeight="1">
      <c r="A557" s="4">
        <v>553</v>
      </c>
      <c r="B557" s="4">
        <v>11844</v>
      </c>
      <c r="C557" s="4">
        <v>1</v>
      </c>
      <c r="D557" s="6">
        <v>0</v>
      </c>
      <c r="E557" s="6">
        <v>0</v>
      </c>
      <c r="F557" s="6">
        <v>-43.125</v>
      </c>
      <c r="G557" s="6">
        <v>-1</v>
      </c>
      <c r="H557" s="6">
        <v>-0.3125</v>
      </c>
      <c r="I557" s="6">
        <v>1.4375</v>
      </c>
      <c r="J557" s="6">
        <v>-2.125</v>
      </c>
      <c r="K557" s="6">
        <v>-12</v>
      </c>
      <c r="L557" s="6">
        <v>-75.0625</v>
      </c>
      <c r="M557" s="6">
        <v>0.6875</v>
      </c>
      <c r="N557" s="6">
        <v>-0.125</v>
      </c>
      <c r="O557" s="6">
        <v>0.25</v>
      </c>
      <c r="P557" s="6">
        <v>-2.3125</v>
      </c>
      <c r="Q557" s="6">
        <v>-10.5625</v>
      </c>
      <c r="R557" s="6">
        <v>-1.1876022815704299</v>
      </c>
      <c r="S557" s="6">
        <v>47.815818786621101</v>
      </c>
      <c r="T557" s="6">
        <v>0.63276314735412598</v>
      </c>
      <c r="U557" s="6">
        <v>1.10645043849945</v>
      </c>
      <c r="V557" s="6">
        <v>-30.479631423950199</v>
      </c>
      <c r="W557" s="6">
        <v>-18.058893203735401</v>
      </c>
    </row>
    <row r="558" spans="1:23" ht="18.95" customHeight="1">
      <c r="A558" s="4">
        <v>554</v>
      </c>
      <c r="B558" s="4">
        <v>11864</v>
      </c>
      <c r="C558" s="4">
        <v>1</v>
      </c>
      <c r="D558" s="6">
        <v>0</v>
      </c>
      <c r="E558" s="6">
        <v>0</v>
      </c>
      <c r="F558" s="6">
        <v>-46.25</v>
      </c>
      <c r="G558" s="6">
        <v>-0.875</v>
      </c>
      <c r="H558" s="6">
        <v>-0.25</v>
      </c>
      <c r="I558" s="6">
        <v>1.375</v>
      </c>
      <c r="J558" s="6">
        <v>-2.0625</v>
      </c>
      <c r="K558" s="6">
        <v>-11.125</v>
      </c>
      <c r="L558" s="6">
        <v>-75.5</v>
      </c>
      <c r="M558" s="6">
        <v>0.6875</v>
      </c>
      <c r="N558" s="6">
        <v>6.25E-2</v>
      </c>
      <c r="O558" s="6">
        <v>0.1875</v>
      </c>
      <c r="P558" s="6">
        <v>-2.3125</v>
      </c>
      <c r="Q558" s="6">
        <v>-9.0625</v>
      </c>
      <c r="R558" s="6">
        <v>-1.2181365489959699</v>
      </c>
      <c r="S558" s="6">
        <v>50.533370971679702</v>
      </c>
      <c r="T558" s="6">
        <v>0.69383192062377896</v>
      </c>
      <c r="U558" s="6">
        <v>1.0819778442382799</v>
      </c>
      <c r="V558" s="6">
        <v>-29.5442409515381</v>
      </c>
      <c r="W558" s="6">
        <v>-18.056037902831999</v>
      </c>
    </row>
    <row r="559" spans="1:23" ht="18.95" customHeight="1">
      <c r="A559" s="4">
        <v>555</v>
      </c>
      <c r="B559" s="4">
        <v>11884</v>
      </c>
      <c r="C559" s="4">
        <v>1</v>
      </c>
      <c r="D559" s="6">
        <v>0</v>
      </c>
      <c r="E559" s="6">
        <v>0</v>
      </c>
      <c r="F559" s="6">
        <v>-50.4375</v>
      </c>
      <c r="G559" s="6">
        <v>-1</v>
      </c>
      <c r="H559" s="6">
        <v>-0.1875</v>
      </c>
      <c r="I559" s="6">
        <v>1.375</v>
      </c>
      <c r="J559" s="6">
        <v>-2.0625</v>
      </c>
      <c r="K559" s="6">
        <v>-10.125</v>
      </c>
      <c r="L559" s="6">
        <v>-77.25</v>
      </c>
      <c r="M559" s="6">
        <v>0.75</v>
      </c>
      <c r="N559" s="6">
        <v>-0.125</v>
      </c>
      <c r="O559" s="6">
        <v>0.1875</v>
      </c>
      <c r="P559" s="6">
        <v>-2.3125</v>
      </c>
      <c r="Q559" s="6">
        <v>-7.625</v>
      </c>
      <c r="R559" s="6">
        <v>-1.5234799385070801</v>
      </c>
      <c r="S559" s="6">
        <v>53.800552368164098</v>
      </c>
      <c r="T559" s="6">
        <v>-0.37487041950225802</v>
      </c>
      <c r="U559" s="6">
        <v>1.0437662601470901</v>
      </c>
      <c r="V559" s="6">
        <v>-28.713817596435501</v>
      </c>
      <c r="W559" s="6">
        <v>-18.064495086669901</v>
      </c>
    </row>
    <row r="560" spans="1:23" ht="18.95" customHeight="1">
      <c r="A560" s="4">
        <v>556</v>
      </c>
      <c r="B560" s="4">
        <v>11905</v>
      </c>
      <c r="C560" s="4">
        <v>1</v>
      </c>
      <c r="D560" s="6">
        <v>0</v>
      </c>
      <c r="E560" s="6">
        <v>0</v>
      </c>
      <c r="F560" s="6">
        <v>-53</v>
      </c>
      <c r="G560" s="6">
        <v>-1.1875</v>
      </c>
      <c r="H560" s="6">
        <v>-0.375</v>
      </c>
      <c r="I560" s="6">
        <v>1.375</v>
      </c>
      <c r="J560" s="6">
        <v>-2.0625</v>
      </c>
      <c r="K560" s="6">
        <v>-9.0625</v>
      </c>
      <c r="L560" s="6">
        <v>-76.625</v>
      </c>
      <c r="M560" s="6">
        <v>0.625</v>
      </c>
      <c r="N560" s="6">
        <v>0</v>
      </c>
      <c r="O560" s="6">
        <v>0.125</v>
      </c>
      <c r="P560" s="6">
        <v>-2.3125</v>
      </c>
      <c r="Q560" s="6">
        <v>-6.125</v>
      </c>
      <c r="R560" s="6">
        <v>-1.76775503158569</v>
      </c>
      <c r="S560" s="6">
        <v>56.044822692871101</v>
      </c>
      <c r="T560" s="6">
        <v>0.128946363925934</v>
      </c>
      <c r="U560" s="6">
        <v>1.05649197101593</v>
      </c>
      <c r="V560" s="6">
        <v>-27.4872341156006</v>
      </c>
      <c r="W560" s="6">
        <v>-18.062564849853501</v>
      </c>
    </row>
    <row r="561" spans="1:23" ht="18.95" customHeight="1">
      <c r="A561" s="4">
        <v>557</v>
      </c>
      <c r="B561" s="4">
        <v>11927</v>
      </c>
      <c r="C561" s="4">
        <v>1</v>
      </c>
      <c r="D561" s="6">
        <v>0</v>
      </c>
      <c r="E561" s="6">
        <v>0</v>
      </c>
      <c r="F561" s="6">
        <v>-57.5625</v>
      </c>
      <c r="G561" s="6">
        <v>-1</v>
      </c>
      <c r="H561" s="6">
        <v>-0.375</v>
      </c>
      <c r="I561" s="6">
        <v>1.375</v>
      </c>
      <c r="J561" s="6">
        <v>-2</v>
      </c>
      <c r="K561" s="6">
        <v>-7.9375</v>
      </c>
      <c r="L561" s="6">
        <v>-75.5625</v>
      </c>
      <c r="M561" s="6">
        <v>0.75</v>
      </c>
      <c r="N561" s="6">
        <v>-0.125</v>
      </c>
      <c r="O561" s="6">
        <v>0.125</v>
      </c>
      <c r="P561" s="6">
        <v>-2.375</v>
      </c>
      <c r="Q561" s="6">
        <v>-4.625</v>
      </c>
      <c r="R561" s="6">
        <v>-1.8746252059936499</v>
      </c>
      <c r="S561" s="6">
        <v>58.197494506835902</v>
      </c>
      <c r="T561" s="6">
        <v>-0.37487041950225802</v>
      </c>
      <c r="U561" s="6">
        <v>0.97914004325866699</v>
      </c>
      <c r="V561" s="6">
        <v>-26.325332641601602</v>
      </c>
      <c r="W561" s="6">
        <v>-18.06178855896</v>
      </c>
    </row>
    <row r="562" spans="1:23" ht="18.95" customHeight="1">
      <c r="A562" s="4">
        <v>558</v>
      </c>
      <c r="B562" s="4">
        <v>11949</v>
      </c>
      <c r="C562" s="4">
        <v>1</v>
      </c>
      <c r="D562" s="6">
        <v>0</v>
      </c>
      <c r="E562" s="6">
        <v>0</v>
      </c>
      <c r="F562" s="6">
        <v>-59.125</v>
      </c>
      <c r="G562" s="6">
        <v>-1.375</v>
      </c>
      <c r="H562" s="6">
        <v>-0.5625</v>
      </c>
      <c r="I562" s="6">
        <v>1.3125</v>
      </c>
      <c r="J562" s="6">
        <v>-2</v>
      </c>
      <c r="K562" s="6">
        <v>-6.8125</v>
      </c>
      <c r="L562" s="6">
        <v>-73.1875</v>
      </c>
      <c r="M562" s="6">
        <v>0.6875</v>
      </c>
      <c r="N562" s="6">
        <v>-6.25E-2</v>
      </c>
      <c r="O562" s="6">
        <v>6.25E-2</v>
      </c>
      <c r="P562" s="6">
        <v>-2.375</v>
      </c>
      <c r="Q562" s="6">
        <v>-3.1875</v>
      </c>
      <c r="R562" s="6">
        <v>-2.0578312873840301</v>
      </c>
      <c r="S562" s="6">
        <v>60.731849670410199</v>
      </c>
      <c r="T562" s="6">
        <v>0.19001507759094199</v>
      </c>
      <c r="U562" s="6">
        <v>0.97301208972930897</v>
      </c>
      <c r="V562" s="6">
        <v>-24.969646453857401</v>
      </c>
      <c r="W562" s="6">
        <v>-18.061830520629901</v>
      </c>
    </row>
    <row r="563" spans="1:23" ht="18.95" customHeight="1">
      <c r="A563" s="4">
        <v>559</v>
      </c>
      <c r="B563" s="4">
        <v>11969</v>
      </c>
      <c r="C563" s="4">
        <v>0</v>
      </c>
      <c r="D563" s="6">
        <v>0</v>
      </c>
      <c r="E563" s="6">
        <v>0</v>
      </c>
      <c r="F563" s="6">
        <v>-62</v>
      </c>
      <c r="G563" s="6">
        <v>-1.1875</v>
      </c>
      <c r="H563" s="6">
        <v>-0.5</v>
      </c>
      <c r="I563" s="6">
        <v>1.3125</v>
      </c>
      <c r="J563" s="6">
        <v>-2</v>
      </c>
      <c r="K563" s="6">
        <v>-5.625</v>
      </c>
      <c r="L563" s="6">
        <v>-72.5</v>
      </c>
      <c r="M563" s="6">
        <v>0.8125</v>
      </c>
      <c r="N563" s="6">
        <v>6.25E-2</v>
      </c>
      <c r="O563" s="6">
        <v>6.25E-2</v>
      </c>
      <c r="P563" s="6">
        <v>-2.375</v>
      </c>
      <c r="Q563" s="6">
        <v>-1.8125</v>
      </c>
      <c r="R563" s="6">
        <v>-2.16470146179199</v>
      </c>
      <c r="S563" s="6">
        <v>63.006660461425803</v>
      </c>
      <c r="T563" s="6">
        <v>-0.34433606266975397</v>
      </c>
      <c r="U563" s="6">
        <v>0.97726255655288696</v>
      </c>
      <c r="V563" s="6">
        <v>-23.843772888183601</v>
      </c>
      <c r="W563" s="6">
        <v>-18.0578517913818</v>
      </c>
    </row>
    <row r="564" spans="1:23" ht="18.95" customHeight="1">
      <c r="A564" s="4">
        <v>560</v>
      </c>
      <c r="B564" s="4">
        <v>11989</v>
      </c>
      <c r="C564" s="4">
        <v>0</v>
      </c>
      <c r="D564" s="6">
        <v>0</v>
      </c>
      <c r="E564" s="6">
        <v>0</v>
      </c>
      <c r="F564" s="6">
        <v>-63.5625</v>
      </c>
      <c r="G564" s="6">
        <v>-1.4375</v>
      </c>
      <c r="H564" s="6">
        <v>-0.375</v>
      </c>
      <c r="I564" s="6">
        <v>1.3125</v>
      </c>
      <c r="J564" s="6">
        <v>-1.9375</v>
      </c>
      <c r="K564" s="6">
        <v>-4.4375</v>
      </c>
      <c r="L564" s="6">
        <v>-69.5625</v>
      </c>
      <c r="M564" s="6">
        <v>0.5</v>
      </c>
      <c r="N564" s="6">
        <v>0.125</v>
      </c>
      <c r="O564" s="6">
        <v>0</v>
      </c>
      <c r="P564" s="6">
        <v>-2.375</v>
      </c>
      <c r="Q564" s="6">
        <v>-0.4375</v>
      </c>
      <c r="R564" s="6">
        <v>-2.3021059036254901</v>
      </c>
      <c r="S564" s="6">
        <v>64.044822692871094</v>
      </c>
      <c r="T564" s="6">
        <v>-0.78708416223526001</v>
      </c>
      <c r="U564" s="6">
        <v>0.98878592252731301</v>
      </c>
      <c r="V564" s="6">
        <v>-22.4176025390625</v>
      </c>
      <c r="W564" s="6">
        <v>-18.058753967285199</v>
      </c>
    </row>
    <row r="565" spans="1:23" ht="18.95" customHeight="1">
      <c r="A565" s="4">
        <v>561</v>
      </c>
      <c r="B565" s="4">
        <v>12010</v>
      </c>
      <c r="C565" s="4">
        <v>0</v>
      </c>
      <c r="D565" s="6">
        <v>0</v>
      </c>
      <c r="E565" s="6">
        <v>0</v>
      </c>
      <c r="F565" s="6">
        <v>-65.75</v>
      </c>
      <c r="G565" s="6">
        <v>-1.25</v>
      </c>
      <c r="H565" s="6">
        <v>-0.625</v>
      </c>
      <c r="I565" s="6">
        <v>1.3125</v>
      </c>
      <c r="J565" s="6">
        <v>-1.9375</v>
      </c>
      <c r="K565" s="6">
        <v>-3.125</v>
      </c>
      <c r="L565" s="6">
        <v>-68</v>
      </c>
      <c r="M565" s="6">
        <v>0.625</v>
      </c>
      <c r="N565" s="6">
        <v>-0.125</v>
      </c>
      <c r="O565" s="6">
        <v>0</v>
      </c>
      <c r="P565" s="6">
        <v>-2.375</v>
      </c>
      <c r="Q565" s="6">
        <v>0.8125</v>
      </c>
      <c r="R565" s="6">
        <v>-1.95096111297607</v>
      </c>
      <c r="S565" s="6">
        <v>65.785285949707003</v>
      </c>
      <c r="T565" s="6">
        <v>8.3144843578338595E-2</v>
      </c>
      <c r="U565" s="6">
        <v>0.88089162111282304</v>
      </c>
      <c r="V565" s="6">
        <v>-21.029426574706999</v>
      </c>
      <c r="W565" s="6">
        <v>-18.055030822753899</v>
      </c>
    </row>
    <row r="566" spans="1:23" ht="18.95" customHeight="1">
      <c r="A566" s="4">
        <v>562</v>
      </c>
      <c r="B566" s="4">
        <v>12031</v>
      </c>
      <c r="C566" s="4">
        <v>0</v>
      </c>
      <c r="D566" s="6">
        <v>0</v>
      </c>
      <c r="E566" s="6">
        <v>0</v>
      </c>
      <c r="F566" s="6">
        <v>-66.375</v>
      </c>
      <c r="G566" s="6">
        <v>-1.3125</v>
      </c>
      <c r="H566" s="6">
        <v>-0.3125</v>
      </c>
      <c r="I566" s="6">
        <v>1.25</v>
      </c>
      <c r="J566" s="6">
        <v>-1.875</v>
      </c>
      <c r="K566" s="6">
        <v>-1.875</v>
      </c>
      <c r="L566" s="6">
        <v>-63.75</v>
      </c>
      <c r="M566" s="6">
        <v>0.375</v>
      </c>
      <c r="N566" s="6">
        <v>0.1875</v>
      </c>
      <c r="O566" s="6">
        <v>359.9375</v>
      </c>
      <c r="P566" s="6">
        <v>-2.375</v>
      </c>
      <c r="Q566" s="6">
        <v>2.0625</v>
      </c>
      <c r="R566" s="6">
        <v>-2.42424345016479</v>
      </c>
      <c r="S566" s="6">
        <v>66.853988647460895</v>
      </c>
      <c r="T566" s="6">
        <v>-0.72601544857025102</v>
      </c>
      <c r="U566" s="6">
        <v>0.971690833568573</v>
      </c>
      <c r="V566" s="6">
        <v>-19.503097534179702</v>
      </c>
      <c r="W566" s="6">
        <v>-18.049627304077099</v>
      </c>
    </row>
    <row r="567" spans="1:23" ht="18.95" customHeight="1">
      <c r="A567" s="4">
        <v>563</v>
      </c>
      <c r="B567" s="4">
        <v>12051</v>
      </c>
      <c r="C567" s="4">
        <v>1</v>
      </c>
      <c r="D567" s="6">
        <v>0</v>
      </c>
      <c r="E567" s="6">
        <v>0</v>
      </c>
      <c r="F567" s="6">
        <v>-68.875</v>
      </c>
      <c r="G567" s="6">
        <v>-1</v>
      </c>
      <c r="H567" s="6">
        <v>-0.625</v>
      </c>
      <c r="I567" s="6">
        <v>1.25</v>
      </c>
      <c r="J567" s="6">
        <v>-1.875</v>
      </c>
      <c r="K567" s="6">
        <v>-0.5625</v>
      </c>
      <c r="L567" s="6">
        <v>-61.875</v>
      </c>
      <c r="M567" s="6">
        <v>0.6875</v>
      </c>
      <c r="N567" s="6">
        <v>-6.25E-2</v>
      </c>
      <c r="O567" s="6">
        <v>359.9375</v>
      </c>
      <c r="P567" s="6">
        <v>-2.4375</v>
      </c>
      <c r="Q567" s="6">
        <v>3.875</v>
      </c>
      <c r="R567" s="6">
        <v>-2.33264064788818</v>
      </c>
      <c r="S567" s="6">
        <v>67.021926879882798</v>
      </c>
      <c r="T567" s="6">
        <v>0.22054940462112399</v>
      </c>
      <c r="U567" s="6">
        <v>0.81634443998336803</v>
      </c>
      <c r="V567" s="6">
        <v>-18.101604461669901</v>
      </c>
      <c r="W567" s="6">
        <v>-18.048231124877901</v>
      </c>
    </row>
    <row r="568" spans="1:23" ht="18.95" customHeight="1">
      <c r="A568" s="4">
        <v>564</v>
      </c>
      <c r="B568" s="4">
        <v>12074</v>
      </c>
      <c r="C568" s="4">
        <v>1</v>
      </c>
      <c r="D568" s="6">
        <v>0</v>
      </c>
      <c r="E568" s="6">
        <v>0</v>
      </c>
      <c r="F568" s="6">
        <v>-68.5625</v>
      </c>
      <c r="G568" s="6">
        <v>-1.9375</v>
      </c>
      <c r="H568" s="6">
        <v>-0.75</v>
      </c>
      <c r="I568" s="6">
        <v>1.25</v>
      </c>
      <c r="J568" s="6">
        <v>-1.875</v>
      </c>
      <c r="K568" s="6">
        <v>0.75</v>
      </c>
      <c r="L568" s="6">
        <v>-54.3125</v>
      </c>
      <c r="M568" s="6">
        <v>0.375</v>
      </c>
      <c r="N568" s="6">
        <v>-6.25E-2</v>
      </c>
      <c r="O568" s="6">
        <v>359.875</v>
      </c>
      <c r="P568" s="6">
        <v>-2.4375</v>
      </c>
      <c r="Q568" s="6">
        <v>4.9375</v>
      </c>
      <c r="R568" s="6">
        <v>-2.42424345016479</v>
      </c>
      <c r="S568" s="6">
        <v>66.548645019531193</v>
      </c>
      <c r="T568" s="6">
        <v>-0.80235135555267301</v>
      </c>
      <c r="U568" s="6">
        <v>0.84573411941528298</v>
      </c>
      <c r="V568" s="6">
        <v>-16.2510662078857</v>
      </c>
      <c r="W568" s="6">
        <v>-18.057300567626999</v>
      </c>
    </row>
    <row r="569" spans="1:23" ht="18.95" customHeight="1">
      <c r="A569" s="4">
        <v>565</v>
      </c>
      <c r="B569" s="4">
        <v>12094</v>
      </c>
      <c r="C569" s="4">
        <v>1</v>
      </c>
      <c r="D569" s="6">
        <v>0</v>
      </c>
      <c r="E569" s="6">
        <v>0</v>
      </c>
      <c r="F569" s="6">
        <v>-69.75</v>
      </c>
      <c r="G569" s="6">
        <v>-1.125</v>
      </c>
      <c r="H569" s="6">
        <v>-0.9375</v>
      </c>
      <c r="I569" s="6">
        <v>1.25</v>
      </c>
      <c r="J569" s="6">
        <v>-1.8125</v>
      </c>
      <c r="K569" s="6">
        <v>2.0625</v>
      </c>
      <c r="L569" s="6">
        <v>-49.75</v>
      </c>
      <c r="M569" s="6">
        <v>0.5625</v>
      </c>
      <c r="N569" s="6">
        <v>-0.1875</v>
      </c>
      <c r="O569" s="6">
        <v>359.875</v>
      </c>
      <c r="P569" s="6">
        <v>-2.4375</v>
      </c>
      <c r="Q569" s="6">
        <v>5.9375</v>
      </c>
      <c r="R569" s="6">
        <v>-2.7906556129455602</v>
      </c>
      <c r="S569" s="6">
        <v>65.296737670898395</v>
      </c>
      <c r="T569" s="6">
        <v>-8.4581971168518101E-3</v>
      </c>
      <c r="U569" s="6">
        <v>0.71909868717193604</v>
      </c>
      <c r="V569" s="6">
        <v>-14.798907279968301</v>
      </c>
      <c r="W569" s="6">
        <v>-18.0630207061768</v>
      </c>
    </row>
    <row r="570" spans="1:23" ht="18.95" customHeight="1">
      <c r="A570" s="4">
        <v>566</v>
      </c>
      <c r="B570" s="4">
        <v>12114</v>
      </c>
      <c r="C570" s="4">
        <v>1</v>
      </c>
      <c r="D570" s="6">
        <v>0</v>
      </c>
      <c r="E570" s="6">
        <v>0</v>
      </c>
      <c r="F570" s="6">
        <v>-67.8125</v>
      </c>
      <c r="G570" s="6">
        <v>-2.1875</v>
      </c>
      <c r="H570" s="6">
        <v>-0.8125</v>
      </c>
      <c r="I570" s="6">
        <v>1.25</v>
      </c>
      <c r="J570" s="6">
        <v>-1.8125</v>
      </c>
      <c r="K570" s="6">
        <v>3.375</v>
      </c>
      <c r="L570" s="6">
        <v>-43</v>
      </c>
      <c r="M570" s="6">
        <v>0.1875</v>
      </c>
      <c r="N570" s="6">
        <v>0</v>
      </c>
      <c r="O570" s="6">
        <v>359.875</v>
      </c>
      <c r="P570" s="6">
        <v>-2.4375</v>
      </c>
      <c r="Q570" s="6">
        <v>6.75</v>
      </c>
      <c r="R570" s="6">
        <v>-1.79828929901123</v>
      </c>
      <c r="S570" s="6">
        <v>65.220397949218807</v>
      </c>
      <c r="T570" s="6">
        <v>-0.46647346019744901</v>
      </c>
      <c r="U570" s="6">
        <v>0.67375582456588701</v>
      </c>
      <c r="V570" s="6">
        <v>-13.309235572814901</v>
      </c>
      <c r="W570" s="6">
        <v>-18.0666408538818</v>
      </c>
    </row>
    <row r="571" spans="1:23" ht="18.95" customHeight="1">
      <c r="A571" s="4">
        <v>567</v>
      </c>
      <c r="B571" s="4">
        <v>12135</v>
      </c>
      <c r="C571" s="4">
        <v>1</v>
      </c>
      <c r="D571" s="6">
        <v>0</v>
      </c>
      <c r="E571" s="6">
        <v>0</v>
      </c>
      <c r="F571" s="6">
        <v>-67.75</v>
      </c>
      <c r="G571" s="6">
        <v>-0.6875</v>
      </c>
      <c r="H571" s="6">
        <v>-0.8125</v>
      </c>
      <c r="I571" s="6">
        <v>1.25</v>
      </c>
      <c r="J571" s="6">
        <v>-1.75</v>
      </c>
      <c r="K571" s="6">
        <v>4.6875</v>
      </c>
      <c r="L571" s="6">
        <v>-41.4375</v>
      </c>
      <c r="M571" s="6">
        <v>0.5</v>
      </c>
      <c r="N571" s="6">
        <v>-0.1875</v>
      </c>
      <c r="O571" s="6">
        <v>359.875</v>
      </c>
      <c r="P571" s="6">
        <v>-2.4375</v>
      </c>
      <c r="Q571" s="6">
        <v>7.5625</v>
      </c>
      <c r="R571" s="6">
        <v>-3.0959992408752401</v>
      </c>
      <c r="S571" s="6">
        <v>63.693679809570298</v>
      </c>
      <c r="T571" s="6">
        <v>-0.51227498054504395</v>
      </c>
      <c r="U571" s="6">
        <v>0.84189736843109098</v>
      </c>
      <c r="V571" s="6">
        <v>-11.8323574066162</v>
      </c>
      <c r="W571" s="6">
        <v>-18.065896987915</v>
      </c>
    </row>
    <row r="572" spans="1:23" ht="18.95" customHeight="1">
      <c r="A572" s="4">
        <v>568</v>
      </c>
      <c r="B572" s="4">
        <v>12165</v>
      </c>
      <c r="C572" s="4">
        <v>1</v>
      </c>
      <c r="D572" s="6">
        <v>0</v>
      </c>
      <c r="E572" s="6">
        <v>0</v>
      </c>
      <c r="F572" s="6">
        <v>-65.5625</v>
      </c>
      <c r="G572" s="6">
        <v>-1.9375</v>
      </c>
      <c r="H572" s="6">
        <v>-1.5</v>
      </c>
      <c r="I572" s="6">
        <v>1.25</v>
      </c>
      <c r="J572" s="6">
        <v>-1.6875</v>
      </c>
      <c r="K572" s="6">
        <v>7.25</v>
      </c>
      <c r="L572" s="6">
        <v>-29</v>
      </c>
      <c r="M572" s="6">
        <v>0.1875</v>
      </c>
      <c r="N572" s="6">
        <v>-0.25</v>
      </c>
      <c r="O572" s="6">
        <v>359.8125</v>
      </c>
      <c r="P572" s="6">
        <v>-2.4375</v>
      </c>
      <c r="Q572" s="6">
        <v>8.5</v>
      </c>
      <c r="R572" s="6">
        <v>-1.5998158454895</v>
      </c>
      <c r="S572" s="6">
        <v>59.052459716796903</v>
      </c>
      <c r="T572" s="6">
        <v>-0.39013758301734902</v>
      </c>
      <c r="U572" s="6">
        <v>0.76403582096099898</v>
      </c>
      <c r="V572" s="6">
        <v>-9.8293209075927699</v>
      </c>
      <c r="W572" s="6">
        <v>-18.082250595092798</v>
      </c>
    </row>
    <row r="573" spans="1:23" ht="18.95" customHeight="1">
      <c r="A573" s="4">
        <v>569</v>
      </c>
      <c r="B573" s="4">
        <v>12185</v>
      </c>
      <c r="C573" s="4">
        <v>1</v>
      </c>
      <c r="D573" s="6">
        <v>0</v>
      </c>
      <c r="E573" s="6">
        <v>0</v>
      </c>
      <c r="F573" s="6">
        <v>-62.4375</v>
      </c>
      <c r="G573" s="6">
        <v>-1.125</v>
      </c>
      <c r="H573" s="6">
        <v>-0.4375</v>
      </c>
      <c r="I573" s="6">
        <v>1.1875</v>
      </c>
      <c r="J573" s="6">
        <v>-1.6875</v>
      </c>
      <c r="K573" s="6">
        <v>7.8125</v>
      </c>
      <c r="L573" s="6">
        <v>-21.9375</v>
      </c>
      <c r="M573" s="6">
        <v>0.375</v>
      </c>
      <c r="N573" s="6">
        <v>0.25</v>
      </c>
      <c r="O573" s="6">
        <v>359.8125</v>
      </c>
      <c r="P573" s="6">
        <v>-2.4375</v>
      </c>
      <c r="Q573" s="6">
        <v>8.9375</v>
      </c>
      <c r="R573" s="6">
        <v>-2.51584672927856</v>
      </c>
      <c r="S573" s="6">
        <v>59.205131530761697</v>
      </c>
      <c r="T573" s="6">
        <v>-1.1229619979858401</v>
      </c>
      <c r="U573" s="6">
        <v>0.82892161607742298</v>
      </c>
      <c r="V573" s="6">
        <v>-8.7042112350463903</v>
      </c>
      <c r="W573" s="6">
        <v>-18.091548919677699</v>
      </c>
    </row>
    <row r="574" spans="1:23" ht="18.95" customHeight="1">
      <c r="A574" s="4">
        <v>570</v>
      </c>
      <c r="B574" s="4">
        <v>12205</v>
      </c>
      <c r="C574" s="4">
        <v>1</v>
      </c>
      <c r="D574" s="6">
        <v>0</v>
      </c>
      <c r="E574" s="6">
        <v>0</v>
      </c>
      <c r="F574" s="6">
        <v>-61</v>
      </c>
      <c r="G574" s="6">
        <v>-1.8125</v>
      </c>
      <c r="H574" s="6">
        <v>-1.375</v>
      </c>
      <c r="I574" s="6">
        <v>1.1875</v>
      </c>
      <c r="J574" s="6">
        <v>-1.625</v>
      </c>
      <c r="K574" s="6">
        <v>9</v>
      </c>
      <c r="L574" s="6">
        <v>-16.0625</v>
      </c>
      <c r="M574" s="6">
        <v>6.25E-2</v>
      </c>
      <c r="N574" s="6">
        <v>-0.25</v>
      </c>
      <c r="O574" s="6">
        <v>359.8125</v>
      </c>
      <c r="P574" s="6">
        <v>-2.4375</v>
      </c>
      <c r="Q574" s="6">
        <v>9.4375</v>
      </c>
      <c r="R574" s="6">
        <v>-1.76775503158569</v>
      </c>
      <c r="S574" s="6">
        <v>54.716583251953097</v>
      </c>
      <c r="T574" s="6">
        <v>-0.32906889915466297</v>
      </c>
      <c r="U574" s="6">
        <v>0.57798540592193604</v>
      </c>
      <c r="V574" s="6">
        <v>-7.2296371459960902</v>
      </c>
      <c r="W574" s="6">
        <v>-18.098716735839801</v>
      </c>
    </row>
    <row r="575" spans="1:23" ht="18.95" customHeight="1">
      <c r="A575" s="4">
        <v>571</v>
      </c>
      <c r="B575" s="4">
        <v>12225</v>
      </c>
      <c r="C575" s="4">
        <v>1</v>
      </c>
      <c r="D575" s="6">
        <v>0</v>
      </c>
      <c r="E575" s="6">
        <v>0</v>
      </c>
      <c r="F575" s="6">
        <v>-57.8125</v>
      </c>
      <c r="G575" s="6">
        <v>-1.25</v>
      </c>
      <c r="H575" s="6">
        <v>-0.625</v>
      </c>
      <c r="I575" s="6">
        <v>1.1875</v>
      </c>
      <c r="J575" s="6">
        <v>-1.625</v>
      </c>
      <c r="K575" s="6">
        <v>10.6875</v>
      </c>
      <c r="L575" s="6">
        <v>-9.3125</v>
      </c>
      <c r="M575" s="6">
        <v>0</v>
      </c>
      <c r="N575" s="6">
        <v>0</v>
      </c>
      <c r="O575" s="6">
        <v>359.8125</v>
      </c>
      <c r="P575" s="6">
        <v>-2.5</v>
      </c>
      <c r="Q575" s="6">
        <v>9.8125</v>
      </c>
      <c r="R575" s="6">
        <v>-1.53874731063843</v>
      </c>
      <c r="S575" s="6">
        <v>52.731849670410199</v>
      </c>
      <c r="T575" s="6">
        <v>-0.115328431129456</v>
      </c>
      <c r="U575" s="6">
        <v>0.60389924049377397</v>
      </c>
      <c r="V575" s="6">
        <v>-6.0779118537902797</v>
      </c>
      <c r="W575" s="6">
        <v>-18.099351882934599</v>
      </c>
    </row>
    <row r="576" spans="1:23" ht="18.95" customHeight="1">
      <c r="A576" s="4">
        <v>572</v>
      </c>
      <c r="B576" s="4">
        <v>12246</v>
      </c>
      <c r="C576" s="4">
        <v>1</v>
      </c>
      <c r="D576" s="6">
        <v>0</v>
      </c>
      <c r="E576" s="6">
        <v>0</v>
      </c>
      <c r="F576" s="6">
        <v>-55.625</v>
      </c>
      <c r="G576" s="6">
        <v>-1.0625</v>
      </c>
      <c r="H576" s="6">
        <v>-0.875</v>
      </c>
      <c r="I576" s="6">
        <v>1.1875</v>
      </c>
      <c r="J576" s="6">
        <v>-1.625</v>
      </c>
      <c r="K576" s="6">
        <v>11.25</v>
      </c>
      <c r="L576" s="6">
        <v>-3.625</v>
      </c>
      <c r="M576" s="6">
        <v>0.25</v>
      </c>
      <c r="N576" s="6">
        <v>-6.25E-2</v>
      </c>
      <c r="O576" s="6">
        <v>359.8125</v>
      </c>
      <c r="P576" s="6">
        <v>-2.5</v>
      </c>
      <c r="Q576" s="6">
        <v>10.0625</v>
      </c>
      <c r="R576" s="6">
        <v>-1.9967627525329601</v>
      </c>
      <c r="S576" s="6">
        <v>48.792915344238303</v>
      </c>
      <c r="T576" s="6">
        <v>-0.54280936717987105</v>
      </c>
      <c r="U576" s="6">
        <v>0.54599243402481101</v>
      </c>
      <c r="V576" s="6">
        <v>-4.9762864112854004</v>
      </c>
      <c r="W576" s="6">
        <v>-18.104660034179702</v>
      </c>
    </row>
    <row r="577" spans="1:23" ht="18.95" customHeight="1">
      <c r="A577" s="4">
        <v>573</v>
      </c>
      <c r="B577" s="4">
        <v>12268</v>
      </c>
      <c r="C577" s="4">
        <v>1</v>
      </c>
      <c r="D577" s="6">
        <v>0</v>
      </c>
      <c r="E577" s="6">
        <v>0</v>
      </c>
      <c r="F577" s="6">
        <v>-50.625</v>
      </c>
      <c r="G577" s="6">
        <v>-1</v>
      </c>
      <c r="H577" s="6">
        <v>-0.875</v>
      </c>
      <c r="I577" s="6">
        <v>1.1875</v>
      </c>
      <c r="J577" s="6">
        <v>-1.5625</v>
      </c>
      <c r="K577" s="6">
        <v>12.9375</v>
      </c>
      <c r="L577" s="6">
        <v>1.9375</v>
      </c>
      <c r="M577" s="6">
        <v>-0.125</v>
      </c>
      <c r="N577" s="6">
        <v>-6.25E-2</v>
      </c>
      <c r="O577" s="6">
        <v>359.8125</v>
      </c>
      <c r="P577" s="6">
        <v>-2.5</v>
      </c>
      <c r="Q577" s="6">
        <v>10.1875</v>
      </c>
      <c r="R577" s="6">
        <v>-2.6532511711120601</v>
      </c>
      <c r="S577" s="6">
        <v>46.5486450195312</v>
      </c>
      <c r="T577" s="6">
        <v>-1.0924277305603001</v>
      </c>
      <c r="U577" s="6">
        <v>0.74547827243804898</v>
      </c>
      <c r="V577" s="6">
        <v>-3.5899853706359899</v>
      </c>
      <c r="W577" s="6">
        <v>-18.113550186157202</v>
      </c>
    </row>
    <row r="578" spans="1:23" ht="18.95" customHeight="1">
      <c r="A578" s="4">
        <v>574</v>
      </c>
      <c r="B578" s="4">
        <v>12288</v>
      </c>
      <c r="C578" s="4">
        <v>1</v>
      </c>
      <c r="D578" s="6">
        <v>0</v>
      </c>
      <c r="E578" s="6">
        <v>0</v>
      </c>
      <c r="F578" s="6">
        <v>-49.6875</v>
      </c>
      <c r="G578" s="6">
        <v>-1.125</v>
      </c>
      <c r="H578" s="6">
        <v>-1</v>
      </c>
      <c r="I578" s="6">
        <v>1.1875</v>
      </c>
      <c r="J578" s="6">
        <v>-1.5</v>
      </c>
      <c r="K578" s="6">
        <v>13.875</v>
      </c>
      <c r="L578" s="6">
        <v>7.4375</v>
      </c>
      <c r="M578" s="6">
        <v>-0.3125</v>
      </c>
      <c r="N578" s="6">
        <v>-0.5625</v>
      </c>
      <c r="O578" s="6">
        <v>359.8125</v>
      </c>
      <c r="P578" s="6">
        <v>-2.5</v>
      </c>
      <c r="Q578" s="6">
        <v>10.1875</v>
      </c>
      <c r="R578" s="6">
        <v>-2.2563047409057599</v>
      </c>
      <c r="S578" s="6">
        <v>44.3348999023438</v>
      </c>
      <c r="T578" s="6">
        <v>-0.74128264188766502</v>
      </c>
      <c r="U578" s="6">
        <v>0.50494331121444702</v>
      </c>
      <c r="V578" s="6">
        <v>-3.0972564220428498</v>
      </c>
      <c r="W578" s="6">
        <v>-18.136474609375</v>
      </c>
    </row>
    <row r="579" spans="1:23" ht="18.95" customHeight="1">
      <c r="A579" s="4">
        <v>575</v>
      </c>
      <c r="B579" s="4">
        <v>12309</v>
      </c>
      <c r="C579" s="4">
        <v>1</v>
      </c>
      <c r="D579" s="6">
        <v>0</v>
      </c>
      <c r="E579" s="6">
        <v>0</v>
      </c>
      <c r="F579" s="6">
        <v>-45.75</v>
      </c>
      <c r="G579" s="6">
        <v>-1.5</v>
      </c>
      <c r="H579" s="6">
        <v>-1.3125</v>
      </c>
      <c r="I579" s="6">
        <v>1.1875</v>
      </c>
      <c r="J579" s="6">
        <v>-1.5</v>
      </c>
      <c r="K579" s="6">
        <v>14.75</v>
      </c>
      <c r="L579" s="6">
        <v>12.3125</v>
      </c>
      <c r="M579" s="6">
        <v>-0.5</v>
      </c>
      <c r="N579" s="6">
        <v>-0.125</v>
      </c>
      <c r="O579" s="6">
        <v>359.8125</v>
      </c>
      <c r="P579" s="6">
        <v>-2.5625</v>
      </c>
      <c r="Q579" s="6">
        <v>10.0625</v>
      </c>
      <c r="R579" s="6">
        <v>-0.68378543853759799</v>
      </c>
      <c r="S579" s="6">
        <v>41.2203979492188</v>
      </c>
      <c r="T579" s="6">
        <v>0.22054940462112399</v>
      </c>
      <c r="U579" s="6">
        <v>0.27606087923049899</v>
      </c>
      <c r="V579" s="6">
        <v>-2.0326132774353001</v>
      </c>
      <c r="W579" s="6">
        <v>-18.1347961425781</v>
      </c>
    </row>
    <row r="580" spans="1:23" ht="18.95" customHeight="1">
      <c r="A580" s="4">
        <v>576</v>
      </c>
      <c r="B580" s="4">
        <v>12329</v>
      </c>
      <c r="C580" s="4">
        <v>1</v>
      </c>
      <c r="D580" s="6">
        <v>0</v>
      </c>
      <c r="E580" s="6">
        <v>0</v>
      </c>
      <c r="F580" s="6">
        <v>-42.875</v>
      </c>
      <c r="G580" s="6">
        <v>-0.3125</v>
      </c>
      <c r="H580" s="6">
        <v>0.125</v>
      </c>
      <c r="I580" s="6">
        <v>1.1875</v>
      </c>
      <c r="J580" s="6">
        <v>-1.5</v>
      </c>
      <c r="K580" s="6">
        <v>15.875</v>
      </c>
      <c r="L580" s="6">
        <v>17.625</v>
      </c>
      <c r="M580" s="6">
        <v>0</v>
      </c>
      <c r="N580" s="6">
        <v>0</v>
      </c>
      <c r="O580" s="6">
        <v>359.8125</v>
      </c>
      <c r="P580" s="6">
        <v>-2.5625</v>
      </c>
      <c r="Q580" s="6">
        <v>9.8125</v>
      </c>
      <c r="R580" s="6">
        <v>-1.17233514785767</v>
      </c>
      <c r="S580" s="6">
        <v>40.044822692871101</v>
      </c>
      <c r="T580" s="6">
        <v>-0.98555743694305398</v>
      </c>
      <c r="U580" s="6">
        <v>0.46285441517829901</v>
      </c>
      <c r="V580" s="6">
        <v>-1.46122145652771</v>
      </c>
      <c r="W580" s="6">
        <v>-18.1407585144043</v>
      </c>
    </row>
    <row r="581" spans="1:23" ht="18.95" customHeight="1">
      <c r="A581" s="4">
        <v>577</v>
      </c>
      <c r="B581" s="4">
        <v>12349</v>
      </c>
      <c r="C581" s="4">
        <v>1</v>
      </c>
      <c r="D581" s="6">
        <v>0</v>
      </c>
      <c r="E581" s="6">
        <v>0</v>
      </c>
      <c r="F581" s="6">
        <v>-41.125</v>
      </c>
      <c r="G581" s="6">
        <v>-1.25</v>
      </c>
      <c r="H581" s="6">
        <v>-1.4375</v>
      </c>
      <c r="I581" s="6">
        <v>1.1875</v>
      </c>
      <c r="J581" s="6">
        <v>-1.4375</v>
      </c>
      <c r="K581" s="6">
        <v>16.75</v>
      </c>
      <c r="L581" s="6">
        <v>21.1875</v>
      </c>
      <c r="M581" s="6">
        <v>-0.125</v>
      </c>
      <c r="N581" s="6">
        <v>-0.125</v>
      </c>
      <c r="O581" s="6">
        <v>359.8125</v>
      </c>
      <c r="P581" s="6">
        <v>-2.5625</v>
      </c>
      <c r="Q581" s="6">
        <v>9.4375</v>
      </c>
      <c r="R581" s="6">
        <v>-1.5540146827697801</v>
      </c>
      <c r="S581" s="6">
        <v>36.976119995117202</v>
      </c>
      <c r="T581" s="6">
        <v>-0.28326734900474498</v>
      </c>
      <c r="U581" s="6">
        <v>0.35615557432174699</v>
      </c>
      <c r="V581" s="6">
        <v>-0.78735566139221203</v>
      </c>
      <c r="W581" s="6">
        <v>-18.150732040405298</v>
      </c>
    </row>
    <row r="582" spans="1:23" ht="18.95" customHeight="1">
      <c r="A582" s="4">
        <v>578</v>
      </c>
      <c r="B582" s="4">
        <v>12370</v>
      </c>
      <c r="C582" s="4">
        <v>1</v>
      </c>
      <c r="D582" s="6">
        <v>0</v>
      </c>
      <c r="E582" s="6">
        <v>0</v>
      </c>
      <c r="F582" s="6">
        <v>-38.4375</v>
      </c>
      <c r="G582" s="6">
        <v>-1.375</v>
      </c>
      <c r="H582" s="6">
        <v>-0.8125</v>
      </c>
      <c r="I582" s="6">
        <v>1.25</v>
      </c>
      <c r="J582" s="6">
        <v>-1.4375</v>
      </c>
      <c r="K582" s="6">
        <v>17.5625</v>
      </c>
      <c r="L582" s="6">
        <v>27</v>
      </c>
      <c r="M582" s="6">
        <v>-0.5</v>
      </c>
      <c r="N582" s="6">
        <v>0.1875</v>
      </c>
      <c r="O582" s="6">
        <v>359.875</v>
      </c>
      <c r="P582" s="6">
        <v>-2.5625</v>
      </c>
      <c r="Q582" s="6">
        <v>8.9375</v>
      </c>
      <c r="R582" s="6">
        <v>-0.39370918273925798</v>
      </c>
      <c r="S582" s="6">
        <v>34.823448181152301</v>
      </c>
      <c r="T582" s="6">
        <v>6.80899620056152E-3</v>
      </c>
      <c r="U582" s="6">
        <v>0.127297013998032</v>
      </c>
      <c r="V582" s="6">
        <v>-0.24609456956386599</v>
      </c>
      <c r="W582" s="6">
        <v>-18.164993286132798</v>
      </c>
    </row>
    <row r="583" spans="1:23" ht="18.95" customHeight="1">
      <c r="A583" s="4">
        <v>579</v>
      </c>
      <c r="B583" s="4">
        <v>12392</v>
      </c>
      <c r="C583" s="4">
        <v>1</v>
      </c>
      <c r="D583" s="6">
        <v>0</v>
      </c>
      <c r="E583" s="6">
        <v>0</v>
      </c>
      <c r="F583" s="6">
        <v>-36.5625</v>
      </c>
      <c r="G583" s="6">
        <v>-0.375</v>
      </c>
      <c r="H583" s="6">
        <v>-0.5625</v>
      </c>
      <c r="I583" s="6">
        <v>1.25</v>
      </c>
      <c r="J583" s="6">
        <v>-1.4375</v>
      </c>
      <c r="K583" s="6">
        <v>18.25</v>
      </c>
      <c r="L583" s="6">
        <v>29.3125</v>
      </c>
      <c r="M583" s="6">
        <v>-0.1875</v>
      </c>
      <c r="N583" s="6">
        <v>-0.1875</v>
      </c>
      <c r="O583" s="6">
        <v>359.875</v>
      </c>
      <c r="P583" s="6">
        <v>-2.5625</v>
      </c>
      <c r="Q583" s="6">
        <v>8.375</v>
      </c>
      <c r="R583" s="6">
        <v>-1.7219533920288099</v>
      </c>
      <c r="S583" s="6">
        <v>31.434137344360401</v>
      </c>
      <c r="T583" s="6">
        <v>-0.90922152996063199</v>
      </c>
      <c r="U583" s="6">
        <v>0.30674442648887601</v>
      </c>
      <c r="V583" s="6">
        <v>5.79652339220047E-2</v>
      </c>
      <c r="W583" s="6">
        <v>-18.165840148925799</v>
      </c>
    </row>
    <row r="584" spans="1:23" ht="18.95" customHeight="1">
      <c r="A584" s="4">
        <v>580</v>
      </c>
      <c r="B584" s="4">
        <v>12413</v>
      </c>
      <c r="C584" s="4">
        <v>1</v>
      </c>
      <c r="D584" s="6">
        <v>0</v>
      </c>
      <c r="E584" s="6">
        <v>0</v>
      </c>
      <c r="F584" s="6">
        <v>-33.4375</v>
      </c>
      <c r="G584" s="6">
        <v>-1</v>
      </c>
      <c r="H584" s="6">
        <v>-1.125</v>
      </c>
      <c r="I584" s="6">
        <v>1.25</v>
      </c>
      <c r="J584" s="6">
        <v>-1.375</v>
      </c>
      <c r="K584" s="6">
        <v>18.9375</v>
      </c>
      <c r="L584" s="6">
        <v>34.6875</v>
      </c>
      <c r="M584" s="6">
        <v>-0.3125</v>
      </c>
      <c r="N584" s="6">
        <v>-0.25</v>
      </c>
      <c r="O584" s="6">
        <v>359.875</v>
      </c>
      <c r="P584" s="6">
        <v>-2.5625</v>
      </c>
      <c r="Q584" s="6">
        <v>7.4375</v>
      </c>
      <c r="R584" s="6">
        <v>-0.92806029319763195</v>
      </c>
      <c r="S584" s="6">
        <v>29.73948097229</v>
      </c>
      <c r="T584" s="6">
        <v>-0.31380170583724998</v>
      </c>
      <c r="U584" s="6">
        <v>0.14349529147148099</v>
      </c>
      <c r="V584" s="6">
        <v>0.42327508330345198</v>
      </c>
      <c r="W584" s="6">
        <v>-18.175172805786101</v>
      </c>
    </row>
    <row r="585" spans="1:23" ht="18.95" customHeight="1">
      <c r="A585" s="4">
        <v>581</v>
      </c>
      <c r="B585" s="4">
        <v>12435</v>
      </c>
      <c r="C585" s="4">
        <v>1</v>
      </c>
      <c r="D585" s="6">
        <v>0</v>
      </c>
      <c r="E585" s="6">
        <v>0</v>
      </c>
      <c r="F585" s="6">
        <v>-31.5</v>
      </c>
      <c r="G585" s="6">
        <v>-1</v>
      </c>
      <c r="H585" s="6">
        <v>-0.8125</v>
      </c>
      <c r="I585" s="6">
        <v>1.25</v>
      </c>
      <c r="J585" s="6">
        <v>-1.375</v>
      </c>
      <c r="K585" s="6">
        <v>19.6875</v>
      </c>
      <c r="L585" s="6">
        <v>35.375</v>
      </c>
      <c r="M585" s="6">
        <v>-0.375</v>
      </c>
      <c r="N585" s="6">
        <v>-0.3125</v>
      </c>
      <c r="O585" s="6">
        <v>359.875</v>
      </c>
      <c r="P585" s="6">
        <v>-2.5625</v>
      </c>
      <c r="Q585" s="6">
        <v>6.6875</v>
      </c>
      <c r="R585" s="6">
        <v>-0.85172438621520996</v>
      </c>
      <c r="S585" s="6">
        <v>27.541007995605501</v>
      </c>
      <c r="T585" s="6">
        <v>0.43428993225097701</v>
      </c>
      <c r="U585" s="6">
        <v>0.19618825614452401</v>
      </c>
      <c r="V585" s="6">
        <v>0.69307851791381803</v>
      </c>
      <c r="W585" s="6">
        <v>-18.171854019165</v>
      </c>
    </row>
    <row r="586" spans="1:23" ht="18.95" customHeight="1">
      <c r="A586" s="4">
        <v>582</v>
      </c>
      <c r="B586" s="4">
        <v>12458</v>
      </c>
      <c r="C586" s="4">
        <v>1</v>
      </c>
      <c r="D586" s="6">
        <v>0</v>
      </c>
      <c r="E586" s="6">
        <v>0</v>
      </c>
      <c r="F586" s="6">
        <v>-29.6875</v>
      </c>
      <c r="G586" s="6">
        <v>-0.5625</v>
      </c>
      <c r="H586" s="6">
        <v>-0.5</v>
      </c>
      <c r="I586" s="6">
        <v>1.25</v>
      </c>
      <c r="J586" s="6">
        <v>-1.375</v>
      </c>
      <c r="K586" s="6">
        <v>20.5625</v>
      </c>
      <c r="L586" s="6">
        <v>40.75</v>
      </c>
      <c r="M586" s="6">
        <v>-0.4375</v>
      </c>
      <c r="N586" s="6">
        <v>0.125</v>
      </c>
      <c r="O586" s="6">
        <v>359.9375</v>
      </c>
      <c r="P586" s="6">
        <v>-2.5625</v>
      </c>
      <c r="Q586" s="6">
        <v>5.9375</v>
      </c>
      <c r="R586" s="6">
        <v>-0.79065585136413596</v>
      </c>
      <c r="S586" s="6">
        <v>26.380702972412099</v>
      </c>
      <c r="T586" s="6">
        <v>-0.26800018548965499</v>
      </c>
      <c r="U586" s="6">
        <v>0.177856355905533</v>
      </c>
      <c r="V586" s="6">
        <v>1.0689343214035001</v>
      </c>
      <c r="W586" s="6">
        <v>-18.170385360717798</v>
      </c>
    </row>
    <row r="587" spans="1:23" ht="18.95" customHeight="1">
      <c r="A587" s="4">
        <v>583</v>
      </c>
      <c r="B587" s="4">
        <v>12478</v>
      </c>
      <c r="C587" s="4">
        <v>1</v>
      </c>
      <c r="D587" s="6">
        <v>0</v>
      </c>
      <c r="E587" s="6">
        <v>0</v>
      </c>
      <c r="F587" s="6">
        <v>-28</v>
      </c>
      <c r="G587" s="6">
        <v>-0.5625</v>
      </c>
      <c r="H587" s="6">
        <v>-0.5</v>
      </c>
      <c r="I587" s="6">
        <v>1.25</v>
      </c>
      <c r="J587" s="6">
        <v>-1.375</v>
      </c>
      <c r="K587" s="6">
        <v>21.125</v>
      </c>
      <c r="L587" s="6">
        <v>43.125</v>
      </c>
      <c r="M587" s="6">
        <v>-0.5</v>
      </c>
      <c r="N587" s="6">
        <v>6.25E-2</v>
      </c>
      <c r="O587" s="6">
        <v>359.9375</v>
      </c>
      <c r="P587" s="6">
        <v>-2.5625</v>
      </c>
      <c r="Q587" s="6">
        <v>5.125</v>
      </c>
      <c r="R587" s="6">
        <v>-0.607449531555176</v>
      </c>
      <c r="S587" s="6">
        <v>24.060092926025401</v>
      </c>
      <c r="T587" s="6">
        <v>-3.8992583751678501E-2</v>
      </c>
      <c r="U587" s="6">
        <v>0.146067425608635</v>
      </c>
      <c r="V587" s="6">
        <v>1.08107256889343</v>
      </c>
      <c r="W587" s="6">
        <v>-18.170415878295898</v>
      </c>
    </row>
    <row r="588" spans="1:23" ht="18.95" customHeight="1">
      <c r="A588" s="4">
        <v>584</v>
      </c>
      <c r="B588" s="4">
        <v>12500</v>
      </c>
      <c r="C588" s="4">
        <v>1</v>
      </c>
      <c r="D588" s="6">
        <v>0</v>
      </c>
      <c r="E588" s="6">
        <v>0</v>
      </c>
      <c r="F588" s="6">
        <v>-25.75</v>
      </c>
      <c r="G588" s="6">
        <v>-0.5625</v>
      </c>
      <c r="H588" s="6">
        <v>-0.625</v>
      </c>
      <c r="I588" s="6">
        <v>1.25</v>
      </c>
      <c r="J588" s="6">
        <v>-1.375</v>
      </c>
      <c r="K588" s="6">
        <v>21.6875</v>
      </c>
      <c r="L588" s="6">
        <v>45.75</v>
      </c>
      <c r="M588" s="6">
        <v>-0.375</v>
      </c>
      <c r="N588" s="6">
        <v>0.25</v>
      </c>
      <c r="O588" s="6">
        <v>359.9375</v>
      </c>
      <c r="P588" s="6">
        <v>-2.5625</v>
      </c>
      <c r="Q588" s="6">
        <v>4.25</v>
      </c>
      <c r="R588" s="6">
        <v>-0.25630450248718301</v>
      </c>
      <c r="S588" s="6">
        <v>23.678413391113299</v>
      </c>
      <c r="T588" s="6">
        <v>0.55642724037170399</v>
      </c>
      <c r="U588" s="6">
        <v>7.3588185012340504E-2</v>
      </c>
      <c r="V588" s="6">
        <v>1.46031022071838</v>
      </c>
      <c r="W588" s="6">
        <v>-18.170305252075199</v>
      </c>
    </row>
    <row r="589" spans="1:23" ht="18.95" customHeight="1">
      <c r="A589" s="4">
        <v>585</v>
      </c>
      <c r="B589" s="4">
        <v>12521</v>
      </c>
      <c r="C589" s="4">
        <v>1</v>
      </c>
      <c r="D589" s="6">
        <v>0</v>
      </c>
      <c r="E589" s="6">
        <v>0</v>
      </c>
      <c r="F589" s="6">
        <v>-24</v>
      </c>
      <c r="G589" s="6">
        <v>-0.1875</v>
      </c>
      <c r="H589" s="6">
        <v>-0.25</v>
      </c>
      <c r="I589" s="6">
        <v>1.1875</v>
      </c>
      <c r="J589" s="6">
        <v>-1.375</v>
      </c>
      <c r="K589" s="6">
        <v>22.1875</v>
      </c>
      <c r="L589" s="6">
        <v>46.9375</v>
      </c>
      <c r="M589" s="6">
        <v>-0.4375</v>
      </c>
      <c r="N589" s="6">
        <v>-6.25E-2</v>
      </c>
      <c r="O589" s="6">
        <v>0</v>
      </c>
      <c r="P589" s="6">
        <v>-2.5625</v>
      </c>
      <c r="Q589" s="6">
        <v>3.3125</v>
      </c>
      <c r="R589" s="6">
        <v>-1.2181365489959699</v>
      </c>
      <c r="S589" s="6">
        <v>21.281465530395501</v>
      </c>
      <c r="T589" s="6">
        <v>-0.69548112154007002</v>
      </c>
      <c r="U589" s="6">
        <v>0.159733906388283</v>
      </c>
      <c r="V589" s="6">
        <v>1.4536722898483301</v>
      </c>
      <c r="W589" s="6">
        <v>-18.180925369262699</v>
      </c>
    </row>
    <row r="590" spans="1:23" ht="18.95" customHeight="1">
      <c r="A590" s="4">
        <v>586</v>
      </c>
      <c r="B590" s="4">
        <v>12543</v>
      </c>
      <c r="C590" s="4">
        <v>1</v>
      </c>
      <c r="D590" s="6">
        <v>0</v>
      </c>
      <c r="E590" s="6">
        <v>0</v>
      </c>
      <c r="F590" s="6">
        <v>-21.875</v>
      </c>
      <c r="G590" s="6">
        <v>-0.875</v>
      </c>
      <c r="H590" s="6">
        <v>-1.125</v>
      </c>
      <c r="I590" s="6">
        <v>1.25</v>
      </c>
      <c r="J590" s="6">
        <v>-1.3125</v>
      </c>
      <c r="K590" s="6">
        <v>22.625</v>
      </c>
      <c r="L590" s="6">
        <v>50.1875</v>
      </c>
      <c r="M590" s="6">
        <v>-0.5</v>
      </c>
      <c r="N590" s="6">
        <v>-6.25E-2</v>
      </c>
      <c r="O590" s="6">
        <v>0</v>
      </c>
      <c r="P590" s="6">
        <v>-2.5625</v>
      </c>
      <c r="Q590" s="6">
        <v>2.375</v>
      </c>
      <c r="R590" s="6">
        <v>3.3771753311157199E-2</v>
      </c>
      <c r="S590" s="6">
        <v>20.9455890655518</v>
      </c>
      <c r="T590" s="6">
        <v>0.60222876071929898</v>
      </c>
      <c r="U590" s="6">
        <v>-1.3976313173770899E-2</v>
      </c>
      <c r="V590" s="6">
        <v>1.6908984184265099</v>
      </c>
      <c r="W590" s="6">
        <v>-18.176952362060501</v>
      </c>
    </row>
    <row r="591" spans="1:23" ht="18.95" customHeight="1">
      <c r="A591" s="4">
        <v>587</v>
      </c>
      <c r="B591" s="4">
        <v>12569</v>
      </c>
      <c r="C591" s="4">
        <v>1</v>
      </c>
      <c r="D591" s="6">
        <v>0</v>
      </c>
      <c r="E591" s="6">
        <v>0</v>
      </c>
      <c r="F591" s="6">
        <v>-21</v>
      </c>
      <c r="G591" s="6">
        <v>0.3125</v>
      </c>
      <c r="H591" s="6">
        <v>-6.25E-2</v>
      </c>
      <c r="I591" s="6">
        <v>1.1875</v>
      </c>
      <c r="J591" s="6">
        <v>-1.3125</v>
      </c>
      <c r="K591" s="6">
        <v>23.3125</v>
      </c>
      <c r="L591" s="6">
        <v>52.75</v>
      </c>
      <c r="M591" s="6">
        <v>-0.5</v>
      </c>
      <c r="N591" s="6">
        <v>0.25</v>
      </c>
      <c r="O591" s="6">
        <v>0</v>
      </c>
      <c r="P591" s="6">
        <v>-2.5625</v>
      </c>
      <c r="Q591" s="6">
        <v>0.875</v>
      </c>
      <c r="R591" s="6">
        <v>-1.05019760131836</v>
      </c>
      <c r="S591" s="6">
        <v>18.289100646972699</v>
      </c>
      <c r="T591" s="6">
        <v>-0.46647346019744901</v>
      </c>
      <c r="U591" s="6">
        <v>-4.8542574048042297E-2</v>
      </c>
      <c r="V591" s="6">
        <v>2.0869283676147501</v>
      </c>
      <c r="W591" s="6">
        <v>-18.189546585083001</v>
      </c>
    </row>
    <row r="592" spans="1:23" ht="18.95" customHeight="1">
      <c r="A592" s="4">
        <v>588</v>
      </c>
      <c r="B592" s="4">
        <v>12589</v>
      </c>
      <c r="C592" s="4">
        <v>1</v>
      </c>
      <c r="D592" s="6">
        <v>0</v>
      </c>
      <c r="E592" s="6">
        <v>0</v>
      </c>
      <c r="F592" s="6">
        <v>-19.125</v>
      </c>
      <c r="G592" s="6">
        <v>-0.4375</v>
      </c>
      <c r="H592" s="6">
        <v>-0.5625</v>
      </c>
      <c r="I592" s="6">
        <v>1.1875</v>
      </c>
      <c r="J592" s="6">
        <v>-1.3125</v>
      </c>
      <c r="K592" s="6">
        <v>23.5</v>
      </c>
      <c r="L592" s="6">
        <v>53.625</v>
      </c>
      <c r="M592" s="6">
        <v>-0.8125</v>
      </c>
      <c r="N592" s="6">
        <v>0.125</v>
      </c>
      <c r="O592" s="6">
        <v>6.25E-2</v>
      </c>
      <c r="P592" s="6">
        <v>-2.5625</v>
      </c>
      <c r="Q592" s="6">
        <v>-6.25E-2</v>
      </c>
      <c r="R592" s="6">
        <v>-1.1876022815704299</v>
      </c>
      <c r="S592" s="6">
        <v>17.250932693481399</v>
      </c>
      <c r="T592" s="6">
        <v>-0.191664308309555</v>
      </c>
      <c r="U592" s="6">
        <v>-0.11420776695013</v>
      </c>
      <c r="V592" s="6">
        <v>2.3457908630371098</v>
      </c>
      <c r="W592" s="6">
        <v>-18.1960258483887</v>
      </c>
    </row>
    <row r="593" spans="1:23" ht="18.95" customHeight="1">
      <c r="A593" s="4">
        <v>589</v>
      </c>
      <c r="B593" s="4">
        <v>12610</v>
      </c>
      <c r="C593" s="4">
        <v>1</v>
      </c>
      <c r="D593" s="6">
        <v>0</v>
      </c>
      <c r="E593" s="6">
        <v>0</v>
      </c>
      <c r="F593" s="6">
        <v>-17.125</v>
      </c>
      <c r="G593" s="6">
        <v>-0.625</v>
      </c>
      <c r="H593" s="6">
        <v>-0.5625</v>
      </c>
      <c r="I593" s="6">
        <v>1.25</v>
      </c>
      <c r="J593" s="6">
        <v>-1.3125</v>
      </c>
      <c r="K593" s="6">
        <v>24</v>
      </c>
      <c r="L593" s="6">
        <v>54.625</v>
      </c>
      <c r="M593" s="6">
        <v>-0.5625</v>
      </c>
      <c r="N593" s="6">
        <v>6.25E-2</v>
      </c>
      <c r="O593" s="6">
        <v>6.25E-2</v>
      </c>
      <c r="P593" s="6">
        <v>-2.5625</v>
      </c>
      <c r="Q593" s="6">
        <v>-1.125</v>
      </c>
      <c r="R593" s="6">
        <v>-0.74485421180725098</v>
      </c>
      <c r="S593" s="6">
        <v>16.029558181762699</v>
      </c>
      <c r="T593" s="6">
        <v>-0.68021392822265603</v>
      </c>
      <c r="U593" s="6">
        <v>8.5600137710571303E-2</v>
      </c>
      <c r="V593" s="6">
        <v>2.1025118827819802</v>
      </c>
      <c r="W593" s="6">
        <v>-18.193132400512699</v>
      </c>
    </row>
    <row r="594" spans="1:23" ht="18.95" customHeight="1">
      <c r="A594" s="4">
        <v>590</v>
      </c>
      <c r="B594" s="4">
        <v>12632</v>
      </c>
      <c r="C594" s="4">
        <v>1</v>
      </c>
      <c r="D594" s="6">
        <v>0</v>
      </c>
      <c r="E594" s="6">
        <v>0</v>
      </c>
      <c r="F594" s="6">
        <v>-15.8125</v>
      </c>
      <c r="G594" s="6">
        <v>-0.125</v>
      </c>
      <c r="H594" s="6">
        <v>-0.5625</v>
      </c>
      <c r="I594" s="6">
        <v>1.1875</v>
      </c>
      <c r="J594" s="6">
        <v>-1.3125</v>
      </c>
      <c r="K594" s="6">
        <v>24.3125</v>
      </c>
      <c r="L594" s="6">
        <v>56.0625</v>
      </c>
      <c r="M594" s="6">
        <v>-0.375</v>
      </c>
      <c r="N594" s="6">
        <v>0.3125</v>
      </c>
      <c r="O594" s="6">
        <v>0.125</v>
      </c>
      <c r="P594" s="6">
        <v>-2.5625</v>
      </c>
      <c r="Q594" s="6">
        <v>-2.25</v>
      </c>
      <c r="R594" s="6">
        <v>-1.3708086013793901</v>
      </c>
      <c r="S594" s="6">
        <v>14.6860466003418</v>
      </c>
      <c r="T594" s="6">
        <v>-1.1229619979858401</v>
      </c>
      <c r="U594" s="6">
        <v>0.13599143922328899</v>
      </c>
      <c r="V594" s="6">
        <v>2.3535692691803001</v>
      </c>
      <c r="W594" s="6">
        <v>-18.207227706909201</v>
      </c>
    </row>
    <row r="595" spans="1:23" ht="18.95" customHeight="1">
      <c r="A595" s="4">
        <v>591</v>
      </c>
      <c r="B595" s="4">
        <v>12652</v>
      </c>
      <c r="C595" s="4">
        <v>1</v>
      </c>
      <c r="D595" s="6">
        <v>0</v>
      </c>
      <c r="E595" s="6">
        <v>0</v>
      </c>
      <c r="F595" s="6">
        <v>-14.875</v>
      </c>
      <c r="G595" s="6">
        <v>-1.0625</v>
      </c>
      <c r="H595" s="6">
        <v>-1.125</v>
      </c>
      <c r="I595" s="6">
        <v>1.25</v>
      </c>
      <c r="J595" s="6">
        <v>-1.3125</v>
      </c>
      <c r="K595" s="6">
        <v>24.625</v>
      </c>
      <c r="L595" s="6">
        <v>57.0625</v>
      </c>
      <c r="M595" s="6">
        <v>-0.8125</v>
      </c>
      <c r="N595" s="6">
        <v>-0.1875</v>
      </c>
      <c r="O595" s="6">
        <v>0.125</v>
      </c>
      <c r="P595" s="6">
        <v>-2.5</v>
      </c>
      <c r="Q595" s="6">
        <v>-3.3125</v>
      </c>
      <c r="R595" s="6">
        <v>-0.19523596763610801</v>
      </c>
      <c r="S595" s="6">
        <v>13.5562753677368</v>
      </c>
      <c r="T595" s="6">
        <v>-5.4259717464447001E-2</v>
      </c>
      <c r="U595" s="6">
        <v>-3.8742773234844201E-2</v>
      </c>
      <c r="V595" s="6">
        <v>2.14645552635193</v>
      </c>
      <c r="W595" s="6">
        <v>-18.210428237915</v>
      </c>
    </row>
    <row r="596" spans="1:23" ht="18.95" customHeight="1">
      <c r="A596" s="4">
        <v>592</v>
      </c>
      <c r="B596" s="4">
        <v>12672</v>
      </c>
      <c r="C596" s="4">
        <v>1</v>
      </c>
      <c r="D596" s="6">
        <v>0</v>
      </c>
      <c r="E596" s="6">
        <v>0</v>
      </c>
      <c r="F596" s="6">
        <v>-13.4375</v>
      </c>
      <c r="G596" s="6">
        <v>0.25</v>
      </c>
      <c r="H596" s="6">
        <v>-0.375</v>
      </c>
      <c r="I596" s="6">
        <v>1.25</v>
      </c>
      <c r="J596" s="6">
        <v>-1.3125</v>
      </c>
      <c r="K596" s="6">
        <v>24.875</v>
      </c>
      <c r="L596" s="6">
        <v>58.5625</v>
      </c>
      <c r="M596" s="6">
        <v>-0.625</v>
      </c>
      <c r="N596" s="6">
        <v>6.25E-2</v>
      </c>
      <c r="O596" s="6">
        <v>0.125</v>
      </c>
      <c r="P596" s="6">
        <v>-2.5</v>
      </c>
      <c r="Q596" s="6">
        <v>-4.4375</v>
      </c>
      <c r="R596" s="6">
        <v>-0.94332742691039995</v>
      </c>
      <c r="S596" s="6">
        <v>14.7776498794556</v>
      </c>
      <c r="T596" s="6">
        <v>-0.848152875900269</v>
      </c>
      <c r="U596" s="6">
        <v>0.101989977061749</v>
      </c>
      <c r="V596" s="6">
        <v>2.4858639240264901</v>
      </c>
      <c r="W596" s="6">
        <v>-18.214628219604499</v>
      </c>
    </row>
    <row r="597" spans="1:23" ht="18.95" customHeight="1">
      <c r="A597" s="4">
        <v>593</v>
      </c>
      <c r="B597" s="4">
        <v>12693</v>
      </c>
      <c r="C597" s="4">
        <v>1</v>
      </c>
      <c r="D597" s="6">
        <v>0</v>
      </c>
      <c r="E597" s="6">
        <v>0</v>
      </c>
      <c r="F597" s="6">
        <v>-12.9375</v>
      </c>
      <c r="G597" s="6">
        <v>-0.375</v>
      </c>
      <c r="H597" s="6">
        <v>-0.5</v>
      </c>
      <c r="I597" s="6">
        <v>1.25</v>
      </c>
      <c r="J597" s="6">
        <v>-1.3125</v>
      </c>
      <c r="K597" s="6">
        <v>25.1875</v>
      </c>
      <c r="L597" s="6">
        <v>59.875</v>
      </c>
      <c r="M597" s="6">
        <v>-0.625</v>
      </c>
      <c r="N597" s="6">
        <v>-0.25</v>
      </c>
      <c r="O597" s="6">
        <v>0.1875</v>
      </c>
      <c r="P597" s="6">
        <v>-2.5</v>
      </c>
      <c r="Q597" s="6">
        <v>-5.625</v>
      </c>
      <c r="R597" s="6">
        <v>-0.33264040946960399</v>
      </c>
      <c r="S597" s="6">
        <v>11.1440620422363</v>
      </c>
      <c r="T597" s="6">
        <v>-0.191664308309555</v>
      </c>
      <c r="U597" s="6">
        <v>7.1839615702629098E-3</v>
      </c>
      <c r="V597" s="6">
        <v>2.1292290687561</v>
      </c>
      <c r="W597" s="6">
        <v>-18.223209381103501</v>
      </c>
    </row>
    <row r="598" spans="1:23" ht="18.95" customHeight="1">
      <c r="A598" s="4">
        <v>594</v>
      </c>
      <c r="B598" s="4">
        <v>12715</v>
      </c>
      <c r="C598" s="4">
        <v>1</v>
      </c>
      <c r="D598" s="6">
        <v>0</v>
      </c>
      <c r="E598" s="6">
        <v>0</v>
      </c>
      <c r="F598" s="6">
        <v>-11.5</v>
      </c>
      <c r="G598" s="6">
        <v>-0.4375</v>
      </c>
      <c r="H598" s="6">
        <v>-0.5625</v>
      </c>
      <c r="I598" s="6">
        <v>1.25</v>
      </c>
      <c r="J598" s="6">
        <v>-1.3125</v>
      </c>
      <c r="K598" s="6">
        <v>25.375</v>
      </c>
      <c r="L598" s="6">
        <v>61.9375</v>
      </c>
      <c r="M598" s="6">
        <v>-0.5625</v>
      </c>
      <c r="N598" s="6">
        <v>-6.25E-2</v>
      </c>
      <c r="O598" s="6">
        <v>0.1875</v>
      </c>
      <c r="P598" s="6">
        <v>-2.5</v>
      </c>
      <c r="Q598" s="6">
        <v>-7.4375</v>
      </c>
      <c r="R598" s="6">
        <v>-0.14943432807922399</v>
      </c>
      <c r="S598" s="6">
        <v>10.289099693298301</v>
      </c>
      <c r="T598" s="6">
        <v>-0.60387802124023404</v>
      </c>
      <c r="U598" s="6">
        <v>1.25847533345222E-2</v>
      </c>
      <c r="V598" s="6">
        <v>2.2225513458252002</v>
      </c>
      <c r="W598" s="6">
        <v>-18.2261447906494</v>
      </c>
    </row>
    <row r="599" spans="1:23" ht="18.95" customHeight="1">
      <c r="A599" s="4">
        <v>595</v>
      </c>
      <c r="B599" s="4">
        <v>12735</v>
      </c>
      <c r="C599" s="4">
        <v>1</v>
      </c>
      <c r="D599" s="6">
        <v>0</v>
      </c>
      <c r="E599" s="6">
        <v>0</v>
      </c>
      <c r="F599" s="6">
        <v>-10.6875</v>
      </c>
      <c r="G599" s="6">
        <v>0.1875</v>
      </c>
      <c r="H599" s="6">
        <v>-0.25</v>
      </c>
      <c r="I599" s="6">
        <v>1.25</v>
      </c>
      <c r="J599" s="6">
        <v>-1.3125</v>
      </c>
      <c r="K599" s="6">
        <v>25.625</v>
      </c>
      <c r="L599" s="6">
        <v>62.3125</v>
      </c>
      <c r="M599" s="6">
        <v>-0.625</v>
      </c>
      <c r="N599" s="6">
        <v>-0.1875</v>
      </c>
      <c r="O599" s="6">
        <v>0.25</v>
      </c>
      <c r="P599" s="6">
        <v>-2.5</v>
      </c>
      <c r="Q599" s="6">
        <v>-8.625</v>
      </c>
      <c r="R599" s="6">
        <v>-0.22577023506164601</v>
      </c>
      <c r="S599" s="6">
        <v>8.8997869491577095</v>
      </c>
      <c r="T599" s="6">
        <v>-0.176397144794464</v>
      </c>
      <c r="U599" s="6">
        <v>2.33024638146162E-2</v>
      </c>
      <c r="V599" s="6">
        <v>1.8053660392761199</v>
      </c>
      <c r="W599" s="6">
        <v>-18.233884811401399</v>
      </c>
    </row>
    <row r="600" spans="1:23" ht="18.95" customHeight="1">
      <c r="A600" s="4">
        <v>596</v>
      </c>
      <c r="B600" s="4">
        <v>12758</v>
      </c>
      <c r="C600" s="4">
        <v>1</v>
      </c>
      <c r="D600" s="6">
        <v>0</v>
      </c>
      <c r="E600" s="6">
        <v>0</v>
      </c>
      <c r="F600" s="6">
        <v>-9.1875</v>
      </c>
      <c r="G600" s="6">
        <v>-0.6875</v>
      </c>
      <c r="H600" s="6">
        <v>-0.6875</v>
      </c>
      <c r="I600" s="6">
        <v>1.25</v>
      </c>
      <c r="J600" s="6">
        <v>-1.25</v>
      </c>
      <c r="K600" s="6">
        <v>25.75</v>
      </c>
      <c r="L600" s="6">
        <v>63.125</v>
      </c>
      <c r="M600" s="6">
        <v>-0.625</v>
      </c>
      <c r="N600" s="6">
        <v>-0.1875</v>
      </c>
      <c r="O600" s="6">
        <v>0.25</v>
      </c>
      <c r="P600" s="6">
        <v>-2.5</v>
      </c>
      <c r="Q600" s="6">
        <v>-9.875</v>
      </c>
      <c r="R600" s="6">
        <v>-4.25641536712646E-2</v>
      </c>
      <c r="S600" s="6">
        <v>7.3883366584777797</v>
      </c>
      <c r="T600" s="6">
        <v>-0.46647346019744901</v>
      </c>
      <c r="U600" s="6">
        <v>-6.5834179520606995E-2</v>
      </c>
      <c r="V600" s="6">
        <v>1.83963394165039</v>
      </c>
      <c r="W600" s="6">
        <v>-18.251293182373001</v>
      </c>
    </row>
    <row r="601" spans="1:23" ht="18.95" customHeight="1">
      <c r="A601" s="4">
        <v>597</v>
      </c>
      <c r="B601" s="4">
        <v>12778</v>
      </c>
      <c r="C601" s="4">
        <v>1</v>
      </c>
      <c r="D601" s="6">
        <v>0</v>
      </c>
      <c r="E601" s="6">
        <v>0</v>
      </c>
      <c r="F601" s="6">
        <v>-8.3125</v>
      </c>
      <c r="G601" s="6">
        <v>-0.5625</v>
      </c>
      <c r="H601" s="6">
        <v>-0.875</v>
      </c>
      <c r="I601" s="6">
        <v>1.25</v>
      </c>
      <c r="J601" s="6">
        <v>-1.25</v>
      </c>
      <c r="K601" s="6">
        <v>25.9375</v>
      </c>
      <c r="L601" s="6">
        <v>64.0625</v>
      </c>
      <c r="M601" s="6">
        <v>-0.6875</v>
      </c>
      <c r="N601" s="6">
        <v>0.125</v>
      </c>
      <c r="O601" s="6">
        <v>0.3125</v>
      </c>
      <c r="P601" s="6">
        <v>-2.4375</v>
      </c>
      <c r="Q601" s="6">
        <v>-11.125</v>
      </c>
      <c r="R601" s="6">
        <v>-0.25630450248718301</v>
      </c>
      <c r="S601" s="6">
        <v>6.5028405189514196</v>
      </c>
      <c r="T601" s="6">
        <v>-0.206931471824646</v>
      </c>
      <c r="U601" s="6">
        <v>-6.6715337336063399E-2</v>
      </c>
      <c r="V601" s="6">
        <v>1.5965321063995399</v>
      </c>
      <c r="W601" s="6">
        <v>-18.257148742675799</v>
      </c>
    </row>
    <row r="602" spans="1:23" ht="18.95" customHeight="1">
      <c r="A602" s="4">
        <v>598</v>
      </c>
      <c r="B602" s="4">
        <v>12799</v>
      </c>
      <c r="C602" s="4">
        <v>1</v>
      </c>
      <c r="D602" s="6">
        <v>0</v>
      </c>
      <c r="E602" s="6">
        <v>0</v>
      </c>
      <c r="F602" s="6">
        <v>-7.3125</v>
      </c>
      <c r="G602" s="6">
        <v>-6.25E-2</v>
      </c>
      <c r="H602" s="6">
        <v>-0.5625</v>
      </c>
      <c r="I602" s="6">
        <v>1.25</v>
      </c>
      <c r="J602" s="6">
        <v>-1.25</v>
      </c>
      <c r="K602" s="6">
        <v>26.125</v>
      </c>
      <c r="L602" s="6">
        <v>64.8125</v>
      </c>
      <c r="M602" s="6">
        <v>-0.4375</v>
      </c>
      <c r="N602" s="6">
        <v>0.125</v>
      </c>
      <c r="O602" s="6">
        <v>0.3125</v>
      </c>
      <c r="P602" s="6">
        <v>-2.4375</v>
      </c>
      <c r="Q602" s="6">
        <v>-12.375</v>
      </c>
      <c r="R602" s="6">
        <v>-0.74485421180725098</v>
      </c>
      <c r="S602" s="6">
        <v>5.81581735610962</v>
      </c>
      <c r="T602" s="6">
        <v>-0.87868720293045</v>
      </c>
      <c r="U602" s="6">
        <v>-9.0246088802814505E-4</v>
      </c>
      <c r="V602" s="6">
        <v>1.67201292514801</v>
      </c>
      <c r="W602" s="6">
        <v>-18.267539978027301</v>
      </c>
    </row>
    <row r="603" spans="1:23" ht="18.95" customHeight="1">
      <c r="A603" s="4">
        <v>599</v>
      </c>
      <c r="B603" s="4">
        <v>12820</v>
      </c>
      <c r="C603" s="4">
        <v>1</v>
      </c>
      <c r="D603" s="6">
        <v>0</v>
      </c>
      <c r="E603" s="6">
        <v>0</v>
      </c>
      <c r="F603" s="6">
        <v>-6.1875</v>
      </c>
      <c r="G603" s="6">
        <v>-6.25E-2</v>
      </c>
      <c r="H603" s="6">
        <v>-0.4375</v>
      </c>
      <c r="I603" s="6">
        <v>1.25</v>
      </c>
      <c r="J603" s="6">
        <v>-1.25</v>
      </c>
      <c r="K603" s="6">
        <v>26.3125</v>
      </c>
      <c r="L603" s="6">
        <v>64.875</v>
      </c>
      <c r="M603" s="6">
        <v>-0.5625</v>
      </c>
      <c r="N603" s="6">
        <v>-6.25E-2</v>
      </c>
      <c r="O603" s="6">
        <v>0.375</v>
      </c>
      <c r="P603" s="6">
        <v>-2.4375</v>
      </c>
      <c r="Q603" s="6">
        <v>-13.625</v>
      </c>
      <c r="R603" s="6">
        <v>-8.8365554809570299E-2</v>
      </c>
      <c r="S603" s="6">
        <v>4.2432985305786097</v>
      </c>
      <c r="T603" s="6">
        <v>-2.3725390434265099E-2</v>
      </c>
      <c r="U603" s="6">
        <v>-7.5683616101741805E-2</v>
      </c>
      <c r="V603" s="6">
        <v>1.2286946773529099</v>
      </c>
      <c r="W603" s="6">
        <v>-18.284152984619102</v>
      </c>
    </row>
    <row r="604" spans="1:23" ht="18.95" customHeight="1">
      <c r="A604" s="4">
        <v>600</v>
      </c>
      <c r="B604" s="4">
        <v>12843</v>
      </c>
      <c r="C604" s="4">
        <v>1</v>
      </c>
      <c r="D604" s="6">
        <v>0</v>
      </c>
      <c r="E604" s="6">
        <v>0</v>
      </c>
      <c r="F604" s="6">
        <v>-4.4375</v>
      </c>
      <c r="G604" s="6">
        <v>0</v>
      </c>
      <c r="H604" s="6">
        <v>-0.5</v>
      </c>
      <c r="I604" s="6">
        <v>1.25</v>
      </c>
      <c r="J604" s="6">
        <v>-1.25</v>
      </c>
      <c r="K604" s="6">
        <v>26.375</v>
      </c>
      <c r="L604" s="6">
        <v>65.75</v>
      </c>
      <c r="M604" s="6">
        <v>-0.75</v>
      </c>
      <c r="N604" s="6">
        <v>0.125</v>
      </c>
      <c r="O604" s="6">
        <v>0.375</v>
      </c>
      <c r="P604" s="6">
        <v>-2.4375</v>
      </c>
      <c r="Q604" s="6">
        <v>-14.875</v>
      </c>
      <c r="R604" s="6">
        <v>0.46125268936157199</v>
      </c>
      <c r="S604" s="6">
        <v>3.3425350189209002</v>
      </c>
      <c r="T604" s="6">
        <v>-0.57334369421005205</v>
      </c>
      <c r="U604" s="6">
        <v>-4.94885630905628E-2</v>
      </c>
      <c r="V604" s="6">
        <v>1.3096567392349201</v>
      </c>
      <c r="W604" s="6">
        <v>-18.2943229675293</v>
      </c>
    </row>
    <row r="605" spans="1:23" ht="18.95" customHeight="1">
      <c r="A605" s="4">
        <v>601</v>
      </c>
      <c r="B605" s="4">
        <v>12864</v>
      </c>
      <c r="C605" s="4">
        <v>1</v>
      </c>
      <c r="D605" s="6">
        <v>0</v>
      </c>
      <c r="E605" s="6">
        <v>0</v>
      </c>
      <c r="F605" s="6">
        <v>-3.625</v>
      </c>
      <c r="G605" s="6">
        <v>0</v>
      </c>
      <c r="H605" s="6">
        <v>-0.375</v>
      </c>
      <c r="I605" s="6">
        <v>1.25</v>
      </c>
      <c r="J605" s="6">
        <v>-1.25</v>
      </c>
      <c r="K605" s="6">
        <v>26.4375</v>
      </c>
      <c r="L605" s="6">
        <v>65.375</v>
      </c>
      <c r="M605" s="6">
        <v>-0.75</v>
      </c>
      <c r="N605" s="6">
        <v>-0.125</v>
      </c>
      <c r="O605" s="6">
        <v>0.4375</v>
      </c>
      <c r="P605" s="6">
        <v>-2.4375</v>
      </c>
      <c r="Q605" s="6">
        <v>-16.8125</v>
      </c>
      <c r="R605" s="6">
        <v>-0.42424345016479498</v>
      </c>
      <c r="S605" s="6">
        <v>2.2585654258728001</v>
      </c>
      <c r="T605" s="6">
        <v>-0.80235135555267301</v>
      </c>
      <c r="U605" s="6">
        <v>-1.5913004055619202E-2</v>
      </c>
      <c r="V605" s="6">
        <v>0.86244529485702504</v>
      </c>
      <c r="W605" s="6">
        <v>-18.3150634765625</v>
      </c>
    </row>
    <row r="606" spans="1:23" ht="18.95" customHeight="1">
      <c r="A606" s="4">
        <v>602</v>
      </c>
      <c r="B606" s="4">
        <v>12885</v>
      </c>
      <c r="C606" s="4">
        <v>1</v>
      </c>
      <c r="D606" s="6">
        <v>0</v>
      </c>
      <c r="E606" s="6">
        <v>0</v>
      </c>
      <c r="F606" s="6">
        <v>-2.4375</v>
      </c>
      <c r="G606" s="6">
        <v>-0.5</v>
      </c>
      <c r="H606" s="6">
        <v>-1</v>
      </c>
      <c r="I606" s="6">
        <v>1.3125</v>
      </c>
      <c r="J606" s="6">
        <v>-1.25</v>
      </c>
      <c r="K606" s="6">
        <v>26.5</v>
      </c>
      <c r="L606" s="6">
        <v>67.0625</v>
      </c>
      <c r="M606" s="6">
        <v>-0.625</v>
      </c>
      <c r="N606" s="6">
        <v>0.1875</v>
      </c>
      <c r="O606" s="6">
        <v>0.4375</v>
      </c>
      <c r="P606" s="6">
        <v>-2.4375</v>
      </c>
      <c r="Q606" s="6">
        <v>-18.0625</v>
      </c>
      <c r="R606" s="6">
        <v>6.4306020736694294E-2</v>
      </c>
      <c r="S606" s="6">
        <v>1.3578021526336701</v>
      </c>
      <c r="T606" s="6">
        <v>-1.1840307712554901</v>
      </c>
      <c r="U606" s="6">
        <v>-3.3067706972360597E-2</v>
      </c>
      <c r="V606" s="6">
        <v>0.77119821310043302</v>
      </c>
      <c r="W606" s="6">
        <v>-18.330127716064499</v>
      </c>
    </row>
    <row r="607" spans="1:23" ht="18.95" customHeight="1">
      <c r="A607" s="4">
        <v>603</v>
      </c>
      <c r="B607" s="4">
        <v>12905</v>
      </c>
      <c r="C607" s="4">
        <v>1</v>
      </c>
      <c r="D607" s="6">
        <v>0</v>
      </c>
      <c r="E607" s="6">
        <v>0</v>
      </c>
      <c r="F607" s="6">
        <v>-1.4375</v>
      </c>
      <c r="G607" s="6">
        <v>0</v>
      </c>
      <c r="H607" s="6">
        <v>-0.5625</v>
      </c>
      <c r="I607" s="6">
        <v>1.25</v>
      </c>
      <c r="J607" s="6">
        <v>-1.25</v>
      </c>
      <c r="K607" s="6">
        <v>26.5</v>
      </c>
      <c r="L607" s="6">
        <v>65.375</v>
      </c>
      <c r="M607" s="6">
        <v>-1</v>
      </c>
      <c r="N607" s="6">
        <v>-0.1875</v>
      </c>
      <c r="O607" s="6">
        <v>0.5</v>
      </c>
      <c r="P607" s="6">
        <v>-2.375</v>
      </c>
      <c r="Q607" s="6">
        <v>-19.3125</v>
      </c>
      <c r="R607" s="6">
        <v>0.69026029109954801</v>
      </c>
      <c r="S607" s="6">
        <v>-1.62436962127686E-2</v>
      </c>
      <c r="T607" s="6">
        <v>0.73963344097137496</v>
      </c>
      <c r="U607" s="6">
        <v>-4.5599415898323101E-2</v>
      </c>
      <c r="V607" s="6">
        <v>0.38453900814056402</v>
      </c>
      <c r="W607" s="6">
        <v>-18.329137802123999</v>
      </c>
    </row>
    <row r="608" spans="1:23" ht="18.95" customHeight="1">
      <c r="A608" s="4">
        <v>604</v>
      </c>
      <c r="B608" s="4">
        <v>12928</v>
      </c>
      <c r="C608" s="4">
        <v>1</v>
      </c>
      <c r="D608" s="6">
        <v>0</v>
      </c>
      <c r="E608" s="6">
        <v>0</v>
      </c>
      <c r="F608" s="6">
        <v>-0.25</v>
      </c>
      <c r="G608" s="6">
        <v>0.5</v>
      </c>
      <c r="H608" s="6">
        <v>0.25</v>
      </c>
      <c r="I608" s="6">
        <v>1.3125</v>
      </c>
      <c r="J608" s="6">
        <v>-1.25</v>
      </c>
      <c r="K608" s="6">
        <v>26.4375</v>
      </c>
      <c r="L608" s="6">
        <v>64.375</v>
      </c>
      <c r="M608" s="6">
        <v>-0.8125</v>
      </c>
      <c r="N608" s="6">
        <v>0</v>
      </c>
      <c r="O608" s="6">
        <v>0.5</v>
      </c>
      <c r="P608" s="6">
        <v>-2.375</v>
      </c>
      <c r="Q608" s="6">
        <v>-20.625</v>
      </c>
      <c r="R608" s="6">
        <v>-2.7297019958496101E-2</v>
      </c>
      <c r="S608" s="6">
        <v>-1.2070834636688199</v>
      </c>
      <c r="T608" s="6">
        <v>-0.55807650089263905</v>
      </c>
      <c r="U608" s="6">
        <v>9.7263827919960005E-3</v>
      </c>
      <c r="V608" s="6">
        <v>0.17483130097389199</v>
      </c>
      <c r="W608" s="6">
        <v>-18.344394683837901</v>
      </c>
    </row>
    <row r="609" spans="1:23" ht="18.95" customHeight="1">
      <c r="A609" s="4">
        <v>605</v>
      </c>
      <c r="B609" s="4">
        <v>12966</v>
      </c>
      <c r="C609" s="4">
        <v>1</v>
      </c>
      <c r="D609" s="6">
        <v>0</v>
      </c>
      <c r="E609" s="6">
        <v>0</v>
      </c>
      <c r="F609" s="6">
        <v>1.8125</v>
      </c>
      <c r="G609" s="6">
        <v>0.375</v>
      </c>
      <c r="H609" s="6">
        <v>-0.25</v>
      </c>
      <c r="I609" s="6">
        <v>1.3125</v>
      </c>
      <c r="J609" s="6">
        <v>-1.25</v>
      </c>
      <c r="K609" s="6">
        <v>26.375</v>
      </c>
      <c r="L609" s="6">
        <v>63.375</v>
      </c>
      <c r="M609" s="6">
        <v>-0.5625</v>
      </c>
      <c r="N609" s="6">
        <v>0.125</v>
      </c>
      <c r="O609" s="6">
        <v>0.5625</v>
      </c>
      <c r="P609" s="6">
        <v>-2.375</v>
      </c>
      <c r="Q609" s="6">
        <v>-23.0625</v>
      </c>
      <c r="R609" s="6">
        <v>-0.14943432807922399</v>
      </c>
      <c r="S609" s="6">
        <v>-3.4360909461975102</v>
      </c>
      <c r="T609" s="6">
        <v>-0.34433606266975397</v>
      </c>
      <c r="U609" s="6">
        <v>2.7983285486698199E-2</v>
      </c>
      <c r="V609" s="6">
        <v>-8.3441212773323101E-2</v>
      </c>
      <c r="W609" s="6">
        <v>-18.355871200561499</v>
      </c>
    </row>
    <row r="610" spans="1:23" ht="18.95" customHeight="1">
      <c r="A610" s="4">
        <v>606</v>
      </c>
      <c r="B610" s="4">
        <v>12988</v>
      </c>
      <c r="C610" s="4">
        <v>1</v>
      </c>
      <c r="D610" s="6">
        <v>0</v>
      </c>
      <c r="E610" s="6">
        <v>0</v>
      </c>
      <c r="F610" s="6">
        <v>2.875</v>
      </c>
      <c r="G610" s="6">
        <v>0.3125</v>
      </c>
      <c r="H610" s="6">
        <v>6.25E-2</v>
      </c>
      <c r="I610" s="6">
        <v>1.3125</v>
      </c>
      <c r="J610" s="6">
        <v>-1.25</v>
      </c>
      <c r="K610" s="6">
        <v>26.25</v>
      </c>
      <c r="L610" s="6">
        <v>61.875</v>
      </c>
      <c r="M610" s="6">
        <v>-0.5</v>
      </c>
      <c r="N610" s="6">
        <v>0</v>
      </c>
      <c r="O610" s="6">
        <v>0.625</v>
      </c>
      <c r="P610" s="6">
        <v>-2.375</v>
      </c>
      <c r="Q610" s="6">
        <v>-24.25</v>
      </c>
      <c r="R610" s="6">
        <v>-0.19523596763610801</v>
      </c>
      <c r="S610" s="6">
        <v>-4.3979229927062997</v>
      </c>
      <c r="T610" s="6">
        <v>-1.13822913169861</v>
      </c>
      <c r="U610" s="6">
        <v>7.8352272510528606E-2</v>
      </c>
      <c r="V610" s="6">
        <v>-0.29676485061645502</v>
      </c>
      <c r="W610" s="6">
        <v>-18.366865158081101</v>
      </c>
    </row>
    <row r="611" spans="1:23" ht="18.95" customHeight="1">
      <c r="A611" s="4">
        <v>607</v>
      </c>
      <c r="B611" s="4">
        <v>13009</v>
      </c>
      <c r="C611" s="4">
        <v>1</v>
      </c>
      <c r="D611" s="6">
        <v>0</v>
      </c>
      <c r="E611" s="6">
        <v>0</v>
      </c>
      <c r="F611" s="6">
        <v>3.9375</v>
      </c>
      <c r="G611" s="6">
        <v>-0.125</v>
      </c>
      <c r="H611" s="6">
        <v>-0.5625</v>
      </c>
      <c r="I611" s="6">
        <v>1.3125</v>
      </c>
      <c r="J611" s="6">
        <v>-1.25</v>
      </c>
      <c r="K611" s="6">
        <v>26.125</v>
      </c>
      <c r="L611" s="6">
        <v>61.8125</v>
      </c>
      <c r="M611" s="6">
        <v>-0.875</v>
      </c>
      <c r="N611" s="6">
        <v>0.125</v>
      </c>
      <c r="O611" s="6">
        <v>0.625</v>
      </c>
      <c r="P611" s="6">
        <v>-2.375</v>
      </c>
      <c r="Q611" s="6">
        <v>-25.4375</v>
      </c>
      <c r="R611" s="6">
        <v>0.400183916091919</v>
      </c>
      <c r="S611" s="6">
        <v>-5.4818925857543901</v>
      </c>
      <c r="T611" s="6">
        <v>-0.25273302197456399</v>
      </c>
      <c r="U611" s="6">
        <v>2.4471672251820599E-2</v>
      </c>
      <c r="V611" s="6">
        <v>-0.64482241868972801</v>
      </c>
      <c r="W611" s="6">
        <v>-18.374395370483398</v>
      </c>
    </row>
    <row r="612" spans="1:23" ht="18.95" customHeight="1">
      <c r="A612" s="4">
        <v>608</v>
      </c>
      <c r="B612" s="4">
        <v>13030</v>
      </c>
      <c r="C612" s="4">
        <v>1</v>
      </c>
      <c r="D612" s="6">
        <v>0</v>
      </c>
      <c r="E612" s="6">
        <v>0</v>
      </c>
      <c r="F612" s="6">
        <v>5.0625</v>
      </c>
      <c r="G612" s="6">
        <v>0.125</v>
      </c>
      <c r="H612" s="6">
        <v>-0.125</v>
      </c>
      <c r="I612" s="6">
        <v>1.3125</v>
      </c>
      <c r="J612" s="6">
        <v>-1.25</v>
      </c>
      <c r="K612" s="6">
        <v>26</v>
      </c>
      <c r="L612" s="6">
        <v>60.0625</v>
      </c>
      <c r="M612" s="6">
        <v>-0.75</v>
      </c>
      <c r="N612" s="6">
        <v>-0.1875</v>
      </c>
      <c r="O612" s="6">
        <v>0.6875</v>
      </c>
      <c r="P612" s="6">
        <v>-2.3125</v>
      </c>
      <c r="Q612" s="6">
        <v>-26.625</v>
      </c>
      <c r="R612" s="6">
        <v>0.43071842193603499</v>
      </c>
      <c r="S612" s="6">
        <v>-6.7185335159301802</v>
      </c>
      <c r="T612" s="6">
        <v>-0.68021392822265603</v>
      </c>
      <c r="U612" s="6">
        <v>3.2018475234508501E-2</v>
      </c>
      <c r="V612" s="6">
        <v>-0.87088793516159102</v>
      </c>
      <c r="W612" s="6">
        <v>-18.386899948120099</v>
      </c>
    </row>
    <row r="613" spans="1:23" ht="18.95" customHeight="1">
      <c r="A613" s="4">
        <v>609</v>
      </c>
      <c r="B613" s="4">
        <v>13050</v>
      </c>
      <c r="C613" s="4">
        <v>1</v>
      </c>
      <c r="D613" s="6">
        <v>0</v>
      </c>
      <c r="E613" s="6">
        <v>0</v>
      </c>
      <c r="F613" s="6">
        <v>6.0625</v>
      </c>
      <c r="G613" s="6">
        <v>0</v>
      </c>
      <c r="H613" s="6">
        <v>-0.5</v>
      </c>
      <c r="I613" s="6">
        <v>1.3125</v>
      </c>
      <c r="J613" s="6">
        <v>-1.25</v>
      </c>
      <c r="K613" s="6">
        <v>25.875</v>
      </c>
      <c r="L613" s="6">
        <v>60.625</v>
      </c>
      <c r="M613" s="6">
        <v>-0.625</v>
      </c>
      <c r="N613" s="6">
        <v>0.125</v>
      </c>
      <c r="O613" s="6">
        <v>0.6875</v>
      </c>
      <c r="P613" s="6">
        <v>-2.3125</v>
      </c>
      <c r="Q613" s="6">
        <v>-27.8125</v>
      </c>
      <c r="R613" s="6">
        <v>0.186443567276001</v>
      </c>
      <c r="S613" s="6">
        <v>-7.6040296554565403</v>
      </c>
      <c r="T613" s="6">
        <v>-0.115328431129456</v>
      </c>
      <c r="U613" s="6">
        <v>4.7925490885972998E-2</v>
      </c>
      <c r="V613" s="6">
        <v>-1.1201634407043499</v>
      </c>
      <c r="W613" s="6">
        <v>-18.3909015655518</v>
      </c>
    </row>
    <row r="614" spans="1:23" ht="18.95" customHeight="1">
      <c r="A614" s="4">
        <v>610</v>
      </c>
      <c r="B614" s="4">
        <v>13070</v>
      </c>
      <c r="C614" s="4">
        <v>1</v>
      </c>
      <c r="D614" s="6">
        <v>0</v>
      </c>
      <c r="E614" s="6">
        <v>0</v>
      </c>
      <c r="F614" s="6">
        <v>7.3125</v>
      </c>
      <c r="G614" s="6">
        <v>0.125</v>
      </c>
      <c r="H614" s="6">
        <v>-0.375</v>
      </c>
      <c r="I614" s="6">
        <v>1.3125</v>
      </c>
      <c r="J614" s="6">
        <v>-1.25</v>
      </c>
      <c r="K614" s="6">
        <v>25.6875</v>
      </c>
      <c r="L614" s="6">
        <v>59.0625</v>
      </c>
      <c r="M614" s="6">
        <v>-0.625</v>
      </c>
      <c r="N614" s="6">
        <v>-6.25E-2</v>
      </c>
      <c r="O614" s="6">
        <v>0.75</v>
      </c>
      <c r="P614" s="6">
        <v>-2.3125</v>
      </c>
      <c r="Q614" s="6">
        <v>-28.9375</v>
      </c>
      <c r="R614" s="6">
        <v>-5.7831287384033203E-2</v>
      </c>
      <c r="S614" s="6">
        <v>-8.7490682601928693</v>
      </c>
      <c r="T614" s="6">
        <v>-0.23746582865714999</v>
      </c>
      <c r="U614" s="6">
        <v>9.74547117948532E-4</v>
      </c>
      <c r="V614" s="6">
        <v>-1.38636922836304</v>
      </c>
      <c r="W614" s="6">
        <v>-18.408689498901399</v>
      </c>
    </row>
    <row r="615" spans="1:23" ht="18.95" customHeight="1">
      <c r="A615" s="4">
        <v>611</v>
      </c>
      <c r="B615" s="4">
        <v>13092</v>
      </c>
      <c r="C615" s="4">
        <v>1</v>
      </c>
      <c r="D615" s="6">
        <v>0</v>
      </c>
      <c r="E615" s="6">
        <v>0</v>
      </c>
      <c r="F615" s="6">
        <v>8.6875</v>
      </c>
      <c r="G615" s="6">
        <v>0</v>
      </c>
      <c r="H615" s="6">
        <v>-0.5625</v>
      </c>
      <c r="I615" s="6">
        <v>1.3125</v>
      </c>
      <c r="J615" s="6">
        <v>-1.25</v>
      </c>
      <c r="K615" s="6">
        <v>25.5</v>
      </c>
      <c r="L615" s="6">
        <v>59.3125</v>
      </c>
      <c r="M615" s="6">
        <v>-0.9375</v>
      </c>
      <c r="N615" s="6">
        <v>0.125</v>
      </c>
      <c r="O615" s="6">
        <v>0.75</v>
      </c>
      <c r="P615" s="6">
        <v>-2.3125</v>
      </c>
      <c r="Q615" s="6">
        <v>-30.125</v>
      </c>
      <c r="R615" s="6">
        <v>0.44598555564880399</v>
      </c>
      <c r="S615" s="6">
        <v>-10.1231136322021</v>
      </c>
      <c r="T615" s="6">
        <v>-8.4794104099273696E-2</v>
      </c>
      <c r="U615" s="6">
        <v>-8.3690714091062494E-3</v>
      </c>
      <c r="V615" s="6">
        <v>-1.7669270038604701</v>
      </c>
      <c r="W615" s="6">
        <v>-18.413049697876001</v>
      </c>
    </row>
    <row r="616" spans="1:23" ht="18.95" customHeight="1">
      <c r="A616" s="4">
        <v>612</v>
      </c>
      <c r="B616" s="4">
        <v>13112</v>
      </c>
      <c r="C616" s="4">
        <v>1</v>
      </c>
      <c r="D616" s="6">
        <v>0</v>
      </c>
      <c r="E616" s="6">
        <v>0</v>
      </c>
      <c r="F616" s="6">
        <v>9.625</v>
      </c>
      <c r="G616" s="6">
        <v>0</v>
      </c>
      <c r="H616" s="6">
        <v>-0.4375</v>
      </c>
      <c r="I616" s="6">
        <v>1.3125</v>
      </c>
      <c r="J616" s="6">
        <v>-1.25</v>
      </c>
      <c r="K616" s="6">
        <v>25.25</v>
      </c>
      <c r="L616" s="6">
        <v>57.1875</v>
      </c>
      <c r="M616" s="6">
        <v>-0.625</v>
      </c>
      <c r="N616" s="6">
        <v>-6.25E-2</v>
      </c>
      <c r="O616" s="6">
        <v>0.75</v>
      </c>
      <c r="P616" s="6">
        <v>-2.3125</v>
      </c>
      <c r="Q616" s="6">
        <v>-31.25</v>
      </c>
      <c r="R616" s="6">
        <v>0.38491678237915</v>
      </c>
      <c r="S616" s="6">
        <v>-11.6040296554565</v>
      </c>
      <c r="T616" s="6">
        <v>-3.8992583751678501E-2</v>
      </c>
      <c r="U616" s="6">
        <v>-3.7942372262477903E-2</v>
      </c>
      <c r="V616" s="6">
        <v>-2.0206222534179701</v>
      </c>
      <c r="W616" s="6">
        <v>-18.422470092773398</v>
      </c>
    </row>
    <row r="617" spans="1:23" ht="18.95" customHeight="1">
      <c r="A617" s="4">
        <v>613</v>
      </c>
      <c r="B617" s="4">
        <v>13133</v>
      </c>
      <c r="C617" s="4">
        <v>1</v>
      </c>
      <c r="D617" s="6">
        <v>0</v>
      </c>
      <c r="E617" s="6">
        <v>0</v>
      </c>
      <c r="F617" s="6">
        <v>11.625</v>
      </c>
      <c r="G617" s="6">
        <v>0.125</v>
      </c>
      <c r="H617" s="6">
        <v>-0.125</v>
      </c>
      <c r="I617" s="6">
        <v>1.3125</v>
      </c>
      <c r="J617" s="6">
        <v>-1.25</v>
      </c>
      <c r="K617" s="6">
        <v>25</v>
      </c>
      <c r="L617" s="6">
        <v>57.125</v>
      </c>
      <c r="M617" s="6">
        <v>-0.5625</v>
      </c>
      <c r="N617" s="6">
        <v>-6.25E-2</v>
      </c>
      <c r="O617" s="6">
        <v>0.8125</v>
      </c>
      <c r="P617" s="6">
        <v>-2.25</v>
      </c>
      <c r="Q617" s="6">
        <v>-32.875</v>
      </c>
      <c r="R617" s="6">
        <v>0.369649648666382</v>
      </c>
      <c r="S617" s="6">
        <v>-12.947541236877401</v>
      </c>
      <c r="T617" s="6">
        <v>-0.23746582865714999</v>
      </c>
      <c r="U617" s="6">
        <v>-5.4698340594768503E-2</v>
      </c>
      <c r="V617" s="6">
        <v>-2.3614749908447301</v>
      </c>
      <c r="W617" s="6">
        <v>-18.4285278320312</v>
      </c>
    </row>
    <row r="618" spans="1:23" ht="18.95" customHeight="1">
      <c r="A618" s="4">
        <v>614</v>
      </c>
      <c r="B618" s="4">
        <v>13155</v>
      </c>
      <c r="C618" s="4">
        <v>1</v>
      </c>
      <c r="D618" s="6">
        <v>0</v>
      </c>
      <c r="E618" s="6">
        <v>0</v>
      </c>
      <c r="F618" s="6">
        <v>12.9375</v>
      </c>
      <c r="G618" s="6">
        <v>0.1875</v>
      </c>
      <c r="H618" s="6">
        <v>-0.125</v>
      </c>
      <c r="I618" s="6">
        <v>1.3125</v>
      </c>
      <c r="J618" s="6">
        <v>-1.25</v>
      </c>
      <c r="K618" s="6">
        <v>24.6875</v>
      </c>
      <c r="L618" s="6">
        <v>56.125</v>
      </c>
      <c r="M618" s="6">
        <v>-0.5625</v>
      </c>
      <c r="N618" s="6">
        <v>0</v>
      </c>
      <c r="O618" s="6">
        <v>0.8125</v>
      </c>
      <c r="P618" s="6">
        <v>-2.25</v>
      </c>
      <c r="Q618" s="6">
        <v>-33.9375</v>
      </c>
      <c r="R618" s="6">
        <v>0.64445877075195301</v>
      </c>
      <c r="S618" s="6">
        <v>-14.626930236816399</v>
      </c>
      <c r="T618" s="6">
        <v>-0.55807650089263905</v>
      </c>
      <c r="U618" s="6">
        <v>-4.1912589222192799E-2</v>
      </c>
      <c r="V618" s="6">
        <v>-2.69910740852356</v>
      </c>
      <c r="W618" s="6">
        <v>-18.4356994628906</v>
      </c>
    </row>
    <row r="619" spans="1:23" ht="18.95" customHeight="1">
      <c r="A619" s="4">
        <v>615</v>
      </c>
      <c r="B619" s="4">
        <v>13177</v>
      </c>
      <c r="C619" s="4">
        <v>1</v>
      </c>
      <c r="D619" s="6">
        <v>0</v>
      </c>
      <c r="E619" s="6">
        <v>0</v>
      </c>
      <c r="F619" s="6">
        <v>14.5625</v>
      </c>
      <c r="G619" s="6">
        <v>0.4375</v>
      </c>
      <c r="H619" s="6">
        <v>0</v>
      </c>
      <c r="I619" s="6">
        <v>1.3125</v>
      </c>
      <c r="J619" s="6">
        <v>-1.25</v>
      </c>
      <c r="K619" s="6">
        <v>24.3125</v>
      </c>
      <c r="L619" s="6">
        <v>54.9375</v>
      </c>
      <c r="M619" s="6">
        <v>-0.5</v>
      </c>
      <c r="N619" s="6">
        <v>6.25E-2</v>
      </c>
      <c r="O619" s="6">
        <v>0.875</v>
      </c>
      <c r="P619" s="6">
        <v>-2.25</v>
      </c>
      <c r="Q619" s="6">
        <v>-35</v>
      </c>
      <c r="R619" s="6">
        <v>0.736061811447144</v>
      </c>
      <c r="S619" s="6">
        <v>-16.3521213531494</v>
      </c>
      <c r="T619" s="6">
        <v>-3.8992583751678501E-2</v>
      </c>
      <c r="U619" s="6">
        <v>-3.2470587641000699E-2</v>
      </c>
      <c r="V619" s="6">
        <v>-3.0589752197265598</v>
      </c>
      <c r="W619" s="6">
        <v>-18.441350936889599</v>
      </c>
    </row>
    <row r="620" spans="1:23" ht="18.95" customHeight="1">
      <c r="A620" s="4">
        <v>616</v>
      </c>
      <c r="B620" s="4">
        <v>13199</v>
      </c>
      <c r="C620" s="4">
        <v>1</v>
      </c>
      <c r="D620" s="6">
        <v>0</v>
      </c>
      <c r="E620" s="6">
        <v>0</v>
      </c>
      <c r="F620" s="6">
        <v>15.75</v>
      </c>
      <c r="G620" s="6">
        <v>0.5</v>
      </c>
      <c r="H620" s="6">
        <v>0.125</v>
      </c>
      <c r="I620" s="6">
        <v>1.3125</v>
      </c>
      <c r="J620" s="6">
        <v>-1.25</v>
      </c>
      <c r="K620" s="6">
        <v>24</v>
      </c>
      <c r="L620" s="6">
        <v>52.8125</v>
      </c>
      <c r="M620" s="6">
        <v>-0.625</v>
      </c>
      <c r="N620" s="6">
        <v>-6.25E-2</v>
      </c>
      <c r="O620" s="6">
        <v>0.875</v>
      </c>
      <c r="P620" s="6">
        <v>-2.25</v>
      </c>
      <c r="Q620" s="6">
        <v>-36.0625</v>
      </c>
      <c r="R620" s="6">
        <v>0.62919163703918501</v>
      </c>
      <c r="S620" s="6">
        <v>-17.7567024230957</v>
      </c>
      <c r="T620" s="6">
        <v>-0.25273302197456399</v>
      </c>
      <c r="U620" s="6">
        <v>4.25080955028534E-2</v>
      </c>
      <c r="V620" s="6">
        <v>-3.4054267406463601</v>
      </c>
      <c r="W620" s="6">
        <v>-18.449247360229499</v>
      </c>
    </row>
    <row r="621" spans="1:23" ht="18.95" customHeight="1">
      <c r="A621" s="4">
        <v>617</v>
      </c>
      <c r="B621" s="4">
        <v>13220</v>
      </c>
      <c r="C621" s="4">
        <v>1</v>
      </c>
      <c r="D621" s="6">
        <v>0</v>
      </c>
      <c r="E621" s="6">
        <v>0</v>
      </c>
      <c r="F621" s="6">
        <v>17.625</v>
      </c>
      <c r="G621" s="6">
        <v>0.3125</v>
      </c>
      <c r="H621" s="6">
        <v>-6.25E-2</v>
      </c>
      <c r="I621" s="6">
        <v>1.3125</v>
      </c>
      <c r="J621" s="6">
        <v>-1.25</v>
      </c>
      <c r="K621" s="6">
        <v>23.625</v>
      </c>
      <c r="L621" s="6">
        <v>53.1875</v>
      </c>
      <c r="M621" s="6">
        <v>-0.5625</v>
      </c>
      <c r="N621" s="6">
        <v>0.1875</v>
      </c>
      <c r="O621" s="6">
        <v>0.9375</v>
      </c>
      <c r="P621" s="6">
        <v>-2.25</v>
      </c>
      <c r="Q621" s="6">
        <v>-37.0625</v>
      </c>
      <c r="R621" s="6">
        <v>0.62919163703918501</v>
      </c>
      <c r="S621" s="6">
        <v>-19.542961120605501</v>
      </c>
      <c r="T621" s="6">
        <v>-0.100061237812042</v>
      </c>
      <c r="U621" s="6">
        <v>5.2415780723094899E-2</v>
      </c>
      <c r="V621" s="6">
        <v>-3.8976037502288801</v>
      </c>
      <c r="W621" s="6">
        <v>-18.448717117309599</v>
      </c>
    </row>
    <row r="622" spans="1:23" ht="18.95" customHeight="1">
      <c r="A622" s="4">
        <v>618</v>
      </c>
      <c r="B622" s="4">
        <v>13241</v>
      </c>
      <c r="C622" s="4">
        <v>1</v>
      </c>
      <c r="D622" s="6">
        <v>0</v>
      </c>
      <c r="E622" s="6">
        <v>0</v>
      </c>
      <c r="F622" s="6">
        <v>19.0625</v>
      </c>
      <c r="G622" s="6">
        <v>0.625</v>
      </c>
      <c r="H622" s="6">
        <v>0.3125</v>
      </c>
      <c r="I622" s="6">
        <v>1.3125</v>
      </c>
      <c r="J622" s="6">
        <v>-1.3125</v>
      </c>
      <c r="K622" s="6">
        <v>23.25</v>
      </c>
      <c r="L622" s="6">
        <v>50.625</v>
      </c>
      <c r="M622" s="6">
        <v>-0.625</v>
      </c>
      <c r="N622" s="6">
        <v>-6.25E-2</v>
      </c>
      <c r="O622" s="6">
        <v>0.9375</v>
      </c>
      <c r="P622" s="6">
        <v>-2.25</v>
      </c>
      <c r="Q622" s="6">
        <v>-38.0625</v>
      </c>
      <c r="R622" s="6">
        <v>1.0719397068023699</v>
      </c>
      <c r="S622" s="6">
        <v>-20.077312469482401</v>
      </c>
      <c r="T622" s="6">
        <v>-0.34433606266975397</v>
      </c>
      <c r="U622" s="6">
        <v>2.5919957086443901E-2</v>
      </c>
      <c r="V622" s="6">
        <v>-4.38030910491943</v>
      </c>
      <c r="W622" s="6">
        <v>-18.461309432983398</v>
      </c>
    </row>
    <row r="623" spans="1:23" ht="18.95" customHeight="1">
      <c r="A623" s="4">
        <v>619</v>
      </c>
      <c r="B623" s="4">
        <v>13262</v>
      </c>
      <c r="C623" s="4">
        <v>1</v>
      </c>
      <c r="D623" s="6">
        <v>0</v>
      </c>
      <c r="E623" s="6">
        <v>0</v>
      </c>
      <c r="F623" s="6">
        <v>20.5625</v>
      </c>
      <c r="G623" s="6">
        <v>0.5</v>
      </c>
      <c r="H623" s="6">
        <v>-6.25E-2</v>
      </c>
      <c r="I623" s="6">
        <v>1.3125</v>
      </c>
      <c r="J623" s="6">
        <v>-1.3125</v>
      </c>
      <c r="K623" s="6">
        <v>22.625</v>
      </c>
      <c r="L623" s="6">
        <v>49.375</v>
      </c>
      <c r="M623" s="6">
        <v>-0.6875</v>
      </c>
      <c r="N623" s="6">
        <v>6.25E-2</v>
      </c>
      <c r="O623" s="6">
        <v>1</v>
      </c>
      <c r="P623" s="6">
        <v>-2.25</v>
      </c>
      <c r="Q623" s="6">
        <v>-39.5</v>
      </c>
      <c r="R623" s="6">
        <v>0.94980227947235096</v>
      </c>
      <c r="S623" s="6">
        <v>-21.8330383300781</v>
      </c>
      <c r="T623" s="6">
        <v>-0.22219866514205899</v>
      </c>
      <c r="U623" s="6">
        <v>7.5319275259971605E-2</v>
      </c>
      <c r="V623" s="6">
        <v>-4.8369874954223597</v>
      </c>
      <c r="W623" s="6">
        <v>-18.462938308715799</v>
      </c>
    </row>
    <row r="624" spans="1:23" ht="18.95" customHeight="1">
      <c r="A624" s="4">
        <v>620</v>
      </c>
      <c r="B624" s="4">
        <v>13282</v>
      </c>
      <c r="C624" s="4">
        <v>1</v>
      </c>
      <c r="D624" s="6">
        <v>0</v>
      </c>
      <c r="E624" s="6">
        <v>0</v>
      </c>
      <c r="F624" s="6">
        <v>21.5625</v>
      </c>
      <c r="G624" s="6">
        <v>0.5625</v>
      </c>
      <c r="H624" s="6">
        <v>0.125</v>
      </c>
      <c r="I624" s="6">
        <v>1.3125</v>
      </c>
      <c r="J624" s="6">
        <v>-1.3125</v>
      </c>
      <c r="K624" s="6">
        <v>22.4375</v>
      </c>
      <c r="L624" s="6">
        <v>45.5</v>
      </c>
      <c r="M624" s="6">
        <v>-0.375</v>
      </c>
      <c r="N624" s="6">
        <v>6.25E-2</v>
      </c>
      <c r="O624" s="6">
        <v>1</v>
      </c>
      <c r="P624" s="6">
        <v>-2.25</v>
      </c>
      <c r="Q624" s="6">
        <v>-39.9375</v>
      </c>
      <c r="R624" s="6">
        <v>0.90400075912475597</v>
      </c>
      <c r="S624" s="6">
        <v>-22.978075027465799</v>
      </c>
      <c r="T624" s="6">
        <v>-0.32906889915466297</v>
      </c>
      <c r="U624" s="6">
        <v>0.104207374155521</v>
      </c>
      <c r="V624" s="6">
        <v>-5.2502760887145996</v>
      </c>
      <c r="W624" s="6">
        <v>-18.474672317504901</v>
      </c>
    </row>
    <row r="625" spans="1:23" ht="18.95" customHeight="1">
      <c r="A625" s="4">
        <v>621</v>
      </c>
      <c r="B625" s="4">
        <v>13304</v>
      </c>
      <c r="C625" s="4">
        <v>1</v>
      </c>
      <c r="D625" s="6">
        <v>0</v>
      </c>
      <c r="E625" s="6">
        <v>0</v>
      </c>
      <c r="F625" s="6">
        <v>23.375</v>
      </c>
      <c r="G625" s="6">
        <v>0.5</v>
      </c>
      <c r="H625" s="6">
        <v>-0.125</v>
      </c>
      <c r="I625" s="6">
        <v>1.3125</v>
      </c>
      <c r="J625" s="6">
        <v>-1.3125</v>
      </c>
      <c r="K625" s="6">
        <v>21.75</v>
      </c>
      <c r="L625" s="6">
        <v>44.25</v>
      </c>
      <c r="M625" s="6">
        <v>-0.5</v>
      </c>
      <c r="N625" s="6">
        <v>-0.125</v>
      </c>
      <c r="O625" s="6">
        <v>1</v>
      </c>
      <c r="P625" s="6">
        <v>-2.25</v>
      </c>
      <c r="Q625" s="6">
        <v>-40.8125</v>
      </c>
      <c r="R625" s="6">
        <v>1.5299549102783201</v>
      </c>
      <c r="S625" s="6">
        <v>-24.5047931671143</v>
      </c>
      <c r="T625" s="6">
        <v>2.2076129913330099E-2</v>
      </c>
      <c r="U625" s="6">
        <v>0.131546840071678</v>
      </c>
      <c r="V625" s="6">
        <v>-5.74581098556519</v>
      </c>
      <c r="W625" s="6">
        <v>-18.4732856750488</v>
      </c>
    </row>
    <row r="626" spans="1:23" ht="18.95" customHeight="1">
      <c r="A626" s="4">
        <v>622</v>
      </c>
      <c r="B626" s="4">
        <v>13324</v>
      </c>
      <c r="C626" s="4">
        <v>1</v>
      </c>
      <c r="D626" s="6">
        <v>0</v>
      </c>
      <c r="E626" s="6">
        <v>0</v>
      </c>
      <c r="F626" s="6">
        <v>24.75</v>
      </c>
      <c r="G626" s="6">
        <v>0.9375</v>
      </c>
      <c r="H626" s="6">
        <v>0.375</v>
      </c>
      <c r="I626" s="6">
        <v>1.3125</v>
      </c>
      <c r="J626" s="6">
        <v>-1.3125</v>
      </c>
      <c r="K626" s="6">
        <v>21.1875</v>
      </c>
      <c r="L626" s="6">
        <v>41.5625</v>
      </c>
      <c r="M626" s="6">
        <v>-0.25</v>
      </c>
      <c r="N626" s="6">
        <v>0</v>
      </c>
      <c r="O626" s="6">
        <v>1</v>
      </c>
      <c r="P626" s="6">
        <v>-2.25</v>
      </c>
      <c r="Q626" s="6">
        <v>-42.0625</v>
      </c>
      <c r="R626" s="6">
        <v>1.01087093353271</v>
      </c>
      <c r="S626" s="6">
        <v>-25.680366516113299</v>
      </c>
      <c r="T626" s="6">
        <v>-0.22219866514205899</v>
      </c>
      <c r="U626" s="6">
        <v>0.150409415364265</v>
      </c>
      <c r="V626" s="6">
        <v>-6.2047481536865199</v>
      </c>
      <c r="W626" s="6">
        <v>-18.479661941528299</v>
      </c>
    </row>
    <row r="627" spans="1:23" ht="18.95" customHeight="1">
      <c r="A627" s="4">
        <v>623</v>
      </c>
      <c r="B627" s="4">
        <v>13344</v>
      </c>
      <c r="C627" s="4">
        <v>1</v>
      </c>
      <c r="D627" s="6">
        <v>0</v>
      </c>
      <c r="E627" s="6">
        <v>0</v>
      </c>
      <c r="F627" s="6">
        <v>25.9375</v>
      </c>
      <c r="G627" s="6">
        <v>0.5625</v>
      </c>
      <c r="H627" s="6">
        <v>-6.25E-2</v>
      </c>
      <c r="I627" s="6">
        <v>1.3125</v>
      </c>
      <c r="J627" s="6">
        <v>-1.3125</v>
      </c>
      <c r="K627" s="6">
        <v>20.625</v>
      </c>
      <c r="L627" s="6">
        <v>39.6875</v>
      </c>
      <c r="M627" s="6">
        <v>-0.375</v>
      </c>
      <c r="N627" s="6">
        <v>-0.125</v>
      </c>
      <c r="O627" s="6">
        <v>1.0625</v>
      </c>
      <c r="P627" s="6">
        <v>-2.25</v>
      </c>
      <c r="Q627" s="6">
        <v>-42.4375</v>
      </c>
      <c r="R627" s="6">
        <v>0.88873362541198697</v>
      </c>
      <c r="S627" s="6">
        <v>-26.764335632324201</v>
      </c>
      <c r="T627" s="6">
        <v>0.26635098457336398</v>
      </c>
      <c r="U627" s="6">
        <v>0.153820440173149</v>
      </c>
      <c r="V627" s="6">
        <v>-6.6787033081054696</v>
      </c>
      <c r="W627" s="6">
        <v>-18.4779052734375</v>
      </c>
    </row>
    <row r="628" spans="1:23" ht="18.95" customHeight="1">
      <c r="A628" s="4">
        <v>624</v>
      </c>
      <c r="B628" s="4">
        <v>13375</v>
      </c>
      <c r="C628" s="4">
        <v>1</v>
      </c>
      <c r="D628" s="6">
        <v>0</v>
      </c>
      <c r="E628" s="6">
        <v>0</v>
      </c>
      <c r="F628" s="6">
        <v>28.0625</v>
      </c>
      <c r="G628" s="6">
        <v>0.75</v>
      </c>
      <c r="H628" s="6">
        <v>0.3125</v>
      </c>
      <c r="I628" s="6">
        <v>1.375</v>
      </c>
      <c r="J628" s="6">
        <v>-1.375</v>
      </c>
      <c r="K628" s="6">
        <v>19.8125</v>
      </c>
      <c r="L628" s="6">
        <v>36.3125</v>
      </c>
      <c r="M628" s="6">
        <v>-0.3125</v>
      </c>
      <c r="N628" s="6">
        <v>-0.1875</v>
      </c>
      <c r="O628" s="6">
        <v>1.0625</v>
      </c>
      <c r="P628" s="6">
        <v>-2.25</v>
      </c>
      <c r="Q628" s="6">
        <v>-43.9375</v>
      </c>
      <c r="R628" s="6">
        <v>1.45361912250519</v>
      </c>
      <c r="S628" s="6">
        <v>-29.3902893066406</v>
      </c>
      <c r="T628" s="6">
        <v>-6.9526910781860393E-2</v>
      </c>
      <c r="U628" s="6">
        <v>0.19350488483905801</v>
      </c>
      <c r="V628" s="6">
        <v>-7.5167365074157697</v>
      </c>
      <c r="W628" s="6">
        <v>-18.4821891784668</v>
      </c>
    </row>
    <row r="629" spans="1:23" ht="18.95" customHeight="1">
      <c r="A629" s="4">
        <v>625</v>
      </c>
      <c r="B629" s="4">
        <v>13396</v>
      </c>
      <c r="C629" s="4">
        <v>1</v>
      </c>
      <c r="D629" s="6">
        <v>0</v>
      </c>
      <c r="E629" s="6">
        <v>0</v>
      </c>
      <c r="F629" s="6">
        <v>29.9375</v>
      </c>
      <c r="G629" s="6">
        <v>0.625</v>
      </c>
      <c r="H629" s="6">
        <v>-6.25E-2</v>
      </c>
      <c r="I629" s="6">
        <v>1.375</v>
      </c>
      <c r="J629" s="6">
        <v>-1.375</v>
      </c>
      <c r="K629" s="6">
        <v>19.1875</v>
      </c>
      <c r="L629" s="6">
        <v>35.5625</v>
      </c>
      <c r="M629" s="6">
        <v>-0.5625</v>
      </c>
      <c r="N629" s="6">
        <v>0.3125</v>
      </c>
      <c r="O629" s="6">
        <v>1.0625</v>
      </c>
      <c r="P629" s="6">
        <v>-2.25</v>
      </c>
      <c r="Q629" s="6">
        <v>-44.25</v>
      </c>
      <c r="R629" s="6">
        <v>0.67499315738678001</v>
      </c>
      <c r="S629" s="6">
        <v>-31.069677352905298</v>
      </c>
      <c r="T629" s="6">
        <v>-0.45120629668235801</v>
      </c>
      <c r="U629" s="6">
        <v>0.309863030910492</v>
      </c>
      <c r="V629" s="6">
        <v>-8.0279712677002006</v>
      </c>
      <c r="W629" s="6">
        <v>-18.475955963134801</v>
      </c>
    </row>
    <row r="630" spans="1:23" ht="18.95" customHeight="1">
      <c r="A630" s="4">
        <v>626</v>
      </c>
      <c r="B630" s="4">
        <v>13417</v>
      </c>
      <c r="C630" s="4">
        <v>1</v>
      </c>
      <c r="D630" s="6">
        <v>0</v>
      </c>
      <c r="E630" s="6">
        <v>0</v>
      </c>
      <c r="F630" s="6">
        <v>32.0625</v>
      </c>
      <c r="G630" s="6">
        <v>0.6875</v>
      </c>
      <c r="H630" s="6">
        <v>0.25</v>
      </c>
      <c r="I630" s="6">
        <v>1.375</v>
      </c>
      <c r="J630" s="6">
        <v>-1.375</v>
      </c>
      <c r="K630" s="6">
        <v>18.5625</v>
      </c>
      <c r="L630" s="6">
        <v>31.75</v>
      </c>
      <c r="M630" s="6">
        <v>-0.375</v>
      </c>
      <c r="N630" s="6">
        <v>-6.25E-2</v>
      </c>
      <c r="O630" s="6">
        <v>1.125</v>
      </c>
      <c r="P630" s="6">
        <v>-2.25</v>
      </c>
      <c r="Q630" s="6">
        <v>-45.25</v>
      </c>
      <c r="R630" s="6">
        <v>1.7589626312255899</v>
      </c>
      <c r="S630" s="6">
        <v>-31.9857082366943</v>
      </c>
      <c r="T630" s="6">
        <v>8.3144843578338595E-2</v>
      </c>
      <c r="U630" s="6">
        <v>0.25955441594123801</v>
      </c>
      <c r="V630" s="6">
        <v>-8.6216487884521502</v>
      </c>
      <c r="W630" s="6">
        <v>-18.4834690093994</v>
      </c>
    </row>
    <row r="631" spans="1:23" ht="18.95" customHeight="1">
      <c r="A631" s="4">
        <v>627</v>
      </c>
      <c r="B631" s="4">
        <v>13440</v>
      </c>
      <c r="C631" s="4">
        <v>1</v>
      </c>
      <c r="D631" s="6">
        <v>0</v>
      </c>
      <c r="E631" s="6">
        <v>0</v>
      </c>
      <c r="F631" s="6">
        <v>32.9375</v>
      </c>
      <c r="G631" s="6">
        <v>0.9375</v>
      </c>
      <c r="H631" s="6">
        <v>0.125</v>
      </c>
      <c r="I631" s="6">
        <v>1.375</v>
      </c>
      <c r="J631" s="6">
        <v>-1.375</v>
      </c>
      <c r="K631" s="6">
        <v>17.9375</v>
      </c>
      <c r="L631" s="6">
        <v>30.625</v>
      </c>
      <c r="M631" s="6">
        <v>-0.5625</v>
      </c>
      <c r="N631" s="6">
        <v>0.1875</v>
      </c>
      <c r="O631" s="6">
        <v>1.125</v>
      </c>
      <c r="P631" s="6">
        <v>-2.25</v>
      </c>
      <c r="Q631" s="6">
        <v>-45.875</v>
      </c>
      <c r="R631" s="6">
        <v>1.23987865447998</v>
      </c>
      <c r="S631" s="6">
        <v>-33.146011352539098</v>
      </c>
      <c r="T631" s="6">
        <v>-0.35960325598716703</v>
      </c>
      <c r="U631" s="6">
        <v>0.30417045950889599</v>
      </c>
      <c r="V631" s="6">
        <v>-9.2392883300781197</v>
      </c>
      <c r="W631" s="6">
        <v>-18.480464935302699</v>
      </c>
    </row>
    <row r="632" spans="1:23" ht="18.95" customHeight="1">
      <c r="A632" s="4">
        <v>628</v>
      </c>
      <c r="B632" s="4">
        <v>13461</v>
      </c>
      <c r="C632" s="4">
        <v>1</v>
      </c>
      <c r="D632" s="6">
        <v>0</v>
      </c>
      <c r="E632" s="6">
        <v>0</v>
      </c>
      <c r="F632" s="6">
        <v>34</v>
      </c>
      <c r="G632" s="6">
        <v>0.9375</v>
      </c>
      <c r="H632" s="6">
        <v>0.5</v>
      </c>
      <c r="I632" s="6">
        <v>1.375</v>
      </c>
      <c r="J632" s="6">
        <v>-1.4375</v>
      </c>
      <c r="K632" s="6">
        <v>17.25</v>
      </c>
      <c r="L632" s="6">
        <v>27.4375</v>
      </c>
      <c r="M632" s="6">
        <v>-0.125</v>
      </c>
      <c r="N632" s="6">
        <v>6.25E-2</v>
      </c>
      <c r="O632" s="6">
        <v>1.125</v>
      </c>
      <c r="P632" s="6">
        <v>-2.25</v>
      </c>
      <c r="Q632" s="6">
        <v>-46.4375</v>
      </c>
      <c r="R632" s="6">
        <v>1.3467488288879399</v>
      </c>
      <c r="S632" s="6">
        <v>-35.069679260253899</v>
      </c>
      <c r="T632" s="6">
        <v>-8.4581971168518101E-3</v>
      </c>
      <c r="U632" s="6">
        <v>0.33531001210212702</v>
      </c>
      <c r="V632" s="6">
        <v>-9.8337469100952095</v>
      </c>
      <c r="W632" s="6">
        <v>-18.484321594238299</v>
      </c>
    </row>
    <row r="633" spans="1:23" ht="18.95" customHeight="1">
      <c r="A633" s="4">
        <v>629</v>
      </c>
      <c r="B633" s="4">
        <v>13482</v>
      </c>
      <c r="C633" s="4">
        <v>1</v>
      </c>
      <c r="D633" s="6">
        <v>0</v>
      </c>
      <c r="E633" s="6">
        <v>0</v>
      </c>
      <c r="F633" s="6">
        <v>35.8125</v>
      </c>
      <c r="G633" s="6">
        <v>0.625</v>
      </c>
      <c r="H633" s="6">
        <v>0.25</v>
      </c>
      <c r="I633" s="6">
        <v>1.375</v>
      </c>
      <c r="J633" s="6">
        <v>-1.4375</v>
      </c>
      <c r="K633" s="6">
        <v>16.5625</v>
      </c>
      <c r="L633" s="6">
        <v>25.8125</v>
      </c>
      <c r="M633" s="6">
        <v>-0.375</v>
      </c>
      <c r="N633" s="6">
        <v>0</v>
      </c>
      <c r="O633" s="6">
        <v>1.125</v>
      </c>
      <c r="P633" s="6">
        <v>-2.25</v>
      </c>
      <c r="Q633" s="6">
        <v>-46.9375</v>
      </c>
      <c r="R633" s="6">
        <v>1.6215579509735101</v>
      </c>
      <c r="S633" s="6">
        <v>-36.657463073730497</v>
      </c>
      <c r="T633" s="6">
        <v>-0.22219866514205899</v>
      </c>
      <c r="U633" s="6">
        <v>0.35003203153610202</v>
      </c>
      <c r="V633" s="6">
        <v>-10.4685716629028</v>
      </c>
      <c r="W633" s="6">
        <v>-18.474925994873001</v>
      </c>
    </row>
    <row r="634" spans="1:23" ht="18.95" customHeight="1">
      <c r="A634" s="4">
        <v>630</v>
      </c>
      <c r="B634" s="4">
        <v>13502</v>
      </c>
      <c r="C634" s="4">
        <v>1</v>
      </c>
      <c r="D634" s="6">
        <v>0</v>
      </c>
      <c r="E634" s="6">
        <v>0</v>
      </c>
      <c r="F634" s="6">
        <v>37.25</v>
      </c>
      <c r="G634" s="6">
        <v>1.1875</v>
      </c>
      <c r="H634" s="6">
        <v>0.625</v>
      </c>
      <c r="I634" s="6">
        <v>1.375</v>
      </c>
      <c r="J634" s="6">
        <v>-1.4375</v>
      </c>
      <c r="K634" s="6">
        <v>15.8125</v>
      </c>
      <c r="L634" s="6">
        <v>23.875</v>
      </c>
      <c r="M634" s="6">
        <v>-6.25E-2</v>
      </c>
      <c r="N634" s="6">
        <v>-6.25E-2</v>
      </c>
      <c r="O634" s="6">
        <v>1.125</v>
      </c>
      <c r="P634" s="6">
        <v>-2.25</v>
      </c>
      <c r="Q634" s="6">
        <v>-47.4375</v>
      </c>
      <c r="R634" s="6">
        <v>1.4994206428527801</v>
      </c>
      <c r="S634" s="6">
        <v>-38.153648376464801</v>
      </c>
      <c r="T634" s="6">
        <v>9.8412036895751995E-2</v>
      </c>
      <c r="U634" s="6">
        <v>0.46081203222274802</v>
      </c>
      <c r="V634" s="6">
        <v>-11.1087694168091</v>
      </c>
      <c r="W634" s="6">
        <v>-18.482881546020501</v>
      </c>
    </row>
    <row r="635" spans="1:23" ht="18.95" customHeight="1">
      <c r="A635" s="4">
        <v>631</v>
      </c>
      <c r="B635" s="4">
        <v>13524</v>
      </c>
      <c r="C635" s="4">
        <v>1</v>
      </c>
      <c r="D635" s="6">
        <v>0</v>
      </c>
      <c r="E635" s="6">
        <v>0</v>
      </c>
      <c r="F635" s="6">
        <v>38.875</v>
      </c>
      <c r="G635" s="6">
        <v>0.8125</v>
      </c>
      <c r="H635" s="6">
        <v>0.1875</v>
      </c>
      <c r="I635" s="6">
        <v>1.4375</v>
      </c>
      <c r="J635" s="6">
        <v>-1.5</v>
      </c>
      <c r="K635" s="6">
        <v>15.0625</v>
      </c>
      <c r="L635" s="6">
        <v>21.9375</v>
      </c>
      <c r="M635" s="6">
        <v>-0.125</v>
      </c>
      <c r="N635" s="6">
        <v>-0.1875</v>
      </c>
      <c r="O635" s="6">
        <v>1.125</v>
      </c>
      <c r="P635" s="6">
        <v>-2.1875</v>
      </c>
      <c r="Q635" s="6">
        <v>-48.0625</v>
      </c>
      <c r="R635" s="6">
        <v>1.86583280563354</v>
      </c>
      <c r="S635" s="6">
        <v>-38.917007446289098</v>
      </c>
      <c r="T635" s="6">
        <v>0.19001507759094199</v>
      </c>
      <c r="U635" s="6">
        <v>0.353189736604691</v>
      </c>
      <c r="V635" s="6">
        <v>-11.8395586013794</v>
      </c>
      <c r="W635" s="6">
        <v>-18.490839004516602</v>
      </c>
    </row>
    <row r="636" spans="1:23" ht="18.95" customHeight="1">
      <c r="A636" s="4">
        <v>632</v>
      </c>
      <c r="B636" s="4">
        <v>13545</v>
      </c>
      <c r="C636" s="4">
        <v>1</v>
      </c>
      <c r="D636" s="6">
        <v>0</v>
      </c>
      <c r="E636" s="6">
        <v>0</v>
      </c>
      <c r="F636" s="6">
        <v>39.75</v>
      </c>
      <c r="G636" s="6">
        <v>1</v>
      </c>
      <c r="H636" s="6">
        <v>0.3125</v>
      </c>
      <c r="I636" s="6">
        <v>1.4375</v>
      </c>
      <c r="J636" s="6">
        <v>-1.5</v>
      </c>
      <c r="K636" s="6">
        <v>14.25</v>
      </c>
      <c r="L636" s="6">
        <v>19.9375</v>
      </c>
      <c r="M636" s="6">
        <v>-0.25</v>
      </c>
      <c r="N636" s="6">
        <v>6.25E-2</v>
      </c>
      <c r="O636" s="6">
        <v>1.125</v>
      </c>
      <c r="P636" s="6">
        <v>-2.1875</v>
      </c>
      <c r="Q636" s="6">
        <v>-48.3125</v>
      </c>
      <c r="R636" s="6">
        <v>1.2246114015579199</v>
      </c>
      <c r="S636" s="6">
        <v>-40.642196655273402</v>
      </c>
      <c r="T636" s="6">
        <v>-0.31380170583724998</v>
      </c>
      <c r="U636" s="6">
        <v>0.51312887668609597</v>
      </c>
      <c r="V636" s="6">
        <v>-12.5939283370972</v>
      </c>
      <c r="W636" s="6">
        <v>-18.4942626953125</v>
      </c>
    </row>
    <row r="637" spans="1:23" ht="18.95" customHeight="1">
      <c r="A637" s="4">
        <v>633</v>
      </c>
      <c r="B637" s="4">
        <v>13568</v>
      </c>
      <c r="C637" s="4">
        <v>1</v>
      </c>
      <c r="D637" s="6">
        <v>0</v>
      </c>
      <c r="E637" s="6">
        <v>0</v>
      </c>
      <c r="F637" s="6">
        <v>41.8125</v>
      </c>
      <c r="G637" s="6">
        <v>0.9375</v>
      </c>
      <c r="H637" s="6">
        <v>0.3125</v>
      </c>
      <c r="I637" s="6">
        <v>1.4375</v>
      </c>
      <c r="J637" s="6">
        <v>-1.5</v>
      </c>
      <c r="K637" s="6">
        <v>13.0625</v>
      </c>
      <c r="L637" s="6">
        <v>16.9375</v>
      </c>
      <c r="M637" s="6">
        <v>-0.3125</v>
      </c>
      <c r="N637" s="6">
        <v>0</v>
      </c>
      <c r="O637" s="6">
        <v>1.1875</v>
      </c>
      <c r="P637" s="6">
        <v>-2.1875</v>
      </c>
      <c r="Q637" s="6">
        <v>-48.8125</v>
      </c>
      <c r="R637" s="6">
        <v>1.4383518695831301</v>
      </c>
      <c r="S637" s="6">
        <v>-41.6651000976562</v>
      </c>
      <c r="T637" s="6">
        <v>-0.25273302197456399</v>
      </c>
      <c r="U637" s="6">
        <v>0.48352187871933</v>
      </c>
      <c r="V637" s="6">
        <v>-13.382862091064499</v>
      </c>
      <c r="W637" s="6">
        <v>-18.502967834472699</v>
      </c>
    </row>
    <row r="638" spans="1:23" ht="18.95" customHeight="1">
      <c r="A638" s="4">
        <v>634</v>
      </c>
      <c r="B638" s="4">
        <v>13589</v>
      </c>
      <c r="C638" s="4">
        <v>1</v>
      </c>
      <c r="D638" s="6">
        <v>0</v>
      </c>
      <c r="E638" s="6">
        <v>0</v>
      </c>
      <c r="F638" s="6">
        <v>42.8125</v>
      </c>
      <c r="G638" s="6">
        <v>1.125</v>
      </c>
      <c r="H638" s="6">
        <v>0.375</v>
      </c>
      <c r="I638" s="6">
        <v>1.4375</v>
      </c>
      <c r="J638" s="6">
        <v>-1.5625</v>
      </c>
      <c r="K638" s="6">
        <v>12.25</v>
      </c>
      <c r="L638" s="6">
        <v>14.4375</v>
      </c>
      <c r="M638" s="6">
        <v>-0.25</v>
      </c>
      <c r="N638" s="6">
        <v>6.25E-2</v>
      </c>
      <c r="O638" s="6">
        <v>1.1875</v>
      </c>
      <c r="P638" s="6">
        <v>-2.1875</v>
      </c>
      <c r="Q638" s="6">
        <v>-49.125</v>
      </c>
      <c r="R638" s="6">
        <v>1.4994206428527801</v>
      </c>
      <c r="S638" s="6">
        <v>-42.397926330566399</v>
      </c>
      <c r="T638" s="6">
        <v>-0.23746582865714999</v>
      </c>
      <c r="U638" s="6">
        <v>0.56153929233551003</v>
      </c>
      <c r="V638" s="6">
        <v>-14.1836452484131</v>
      </c>
      <c r="W638" s="6">
        <v>-18.501611709594702</v>
      </c>
    </row>
    <row r="639" spans="1:23" ht="18.95" customHeight="1">
      <c r="A639" s="4">
        <v>635</v>
      </c>
      <c r="B639" s="4">
        <v>13609</v>
      </c>
      <c r="C639" s="4">
        <v>1</v>
      </c>
      <c r="D639" s="6">
        <v>0</v>
      </c>
      <c r="E639" s="6">
        <v>0</v>
      </c>
      <c r="F639" s="6">
        <v>43.625</v>
      </c>
      <c r="G639" s="6">
        <v>0.9375</v>
      </c>
      <c r="H639" s="6">
        <v>0.3125</v>
      </c>
      <c r="I639" s="6">
        <v>1.5</v>
      </c>
      <c r="J639" s="6">
        <v>-1.5625</v>
      </c>
      <c r="K639" s="6">
        <v>11.375</v>
      </c>
      <c r="L639" s="6">
        <v>12.6875</v>
      </c>
      <c r="M639" s="6">
        <v>6.25E-2</v>
      </c>
      <c r="N639" s="6">
        <v>0.125</v>
      </c>
      <c r="O639" s="6">
        <v>1.1875</v>
      </c>
      <c r="P639" s="6">
        <v>-2.1875</v>
      </c>
      <c r="Q639" s="6">
        <v>-49.4375</v>
      </c>
      <c r="R639" s="6">
        <v>1.57575643062592</v>
      </c>
      <c r="S639" s="6">
        <v>-42.382652282714801</v>
      </c>
      <c r="T639" s="6">
        <v>-0.42067193984985402</v>
      </c>
      <c r="U639" s="6">
        <v>0.61747151613235496</v>
      </c>
      <c r="V639" s="6">
        <v>-14.860171318054199</v>
      </c>
      <c r="W639" s="6">
        <v>-18.5032844543457</v>
      </c>
    </row>
    <row r="640" spans="1:23" ht="18.95" customHeight="1">
      <c r="A640" s="4">
        <v>636</v>
      </c>
      <c r="B640" s="4">
        <v>13630</v>
      </c>
      <c r="C640" s="4">
        <v>1</v>
      </c>
      <c r="D640" s="6">
        <v>0</v>
      </c>
      <c r="E640" s="6">
        <v>0</v>
      </c>
      <c r="F640" s="6">
        <v>43.75</v>
      </c>
      <c r="G640" s="6">
        <v>1</v>
      </c>
      <c r="H640" s="6">
        <v>0.3125</v>
      </c>
      <c r="I640" s="6">
        <v>1.5</v>
      </c>
      <c r="J640" s="6">
        <v>-1.5625</v>
      </c>
      <c r="K640" s="6">
        <v>10.5625</v>
      </c>
      <c r="L640" s="6">
        <v>10.0625</v>
      </c>
      <c r="M640" s="6">
        <v>-0.25</v>
      </c>
      <c r="N640" s="6">
        <v>-0.1875</v>
      </c>
      <c r="O640" s="6">
        <v>1.1875</v>
      </c>
      <c r="P640" s="6">
        <v>-2.1875</v>
      </c>
      <c r="Q640" s="6">
        <v>-49.625</v>
      </c>
      <c r="R640" s="6">
        <v>2.11010766029358</v>
      </c>
      <c r="S640" s="6">
        <v>-43.252883911132798</v>
      </c>
      <c r="T640" s="6">
        <v>0.28161811828613298</v>
      </c>
      <c r="U640" s="6">
        <v>0.55734431743621804</v>
      </c>
      <c r="V640" s="6">
        <v>-15.607567787170399</v>
      </c>
      <c r="W640" s="6">
        <v>-18.5067443847656</v>
      </c>
    </row>
    <row r="641" spans="1:23" ht="18.95" customHeight="1">
      <c r="A641" s="4">
        <v>637</v>
      </c>
      <c r="B641" s="4">
        <v>13653</v>
      </c>
      <c r="C641" s="4">
        <v>1</v>
      </c>
      <c r="D641" s="6">
        <v>0</v>
      </c>
      <c r="E641" s="6">
        <v>0</v>
      </c>
      <c r="F641" s="6">
        <v>44.625</v>
      </c>
      <c r="G641" s="6">
        <v>0.875</v>
      </c>
      <c r="H641" s="6">
        <v>0.3125</v>
      </c>
      <c r="I641" s="6">
        <v>1.5</v>
      </c>
      <c r="J641" s="6">
        <v>-1.5625</v>
      </c>
      <c r="K641" s="6">
        <v>9.6875</v>
      </c>
      <c r="L641" s="6">
        <v>8.5</v>
      </c>
      <c r="M641" s="6">
        <v>-0.125</v>
      </c>
      <c r="N641" s="6">
        <v>-0.125</v>
      </c>
      <c r="O641" s="6">
        <v>1.1875</v>
      </c>
      <c r="P641" s="6">
        <v>-2.1875</v>
      </c>
      <c r="Q641" s="6">
        <v>-49.8125</v>
      </c>
      <c r="R641" s="6">
        <v>1.8810999393463099</v>
      </c>
      <c r="S641" s="6">
        <v>-42.657463073730497</v>
      </c>
      <c r="T641" s="6">
        <v>0.25108379125595098</v>
      </c>
      <c r="U641" s="6">
        <v>0.57322424650192305</v>
      </c>
      <c r="V641" s="6">
        <v>-16.4404487609863</v>
      </c>
      <c r="W641" s="6">
        <v>-18.507410049438501</v>
      </c>
    </row>
    <row r="642" spans="1:23" ht="18.95" customHeight="1">
      <c r="A642" s="4">
        <v>638</v>
      </c>
      <c r="B642" s="4">
        <v>13674</v>
      </c>
      <c r="C642" s="4">
        <v>1</v>
      </c>
      <c r="D642" s="6">
        <v>0</v>
      </c>
      <c r="E642" s="6">
        <v>0</v>
      </c>
      <c r="F642" s="6">
        <v>44.25</v>
      </c>
      <c r="G642" s="6">
        <v>1.125</v>
      </c>
      <c r="H642" s="6">
        <v>0.6875</v>
      </c>
      <c r="I642" s="6">
        <v>1.5</v>
      </c>
      <c r="J642" s="6">
        <v>-1.625</v>
      </c>
      <c r="K642" s="6">
        <v>8.8125</v>
      </c>
      <c r="L642" s="6">
        <v>6.4375</v>
      </c>
      <c r="M642" s="6">
        <v>-0.125</v>
      </c>
      <c r="N642" s="6">
        <v>0.125</v>
      </c>
      <c r="O642" s="6">
        <v>1.1875</v>
      </c>
      <c r="P642" s="6">
        <v>-2.1875</v>
      </c>
      <c r="Q642" s="6">
        <v>-50</v>
      </c>
      <c r="R642" s="6">
        <v>1.5604892969131501</v>
      </c>
      <c r="S642" s="6">
        <v>-44.520057678222699</v>
      </c>
      <c r="T642" s="6">
        <v>-0.37487041950225802</v>
      </c>
      <c r="U642" s="6">
        <v>0.60848855972289995</v>
      </c>
      <c r="V642" s="6">
        <v>-17.2505187988281</v>
      </c>
      <c r="W642" s="6">
        <v>-18.512710571289102</v>
      </c>
    </row>
    <row r="643" spans="1:23" ht="18.95" customHeight="1">
      <c r="A643" s="4">
        <v>639</v>
      </c>
      <c r="B643" s="4">
        <v>13696</v>
      </c>
      <c r="C643" s="4">
        <v>1</v>
      </c>
      <c r="D643" s="6">
        <v>0</v>
      </c>
      <c r="E643" s="6">
        <v>0</v>
      </c>
      <c r="F643" s="6">
        <v>45.3125</v>
      </c>
      <c r="G643" s="6">
        <v>0.8125</v>
      </c>
      <c r="H643" s="6">
        <v>0.3125</v>
      </c>
      <c r="I643" s="6">
        <v>1.5</v>
      </c>
      <c r="J643" s="6">
        <v>-1.625</v>
      </c>
      <c r="K643" s="6">
        <v>7.9375</v>
      </c>
      <c r="L643" s="6">
        <v>4.4375</v>
      </c>
      <c r="M643" s="6">
        <v>-6.25E-2</v>
      </c>
      <c r="N643" s="6">
        <v>0</v>
      </c>
      <c r="O643" s="6">
        <v>1.1875</v>
      </c>
      <c r="P643" s="6">
        <v>-2.1875</v>
      </c>
      <c r="Q643" s="6">
        <v>-50.125</v>
      </c>
      <c r="R643" s="6">
        <v>2.1253747940063499</v>
      </c>
      <c r="S643" s="6">
        <v>-44.22998046875</v>
      </c>
      <c r="T643" s="6">
        <v>0.54116010665893599</v>
      </c>
      <c r="U643" s="6">
        <v>0.58800262212753296</v>
      </c>
      <c r="V643" s="6">
        <v>-18.087911605835</v>
      </c>
      <c r="W643" s="6">
        <v>-18.508590698242202</v>
      </c>
    </row>
    <row r="644" spans="1:23" ht="18.95" customHeight="1">
      <c r="A644" s="4">
        <v>640</v>
      </c>
      <c r="B644" s="4">
        <v>13717</v>
      </c>
      <c r="C644" s="4">
        <v>1</v>
      </c>
      <c r="D644" s="6">
        <v>0</v>
      </c>
      <c r="E644" s="6">
        <v>0</v>
      </c>
      <c r="F644" s="6">
        <v>45.625</v>
      </c>
      <c r="G644" s="6">
        <v>1.125</v>
      </c>
      <c r="H644" s="6">
        <v>0.5</v>
      </c>
      <c r="I644" s="6">
        <v>1.5625</v>
      </c>
      <c r="J644" s="6">
        <v>-1.6875</v>
      </c>
      <c r="K644" s="6">
        <v>6.625</v>
      </c>
      <c r="L644" s="6">
        <v>1.8125</v>
      </c>
      <c r="M644" s="6">
        <v>0.125</v>
      </c>
      <c r="N644" s="6">
        <v>-6.25E-2</v>
      </c>
      <c r="O644" s="6">
        <v>1.1875</v>
      </c>
      <c r="P644" s="6">
        <v>-2.1875</v>
      </c>
      <c r="Q644" s="6">
        <v>-50.1875</v>
      </c>
      <c r="R644" s="6">
        <v>2.0948405265808101</v>
      </c>
      <c r="S644" s="6">
        <v>-46.626930236816399</v>
      </c>
      <c r="T644" s="6">
        <v>0.35795402526855502</v>
      </c>
      <c r="U644" s="6">
        <v>0.65608942508697499</v>
      </c>
      <c r="V644" s="6">
        <v>-18.879970550537099</v>
      </c>
      <c r="W644" s="6">
        <v>-18.511165618896499</v>
      </c>
    </row>
    <row r="645" spans="1:23" ht="18.95" customHeight="1">
      <c r="A645" s="4">
        <v>641</v>
      </c>
      <c r="B645" s="4">
        <v>13737</v>
      </c>
      <c r="C645" s="4">
        <v>1</v>
      </c>
      <c r="D645" s="6">
        <v>0</v>
      </c>
      <c r="E645" s="6">
        <v>0</v>
      </c>
      <c r="F645" s="6">
        <v>46.75</v>
      </c>
      <c r="G645" s="6">
        <v>1.125</v>
      </c>
      <c r="H645" s="6">
        <v>0.5625</v>
      </c>
      <c r="I645" s="6">
        <v>1.5625</v>
      </c>
      <c r="J645" s="6">
        <v>-1.6875</v>
      </c>
      <c r="K645" s="6">
        <v>5.6875</v>
      </c>
      <c r="L645" s="6">
        <v>0.375</v>
      </c>
      <c r="M645" s="6">
        <v>0</v>
      </c>
      <c r="N645" s="6">
        <v>6.25E-2</v>
      </c>
      <c r="O645" s="6">
        <v>1.1875</v>
      </c>
      <c r="P645" s="6">
        <v>-2.1875</v>
      </c>
      <c r="Q645" s="6">
        <v>-50.1875</v>
      </c>
      <c r="R645" s="6">
        <v>2.3238480091095002</v>
      </c>
      <c r="S645" s="6">
        <v>-45.924636840820298</v>
      </c>
      <c r="T645" s="6">
        <v>0.37322115898132302</v>
      </c>
      <c r="U645" s="6">
        <v>0.59417557716369596</v>
      </c>
      <c r="V645" s="6">
        <v>-19.6665954589844</v>
      </c>
      <c r="W645" s="6">
        <v>-18.5079021453857</v>
      </c>
    </row>
    <row r="646" spans="1:23" ht="18.95" customHeight="1">
      <c r="A646" s="4">
        <v>642</v>
      </c>
      <c r="B646" s="4">
        <v>13775</v>
      </c>
      <c r="C646" s="4">
        <v>1</v>
      </c>
      <c r="D646" s="6">
        <v>0</v>
      </c>
      <c r="E646" s="6">
        <v>0</v>
      </c>
      <c r="F646" s="6">
        <v>47.9375</v>
      </c>
      <c r="G646" s="6">
        <v>2</v>
      </c>
      <c r="H646" s="6">
        <v>0.9375</v>
      </c>
      <c r="I646" s="6">
        <v>1.5625</v>
      </c>
      <c r="J646" s="6">
        <v>-1.75</v>
      </c>
      <c r="K646" s="6">
        <v>4.3125</v>
      </c>
      <c r="L646" s="6">
        <v>-3.0625</v>
      </c>
      <c r="M646" s="6">
        <v>0.25</v>
      </c>
      <c r="N646" s="6">
        <v>0.125</v>
      </c>
      <c r="O646" s="6">
        <v>1.1875</v>
      </c>
      <c r="P646" s="6">
        <v>-2.125</v>
      </c>
      <c r="Q646" s="6">
        <v>-50.125</v>
      </c>
      <c r="R646" s="6">
        <v>1.8505656719207799</v>
      </c>
      <c r="S646" s="6">
        <v>-46.214714050292997</v>
      </c>
      <c r="T646" s="6">
        <v>0.29688531160354598</v>
      </c>
      <c r="U646" s="6">
        <v>0.67872607707977295</v>
      </c>
      <c r="V646" s="6">
        <v>-21.295637130737301</v>
      </c>
      <c r="W646" s="6">
        <v>-18.4944667816162</v>
      </c>
    </row>
    <row r="647" spans="1:23" ht="18.95" customHeight="1">
      <c r="A647" s="4">
        <v>643</v>
      </c>
      <c r="B647" s="4">
        <v>13796</v>
      </c>
      <c r="C647" s="4">
        <v>1</v>
      </c>
      <c r="D647" s="6">
        <v>0</v>
      </c>
      <c r="E647" s="6">
        <v>0</v>
      </c>
      <c r="F647" s="6">
        <v>48.125</v>
      </c>
      <c r="G647" s="6">
        <v>1.5</v>
      </c>
      <c r="H647" s="6">
        <v>1</v>
      </c>
      <c r="I647" s="6">
        <v>1.5625</v>
      </c>
      <c r="J647" s="6">
        <v>-1.75</v>
      </c>
      <c r="K647" s="6">
        <v>3.375</v>
      </c>
      <c r="L647" s="6">
        <v>-4.125</v>
      </c>
      <c r="M647" s="6">
        <v>0.3125</v>
      </c>
      <c r="N647" s="6">
        <v>-6.25E-2</v>
      </c>
      <c r="O647" s="6">
        <v>1.1875</v>
      </c>
      <c r="P647" s="6">
        <v>-2.125</v>
      </c>
      <c r="Q647" s="6">
        <v>-50.0625</v>
      </c>
      <c r="R647" s="6">
        <v>1.98797023296356</v>
      </c>
      <c r="S647" s="6">
        <v>-45.955177307128899</v>
      </c>
      <c r="T647" s="6">
        <v>-5.4259717464447001E-2</v>
      </c>
      <c r="U647" s="6">
        <v>0.73880803585052501</v>
      </c>
      <c r="V647" s="6">
        <v>-22.0835475921631</v>
      </c>
      <c r="W647" s="6">
        <v>-18.494993209838899</v>
      </c>
    </row>
    <row r="648" spans="1:23" ht="18.95" customHeight="1">
      <c r="A648" s="4">
        <v>644</v>
      </c>
      <c r="B648" s="4">
        <v>13818</v>
      </c>
      <c r="C648" s="4">
        <v>1</v>
      </c>
      <c r="D648" s="6">
        <v>0</v>
      </c>
      <c r="E648" s="6">
        <v>0</v>
      </c>
      <c r="F648" s="6">
        <v>47.375</v>
      </c>
      <c r="G648" s="6">
        <v>0.8125</v>
      </c>
      <c r="H648" s="6">
        <v>0.625</v>
      </c>
      <c r="I648" s="6">
        <v>1.5625</v>
      </c>
      <c r="J648" s="6">
        <v>-1.8125</v>
      </c>
      <c r="K648" s="6">
        <v>2</v>
      </c>
      <c r="L648" s="6">
        <v>-6.5</v>
      </c>
      <c r="M648" s="6">
        <v>6.25E-2</v>
      </c>
      <c r="N648" s="6">
        <v>6.25E-2</v>
      </c>
      <c r="O648" s="6">
        <v>1.1875</v>
      </c>
      <c r="P648" s="6">
        <v>-2.125</v>
      </c>
      <c r="Q648" s="6">
        <v>-49.9375</v>
      </c>
      <c r="R648" s="6">
        <v>2.1864435672760001</v>
      </c>
      <c r="S648" s="6">
        <v>-46.1078491210938</v>
      </c>
      <c r="T648" s="6">
        <v>0.144213557243347</v>
      </c>
      <c r="U648" s="6">
        <v>0.67182928323745705</v>
      </c>
      <c r="V648" s="6">
        <v>-22.878145217895501</v>
      </c>
      <c r="W648" s="6">
        <v>-18.489477157592798</v>
      </c>
    </row>
    <row r="649" spans="1:23" ht="18.95" customHeight="1">
      <c r="A649" s="4">
        <v>645</v>
      </c>
      <c r="B649" s="4">
        <v>13838</v>
      </c>
      <c r="C649" s="4">
        <v>1</v>
      </c>
      <c r="D649" s="6">
        <v>0</v>
      </c>
      <c r="E649" s="6">
        <v>0</v>
      </c>
      <c r="F649" s="6">
        <v>47.4375</v>
      </c>
      <c r="G649" s="6">
        <v>1.25</v>
      </c>
      <c r="H649" s="6">
        <v>0.8125</v>
      </c>
      <c r="I649" s="6">
        <v>1.5625</v>
      </c>
      <c r="J649" s="6">
        <v>-1.8125</v>
      </c>
      <c r="K649" s="6">
        <v>1.0625</v>
      </c>
      <c r="L649" s="6">
        <v>-8.0625</v>
      </c>
      <c r="M649" s="6">
        <v>0.375</v>
      </c>
      <c r="N649" s="6">
        <v>0.1875</v>
      </c>
      <c r="O649" s="6">
        <v>1.125</v>
      </c>
      <c r="P649" s="6">
        <v>-2.125</v>
      </c>
      <c r="Q649" s="6">
        <v>-49.8125</v>
      </c>
      <c r="R649" s="6">
        <v>1.7131609916687001</v>
      </c>
      <c r="S649" s="6">
        <v>-45.3292236328125</v>
      </c>
      <c r="T649" s="6">
        <v>-5.4259717464447001E-2</v>
      </c>
      <c r="U649" s="6">
        <v>0.82643115520477295</v>
      </c>
      <c r="V649" s="6">
        <v>-23.5707492828369</v>
      </c>
      <c r="W649" s="6">
        <v>-18.479066848754901</v>
      </c>
    </row>
    <row r="650" spans="1:23" ht="18.95" customHeight="1">
      <c r="A650" s="4">
        <v>646</v>
      </c>
      <c r="B650" s="4">
        <v>13860</v>
      </c>
      <c r="C650" s="4">
        <v>1</v>
      </c>
      <c r="D650" s="6">
        <v>0</v>
      </c>
      <c r="E650" s="6">
        <v>0</v>
      </c>
      <c r="F650" s="6">
        <v>46.75</v>
      </c>
      <c r="G650" s="6">
        <v>1.5625</v>
      </c>
      <c r="H650" s="6">
        <v>0.8125</v>
      </c>
      <c r="I650" s="6">
        <v>1.5625</v>
      </c>
      <c r="J650" s="6">
        <v>-1.875</v>
      </c>
      <c r="K650" s="6">
        <v>0.1875</v>
      </c>
      <c r="L650" s="6">
        <v>-9.5</v>
      </c>
      <c r="M650" s="6">
        <v>0.3125</v>
      </c>
      <c r="N650" s="6">
        <v>-6.25E-2</v>
      </c>
      <c r="O650" s="6">
        <v>1.125</v>
      </c>
      <c r="P650" s="6">
        <v>-2.125</v>
      </c>
      <c r="Q650" s="6">
        <v>-49.625</v>
      </c>
      <c r="R650" s="6">
        <v>1.45361912250519</v>
      </c>
      <c r="S650" s="6">
        <v>-45.008613586425803</v>
      </c>
      <c r="T650" s="6">
        <v>0.128946363925934</v>
      </c>
      <c r="U650" s="6">
        <v>0.85283356904983498</v>
      </c>
      <c r="V650" s="6">
        <v>-24.3314304351807</v>
      </c>
      <c r="W650" s="6">
        <v>-18.481525421142599</v>
      </c>
    </row>
    <row r="651" spans="1:23" ht="18.95" customHeight="1">
      <c r="A651" s="4">
        <v>647</v>
      </c>
      <c r="B651" s="4">
        <v>13880</v>
      </c>
      <c r="C651" s="4">
        <v>1</v>
      </c>
      <c r="D651" s="6">
        <v>0</v>
      </c>
      <c r="E651" s="6">
        <v>0</v>
      </c>
      <c r="F651" s="6">
        <v>46.4375</v>
      </c>
      <c r="G651" s="6">
        <v>0.875</v>
      </c>
      <c r="H651" s="6">
        <v>0.4375</v>
      </c>
      <c r="I651" s="6">
        <v>1.5625</v>
      </c>
      <c r="J651" s="6">
        <v>-1.875</v>
      </c>
      <c r="K651" s="6">
        <v>-0.6875</v>
      </c>
      <c r="L651" s="6">
        <v>-10.9375</v>
      </c>
      <c r="M651" s="6">
        <v>0.1875</v>
      </c>
      <c r="N651" s="6">
        <v>6.25E-2</v>
      </c>
      <c r="O651" s="6">
        <v>1.125</v>
      </c>
      <c r="P651" s="6">
        <v>-2.125</v>
      </c>
      <c r="Q651" s="6">
        <v>-49.4375</v>
      </c>
      <c r="R651" s="6">
        <v>2.3543825149536102</v>
      </c>
      <c r="S651" s="6">
        <v>-44.749069213867202</v>
      </c>
      <c r="T651" s="6">
        <v>0.32741963863372803</v>
      </c>
      <c r="U651" s="6">
        <v>0.80779600143432595</v>
      </c>
      <c r="V651" s="6">
        <v>-25.070814132690401</v>
      </c>
      <c r="W651" s="6">
        <v>-18.477556228637699</v>
      </c>
    </row>
    <row r="652" spans="1:23" ht="18.95" customHeight="1">
      <c r="A652" s="4">
        <v>648</v>
      </c>
      <c r="B652" s="4">
        <v>13901</v>
      </c>
      <c r="C652" s="4">
        <v>1</v>
      </c>
      <c r="D652" s="6">
        <v>0</v>
      </c>
      <c r="E652" s="6">
        <v>0</v>
      </c>
      <c r="F652" s="6">
        <v>45.9375</v>
      </c>
      <c r="G652" s="6">
        <v>1.25</v>
      </c>
      <c r="H652" s="6">
        <v>0.875</v>
      </c>
      <c r="I652" s="6">
        <v>1.5625</v>
      </c>
      <c r="J652" s="6">
        <v>-1.875</v>
      </c>
      <c r="K652" s="6">
        <v>-1.5625</v>
      </c>
      <c r="L652" s="6">
        <v>-12.5</v>
      </c>
      <c r="M652" s="6">
        <v>0.375</v>
      </c>
      <c r="N652" s="6">
        <v>6.25E-2</v>
      </c>
      <c r="O652" s="6">
        <v>1.125</v>
      </c>
      <c r="P652" s="6">
        <v>-2.125</v>
      </c>
      <c r="Q652" s="6">
        <v>-49.1875</v>
      </c>
      <c r="R652" s="6">
        <v>1.2856801748275799</v>
      </c>
      <c r="S652" s="6">
        <v>-45.604026794433601</v>
      </c>
      <c r="T652" s="6">
        <v>-8.4581971168518101E-3</v>
      </c>
      <c r="U652" s="6">
        <v>0.89130276441574097</v>
      </c>
      <c r="V652" s="6">
        <v>-25.807909011840799</v>
      </c>
      <c r="W652" s="6">
        <v>-18.470970153808601</v>
      </c>
    </row>
    <row r="653" spans="1:23" ht="18.95" customHeight="1">
      <c r="A653" s="4">
        <v>649</v>
      </c>
      <c r="B653" s="4">
        <v>13923</v>
      </c>
      <c r="C653" s="4">
        <v>1</v>
      </c>
      <c r="D653" s="6">
        <v>0</v>
      </c>
      <c r="E653" s="6">
        <v>0</v>
      </c>
      <c r="F653" s="6">
        <v>47.0625</v>
      </c>
      <c r="G653" s="6">
        <v>1.0625</v>
      </c>
      <c r="H653" s="6">
        <v>0.6875</v>
      </c>
      <c r="I653" s="6">
        <v>1.5625</v>
      </c>
      <c r="J653" s="6">
        <v>-1.9375</v>
      </c>
      <c r="K653" s="6">
        <v>-2.4375</v>
      </c>
      <c r="L653" s="6">
        <v>-14.25</v>
      </c>
      <c r="M653" s="6">
        <v>0.1875</v>
      </c>
      <c r="N653" s="6">
        <v>0</v>
      </c>
      <c r="O653" s="6">
        <v>1.125</v>
      </c>
      <c r="P653" s="6">
        <v>-2.125</v>
      </c>
      <c r="Q653" s="6">
        <v>-48.8125</v>
      </c>
      <c r="R653" s="6">
        <v>2.4001839160919198</v>
      </c>
      <c r="S653" s="6">
        <v>-44.718536376953097</v>
      </c>
      <c r="T653" s="6">
        <v>0.38848841190338101</v>
      </c>
      <c r="U653" s="6">
        <v>0.88229638338089</v>
      </c>
      <c r="V653" s="6">
        <v>-26.617040634155298</v>
      </c>
      <c r="W653" s="6">
        <v>-18.466356277465799</v>
      </c>
    </row>
    <row r="654" spans="1:23" ht="18.95" customHeight="1">
      <c r="A654" s="4">
        <v>650</v>
      </c>
      <c r="B654" s="4">
        <v>13945</v>
      </c>
      <c r="C654" s="4">
        <v>1</v>
      </c>
      <c r="D654" s="6">
        <v>0</v>
      </c>
      <c r="E654" s="6">
        <v>0</v>
      </c>
      <c r="F654" s="6">
        <v>46.125</v>
      </c>
      <c r="G654" s="6">
        <v>1.375</v>
      </c>
      <c r="H654" s="6">
        <v>0.75</v>
      </c>
      <c r="I654" s="6">
        <v>1.5625</v>
      </c>
      <c r="J654" s="6">
        <v>-1.9375</v>
      </c>
      <c r="K654" s="6">
        <v>-3.375</v>
      </c>
      <c r="L654" s="6">
        <v>-15.6875</v>
      </c>
      <c r="M654" s="6">
        <v>0.25</v>
      </c>
      <c r="N654" s="6">
        <v>6.25E-2</v>
      </c>
      <c r="O654" s="6">
        <v>1.125</v>
      </c>
      <c r="P654" s="6">
        <v>-2.125</v>
      </c>
      <c r="Q654" s="6">
        <v>-48.6875</v>
      </c>
      <c r="R654" s="6">
        <v>1.54522216320038</v>
      </c>
      <c r="S654" s="6">
        <v>-44.565864562988303</v>
      </c>
      <c r="T654" s="6">
        <v>0.32741963863372803</v>
      </c>
      <c r="U654" s="6">
        <v>0.944072425365448</v>
      </c>
      <c r="V654" s="6">
        <v>-27.387790679931602</v>
      </c>
      <c r="W654" s="6">
        <v>-18.461784362793001</v>
      </c>
    </row>
    <row r="655" spans="1:23" ht="18.95" customHeight="1">
      <c r="A655" s="4">
        <v>651</v>
      </c>
      <c r="B655" s="4">
        <v>13967</v>
      </c>
      <c r="C655" s="4">
        <v>1</v>
      </c>
      <c r="D655" s="6">
        <v>0</v>
      </c>
      <c r="E655" s="6">
        <v>0</v>
      </c>
      <c r="F655" s="6">
        <v>46.375</v>
      </c>
      <c r="G655" s="6">
        <v>1.125</v>
      </c>
      <c r="H655" s="6">
        <v>0.75</v>
      </c>
      <c r="I655" s="6">
        <v>1.5625</v>
      </c>
      <c r="J655" s="6">
        <v>-1.9375</v>
      </c>
      <c r="K655" s="6">
        <v>-4.25</v>
      </c>
      <c r="L655" s="6">
        <v>-18.125</v>
      </c>
      <c r="M655" s="6">
        <v>0.3125</v>
      </c>
      <c r="N655" s="6">
        <v>-6.25E-2</v>
      </c>
      <c r="O655" s="6">
        <v>1.125</v>
      </c>
      <c r="P655" s="6">
        <v>-2.125</v>
      </c>
      <c r="Q655" s="6">
        <v>-48.1875</v>
      </c>
      <c r="R655" s="6">
        <v>2.3391151428222701</v>
      </c>
      <c r="S655" s="6">
        <v>-42.917007446289098</v>
      </c>
      <c r="T655" s="6">
        <v>0.58696162700653098</v>
      </c>
      <c r="U655" s="6">
        <v>0.99234455823898304</v>
      </c>
      <c r="V655" s="6">
        <v>-28.125856399536101</v>
      </c>
      <c r="W655" s="6">
        <v>-18.449275970458999</v>
      </c>
    </row>
    <row r="656" spans="1:23" ht="18.95" customHeight="1">
      <c r="A656" s="4">
        <v>652</v>
      </c>
      <c r="B656" s="4">
        <v>13987</v>
      </c>
      <c r="C656" s="4">
        <v>1</v>
      </c>
      <c r="D656" s="6">
        <v>0</v>
      </c>
      <c r="E656" s="6">
        <v>0</v>
      </c>
      <c r="F656" s="6">
        <v>44.75</v>
      </c>
      <c r="G656" s="6">
        <v>1.6875</v>
      </c>
      <c r="H656" s="6">
        <v>1.125</v>
      </c>
      <c r="I656" s="6">
        <v>1.5625</v>
      </c>
      <c r="J656" s="6">
        <v>-2</v>
      </c>
      <c r="K656" s="6">
        <v>-5.5625</v>
      </c>
      <c r="L656" s="6">
        <v>-18.9375</v>
      </c>
      <c r="M656" s="6">
        <v>0.375</v>
      </c>
      <c r="N656" s="6">
        <v>0</v>
      </c>
      <c r="O656" s="6">
        <v>1.125</v>
      </c>
      <c r="P656" s="6">
        <v>-2.125</v>
      </c>
      <c r="Q656" s="6">
        <v>-47.8125</v>
      </c>
      <c r="R656" s="6">
        <v>1.9421687126159699</v>
      </c>
      <c r="S656" s="6">
        <v>-42.764335632324197</v>
      </c>
      <c r="T656" s="6">
        <v>0.49535858631134</v>
      </c>
      <c r="U656" s="6">
        <v>1.0552145242691</v>
      </c>
      <c r="V656" s="6">
        <v>-28.818387985229499</v>
      </c>
      <c r="W656" s="6">
        <v>-18.440467834472699</v>
      </c>
    </row>
    <row r="657" spans="1:23" ht="18.95" customHeight="1">
      <c r="A657" s="4">
        <v>653</v>
      </c>
      <c r="B657" s="4">
        <v>14008</v>
      </c>
      <c r="C657" s="4">
        <v>1</v>
      </c>
      <c r="D657" s="6">
        <v>0</v>
      </c>
      <c r="E657" s="6">
        <v>0</v>
      </c>
      <c r="F657" s="6">
        <v>44.0625</v>
      </c>
      <c r="G657" s="6">
        <v>1.4375</v>
      </c>
      <c r="H657" s="6">
        <v>0.9375</v>
      </c>
      <c r="I657" s="6">
        <v>1.5625</v>
      </c>
      <c r="J657" s="6">
        <v>-2</v>
      </c>
      <c r="K657" s="6">
        <v>-6</v>
      </c>
      <c r="L657" s="6">
        <v>-20.625</v>
      </c>
      <c r="M657" s="6">
        <v>0.3125</v>
      </c>
      <c r="N657" s="6">
        <v>-6.25E-2</v>
      </c>
      <c r="O657" s="6">
        <v>1.0625</v>
      </c>
      <c r="P657" s="6">
        <v>-2.125</v>
      </c>
      <c r="Q657" s="6">
        <v>-47.4375</v>
      </c>
      <c r="R657" s="6">
        <v>2.0643060207366899</v>
      </c>
      <c r="S657" s="6">
        <v>-41.756698608398402</v>
      </c>
      <c r="T657" s="6">
        <v>0.61749601364135698</v>
      </c>
      <c r="U657" s="6">
        <v>1.05746114253998</v>
      </c>
      <c r="V657" s="6">
        <v>-29.517299652099599</v>
      </c>
      <c r="W657" s="6">
        <v>-18.434047698974599</v>
      </c>
    </row>
    <row r="658" spans="1:23" ht="18.95" customHeight="1">
      <c r="A658" s="4">
        <v>654</v>
      </c>
      <c r="B658" s="4">
        <v>14030</v>
      </c>
      <c r="C658" s="4">
        <v>1</v>
      </c>
      <c r="D658" s="6">
        <v>0</v>
      </c>
      <c r="E658" s="6">
        <v>0</v>
      </c>
      <c r="F658" s="6">
        <v>42.8125</v>
      </c>
      <c r="G658" s="6">
        <v>1.4375</v>
      </c>
      <c r="H658" s="6">
        <v>1.0625</v>
      </c>
      <c r="I658" s="6">
        <v>1.5625</v>
      </c>
      <c r="J658" s="6">
        <v>-2.0625</v>
      </c>
      <c r="K658" s="6">
        <v>-7.25</v>
      </c>
      <c r="L658" s="6">
        <v>-21.875</v>
      </c>
      <c r="M658" s="6">
        <v>0.3125</v>
      </c>
      <c r="N658" s="6">
        <v>0</v>
      </c>
      <c r="O658" s="6">
        <v>1.0625</v>
      </c>
      <c r="P658" s="6">
        <v>-2.125</v>
      </c>
      <c r="Q658" s="6">
        <v>-47</v>
      </c>
      <c r="R658" s="6">
        <v>1.63682520389557</v>
      </c>
      <c r="S658" s="6">
        <v>-41.3292236328125</v>
      </c>
      <c r="T658" s="6">
        <v>0.23581659793853799</v>
      </c>
      <c r="U658" s="6">
        <v>1.1048882007598899</v>
      </c>
      <c r="V658" s="6">
        <v>-30.23073387146</v>
      </c>
      <c r="W658" s="6">
        <v>-18.4282321929932</v>
      </c>
    </row>
    <row r="659" spans="1:23" ht="18.95" customHeight="1">
      <c r="A659" s="4">
        <v>655</v>
      </c>
      <c r="B659" s="4">
        <v>14050</v>
      </c>
      <c r="C659" s="4">
        <v>1</v>
      </c>
      <c r="D659" s="6">
        <v>0</v>
      </c>
      <c r="E659" s="6">
        <v>0</v>
      </c>
      <c r="F659" s="6">
        <v>42.6875</v>
      </c>
      <c r="G659" s="6">
        <v>1.1875</v>
      </c>
      <c r="H659" s="6">
        <v>0.9375</v>
      </c>
      <c r="I659" s="6">
        <v>1.5625</v>
      </c>
      <c r="J659" s="6">
        <v>-2.0625</v>
      </c>
      <c r="K659" s="6">
        <v>-8.0625</v>
      </c>
      <c r="L659" s="6">
        <v>-23.5625</v>
      </c>
      <c r="M659" s="6">
        <v>0.3125</v>
      </c>
      <c r="N659" s="6">
        <v>0</v>
      </c>
      <c r="O659" s="6">
        <v>1.0625</v>
      </c>
      <c r="P659" s="6">
        <v>-2.125</v>
      </c>
      <c r="Q659" s="6">
        <v>-46.5625</v>
      </c>
      <c r="R659" s="6">
        <v>1.9421687126159699</v>
      </c>
      <c r="S659" s="6">
        <v>-39.8941040039062</v>
      </c>
      <c r="T659" s="6">
        <v>0.49535858631134</v>
      </c>
      <c r="U659" s="6">
        <v>1.1110028028488199</v>
      </c>
      <c r="V659" s="6">
        <v>-30.812479019165</v>
      </c>
      <c r="W659" s="6">
        <v>-18.420509338378899</v>
      </c>
    </row>
    <row r="660" spans="1:23" ht="18.95" customHeight="1">
      <c r="A660" s="4">
        <v>656</v>
      </c>
      <c r="B660" s="4">
        <v>14072</v>
      </c>
      <c r="C660" s="4">
        <v>1</v>
      </c>
      <c r="D660" s="6">
        <v>0</v>
      </c>
      <c r="E660" s="6">
        <v>0</v>
      </c>
      <c r="F660" s="6">
        <v>41.4375</v>
      </c>
      <c r="G660" s="6">
        <v>1.5</v>
      </c>
      <c r="H660" s="6">
        <v>0.8125</v>
      </c>
      <c r="I660" s="6">
        <v>1.5625</v>
      </c>
      <c r="J660" s="6">
        <v>-2.125</v>
      </c>
      <c r="K660" s="6">
        <v>-8.875</v>
      </c>
      <c r="L660" s="6">
        <v>-24.9375</v>
      </c>
      <c r="M660" s="6">
        <v>0.4375</v>
      </c>
      <c r="N660" s="6">
        <v>0</v>
      </c>
      <c r="O660" s="6">
        <v>1.0625</v>
      </c>
      <c r="P660" s="6">
        <v>-2.125</v>
      </c>
      <c r="Q660" s="6">
        <v>-46.125</v>
      </c>
      <c r="R660" s="6">
        <v>1.4688862562179601</v>
      </c>
      <c r="S660" s="6">
        <v>-39.833038330078097</v>
      </c>
      <c r="T660" s="6">
        <v>-3.8992583751678501E-2</v>
      </c>
      <c r="U660" s="6">
        <v>1.16603744029999</v>
      </c>
      <c r="V660" s="6">
        <v>-31.466688156127901</v>
      </c>
      <c r="W660" s="6">
        <v>-18.415449142456101</v>
      </c>
    </row>
    <row r="661" spans="1:23" ht="18.95" customHeight="1">
      <c r="A661" s="4">
        <v>657</v>
      </c>
      <c r="B661" s="4">
        <v>14093</v>
      </c>
      <c r="C661" s="4">
        <v>1</v>
      </c>
      <c r="D661" s="6">
        <v>0</v>
      </c>
      <c r="E661" s="6">
        <v>0</v>
      </c>
      <c r="F661" s="6">
        <v>40.875</v>
      </c>
      <c r="G661" s="6">
        <v>1.125</v>
      </c>
      <c r="H661" s="6">
        <v>0.8125</v>
      </c>
      <c r="I661" s="6">
        <v>1.5625</v>
      </c>
      <c r="J661" s="6">
        <v>-2.125</v>
      </c>
      <c r="K661" s="6">
        <v>-9.6875</v>
      </c>
      <c r="L661" s="6">
        <v>-26.5</v>
      </c>
      <c r="M661" s="6">
        <v>0.3125</v>
      </c>
      <c r="N661" s="6">
        <v>-6.25E-2</v>
      </c>
      <c r="O661" s="6">
        <v>1.0625</v>
      </c>
      <c r="P661" s="6">
        <v>-2.125</v>
      </c>
      <c r="Q661" s="6">
        <v>-45.625</v>
      </c>
      <c r="R661" s="6">
        <v>2.0795731544494598</v>
      </c>
      <c r="S661" s="6">
        <v>-38.794868469238303</v>
      </c>
      <c r="T661" s="6">
        <v>0.55642724037170399</v>
      </c>
      <c r="U661" s="6">
        <v>1.11936902999878</v>
      </c>
      <c r="V661" s="6">
        <v>-32.098747253417997</v>
      </c>
      <c r="W661" s="6">
        <v>-18.405361175537099</v>
      </c>
    </row>
    <row r="662" spans="1:23" ht="18.95" customHeight="1">
      <c r="A662" s="4">
        <v>658</v>
      </c>
      <c r="B662" s="4">
        <v>14114</v>
      </c>
      <c r="C662" s="4">
        <v>1</v>
      </c>
      <c r="D662" s="6">
        <v>0</v>
      </c>
      <c r="E662" s="6">
        <v>0</v>
      </c>
      <c r="F662" s="6">
        <v>40.5</v>
      </c>
      <c r="G662" s="6">
        <v>1.1875</v>
      </c>
      <c r="H662" s="6">
        <v>0.8125</v>
      </c>
      <c r="I662" s="6">
        <v>1.5625</v>
      </c>
      <c r="J662" s="6">
        <v>-2.125</v>
      </c>
      <c r="K662" s="6">
        <v>-10.5</v>
      </c>
      <c r="L662" s="6">
        <v>-29.0625</v>
      </c>
      <c r="M662" s="6">
        <v>0.375</v>
      </c>
      <c r="N662" s="6">
        <v>0.1875</v>
      </c>
      <c r="O662" s="6">
        <v>1</v>
      </c>
      <c r="P662" s="6">
        <v>-2.125</v>
      </c>
      <c r="Q662" s="6">
        <v>-44.8125</v>
      </c>
      <c r="R662" s="6">
        <v>1.2246114015579199</v>
      </c>
      <c r="S662" s="6">
        <v>-37.5582275390625</v>
      </c>
      <c r="T662" s="6">
        <v>0.28161811828613298</v>
      </c>
      <c r="U662" s="6">
        <v>1.2579548358917201</v>
      </c>
      <c r="V662" s="6">
        <v>-32.699375152587898</v>
      </c>
      <c r="W662" s="6">
        <v>-18.393733978271499</v>
      </c>
    </row>
    <row r="663" spans="1:23" ht="18.95" customHeight="1">
      <c r="A663" s="4">
        <v>659</v>
      </c>
      <c r="B663" s="4">
        <v>14134</v>
      </c>
      <c r="C663" s="4">
        <v>1</v>
      </c>
      <c r="D663" s="6">
        <v>0</v>
      </c>
      <c r="E663" s="6">
        <v>0</v>
      </c>
      <c r="F663" s="6">
        <v>39</v>
      </c>
      <c r="G663" s="6">
        <v>1.25</v>
      </c>
      <c r="H663" s="6">
        <v>1.125</v>
      </c>
      <c r="I663" s="6">
        <v>1.5625</v>
      </c>
      <c r="J663" s="6">
        <v>-2.1875</v>
      </c>
      <c r="K663" s="6">
        <v>-11.25</v>
      </c>
      <c r="L663" s="6">
        <v>-29.875</v>
      </c>
      <c r="M663" s="6">
        <v>0.5625</v>
      </c>
      <c r="N663" s="6">
        <v>0.125</v>
      </c>
      <c r="O663" s="6">
        <v>1</v>
      </c>
      <c r="P663" s="6">
        <v>-2.125</v>
      </c>
      <c r="Q663" s="6">
        <v>-44.5</v>
      </c>
      <c r="R663" s="6">
        <v>1.6215579509735101</v>
      </c>
      <c r="S663" s="6">
        <v>-36.199447631835902</v>
      </c>
      <c r="T663" s="6">
        <v>0.44955706596374501</v>
      </c>
      <c r="U663" s="6">
        <v>1.23409688472748</v>
      </c>
      <c r="V663" s="6">
        <v>-33.216800689697301</v>
      </c>
      <c r="W663" s="6">
        <v>-18.390094757080099</v>
      </c>
    </row>
    <row r="664" spans="1:23" ht="18.95" customHeight="1">
      <c r="A664" s="4">
        <v>660</v>
      </c>
      <c r="B664" s="4">
        <v>14154</v>
      </c>
      <c r="C664" s="4">
        <v>1</v>
      </c>
      <c r="D664" s="6">
        <v>0</v>
      </c>
      <c r="E664" s="6">
        <v>0</v>
      </c>
      <c r="F664" s="6">
        <v>38.125</v>
      </c>
      <c r="G664" s="6">
        <v>0.6875</v>
      </c>
      <c r="H664" s="6">
        <v>0.75</v>
      </c>
      <c r="I664" s="6">
        <v>1.5625</v>
      </c>
      <c r="J664" s="6">
        <v>-2.1875</v>
      </c>
      <c r="K664" s="6">
        <v>-12</v>
      </c>
      <c r="L664" s="6">
        <v>-32.3125</v>
      </c>
      <c r="M664" s="6">
        <v>0.4375</v>
      </c>
      <c r="N664" s="6">
        <v>6.25E-2</v>
      </c>
      <c r="O664" s="6">
        <v>1</v>
      </c>
      <c r="P664" s="6">
        <v>-2.125</v>
      </c>
      <c r="Q664" s="6">
        <v>-43.9375</v>
      </c>
      <c r="R664" s="6">
        <v>1.6215579509735101</v>
      </c>
      <c r="S664" s="6">
        <v>-34.306320190429702</v>
      </c>
      <c r="T664" s="6">
        <v>0.23581659793853799</v>
      </c>
      <c r="U664" s="6">
        <v>1.24404644966125</v>
      </c>
      <c r="V664" s="6">
        <v>-33.763107299804702</v>
      </c>
      <c r="W664" s="6">
        <v>-18.379173278808601</v>
      </c>
    </row>
    <row r="665" spans="1:23" ht="18.95" customHeight="1">
      <c r="A665" s="4">
        <v>661</v>
      </c>
      <c r="B665" s="4">
        <v>14182</v>
      </c>
      <c r="C665" s="4">
        <v>1</v>
      </c>
      <c r="D665" s="6">
        <v>0</v>
      </c>
      <c r="E665" s="6">
        <v>0</v>
      </c>
      <c r="F665" s="6">
        <v>35.375</v>
      </c>
      <c r="G665" s="6">
        <v>0.8125</v>
      </c>
      <c r="H665" s="6">
        <v>0.8125</v>
      </c>
      <c r="I665" s="6">
        <v>1.5625</v>
      </c>
      <c r="J665" s="6">
        <v>-2.1875</v>
      </c>
      <c r="K665" s="6">
        <v>-13</v>
      </c>
      <c r="L665" s="6">
        <v>-33.75</v>
      </c>
      <c r="M665" s="6">
        <v>0.4375</v>
      </c>
      <c r="N665" s="6">
        <v>0.125</v>
      </c>
      <c r="O665" s="6">
        <v>1</v>
      </c>
      <c r="P665" s="6">
        <v>-2.125</v>
      </c>
      <c r="Q665" s="6">
        <v>-43</v>
      </c>
      <c r="R665" s="6">
        <v>1.0414053201675399</v>
      </c>
      <c r="S665" s="6">
        <v>-33.130744934082003</v>
      </c>
      <c r="T665" s="6">
        <v>0.144213557243347</v>
      </c>
      <c r="U665" s="6">
        <v>1.25201988220215</v>
      </c>
      <c r="V665" s="6">
        <v>-34.604213714599602</v>
      </c>
      <c r="W665" s="6">
        <v>-18.375280380248999</v>
      </c>
    </row>
    <row r="666" spans="1:23" ht="18.95" customHeight="1">
      <c r="A666" s="4">
        <v>662</v>
      </c>
      <c r="B666" s="4">
        <v>14202</v>
      </c>
      <c r="C666" s="4">
        <v>1</v>
      </c>
      <c r="D666" s="6">
        <v>0</v>
      </c>
      <c r="E666" s="6">
        <v>0</v>
      </c>
      <c r="F666" s="6">
        <v>34.5</v>
      </c>
      <c r="G666" s="6">
        <v>0.875</v>
      </c>
      <c r="H666" s="6">
        <v>0.6875</v>
      </c>
      <c r="I666" s="6">
        <v>1.5</v>
      </c>
      <c r="J666" s="6">
        <v>-2.1875</v>
      </c>
      <c r="K666" s="6">
        <v>-13.6875</v>
      </c>
      <c r="L666" s="6">
        <v>-36.4375</v>
      </c>
      <c r="M666" s="6">
        <v>0.4375</v>
      </c>
      <c r="N666" s="6">
        <v>0</v>
      </c>
      <c r="O666" s="6">
        <v>0.9375</v>
      </c>
      <c r="P666" s="6">
        <v>-2.125</v>
      </c>
      <c r="Q666" s="6">
        <v>-42.3125</v>
      </c>
      <c r="R666" s="6">
        <v>1.17880988121033</v>
      </c>
      <c r="S666" s="6">
        <v>-31.359754562377901</v>
      </c>
      <c r="T666" s="6">
        <v>0.25108379125595098</v>
      </c>
      <c r="U666" s="6">
        <v>1.2849657535553001</v>
      </c>
      <c r="V666" s="6">
        <v>-35.062057495117202</v>
      </c>
      <c r="W666" s="6">
        <v>-18.365083694458001</v>
      </c>
    </row>
    <row r="667" spans="1:23" ht="18.95" customHeight="1">
      <c r="A667" s="4">
        <v>663</v>
      </c>
      <c r="B667" s="4">
        <v>14224</v>
      </c>
      <c r="C667" s="4">
        <v>1</v>
      </c>
      <c r="D667" s="6">
        <v>0</v>
      </c>
      <c r="E667" s="6">
        <v>0</v>
      </c>
      <c r="F667" s="6">
        <v>32.75</v>
      </c>
      <c r="G667" s="6">
        <v>0.9375</v>
      </c>
      <c r="H667" s="6">
        <v>0.8125</v>
      </c>
      <c r="I667" s="6">
        <v>1.5</v>
      </c>
      <c r="J667" s="6">
        <v>-2.25</v>
      </c>
      <c r="K667" s="6">
        <v>-14.375</v>
      </c>
      <c r="L667" s="6">
        <v>-37.9375</v>
      </c>
      <c r="M667" s="6">
        <v>0.4375</v>
      </c>
      <c r="N667" s="6">
        <v>-6.25E-2</v>
      </c>
      <c r="O667" s="6">
        <v>0.9375</v>
      </c>
      <c r="P667" s="6">
        <v>-2.125</v>
      </c>
      <c r="Q667" s="6">
        <v>-41.625</v>
      </c>
      <c r="R667" s="6">
        <v>1.6826267242431601</v>
      </c>
      <c r="S667" s="6">
        <v>-29.695632934570298</v>
      </c>
      <c r="T667" s="6">
        <v>0.58696162700653098</v>
      </c>
      <c r="U667" s="6">
        <v>1.2702853679657</v>
      </c>
      <c r="V667" s="6">
        <v>-35.504940032958999</v>
      </c>
      <c r="W667" s="6">
        <v>-18.360691070556602</v>
      </c>
    </row>
    <row r="668" spans="1:23" ht="18.95" customHeight="1">
      <c r="A668" s="4">
        <v>664</v>
      </c>
      <c r="B668" s="4">
        <v>14244</v>
      </c>
      <c r="C668" s="4">
        <v>1</v>
      </c>
      <c r="D668" s="6">
        <v>0</v>
      </c>
      <c r="E668" s="6">
        <v>0</v>
      </c>
      <c r="F668" s="6">
        <v>31.3125</v>
      </c>
      <c r="G668" s="6">
        <v>0.8125</v>
      </c>
      <c r="H668" s="6">
        <v>0.75</v>
      </c>
      <c r="I668" s="6">
        <v>1.5</v>
      </c>
      <c r="J668" s="6">
        <v>-2.25</v>
      </c>
      <c r="K668" s="6">
        <v>-14.9375</v>
      </c>
      <c r="L668" s="6">
        <v>-40.4375</v>
      </c>
      <c r="M668" s="6">
        <v>0.4375</v>
      </c>
      <c r="N668" s="6">
        <v>6.25E-2</v>
      </c>
      <c r="O668" s="6">
        <v>0.9375</v>
      </c>
      <c r="P668" s="6">
        <v>-2.125</v>
      </c>
      <c r="Q668" s="6">
        <v>-40.875</v>
      </c>
      <c r="R668" s="6">
        <v>0.96506941318511996</v>
      </c>
      <c r="S668" s="6">
        <v>-27.008609771728501</v>
      </c>
      <c r="T668" s="6">
        <v>-6.9526910781860393E-2</v>
      </c>
      <c r="U668" s="6">
        <v>1.31268358230591</v>
      </c>
      <c r="V668" s="6">
        <v>-35.852931976318402</v>
      </c>
      <c r="W668" s="6">
        <v>-18.3455696105957</v>
      </c>
    </row>
    <row r="669" spans="1:23" ht="18.95" customHeight="1">
      <c r="A669" s="4">
        <v>665</v>
      </c>
      <c r="B669" s="4">
        <v>14264</v>
      </c>
      <c r="C669" s="4">
        <v>1</v>
      </c>
      <c r="D669" s="6">
        <v>0</v>
      </c>
      <c r="E669" s="6">
        <v>0</v>
      </c>
      <c r="F669" s="6">
        <v>28.8125</v>
      </c>
      <c r="G669" s="6">
        <v>0.8125</v>
      </c>
      <c r="H669" s="6">
        <v>1</v>
      </c>
      <c r="I669" s="6">
        <v>1.5</v>
      </c>
      <c r="J669" s="6">
        <v>-2.25</v>
      </c>
      <c r="K669" s="6">
        <v>-15.5</v>
      </c>
      <c r="L669" s="6">
        <v>-41.5625</v>
      </c>
      <c r="M669" s="6">
        <v>0.4375</v>
      </c>
      <c r="N669" s="6">
        <v>6.25E-2</v>
      </c>
      <c r="O669" s="6">
        <v>0.9375</v>
      </c>
      <c r="P669" s="6">
        <v>-2.125</v>
      </c>
      <c r="Q669" s="6">
        <v>-40.0625</v>
      </c>
      <c r="R669" s="6">
        <v>0.43071842193603499</v>
      </c>
      <c r="S669" s="6">
        <v>-25.4971599578857</v>
      </c>
      <c r="T669" s="6">
        <v>8.3144843578338595E-2</v>
      </c>
      <c r="U669" s="6">
        <v>1.37805140018463</v>
      </c>
      <c r="V669" s="6">
        <v>-36.214153289794901</v>
      </c>
      <c r="W669" s="6">
        <v>-18.341150283813501</v>
      </c>
    </row>
    <row r="670" spans="1:23" ht="18.95" customHeight="1">
      <c r="A670" s="4">
        <v>666</v>
      </c>
      <c r="B670" s="4">
        <v>14284</v>
      </c>
      <c r="C670" s="4">
        <v>1</v>
      </c>
      <c r="D670" s="6">
        <v>0</v>
      </c>
      <c r="E670" s="6">
        <v>0</v>
      </c>
      <c r="F670" s="6">
        <v>27</v>
      </c>
      <c r="G670" s="6">
        <v>0.625</v>
      </c>
      <c r="H670" s="6">
        <v>0.75</v>
      </c>
      <c r="I670" s="6">
        <v>1.5</v>
      </c>
      <c r="J670" s="6">
        <v>-2.25</v>
      </c>
      <c r="K670" s="6">
        <v>-16.0625</v>
      </c>
      <c r="L670" s="6">
        <v>-43.4375</v>
      </c>
      <c r="M670" s="6">
        <v>0.625</v>
      </c>
      <c r="N670" s="6">
        <v>0.125</v>
      </c>
      <c r="O670" s="6">
        <v>0.875</v>
      </c>
      <c r="P670" s="6">
        <v>-2.125</v>
      </c>
      <c r="Q670" s="6">
        <v>-39.25</v>
      </c>
      <c r="R670" s="6">
        <v>1.0414053201675399</v>
      </c>
      <c r="S670" s="6">
        <v>-22.840671539306602</v>
      </c>
      <c r="T670" s="6">
        <v>0.26635098457336398</v>
      </c>
      <c r="U670" s="6">
        <v>1.3517746925353999</v>
      </c>
      <c r="V670" s="6">
        <v>-36.507160186767599</v>
      </c>
      <c r="W670" s="6">
        <v>-18.336885452270501</v>
      </c>
    </row>
    <row r="671" spans="1:23" ht="18.95" customHeight="1">
      <c r="A671" s="4">
        <v>667</v>
      </c>
      <c r="B671" s="4">
        <v>14305</v>
      </c>
      <c r="C671" s="4">
        <v>1</v>
      </c>
      <c r="D671" s="6">
        <v>0</v>
      </c>
      <c r="E671" s="6">
        <v>0</v>
      </c>
      <c r="F671" s="6">
        <v>24.5</v>
      </c>
      <c r="G671" s="6">
        <v>0.4375</v>
      </c>
      <c r="H671" s="6">
        <v>0.5625</v>
      </c>
      <c r="I671" s="6">
        <v>1.5</v>
      </c>
      <c r="J671" s="6">
        <v>-2.25</v>
      </c>
      <c r="K671" s="6">
        <v>-16.5</v>
      </c>
      <c r="L671" s="6">
        <v>-45.375</v>
      </c>
      <c r="M671" s="6">
        <v>0.625</v>
      </c>
      <c r="N671" s="6">
        <v>0</v>
      </c>
      <c r="O671" s="6">
        <v>0.875</v>
      </c>
      <c r="P671" s="6">
        <v>-2.125</v>
      </c>
      <c r="Q671" s="6">
        <v>-38.375</v>
      </c>
      <c r="R671" s="6">
        <v>0.415451049804688</v>
      </c>
      <c r="S671" s="6">
        <v>-20.5047931671143</v>
      </c>
      <c r="T671" s="6">
        <v>-0.25273302197456399</v>
      </c>
      <c r="U671" s="6">
        <v>1.37525629997253</v>
      </c>
      <c r="V671" s="6">
        <v>-36.783348083496101</v>
      </c>
      <c r="W671" s="6">
        <v>-18.337888717651399</v>
      </c>
    </row>
    <row r="672" spans="1:23" ht="18.95" customHeight="1">
      <c r="A672" s="4">
        <v>668</v>
      </c>
      <c r="B672" s="4">
        <v>14327</v>
      </c>
      <c r="C672" s="4">
        <v>1</v>
      </c>
      <c r="D672" s="6">
        <v>0</v>
      </c>
      <c r="E672" s="6">
        <v>0</v>
      </c>
      <c r="F672" s="6">
        <v>22.375</v>
      </c>
      <c r="G672" s="6">
        <v>-0.125</v>
      </c>
      <c r="H672" s="6">
        <v>0.125</v>
      </c>
      <c r="I672" s="6">
        <v>1.5</v>
      </c>
      <c r="J672" s="6">
        <v>-2.25</v>
      </c>
      <c r="K672" s="6">
        <v>-16.9375</v>
      </c>
      <c r="L672" s="6">
        <v>-48.0625</v>
      </c>
      <c r="M672" s="6">
        <v>0.5625</v>
      </c>
      <c r="N672" s="6">
        <v>-6.25E-2</v>
      </c>
      <c r="O672" s="6">
        <v>0.8125</v>
      </c>
      <c r="P672" s="6">
        <v>-2.125</v>
      </c>
      <c r="Q672" s="6">
        <v>-37</v>
      </c>
      <c r="R672" s="6">
        <v>1.01087093353271</v>
      </c>
      <c r="S672" s="6">
        <v>-17.665098190307599</v>
      </c>
      <c r="T672" s="6">
        <v>0.66329753398895297</v>
      </c>
      <c r="U672" s="6">
        <v>1.37055540084839</v>
      </c>
      <c r="V672" s="6">
        <v>-36.923046112060497</v>
      </c>
      <c r="W672" s="6">
        <v>-18.3252849578857</v>
      </c>
    </row>
    <row r="673" spans="1:23" ht="18.95" customHeight="1">
      <c r="A673" s="4">
        <v>669</v>
      </c>
      <c r="B673" s="4">
        <v>14348</v>
      </c>
      <c r="C673" s="4">
        <v>1</v>
      </c>
      <c r="D673" s="6">
        <v>0</v>
      </c>
      <c r="E673" s="6">
        <v>0</v>
      </c>
      <c r="F673" s="6">
        <v>19.5</v>
      </c>
      <c r="G673" s="6">
        <v>0.5625</v>
      </c>
      <c r="H673" s="6">
        <v>0.8125</v>
      </c>
      <c r="I673" s="6">
        <v>1.5</v>
      </c>
      <c r="J673" s="6">
        <v>-2.25</v>
      </c>
      <c r="K673" s="6">
        <v>-17.3125</v>
      </c>
      <c r="L673" s="6">
        <v>-48.625</v>
      </c>
      <c r="M673" s="6">
        <v>0.5625</v>
      </c>
      <c r="N673" s="6">
        <v>0.1875</v>
      </c>
      <c r="O673" s="6">
        <v>0.8125</v>
      </c>
      <c r="P673" s="6">
        <v>-2.125</v>
      </c>
      <c r="Q673" s="6">
        <v>-36.0625</v>
      </c>
      <c r="R673" s="6">
        <v>7.9573392868042006E-2</v>
      </c>
      <c r="S673" s="6">
        <v>-15.176549911499</v>
      </c>
      <c r="T673" s="6">
        <v>0.26635098457336398</v>
      </c>
      <c r="U673" s="6">
        <v>1.4534488916397099</v>
      </c>
      <c r="V673" s="6">
        <v>-37.169284820556598</v>
      </c>
      <c r="W673" s="6">
        <v>-18.3183708190918</v>
      </c>
    </row>
    <row r="674" spans="1:23" ht="18.95" customHeight="1">
      <c r="A674" s="4">
        <v>670</v>
      </c>
      <c r="B674" s="4">
        <v>14370</v>
      </c>
      <c r="C674" s="4">
        <v>1</v>
      </c>
      <c r="D674" s="6">
        <v>0</v>
      </c>
      <c r="E674" s="6">
        <v>0</v>
      </c>
      <c r="F674" s="6">
        <v>17</v>
      </c>
      <c r="G674" s="6">
        <v>0.25</v>
      </c>
      <c r="H674" s="6">
        <v>0.5625</v>
      </c>
      <c r="I674" s="6">
        <v>1.5</v>
      </c>
      <c r="J674" s="6">
        <v>-2.25</v>
      </c>
      <c r="K674" s="6">
        <v>-17.6875</v>
      </c>
      <c r="L674" s="6">
        <v>-51.0625</v>
      </c>
      <c r="M674" s="6">
        <v>0.5</v>
      </c>
      <c r="N674" s="6">
        <v>0.1875</v>
      </c>
      <c r="O674" s="6">
        <v>0.8125</v>
      </c>
      <c r="P674" s="6">
        <v>-2.125</v>
      </c>
      <c r="Q674" s="6">
        <v>-35.125</v>
      </c>
      <c r="R674" s="6">
        <v>0.38491678237915</v>
      </c>
      <c r="S674" s="6">
        <v>-12.275785446166999</v>
      </c>
      <c r="T674" s="6">
        <v>0.32741963863372803</v>
      </c>
      <c r="U674" s="6">
        <v>1.3721439838409399</v>
      </c>
      <c r="V674" s="6">
        <v>-37.253158569335902</v>
      </c>
      <c r="W674" s="6">
        <v>-18.3137397766113</v>
      </c>
    </row>
    <row r="675" spans="1:23" ht="18.95" customHeight="1">
      <c r="A675" s="4">
        <v>671</v>
      </c>
      <c r="B675" s="4">
        <v>14390</v>
      </c>
      <c r="C675" s="4">
        <v>1</v>
      </c>
      <c r="D675" s="6">
        <v>0</v>
      </c>
      <c r="E675" s="6">
        <v>0</v>
      </c>
      <c r="F675" s="6">
        <v>14.5</v>
      </c>
      <c r="G675" s="6">
        <v>-0.1875</v>
      </c>
      <c r="H675" s="6">
        <v>0.3125</v>
      </c>
      <c r="I675" s="6">
        <v>1.5</v>
      </c>
      <c r="J675" s="6">
        <v>-2.25</v>
      </c>
      <c r="K675" s="6">
        <v>-17.9375</v>
      </c>
      <c r="L675" s="6">
        <v>-53.125</v>
      </c>
      <c r="M675" s="6">
        <v>0.625</v>
      </c>
      <c r="N675" s="6">
        <v>0.125</v>
      </c>
      <c r="O675" s="6">
        <v>0.75</v>
      </c>
      <c r="P675" s="6">
        <v>-2.125</v>
      </c>
      <c r="Q675" s="6">
        <v>-34.0625</v>
      </c>
      <c r="R675" s="6">
        <v>0.29331374168396002</v>
      </c>
      <c r="S675" s="6">
        <v>-9.7567014694213903</v>
      </c>
      <c r="T675" s="6">
        <v>0.31215250492095897</v>
      </c>
      <c r="U675" s="6">
        <v>1.43849229812622</v>
      </c>
      <c r="V675" s="6">
        <v>-37.381397247314503</v>
      </c>
      <c r="W675" s="6">
        <v>-18.304702758789102</v>
      </c>
    </row>
    <row r="676" spans="1:23" ht="18.95" customHeight="1">
      <c r="A676" s="4">
        <v>672</v>
      </c>
      <c r="B676" s="4">
        <v>14410</v>
      </c>
      <c r="C676" s="4">
        <v>1</v>
      </c>
      <c r="D676" s="6">
        <v>0</v>
      </c>
      <c r="E676" s="6">
        <v>0</v>
      </c>
      <c r="F676" s="6">
        <v>11.75</v>
      </c>
      <c r="G676" s="6">
        <v>0.625</v>
      </c>
      <c r="H676" s="6">
        <v>0.5</v>
      </c>
      <c r="I676" s="6">
        <v>1.5</v>
      </c>
      <c r="J676" s="6">
        <v>-2.25</v>
      </c>
      <c r="K676" s="6">
        <v>-18.1875</v>
      </c>
      <c r="L676" s="6">
        <v>-54.75</v>
      </c>
      <c r="M676" s="6">
        <v>0.5625</v>
      </c>
      <c r="N676" s="6">
        <v>0.125</v>
      </c>
      <c r="O676" s="6">
        <v>0.75</v>
      </c>
      <c r="P676" s="6">
        <v>-2.125</v>
      </c>
      <c r="Q676" s="6">
        <v>-33</v>
      </c>
      <c r="R676" s="6">
        <v>0.64445877075195301</v>
      </c>
      <c r="S676" s="6">
        <v>-6.2605185508728001</v>
      </c>
      <c r="T676" s="6">
        <v>0.61749601364135698</v>
      </c>
      <c r="U676" s="6">
        <v>1.3572084903717001</v>
      </c>
      <c r="V676" s="6">
        <v>-37.4118041992188</v>
      </c>
      <c r="W676" s="6">
        <v>-18.296728134155298</v>
      </c>
    </row>
    <row r="677" spans="1:23" ht="18.95" customHeight="1">
      <c r="A677" s="4">
        <v>673</v>
      </c>
      <c r="B677" s="4">
        <v>14431</v>
      </c>
      <c r="C677" s="4">
        <v>1</v>
      </c>
      <c r="D677" s="6">
        <v>0</v>
      </c>
      <c r="E677" s="6">
        <v>0</v>
      </c>
      <c r="F677" s="6">
        <v>8.875</v>
      </c>
      <c r="G677" s="6">
        <v>0</v>
      </c>
      <c r="H677" s="6">
        <v>0.3125</v>
      </c>
      <c r="I677" s="6">
        <v>1.5</v>
      </c>
      <c r="J677" s="6">
        <v>-2.25</v>
      </c>
      <c r="K677" s="6">
        <v>-18.375</v>
      </c>
      <c r="L677" s="6">
        <v>-56.8125</v>
      </c>
      <c r="M677" s="6">
        <v>0.5625</v>
      </c>
      <c r="N677" s="6">
        <v>0.125</v>
      </c>
      <c r="O677" s="6">
        <v>0.75</v>
      </c>
      <c r="P677" s="6">
        <v>-2.125</v>
      </c>
      <c r="Q677" s="6">
        <v>-31.9375</v>
      </c>
      <c r="R677" s="6">
        <v>3.3771753311157199E-2</v>
      </c>
      <c r="S677" s="6">
        <v>-3.9399075508117698</v>
      </c>
      <c r="T677" s="6">
        <v>-5.4259717464447001E-2</v>
      </c>
      <c r="U677" s="6">
        <v>1.4338289499282799</v>
      </c>
      <c r="V677" s="6">
        <v>-37.489002227783203</v>
      </c>
      <c r="W677" s="6">
        <v>-18.287569046020501</v>
      </c>
    </row>
    <row r="678" spans="1:23" ht="18.95" customHeight="1">
      <c r="A678" s="4">
        <v>674</v>
      </c>
      <c r="B678" s="4">
        <v>14453</v>
      </c>
      <c r="C678" s="4">
        <v>1</v>
      </c>
      <c r="D678" s="6">
        <v>0</v>
      </c>
      <c r="E678" s="6">
        <v>0</v>
      </c>
      <c r="F678" s="6">
        <v>4.4375</v>
      </c>
      <c r="G678" s="6">
        <v>0.5</v>
      </c>
      <c r="H678" s="6">
        <v>0.5625</v>
      </c>
      <c r="I678" s="6">
        <v>1.5</v>
      </c>
      <c r="J678" s="6">
        <v>-2.25</v>
      </c>
      <c r="K678" s="6">
        <v>-18.5625</v>
      </c>
      <c r="L678" s="6">
        <v>-58.4375</v>
      </c>
      <c r="M678" s="6">
        <v>0.5</v>
      </c>
      <c r="N678" s="6">
        <v>6.25E-2</v>
      </c>
      <c r="O678" s="6">
        <v>0.6875</v>
      </c>
      <c r="P678" s="6">
        <v>-2.125</v>
      </c>
      <c r="Q678" s="6">
        <v>-30.8125</v>
      </c>
      <c r="R678" s="6">
        <v>0.216977834701538</v>
      </c>
      <c r="S678" s="6">
        <v>6.0092210769653299E-2</v>
      </c>
      <c r="T678" s="6">
        <v>0.58696162700653098</v>
      </c>
      <c r="U678" s="6">
        <v>1.32765829563141</v>
      </c>
      <c r="V678" s="6">
        <v>-37.362358093261697</v>
      </c>
      <c r="W678" s="6">
        <v>-18.281543731689499</v>
      </c>
    </row>
    <row r="679" spans="1:23" ht="18.95" customHeight="1">
      <c r="A679" s="4">
        <v>675</v>
      </c>
      <c r="B679" s="4">
        <v>14475</v>
      </c>
      <c r="C679" s="4">
        <v>1</v>
      </c>
      <c r="D679" s="6">
        <v>0</v>
      </c>
      <c r="E679" s="6">
        <v>0</v>
      </c>
      <c r="F679" s="6">
        <v>-0.4375</v>
      </c>
      <c r="G679" s="6">
        <v>0.1875</v>
      </c>
      <c r="H679" s="6">
        <v>0.5</v>
      </c>
      <c r="I679" s="6">
        <v>1.5</v>
      </c>
      <c r="J679" s="6">
        <v>-2.25</v>
      </c>
      <c r="K679" s="6">
        <v>-18.5625</v>
      </c>
      <c r="L679" s="6">
        <v>-61.625</v>
      </c>
      <c r="M679" s="6">
        <v>0.625</v>
      </c>
      <c r="N679" s="6">
        <v>-6.25E-2</v>
      </c>
      <c r="O679" s="6">
        <v>0.6875</v>
      </c>
      <c r="P679" s="6">
        <v>-2.125</v>
      </c>
      <c r="Q679" s="6">
        <v>-29.0625</v>
      </c>
      <c r="R679" s="6">
        <v>-0.43951058387756298</v>
      </c>
      <c r="S679" s="6">
        <v>3.6631455421447798</v>
      </c>
      <c r="T679" s="6">
        <v>0.19001507759094199</v>
      </c>
      <c r="U679" s="6">
        <v>1.4307713508605999</v>
      </c>
      <c r="V679" s="6">
        <v>-37.293281555175803</v>
      </c>
      <c r="W679" s="6">
        <v>-18.274656295776399</v>
      </c>
    </row>
    <row r="680" spans="1:23" ht="18.95" customHeight="1">
      <c r="A680" s="4">
        <v>676</v>
      </c>
      <c r="B680" s="4">
        <v>14495</v>
      </c>
      <c r="C680" s="4">
        <v>1</v>
      </c>
      <c r="D680" s="6">
        <v>0</v>
      </c>
      <c r="E680" s="6">
        <v>0</v>
      </c>
      <c r="F680" s="6">
        <v>-3.6875</v>
      </c>
      <c r="G680" s="6">
        <v>-0.25</v>
      </c>
      <c r="H680" s="6">
        <v>0.25</v>
      </c>
      <c r="I680" s="6">
        <v>1.5</v>
      </c>
      <c r="J680" s="6">
        <v>-2.25</v>
      </c>
      <c r="K680" s="6">
        <v>-18.5</v>
      </c>
      <c r="L680" s="6">
        <v>-62.4375</v>
      </c>
      <c r="M680" s="6">
        <v>0.8125</v>
      </c>
      <c r="N680" s="6">
        <v>0.125</v>
      </c>
      <c r="O680" s="6">
        <v>0.625</v>
      </c>
      <c r="P680" s="6">
        <v>-2.125</v>
      </c>
      <c r="Q680" s="6">
        <v>-28.4375</v>
      </c>
      <c r="R680" s="6">
        <v>0.14064192771911599</v>
      </c>
      <c r="S680" s="6">
        <v>6.5639090538024902</v>
      </c>
      <c r="T680" s="6">
        <v>0.19001507759094199</v>
      </c>
      <c r="U680" s="6">
        <v>1.30009377002716</v>
      </c>
      <c r="V680" s="6">
        <v>-37.0079345703125</v>
      </c>
      <c r="W680" s="6">
        <v>-18.271848678588899</v>
      </c>
    </row>
    <row r="681" spans="1:23" ht="18.95" customHeight="1">
      <c r="A681" s="4">
        <v>677</v>
      </c>
      <c r="B681" s="4">
        <v>14515</v>
      </c>
      <c r="C681" s="4">
        <v>1</v>
      </c>
      <c r="D681" s="6">
        <v>0</v>
      </c>
      <c r="E681" s="6">
        <v>0</v>
      </c>
      <c r="F681" s="6">
        <v>-6.8125</v>
      </c>
      <c r="G681" s="6">
        <v>0.25</v>
      </c>
      <c r="H681" s="6">
        <v>0.5625</v>
      </c>
      <c r="I681" s="6">
        <v>1.5</v>
      </c>
      <c r="J681" s="6">
        <v>-2.25</v>
      </c>
      <c r="K681" s="6">
        <v>-18.375</v>
      </c>
      <c r="L681" s="6">
        <v>-64.75</v>
      </c>
      <c r="M681" s="6">
        <v>0.5625</v>
      </c>
      <c r="N681" s="6">
        <v>6.25E-2</v>
      </c>
      <c r="O681" s="6">
        <v>0.625</v>
      </c>
      <c r="P681" s="6">
        <v>-2.1875</v>
      </c>
      <c r="Q681" s="6">
        <v>-27.1875</v>
      </c>
      <c r="R681" s="6">
        <v>-0.54638099670410201</v>
      </c>
      <c r="S681" s="6">
        <v>9.8005504608154297</v>
      </c>
      <c r="T681" s="6">
        <v>0.174747884273529</v>
      </c>
      <c r="U681" s="6">
        <v>1.3855726718902599</v>
      </c>
      <c r="V681" s="6">
        <v>-36.794895172119098</v>
      </c>
      <c r="W681" s="6">
        <v>-18.266727447509801</v>
      </c>
    </row>
    <row r="682" spans="1:23" ht="18.95" customHeight="1">
      <c r="A682" s="4">
        <v>678</v>
      </c>
      <c r="B682" s="4">
        <v>14535</v>
      </c>
      <c r="C682" s="4">
        <v>1</v>
      </c>
      <c r="D682" s="6">
        <v>0</v>
      </c>
      <c r="E682" s="6">
        <v>0</v>
      </c>
      <c r="F682" s="6">
        <v>-10.125</v>
      </c>
      <c r="G682" s="6">
        <v>-0.25</v>
      </c>
      <c r="H682" s="6">
        <v>0.25</v>
      </c>
      <c r="I682" s="6">
        <v>1.5</v>
      </c>
      <c r="J682" s="6">
        <v>-2.25</v>
      </c>
      <c r="K682" s="6">
        <v>-18.1875</v>
      </c>
      <c r="L682" s="6">
        <v>-64.8125</v>
      </c>
      <c r="M682" s="6">
        <v>0.8125</v>
      </c>
      <c r="N682" s="6">
        <v>0.125</v>
      </c>
      <c r="O682" s="6">
        <v>0.5625</v>
      </c>
      <c r="P682" s="6">
        <v>-2.1875</v>
      </c>
      <c r="Q682" s="6">
        <v>-25.3125</v>
      </c>
      <c r="R682" s="6">
        <v>-1.05019760131836</v>
      </c>
      <c r="S682" s="6">
        <v>13.464672088623001</v>
      </c>
      <c r="T682" s="6">
        <v>0.20528227090835599</v>
      </c>
      <c r="U682" s="6">
        <v>1.39386522769928</v>
      </c>
      <c r="V682" s="6">
        <v>-36.583396911621101</v>
      </c>
      <c r="W682" s="6">
        <v>-18.263477325439499</v>
      </c>
    </row>
    <row r="683" spans="1:23" ht="18.95" customHeight="1">
      <c r="A683" s="4">
        <v>679</v>
      </c>
      <c r="B683" s="4">
        <v>14556</v>
      </c>
      <c r="C683" s="4">
        <v>1</v>
      </c>
      <c r="D683" s="6">
        <v>0</v>
      </c>
      <c r="E683" s="6">
        <v>0</v>
      </c>
      <c r="F683" s="6">
        <v>-13.75</v>
      </c>
      <c r="G683" s="6">
        <v>-0.625</v>
      </c>
      <c r="H683" s="6">
        <v>0.1875</v>
      </c>
      <c r="I683" s="6">
        <v>1.5</v>
      </c>
      <c r="J683" s="6">
        <v>-2.25</v>
      </c>
      <c r="K683" s="6">
        <v>-17.9375</v>
      </c>
      <c r="L683" s="6">
        <v>-67.0625</v>
      </c>
      <c r="M683" s="6">
        <v>0.4375</v>
      </c>
      <c r="N683" s="6">
        <v>0.125</v>
      </c>
      <c r="O683" s="6">
        <v>0.5625</v>
      </c>
      <c r="P683" s="6">
        <v>-2.1875</v>
      </c>
      <c r="Q683" s="6">
        <v>-24.625</v>
      </c>
      <c r="R683" s="6">
        <v>-1.2029886245727499E-2</v>
      </c>
      <c r="S683" s="6">
        <v>16.518108367919901</v>
      </c>
      <c r="T683" s="6">
        <v>0.20528227090835599</v>
      </c>
      <c r="U683" s="6">
        <v>1.40287518501282</v>
      </c>
      <c r="V683" s="6">
        <v>-36.208671569824197</v>
      </c>
      <c r="W683" s="6">
        <v>-18.243015289306602</v>
      </c>
    </row>
    <row r="684" spans="1:23" ht="18.95" customHeight="1">
      <c r="A684" s="4">
        <v>680</v>
      </c>
      <c r="B684" s="4">
        <v>14583</v>
      </c>
      <c r="C684" s="4">
        <v>1</v>
      </c>
      <c r="D684" s="6">
        <v>0</v>
      </c>
      <c r="E684" s="6">
        <v>0</v>
      </c>
      <c r="F684" s="6">
        <v>-17.0625</v>
      </c>
      <c r="G684" s="6">
        <v>0</v>
      </c>
      <c r="H684" s="6">
        <v>0.3125</v>
      </c>
      <c r="I684" s="6">
        <v>1.5</v>
      </c>
      <c r="J684" s="6">
        <v>-2.25</v>
      </c>
      <c r="K684" s="6">
        <v>-17.4375</v>
      </c>
      <c r="L684" s="6">
        <v>-69.0625</v>
      </c>
      <c r="M684" s="6">
        <v>0.8125</v>
      </c>
      <c r="N684" s="6">
        <v>0.125</v>
      </c>
      <c r="O684" s="6">
        <v>0.5</v>
      </c>
      <c r="P684" s="6">
        <v>-2.1875</v>
      </c>
      <c r="Q684" s="6">
        <v>-22.625</v>
      </c>
      <c r="R684" s="6">
        <v>-0.95859456062316895</v>
      </c>
      <c r="S684" s="6">
        <v>21.4799404144287</v>
      </c>
      <c r="T684" s="6">
        <v>0.174747884273529</v>
      </c>
      <c r="U684" s="6">
        <v>1.35131168365479</v>
      </c>
      <c r="V684" s="6">
        <v>-35.6015625</v>
      </c>
      <c r="W684" s="6">
        <v>-18.238296508789102</v>
      </c>
    </row>
    <row r="685" spans="1:23" ht="18.95" customHeight="1">
      <c r="A685" s="4">
        <v>681</v>
      </c>
      <c r="B685" s="4">
        <v>14605</v>
      </c>
      <c r="C685" s="4">
        <v>1</v>
      </c>
      <c r="D685" s="6">
        <v>0</v>
      </c>
      <c r="E685" s="6">
        <v>0</v>
      </c>
      <c r="F685" s="6">
        <v>-22.3125</v>
      </c>
      <c r="G685" s="6">
        <v>-0.5625</v>
      </c>
      <c r="H685" s="6">
        <v>0.125</v>
      </c>
      <c r="I685" s="6">
        <v>1.5</v>
      </c>
      <c r="J685" s="6">
        <v>-2.25</v>
      </c>
      <c r="K685" s="6">
        <v>-17</v>
      </c>
      <c r="L685" s="6">
        <v>-71.5</v>
      </c>
      <c r="M685" s="6">
        <v>0.6875</v>
      </c>
      <c r="N685" s="6">
        <v>-6.25E-2</v>
      </c>
      <c r="O685" s="6">
        <v>0.5</v>
      </c>
      <c r="P685" s="6">
        <v>-2.1875</v>
      </c>
      <c r="Q685" s="6">
        <v>-21.25</v>
      </c>
      <c r="R685" s="6">
        <v>-0.82119011878967296</v>
      </c>
      <c r="S685" s="6">
        <v>24.594444274902301</v>
      </c>
      <c r="T685" s="6">
        <v>6.7877650260925307E-2</v>
      </c>
      <c r="U685" s="6">
        <v>1.36082398891449</v>
      </c>
      <c r="V685" s="6">
        <v>-35.077716827392599</v>
      </c>
      <c r="W685" s="6">
        <v>-18.228401184081999</v>
      </c>
    </row>
    <row r="686" spans="1:23" ht="18.95" customHeight="1">
      <c r="A686" s="4">
        <v>682</v>
      </c>
      <c r="B686" s="4">
        <v>14627</v>
      </c>
      <c r="C686" s="4">
        <v>1</v>
      </c>
      <c r="D686" s="6">
        <v>0</v>
      </c>
      <c r="E686" s="6">
        <v>0</v>
      </c>
      <c r="F686" s="6">
        <v>-25.375</v>
      </c>
      <c r="G686" s="6">
        <v>-0.4375</v>
      </c>
      <c r="H686" s="6">
        <v>0.25</v>
      </c>
      <c r="I686" s="6">
        <v>1.5</v>
      </c>
      <c r="J686" s="6">
        <v>-2.25</v>
      </c>
      <c r="K686" s="6">
        <v>-16.5625</v>
      </c>
      <c r="L686" s="6">
        <v>-71.9375</v>
      </c>
      <c r="M686" s="6">
        <v>0.8125</v>
      </c>
      <c r="N686" s="6">
        <v>0.1875</v>
      </c>
      <c r="O686" s="6">
        <v>0.4375</v>
      </c>
      <c r="P686" s="6">
        <v>-2.25</v>
      </c>
      <c r="Q686" s="6">
        <v>-19.1875</v>
      </c>
      <c r="R686" s="6">
        <v>-0.74485421180725098</v>
      </c>
      <c r="S686" s="6">
        <v>29.235664367675799</v>
      </c>
      <c r="T686" s="6">
        <v>0.15948075056076</v>
      </c>
      <c r="U686" s="6">
        <v>1.36450266838074</v>
      </c>
      <c r="V686" s="6">
        <v>-34.581699371337898</v>
      </c>
      <c r="W686" s="6">
        <v>-18.221687316894499</v>
      </c>
    </row>
    <row r="687" spans="1:23" ht="18.95" customHeight="1">
      <c r="A687" s="4">
        <v>683</v>
      </c>
      <c r="B687" s="4">
        <v>14648</v>
      </c>
      <c r="C687" s="4">
        <v>1</v>
      </c>
      <c r="D687" s="6">
        <v>0</v>
      </c>
      <c r="E687" s="6">
        <v>0</v>
      </c>
      <c r="F687" s="6">
        <v>-29.5625</v>
      </c>
      <c r="G687" s="6">
        <v>-0.75</v>
      </c>
      <c r="H687" s="6">
        <v>0</v>
      </c>
      <c r="I687" s="6">
        <v>1.5</v>
      </c>
      <c r="J687" s="6">
        <v>-2.1875</v>
      </c>
      <c r="K687" s="6">
        <v>-16</v>
      </c>
      <c r="L687" s="6">
        <v>-74.4375</v>
      </c>
      <c r="M687" s="6">
        <v>0.8125</v>
      </c>
      <c r="N687" s="6">
        <v>0</v>
      </c>
      <c r="O687" s="6">
        <v>0.4375</v>
      </c>
      <c r="P687" s="6">
        <v>-2.25</v>
      </c>
      <c r="Q687" s="6">
        <v>-17.75</v>
      </c>
      <c r="R687" s="6">
        <v>-0.66851830482482899</v>
      </c>
      <c r="S687" s="6">
        <v>31.4952068328857</v>
      </c>
      <c r="T687" s="6">
        <v>-0.32906889915466297</v>
      </c>
      <c r="U687" s="6">
        <v>1.3591125011444101</v>
      </c>
      <c r="V687" s="6">
        <v>-33.970703125</v>
      </c>
      <c r="W687" s="6">
        <v>-18.210697174072301</v>
      </c>
    </row>
    <row r="688" spans="1:23" ht="18.95" customHeight="1">
      <c r="A688" s="4">
        <v>684</v>
      </c>
      <c r="B688" s="4">
        <v>14669</v>
      </c>
      <c r="C688" s="4">
        <v>1</v>
      </c>
      <c r="D688" s="6">
        <v>0</v>
      </c>
      <c r="E688" s="6">
        <v>0</v>
      </c>
      <c r="F688" s="6">
        <v>-32.375</v>
      </c>
      <c r="G688" s="6">
        <v>-0.3125</v>
      </c>
      <c r="H688" s="6">
        <v>0.125</v>
      </c>
      <c r="I688" s="6">
        <v>1.4375</v>
      </c>
      <c r="J688" s="6">
        <v>-2.1875</v>
      </c>
      <c r="K688" s="6">
        <v>-15.375</v>
      </c>
      <c r="L688" s="6">
        <v>-74.1875</v>
      </c>
      <c r="M688" s="6">
        <v>0.6875</v>
      </c>
      <c r="N688" s="6">
        <v>-6.25E-2</v>
      </c>
      <c r="O688" s="6">
        <v>0.375</v>
      </c>
      <c r="P688" s="6">
        <v>-2.25</v>
      </c>
      <c r="Q688" s="6">
        <v>-16.3125</v>
      </c>
      <c r="R688" s="6">
        <v>-1.0349304676055899</v>
      </c>
      <c r="S688" s="6">
        <v>36.121162414550803</v>
      </c>
      <c r="T688" s="6">
        <v>3.7343323230743401E-2</v>
      </c>
      <c r="U688" s="6">
        <v>1.3617410659789999</v>
      </c>
      <c r="V688" s="6">
        <v>-33.379673004150398</v>
      </c>
      <c r="W688" s="6">
        <v>-18.201898574829102</v>
      </c>
    </row>
    <row r="689" spans="1:23" ht="18.95" customHeight="1">
      <c r="A689" s="4">
        <v>685</v>
      </c>
      <c r="B689" s="4">
        <v>14690</v>
      </c>
      <c r="C689" s="4">
        <v>1</v>
      </c>
      <c r="D689" s="6">
        <v>0</v>
      </c>
      <c r="E689" s="6">
        <v>0</v>
      </c>
      <c r="F689" s="6">
        <v>-36.375</v>
      </c>
      <c r="G689" s="6">
        <v>-0.625</v>
      </c>
      <c r="H689" s="6">
        <v>0.1875</v>
      </c>
      <c r="I689" s="6">
        <v>1.4375</v>
      </c>
      <c r="J689" s="6">
        <v>-2.1875</v>
      </c>
      <c r="K689" s="6">
        <v>-14.6875</v>
      </c>
      <c r="L689" s="6">
        <v>-76.375</v>
      </c>
      <c r="M689" s="6">
        <v>0.5625</v>
      </c>
      <c r="N689" s="6">
        <v>-0.125</v>
      </c>
      <c r="O689" s="6">
        <v>0.375</v>
      </c>
      <c r="P689" s="6">
        <v>-2.25</v>
      </c>
      <c r="Q689" s="6">
        <v>-14.875</v>
      </c>
      <c r="R689" s="6">
        <v>-1.2181365489959699</v>
      </c>
      <c r="S689" s="6">
        <v>38.044822692871101</v>
      </c>
      <c r="T689" s="6">
        <v>0.44955706596374501</v>
      </c>
      <c r="U689" s="6">
        <v>1.3477377891540501</v>
      </c>
      <c r="V689" s="6">
        <v>-32.628795623779297</v>
      </c>
      <c r="W689" s="6">
        <v>-18.184520721435501</v>
      </c>
    </row>
    <row r="690" spans="1:23" ht="18.95" customHeight="1">
      <c r="A690" s="4">
        <v>686</v>
      </c>
      <c r="B690" s="4">
        <v>14710</v>
      </c>
      <c r="C690" s="4">
        <v>1</v>
      </c>
      <c r="D690" s="6">
        <v>0</v>
      </c>
      <c r="E690" s="6">
        <v>0</v>
      </c>
      <c r="F690" s="6">
        <v>-38.875</v>
      </c>
      <c r="G690" s="6">
        <v>-0.5625</v>
      </c>
      <c r="H690" s="6">
        <v>0.25</v>
      </c>
      <c r="I690" s="6">
        <v>1.4375</v>
      </c>
      <c r="J690" s="6">
        <v>-2.1875</v>
      </c>
      <c r="K690" s="6">
        <v>-13.9375</v>
      </c>
      <c r="L690" s="6">
        <v>-75.4375</v>
      </c>
      <c r="M690" s="6">
        <v>0.6875</v>
      </c>
      <c r="N690" s="6">
        <v>-6.25E-2</v>
      </c>
      <c r="O690" s="6">
        <v>0.3125</v>
      </c>
      <c r="P690" s="6">
        <v>-2.3125</v>
      </c>
      <c r="Q690" s="6">
        <v>-13.375</v>
      </c>
      <c r="R690" s="6">
        <v>-0.592182397842407</v>
      </c>
      <c r="S690" s="6">
        <v>42.609710693359403</v>
      </c>
      <c r="T690" s="6">
        <v>1.01444256305695</v>
      </c>
      <c r="U690" s="6">
        <v>1.2271945476532</v>
      </c>
      <c r="V690" s="6">
        <v>-32.049724578857401</v>
      </c>
      <c r="W690" s="6">
        <v>-18.177139282226602</v>
      </c>
    </row>
    <row r="691" spans="1:23" ht="18.95" customHeight="1">
      <c r="A691" s="4">
        <v>687</v>
      </c>
      <c r="B691" s="4">
        <v>14731</v>
      </c>
      <c r="C691" s="4">
        <v>1</v>
      </c>
      <c r="D691" s="6">
        <v>0</v>
      </c>
      <c r="E691" s="6">
        <v>0</v>
      </c>
      <c r="F691" s="6">
        <v>-42.5</v>
      </c>
      <c r="G691" s="6">
        <v>-0.5625</v>
      </c>
      <c r="H691" s="6">
        <v>6.25E-2</v>
      </c>
      <c r="I691" s="6">
        <v>1.4375</v>
      </c>
      <c r="J691" s="6">
        <v>-2.1875</v>
      </c>
      <c r="K691" s="6">
        <v>-13.125</v>
      </c>
      <c r="L691" s="6">
        <v>-76.6875</v>
      </c>
      <c r="M691" s="6">
        <v>0.625</v>
      </c>
      <c r="N691" s="6">
        <v>0</v>
      </c>
      <c r="O691" s="6">
        <v>0.3125</v>
      </c>
      <c r="P691" s="6">
        <v>-2.3125</v>
      </c>
      <c r="Q691" s="6">
        <v>-11.9375</v>
      </c>
      <c r="R691" s="6">
        <v>-0.65325117111206099</v>
      </c>
      <c r="S691" s="6">
        <v>44.640243530273402</v>
      </c>
      <c r="T691" s="6">
        <v>0.43428993225097701</v>
      </c>
      <c r="U691" s="6">
        <v>1.1858706474304199</v>
      </c>
      <c r="V691" s="6">
        <v>-31.091955184936499</v>
      </c>
      <c r="W691" s="6">
        <v>-18.171028137206999</v>
      </c>
    </row>
    <row r="692" spans="1:23" ht="18.95" customHeight="1">
      <c r="A692" s="4">
        <v>688</v>
      </c>
      <c r="B692" s="4">
        <v>14751</v>
      </c>
      <c r="C692" s="4">
        <v>1</v>
      </c>
      <c r="D692" s="6">
        <v>0</v>
      </c>
      <c r="E692" s="6">
        <v>0</v>
      </c>
      <c r="F692" s="6">
        <v>-45.8125</v>
      </c>
      <c r="G692" s="6">
        <v>-0.75</v>
      </c>
      <c r="H692" s="6">
        <v>0.125</v>
      </c>
      <c r="I692" s="6">
        <v>1.375</v>
      </c>
      <c r="J692" s="6">
        <v>-2.1875</v>
      </c>
      <c r="K692" s="6">
        <v>-12.25</v>
      </c>
      <c r="L692" s="6">
        <v>-77.0625</v>
      </c>
      <c r="M692" s="6">
        <v>0.6875</v>
      </c>
      <c r="N692" s="6">
        <v>-0.125</v>
      </c>
      <c r="O692" s="6">
        <v>0.25</v>
      </c>
      <c r="P692" s="6">
        <v>-2.3125</v>
      </c>
      <c r="Q692" s="6">
        <v>-10.4375</v>
      </c>
      <c r="R692" s="6">
        <v>-1.95096111297607</v>
      </c>
      <c r="S692" s="6">
        <v>48.4417724609375</v>
      </c>
      <c r="T692" s="6">
        <v>-0.206931471824646</v>
      </c>
      <c r="U692" s="6">
        <v>1.1413651704788199</v>
      </c>
      <c r="V692" s="6">
        <v>-30.334884643554702</v>
      </c>
      <c r="W692" s="6">
        <v>-18.177259445190401</v>
      </c>
    </row>
    <row r="693" spans="1:23" ht="18.95" customHeight="1">
      <c r="A693" s="4">
        <v>689</v>
      </c>
      <c r="B693" s="4">
        <v>14771</v>
      </c>
      <c r="C693" s="4">
        <v>1</v>
      </c>
      <c r="D693" s="6">
        <v>0</v>
      </c>
      <c r="E693" s="6">
        <v>0</v>
      </c>
      <c r="F693" s="6">
        <v>-48.5625</v>
      </c>
      <c r="G693" s="6">
        <v>-1.0625</v>
      </c>
      <c r="H693" s="6">
        <v>-0.5</v>
      </c>
      <c r="I693" s="6">
        <v>1.375</v>
      </c>
      <c r="J693" s="6">
        <v>-2.1875</v>
      </c>
      <c r="K693" s="6">
        <v>-11.375</v>
      </c>
      <c r="L693" s="6">
        <v>-76.8125</v>
      </c>
      <c r="M693" s="6">
        <v>0.625</v>
      </c>
      <c r="N693" s="6">
        <v>0</v>
      </c>
      <c r="O693" s="6">
        <v>0.25</v>
      </c>
      <c r="P693" s="6">
        <v>-2.3125</v>
      </c>
      <c r="Q693" s="6">
        <v>-8.9375</v>
      </c>
      <c r="R693" s="6">
        <v>-1.32500696182251</v>
      </c>
      <c r="S693" s="6">
        <v>50.869255065917997</v>
      </c>
      <c r="T693" s="6">
        <v>0.23581659793853799</v>
      </c>
      <c r="U693" s="6">
        <v>1.0680416822433501</v>
      </c>
      <c r="V693" s="6">
        <v>-29.382614135742202</v>
      </c>
      <c r="W693" s="6">
        <v>-18.177528381347699</v>
      </c>
    </row>
    <row r="694" spans="1:23" ht="18.95" customHeight="1">
      <c r="A694" s="4">
        <v>690</v>
      </c>
      <c r="B694" s="4">
        <v>14791</v>
      </c>
      <c r="C694" s="4">
        <v>1</v>
      </c>
      <c r="D694" s="6">
        <v>0</v>
      </c>
      <c r="E694" s="6">
        <v>0</v>
      </c>
      <c r="F694" s="6">
        <v>-51.75</v>
      </c>
      <c r="G694" s="6">
        <v>-0.9375</v>
      </c>
      <c r="H694" s="6">
        <v>-0.375</v>
      </c>
      <c r="I694" s="6">
        <v>1.375</v>
      </c>
      <c r="J694" s="6">
        <v>-2.125</v>
      </c>
      <c r="K694" s="6">
        <v>-10.375</v>
      </c>
      <c r="L694" s="6">
        <v>-77.0625</v>
      </c>
      <c r="M694" s="6">
        <v>0.8125</v>
      </c>
      <c r="N694" s="6">
        <v>-0.125</v>
      </c>
      <c r="O694" s="6">
        <v>0.1875</v>
      </c>
      <c r="P694" s="6">
        <v>-2.3125</v>
      </c>
      <c r="Q694" s="6">
        <v>-7.4375</v>
      </c>
      <c r="R694" s="6">
        <v>-1.26393818855286</v>
      </c>
      <c r="S694" s="6">
        <v>54.121162414550803</v>
      </c>
      <c r="T694" s="6">
        <v>-0.100061237812042</v>
      </c>
      <c r="U694" s="6">
        <v>1.04359662532806</v>
      </c>
      <c r="V694" s="6">
        <v>-28.4986476898193</v>
      </c>
      <c r="W694" s="6">
        <v>-18.176139831543001</v>
      </c>
    </row>
    <row r="695" spans="1:23" ht="18.95" customHeight="1">
      <c r="A695" s="4">
        <v>691</v>
      </c>
      <c r="B695" s="4">
        <v>14812</v>
      </c>
      <c r="C695" s="4">
        <v>1</v>
      </c>
      <c r="D695" s="6">
        <v>0</v>
      </c>
      <c r="E695" s="6">
        <v>0</v>
      </c>
      <c r="F695" s="6">
        <v>-54.625</v>
      </c>
      <c r="G695" s="6">
        <v>-1.125</v>
      </c>
      <c r="H695" s="6">
        <v>-0.25</v>
      </c>
      <c r="I695" s="6">
        <v>1.375</v>
      </c>
      <c r="J695" s="6">
        <v>-2.125</v>
      </c>
      <c r="K695" s="6">
        <v>-9.3125</v>
      </c>
      <c r="L695" s="6">
        <v>-75.9375</v>
      </c>
      <c r="M695" s="6">
        <v>0.625</v>
      </c>
      <c r="N695" s="6">
        <v>0.125</v>
      </c>
      <c r="O695" s="6">
        <v>0.1875</v>
      </c>
      <c r="P695" s="6">
        <v>-2.3125</v>
      </c>
      <c r="Q695" s="6">
        <v>-6</v>
      </c>
      <c r="R695" s="6">
        <v>-1.8593578338623</v>
      </c>
      <c r="S695" s="6">
        <v>57.525741577148402</v>
      </c>
      <c r="T695" s="6">
        <v>-0.22219866514205899</v>
      </c>
      <c r="U695" s="6">
        <v>1.0814118385314899</v>
      </c>
      <c r="V695" s="6">
        <v>-27.228631973266602</v>
      </c>
      <c r="W695" s="6">
        <v>-18.157882690429702</v>
      </c>
    </row>
    <row r="696" spans="1:23" ht="18.95" customHeight="1">
      <c r="A696" s="4">
        <v>692</v>
      </c>
      <c r="B696" s="4">
        <v>14833</v>
      </c>
      <c r="C696" s="4">
        <v>1</v>
      </c>
      <c r="D696" s="6">
        <v>0</v>
      </c>
      <c r="E696" s="6">
        <v>0</v>
      </c>
      <c r="F696" s="6">
        <v>-58.6875</v>
      </c>
      <c r="G696" s="6">
        <v>-0.6875</v>
      </c>
      <c r="H696" s="6">
        <v>0.125</v>
      </c>
      <c r="I696" s="6">
        <v>1.3125</v>
      </c>
      <c r="J696" s="6">
        <v>-2.125</v>
      </c>
      <c r="K696" s="6">
        <v>-8.1875</v>
      </c>
      <c r="L696" s="6">
        <v>-77.25</v>
      </c>
      <c r="M696" s="6">
        <v>0.875</v>
      </c>
      <c r="N696" s="6">
        <v>-0.125</v>
      </c>
      <c r="O696" s="6">
        <v>0.125</v>
      </c>
      <c r="P696" s="6">
        <v>-2.375</v>
      </c>
      <c r="Q696" s="6">
        <v>-4.5</v>
      </c>
      <c r="R696" s="6">
        <v>-2.4089765548706099</v>
      </c>
      <c r="S696" s="6">
        <v>59.617347717285199</v>
      </c>
      <c r="T696" s="6">
        <v>-0.39013758301734902</v>
      </c>
      <c r="U696" s="6">
        <v>1.0666587352752701</v>
      </c>
      <c r="V696" s="6">
        <v>-26.1099548339844</v>
      </c>
      <c r="W696" s="6">
        <v>-18.157176971435501</v>
      </c>
    </row>
    <row r="697" spans="1:23" ht="18.95" customHeight="1">
      <c r="A697" s="4">
        <v>693</v>
      </c>
      <c r="B697" s="4">
        <v>14853</v>
      </c>
      <c r="C697" s="4">
        <v>1</v>
      </c>
      <c r="D697" s="6">
        <v>0</v>
      </c>
      <c r="E697" s="6">
        <v>0</v>
      </c>
      <c r="F697" s="6">
        <v>-60.1875</v>
      </c>
      <c r="G697" s="6">
        <v>-1.4375</v>
      </c>
      <c r="H697" s="6">
        <v>-0.3125</v>
      </c>
      <c r="I697" s="6">
        <v>1.3125</v>
      </c>
      <c r="J697" s="6">
        <v>-2.0625</v>
      </c>
      <c r="K697" s="6">
        <v>-7.0625</v>
      </c>
      <c r="L697" s="6">
        <v>-74.3125</v>
      </c>
      <c r="M697" s="6">
        <v>0.375</v>
      </c>
      <c r="N697" s="6">
        <v>6.25E-2</v>
      </c>
      <c r="O697" s="6">
        <v>0.125</v>
      </c>
      <c r="P697" s="6">
        <v>-2.375</v>
      </c>
      <c r="Q697" s="6">
        <v>-3</v>
      </c>
      <c r="R697" s="6">
        <v>-2.2410373687744101</v>
      </c>
      <c r="S697" s="6">
        <v>61.403602600097699</v>
      </c>
      <c r="T697" s="6">
        <v>0.23581659793853799</v>
      </c>
      <c r="U697" s="6">
        <v>1.01737856864929</v>
      </c>
      <c r="V697" s="6">
        <v>-24.790082931518601</v>
      </c>
      <c r="W697" s="6">
        <v>-18.1563529968262</v>
      </c>
    </row>
    <row r="698" spans="1:23" ht="18.95" customHeight="1">
      <c r="A698" s="4">
        <v>694</v>
      </c>
      <c r="B698" s="4">
        <v>14875</v>
      </c>
      <c r="C698" s="4">
        <v>0</v>
      </c>
      <c r="D698" s="6">
        <v>0</v>
      </c>
      <c r="E698" s="6">
        <v>0</v>
      </c>
      <c r="F698" s="6">
        <v>-63.125</v>
      </c>
      <c r="G698" s="6">
        <v>-1.25</v>
      </c>
      <c r="H698" s="6">
        <v>-0.5</v>
      </c>
      <c r="I698" s="6">
        <v>1.3125</v>
      </c>
      <c r="J698" s="6">
        <v>-2.0625</v>
      </c>
      <c r="K698" s="6">
        <v>-5.1875</v>
      </c>
      <c r="L698" s="6">
        <v>-73.75</v>
      </c>
      <c r="M698" s="6">
        <v>0.875</v>
      </c>
      <c r="N698" s="6">
        <v>-0.3125</v>
      </c>
      <c r="O698" s="6">
        <v>6.25E-2</v>
      </c>
      <c r="P698" s="6">
        <v>-2.375</v>
      </c>
      <c r="Q698" s="6">
        <v>-0.875</v>
      </c>
      <c r="R698" s="6">
        <v>-2.6074495315551798</v>
      </c>
      <c r="S698" s="6">
        <v>62.22802734375</v>
      </c>
      <c r="T698" s="6">
        <v>0.174747884273529</v>
      </c>
      <c r="U698" s="6">
        <v>0.92902028560638406</v>
      </c>
      <c r="V698" s="6">
        <v>-23.488904953002901</v>
      </c>
      <c r="W698" s="6">
        <v>-18.152070999145501</v>
      </c>
    </row>
    <row r="699" spans="1:23" ht="18.95" customHeight="1">
      <c r="A699" s="4">
        <v>695</v>
      </c>
      <c r="B699" s="4">
        <v>14896</v>
      </c>
      <c r="C699" s="4">
        <v>0</v>
      </c>
      <c r="D699" s="6">
        <v>0</v>
      </c>
      <c r="E699" s="6">
        <v>0</v>
      </c>
      <c r="F699" s="6">
        <v>-63.5625</v>
      </c>
      <c r="G699" s="6">
        <v>-1.3125</v>
      </c>
      <c r="H699" s="6">
        <v>-0.5625</v>
      </c>
      <c r="I699" s="6">
        <v>1.25</v>
      </c>
      <c r="J699" s="6">
        <v>-2</v>
      </c>
      <c r="K699" s="6">
        <v>-4</v>
      </c>
      <c r="L699" s="6">
        <v>-69.75</v>
      </c>
      <c r="M699" s="6">
        <v>0.5</v>
      </c>
      <c r="N699" s="6">
        <v>0.1875</v>
      </c>
      <c r="O699" s="6">
        <v>6.25E-2</v>
      </c>
      <c r="P699" s="6">
        <v>-2.375</v>
      </c>
      <c r="Q699" s="6">
        <v>-0.25</v>
      </c>
      <c r="R699" s="6">
        <v>-2.4547777175903298</v>
      </c>
      <c r="S699" s="6">
        <v>65.052459716796903</v>
      </c>
      <c r="T699" s="6">
        <v>-0.26800018548965499</v>
      </c>
      <c r="U699" s="6">
        <v>0.96323722600936901</v>
      </c>
      <c r="V699" s="6">
        <v>-22.063014984130898</v>
      </c>
      <c r="W699" s="6">
        <v>-18.145999908447301</v>
      </c>
    </row>
    <row r="700" spans="1:23" ht="18.95" customHeight="1">
      <c r="A700" s="4">
        <v>696</v>
      </c>
      <c r="B700" s="4">
        <v>14916</v>
      </c>
      <c r="C700" s="4">
        <v>0</v>
      </c>
      <c r="D700" s="6">
        <v>0</v>
      </c>
      <c r="E700" s="6">
        <v>0</v>
      </c>
      <c r="F700" s="6">
        <v>-66.125</v>
      </c>
      <c r="G700" s="6">
        <v>-0.875</v>
      </c>
      <c r="H700" s="6">
        <v>-6.25E-2</v>
      </c>
      <c r="I700" s="6">
        <v>1.25</v>
      </c>
      <c r="J700" s="6">
        <v>-2</v>
      </c>
      <c r="K700" s="6">
        <v>-2.6875</v>
      </c>
      <c r="L700" s="6">
        <v>-68</v>
      </c>
      <c r="M700" s="6">
        <v>0.6875</v>
      </c>
      <c r="N700" s="6">
        <v>-6.25E-2</v>
      </c>
      <c r="O700" s="6">
        <v>0</v>
      </c>
      <c r="P700" s="6">
        <v>-2.4375</v>
      </c>
      <c r="Q700" s="6">
        <v>1.6875</v>
      </c>
      <c r="R700" s="6">
        <v>-2.6074495315551798</v>
      </c>
      <c r="S700" s="6">
        <v>64.823448181152301</v>
      </c>
      <c r="T700" s="6">
        <v>-0.68021392822265603</v>
      </c>
      <c r="U700" s="6">
        <v>0.92759823799133301</v>
      </c>
      <c r="V700" s="6">
        <v>-20.7079372406006</v>
      </c>
      <c r="W700" s="6">
        <v>-18.145458221435501</v>
      </c>
    </row>
    <row r="701" spans="1:23" ht="18.95" customHeight="1">
      <c r="A701" s="4">
        <v>697</v>
      </c>
      <c r="B701" s="4">
        <v>14937</v>
      </c>
      <c r="C701" s="4">
        <v>0</v>
      </c>
      <c r="D701" s="6">
        <v>0</v>
      </c>
      <c r="E701" s="6">
        <v>0</v>
      </c>
      <c r="F701" s="6">
        <v>-66.75</v>
      </c>
      <c r="G701" s="6">
        <v>-1.625</v>
      </c>
      <c r="H701" s="6">
        <v>-0.5</v>
      </c>
      <c r="I701" s="6">
        <v>1.25</v>
      </c>
      <c r="J701" s="6">
        <v>-2</v>
      </c>
      <c r="K701" s="6">
        <v>-1.375</v>
      </c>
      <c r="L701" s="6">
        <v>-64.25</v>
      </c>
      <c r="M701" s="6">
        <v>0.3125</v>
      </c>
      <c r="N701" s="6">
        <v>-6.25E-2</v>
      </c>
      <c r="O701" s="6">
        <v>0</v>
      </c>
      <c r="P701" s="6">
        <v>-2.4375</v>
      </c>
      <c r="Q701" s="6">
        <v>2.875</v>
      </c>
      <c r="R701" s="6">
        <v>-1.7524876594543499</v>
      </c>
      <c r="S701" s="6">
        <v>66.457038879394503</v>
      </c>
      <c r="T701" s="6">
        <v>-0.100061237812042</v>
      </c>
      <c r="U701" s="6">
        <v>0.82853919267654397</v>
      </c>
      <c r="V701" s="6">
        <v>-19.344093322753899</v>
      </c>
      <c r="W701" s="6">
        <v>-18.145969390869102</v>
      </c>
    </row>
    <row r="702" spans="1:23" ht="18.95" customHeight="1">
      <c r="A702" s="4">
        <v>698</v>
      </c>
      <c r="B702" s="4">
        <v>14979</v>
      </c>
      <c r="C702" s="4">
        <v>1</v>
      </c>
      <c r="D702" s="6">
        <v>0</v>
      </c>
      <c r="E702" s="6">
        <v>0</v>
      </c>
      <c r="F702" s="6">
        <v>-67.0625</v>
      </c>
      <c r="G702" s="6">
        <v>-1.625</v>
      </c>
      <c r="H702" s="6">
        <v>-0.6875</v>
      </c>
      <c r="I702" s="6">
        <v>1.1875</v>
      </c>
      <c r="J702" s="6">
        <v>-1.9375</v>
      </c>
      <c r="K702" s="6">
        <v>1.1875</v>
      </c>
      <c r="L702" s="6">
        <v>-52.875</v>
      </c>
      <c r="M702" s="6">
        <v>0.1875</v>
      </c>
      <c r="N702" s="6">
        <v>0</v>
      </c>
      <c r="O702" s="6">
        <v>359.9375</v>
      </c>
      <c r="P702" s="6">
        <v>-2.4375</v>
      </c>
      <c r="Q702" s="6">
        <v>5.125</v>
      </c>
      <c r="R702" s="6">
        <v>-1.70668649673462</v>
      </c>
      <c r="S702" s="6">
        <v>66.2127685546875</v>
      </c>
      <c r="T702" s="6">
        <v>3.7343323230743401E-2</v>
      </c>
      <c r="U702" s="6">
        <v>0.80378770828247104</v>
      </c>
      <c r="V702" s="6">
        <v>-16.2732334136963</v>
      </c>
      <c r="W702" s="6">
        <v>-18.150568008422901</v>
      </c>
    </row>
    <row r="703" spans="1:23" ht="18.95" customHeight="1">
      <c r="A703" s="4">
        <v>699</v>
      </c>
      <c r="B703" s="4">
        <v>15000</v>
      </c>
      <c r="C703" s="4">
        <v>1</v>
      </c>
      <c r="D703" s="6">
        <v>0</v>
      </c>
      <c r="E703" s="6">
        <v>0</v>
      </c>
      <c r="F703" s="6">
        <v>-68.0625</v>
      </c>
      <c r="G703" s="6">
        <v>-0.9375</v>
      </c>
      <c r="H703" s="6">
        <v>-0.875</v>
      </c>
      <c r="I703" s="6">
        <v>1.1875</v>
      </c>
      <c r="J703" s="6">
        <v>-1.875</v>
      </c>
      <c r="K703" s="6">
        <v>2.5</v>
      </c>
      <c r="L703" s="6">
        <v>-49.5</v>
      </c>
      <c r="M703" s="6">
        <v>0.6875</v>
      </c>
      <c r="N703" s="6">
        <v>-0.3125</v>
      </c>
      <c r="O703" s="6">
        <v>359.9375</v>
      </c>
      <c r="P703" s="6">
        <v>-2.4375</v>
      </c>
      <c r="Q703" s="6">
        <v>6.0625</v>
      </c>
      <c r="R703" s="6">
        <v>-2.9585947990417498</v>
      </c>
      <c r="S703" s="6">
        <v>63.586807250976598</v>
      </c>
      <c r="T703" s="6">
        <v>-0.98555743694305398</v>
      </c>
      <c r="U703" s="6">
        <v>0.92953836917877197</v>
      </c>
      <c r="V703" s="6">
        <v>-14.4946632385254</v>
      </c>
      <c r="W703" s="6">
        <v>-18.1546821594238</v>
      </c>
    </row>
    <row r="704" spans="1:23" ht="18.95" customHeight="1">
      <c r="A704" s="4">
        <v>700</v>
      </c>
      <c r="B704" s="4">
        <v>15020</v>
      </c>
      <c r="C704" s="4">
        <v>1</v>
      </c>
      <c r="D704" s="6">
        <v>0</v>
      </c>
      <c r="E704" s="6">
        <v>0</v>
      </c>
      <c r="F704" s="6">
        <v>-66.125</v>
      </c>
      <c r="G704" s="6">
        <v>-1.875</v>
      </c>
      <c r="H704" s="6">
        <v>-0.75</v>
      </c>
      <c r="I704" s="6">
        <v>1.1875</v>
      </c>
      <c r="J704" s="6">
        <v>-1.875</v>
      </c>
      <c r="K704" s="6">
        <v>3.75</v>
      </c>
      <c r="L704" s="6">
        <v>-42.6875</v>
      </c>
      <c r="M704" s="6">
        <v>0</v>
      </c>
      <c r="N704" s="6">
        <v>-6.25E-2</v>
      </c>
      <c r="O704" s="6">
        <v>359.875</v>
      </c>
      <c r="P704" s="6">
        <v>-2.4375</v>
      </c>
      <c r="Q704" s="6">
        <v>6.9375</v>
      </c>
      <c r="R704" s="6">
        <v>-1.5845489501953101</v>
      </c>
      <c r="S704" s="6">
        <v>63.128791809082003</v>
      </c>
      <c r="T704" s="6">
        <v>-0.191664308309555</v>
      </c>
      <c r="U704" s="6">
        <v>0.72870188951492298</v>
      </c>
      <c r="V704" s="6">
        <v>-13.1434688568115</v>
      </c>
      <c r="W704" s="6">
        <v>-18.158500671386701</v>
      </c>
    </row>
    <row r="705" spans="1:23" ht="18.95" customHeight="1">
      <c r="A705" s="4">
        <v>701</v>
      </c>
      <c r="B705" s="4">
        <v>15041</v>
      </c>
      <c r="C705" s="4">
        <v>1</v>
      </c>
      <c r="D705" s="6">
        <v>0</v>
      </c>
      <c r="E705" s="6">
        <v>0</v>
      </c>
      <c r="F705" s="6">
        <v>-65.3125</v>
      </c>
      <c r="G705" s="6">
        <v>-1</v>
      </c>
      <c r="H705" s="6">
        <v>-0.9375</v>
      </c>
      <c r="I705" s="6">
        <v>1.1875</v>
      </c>
      <c r="J705" s="6">
        <v>-1.8125</v>
      </c>
      <c r="K705" s="6">
        <v>5.0625</v>
      </c>
      <c r="L705" s="6">
        <v>-37.9375</v>
      </c>
      <c r="M705" s="6">
        <v>0.6875</v>
      </c>
      <c r="N705" s="6">
        <v>-0.125</v>
      </c>
      <c r="O705" s="6">
        <v>359.875</v>
      </c>
      <c r="P705" s="6">
        <v>-2.4375</v>
      </c>
      <c r="Q705" s="6">
        <v>7.6875</v>
      </c>
      <c r="R705" s="6">
        <v>-2.5311136245727499</v>
      </c>
      <c r="S705" s="6">
        <v>59.373069763183601</v>
      </c>
      <c r="T705" s="6">
        <v>-0.61914521455764804</v>
      </c>
      <c r="U705" s="6">
        <v>0.81230556964874301</v>
      </c>
      <c r="V705" s="6">
        <v>-11.456098556518601</v>
      </c>
      <c r="W705" s="6">
        <v>-18.156908035278299</v>
      </c>
    </row>
    <row r="706" spans="1:23" ht="18.95" customHeight="1">
      <c r="A706" s="4">
        <v>702</v>
      </c>
      <c r="B706" s="4">
        <v>15061</v>
      </c>
      <c r="C706" s="4">
        <v>1</v>
      </c>
      <c r="D706" s="6">
        <v>0</v>
      </c>
      <c r="E706" s="6">
        <v>0</v>
      </c>
      <c r="F706" s="6">
        <v>-62.0625</v>
      </c>
      <c r="G706" s="6">
        <v>-1.1875</v>
      </c>
      <c r="H706" s="6">
        <v>-0.375</v>
      </c>
      <c r="I706" s="6">
        <v>1.1875</v>
      </c>
      <c r="J706" s="6">
        <v>-1.8125</v>
      </c>
      <c r="K706" s="6">
        <v>6.25</v>
      </c>
      <c r="L706" s="6">
        <v>-30.5625</v>
      </c>
      <c r="M706" s="6">
        <v>6.25E-2</v>
      </c>
      <c r="N706" s="6">
        <v>6.25E-2</v>
      </c>
      <c r="O706" s="6">
        <v>359.875</v>
      </c>
      <c r="P706" s="6">
        <v>-2.4375</v>
      </c>
      <c r="Q706" s="6">
        <v>8.3125</v>
      </c>
      <c r="R706" s="6">
        <v>-1.98149538040161</v>
      </c>
      <c r="S706" s="6">
        <v>58.686042785644503</v>
      </c>
      <c r="T706" s="6">
        <v>-0.46647346019744901</v>
      </c>
      <c r="U706" s="6">
        <v>0.71441036462783802</v>
      </c>
      <c r="V706" s="6">
        <v>-10.253405570983899</v>
      </c>
      <c r="W706" s="6">
        <v>-18.165117263793899</v>
      </c>
    </row>
    <row r="707" spans="1:23" ht="18.95" customHeight="1">
      <c r="A707" s="4">
        <v>703</v>
      </c>
      <c r="B707" s="4">
        <v>15081</v>
      </c>
      <c r="C707" s="4">
        <v>1</v>
      </c>
      <c r="D707" s="6">
        <v>0</v>
      </c>
      <c r="E707" s="6">
        <v>0</v>
      </c>
      <c r="F707" s="6">
        <v>-60.75</v>
      </c>
      <c r="G707" s="6">
        <v>-1.1875</v>
      </c>
      <c r="H707" s="6">
        <v>-1</v>
      </c>
      <c r="I707" s="6">
        <v>1.1875</v>
      </c>
      <c r="J707" s="6">
        <v>-1.8125</v>
      </c>
      <c r="K707" s="6">
        <v>7.4375</v>
      </c>
      <c r="L707" s="6">
        <v>-25.6875</v>
      </c>
      <c r="M707" s="6">
        <v>0.25</v>
      </c>
      <c r="N707" s="6">
        <v>-0.1875</v>
      </c>
      <c r="O707" s="6">
        <v>359.875</v>
      </c>
      <c r="P707" s="6">
        <v>-2.4375</v>
      </c>
      <c r="Q707" s="6">
        <v>8.9375</v>
      </c>
      <c r="R707" s="6">
        <v>-2.1799688339233398</v>
      </c>
      <c r="S707" s="6">
        <v>55.159332275390597</v>
      </c>
      <c r="T707" s="6">
        <v>-0.61914521455764804</v>
      </c>
      <c r="U707" s="6">
        <v>0.661565601825714</v>
      </c>
      <c r="V707" s="6">
        <v>-8.9428682327270508</v>
      </c>
      <c r="W707" s="6">
        <v>-18.1669406890869</v>
      </c>
    </row>
    <row r="708" spans="1:23" ht="18.95" customHeight="1">
      <c r="A708" s="4">
        <v>704</v>
      </c>
      <c r="B708" s="4">
        <v>15103</v>
      </c>
      <c r="C708" s="4">
        <v>1</v>
      </c>
      <c r="D708" s="6">
        <v>0</v>
      </c>
      <c r="E708" s="6">
        <v>0</v>
      </c>
      <c r="F708" s="6">
        <v>-58.0625</v>
      </c>
      <c r="G708" s="6">
        <v>-1.125</v>
      </c>
      <c r="H708" s="6">
        <v>-0.5</v>
      </c>
      <c r="I708" s="6">
        <v>1.1875</v>
      </c>
      <c r="J708" s="6">
        <v>-1.75</v>
      </c>
      <c r="K708" s="6">
        <v>8.5625</v>
      </c>
      <c r="L708" s="6">
        <v>-19.125</v>
      </c>
      <c r="M708" s="6">
        <v>6.25E-2</v>
      </c>
      <c r="N708" s="6">
        <v>-6.25E-2</v>
      </c>
      <c r="O708" s="6">
        <v>359.8125</v>
      </c>
      <c r="P708" s="6">
        <v>-2.5</v>
      </c>
      <c r="Q708" s="6">
        <v>9.5</v>
      </c>
      <c r="R708" s="6">
        <v>-1.8135566711425799</v>
      </c>
      <c r="S708" s="6">
        <v>53.907417297363303</v>
      </c>
      <c r="T708" s="6">
        <v>-0.37487041950225802</v>
      </c>
      <c r="U708" s="6">
        <v>0.604317486286163</v>
      </c>
      <c r="V708" s="6">
        <v>-7.8020482063293501</v>
      </c>
      <c r="W708" s="6">
        <v>-18.170759201049801</v>
      </c>
    </row>
    <row r="709" spans="1:23" ht="18.95" customHeight="1">
      <c r="A709" s="4">
        <v>705</v>
      </c>
      <c r="B709" s="4">
        <v>15124</v>
      </c>
      <c r="C709" s="4">
        <v>1</v>
      </c>
      <c r="D709" s="6">
        <v>0</v>
      </c>
      <c r="E709" s="6">
        <v>0</v>
      </c>
      <c r="F709" s="6">
        <v>-56.125</v>
      </c>
      <c r="G709" s="6">
        <v>-0.9375</v>
      </c>
      <c r="H709" s="6">
        <v>-0.6875</v>
      </c>
      <c r="I709" s="6">
        <v>1.125</v>
      </c>
      <c r="J709" s="6">
        <v>-1.75</v>
      </c>
      <c r="K709" s="6">
        <v>9.6875</v>
      </c>
      <c r="L709" s="6">
        <v>-14</v>
      </c>
      <c r="M709" s="6">
        <v>0.125</v>
      </c>
      <c r="N709" s="6">
        <v>-0.125</v>
      </c>
      <c r="O709" s="6">
        <v>359.8125</v>
      </c>
      <c r="P709" s="6">
        <v>-2.5</v>
      </c>
      <c r="Q709" s="6">
        <v>10.0625</v>
      </c>
      <c r="R709" s="6">
        <v>-2.16470146179199</v>
      </c>
      <c r="S709" s="6">
        <v>50.747116088867202</v>
      </c>
      <c r="T709" s="6">
        <v>-0.61914521455764804</v>
      </c>
      <c r="U709" s="6">
        <v>0.55177402496337902</v>
      </c>
      <c r="V709" s="6">
        <v>-6.6130867004394496</v>
      </c>
      <c r="W709" s="6">
        <v>-18.181571960449201</v>
      </c>
    </row>
    <row r="710" spans="1:23" ht="18.95" customHeight="1">
      <c r="A710" s="4">
        <v>706</v>
      </c>
      <c r="B710" s="4">
        <v>15147</v>
      </c>
      <c r="C710" s="4">
        <v>1</v>
      </c>
      <c r="D710" s="6">
        <v>0</v>
      </c>
      <c r="E710" s="6">
        <v>0</v>
      </c>
      <c r="F710" s="6">
        <v>-53.9375</v>
      </c>
      <c r="G710" s="6">
        <v>-1.5</v>
      </c>
      <c r="H710" s="6">
        <v>-0.9375</v>
      </c>
      <c r="I710" s="6">
        <v>1.125</v>
      </c>
      <c r="J710" s="6">
        <v>-1.6875</v>
      </c>
      <c r="K710" s="6">
        <v>11.25</v>
      </c>
      <c r="L710" s="6">
        <v>-8.25</v>
      </c>
      <c r="M710" s="6">
        <v>-6.25E-2</v>
      </c>
      <c r="N710" s="6">
        <v>0</v>
      </c>
      <c r="O710" s="6">
        <v>359.8125</v>
      </c>
      <c r="P710" s="6">
        <v>-2.5</v>
      </c>
      <c r="Q710" s="6">
        <v>10.25</v>
      </c>
      <c r="R710" s="6">
        <v>-1.6914191246032699</v>
      </c>
      <c r="S710" s="6">
        <v>49.876884460449197</v>
      </c>
      <c r="T710" s="6">
        <v>-0.48174065351486201</v>
      </c>
      <c r="U710" s="6">
        <v>0.52123236656188998</v>
      </c>
      <c r="V710" s="6">
        <v>-5.4557051658630398</v>
      </c>
      <c r="W710" s="6">
        <v>-18.186216354370099</v>
      </c>
    </row>
    <row r="711" spans="1:23" ht="18.95" customHeight="1">
      <c r="A711" s="4">
        <v>707</v>
      </c>
      <c r="B711" s="4">
        <v>15167</v>
      </c>
      <c r="C711" s="4">
        <v>1</v>
      </c>
      <c r="D711" s="6">
        <v>0</v>
      </c>
      <c r="E711" s="6">
        <v>0</v>
      </c>
      <c r="F711" s="6">
        <v>-52.3125</v>
      </c>
      <c r="G711" s="6">
        <v>-0.875</v>
      </c>
      <c r="H711" s="6">
        <v>-0.9375</v>
      </c>
      <c r="I711" s="6">
        <v>1.125</v>
      </c>
      <c r="J711" s="6">
        <v>-1.6875</v>
      </c>
      <c r="K711" s="6">
        <v>12.25</v>
      </c>
      <c r="L711" s="6">
        <v>-3.25</v>
      </c>
      <c r="M711" s="6">
        <v>0.25</v>
      </c>
      <c r="N711" s="6">
        <v>0</v>
      </c>
      <c r="O711" s="6">
        <v>359.8125</v>
      </c>
      <c r="P711" s="6">
        <v>-2.5625</v>
      </c>
      <c r="Q711" s="6">
        <v>10.375</v>
      </c>
      <c r="R711" s="6">
        <v>-2.2715716361999498</v>
      </c>
      <c r="S711" s="6">
        <v>45.968490600585902</v>
      </c>
      <c r="T711" s="6">
        <v>-1.1992979049682599</v>
      </c>
      <c r="U711" s="6">
        <v>0.53030771017074596</v>
      </c>
      <c r="V711" s="6">
        <v>-4.6440734863281197</v>
      </c>
      <c r="W711" s="6">
        <v>-18.204753875732401</v>
      </c>
    </row>
    <row r="712" spans="1:23" ht="18.95" customHeight="1">
      <c r="A712" s="4">
        <v>708</v>
      </c>
      <c r="B712" s="4">
        <v>15190</v>
      </c>
      <c r="C712" s="4">
        <v>1</v>
      </c>
      <c r="D712" s="6">
        <v>0</v>
      </c>
      <c r="E712" s="6">
        <v>0</v>
      </c>
      <c r="F712" s="6">
        <v>-48.0625</v>
      </c>
      <c r="G712" s="6">
        <v>-1.5625</v>
      </c>
      <c r="H712" s="6">
        <v>-1.5</v>
      </c>
      <c r="I712" s="6">
        <v>1.1875</v>
      </c>
      <c r="J712" s="6">
        <v>-1.625</v>
      </c>
      <c r="K712" s="6">
        <v>13.1875</v>
      </c>
      <c r="L712" s="6">
        <v>3.6875</v>
      </c>
      <c r="M712" s="6">
        <v>0.1875</v>
      </c>
      <c r="N712" s="6">
        <v>-0.5</v>
      </c>
      <c r="O712" s="6">
        <v>359.8125</v>
      </c>
      <c r="P712" s="6">
        <v>-2.5625</v>
      </c>
      <c r="Q712" s="6">
        <v>10.4375</v>
      </c>
      <c r="R712" s="6">
        <v>-2.33264064788818</v>
      </c>
      <c r="S712" s="6">
        <v>42.960853576660199</v>
      </c>
      <c r="T712" s="6">
        <v>-0.68021392822265603</v>
      </c>
      <c r="U712" s="6">
        <v>0.53599709272384599</v>
      </c>
      <c r="V712" s="6">
        <v>-3.5865795612335201</v>
      </c>
      <c r="W712" s="6">
        <v>-18.2126274108887</v>
      </c>
    </row>
    <row r="713" spans="1:23" ht="18.95" customHeight="1">
      <c r="A713" s="4">
        <v>709</v>
      </c>
      <c r="B713" s="4">
        <v>15211</v>
      </c>
      <c r="C713" s="4">
        <v>1</v>
      </c>
      <c r="D713" s="6">
        <v>0</v>
      </c>
      <c r="E713" s="6">
        <v>0</v>
      </c>
      <c r="F713" s="6">
        <v>-45.3125</v>
      </c>
      <c r="G713" s="6">
        <v>-1.9375</v>
      </c>
      <c r="H713" s="6">
        <v>-0.75</v>
      </c>
      <c r="I713" s="6">
        <v>1.1875</v>
      </c>
      <c r="J713" s="6">
        <v>-1.625</v>
      </c>
      <c r="K713" s="6">
        <v>14.125</v>
      </c>
      <c r="L713" s="6">
        <v>9.75</v>
      </c>
      <c r="M713" s="6">
        <v>-0.75</v>
      </c>
      <c r="N713" s="6">
        <v>-0.3125</v>
      </c>
      <c r="O713" s="6">
        <v>359.8125</v>
      </c>
      <c r="P713" s="6">
        <v>-2.5625</v>
      </c>
      <c r="Q713" s="6">
        <v>10.375</v>
      </c>
      <c r="R713" s="6">
        <v>-1.4013428688049301</v>
      </c>
      <c r="S713" s="6">
        <v>40.395973205566399</v>
      </c>
      <c r="T713" s="6">
        <v>-0.28326734900474498</v>
      </c>
      <c r="U713" s="6">
        <v>0.31778270006179798</v>
      </c>
      <c r="V713" s="6">
        <v>-2.8465549945831299</v>
      </c>
      <c r="W713" s="6">
        <v>-18.229028701782202</v>
      </c>
    </row>
    <row r="714" spans="1:23" ht="18.95" customHeight="1">
      <c r="A714" s="4">
        <v>710</v>
      </c>
      <c r="B714" s="4">
        <v>15231</v>
      </c>
      <c r="C714" s="4">
        <v>1</v>
      </c>
      <c r="D714" s="6">
        <v>0</v>
      </c>
      <c r="E714" s="6">
        <v>0</v>
      </c>
      <c r="F714" s="6">
        <v>-42.375</v>
      </c>
      <c r="G714" s="6">
        <v>-0.875</v>
      </c>
      <c r="H714" s="6">
        <v>-1.25</v>
      </c>
      <c r="I714" s="6">
        <v>1.1875</v>
      </c>
      <c r="J714" s="6">
        <v>-1.5625</v>
      </c>
      <c r="K714" s="6">
        <v>15.1875</v>
      </c>
      <c r="L714" s="6">
        <v>12.75</v>
      </c>
      <c r="M714" s="6">
        <v>-6.25E-2</v>
      </c>
      <c r="N714" s="6">
        <v>-0.375</v>
      </c>
      <c r="O714" s="6">
        <v>359.8125</v>
      </c>
      <c r="P714" s="6">
        <v>-2.5625</v>
      </c>
      <c r="Q714" s="6">
        <v>10.1875</v>
      </c>
      <c r="R714" s="6">
        <v>-1.6914191246032699</v>
      </c>
      <c r="S714" s="6">
        <v>39.144058227539098</v>
      </c>
      <c r="T714" s="6">
        <v>-0.161129951477051</v>
      </c>
      <c r="U714" s="6">
        <v>0.325698882341385</v>
      </c>
      <c r="V714" s="6">
        <v>-2.2365808486938499</v>
      </c>
      <c r="W714" s="6">
        <v>-18.228288650512699</v>
      </c>
    </row>
    <row r="715" spans="1:23" ht="18.95" customHeight="1">
      <c r="A715" s="4">
        <v>711</v>
      </c>
      <c r="B715" s="4">
        <v>15252</v>
      </c>
      <c r="C715" s="4">
        <v>1</v>
      </c>
      <c r="D715" s="6">
        <v>0</v>
      </c>
      <c r="E715" s="6">
        <v>0</v>
      </c>
      <c r="F715" s="6">
        <v>-41.0625</v>
      </c>
      <c r="G715" s="6">
        <v>-0.875</v>
      </c>
      <c r="H715" s="6">
        <v>-0.4375</v>
      </c>
      <c r="I715" s="6">
        <v>1.1875</v>
      </c>
      <c r="J715" s="6">
        <v>-1.5</v>
      </c>
      <c r="K715" s="6">
        <v>16.0625</v>
      </c>
      <c r="L715" s="6">
        <v>18</v>
      </c>
      <c r="M715" s="6">
        <v>-0.4375</v>
      </c>
      <c r="N715" s="6">
        <v>6.25E-2</v>
      </c>
      <c r="O715" s="6">
        <v>359.875</v>
      </c>
      <c r="P715" s="6">
        <v>-2.5625</v>
      </c>
      <c r="Q715" s="6">
        <v>9.875</v>
      </c>
      <c r="R715" s="6">
        <v>-1.73722076416016</v>
      </c>
      <c r="S715" s="6">
        <v>36.731849670410199</v>
      </c>
      <c r="T715" s="6">
        <v>-0.52754217386245705</v>
      </c>
      <c r="U715" s="6">
        <v>0.379364013671875</v>
      </c>
      <c r="V715" s="6">
        <v>-1.61879646778107</v>
      </c>
      <c r="W715" s="6">
        <v>-18.238115310668899</v>
      </c>
    </row>
    <row r="716" spans="1:23" ht="18.95" customHeight="1">
      <c r="A716" s="4">
        <v>712</v>
      </c>
      <c r="B716" s="4">
        <v>15274</v>
      </c>
      <c r="C716" s="4">
        <v>1</v>
      </c>
      <c r="D716" s="6">
        <v>0</v>
      </c>
      <c r="E716" s="6">
        <v>0</v>
      </c>
      <c r="F716" s="6">
        <v>-38.6875</v>
      </c>
      <c r="G716" s="6">
        <v>-1.0625</v>
      </c>
      <c r="H716" s="6">
        <v>-1</v>
      </c>
      <c r="I716" s="6">
        <v>1.1875</v>
      </c>
      <c r="J716" s="6">
        <v>-1.5</v>
      </c>
      <c r="K716" s="6">
        <v>16.8125</v>
      </c>
      <c r="L716" s="6">
        <v>21.1875</v>
      </c>
      <c r="M716" s="6">
        <v>6.25E-2</v>
      </c>
      <c r="N716" s="6">
        <v>-6.25E-2</v>
      </c>
      <c r="O716" s="6">
        <v>359.875</v>
      </c>
      <c r="P716" s="6">
        <v>-2.625</v>
      </c>
      <c r="Q716" s="6">
        <v>9.3125</v>
      </c>
      <c r="R716" s="6">
        <v>-1.2028694152832</v>
      </c>
      <c r="S716" s="6">
        <v>34.609710693359403</v>
      </c>
      <c r="T716" s="6">
        <v>-0.115328431129456</v>
      </c>
      <c r="U716" s="6">
        <v>0.23944675922393799</v>
      </c>
      <c r="V716" s="6">
        <v>-1.1159143447876001</v>
      </c>
      <c r="W716" s="6">
        <v>-18.2449951171875</v>
      </c>
    </row>
    <row r="717" spans="1:23" ht="18.95" customHeight="1">
      <c r="A717" s="4">
        <v>713</v>
      </c>
      <c r="B717" s="4">
        <v>15296</v>
      </c>
      <c r="C717" s="4">
        <v>1</v>
      </c>
      <c r="D717" s="6">
        <v>0</v>
      </c>
      <c r="E717" s="6">
        <v>0</v>
      </c>
      <c r="F717" s="6">
        <v>-37.0625</v>
      </c>
      <c r="G717" s="6">
        <v>-1.3125</v>
      </c>
      <c r="H717" s="6">
        <v>-0.6875</v>
      </c>
      <c r="I717" s="6">
        <v>1.1875</v>
      </c>
      <c r="J717" s="6">
        <v>-1.4375</v>
      </c>
      <c r="K717" s="6">
        <v>17.6875</v>
      </c>
      <c r="L717" s="6">
        <v>25.75</v>
      </c>
      <c r="M717" s="6">
        <v>-0.3125</v>
      </c>
      <c r="N717" s="6">
        <v>0.125</v>
      </c>
      <c r="O717" s="6">
        <v>359.875</v>
      </c>
      <c r="P717" s="6">
        <v>-2.625</v>
      </c>
      <c r="Q717" s="6">
        <v>8.8125</v>
      </c>
      <c r="R717" s="6">
        <v>-1.1265335083007799</v>
      </c>
      <c r="S717" s="6">
        <v>32.533374786377003</v>
      </c>
      <c r="T717" s="6">
        <v>-0.26800018548965499</v>
      </c>
      <c r="U717" s="6">
        <v>0.298810213804245</v>
      </c>
      <c r="V717" s="6">
        <v>-0.541309595108032</v>
      </c>
      <c r="W717" s="6">
        <v>-18.244726181030298</v>
      </c>
    </row>
    <row r="718" spans="1:23" ht="18.95" customHeight="1">
      <c r="A718" s="4">
        <v>714</v>
      </c>
      <c r="B718" s="4">
        <v>15318</v>
      </c>
      <c r="C718" s="4">
        <v>1</v>
      </c>
      <c r="D718" s="6">
        <v>0</v>
      </c>
      <c r="E718" s="6">
        <v>0</v>
      </c>
      <c r="F718" s="6">
        <v>-34.5625</v>
      </c>
      <c r="G718" s="6">
        <v>-0.5625</v>
      </c>
      <c r="H718" s="6">
        <v>-0.4375</v>
      </c>
      <c r="I718" s="6">
        <v>1.1875</v>
      </c>
      <c r="J718" s="6">
        <v>-1.4375</v>
      </c>
      <c r="K718" s="6">
        <v>18.5</v>
      </c>
      <c r="L718" s="6">
        <v>28.5</v>
      </c>
      <c r="M718" s="6">
        <v>-0.375</v>
      </c>
      <c r="N718" s="6">
        <v>-0.1875</v>
      </c>
      <c r="O718" s="6">
        <v>359.875</v>
      </c>
      <c r="P718" s="6">
        <v>-2.625</v>
      </c>
      <c r="Q718" s="6">
        <v>8.25</v>
      </c>
      <c r="R718" s="6">
        <v>-1.5540146827697801</v>
      </c>
      <c r="S718" s="6">
        <v>30.304367065429702</v>
      </c>
      <c r="T718" s="6">
        <v>-0.69548112154007002</v>
      </c>
      <c r="U718" s="6">
        <v>0.28528565168380698</v>
      </c>
      <c r="V718" s="6">
        <v>-9.2136614024639102E-2</v>
      </c>
      <c r="W718" s="6">
        <v>-18.253423690795898</v>
      </c>
    </row>
    <row r="719" spans="1:23" ht="18.95" customHeight="1">
      <c r="A719" s="4">
        <v>715</v>
      </c>
      <c r="B719" s="4">
        <v>15340</v>
      </c>
      <c r="C719" s="4">
        <v>1</v>
      </c>
      <c r="D719" s="6">
        <v>0</v>
      </c>
      <c r="E719" s="6">
        <v>0</v>
      </c>
      <c r="F719" s="6">
        <v>-32.375</v>
      </c>
      <c r="G719" s="6">
        <v>-1</v>
      </c>
      <c r="H719" s="6">
        <v>-0.75</v>
      </c>
      <c r="I719" s="6">
        <v>1.1875</v>
      </c>
      <c r="J719" s="6">
        <v>-1.4375</v>
      </c>
      <c r="K719" s="6">
        <v>19.4375</v>
      </c>
      <c r="L719" s="6">
        <v>34.375</v>
      </c>
      <c r="M719" s="6">
        <v>-0.5</v>
      </c>
      <c r="N719" s="6">
        <v>0.25</v>
      </c>
      <c r="O719" s="6">
        <v>359.875</v>
      </c>
      <c r="P719" s="6">
        <v>-2.625</v>
      </c>
      <c r="Q719" s="6">
        <v>7.625</v>
      </c>
      <c r="R719" s="6">
        <v>-0.66851830482482899</v>
      </c>
      <c r="S719" s="6">
        <v>28.6860466003418</v>
      </c>
      <c r="T719" s="6">
        <v>0.11367923021316501</v>
      </c>
      <c r="U719" s="6">
        <v>0.24746994674205799</v>
      </c>
      <c r="V719" s="6">
        <v>0.22067086398601499</v>
      </c>
      <c r="W719" s="6">
        <v>-18.255609512329102</v>
      </c>
    </row>
    <row r="720" spans="1:23" ht="18.95" customHeight="1">
      <c r="A720" s="4">
        <v>716</v>
      </c>
      <c r="B720" s="4">
        <v>15380</v>
      </c>
      <c r="C720" s="4">
        <v>1</v>
      </c>
      <c r="D720" s="6">
        <v>0</v>
      </c>
      <c r="E720" s="6">
        <v>0</v>
      </c>
      <c r="F720" s="6">
        <v>-28.5</v>
      </c>
      <c r="G720" s="6">
        <v>-1.125</v>
      </c>
      <c r="H720" s="6">
        <v>-0.8125</v>
      </c>
      <c r="I720" s="6">
        <v>1.1875</v>
      </c>
      <c r="J720" s="6">
        <v>-1.4375</v>
      </c>
      <c r="K720" s="6">
        <v>20.75</v>
      </c>
      <c r="L720" s="6">
        <v>39.625</v>
      </c>
      <c r="M720" s="6">
        <v>-0.625</v>
      </c>
      <c r="N720" s="6">
        <v>0.25</v>
      </c>
      <c r="O720" s="6">
        <v>359.9375</v>
      </c>
      <c r="P720" s="6">
        <v>-2.625</v>
      </c>
      <c r="Q720" s="6">
        <v>6.1875</v>
      </c>
      <c r="R720" s="6">
        <v>-0.51584649085998502</v>
      </c>
      <c r="S720" s="6">
        <v>24.655511856079102</v>
      </c>
      <c r="T720" s="6">
        <v>0.35795402526855502</v>
      </c>
      <c r="U720" s="6">
        <v>0.31981343030929599</v>
      </c>
      <c r="V720" s="6">
        <v>0.92186772823333696</v>
      </c>
      <c r="W720" s="6">
        <v>-18.2502765655518</v>
      </c>
    </row>
    <row r="721" spans="1:23" ht="18.95" customHeight="1">
      <c r="A721" s="4">
        <v>717</v>
      </c>
      <c r="B721" s="4">
        <v>15403</v>
      </c>
      <c r="C721" s="4">
        <v>1</v>
      </c>
      <c r="D721" s="6">
        <v>0</v>
      </c>
      <c r="E721" s="6">
        <v>0</v>
      </c>
      <c r="F721" s="6">
        <v>-26.3125</v>
      </c>
      <c r="G721" s="6">
        <v>-0.125</v>
      </c>
      <c r="H721" s="6">
        <v>-0.375</v>
      </c>
      <c r="I721" s="6">
        <v>1.1875</v>
      </c>
      <c r="J721" s="6">
        <v>-1.4375</v>
      </c>
      <c r="K721" s="6">
        <v>21.375</v>
      </c>
      <c r="L721" s="6">
        <v>40.0625</v>
      </c>
      <c r="M721" s="6">
        <v>-0.125</v>
      </c>
      <c r="N721" s="6">
        <v>-6.25E-2</v>
      </c>
      <c r="O721" s="6">
        <v>359.9375</v>
      </c>
      <c r="P721" s="6">
        <v>-2.625</v>
      </c>
      <c r="Q721" s="6">
        <v>5.375</v>
      </c>
      <c r="R721" s="6">
        <v>-0.80592298507690396</v>
      </c>
      <c r="S721" s="6">
        <v>23.525741577148398</v>
      </c>
      <c r="T721" s="6">
        <v>-0.176397144794464</v>
      </c>
      <c r="U721" s="6">
        <v>0.32984256744384799</v>
      </c>
      <c r="V721" s="6">
        <v>1.06482994556427</v>
      </c>
      <c r="W721" s="6">
        <v>-18.253879547119102</v>
      </c>
    </row>
    <row r="722" spans="1:23" ht="18.95" customHeight="1">
      <c r="A722" s="4">
        <v>718</v>
      </c>
      <c r="B722" s="4">
        <v>15424</v>
      </c>
      <c r="C722" s="4">
        <v>1</v>
      </c>
      <c r="D722" s="6">
        <v>0</v>
      </c>
      <c r="E722" s="6">
        <v>0</v>
      </c>
      <c r="F722" s="6">
        <v>-25.0625</v>
      </c>
      <c r="G722" s="6">
        <v>-0.625</v>
      </c>
      <c r="H722" s="6">
        <v>-0.6875</v>
      </c>
      <c r="I722" s="6">
        <v>1.1875</v>
      </c>
      <c r="J722" s="6">
        <v>-1.375</v>
      </c>
      <c r="K722" s="6">
        <v>21.875</v>
      </c>
      <c r="L722" s="6">
        <v>44.125</v>
      </c>
      <c r="M722" s="6">
        <v>-0.75</v>
      </c>
      <c r="N722" s="6">
        <v>6.25E-2</v>
      </c>
      <c r="O722" s="6">
        <v>0</v>
      </c>
      <c r="P722" s="6">
        <v>-2.5625</v>
      </c>
      <c r="Q722" s="6">
        <v>4.125</v>
      </c>
      <c r="R722" s="6">
        <v>-0.95859456062316895</v>
      </c>
      <c r="S722" s="6">
        <v>22.014289855956999</v>
      </c>
      <c r="T722" s="6">
        <v>-5.4259717464447001E-2</v>
      </c>
      <c r="U722" s="6">
        <v>0.31829029321670499</v>
      </c>
      <c r="V722" s="6">
        <v>1.12516641616821</v>
      </c>
      <c r="W722" s="6">
        <v>-18.249631881713899</v>
      </c>
    </row>
    <row r="723" spans="1:23" ht="18.95" customHeight="1">
      <c r="A723" s="4">
        <v>719</v>
      </c>
      <c r="B723" s="4">
        <v>15444</v>
      </c>
      <c r="C723" s="4">
        <v>1</v>
      </c>
      <c r="D723" s="6">
        <v>0</v>
      </c>
      <c r="E723" s="6">
        <v>0</v>
      </c>
      <c r="F723" s="6">
        <v>-23.25</v>
      </c>
      <c r="G723" s="6">
        <v>-0.1875</v>
      </c>
      <c r="H723" s="6">
        <v>-0.3125</v>
      </c>
      <c r="I723" s="6">
        <v>1.1875</v>
      </c>
      <c r="J723" s="6">
        <v>-1.375</v>
      </c>
      <c r="K723" s="6">
        <v>22.3125</v>
      </c>
      <c r="L723" s="6">
        <v>44.5</v>
      </c>
      <c r="M723" s="6">
        <v>-0.4375</v>
      </c>
      <c r="N723" s="6">
        <v>-6.25E-2</v>
      </c>
      <c r="O723" s="6">
        <v>0</v>
      </c>
      <c r="P723" s="6">
        <v>-2.5625</v>
      </c>
      <c r="Q723" s="6">
        <v>3.6875</v>
      </c>
      <c r="R723" s="6">
        <v>-1.0349304676055899</v>
      </c>
      <c r="S723" s="6">
        <v>21.250932693481399</v>
      </c>
      <c r="T723" s="6">
        <v>-0.35960325598716703</v>
      </c>
      <c r="U723" s="6">
        <v>0.29478654265403698</v>
      </c>
      <c r="V723" s="6">
        <v>1.2264915704727199</v>
      </c>
      <c r="W723" s="6">
        <v>-18.255601882934599</v>
      </c>
    </row>
    <row r="724" spans="1:23" ht="18.95" customHeight="1">
      <c r="A724" s="4">
        <v>720</v>
      </c>
      <c r="B724" s="4">
        <v>15465</v>
      </c>
      <c r="C724" s="4">
        <v>1</v>
      </c>
      <c r="D724" s="6">
        <v>0</v>
      </c>
      <c r="E724" s="6">
        <v>0</v>
      </c>
      <c r="F724" s="6">
        <v>-21.9375</v>
      </c>
      <c r="G724" s="6">
        <v>-0.5</v>
      </c>
      <c r="H724" s="6">
        <v>-0.5625</v>
      </c>
      <c r="I724" s="6">
        <v>1.1875</v>
      </c>
      <c r="J724" s="6">
        <v>-1.375</v>
      </c>
      <c r="K724" s="6">
        <v>22.8125</v>
      </c>
      <c r="L724" s="6">
        <v>47.1875</v>
      </c>
      <c r="M724" s="6">
        <v>-0.5</v>
      </c>
      <c r="N724" s="6">
        <v>-0.125</v>
      </c>
      <c r="O724" s="6">
        <v>0</v>
      </c>
      <c r="P724" s="6">
        <v>-2.5625</v>
      </c>
      <c r="Q724" s="6">
        <v>2.8125</v>
      </c>
      <c r="R724" s="6">
        <v>-0.30210614204406699</v>
      </c>
      <c r="S724" s="6">
        <v>19.541007995605501</v>
      </c>
      <c r="T724" s="6">
        <v>-0.206931471824646</v>
      </c>
      <c r="U724" s="6">
        <v>0.233184888958931</v>
      </c>
      <c r="V724" s="6">
        <v>1.2554850578308101</v>
      </c>
      <c r="W724" s="6">
        <v>-18.258502960205099</v>
      </c>
    </row>
    <row r="725" spans="1:23" ht="18.95" customHeight="1">
      <c r="A725" s="4">
        <v>721</v>
      </c>
      <c r="B725" s="4">
        <v>15485</v>
      </c>
      <c r="C725" s="4">
        <v>1</v>
      </c>
      <c r="D725" s="6">
        <v>0</v>
      </c>
      <c r="E725" s="6">
        <v>0</v>
      </c>
      <c r="F725" s="6">
        <v>-20.3125</v>
      </c>
      <c r="G725" s="6">
        <v>-0.375</v>
      </c>
      <c r="H725" s="6">
        <v>-0.375</v>
      </c>
      <c r="I725" s="6">
        <v>1.1875</v>
      </c>
      <c r="J725" s="6">
        <v>-1.375</v>
      </c>
      <c r="K725" s="6">
        <v>23.1875</v>
      </c>
      <c r="L725" s="6">
        <v>48.8125</v>
      </c>
      <c r="M725" s="6">
        <v>-0.5</v>
      </c>
      <c r="N725" s="6">
        <v>-6.25E-2</v>
      </c>
      <c r="O725" s="6">
        <v>6.25E-2</v>
      </c>
      <c r="P725" s="6">
        <v>-2.5625</v>
      </c>
      <c r="Q725" s="6">
        <v>1.375</v>
      </c>
      <c r="R725" s="6">
        <v>-0.66851830482482899</v>
      </c>
      <c r="S725" s="6">
        <v>18.7013130187988</v>
      </c>
      <c r="T725" s="6">
        <v>-8.4581971168518101E-3</v>
      </c>
      <c r="U725" s="6">
        <v>0.258830726146698</v>
      </c>
      <c r="V725" s="6">
        <v>1.55950319766998</v>
      </c>
      <c r="W725" s="6">
        <v>-18.2603149414062</v>
      </c>
    </row>
    <row r="726" spans="1:23" ht="18.95" customHeight="1">
      <c r="A726" s="4">
        <v>722</v>
      </c>
      <c r="B726" s="4">
        <v>15505</v>
      </c>
      <c r="C726" s="4">
        <v>1</v>
      </c>
      <c r="D726" s="6">
        <v>0</v>
      </c>
      <c r="E726" s="6">
        <v>0</v>
      </c>
      <c r="F726" s="6">
        <v>-19.25</v>
      </c>
      <c r="G726" s="6">
        <v>-0.4375</v>
      </c>
      <c r="H726" s="6">
        <v>-0.3125</v>
      </c>
      <c r="I726" s="6">
        <v>1.1875</v>
      </c>
      <c r="J726" s="6">
        <v>-1.375</v>
      </c>
      <c r="K726" s="6">
        <v>23.625</v>
      </c>
      <c r="L726" s="6">
        <v>50.375</v>
      </c>
      <c r="M726" s="6">
        <v>-0.5</v>
      </c>
      <c r="N726" s="6">
        <v>-6.25E-2</v>
      </c>
      <c r="O726" s="6">
        <v>6.25E-2</v>
      </c>
      <c r="P726" s="6">
        <v>-2.5625</v>
      </c>
      <c r="Q726" s="6">
        <v>0.9375</v>
      </c>
      <c r="R726" s="6">
        <v>-1.0349304676055899</v>
      </c>
      <c r="S726" s="6">
        <v>17.510473251342798</v>
      </c>
      <c r="T726" s="6">
        <v>-0.39013758301734902</v>
      </c>
      <c r="U726" s="6">
        <v>0.24227654933929399</v>
      </c>
      <c r="V726" s="6">
        <v>1.5082157850265501</v>
      </c>
      <c r="W726" s="6">
        <v>-18.268009185791001</v>
      </c>
    </row>
    <row r="727" spans="1:23" ht="18.95" customHeight="1">
      <c r="A727" s="4">
        <v>723</v>
      </c>
      <c r="B727" s="4">
        <v>15526</v>
      </c>
      <c r="C727" s="4">
        <v>1</v>
      </c>
      <c r="D727" s="6">
        <v>0</v>
      </c>
      <c r="E727" s="6">
        <v>0</v>
      </c>
      <c r="F727" s="6">
        <v>-18.25</v>
      </c>
      <c r="G727" s="6">
        <v>-0.375</v>
      </c>
      <c r="H727" s="6">
        <v>-0.75</v>
      </c>
      <c r="I727" s="6">
        <v>1.1875</v>
      </c>
      <c r="J727" s="6">
        <v>-1.375</v>
      </c>
      <c r="K727" s="6">
        <v>24</v>
      </c>
      <c r="L727" s="6">
        <v>52.375</v>
      </c>
      <c r="M727" s="6">
        <v>-0.5625</v>
      </c>
      <c r="N727" s="6">
        <v>0</v>
      </c>
      <c r="O727" s="6">
        <v>6.25E-2</v>
      </c>
      <c r="P727" s="6">
        <v>-2.5625</v>
      </c>
      <c r="Q727" s="6">
        <v>-0.5625</v>
      </c>
      <c r="R727" s="6">
        <v>-0.54638099670410201</v>
      </c>
      <c r="S727" s="6">
        <v>16.579175949096701</v>
      </c>
      <c r="T727" s="6">
        <v>-0.22219866514205899</v>
      </c>
      <c r="U727" s="6">
        <v>0.19643922150134999</v>
      </c>
      <c r="V727" s="6">
        <v>1.6900589466095</v>
      </c>
      <c r="W727" s="6">
        <v>-18.273218154907202</v>
      </c>
    </row>
    <row r="728" spans="1:23" ht="18.95" customHeight="1">
      <c r="A728" s="4">
        <v>724</v>
      </c>
      <c r="B728" s="4">
        <v>15547</v>
      </c>
      <c r="C728" s="4">
        <v>1</v>
      </c>
      <c r="D728" s="6">
        <v>0</v>
      </c>
      <c r="E728" s="6">
        <v>0</v>
      </c>
      <c r="F728" s="6">
        <v>-17</v>
      </c>
      <c r="G728" s="6">
        <v>-0.5</v>
      </c>
      <c r="H728" s="6">
        <v>-0.5</v>
      </c>
      <c r="I728" s="6">
        <v>1.1875</v>
      </c>
      <c r="J728" s="6">
        <v>-1.375</v>
      </c>
      <c r="K728" s="6">
        <v>24.3125</v>
      </c>
      <c r="L728" s="6">
        <v>54.625</v>
      </c>
      <c r="M728" s="6">
        <v>-0.3125</v>
      </c>
      <c r="N728" s="6">
        <v>0</v>
      </c>
      <c r="O728" s="6">
        <v>0.125</v>
      </c>
      <c r="P728" s="6">
        <v>-2.5625</v>
      </c>
      <c r="Q728" s="6">
        <v>-1.5625</v>
      </c>
      <c r="R728" s="6">
        <v>-0.98912906646728505</v>
      </c>
      <c r="S728" s="6">
        <v>14.716580390930201</v>
      </c>
      <c r="T728" s="6">
        <v>-0.80235135555267301</v>
      </c>
      <c r="U728" s="6">
        <v>0.191177263855934</v>
      </c>
      <c r="V728" s="6">
        <v>1.5801485776901201</v>
      </c>
      <c r="W728" s="6">
        <v>-18.2816867828369</v>
      </c>
    </row>
    <row r="729" spans="1:23" ht="18.95" customHeight="1">
      <c r="A729" s="4">
        <v>725</v>
      </c>
      <c r="B729" s="4">
        <v>15568</v>
      </c>
      <c r="C729" s="4">
        <v>1</v>
      </c>
      <c r="D729" s="6">
        <v>0</v>
      </c>
      <c r="E729" s="6">
        <v>0</v>
      </c>
      <c r="F729" s="6">
        <v>-15.0625</v>
      </c>
      <c r="G729" s="6">
        <v>-0.5625</v>
      </c>
      <c r="H729" s="6">
        <v>-0.5625</v>
      </c>
      <c r="I729" s="6">
        <v>1.1875</v>
      </c>
      <c r="J729" s="6">
        <v>-1.375</v>
      </c>
      <c r="K729" s="6">
        <v>24.625</v>
      </c>
      <c r="L729" s="6">
        <v>54.625</v>
      </c>
      <c r="M729" s="6">
        <v>-0.5625</v>
      </c>
      <c r="N729" s="6">
        <v>-6.25E-2</v>
      </c>
      <c r="O729" s="6">
        <v>0.125</v>
      </c>
      <c r="P729" s="6">
        <v>-2.5625</v>
      </c>
      <c r="Q729" s="6">
        <v>-2.625</v>
      </c>
      <c r="R729" s="6">
        <v>-0.56164813041687001</v>
      </c>
      <c r="S729" s="6">
        <v>14.029558181762701</v>
      </c>
      <c r="T729" s="6">
        <v>-0.54280936717987105</v>
      </c>
      <c r="U729" s="6">
        <v>0.130267173051834</v>
      </c>
      <c r="V729" s="6">
        <v>1.73614001274109</v>
      </c>
      <c r="W729" s="6">
        <v>-18.291353225708001</v>
      </c>
    </row>
    <row r="730" spans="1:23" ht="18.95" customHeight="1">
      <c r="A730" s="4">
        <v>726</v>
      </c>
      <c r="B730" s="4">
        <v>15588</v>
      </c>
      <c r="C730" s="4">
        <v>1</v>
      </c>
      <c r="D730" s="6">
        <v>0</v>
      </c>
      <c r="E730" s="6">
        <v>0</v>
      </c>
      <c r="F730" s="6">
        <v>-14.4375</v>
      </c>
      <c r="G730" s="6">
        <v>-0.5</v>
      </c>
      <c r="H730" s="6">
        <v>-0.625</v>
      </c>
      <c r="I730" s="6">
        <v>1.1875</v>
      </c>
      <c r="J730" s="6">
        <v>-1.375</v>
      </c>
      <c r="K730" s="6">
        <v>24.9375</v>
      </c>
      <c r="L730" s="6">
        <v>55.875</v>
      </c>
      <c r="M730" s="6">
        <v>-0.5625</v>
      </c>
      <c r="N730" s="6">
        <v>-0.125</v>
      </c>
      <c r="O730" s="6">
        <v>0.1875</v>
      </c>
      <c r="P730" s="6">
        <v>-2.5625</v>
      </c>
      <c r="Q730" s="6">
        <v>-3.75</v>
      </c>
      <c r="R730" s="6">
        <v>0.53758859634399403</v>
      </c>
      <c r="S730" s="6">
        <v>13.3425350189209</v>
      </c>
      <c r="T730" s="6">
        <v>-0.92448872327804599</v>
      </c>
      <c r="U730" s="6">
        <v>-0.16662275791168199</v>
      </c>
      <c r="V730" s="6">
        <v>1.59504961967468</v>
      </c>
      <c r="W730" s="6">
        <v>-18.2938117980957</v>
      </c>
    </row>
    <row r="731" spans="1:23" ht="18.95" customHeight="1">
      <c r="A731" s="4">
        <v>727</v>
      </c>
      <c r="B731" s="4">
        <v>15608</v>
      </c>
      <c r="C731" s="4">
        <v>1</v>
      </c>
      <c r="D731" s="6">
        <v>0</v>
      </c>
      <c r="E731" s="6">
        <v>0</v>
      </c>
      <c r="F731" s="6">
        <v>-13.4375</v>
      </c>
      <c r="G731" s="6">
        <v>-0.9375</v>
      </c>
      <c r="H731" s="6">
        <v>-0.3125</v>
      </c>
      <c r="I731" s="6">
        <v>1.1875</v>
      </c>
      <c r="J731" s="6">
        <v>-1.375</v>
      </c>
      <c r="K731" s="6">
        <v>25.1875</v>
      </c>
      <c r="L731" s="6">
        <v>57.1875</v>
      </c>
      <c r="M731" s="6">
        <v>-0.1875</v>
      </c>
      <c r="N731" s="6">
        <v>0.1875</v>
      </c>
      <c r="O731" s="6">
        <v>0.1875</v>
      </c>
      <c r="P731" s="6">
        <v>-2.5625</v>
      </c>
      <c r="Q731" s="6">
        <v>-4.8125</v>
      </c>
      <c r="R731" s="6">
        <v>-1.4929456710815401</v>
      </c>
      <c r="S731" s="6">
        <v>12.2127637863159</v>
      </c>
      <c r="T731" s="6">
        <v>-0.66494673490524303</v>
      </c>
      <c r="U731" s="6">
        <v>-0.10125231742858901</v>
      </c>
      <c r="V731" s="6">
        <v>1.5460506677627599</v>
      </c>
      <c r="W731" s="6">
        <v>-18.303028106689499</v>
      </c>
    </row>
    <row r="732" spans="1:23" ht="18.95" customHeight="1">
      <c r="A732" s="4">
        <v>728</v>
      </c>
      <c r="B732" s="4">
        <v>15628</v>
      </c>
      <c r="C732" s="4">
        <v>1</v>
      </c>
      <c r="D732" s="6">
        <v>0</v>
      </c>
      <c r="E732" s="6">
        <v>0</v>
      </c>
      <c r="F732" s="6">
        <v>-11.9375</v>
      </c>
      <c r="G732" s="6">
        <v>-0.625</v>
      </c>
      <c r="H732" s="6">
        <v>-0.625</v>
      </c>
      <c r="I732" s="6">
        <v>1.1875</v>
      </c>
      <c r="J732" s="6">
        <v>-1.375</v>
      </c>
      <c r="K732" s="6">
        <v>25.4375</v>
      </c>
      <c r="L732" s="6">
        <v>58.25</v>
      </c>
      <c r="M732" s="6">
        <v>-0.8125</v>
      </c>
      <c r="N732" s="6">
        <v>-6.25E-2</v>
      </c>
      <c r="O732" s="6">
        <v>0.1875</v>
      </c>
      <c r="P732" s="6">
        <v>-2.5625</v>
      </c>
      <c r="Q732" s="6">
        <v>-5.9375</v>
      </c>
      <c r="R732" s="6">
        <v>0.52232146263122603</v>
      </c>
      <c r="S732" s="6">
        <v>10.9608554840088</v>
      </c>
      <c r="T732" s="6">
        <v>0.69383192062377896</v>
      </c>
      <c r="U732" s="6">
        <v>-0.461424469947815</v>
      </c>
      <c r="V732" s="6">
        <v>1.4442338943481401</v>
      </c>
      <c r="W732" s="6">
        <v>-18.313478469848601</v>
      </c>
    </row>
    <row r="733" spans="1:23" ht="18.95" customHeight="1">
      <c r="A733" s="4">
        <v>729</v>
      </c>
      <c r="B733" s="4">
        <v>15648</v>
      </c>
      <c r="C733" s="4">
        <v>1</v>
      </c>
      <c r="D733" s="6">
        <v>0</v>
      </c>
      <c r="E733" s="6">
        <v>0</v>
      </c>
      <c r="F733" s="6">
        <v>-11.1875</v>
      </c>
      <c r="G733" s="6">
        <v>-0.25</v>
      </c>
      <c r="H733" s="6">
        <v>-0.125</v>
      </c>
      <c r="I733" s="6">
        <v>1.1875</v>
      </c>
      <c r="J733" s="6">
        <v>-1.3125</v>
      </c>
      <c r="K733" s="6">
        <v>25.6875</v>
      </c>
      <c r="L733" s="6">
        <v>60.125</v>
      </c>
      <c r="M733" s="6">
        <v>-0.5</v>
      </c>
      <c r="N733" s="6">
        <v>-6.25E-2</v>
      </c>
      <c r="O733" s="6">
        <v>0.25</v>
      </c>
      <c r="P733" s="6">
        <v>-2.5625</v>
      </c>
      <c r="Q733" s="6">
        <v>-7.125</v>
      </c>
      <c r="R733" s="6">
        <v>7.9573392868042006E-2</v>
      </c>
      <c r="S733" s="6">
        <v>9.9074201583862305</v>
      </c>
      <c r="T733" s="6">
        <v>0.92283952236175504</v>
      </c>
      <c r="U733" s="6">
        <v>-0.309785395860672</v>
      </c>
      <c r="V733" s="6">
        <v>1.2853144407272299</v>
      </c>
      <c r="W733" s="6">
        <v>-18.3175945281982</v>
      </c>
    </row>
    <row r="734" spans="1:23" ht="18.95" customHeight="1">
      <c r="A734" s="4">
        <v>730</v>
      </c>
      <c r="B734" s="4">
        <v>15670</v>
      </c>
      <c r="C734" s="4">
        <v>1</v>
      </c>
      <c r="D734" s="6">
        <v>0</v>
      </c>
      <c r="E734" s="6">
        <v>0</v>
      </c>
      <c r="F734" s="6">
        <v>-10</v>
      </c>
      <c r="G734" s="6">
        <v>0.25</v>
      </c>
      <c r="H734" s="6">
        <v>-0.125</v>
      </c>
      <c r="I734" s="6">
        <v>1.1875</v>
      </c>
      <c r="J734" s="6">
        <v>-1.3125</v>
      </c>
      <c r="K734" s="6">
        <v>25.875</v>
      </c>
      <c r="L734" s="6">
        <v>59.875</v>
      </c>
      <c r="M734" s="6">
        <v>-0.6875</v>
      </c>
      <c r="N734" s="6">
        <v>0.125</v>
      </c>
      <c r="O734" s="6">
        <v>0.25</v>
      </c>
      <c r="P734" s="6">
        <v>-2.5625</v>
      </c>
      <c r="Q734" s="6">
        <v>-8.25</v>
      </c>
      <c r="R734" s="6">
        <v>-0.71431994438171398</v>
      </c>
      <c r="S734" s="6">
        <v>9.0524587631225604</v>
      </c>
      <c r="T734" s="6">
        <v>-0.52754217386245705</v>
      </c>
      <c r="U734" s="6">
        <v>-0.34119993448257402</v>
      </c>
      <c r="V734" s="6">
        <v>1.22115933895111</v>
      </c>
      <c r="W734" s="6">
        <v>-18.345832824706999</v>
      </c>
    </row>
    <row r="735" spans="1:23" ht="18.95" customHeight="1">
      <c r="A735" s="4">
        <v>731</v>
      </c>
      <c r="B735" s="4">
        <v>15691</v>
      </c>
      <c r="C735" s="4">
        <v>1</v>
      </c>
      <c r="D735" s="6">
        <v>0</v>
      </c>
      <c r="E735" s="6">
        <v>0</v>
      </c>
      <c r="F735" s="6">
        <v>-9.125</v>
      </c>
      <c r="G735" s="6">
        <v>-1.25</v>
      </c>
      <c r="H735" s="6">
        <v>-1.4375</v>
      </c>
      <c r="I735" s="6">
        <v>1.1875</v>
      </c>
      <c r="J735" s="6">
        <v>-1.3125</v>
      </c>
      <c r="K735" s="6">
        <v>26.125</v>
      </c>
      <c r="L735" s="6">
        <v>61.8125</v>
      </c>
      <c r="M735" s="6">
        <v>-0.75</v>
      </c>
      <c r="N735" s="6">
        <v>0.125</v>
      </c>
      <c r="O735" s="6">
        <v>0.3125</v>
      </c>
      <c r="P735" s="6">
        <v>-2.5</v>
      </c>
      <c r="Q735" s="6">
        <v>-9.4375</v>
      </c>
      <c r="R735" s="6">
        <v>-8.8365554809570299E-2</v>
      </c>
      <c r="S735" s="6">
        <v>7.0829930305481001</v>
      </c>
      <c r="T735" s="6">
        <v>0.23581659793853799</v>
      </c>
      <c r="U735" s="6">
        <v>-0.44379338622093201</v>
      </c>
      <c r="V735" s="6">
        <v>0.97327953577041604</v>
      </c>
      <c r="W735" s="6">
        <v>-18.348697662353501</v>
      </c>
    </row>
    <row r="736" spans="1:23" ht="18.95" customHeight="1">
      <c r="A736" s="4">
        <v>732</v>
      </c>
      <c r="B736" s="4">
        <v>15711</v>
      </c>
      <c r="C736" s="4">
        <v>1</v>
      </c>
      <c r="D736" s="6">
        <v>0</v>
      </c>
      <c r="E736" s="6">
        <v>0</v>
      </c>
      <c r="F736" s="6">
        <v>-8.125</v>
      </c>
      <c r="G736" s="6">
        <v>0.1875</v>
      </c>
      <c r="H736" s="6">
        <v>-0.1875</v>
      </c>
      <c r="I736" s="6">
        <v>1.1875</v>
      </c>
      <c r="J736" s="6">
        <v>-1.3125</v>
      </c>
      <c r="K736" s="6">
        <v>26.1875</v>
      </c>
      <c r="L736" s="6">
        <v>61.375</v>
      </c>
      <c r="M736" s="6">
        <v>-0.5</v>
      </c>
      <c r="N736" s="6">
        <v>-0.1875</v>
      </c>
      <c r="O736" s="6">
        <v>0.3125</v>
      </c>
      <c r="P736" s="6">
        <v>-2.5</v>
      </c>
      <c r="Q736" s="6">
        <v>-10.625</v>
      </c>
      <c r="R736" s="6">
        <v>-0.76012134552001998</v>
      </c>
      <c r="S736" s="6">
        <v>6.5486416816711399</v>
      </c>
      <c r="T736" s="6">
        <v>-0.81761848926544201</v>
      </c>
      <c r="U736" s="6">
        <v>-0.31149876117706299</v>
      </c>
      <c r="V736" s="6">
        <v>0.91456520557403598</v>
      </c>
      <c r="W736" s="6">
        <v>-18.364263534545898</v>
      </c>
    </row>
    <row r="737" spans="1:23" ht="18.95" customHeight="1">
      <c r="A737" s="4">
        <v>733</v>
      </c>
      <c r="B737" s="4">
        <v>15733</v>
      </c>
      <c r="C737" s="4">
        <v>1</v>
      </c>
      <c r="D737" s="6">
        <v>0</v>
      </c>
      <c r="E737" s="6">
        <v>0</v>
      </c>
      <c r="F737" s="6">
        <v>-6.5</v>
      </c>
      <c r="G737" s="6">
        <v>-0.5625</v>
      </c>
      <c r="H737" s="6">
        <v>-0.75</v>
      </c>
      <c r="I737" s="6">
        <v>1.1875</v>
      </c>
      <c r="J737" s="6">
        <v>-1.3125</v>
      </c>
      <c r="K737" s="6">
        <v>26.3125</v>
      </c>
      <c r="L737" s="6">
        <v>62.6875</v>
      </c>
      <c r="M737" s="6">
        <v>-0.4375</v>
      </c>
      <c r="N737" s="6">
        <v>0.125</v>
      </c>
      <c r="O737" s="6">
        <v>0.375</v>
      </c>
      <c r="P737" s="6">
        <v>-2.5</v>
      </c>
      <c r="Q737" s="6">
        <v>-11.875</v>
      </c>
      <c r="R737" s="6">
        <v>-0.22577023506164601</v>
      </c>
      <c r="S737" s="6">
        <v>5.5257411003112802</v>
      </c>
      <c r="T737" s="6">
        <v>-0.54280936717987105</v>
      </c>
      <c r="U737" s="6">
        <v>-0.34144401550293002</v>
      </c>
      <c r="V737" s="6">
        <v>0.68861961364746105</v>
      </c>
      <c r="W737" s="6">
        <v>-18.372066497802699</v>
      </c>
    </row>
    <row r="738" spans="1:23" ht="18.95" customHeight="1">
      <c r="A738" s="4">
        <v>734</v>
      </c>
      <c r="B738" s="4">
        <v>15755</v>
      </c>
      <c r="C738" s="4">
        <v>1</v>
      </c>
      <c r="D738" s="6">
        <v>0</v>
      </c>
      <c r="E738" s="6">
        <v>0</v>
      </c>
      <c r="F738" s="6">
        <v>-5.5625</v>
      </c>
      <c r="G738" s="6">
        <v>0.1875</v>
      </c>
      <c r="H738" s="6">
        <v>-0.4375</v>
      </c>
      <c r="I738" s="6">
        <v>1.1875</v>
      </c>
      <c r="J738" s="6">
        <v>-1.3125</v>
      </c>
      <c r="K738" s="6">
        <v>26.4375</v>
      </c>
      <c r="L738" s="6">
        <v>61.375</v>
      </c>
      <c r="M738" s="6">
        <v>-0.75</v>
      </c>
      <c r="N738" s="6">
        <v>-0.1875</v>
      </c>
      <c r="O738" s="6">
        <v>0.375</v>
      </c>
      <c r="P738" s="6">
        <v>-2.5</v>
      </c>
      <c r="Q738" s="6">
        <v>-13.0625</v>
      </c>
      <c r="R738" s="6">
        <v>-5.7831287384033203E-2</v>
      </c>
      <c r="S738" s="6">
        <v>4.3959703445434597</v>
      </c>
      <c r="T738" s="6">
        <v>-0.28326734900474498</v>
      </c>
      <c r="U738" s="6">
        <v>-0.33720993995666498</v>
      </c>
      <c r="V738" s="6">
        <v>0.59661120176315297</v>
      </c>
      <c r="W738" s="6">
        <v>-18.3880004882812</v>
      </c>
    </row>
    <row r="739" spans="1:23" ht="18.95" customHeight="1">
      <c r="A739" s="4">
        <v>735</v>
      </c>
      <c r="B739" s="4">
        <v>15785</v>
      </c>
      <c r="C739" s="4">
        <v>1</v>
      </c>
      <c r="D739" s="6">
        <v>0</v>
      </c>
      <c r="E739" s="6">
        <v>0</v>
      </c>
      <c r="F739" s="6">
        <v>-4.0625</v>
      </c>
      <c r="G739" s="6">
        <v>-0.375</v>
      </c>
      <c r="H739" s="6">
        <v>-0.5625</v>
      </c>
      <c r="I739" s="6">
        <v>1.1875</v>
      </c>
      <c r="J739" s="6">
        <v>-1.3125</v>
      </c>
      <c r="K739" s="6">
        <v>26.4375</v>
      </c>
      <c r="L739" s="6">
        <v>62.6875</v>
      </c>
      <c r="M739" s="6">
        <v>-0.6875</v>
      </c>
      <c r="N739" s="6">
        <v>0.1875</v>
      </c>
      <c r="O739" s="6">
        <v>0.4375</v>
      </c>
      <c r="P739" s="6">
        <v>-2.5</v>
      </c>
      <c r="Q739" s="6">
        <v>-14.875</v>
      </c>
      <c r="R739" s="6">
        <v>0.15590906143188499</v>
      </c>
      <c r="S739" s="6">
        <v>3.03719139099121</v>
      </c>
      <c r="T739" s="6">
        <v>-0.54280936717987105</v>
      </c>
      <c r="U739" s="6">
        <v>-0.26271912455558799</v>
      </c>
      <c r="V739" s="6">
        <v>0.60399115085601796</v>
      </c>
      <c r="W739" s="6">
        <v>-18.4047737121582</v>
      </c>
    </row>
    <row r="740" spans="1:23" ht="18.95" customHeight="1">
      <c r="A740" s="4">
        <v>736</v>
      </c>
      <c r="B740" s="4">
        <v>15805</v>
      </c>
      <c r="C740" s="4">
        <v>1</v>
      </c>
      <c r="D740" s="6">
        <v>0</v>
      </c>
      <c r="E740" s="6">
        <v>0</v>
      </c>
      <c r="F740" s="6">
        <v>-3.0625</v>
      </c>
      <c r="G740" s="6">
        <v>-0.1875</v>
      </c>
      <c r="H740" s="6">
        <v>-0.625</v>
      </c>
      <c r="I740" s="6">
        <v>1.25</v>
      </c>
      <c r="J740" s="6">
        <v>-1.3125</v>
      </c>
      <c r="K740" s="6">
        <v>26.5</v>
      </c>
      <c r="L740" s="6">
        <v>61.125</v>
      </c>
      <c r="M740" s="6">
        <v>-0.625</v>
      </c>
      <c r="N740" s="6">
        <v>-0.25</v>
      </c>
      <c r="O740" s="6">
        <v>0.4375</v>
      </c>
      <c r="P740" s="6">
        <v>-2.5</v>
      </c>
      <c r="Q740" s="6">
        <v>-16.0625</v>
      </c>
      <c r="R740" s="6">
        <v>-0.118900060653687</v>
      </c>
      <c r="S740" s="6">
        <v>2.1058936119079599</v>
      </c>
      <c r="T740" s="6">
        <v>-0.64967960119247403</v>
      </c>
      <c r="U740" s="6">
        <v>-0.28939962387085</v>
      </c>
      <c r="V740" s="6">
        <v>0.37219834327697798</v>
      </c>
      <c r="W740" s="6">
        <v>-18.421178817748999</v>
      </c>
    </row>
    <row r="741" spans="1:23" ht="18.95" customHeight="1">
      <c r="A741" s="4">
        <v>737</v>
      </c>
      <c r="B741" s="4">
        <v>15828</v>
      </c>
      <c r="C741" s="4">
        <v>1</v>
      </c>
      <c r="D741" s="6">
        <v>0</v>
      </c>
      <c r="E741" s="6">
        <v>0</v>
      </c>
      <c r="F741" s="6">
        <v>-2.125</v>
      </c>
      <c r="G741" s="6">
        <v>-0.3125</v>
      </c>
      <c r="H741" s="6">
        <v>-0.875</v>
      </c>
      <c r="I741" s="6">
        <v>1.25</v>
      </c>
      <c r="J741" s="6">
        <v>-1.3125</v>
      </c>
      <c r="K741" s="6">
        <v>26.5</v>
      </c>
      <c r="L741" s="6">
        <v>61.625</v>
      </c>
      <c r="M741" s="6">
        <v>-0.5</v>
      </c>
      <c r="N741" s="6">
        <v>0</v>
      </c>
      <c r="O741" s="6">
        <v>0.5</v>
      </c>
      <c r="P741" s="6">
        <v>-2.5</v>
      </c>
      <c r="Q741" s="6">
        <v>-17.875</v>
      </c>
      <c r="R741" s="6">
        <v>-5.7831287384033203E-2</v>
      </c>
      <c r="S741" s="6">
        <v>1.1135272979736299</v>
      </c>
      <c r="T741" s="6">
        <v>2.2076129913330099E-2</v>
      </c>
      <c r="U741" s="6">
        <v>-0.27584609389305098</v>
      </c>
      <c r="V741" s="6">
        <v>0.215218231081963</v>
      </c>
      <c r="W741" s="6">
        <v>-18.423463821411101</v>
      </c>
    </row>
    <row r="742" spans="1:23" ht="18.95" customHeight="1">
      <c r="A742" s="4">
        <v>738</v>
      </c>
      <c r="B742" s="4">
        <v>15848</v>
      </c>
      <c r="C742" s="4">
        <v>1</v>
      </c>
      <c r="D742" s="6">
        <v>0</v>
      </c>
      <c r="E742" s="6">
        <v>0</v>
      </c>
      <c r="F742" s="6">
        <v>-1.125</v>
      </c>
      <c r="G742" s="6">
        <v>0.125</v>
      </c>
      <c r="H742" s="6">
        <v>-6.25E-2</v>
      </c>
      <c r="I742" s="6">
        <v>1.25</v>
      </c>
      <c r="J742" s="6">
        <v>-1.3125</v>
      </c>
      <c r="K742" s="6">
        <v>26.5</v>
      </c>
      <c r="L742" s="6">
        <v>61.3125</v>
      </c>
      <c r="M742" s="6">
        <v>-0.75</v>
      </c>
      <c r="N742" s="6">
        <v>0.1875</v>
      </c>
      <c r="O742" s="6">
        <v>0.5</v>
      </c>
      <c r="P742" s="6">
        <v>-2.5</v>
      </c>
      <c r="Q742" s="6">
        <v>-19.0625</v>
      </c>
      <c r="R742" s="6">
        <v>0.20171070098877</v>
      </c>
      <c r="S742" s="6">
        <v>-0.107846736907959</v>
      </c>
      <c r="T742" s="6">
        <v>6.7877650260925307E-2</v>
      </c>
      <c r="U742" s="6">
        <v>-0.29842644929885898</v>
      </c>
      <c r="V742" s="6">
        <v>0.126732692122459</v>
      </c>
      <c r="W742" s="6">
        <v>-18.431158065795898</v>
      </c>
    </row>
    <row r="743" spans="1:23" ht="18.95" customHeight="1">
      <c r="A743" s="4">
        <v>739</v>
      </c>
      <c r="B743" s="4">
        <v>15869</v>
      </c>
      <c r="C743" s="4">
        <v>1</v>
      </c>
      <c r="D743" s="6">
        <v>0</v>
      </c>
      <c r="E743" s="6">
        <v>0</v>
      </c>
      <c r="F743" s="6">
        <v>-0.3125</v>
      </c>
      <c r="G743" s="6">
        <v>-6.25E-2</v>
      </c>
      <c r="H743" s="6">
        <v>-0.375</v>
      </c>
      <c r="I743" s="6">
        <v>1.25</v>
      </c>
      <c r="J743" s="6">
        <v>-1.3125</v>
      </c>
      <c r="K743" s="6">
        <v>26.5625</v>
      </c>
      <c r="L743" s="6">
        <v>62.875</v>
      </c>
      <c r="M743" s="6">
        <v>-0.8125</v>
      </c>
      <c r="N743" s="6">
        <v>6.25E-2</v>
      </c>
      <c r="O743" s="6">
        <v>0.5625</v>
      </c>
      <c r="P743" s="6">
        <v>-2.4375</v>
      </c>
      <c r="Q743" s="6">
        <v>-20.25</v>
      </c>
      <c r="R743" s="6">
        <v>-4.25641536712646E-2</v>
      </c>
      <c r="S743" s="6">
        <v>-1.1460146903991699</v>
      </c>
      <c r="T743" s="6">
        <v>-0.25273302197456399</v>
      </c>
      <c r="U743" s="6">
        <v>-0.31484127044677701</v>
      </c>
      <c r="V743" s="6">
        <v>-7.0047706365585299E-2</v>
      </c>
      <c r="W743" s="6">
        <v>-18.438175201416001</v>
      </c>
    </row>
    <row r="744" spans="1:23" ht="18.95" customHeight="1">
      <c r="A744" s="4">
        <v>740</v>
      </c>
      <c r="B744" s="4">
        <v>15891</v>
      </c>
      <c r="C744" s="4">
        <v>1</v>
      </c>
      <c r="D744" s="6">
        <v>0</v>
      </c>
      <c r="E744" s="6">
        <v>0</v>
      </c>
      <c r="F744" s="6">
        <v>0.875</v>
      </c>
      <c r="G744" s="6">
        <v>0.125</v>
      </c>
      <c r="H744" s="6">
        <v>0.125</v>
      </c>
      <c r="I744" s="6">
        <v>1.25</v>
      </c>
      <c r="J744" s="6">
        <v>-1.3125</v>
      </c>
      <c r="K744" s="6">
        <v>26.5</v>
      </c>
      <c r="L744" s="6">
        <v>61.5</v>
      </c>
      <c r="M744" s="6">
        <v>-0.75</v>
      </c>
      <c r="N744" s="6">
        <v>0</v>
      </c>
      <c r="O744" s="6">
        <v>0.5625</v>
      </c>
      <c r="P744" s="6">
        <v>-2.4375</v>
      </c>
      <c r="Q744" s="6">
        <v>-21.4375</v>
      </c>
      <c r="R744" s="6">
        <v>-8.8365554809570299E-2</v>
      </c>
      <c r="S744" s="6">
        <v>-2.0315108299255402</v>
      </c>
      <c r="T744" s="6">
        <v>-0.66494673490524303</v>
      </c>
      <c r="U744" s="6">
        <v>-0.213127225637436</v>
      </c>
      <c r="V744" s="6">
        <v>-0.29044717550277699</v>
      </c>
      <c r="W744" s="6">
        <v>-18.449131011962901</v>
      </c>
    </row>
    <row r="745" spans="1:23" ht="18.95" customHeight="1">
      <c r="A745" s="4">
        <v>741</v>
      </c>
      <c r="B745" s="4">
        <v>15911</v>
      </c>
      <c r="C745" s="4">
        <v>1</v>
      </c>
      <c r="D745" s="6">
        <v>0</v>
      </c>
      <c r="E745" s="6">
        <v>0</v>
      </c>
      <c r="F745" s="6">
        <v>1.625</v>
      </c>
      <c r="G745" s="6">
        <v>0</v>
      </c>
      <c r="H745" s="6">
        <v>-0.5625</v>
      </c>
      <c r="I745" s="6">
        <v>1.25</v>
      </c>
      <c r="J745" s="6">
        <v>-1.3125</v>
      </c>
      <c r="K745" s="6">
        <v>26.4375</v>
      </c>
      <c r="L745" s="6">
        <v>62.625</v>
      </c>
      <c r="M745" s="6">
        <v>-0.625</v>
      </c>
      <c r="N745" s="6">
        <v>0.125</v>
      </c>
      <c r="O745" s="6">
        <v>0.625</v>
      </c>
      <c r="P745" s="6">
        <v>-2.4375</v>
      </c>
      <c r="Q745" s="6">
        <v>-22.6875</v>
      </c>
      <c r="R745" s="6">
        <v>0.38491678237915</v>
      </c>
      <c r="S745" s="6">
        <v>-3.0544114112853999</v>
      </c>
      <c r="T745" s="6">
        <v>-8.4794104099273696E-2</v>
      </c>
      <c r="U745" s="6">
        <v>-0.23109145462513001</v>
      </c>
      <c r="V745" s="6">
        <v>-0.53111004829406705</v>
      </c>
      <c r="W745" s="6">
        <v>-18.4477348327637</v>
      </c>
    </row>
    <row r="746" spans="1:23" ht="18.95" customHeight="1">
      <c r="A746" s="4">
        <v>742</v>
      </c>
      <c r="B746" s="4">
        <v>15931</v>
      </c>
      <c r="C746" s="4">
        <v>1</v>
      </c>
      <c r="D746" s="6">
        <v>0</v>
      </c>
      <c r="E746" s="6">
        <v>0</v>
      </c>
      <c r="F746" s="6">
        <v>3.0625</v>
      </c>
      <c r="G746" s="6">
        <v>0.3125</v>
      </c>
      <c r="H746" s="6">
        <v>6.25E-2</v>
      </c>
      <c r="I746" s="6">
        <v>1.25</v>
      </c>
      <c r="J746" s="6">
        <v>-1.3125</v>
      </c>
      <c r="K746" s="6">
        <v>26.3125</v>
      </c>
      <c r="L746" s="6">
        <v>60.375</v>
      </c>
      <c r="M746" s="6">
        <v>-0.75</v>
      </c>
      <c r="N746" s="6">
        <v>0</v>
      </c>
      <c r="O746" s="6">
        <v>0.625</v>
      </c>
      <c r="P746" s="6">
        <v>-2.4375</v>
      </c>
      <c r="Q746" s="6">
        <v>-23.8125</v>
      </c>
      <c r="R746" s="6">
        <v>0.30858087539672902</v>
      </c>
      <c r="S746" s="6">
        <v>-4.1536483764648402</v>
      </c>
      <c r="T746" s="6">
        <v>-0.68021392822265603</v>
      </c>
      <c r="U746" s="6">
        <v>-0.191248759627342</v>
      </c>
      <c r="V746" s="6">
        <v>-0.64981341361999501</v>
      </c>
      <c r="W746" s="6">
        <v>-18.463842391967798</v>
      </c>
    </row>
    <row r="747" spans="1:23" ht="18.95" customHeight="1">
      <c r="A747" s="4">
        <v>743</v>
      </c>
      <c r="B747" s="4">
        <v>15951</v>
      </c>
      <c r="C747" s="4">
        <v>1</v>
      </c>
      <c r="D747" s="6">
        <v>0</v>
      </c>
      <c r="E747" s="6">
        <v>0</v>
      </c>
      <c r="F747" s="6">
        <v>3.75</v>
      </c>
      <c r="G747" s="6">
        <v>-0.1875</v>
      </c>
      <c r="H747" s="6">
        <v>-0.6875</v>
      </c>
      <c r="I747" s="6">
        <v>1.25</v>
      </c>
      <c r="J747" s="6">
        <v>-1.3125</v>
      </c>
      <c r="K747" s="6">
        <v>26.3125</v>
      </c>
      <c r="L747" s="6">
        <v>60.8125</v>
      </c>
      <c r="M747" s="6">
        <v>-0.75</v>
      </c>
      <c r="N747" s="6">
        <v>0</v>
      </c>
      <c r="O747" s="6">
        <v>0.6875</v>
      </c>
      <c r="P747" s="6">
        <v>-2.4375</v>
      </c>
      <c r="Q747" s="6">
        <v>-25</v>
      </c>
      <c r="R747" s="6">
        <v>0.186443567276001</v>
      </c>
      <c r="S747" s="6">
        <v>-4.8101367950439498</v>
      </c>
      <c r="T747" s="6">
        <v>-0.46647346019744901</v>
      </c>
      <c r="U747" s="6">
        <v>-0.19628852605819699</v>
      </c>
      <c r="V747" s="6">
        <v>-0.93852514028549205</v>
      </c>
      <c r="W747" s="6">
        <v>-18.4750881195068</v>
      </c>
    </row>
    <row r="748" spans="1:23" ht="18.95" customHeight="1">
      <c r="A748" s="4">
        <v>744</v>
      </c>
      <c r="B748" s="4">
        <v>15972</v>
      </c>
      <c r="C748" s="4">
        <v>1</v>
      </c>
      <c r="D748" s="6">
        <v>0</v>
      </c>
      <c r="E748" s="6">
        <v>0</v>
      </c>
      <c r="F748" s="6">
        <v>4.875</v>
      </c>
      <c r="G748" s="6">
        <v>-0.1875</v>
      </c>
      <c r="H748" s="6">
        <v>-0.4375</v>
      </c>
      <c r="I748" s="6">
        <v>1.25</v>
      </c>
      <c r="J748" s="6">
        <v>-1.3125</v>
      </c>
      <c r="K748" s="6">
        <v>26.1875</v>
      </c>
      <c r="L748" s="6">
        <v>59.5</v>
      </c>
      <c r="M748" s="6">
        <v>-0.75</v>
      </c>
      <c r="N748" s="6">
        <v>-0.125</v>
      </c>
      <c r="O748" s="6">
        <v>0.6875</v>
      </c>
      <c r="P748" s="6">
        <v>-2.4375</v>
      </c>
      <c r="Q748" s="6">
        <v>-26.1875</v>
      </c>
      <c r="R748" s="6">
        <v>0.232244968414307</v>
      </c>
      <c r="S748" s="6">
        <v>-5.9704422950744602</v>
      </c>
      <c r="T748" s="6">
        <v>-0.100061237812042</v>
      </c>
      <c r="U748" s="6">
        <v>-0.187214329838753</v>
      </c>
      <c r="V748" s="6">
        <v>-1.17069292068481</v>
      </c>
      <c r="W748" s="6">
        <v>-18.475770950317401</v>
      </c>
    </row>
    <row r="749" spans="1:23" ht="18.95" customHeight="1">
      <c r="A749" s="4">
        <v>745</v>
      </c>
      <c r="B749" s="4">
        <v>15992</v>
      </c>
      <c r="C749" s="4">
        <v>1</v>
      </c>
      <c r="D749" s="6">
        <v>0</v>
      </c>
      <c r="E749" s="6">
        <v>0</v>
      </c>
      <c r="F749" s="6">
        <v>5.8125</v>
      </c>
      <c r="G749" s="6">
        <v>0.125</v>
      </c>
      <c r="H749" s="6">
        <v>-6.25E-2</v>
      </c>
      <c r="I749" s="6">
        <v>1.25</v>
      </c>
      <c r="J749" s="6">
        <v>-1.3125</v>
      </c>
      <c r="K749" s="6">
        <v>25.9375</v>
      </c>
      <c r="L749" s="6">
        <v>58.0625</v>
      </c>
      <c r="M749" s="6">
        <v>-0.625</v>
      </c>
      <c r="N749" s="6">
        <v>6.25E-2</v>
      </c>
      <c r="O749" s="6">
        <v>0.75</v>
      </c>
      <c r="P749" s="6">
        <v>-2.375</v>
      </c>
      <c r="Q749" s="6">
        <v>-27.3125</v>
      </c>
      <c r="R749" s="6">
        <v>0.33911514282226601</v>
      </c>
      <c r="S749" s="6">
        <v>-7.2070837020873997</v>
      </c>
      <c r="T749" s="6">
        <v>-0.48174065351486201</v>
      </c>
      <c r="U749" s="6">
        <v>-0.13866788148879999</v>
      </c>
      <c r="V749" s="6">
        <v>-1.3880978822708101</v>
      </c>
      <c r="W749" s="6">
        <v>-18.486391067504901</v>
      </c>
    </row>
    <row r="750" spans="1:23" ht="18.95" customHeight="1">
      <c r="A750" s="4">
        <v>746</v>
      </c>
      <c r="B750" s="4">
        <v>16013</v>
      </c>
      <c r="C750" s="4">
        <v>1</v>
      </c>
      <c r="D750" s="6">
        <v>0</v>
      </c>
      <c r="E750" s="6">
        <v>0</v>
      </c>
      <c r="F750" s="6">
        <v>6.75</v>
      </c>
      <c r="G750" s="6">
        <v>0.125</v>
      </c>
      <c r="H750" s="6">
        <v>-0.4375</v>
      </c>
      <c r="I750" s="6">
        <v>1.25</v>
      </c>
      <c r="J750" s="6">
        <v>-1.3125</v>
      </c>
      <c r="K750" s="6">
        <v>25.8125</v>
      </c>
      <c r="L750" s="6">
        <v>57.125</v>
      </c>
      <c r="M750" s="6">
        <v>-0.625</v>
      </c>
      <c r="N750" s="6">
        <v>0</v>
      </c>
      <c r="O750" s="6">
        <v>0.75</v>
      </c>
      <c r="P750" s="6">
        <v>-2.375</v>
      </c>
      <c r="Q750" s="6">
        <v>-28.4375</v>
      </c>
      <c r="R750" s="6">
        <v>-0.118900060653687</v>
      </c>
      <c r="S750" s="6">
        <v>-8.0620450973510707</v>
      </c>
      <c r="T750" s="6">
        <v>-0.78708416223526001</v>
      </c>
      <c r="U750" s="6">
        <v>-3.4300506114959703E-2</v>
      </c>
      <c r="V750" s="6">
        <v>-1.4923943281173699</v>
      </c>
      <c r="W750" s="6">
        <v>-18.493202209472699</v>
      </c>
    </row>
    <row r="751" spans="1:23" ht="18.95" customHeight="1">
      <c r="A751" s="4">
        <v>747</v>
      </c>
      <c r="B751" s="4">
        <v>16034</v>
      </c>
      <c r="C751" s="4">
        <v>1</v>
      </c>
      <c r="D751" s="6">
        <v>0</v>
      </c>
      <c r="E751" s="6">
        <v>0</v>
      </c>
      <c r="F751" s="6">
        <v>8.5625</v>
      </c>
      <c r="G751" s="6">
        <v>-6.25E-2</v>
      </c>
      <c r="H751" s="6">
        <v>-0.5625</v>
      </c>
      <c r="I751" s="6">
        <v>1.25</v>
      </c>
      <c r="J751" s="6">
        <v>-1.3125</v>
      </c>
      <c r="K751" s="6">
        <v>25.5625</v>
      </c>
      <c r="L751" s="6">
        <v>56.5625</v>
      </c>
      <c r="M751" s="6">
        <v>-0.6875</v>
      </c>
      <c r="N751" s="6">
        <v>-6.25E-2</v>
      </c>
      <c r="O751" s="6">
        <v>0.75</v>
      </c>
      <c r="P751" s="6">
        <v>-2.375</v>
      </c>
      <c r="Q751" s="6">
        <v>-29.5</v>
      </c>
      <c r="R751" s="6">
        <v>0.56812286376953103</v>
      </c>
      <c r="S751" s="6">
        <v>-9.6498317718505895</v>
      </c>
      <c r="T751" s="6">
        <v>-0.34433606266975397</v>
      </c>
      <c r="U751" s="6">
        <v>-0.15379658341407801</v>
      </c>
      <c r="V751" s="6">
        <v>-1.7908282279968299</v>
      </c>
      <c r="W751" s="6">
        <v>-18.504325866699201</v>
      </c>
    </row>
    <row r="752" spans="1:23" ht="18.95" customHeight="1">
      <c r="A752" s="4">
        <v>748</v>
      </c>
      <c r="B752" s="4">
        <v>16056</v>
      </c>
      <c r="C752" s="4">
        <v>1</v>
      </c>
      <c r="D752" s="6">
        <v>0</v>
      </c>
      <c r="E752" s="6">
        <v>0</v>
      </c>
      <c r="F752" s="6">
        <v>9.875</v>
      </c>
      <c r="G752" s="6">
        <v>0.1875</v>
      </c>
      <c r="H752" s="6">
        <v>-0.125</v>
      </c>
      <c r="I752" s="6">
        <v>1.25</v>
      </c>
      <c r="J752" s="6">
        <v>-1.3125</v>
      </c>
      <c r="K752" s="6">
        <v>25.375</v>
      </c>
      <c r="L752" s="6">
        <v>57.5625</v>
      </c>
      <c r="M752" s="6">
        <v>-0.6875</v>
      </c>
      <c r="N752" s="6">
        <v>0.1875</v>
      </c>
      <c r="O752" s="6">
        <v>0.8125</v>
      </c>
      <c r="P752" s="6">
        <v>-2.375</v>
      </c>
      <c r="Q752" s="6">
        <v>-30.625</v>
      </c>
      <c r="R752" s="6">
        <v>0.65972590446472201</v>
      </c>
      <c r="S752" s="6">
        <v>-11.0086097717285</v>
      </c>
      <c r="T752" s="6">
        <v>-0.39013758301734902</v>
      </c>
      <c r="U752" s="6">
        <v>-4.4762015342712402E-2</v>
      </c>
      <c r="V752" s="6">
        <v>-1.9723989963531501</v>
      </c>
      <c r="W752" s="6">
        <v>-18.504514694213899</v>
      </c>
    </row>
    <row r="753" spans="1:23" ht="18.95" customHeight="1">
      <c r="A753" s="4">
        <v>749</v>
      </c>
      <c r="B753" s="4">
        <v>16077</v>
      </c>
      <c r="C753" s="4">
        <v>1</v>
      </c>
      <c r="D753" s="6">
        <v>0</v>
      </c>
      <c r="E753" s="6">
        <v>0</v>
      </c>
      <c r="F753" s="6">
        <v>11.125</v>
      </c>
      <c r="G753" s="6">
        <v>0.25</v>
      </c>
      <c r="H753" s="6">
        <v>0</v>
      </c>
      <c r="I753" s="6">
        <v>1.25</v>
      </c>
      <c r="J753" s="6">
        <v>-1.3125</v>
      </c>
      <c r="K753" s="6">
        <v>25.1875</v>
      </c>
      <c r="L753" s="6">
        <v>56</v>
      </c>
      <c r="M753" s="6">
        <v>-0.5625</v>
      </c>
      <c r="N753" s="6">
        <v>6.25E-2</v>
      </c>
      <c r="O753" s="6">
        <v>0.8125</v>
      </c>
      <c r="P753" s="6">
        <v>-2.375</v>
      </c>
      <c r="Q753" s="6">
        <v>-32.25</v>
      </c>
      <c r="R753" s="6">
        <v>6.4306020736694294E-2</v>
      </c>
      <c r="S753" s="6">
        <v>-12.229984283447299</v>
      </c>
      <c r="T753" s="6">
        <v>-0.37487041950225802</v>
      </c>
      <c r="U753" s="6">
        <v>-3.8914781063795097E-2</v>
      </c>
      <c r="V753" s="6">
        <v>-2.34934782981873</v>
      </c>
      <c r="W753" s="6">
        <v>-18.5172119140625</v>
      </c>
    </row>
    <row r="754" spans="1:23" ht="18.95" customHeight="1">
      <c r="A754" s="4">
        <v>750</v>
      </c>
      <c r="B754" s="4">
        <v>16098</v>
      </c>
      <c r="C754" s="4">
        <v>1</v>
      </c>
      <c r="D754" s="6">
        <v>0</v>
      </c>
      <c r="E754" s="6">
        <v>0</v>
      </c>
      <c r="F754" s="6">
        <v>12.375</v>
      </c>
      <c r="G754" s="6">
        <v>0</v>
      </c>
      <c r="H754" s="6">
        <v>-0.1875</v>
      </c>
      <c r="I754" s="6">
        <v>1.25</v>
      </c>
      <c r="J754" s="6">
        <v>-1.3125</v>
      </c>
      <c r="K754" s="6">
        <v>24.9375</v>
      </c>
      <c r="L754" s="6">
        <v>56.0625</v>
      </c>
      <c r="M754" s="6">
        <v>-0.5625</v>
      </c>
      <c r="N754" s="6">
        <v>0.125</v>
      </c>
      <c r="O754" s="6">
        <v>0.875</v>
      </c>
      <c r="P754" s="6">
        <v>-2.375</v>
      </c>
      <c r="Q754" s="6">
        <v>-33.3125</v>
      </c>
      <c r="R754" s="6">
        <v>0.82766485214233398</v>
      </c>
      <c r="S754" s="6">
        <v>-13.3139533996582</v>
      </c>
      <c r="T754" s="6">
        <v>-3.8992583751678501E-2</v>
      </c>
      <c r="U754" s="6">
        <v>-5.8934092521667502E-4</v>
      </c>
      <c r="V754" s="6">
        <v>-2.6713027954101598</v>
      </c>
      <c r="W754" s="6">
        <v>-18.5179252624512</v>
      </c>
    </row>
    <row r="755" spans="1:23" ht="18.95" customHeight="1">
      <c r="A755" s="4">
        <v>751</v>
      </c>
      <c r="B755" s="4">
        <v>16118</v>
      </c>
      <c r="C755" s="4">
        <v>1</v>
      </c>
      <c r="D755" s="6">
        <v>0</v>
      </c>
      <c r="E755" s="6">
        <v>0</v>
      </c>
      <c r="F755" s="6">
        <v>13.375</v>
      </c>
      <c r="G755" s="6">
        <v>0.5</v>
      </c>
      <c r="H755" s="6">
        <v>0.125</v>
      </c>
      <c r="I755" s="6">
        <v>1.25</v>
      </c>
      <c r="J755" s="6">
        <v>-1.3125</v>
      </c>
      <c r="K755" s="6">
        <v>24.6875</v>
      </c>
      <c r="L755" s="6">
        <v>53.4375</v>
      </c>
      <c r="M755" s="6">
        <v>-0.6875</v>
      </c>
      <c r="N755" s="6">
        <v>-6.25E-2</v>
      </c>
      <c r="O755" s="6">
        <v>0.875</v>
      </c>
      <c r="P755" s="6">
        <v>-2.375</v>
      </c>
      <c r="Q755" s="6">
        <v>-34.375</v>
      </c>
      <c r="R755" s="6">
        <v>0.49178695678710899</v>
      </c>
      <c r="S755" s="6">
        <v>-14.9475421905518</v>
      </c>
      <c r="T755" s="6">
        <v>-0.60387802124023404</v>
      </c>
      <c r="U755" s="6">
        <v>2.75679100304842E-2</v>
      </c>
      <c r="V755" s="6">
        <v>-2.9732592105865501</v>
      </c>
      <c r="W755" s="6">
        <v>-18.5225505828857</v>
      </c>
    </row>
    <row r="756" spans="1:23" ht="18.95" customHeight="1">
      <c r="A756" s="4">
        <v>752</v>
      </c>
      <c r="B756" s="4">
        <v>16138</v>
      </c>
      <c r="C756" s="4">
        <v>1</v>
      </c>
      <c r="D756" s="6">
        <v>0</v>
      </c>
      <c r="E756" s="6">
        <v>0</v>
      </c>
      <c r="F756" s="6">
        <v>14.9375</v>
      </c>
      <c r="G756" s="6">
        <v>0.3125</v>
      </c>
      <c r="H756" s="6">
        <v>0.1875</v>
      </c>
      <c r="I756" s="6">
        <v>1.25</v>
      </c>
      <c r="J756" s="6">
        <v>-1.3125</v>
      </c>
      <c r="K756" s="6">
        <v>24.375</v>
      </c>
      <c r="L756" s="6">
        <v>52.6875</v>
      </c>
      <c r="M756" s="6">
        <v>-0.5</v>
      </c>
      <c r="N756" s="6">
        <v>0</v>
      </c>
      <c r="O756" s="6">
        <v>0.9375</v>
      </c>
      <c r="P756" s="6">
        <v>-2.375</v>
      </c>
      <c r="Q756" s="6">
        <v>-35.375</v>
      </c>
      <c r="R756" s="6">
        <v>0.52232146263122603</v>
      </c>
      <c r="S756" s="6">
        <v>-15.970441818237299</v>
      </c>
      <c r="T756" s="6">
        <v>-0.22219866514205899</v>
      </c>
      <c r="U756" s="6">
        <v>7.8955456614494296E-2</v>
      </c>
      <c r="V756" s="6">
        <v>-3.2741901874542201</v>
      </c>
      <c r="W756" s="6">
        <v>-18.523971557617202</v>
      </c>
    </row>
    <row r="757" spans="1:23" ht="18.95" customHeight="1">
      <c r="A757" s="4">
        <v>753</v>
      </c>
      <c r="B757" s="4">
        <v>16160</v>
      </c>
      <c r="C757" s="4">
        <v>1</v>
      </c>
      <c r="D757" s="6">
        <v>0</v>
      </c>
      <c r="E757" s="6">
        <v>0</v>
      </c>
      <c r="F757" s="6">
        <v>16.25</v>
      </c>
      <c r="G757" s="6">
        <v>0.375</v>
      </c>
      <c r="H757" s="6">
        <v>0.125</v>
      </c>
      <c r="I757" s="6">
        <v>1.25</v>
      </c>
      <c r="J757" s="6">
        <v>-1.3125</v>
      </c>
      <c r="K757" s="6">
        <v>24</v>
      </c>
      <c r="L757" s="6">
        <v>50.5625</v>
      </c>
      <c r="M757" s="6">
        <v>-0.5625</v>
      </c>
      <c r="N757" s="6">
        <v>-6.25E-2</v>
      </c>
      <c r="O757" s="6">
        <v>0.9375</v>
      </c>
      <c r="P757" s="6">
        <v>-2.3125</v>
      </c>
      <c r="Q757" s="6">
        <v>-36.375</v>
      </c>
      <c r="R757" s="6">
        <v>0.415451049804688</v>
      </c>
      <c r="S757" s="6">
        <v>-17.2070827484131</v>
      </c>
      <c r="T757" s="6">
        <v>-0.28326734900474498</v>
      </c>
      <c r="U757" s="6">
        <v>8.5446499288082095E-2</v>
      </c>
      <c r="V757" s="6">
        <v>-3.6755628585815399</v>
      </c>
      <c r="W757" s="6">
        <v>-18.534019470214801</v>
      </c>
    </row>
    <row r="758" spans="1:23" ht="18.95" customHeight="1">
      <c r="A758" s="4">
        <v>754</v>
      </c>
      <c r="B758" s="4">
        <v>16190</v>
      </c>
      <c r="C758" s="4">
        <v>1</v>
      </c>
      <c r="D758" s="6">
        <v>0</v>
      </c>
      <c r="E758" s="6">
        <v>0</v>
      </c>
      <c r="F758" s="6">
        <v>18.1875</v>
      </c>
      <c r="G758" s="6">
        <v>0.5625</v>
      </c>
      <c r="H758" s="6">
        <v>6.25E-2</v>
      </c>
      <c r="I758" s="6">
        <v>1.25</v>
      </c>
      <c r="J758" s="6">
        <v>-1.3125</v>
      </c>
      <c r="K758" s="6">
        <v>23.4375</v>
      </c>
      <c r="L758" s="6">
        <v>48.4375</v>
      </c>
      <c r="M758" s="6">
        <v>-0.5</v>
      </c>
      <c r="N758" s="6">
        <v>0.125</v>
      </c>
      <c r="O758" s="6">
        <v>1</v>
      </c>
      <c r="P758" s="6">
        <v>-2.3125</v>
      </c>
      <c r="Q758" s="6">
        <v>-37.8125</v>
      </c>
      <c r="R758" s="6">
        <v>0.50705409049987804</v>
      </c>
      <c r="S758" s="6">
        <v>-19.6498317718506</v>
      </c>
      <c r="T758" s="6">
        <v>-0.52754217386245705</v>
      </c>
      <c r="U758" s="6">
        <v>0.14493161439895599</v>
      </c>
      <c r="V758" s="6">
        <v>-4.2232465744018599</v>
      </c>
      <c r="W758" s="6">
        <v>-18.544075012206999</v>
      </c>
    </row>
    <row r="759" spans="1:23" ht="18.95" customHeight="1">
      <c r="A759" s="4">
        <v>755</v>
      </c>
      <c r="B759" s="4">
        <v>16210</v>
      </c>
      <c r="C759" s="4">
        <v>1</v>
      </c>
      <c r="D759" s="6">
        <v>0</v>
      </c>
      <c r="E759" s="6">
        <v>0</v>
      </c>
      <c r="F759" s="6">
        <v>19.5</v>
      </c>
      <c r="G759" s="6">
        <v>0.4375</v>
      </c>
      <c r="H759" s="6">
        <v>6.25E-2</v>
      </c>
      <c r="I759" s="6">
        <v>1.25</v>
      </c>
      <c r="J759" s="6">
        <v>-1.3125</v>
      </c>
      <c r="K759" s="6">
        <v>23</v>
      </c>
      <c r="L759" s="6">
        <v>46.9375</v>
      </c>
      <c r="M759" s="6">
        <v>-0.375</v>
      </c>
      <c r="N759" s="6">
        <v>-0.125</v>
      </c>
      <c r="O759" s="6">
        <v>1</v>
      </c>
      <c r="P759" s="6">
        <v>-2.3125</v>
      </c>
      <c r="Q759" s="6">
        <v>-38.6875</v>
      </c>
      <c r="R759" s="6">
        <v>1.01087093353271</v>
      </c>
      <c r="S759" s="6">
        <v>-20.7796020507812</v>
      </c>
      <c r="T759" s="6">
        <v>-0.46647346019744901</v>
      </c>
      <c r="U759" s="6">
        <v>9.1369807720184298E-2</v>
      </c>
      <c r="V759" s="6">
        <v>-4.6948556900024396</v>
      </c>
      <c r="W759" s="6">
        <v>-18.550352096557599</v>
      </c>
    </row>
    <row r="760" spans="1:23" ht="18.95" customHeight="1">
      <c r="A760" s="4">
        <v>756</v>
      </c>
      <c r="B760" s="4">
        <v>16230</v>
      </c>
      <c r="C760" s="4">
        <v>1</v>
      </c>
      <c r="D760" s="6">
        <v>0</v>
      </c>
      <c r="E760" s="6">
        <v>0</v>
      </c>
      <c r="F760" s="6">
        <v>21.125</v>
      </c>
      <c r="G760" s="6">
        <v>0.5</v>
      </c>
      <c r="H760" s="6">
        <v>6.25E-2</v>
      </c>
      <c r="I760" s="6">
        <v>1.3125</v>
      </c>
      <c r="J760" s="6">
        <v>-1.3125</v>
      </c>
      <c r="K760" s="6">
        <v>22.5625</v>
      </c>
      <c r="L760" s="6">
        <v>46</v>
      </c>
      <c r="M760" s="6">
        <v>-0.6875</v>
      </c>
      <c r="N760" s="6">
        <v>0.125</v>
      </c>
      <c r="O760" s="6">
        <v>1</v>
      </c>
      <c r="P760" s="6">
        <v>-2.3125</v>
      </c>
      <c r="Q760" s="6">
        <v>-39.625</v>
      </c>
      <c r="R760" s="6">
        <v>1.08720684051514</v>
      </c>
      <c r="S760" s="6">
        <v>-22.825403213501001</v>
      </c>
      <c r="T760" s="6">
        <v>2.2076129913330099E-2</v>
      </c>
      <c r="U760" s="6">
        <v>0.202779024839401</v>
      </c>
      <c r="V760" s="6">
        <v>-5.0210261344909703</v>
      </c>
      <c r="W760" s="6">
        <v>-18.546382904052699</v>
      </c>
    </row>
    <row r="761" spans="1:23" ht="18.95" customHeight="1">
      <c r="A761" s="4">
        <v>757</v>
      </c>
      <c r="B761" s="4">
        <v>16252</v>
      </c>
      <c r="C761" s="4">
        <v>1</v>
      </c>
      <c r="D761" s="6">
        <v>0</v>
      </c>
      <c r="E761" s="6">
        <v>0</v>
      </c>
      <c r="F761" s="6">
        <v>22.75</v>
      </c>
      <c r="G761" s="6">
        <v>0.75</v>
      </c>
      <c r="H761" s="6">
        <v>0.5625</v>
      </c>
      <c r="I761" s="6">
        <v>1.3125</v>
      </c>
      <c r="J761" s="6">
        <v>-1.3125</v>
      </c>
      <c r="K761" s="6">
        <v>22.0625</v>
      </c>
      <c r="L761" s="6">
        <v>43.75</v>
      </c>
      <c r="M761" s="6">
        <v>-0.6875</v>
      </c>
      <c r="N761" s="6">
        <v>6.25E-2</v>
      </c>
      <c r="O761" s="6">
        <v>1.0625</v>
      </c>
      <c r="P761" s="6">
        <v>-2.3125</v>
      </c>
      <c r="Q761" s="6">
        <v>-40.5</v>
      </c>
      <c r="R761" s="6">
        <v>0.64445877075195301</v>
      </c>
      <c r="S761" s="6">
        <v>-24.1841831207275</v>
      </c>
      <c r="T761" s="6">
        <v>-0.72601544857025102</v>
      </c>
      <c r="U761" s="6">
        <v>0.13846881687641099</v>
      </c>
      <c r="V761" s="6">
        <v>-5.5542554855346697</v>
      </c>
      <c r="W761" s="6">
        <v>-18.5611362457275</v>
      </c>
    </row>
    <row r="762" spans="1:23" ht="18.95" customHeight="1">
      <c r="A762" s="4">
        <v>758</v>
      </c>
      <c r="B762" s="4">
        <v>16274</v>
      </c>
      <c r="C762" s="4">
        <v>1</v>
      </c>
      <c r="D762" s="6">
        <v>0</v>
      </c>
      <c r="E762" s="6">
        <v>0</v>
      </c>
      <c r="F762" s="6">
        <v>24.125</v>
      </c>
      <c r="G762" s="6">
        <v>0.3125</v>
      </c>
      <c r="H762" s="6">
        <v>-0.3125</v>
      </c>
      <c r="I762" s="6">
        <v>1.3125</v>
      </c>
      <c r="J762" s="6">
        <v>-1.3125</v>
      </c>
      <c r="K762" s="6">
        <v>21.5625</v>
      </c>
      <c r="L762" s="6">
        <v>42.8125</v>
      </c>
      <c r="M762" s="6">
        <v>-0.3125</v>
      </c>
      <c r="N762" s="6">
        <v>0</v>
      </c>
      <c r="O762" s="6">
        <v>1.0625</v>
      </c>
      <c r="P762" s="6">
        <v>-2.3125</v>
      </c>
      <c r="Q762" s="6">
        <v>-41.375</v>
      </c>
      <c r="R762" s="6">
        <v>1.30094730854034</v>
      </c>
      <c r="S762" s="6">
        <v>-25.329219818115199</v>
      </c>
      <c r="T762" s="6">
        <v>-0.176397144794464</v>
      </c>
      <c r="U762" s="6">
        <v>0.31526377797126798</v>
      </c>
      <c r="V762" s="6">
        <v>-5.9968347549438503</v>
      </c>
      <c r="W762" s="6">
        <v>-18.557439804077099</v>
      </c>
    </row>
    <row r="763" spans="1:23" ht="18.95" customHeight="1">
      <c r="A763" s="4">
        <v>759</v>
      </c>
      <c r="B763" s="4">
        <v>16294</v>
      </c>
      <c r="C763" s="4">
        <v>1</v>
      </c>
      <c r="D763" s="6">
        <v>0</v>
      </c>
      <c r="E763" s="6">
        <v>0</v>
      </c>
      <c r="F763" s="6">
        <v>25.5625</v>
      </c>
      <c r="G763" s="6">
        <v>0.875</v>
      </c>
      <c r="H763" s="6">
        <v>0.625</v>
      </c>
      <c r="I763" s="6">
        <v>1.3125</v>
      </c>
      <c r="J763" s="6">
        <v>-1.3125</v>
      </c>
      <c r="K763" s="6">
        <v>20.8125</v>
      </c>
      <c r="L763" s="6">
        <v>40</v>
      </c>
      <c r="M763" s="6">
        <v>-0.3125</v>
      </c>
      <c r="N763" s="6">
        <v>-0.25</v>
      </c>
      <c r="O763" s="6">
        <v>1.0625</v>
      </c>
      <c r="P763" s="6">
        <v>-2.3125</v>
      </c>
      <c r="Q763" s="6">
        <v>-42.125</v>
      </c>
      <c r="R763" s="6">
        <v>1.27041292190552</v>
      </c>
      <c r="S763" s="6">
        <v>-27.451358795166001</v>
      </c>
      <c r="T763" s="6">
        <v>-0.34433606266975397</v>
      </c>
      <c r="U763" s="6">
        <v>0.21553809940815</v>
      </c>
      <c r="V763" s="6">
        <v>-6.5421237945556596</v>
      </c>
      <c r="W763" s="6">
        <v>-18.563350677490199</v>
      </c>
    </row>
    <row r="764" spans="1:23" ht="18.95" customHeight="1">
      <c r="A764" s="4">
        <v>760</v>
      </c>
      <c r="B764" s="4">
        <v>16315</v>
      </c>
      <c r="C764" s="4">
        <v>1</v>
      </c>
      <c r="D764" s="6">
        <v>0</v>
      </c>
      <c r="E764" s="6">
        <v>0</v>
      </c>
      <c r="F764" s="6">
        <v>27.5</v>
      </c>
      <c r="G764" s="6">
        <v>0.375</v>
      </c>
      <c r="H764" s="6">
        <v>-6.25E-2</v>
      </c>
      <c r="I764" s="6">
        <v>1.3125</v>
      </c>
      <c r="J764" s="6">
        <v>-1.3125</v>
      </c>
      <c r="K764" s="6">
        <v>20.5</v>
      </c>
      <c r="L764" s="6">
        <v>39.4375</v>
      </c>
      <c r="M764" s="6">
        <v>-0.5</v>
      </c>
      <c r="N764" s="6">
        <v>6.25E-2</v>
      </c>
      <c r="O764" s="6">
        <v>1.125</v>
      </c>
      <c r="P764" s="6">
        <v>-2.3125</v>
      </c>
      <c r="Q764" s="6">
        <v>-42.875</v>
      </c>
      <c r="R764" s="6">
        <v>0.78186333179473899</v>
      </c>
      <c r="S764" s="6">
        <v>-29.237617492675799</v>
      </c>
      <c r="T764" s="6">
        <v>-0.22219866514205899</v>
      </c>
      <c r="U764" s="6">
        <v>0.28703188896179199</v>
      </c>
      <c r="V764" s="6">
        <v>-6.9578657150268599</v>
      </c>
      <c r="W764" s="6">
        <v>-18.555587768554702</v>
      </c>
    </row>
    <row r="765" spans="1:23" ht="18.95" customHeight="1">
      <c r="A765" s="4">
        <v>761</v>
      </c>
      <c r="B765" s="4">
        <v>16336</v>
      </c>
      <c r="C765" s="4">
        <v>1</v>
      </c>
      <c r="D765" s="6">
        <v>0</v>
      </c>
      <c r="E765" s="6">
        <v>0</v>
      </c>
      <c r="F765" s="6">
        <v>28.9375</v>
      </c>
      <c r="G765" s="6">
        <v>1</v>
      </c>
      <c r="H765" s="6">
        <v>0.5</v>
      </c>
      <c r="I765" s="6">
        <v>1.3125</v>
      </c>
      <c r="J765" s="6">
        <v>-1.375</v>
      </c>
      <c r="K765" s="6">
        <v>19.6875</v>
      </c>
      <c r="L765" s="6">
        <v>36.8125</v>
      </c>
      <c r="M765" s="6">
        <v>-0.3125</v>
      </c>
      <c r="N765" s="6">
        <v>-0.1875</v>
      </c>
      <c r="O765" s="6">
        <v>1.125</v>
      </c>
      <c r="P765" s="6">
        <v>-2.3125</v>
      </c>
      <c r="Q765" s="6">
        <v>-43.625</v>
      </c>
      <c r="R765" s="6">
        <v>1.33148169517517</v>
      </c>
      <c r="S765" s="6">
        <v>-30.657464981079102</v>
      </c>
      <c r="T765" s="6">
        <v>-5.4259717464447001E-2</v>
      </c>
      <c r="U765" s="6">
        <v>0.26897457242012002</v>
      </c>
      <c r="V765" s="6">
        <v>-7.5306444168090803</v>
      </c>
      <c r="W765" s="6">
        <v>-18.565994262695298</v>
      </c>
    </row>
    <row r="766" spans="1:23" ht="18.95" customHeight="1">
      <c r="A766" s="4">
        <v>762</v>
      </c>
      <c r="B766" s="4">
        <v>16357</v>
      </c>
      <c r="C766" s="4">
        <v>1</v>
      </c>
      <c r="D766" s="6">
        <v>0</v>
      </c>
      <c r="E766" s="6">
        <v>0</v>
      </c>
      <c r="F766" s="6">
        <v>31.5</v>
      </c>
      <c r="G766" s="6">
        <v>0.6875</v>
      </c>
      <c r="H766" s="6">
        <v>-6.25E-2</v>
      </c>
      <c r="I766" s="6">
        <v>1.3125</v>
      </c>
      <c r="J766" s="6">
        <v>-1.375</v>
      </c>
      <c r="K766" s="6">
        <v>19.0625</v>
      </c>
      <c r="L766" s="6">
        <v>35.875</v>
      </c>
      <c r="M766" s="6">
        <v>-0.4375</v>
      </c>
      <c r="N766" s="6">
        <v>0</v>
      </c>
      <c r="O766" s="6">
        <v>1.125</v>
      </c>
      <c r="P766" s="6">
        <v>-2.3125</v>
      </c>
      <c r="Q766" s="6">
        <v>-44.375</v>
      </c>
      <c r="R766" s="6">
        <v>0.90400075912475597</v>
      </c>
      <c r="S766" s="6">
        <v>-32.077308654785199</v>
      </c>
      <c r="T766" s="6">
        <v>-0.51227498054504395</v>
      </c>
      <c r="U766" s="6">
        <v>0.371233910322189</v>
      </c>
      <c r="V766" s="6">
        <v>-8.1631174087524396</v>
      </c>
      <c r="W766" s="6">
        <v>-18.553768157958999</v>
      </c>
    </row>
    <row r="767" spans="1:23" ht="18.95" customHeight="1">
      <c r="A767" s="4">
        <v>763</v>
      </c>
      <c r="B767" s="4">
        <v>16379</v>
      </c>
      <c r="C767" s="4">
        <v>1</v>
      </c>
      <c r="D767" s="6">
        <v>0</v>
      </c>
      <c r="E767" s="6">
        <v>0</v>
      </c>
      <c r="F767" s="6">
        <v>32.75</v>
      </c>
      <c r="G767" s="6">
        <v>1.1875</v>
      </c>
      <c r="H767" s="6">
        <v>0.375</v>
      </c>
      <c r="I767" s="6">
        <v>1.3125</v>
      </c>
      <c r="J767" s="6">
        <v>-1.375</v>
      </c>
      <c r="K767" s="6">
        <v>18.4375</v>
      </c>
      <c r="L767" s="6">
        <v>31.5</v>
      </c>
      <c r="M767" s="6">
        <v>-0.3125</v>
      </c>
      <c r="N767" s="6">
        <v>0</v>
      </c>
      <c r="O767" s="6">
        <v>1.125</v>
      </c>
      <c r="P767" s="6">
        <v>-2.3125</v>
      </c>
      <c r="Q767" s="6">
        <v>-45.3125</v>
      </c>
      <c r="R767" s="6">
        <v>1.27041292190552</v>
      </c>
      <c r="S767" s="6">
        <v>-34.214714050292997</v>
      </c>
      <c r="T767" s="6">
        <v>-0.176397144794464</v>
      </c>
      <c r="U767" s="6">
        <v>0.43238306045532199</v>
      </c>
      <c r="V767" s="6">
        <v>-8.7145233154296893</v>
      </c>
      <c r="W767" s="6">
        <v>-18.560981750488299</v>
      </c>
    </row>
    <row r="768" spans="1:23" ht="18.95" customHeight="1">
      <c r="A768" s="4">
        <v>764</v>
      </c>
      <c r="B768" s="4">
        <v>16401</v>
      </c>
      <c r="C768" s="4">
        <v>1</v>
      </c>
      <c r="D768" s="6">
        <v>0</v>
      </c>
      <c r="E768" s="6">
        <v>0</v>
      </c>
      <c r="F768" s="6">
        <v>34.6875</v>
      </c>
      <c r="G768" s="6">
        <v>0.5625</v>
      </c>
      <c r="H768" s="6">
        <v>0.1875</v>
      </c>
      <c r="I768" s="6">
        <v>1.375</v>
      </c>
      <c r="J768" s="6">
        <v>-1.375</v>
      </c>
      <c r="K768" s="6">
        <v>17.75</v>
      </c>
      <c r="L768" s="6">
        <v>30.5625</v>
      </c>
      <c r="M768" s="6">
        <v>-0.4375</v>
      </c>
      <c r="N768" s="6">
        <v>6.25E-2</v>
      </c>
      <c r="O768" s="6">
        <v>1.1875</v>
      </c>
      <c r="P768" s="6">
        <v>-2.3125</v>
      </c>
      <c r="Q768" s="6">
        <v>-45.9375</v>
      </c>
      <c r="R768" s="6">
        <v>1.83529853820801</v>
      </c>
      <c r="S768" s="6">
        <v>-35.741432189941399</v>
      </c>
      <c r="T768" s="6">
        <v>0.35795402526855502</v>
      </c>
      <c r="U768" s="6">
        <v>0.38343343138694802</v>
      </c>
      <c r="V768" s="6">
        <v>-9.4581375122070295</v>
      </c>
      <c r="W768" s="6">
        <v>-18.5546264648438</v>
      </c>
    </row>
    <row r="769" spans="1:23" ht="18.95" customHeight="1">
      <c r="A769" s="4">
        <v>765</v>
      </c>
      <c r="B769" s="4">
        <v>16422</v>
      </c>
      <c r="C769" s="4">
        <v>1</v>
      </c>
      <c r="D769" s="6">
        <v>0</v>
      </c>
      <c r="E769" s="6">
        <v>0</v>
      </c>
      <c r="F769" s="6">
        <v>35.9375</v>
      </c>
      <c r="G769" s="6">
        <v>1.25</v>
      </c>
      <c r="H769" s="6">
        <v>0.8125</v>
      </c>
      <c r="I769" s="6">
        <v>1.375</v>
      </c>
      <c r="J769" s="6">
        <v>-1.4375</v>
      </c>
      <c r="K769" s="6">
        <v>17.0625</v>
      </c>
      <c r="L769" s="6">
        <v>27.1875</v>
      </c>
      <c r="M769" s="6">
        <v>-0.1875</v>
      </c>
      <c r="N769" s="6">
        <v>-6.25E-2</v>
      </c>
      <c r="O769" s="6">
        <v>1.1875</v>
      </c>
      <c r="P769" s="6">
        <v>-2.3125</v>
      </c>
      <c r="Q769" s="6">
        <v>-46.5</v>
      </c>
      <c r="R769" s="6">
        <v>1.57575643062592</v>
      </c>
      <c r="S769" s="6">
        <v>-36.962806701660199</v>
      </c>
      <c r="T769" s="6">
        <v>3.7343323230743401E-2</v>
      </c>
      <c r="U769" s="6">
        <v>0.35074010491371199</v>
      </c>
      <c r="V769" s="6">
        <v>-10.1466979980469</v>
      </c>
      <c r="W769" s="6">
        <v>-18.5635070800781</v>
      </c>
    </row>
    <row r="770" spans="1:23" ht="18.95" customHeight="1">
      <c r="A770" s="4">
        <v>766</v>
      </c>
      <c r="B770" s="4">
        <v>16444</v>
      </c>
      <c r="C770" s="4">
        <v>1</v>
      </c>
      <c r="D770" s="6">
        <v>0</v>
      </c>
      <c r="E770" s="6">
        <v>0</v>
      </c>
      <c r="F770" s="6">
        <v>37.3125</v>
      </c>
      <c r="G770" s="6">
        <v>0.625</v>
      </c>
      <c r="H770" s="6">
        <v>0</v>
      </c>
      <c r="I770" s="6">
        <v>1.375</v>
      </c>
      <c r="J770" s="6">
        <v>-1.4375</v>
      </c>
      <c r="K770" s="6">
        <v>16.3125</v>
      </c>
      <c r="L770" s="6">
        <v>25.875</v>
      </c>
      <c r="M770" s="6">
        <v>-0.4375</v>
      </c>
      <c r="N770" s="6">
        <v>6.25E-2</v>
      </c>
      <c r="O770" s="6">
        <v>1.1875</v>
      </c>
      <c r="P770" s="6">
        <v>-2.3125</v>
      </c>
      <c r="Q770" s="6">
        <v>-47.0625</v>
      </c>
      <c r="R770" s="6">
        <v>1.8810999393463099</v>
      </c>
      <c r="S770" s="6">
        <v>-37.604026794433601</v>
      </c>
      <c r="T770" s="6">
        <v>5.2610516548156697E-2</v>
      </c>
      <c r="U770" s="6">
        <v>0.38838174939155601</v>
      </c>
      <c r="V770" s="6">
        <v>-10.87024974823</v>
      </c>
      <c r="W770" s="6">
        <v>-18.557861328125</v>
      </c>
    </row>
    <row r="771" spans="1:23" ht="18.95" customHeight="1">
      <c r="A771" s="4">
        <v>767</v>
      </c>
      <c r="B771" s="4">
        <v>16464</v>
      </c>
      <c r="C771" s="4">
        <v>1</v>
      </c>
      <c r="D771" s="6">
        <v>0</v>
      </c>
      <c r="E771" s="6">
        <v>0</v>
      </c>
      <c r="F771" s="6">
        <v>38.5</v>
      </c>
      <c r="G771" s="6">
        <v>1.25</v>
      </c>
      <c r="H771" s="6">
        <v>0.75</v>
      </c>
      <c r="I771" s="6">
        <v>1.375</v>
      </c>
      <c r="J771" s="6">
        <v>-1.4375</v>
      </c>
      <c r="K771" s="6">
        <v>15.5625</v>
      </c>
      <c r="L771" s="6">
        <v>22.6875</v>
      </c>
      <c r="M771" s="6">
        <v>-0.125</v>
      </c>
      <c r="N771" s="6">
        <v>-0.125</v>
      </c>
      <c r="O771" s="6">
        <v>1.1875</v>
      </c>
      <c r="P771" s="6">
        <v>-2.25</v>
      </c>
      <c r="Q771" s="6">
        <v>-47.5</v>
      </c>
      <c r="R771" s="6">
        <v>1.4383518695831301</v>
      </c>
      <c r="S771" s="6">
        <v>-40.077308654785199</v>
      </c>
      <c r="T771" s="6">
        <v>-0.64967960119247403</v>
      </c>
      <c r="U771" s="6">
        <v>0.41682448983192399</v>
      </c>
      <c r="V771" s="6">
        <v>-11.563209533691399</v>
      </c>
      <c r="W771" s="6">
        <v>-18.5645427703857</v>
      </c>
    </row>
    <row r="772" spans="1:23" ht="18.95" customHeight="1">
      <c r="A772" s="4">
        <v>768</v>
      </c>
      <c r="B772" s="4">
        <v>16486</v>
      </c>
      <c r="C772" s="4">
        <v>1</v>
      </c>
      <c r="D772" s="6">
        <v>0</v>
      </c>
      <c r="E772" s="6">
        <v>0</v>
      </c>
      <c r="F772" s="6">
        <v>40.0625</v>
      </c>
      <c r="G772" s="6">
        <v>0.8125</v>
      </c>
      <c r="H772" s="6">
        <v>0.1875</v>
      </c>
      <c r="I772" s="6">
        <v>1.375</v>
      </c>
      <c r="J772" s="6">
        <v>-1.5</v>
      </c>
      <c r="K772" s="6">
        <v>14.3125</v>
      </c>
      <c r="L772" s="6">
        <v>21.125</v>
      </c>
      <c r="M772" s="6">
        <v>-0.25</v>
      </c>
      <c r="N772" s="6">
        <v>6.25E-2</v>
      </c>
      <c r="O772" s="6">
        <v>1.1875</v>
      </c>
      <c r="P772" s="6">
        <v>-2.25</v>
      </c>
      <c r="Q772" s="6">
        <v>-48.1875</v>
      </c>
      <c r="R772" s="6">
        <v>1.54522216320038</v>
      </c>
      <c r="S772" s="6">
        <v>-41.176551818847699</v>
      </c>
      <c r="T772" s="6">
        <v>6.7877650260925307E-2</v>
      </c>
      <c r="U772" s="6">
        <v>0.48004940152168302</v>
      </c>
      <c r="V772" s="6">
        <v>-12.299043655395501</v>
      </c>
      <c r="W772" s="6">
        <v>-18.562627792358398</v>
      </c>
    </row>
    <row r="773" spans="1:23" ht="18.95" customHeight="1">
      <c r="A773" s="4">
        <v>769</v>
      </c>
      <c r="B773" s="4">
        <v>16507</v>
      </c>
      <c r="C773" s="4">
        <v>1</v>
      </c>
      <c r="D773" s="6">
        <v>0</v>
      </c>
      <c r="E773" s="6">
        <v>0</v>
      </c>
      <c r="F773" s="6">
        <v>41.875</v>
      </c>
      <c r="G773" s="6">
        <v>1.0625</v>
      </c>
      <c r="H773" s="6">
        <v>0.375</v>
      </c>
      <c r="I773" s="6">
        <v>1.375</v>
      </c>
      <c r="J773" s="6">
        <v>-1.5</v>
      </c>
      <c r="K773" s="6">
        <v>13.5625</v>
      </c>
      <c r="L773" s="6">
        <v>18.75</v>
      </c>
      <c r="M773" s="6">
        <v>-0.1875</v>
      </c>
      <c r="N773" s="6">
        <v>6.25E-2</v>
      </c>
      <c r="O773" s="6">
        <v>1.1875</v>
      </c>
      <c r="P773" s="6">
        <v>-2.25</v>
      </c>
      <c r="Q773" s="6">
        <v>-48.375</v>
      </c>
      <c r="R773" s="6">
        <v>1.63682520389557</v>
      </c>
      <c r="S773" s="6">
        <v>-42.4437255859375</v>
      </c>
      <c r="T773" s="6">
        <v>-0.161129951477051</v>
      </c>
      <c r="U773" s="6">
        <v>0.50428515672683705</v>
      </c>
      <c r="V773" s="6">
        <v>-13.0519962310791</v>
      </c>
      <c r="W773" s="6">
        <v>-18.5679721832275</v>
      </c>
    </row>
    <row r="774" spans="1:23" ht="18.95" customHeight="1">
      <c r="A774" s="4">
        <v>770</v>
      </c>
      <c r="B774" s="4">
        <v>16527</v>
      </c>
      <c r="C774" s="4">
        <v>1</v>
      </c>
      <c r="D774" s="6">
        <v>0</v>
      </c>
      <c r="E774" s="6">
        <v>0</v>
      </c>
      <c r="F774" s="6">
        <v>43.0625</v>
      </c>
      <c r="G774" s="6">
        <v>0.9375</v>
      </c>
      <c r="H774" s="6">
        <v>0.375</v>
      </c>
      <c r="I774" s="6">
        <v>1.4375</v>
      </c>
      <c r="J774" s="6">
        <v>-1.5</v>
      </c>
      <c r="K774" s="6">
        <v>12.6875</v>
      </c>
      <c r="L774" s="6">
        <v>16.875</v>
      </c>
      <c r="M774" s="6">
        <v>-0.3125</v>
      </c>
      <c r="N774" s="6">
        <v>6.25E-2</v>
      </c>
      <c r="O774" s="6">
        <v>1.1875</v>
      </c>
      <c r="P774" s="6">
        <v>-2.25</v>
      </c>
      <c r="Q774" s="6">
        <v>-48.875</v>
      </c>
      <c r="R774" s="6">
        <v>1.5910236835479701</v>
      </c>
      <c r="S774" s="6">
        <v>-43.6651000976562</v>
      </c>
      <c r="T774" s="6">
        <v>-0.206931471824646</v>
      </c>
      <c r="U774" s="6">
        <v>0.50840103626251198</v>
      </c>
      <c r="V774" s="6">
        <v>-13.8432502746582</v>
      </c>
      <c r="W774" s="6">
        <v>-18.567155838012699</v>
      </c>
    </row>
    <row r="775" spans="1:23" ht="18.95" customHeight="1">
      <c r="A775" s="4">
        <v>771</v>
      </c>
      <c r="B775" s="4">
        <v>16547</v>
      </c>
      <c r="C775" s="4">
        <v>1</v>
      </c>
      <c r="D775" s="6">
        <v>0</v>
      </c>
      <c r="E775" s="6">
        <v>0</v>
      </c>
      <c r="F775" s="6">
        <v>43.875</v>
      </c>
      <c r="G775" s="6">
        <v>1.0625</v>
      </c>
      <c r="H775" s="6">
        <v>0.25</v>
      </c>
      <c r="I775" s="6">
        <v>1.4375</v>
      </c>
      <c r="J775" s="6">
        <v>-1.5625</v>
      </c>
      <c r="K775" s="6">
        <v>11.8125</v>
      </c>
      <c r="L775" s="6">
        <v>14.375</v>
      </c>
      <c r="M775" s="6">
        <v>-0.125</v>
      </c>
      <c r="N775" s="6">
        <v>-0.125</v>
      </c>
      <c r="O775" s="6">
        <v>1.1875</v>
      </c>
      <c r="P775" s="6">
        <v>-2.25</v>
      </c>
      <c r="Q775" s="6">
        <v>-49.125</v>
      </c>
      <c r="R775" s="6">
        <v>2.1253747940063499</v>
      </c>
      <c r="S775" s="6">
        <v>-45.390289306640597</v>
      </c>
      <c r="T775" s="6">
        <v>6.80899620056152E-3</v>
      </c>
      <c r="U775" s="6">
        <v>0.46581965684890703</v>
      </c>
      <c r="V775" s="6">
        <v>-14.6456708908081</v>
      </c>
      <c r="W775" s="6">
        <v>-18.5792331695557</v>
      </c>
    </row>
    <row r="776" spans="1:23" ht="18.95" customHeight="1">
      <c r="A776" s="4">
        <v>772</v>
      </c>
      <c r="B776" s="4">
        <v>16567</v>
      </c>
      <c r="C776" s="4">
        <v>1</v>
      </c>
      <c r="D776" s="6">
        <v>0</v>
      </c>
      <c r="E776" s="6">
        <v>0</v>
      </c>
      <c r="F776" s="6">
        <v>45.875</v>
      </c>
      <c r="G776" s="6">
        <v>0.8125</v>
      </c>
      <c r="H776" s="6">
        <v>0.1875</v>
      </c>
      <c r="I776" s="6">
        <v>1.4375</v>
      </c>
      <c r="J776" s="6">
        <v>-1.5625</v>
      </c>
      <c r="K776" s="6">
        <v>11.375</v>
      </c>
      <c r="L776" s="6">
        <v>12.5625</v>
      </c>
      <c r="M776" s="6">
        <v>-0.3125</v>
      </c>
      <c r="N776" s="6">
        <v>6.25E-2</v>
      </c>
      <c r="O776" s="6">
        <v>1.1875</v>
      </c>
      <c r="P776" s="6">
        <v>-2.25</v>
      </c>
      <c r="Q776" s="6">
        <v>-49.4375</v>
      </c>
      <c r="R776" s="6">
        <v>1.3772832155227701</v>
      </c>
      <c r="S776" s="6">
        <v>-46.504791259765597</v>
      </c>
      <c r="T776" s="6">
        <v>-0.34433606266975397</v>
      </c>
      <c r="U776" s="6">
        <v>0.51878023147582997</v>
      </c>
      <c r="V776" s="6">
        <v>-15.440916061401399</v>
      </c>
      <c r="W776" s="6">
        <v>-18.576808929443398</v>
      </c>
    </row>
    <row r="777" spans="1:23" ht="18.95" customHeight="1">
      <c r="A777" s="4">
        <v>773</v>
      </c>
      <c r="B777" s="4">
        <v>16598</v>
      </c>
      <c r="C777" s="4">
        <v>1</v>
      </c>
      <c r="D777" s="6">
        <v>0</v>
      </c>
      <c r="E777" s="6">
        <v>0</v>
      </c>
      <c r="F777" s="6">
        <v>47.3125</v>
      </c>
      <c r="G777" s="6">
        <v>1.5</v>
      </c>
      <c r="H777" s="6">
        <v>0.6875</v>
      </c>
      <c r="I777" s="6">
        <v>1.4375</v>
      </c>
      <c r="J777" s="6">
        <v>-1.625</v>
      </c>
      <c r="K777" s="6">
        <v>9.5625</v>
      </c>
      <c r="L777" s="6">
        <v>9</v>
      </c>
      <c r="M777" s="6">
        <v>0</v>
      </c>
      <c r="N777" s="6">
        <v>0.125</v>
      </c>
      <c r="O777" s="6">
        <v>1.1875</v>
      </c>
      <c r="P777" s="6">
        <v>-2.25</v>
      </c>
      <c r="Q777" s="6">
        <v>-49.6875</v>
      </c>
      <c r="R777" s="6">
        <v>2.3696496486663801</v>
      </c>
      <c r="S777" s="6">
        <v>-46.428459167480497</v>
      </c>
      <c r="T777" s="6">
        <v>0.480091452598572</v>
      </c>
      <c r="U777" s="6">
        <v>0.56515675783157304</v>
      </c>
      <c r="V777" s="6">
        <v>-16.852348327636701</v>
      </c>
      <c r="W777" s="6">
        <v>-18.5715427398682</v>
      </c>
    </row>
    <row r="778" spans="1:23" ht="18.95" customHeight="1">
      <c r="A778" s="4">
        <v>774</v>
      </c>
      <c r="B778" s="4">
        <v>16620</v>
      </c>
      <c r="C778" s="4">
        <v>1</v>
      </c>
      <c r="D778" s="6">
        <v>0</v>
      </c>
      <c r="E778" s="6">
        <v>0</v>
      </c>
      <c r="F778" s="6">
        <v>48</v>
      </c>
      <c r="G778" s="6">
        <v>1.125</v>
      </c>
      <c r="H778" s="6">
        <v>0.5625</v>
      </c>
      <c r="I778" s="6">
        <v>1.5</v>
      </c>
      <c r="J778" s="6">
        <v>-1.625</v>
      </c>
      <c r="K778" s="6">
        <v>8.625</v>
      </c>
      <c r="L778" s="6">
        <v>5.6875</v>
      </c>
      <c r="M778" s="6">
        <v>-6.25E-2</v>
      </c>
      <c r="N778" s="6">
        <v>6.25E-2</v>
      </c>
      <c r="O778" s="6">
        <v>1.1875</v>
      </c>
      <c r="P778" s="6">
        <v>-2.25</v>
      </c>
      <c r="Q778" s="6">
        <v>-49.875</v>
      </c>
      <c r="R778" s="6">
        <v>1.5299549102783201</v>
      </c>
      <c r="S778" s="6">
        <v>-48.1078491210938</v>
      </c>
      <c r="T778" s="6">
        <v>8.3144843578338595E-2</v>
      </c>
      <c r="U778" s="6">
        <v>0.66998273134231601</v>
      </c>
      <c r="V778" s="6">
        <v>-17.670640945434599</v>
      </c>
      <c r="W778" s="6">
        <v>-18.5741577148438</v>
      </c>
    </row>
    <row r="779" spans="1:23" ht="18.95" customHeight="1">
      <c r="A779" s="4">
        <v>775</v>
      </c>
      <c r="B779" s="4">
        <v>16640</v>
      </c>
      <c r="C779" s="4">
        <v>1</v>
      </c>
      <c r="D779" s="6">
        <v>0</v>
      </c>
      <c r="E779" s="6">
        <v>0</v>
      </c>
      <c r="F779" s="6">
        <v>48.5625</v>
      </c>
      <c r="G779" s="6">
        <v>1.1875</v>
      </c>
      <c r="H779" s="6">
        <v>0.4375</v>
      </c>
      <c r="I779" s="6">
        <v>1.5</v>
      </c>
      <c r="J779" s="6">
        <v>-1.625</v>
      </c>
      <c r="K779" s="6">
        <v>7.6875</v>
      </c>
      <c r="L779" s="6">
        <v>3.75</v>
      </c>
      <c r="M779" s="6">
        <v>6.25E-2</v>
      </c>
      <c r="N779" s="6">
        <v>0</v>
      </c>
      <c r="O779" s="6">
        <v>1.1875</v>
      </c>
      <c r="P779" s="6">
        <v>-2.25</v>
      </c>
      <c r="Q779" s="6">
        <v>-49.9375</v>
      </c>
      <c r="R779" s="6">
        <v>1.7589626312255899</v>
      </c>
      <c r="S779" s="6">
        <v>-47.924636840820298</v>
      </c>
      <c r="T779" s="6">
        <v>0.28161811828613298</v>
      </c>
      <c r="U779" s="6">
        <v>0.63903278112411499</v>
      </c>
      <c r="V779" s="6">
        <v>-18.455928802490199</v>
      </c>
      <c r="W779" s="6">
        <v>-18.576869964599599</v>
      </c>
    </row>
    <row r="780" spans="1:23" ht="18.95" customHeight="1">
      <c r="A780" s="4">
        <v>776</v>
      </c>
      <c r="B780" s="4">
        <v>16661</v>
      </c>
      <c r="C780" s="4">
        <v>1</v>
      </c>
      <c r="D780" s="6">
        <v>0</v>
      </c>
      <c r="E780" s="6">
        <v>0</v>
      </c>
      <c r="F780" s="6">
        <v>49.75</v>
      </c>
      <c r="G780" s="6">
        <v>1.125</v>
      </c>
      <c r="H780" s="6">
        <v>0.375</v>
      </c>
      <c r="I780" s="6">
        <v>1.5</v>
      </c>
      <c r="J780" s="6">
        <v>-1.6875</v>
      </c>
      <c r="K780" s="6">
        <v>6.6875</v>
      </c>
      <c r="L780" s="6">
        <v>1.875</v>
      </c>
      <c r="M780" s="6">
        <v>0</v>
      </c>
      <c r="N780" s="6">
        <v>-6.25E-2</v>
      </c>
      <c r="O780" s="6">
        <v>1.1875</v>
      </c>
      <c r="P780" s="6">
        <v>-2.1875</v>
      </c>
      <c r="Q780" s="6">
        <v>-50</v>
      </c>
      <c r="R780" s="6">
        <v>1.8200312852859499</v>
      </c>
      <c r="S780" s="6">
        <v>-49.481895446777301</v>
      </c>
      <c r="T780" s="6">
        <v>2.2076129913330099E-2</v>
      </c>
      <c r="U780" s="6">
        <v>0.71142745018005404</v>
      </c>
      <c r="V780" s="6">
        <v>-19.355405807495099</v>
      </c>
      <c r="W780" s="6">
        <v>-18.5704746246338</v>
      </c>
    </row>
    <row r="781" spans="1:23" ht="18.95" customHeight="1">
      <c r="A781" s="4">
        <v>777</v>
      </c>
      <c r="B781" s="4">
        <v>16681</v>
      </c>
      <c r="C781" s="4">
        <v>1</v>
      </c>
      <c r="D781" s="6">
        <v>0</v>
      </c>
      <c r="E781" s="6">
        <v>0</v>
      </c>
      <c r="F781" s="6">
        <v>50.25</v>
      </c>
      <c r="G781" s="6">
        <v>1.4375</v>
      </c>
      <c r="H781" s="6">
        <v>1</v>
      </c>
      <c r="I781" s="6">
        <v>1.5</v>
      </c>
      <c r="J781" s="6">
        <v>-1.6875</v>
      </c>
      <c r="K781" s="6">
        <v>5.75</v>
      </c>
      <c r="L781" s="6">
        <v>-0.1875</v>
      </c>
      <c r="M781" s="6">
        <v>-6.25E-2</v>
      </c>
      <c r="N781" s="6">
        <v>0</v>
      </c>
      <c r="O781" s="6">
        <v>1.1875</v>
      </c>
      <c r="P781" s="6">
        <v>-2.1875</v>
      </c>
      <c r="Q781" s="6">
        <v>-50.0625</v>
      </c>
      <c r="R781" s="6">
        <v>2.1711764335632302</v>
      </c>
      <c r="S781" s="6">
        <v>-48.1078491210938</v>
      </c>
      <c r="T781" s="6">
        <v>0.49535858631134</v>
      </c>
      <c r="U781" s="6">
        <v>0.66280341148376498</v>
      </c>
      <c r="V781" s="6">
        <v>-20.101627349853501</v>
      </c>
      <c r="W781" s="6">
        <v>-18.5683479309082</v>
      </c>
    </row>
    <row r="782" spans="1:23" ht="18.95" customHeight="1">
      <c r="A782" s="4">
        <v>778</v>
      </c>
      <c r="B782" s="4">
        <v>16702</v>
      </c>
      <c r="C782" s="4">
        <v>1</v>
      </c>
      <c r="D782" s="6">
        <v>0</v>
      </c>
      <c r="E782" s="6">
        <v>0</v>
      </c>
      <c r="F782" s="6">
        <v>49.6875</v>
      </c>
      <c r="G782" s="6">
        <v>1.5</v>
      </c>
      <c r="H782" s="6">
        <v>0.6875</v>
      </c>
      <c r="I782" s="6">
        <v>1.5</v>
      </c>
      <c r="J782" s="6">
        <v>-1.6875</v>
      </c>
      <c r="K782" s="6">
        <v>4.75</v>
      </c>
      <c r="L782" s="6">
        <v>-1.3125</v>
      </c>
      <c r="M782" s="6">
        <v>0</v>
      </c>
      <c r="N782" s="6">
        <v>0.1875</v>
      </c>
      <c r="O782" s="6">
        <v>1.1875</v>
      </c>
      <c r="P782" s="6">
        <v>-2.1875</v>
      </c>
      <c r="Q782" s="6">
        <v>-50</v>
      </c>
      <c r="R782" s="6">
        <v>2.2475121021270801</v>
      </c>
      <c r="S782" s="6">
        <v>-49.252883911132798</v>
      </c>
      <c r="T782" s="6">
        <v>0.19001507759094199</v>
      </c>
      <c r="U782" s="6">
        <v>0.81053906679153398</v>
      </c>
      <c r="V782" s="6">
        <v>-20.9700603485107</v>
      </c>
      <c r="W782" s="6">
        <v>-18.559938430786101</v>
      </c>
    </row>
    <row r="783" spans="1:23" ht="18.95" customHeight="1">
      <c r="A783" s="4">
        <v>779</v>
      </c>
      <c r="B783" s="4">
        <v>16722</v>
      </c>
      <c r="C783" s="4">
        <v>1</v>
      </c>
      <c r="D783" s="6">
        <v>0</v>
      </c>
      <c r="E783" s="6">
        <v>0</v>
      </c>
      <c r="F783" s="6">
        <v>49.5625</v>
      </c>
      <c r="G783" s="6">
        <v>1.8125</v>
      </c>
      <c r="H783" s="6">
        <v>0.9375</v>
      </c>
      <c r="I783" s="6">
        <v>1.5</v>
      </c>
      <c r="J783" s="6">
        <v>-1.75</v>
      </c>
      <c r="K783" s="6">
        <v>3.8125</v>
      </c>
      <c r="L783" s="6">
        <v>-3.5625</v>
      </c>
      <c r="M783" s="6">
        <v>0.1875</v>
      </c>
      <c r="N783" s="6">
        <v>0</v>
      </c>
      <c r="O783" s="6">
        <v>1.1875</v>
      </c>
      <c r="P783" s="6">
        <v>-2.1875</v>
      </c>
      <c r="Q783" s="6">
        <v>-50</v>
      </c>
      <c r="R783" s="6">
        <v>2.1406419277191202</v>
      </c>
      <c r="S783" s="6">
        <v>-48.0009765625</v>
      </c>
      <c r="T783" s="6">
        <v>0.57169449329376198</v>
      </c>
      <c r="U783" s="6">
        <v>0.79080307483673096</v>
      </c>
      <c r="V783" s="6">
        <v>-21.741746902465799</v>
      </c>
      <c r="W783" s="6">
        <v>-18.554931640625</v>
      </c>
    </row>
    <row r="784" spans="1:23" ht="18.95" customHeight="1">
      <c r="A784" s="4">
        <v>780</v>
      </c>
      <c r="B784" s="4">
        <v>16744</v>
      </c>
      <c r="C784" s="4">
        <v>1</v>
      </c>
      <c r="D784" s="6">
        <v>0</v>
      </c>
      <c r="E784" s="6">
        <v>0</v>
      </c>
      <c r="F784" s="6">
        <v>50.125</v>
      </c>
      <c r="G784" s="6">
        <v>1.5625</v>
      </c>
      <c r="H784" s="6">
        <v>0.75</v>
      </c>
      <c r="I784" s="6">
        <v>1.5</v>
      </c>
      <c r="J784" s="6">
        <v>-1.8125</v>
      </c>
      <c r="K784" s="6">
        <v>2.875</v>
      </c>
      <c r="L784" s="6">
        <v>-5.875</v>
      </c>
      <c r="M784" s="6">
        <v>0.1875</v>
      </c>
      <c r="N784" s="6">
        <v>6.25E-2</v>
      </c>
      <c r="O784" s="6">
        <v>1.1875</v>
      </c>
      <c r="P784" s="6">
        <v>-2.1875</v>
      </c>
      <c r="Q784" s="6">
        <v>-49.875</v>
      </c>
      <c r="R784" s="6">
        <v>1.83529853820801</v>
      </c>
      <c r="S784" s="6">
        <v>-49.375022888183601</v>
      </c>
      <c r="T784" s="6">
        <v>-0.28326734900474498</v>
      </c>
      <c r="U784" s="6">
        <v>0.91459810733795199</v>
      </c>
      <c r="V784" s="6">
        <v>-22.606019973754901</v>
      </c>
      <c r="W784" s="6">
        <v>-18.5500183105469</v>
      </c>
    </row>
    <row r="785" spans="1:23" ht="18.95" customHeight="1">
      <c r="A785" s="4">
        <v>781</v>
      </c>
      <c r="B785" s="4">
        <v>16765</v>
      </c>
      <c r="C785" s="4">
        <v>1</v>
      </c>
      <c r="D785" s="6">
        <v>0</v>
      </c>
      <c r="E785" s="6">
        <v>0</v>
      </c>
      <c r="F785" s="6">
        <v>50.125</v>
      </c>
      <c r="G785" s="6">
        <v>1</v>
      </c>
      <c r="H785" s="6">
        <v>0.4375</v>
      </c>
      <c r="I785" s="6">
        <v>1.5</v>
      </c>
      <c r="J785" s="6">
        <v>-1.8125</v>
      </c>
      <c r="K785" s="6">
        <v>1.875</v>
      </c>
      <c r="L785" s="6">
        <v>-7.5</v>
      </c>
      <c r="M785" s="6">
        <v>0.1875</v>
      </c>
      <c r="N785" s="6">
        <v>0</v>
      </c>
      <c r="O785" s="6">
        <v>1.1875</v>
      </c>
      <c r="P785" s="6">
        <v>-2.1875</v>
      </c>
      <c r="Q785" s="6">
        <v>-49.75</v>
      </c>
      <c r="R785" s="6">
        <v>2.5681228637695299</v>
      </c>
      <c r="S785" s="6">
        <v>-47.420822143554702</v>
      </c>
      <c r="T785" s="6">
        <v>0.90757238864898704</v>
      </c>
      <c r="U785" s="6">
        <v>0.85085207223892201</v>
      </c>
      <c r="V785" s="6">
        <v>-23.443117141723601</v>
      </c>
      <c r="W785" s="6">
        <v>-18.539020538330099</v>
      </c>
    </row>
    <row r="786" spans="1:23" ht="18.95" customHeight="1">
      <c r="A786" s="4">
        <v>782</v>
      </c>
      <c r="B786" s="4">
        <v>16786</v>
      </c>
      <c r="C786" s="4">
        <v>1</v>
      </c>
      <c r="D786" s="6">
        <v>0</v>
      </c>
      <c r="E786" s="6">
        <v>0</v>
      </c>
      <c r="F786" s="6">
        <v>48.6875</v>
      </c>
      <c r="G786" s="6">
        <v>1.75</v>
      </c>
      <c r="H786" s="6">
        <v>1.125</v>
      </c>
      <c r="I786" s="6">
        <v>1.5</v>
      </c>
      <c r="J786" s="6">
        <v>-1.8125</v>
      </c>
      <c r="K786" s="6">
        <v>0.9375</v>
      </c>
      <c r="L786" s="6">
        <v>-9.25</v>
      </c>
      <c r="M786" s="6">
        <v>0.1875</v>
      </c>
      <c r="N786" s="6">
        <v>6.25E-2</v>
      </c>
      <c r="O786" s="6">
        <v>1.1875</v>
      </c>
      <c r="P786" s="6">
        <v>-2.1875</v>
      </c>
      <c r="Q786" s="6">
        <v>-49.5</v>
      </c>
      <c r="R786" s="6">
        <v>1.5604892969131501</v>
      </c>
      <c r="S786" s="6">
        <v>-48.581130981445298</v>
      </c>
      <c r="T786" s="6">
        <v>6.80899620056152E-3</v>
      </c>
      <c r="U786" s="6">
        <v>0.97101551294326804</v>
      </c>
      <c r="V786" s="6">
        <v>-24.249128341674801</v>
      </c>
      <c r="W786" s="6">
        <v>-18.5434875488281</v>
      </c>
    </row>
    <row r="787" spans="1:23" ht="18.95" customHeight="1">
      <c r="A787" s="4">
        <v>783</v>
      </c>
      <c r="B787" s="4">
        <v>16809</v>
      </c>
      <c r="C787" s="4">
        <v>1</v>
      </c>
      <c r="D787" s="6">
        <v>0</v>
      </c>
      <c r="E787" s="6">
        <v>0</v>
      </c>
      <c r="F787" s="6">
        <v>49.0625</v>
      </c>
      <c r="G787" s="6">
        <v>1.0625</v>
      </c>
      <c r="H787" s="6">
        <v>0.625</v>
      </c>
      <c r="I787" s="6">
        <v>1.5</v>
      </c>
      <c r="J787" s="6">
        <v>-1.875</v>
      </c>
      <c r="K787" s="6">
        <v>-0.4375</v>
      </c>
      <c r="L787" s="6">
        <v>-10.75</v>
      </c>
      <c r="M787" s="6">
        <v>0.25</v>
      </c>
      <c r="N787" s="6">
        <v>0.125</v>
      </c>
      <c r="O787" s="6">
        <v>1.1875</v>
      </c>
      <c r="P787" s="6">
        <v>-2.1875</v>
      </c>
      <c r="Q787" s="6">
        <v>-49.3125</v>
      </c>
      <c r="R787" s="6">
        <v>2.43071842193604</v>
      </c>
      <c r="S787" s="6">
        <v>-46.153648376464801</v>
      </c>
      <c r="T787" s="6">
        <v>0.75490057468414296</v>
      </c>
      <c r="U787" s="6">
        <v>0.89568424224853505</v>
      </c>
      <c r="V787" s="6">
        <v>-25.106550216674801</v>
      </c>
      <c r="W787" s="6">
        <v>-18.542787551879901</v>
      </c>
    </row>
    <row r="788" spans="1:23" ht="18.95" customHeight="1">
      <c r="A788" s="4">
        <v>784</v>
      </c>
      <c r="B788" s="4">
        <v>16831</v>
      </c>
      <c r="C788" s="4">
        <v>1</v>
      </c>
      <c r="D788" s="6">
        <v>0</v>
      </c>
      <c r="E788" s="6">
        <v>0</v>
      </c>
      <c r="F788" s="6">
        <v>47.75</v>
      </c>
      <c r="G788" s="6">
        <v>1.5625</v>
      </c>
      <c r="H788" s="6">
        <v>1</v>
      </c>
      <c r="I788" s="6">
        <v>1.5</v>
      </c>
      <c r="J788" s="6">
        <v>-1.875</v>
      </c>
      <c r="K788" s="6">
        <v>-1.375</v>
      </c>
      <c r="L788" s="6">
        <v>-13.0625</v>
      </c>
      <c r="M788" s="6">
        <v>0.125</v>
      </c>
      <c r="N788" s="6">
        <v>0</v>
      </c>
      <c r="O788" s="6">
        <v>1.1875</v>
      </c>
      <c r="P788" s="6">
        <v>-2.1875</v>
      </c>
      <c r="Q788" s="6">
        <v>-49.0625</v>
      </c>
      <c r="R788" s="6">
        <v>1.0261381864547701</v>
      </c>
      <c r="S788" s="6">
        <v>-46.901741027832003</v>
      </c>
      <c r="T788" s="6">
        <v>-0.497007817029953</v>
      </c>
      <c r="U788" s="6">
        <v>0.98583334684371904</v>
      </c>
      <c r="V788" s="6">
        <v>-25.978715896606399</v>
      </c>
      <c r="W788" s="6">
        <v>-18.5406608581543</v>
      </c>
    </row>
    <row r="789" spans="1:23" ht="18.95" customHeight="1">
      <c r="A789" s="4">
        <v>785</v>
      </c>
      <c r="B789" s="4">
        <v>16853</v>
      </c>
      <c r="C789" s="4">
        <v>1</v>
      </c>
      <c r="D789" s="6">
        <v>0</v>
      </c>
      <c r="E789" s="6">
        <v>0</v>
      </c>
      <c r="F789" s="6">
        <v>48.125</v>
      </c>
      <c r="G789" s="6">
        <v>1</v>
      </c>
      <c r="H789" s="6">
        <v>0.5625</v>
      </c>
      <c r="I789" s="6">
        <v>1.5</v>
      </c>
      <c r="J789" s="6">
        <v>-1.9375</v>
      </c>
      <c r="K789" s="6">
        <v>-2.3125</v>
      </c>
      <c r="L789" s="6">
        <v>-14.9375</v>
      </c>
      <c r="M789" s="6">
        <v>0.1875</v>
      </c>
      <c r="N789" s="6">
        <v>-6.25E-2</v>
      </c>
      <c r="O789" s="6">
        <v>1.1875</v>
      </c>
      <c r="P789" s="6">
        <v>-2.1875</v>
      </c>
      <c r="Q789" s="6">
        <v>-48.8125</v>
      </c>
      <c r="R789" s="6">
        <v>2.5681228637695299</v>
      </c>
      <c r="S789" s="6">
        <v>-45.512428283691399</v>
      </c>
      <c r="T789" s="6">
        <v>0.92283952236175504</v>
      </c>
      <c r="U789" s="6">
        <v>0.95549023151397705</v>
      </c>
      <c r="V789" s="6">
        <v>-26.777650833129901</v>
      </c>
      <c r="W789" s="6">
        <v>-18.5327854156494</v>
      </c>
    </row>
    <row r="790" spans="1:23" ht="18.95" customHeight="1">
      <c r="A790" s="4">
        <v>786</v>
      </c>
      <c r="B790" s="4">
        <v>16875</v>
      </c>
      <c r="C790" s="4">
        <v>1</v>
      </c>
      <c r="D790" s="6">
        <v>0</v>
      </c>
      <c r="E790" s="6">
        <v>0</v>
      </c>
      <c r="F790" s="6">
        <v>47</v>
      </c>
      <c r="G790" s="6">
        <v>1.5625</v>
      </c>
      <c r="H790" s="6">
        <v>0.875</v>
      </c>
      <c r="I790" s="6">
        <v>1.5</v>
      </c>
      <c r="J790" s="6">
        <v>-1.9375</v>
      </c>
      <c r="K790" s="6">
        <v>-3.1875</v>
      </c>
      <c r="L790" s="6">
        <v>-16.25</v>
      </c>
      <c r="M790" s="6">
        <v>0.1875</v>
      </c>
      <c r="N790" s="6">
        <v>0.25</v>
      </c>
      <c r="O790" s="6">
        <v>1.125</v>
      </c>
      <c r="P790" s="6">
        <v>-2.1875</v>
      </c>
      <c r="Q790" s="6">
        <v>-48.5</v>
      </c>
      <c r="R790" s="6">
        <v>1.51468777656555</v>
      </c>
      <c r="S790" s="6">
        <v>-47.039146423339801</v>
      </c>
      <c r="T790" s="6">
        <v>-0.191664308309555</v>
      </c>
      <c r="U790" s="6">
        <v>0.98822820186615001</v>
      </c>
      <c r="V790" s="6">
        <v>-27.55885887146</v>
      </c>
      <c r="W790" s="6">
        <v>-18.531620025634801</v>
      </c>
    </row>
    <row r="791" spans="1:23" ht="18.95" customHeight="1">
      <c r="A791" s="4">
        <v>787</v>
      </c>
      <c r="B791" s="4">
        <v>16897</v>
      </c>
      <c r="C791" s="4">
        <v>1</v>
      </c>
      <c r="D791" s="6">
        <v>0</v>
      </c>
      <c r="E791" s="6">
        <v>0</v>
      </c>
      <c r="F791" s="6">
        <v>47.875</v>
      </c>
      <c r="G791" s="6">
        <v>1.3125</v>
      </c>
      <c r="H791" s="6">
        <v>0.8125</v>
      </c>
      <c r="I791" s="6">
        <v>1.5625</v>
      </c>
      <c r="J791" s="6">
        <v>-2</v>
      </c>
      <c r="K791" s="6">
        <v>-4.125</v>
      </c>
      <c r="L791" s="6">
        <v>-18.0625</v>
      </c>
      <c r="M791" s="6">
        <v>0.375</v>
      </c>
      <c r="N791" s="6">
        <v>-0.1875</v>
      </c>
      <c r="O791" s="6">
        <v>1.125</v>
      </c>
      <c r="P791" s="6">
        <v>-2.1875</v>
      </c>
      <c r="Q791" s="6">
        <v>-48</v>
      </c>
      <c r="R791" s="6">
        <v>2.61392450332642</v>
      </c>
      <c r="S791" s="6">
        <v>-44.397926330566399</v>
      </c>
      <c r="T791" s="6">
        <v>1.5029921531677199</v>
      </c>
      <c r="U791" s="6">
        <v>0.90414589643478405</v>
      </c>
      <c r="V791" s="6">
        <v>-28.3437595367432</v>
      </c>
      <c r="W791" s="6">
        <v>-18.5201110839844</v>
      </c>
    </row>
    <row r="792" spans="1:23" ht="18.95" customHeight="1">
      <c r="A792" s="4">
        <v>788</v>
      </c>
      <c r="B792" s="4">
        <v>16917</v>
      </c>
      <c r="C792" s="4">
        <v>1</v>
      </c>
      <c r="D792" s="6">
        <v>0</v>
      </c>
      <c r="E792" s="6">
        <v>0</v>
      </c>
      <c r="F792" s="6">
        <v>46.5</v>
      </c>
      <c r="G792" s="6">
        <v>1.4375</v>
      </c>
      <c r="H792" s="6">
        <v>1.1875</v>
      </c>
      <c r="I792" s="6">
        <v>1.5</v>
      </c>
      <c r="J792" s="6">
        <v>-2</v>
      </c>
      <c r="K792" s="6">
        <v>-5.0625</v>
      </c>
      <c r="L792" s="6">
        <v>-19.8125</v>
      </c>
      <c r="M792" s="6">
        <v>0.1875</v>
      </c>
      <c r="N792" s="6">
        <v>0</v>
      </c>
      <c r="O792" s="6">
        <v>1.125</v>
      </c>
      <c r="P792" s="6">
        <v>-2.1875</v>
      </c>
      <c r="Q792" s="6">
        <v>-47.625</v>
      </c>
      <c r="R792" s="6">
        <v>1.2246114015579199</v>
      </c>
      <c r="S792" s="6">
        <v>-44.962806701660199</v>
      </c>
      <c r="T792" s="6">
        <v>-6.9526910781860393E-2</v>
      </c>
      <c r="U792" s="6">
        <v>1.1290491819381701</v>
      </c>
      <c r="V792" s="6">
        <v>-29.0749111175537</v>
      </c>
      <c r="W792" s="6">
        <v>-18.5124416351318</v>
      </c>
    </row>
    <row r="793" spans="1:23" ht="18.95" customHeight="1">
      <c r="A793" s="4">
        <v>789</v>
      </c>
      <c r="B793" s="4">
        <v>16938</v>
      </c>
      <c r="C793" s="4">
        <v>1</v>
      </c>
      <c r="D793" s="6">
        <v>0</v>
      </c>
      <c r="E793" s="6">
        <v>0</v>
      </c>
      <c r="F793" s="6">
        <v>46.3125</v>
      </c>
      <c r="G793" s="6">
        <v>1.25</v>
      </c>
      <c r="H793" s="6">
        <v>0.875</v>
      </c>
      <c r="I793" s="6">
        <v>1.5</v>
      </c>
      <c r="J793" s="6">
        <v>-2</v>
      </c>
      <c r="K793" s="6">
        <v>-5.9375</v>
      </c>
      <c r="L793" s="6">
        <v>-22.3125</v>
      </c>
      <c r="M793" s="6">
        <v>0.25</v>
      </c>
      <c r="N793" s="6">
        <v>0</v>
      </c>
      <c r="O793" s="6">
        <v>1.125</v>
      </c>
      <c r="P793" s="6">
        <v>-2.1875</v>
      </c>
      <c r="Q793" s="6">
        <v>-47.1875</v>
      </c>
      <c r="R793" s="6">
        <v>1.8810999393463099</v>
      </c>
      <c r="S793" s="6">
        <v>-42.397926330566399</v>
      </c>
      <c r="T793" s="6">
        <v>0.35795402526855502</v>
      </c>
      <c r="U793" s="6">
        <v>1.08197474479675</v>
      </c>
      <c r="V793" s="6">
        <v>-29.6908664703369</v>
      </c>
      <c r="W793" s="6">
        <v>-18.5077724456787</v>
      </c>
    </row>
    <row r="794" spans="1:23" ht="18.95" customHeight="1">
      <c r="A794" s="4">
        <v>790</v>
      </c>
      <c r="B794" s="4">
        <v>16959</v>
      </c>
      <c r="C794" s="4">
        <v>1</v>
      </c>
      <c r="D794" s="6">
        <v>0</v>
      </c>
      <c r="E794" s="6">
        <v>0</v>
      </c>
      <c r="F794" s="6">
        <v>44.5625</v>
      </c>
      <c r="G794" s="6">
        <v>1.25</v>
      </c>
      <c r="H794" s="6">
        <v>0.8125</v>
      </c>
      <c r="I794" s="6">
        <v>1.5</v>
      </c>
      <c r="J794" s="6">
        <v>-2.0625</v>
      </c>
      <c r="K794" s="6">
        <v>-7.25</v>
      </c>
      <c r="L794" s="6">
        <v>-23.125</v>
      </c>
      <c r="M794" s="6">
        <v>0.1875</v>
      </c>
      <c r="N794" s="6">
        <v>0</v>
      </c>
      <c r="O794" s="6">
        <v>1.125</v>
      </c>
      <c r="P794" s="6">
        <v>-2.125</v>
      </c>
      <c r="Q794" s="6">
        <v>-46.75</v>
      </c>
      <c r="R794" s="6">
        <v>2.1864435672760001</v>
      </c>
      <c r="S794" s="6">
        <v>-42.123115539550803</v>
      </c>
      <c r="T794" s="6">
        <v>0.52589297294616699</v>
      </c>
      <c r="U794" s="6">
        <v>1.06145775318146</v>
      </c>
      <c r="V794" s="6">
        <v>-30.415714263916001</v>
      </c>
      <c r="W794" s="6">
        <v>-18.5018119812012</v>
      </c>
    </row>
    <row r="795" spans="1:23" ht="18.95" customHeight="1">
      <c r="A795" s="4">
        <v>791</v>
      </c>
      <c r="B795" s="4">
        <v>16998</v>
      </c>
      <c r="C795" s="4">
        <v>1</v>
      </c>
      <c r="D795" s="6">
        <v>0</v>
      </c>
      <c r="E795" s="6">
        <v>0</v>
      </c>
      <c r="F795" s="6">
        <v>42.875</v>
      </c>
      <c r="G795" s="6">
        <v>1.125</v>
      </c>
      <c r="H795" s="6">
        <v>0.875</v>
      </c>
      <c r="I795" s="6">
        <v>1.5</v>
      </c>
      <c r="J795" s="6">
        <v>-2.0625</v>
      </c>
      <c r="K795" s="6">
        <v>-8.5</v>
      </c>
      <c r="L795" s="6">
        <v>-26.4375</v>
      </c>
      <c r="M795" s="6">
        <v>0.4375</v>
      </c>
      <c r="N795" s="6">
        <v>0.125</v>
      </c>
      <c r="O795" s="6">
        <v>1.0625</v>
      </c>
      <c r="P795" s="6">
        <v>-2.125</v>
      </c>
      <c r="Q795" s="6">
        <v>-45.8125</v>
      </c>
      <c r="R795" s="6">
        <v>1.3162144422531099</v>
      </c>
      <c r="S795" s="6">
        <v>-40.3368530273438</v>
      </c>
      <c r="T795" s="6">
        <v>0.128946363925934</v>
      </c>
      <c r="U795" s="6">
        <v>1.16025507450104</v>
      </c>
      <c r="V795" s="6">
        <v>-31.809806823730501</v>
      </c>
      <c r="W795" s="6">
        <v>-18.490699768066399</v>
      </c>
    </row>
    <row r="796" spans="1:23" ht="18.95" customHeight="1">
      <c r="A796" s="4">
        <v>792</v>
      </c>
      <c r="B796" s="4">
        <v>17018</v>
      </c>
      <c r="C796" s="4">
        <v>1</v>
      </c>
      <c r="D796" s="6">
        <v>0</v>
      </c>
      <c r="E796" s="6">
        <v>0</v>
      </c>
      <c r="F796" s="6">
        <v>41.5</v>
      </c>
      <c r="G796" s="6">
        <v>1.375</v>
      </c>
      <c r="H796" s="6">
        <v>0.875</v>
      </c>
      <c r="I796" s="6">
        <v>1.5</v>
      </c>
      <c r="J796" s="6">
        <v>-2.125</v>
      </c>
      <c r="K796" s="6">
        <v>-9.3125</v>
      </c>
      <c r="L796" s="6">
        <v>-27</v>
      </c>
      <c r="M796" s="6">
        <v>0.3125</v>
      </c>
      <c r="N796" s="6">
        <v>0.125</v>
      </c>
      <c r="O796" s="6">
        <v>1.0625</v>
      </c>
      <c r="P796" s="6">
        <v>-2.125</v>
      </c>
      <c r="Q796" s="6">
        <v>-45.3125</v>
      </c>
      <c r="R796" s="6">
        <v>1.51468777656555</v>
      </c>
      <c r="S796" s="6">
        <v>-39.3292236328125</v>
      </c>
      <c r="T796" s="6">
        <v>0.40375554561615001</v>
      </c>
      <c r="U796" s="6">
        <v>1.1422429084777801</v>
      </c>
      <c r="V796" s="6">
        <v>-32.372596740722699</v>
      </c>
      <c r="W796" s="6">
        <v>-18.488151550293001</v>
      </c>
    </row>
    <row r="797" spans="1:23" ht="18.95" customHeight="1">
      <c r="A797" s="4">
        <v>793</v>
      </c>
      <c r="B797" s="4">
        <v>17038</v>
      </c>
      <c r="C797" s="4">
        <v>1</v>
      </c>
      <c r="D797" s="6">
        <v>0</v>
      </c>
      <c r="E797" s="6">
        <v>0</v>
      </c>
      <c r="F797" s="6">
        <v>41</v>
      </c>
      <c r="G797" s="6">
        <v>0.875</v>
      </c>
      <c r="H797" s="6">
        <v>0.875</v>
      </c>
      <c r="I797" s="6">
        <v>1.5</v>
      </c>
      <c r="J797" s="6">
        <v>-2.125</v>
      </c>
      <c r="K797" s="6">
        <v>-10.125</v>
      </c>
      <c r="L797" s="6">
        <v>-29.75</v>
      </c>
      <c r="M797" s="6">
        <v>0.3125</v>
      </c>
      <c r="N797" s="6">
        <v>-6.25E-2</v>
      </c>
      <c r="O797" s="6">
        <v>1.0625</v>
      </c>
      <c r="P797" s="6">
        <v>-2.125</v>
      </c>
      <c r="Q797" s="6">
        <v>-44.75</v>
      </c>
      <c r="R797" s="6">
        <v>1.6673595905303999</v>
      </c>
      <c r="S797" s="6">
        <v>-37.100212097167997</v>
      </c>
      <c r="T797" s="6">
        <v>0.464824199676514</v>
      </c>
      <c r="U797" s="6">
        <v>1.2032731771469101</v>
      </c>
      <c r="V797" s="6">
        <v>-32.867824554443402</v>
      </c>
      <c r="W797" s="6">
        <v>-18.472335815429702</v>
      </c>
    </row>
    <row r="798" spans="1:23" ht="18.95" customHeight="1">
      <c r="A798" s="4">
        <v>794</v>
      </c>
      <c r="B798" s="4">
        <v>17059</v>
      </c>
      <c r="C798" s="4">
        <v>1</v>
      </c>
      <c r="D798" s="6">
        <v>0</v>
      </c>
      <c r="E798" s="6">
        <v>0</v>
      </c>
      <c r="F798" s="6">
        <v>38.8125</v>
      </c>
      <c r="G798" s="6">
        <v>1.625</v>
      </c>
      <c r="H798" s="6">
        <v>1.1875</v>
      </c>
      <c r="I798" s="6">
        <v>1.5</v>
      </c>
      <c r="J798" s="6">
        <v>-2.125</v>
      </c>
      <c r="K798" s="6">
        <v>-10.875</v>
      </c>
      <c r="L798" s="6">
        <v>-30.4375</v>
      </c>
      <c r="M798" s="6">
        <v>0.5625</v>
      </c>
      <c r="N798" s="6">
        <v>0.1875</v>
      </c>
      <c r="O798" s="6">
        <v>1.0625</v>
      </c>
      <c r="P798" s="6">
        <v>-2.125</v>
      </c>
      <c r="Q798" s="6">
        <v>-44.1875</v>
      </c>
      <c r="R798" s="6">
        <v>0.30858087539672902</v>
      </c>
      <c r="S798" s="6">
        <v>-36.749069213867202</v>
      </c>
      <c r="T798" s="6">
        <v>-0.29853454232215898</v>
      </c>
      <c r="U798" s="6">
        <v>1.326087474823</v>
      </c>
      <c r="V798" s="6">
        <v>-33.431438446044901</v>
      </c>
      <c r="W798" s="6">
        <v>-18.473207473754901</v>
      </c>
    </row>
    <row r="799" spans="1:23" ht="18.95" customHeight="1">
      <c r="A799" s="4">
        <v>795</v>
      </c>
      <c r="B799" s="4">
        <v>17080</v>
      </c>
      <c r="C799" s="4">
        <v>1</v>
      </c>
      <c r="D799" s="6">
        <v>0</v>
      </c>
      <c r="E799" s="6">
        <v>0</v>
      </c>
      <c r="F799" s="6">
        <v>38.5</v>
      </c>
      <c r="G799" s="6">
        <v>0.625</v>
      </c>
      <c r="H799" s="6">
        <v>0.5</v>
      </c>
      <c r="I799" s="6">
        <v>1.5</v>
      </c>
      <c r="J799" s="6">
        <v>-2.1875</v>
      </c>
      <c r="K799" s="6">
        <v>-11.625</v>
      </c>
      <c r="L799" s="6">
        <v>-33.25</v>
      </c>
      <c r="M799" s="6">
        <v>0.5</v>
      </c>
      <c r="N799" s="6">
        <v>-0.1875</v>
      </c>
      <c r="O799" s="6">
        <v>1</v>
      </c>
      <c r="P799" s="6">
        <v>-2.125</v>
      </c>
      <c r="Q799" s="6">
        <v>-43.5625</v>
      </c>
      <c r="R799" s="6">
        <v>2.1559090614318799</v>
      </c>
      <c r="S799" s="6">
        <v>-34.703269958496101</v>
      </c>
      <c r="T799" s="6">
        <v>0.63276314735412598</v>
      </c>
      <c r="U799" s="6">
        <v>1.2442715167999301</v>
      </c>
      <c r="V799" s="6">
        <v>-33.951580047607401</v>
      </c>
      <c r="W799" s="6">
        <v>-18.468391418456999</v>
      </c>
    </row>
    <row r="800" spans="1:23" ht="18.95" customHeight="1">
      <c r="A800" s="4">
        <v>796</v>
      </c>
      <c r="B800" s="4">
        <v>17102</v>
      </c>
      <c r="C800" s="4">
        <v>1</v>
      </c>
      <c r="D800" s="6">
        <v>0</v>
      </c>
      <c r="E800" s="6">
        <v>0</v>
      </c>
      <c r="F800" s="6">
        <v>35.5625</v>
      </c>
      <c r="G800" s="6">
        <v>1.3125</v>
      </c>
      <c r="H800" s="6">
        <v>1.125</v>
      </c>
      <c r="I800" s="6">
        <v>1.5</v>
      </c>
      <c r="J800" s="6">
        <v>-2.1875</v>
      </c>
      <c r="K800" s="6">
        <v>-12.6875</v>
      </c>
      <c r="L800" s="6">
        <v>-34</v>
      </c>
      <c r="M800" s="6">
        <v>0.625</v>
      </c>
      <c r="N800" s="6">
        <v>0</v>
      </c>
      <c r="O800" s="6">
        <v>1</v>
      </c>
      <c r="P800" s="6">
        <v>-2.125</v>
      </c>
      <c r="Q800" s="6">
        <v>-42.9375</v>
      </c>
      <c r="R800" s="6">
        <v>0.78186333179473899</v>
      </c>
      <c r="S800" s="6">
        <v>-32.978073120117202</v>
      </c>
      <c r="T800" s="6">
        <v>5.2610516548156697E-2</v>
      </c>
      <c r="U800" s="6">
        <v>1.3499892950057999</v>
      </c>
      <c r="V800" s="6">
        <v>-34.423263549804702</v>
      </c>
      <c r="W800" s="6">
        <v>-18.461175918579102</v>
      </c>
    </row>
    <row r="801" spans="1:23" ht="18.95" customHeight="1">
      <c r="A801" s="4">
        <v>797</v>
      </c>
      <c r="B801" s="4">
        <v>17124</v>
      </c>
      <c r="C801" s="4">
        <v>1</v>
      </c>
      <c r="D801" s="6">
        <v>0</v>
      </c>
      <c r="E801" s="6">
        <v>0</v>
      </c>
      <c r="F801" s="6">
        <v>34.0625</v>
      </c>
      <c r="G801" s="6">
        <v>0.5</v>
      </c>
      <c r="H801" s="6">
        <v>0.625</v>
      </c>
      <c r="I801" s="6">
        <v>1.5</v>
      </c>
      <c r="J801" s="6">
        <v>-2.1875</v>
      </c>
      <c r="K801" s="6">
        <v>-13.375</v>
      </c>
      <c r="L801" s="6">
        <v>-36.1875</v>
      </c>
      <c r="M801" s="6">
        <v>0.375</v>
      </c>
      <c r="N801" s="6">
        <v>6.25E-2</v>
      </c>
      <c r="O801" s="6">
        <v>1</v>
      </c>
      <c r="P801" s="6">
        <v>-2.125</v>
      </c>
      <c r="Q801" s="6">
        <v>-42.25</v>
      </c>
      <c r="R801" s="6">
        <v>1.20934426784515</v>
      </c>
      <c r="S801" s="6">
        <v>-30.6116638183594</v>
      </c>
      <c r="T801" s="6">
        <v>0.31215250492095897</v>
      </c>
      <c r="U801" s="6">
        <v>1.3083336353302</v>
      </c>
      <c r="V801" s="6">
        <v>-34.859359741210902</v>
      </c>
      <c r="W801" s="6">
        <v>-18.4514465332031</v>
      </c>
    </row>
    <row r="802" spans="1:23" ht="18.95" customHeight="1">
      <c r="A802" s="4">
        <v>798</v>
      </c>
      <c r="B802" s="4">
        <v>17144</v>
      </c>
      <c r="C802" s="4">
        <v>1</v>
      </c>
      <c r="D802" s="6">
        <v>0</v>
      </c>
      <c r="E802" s="6">
        <v>0</v>
      </c>
      <c r="F802" s="6">
        <v>31.5</v>
      </c>
      <c r="G802" s="6">
        <v>0.9375</v>
      </c>
      <c r="H802" s="6">
        <v>1.125</v>
      </c>
      <c r="I802" s="6">
        <v>1.5</v>
      </c>
      <c r="J802" s="6">
        <v>-2.1875</v>
      </c>
      <c r="K802" s="6">
        <v>-13.9375</v>
      </c>
      <c r="L802" s="6">
        <v>-36.625</v>
      </c>
      <c r="M802" s="6">
        <v>0.625</v>
      </c>
      <c r="N802" s="6">
        <v>0.125</v>
      </c>
      <c r="O802" s="6">
        <v>0.9375</v>
      </c>
      <c r="P802" s="6">
        <v>-2.125</v>
      </c>
      <c r="Q802" s="6">
        <v>-41.5625</v>
      </c>
      <c r="R802" s="6">
        <v>1.17880988121033</v>
      </c>
      <c r="S802" s="6">
        <v>-28.764335632324201</v>
      </c>
      <c r="T802" s="6">
        <v>0.64803040027618397</v>
      </c>
      <c r="U802" s="6">
        <v>1.32805216312408</v>
      </c>
      <c r="V802" s="6">
        <v>-35.280776977539098</v>
      </c>
      <c r="W802" s="6">
        <v>-18.4479064941406</v>
      </c>
    </row>
    <row r="803" spans="1:23" ht="18.95" customHeight="1">
      <c r="A803" s="4">
        <v>799</v>
      </c>
      <c r="B803" s="4">
        <v>17164</v>
      </c>
      <c r="C803" s="4">
        <v>1</v>
      </c>
      <c r="D803" s="6">
        <v>0</v>
      </c>
      <c r="E803" s="6">
        <v>0</v>
      </c>
      <c r="F803" s="6">
        <v>29.9375</v>
      </c>
      <c r="G803" s="6">
        <v>0.75</v>
      </c>
      <c r="H803" s="6">
        <v>0.6875</v>
      </c>
      <c r="I803" s="6">
        <v>1.5</v>
      </c>
      <c r="J803" s="6">
        <v>-2.1875</v>
      </c>
      <c r="K803" s="6">
        <v>-14.5625</v>
      </c>
      <c r="L803" s="6">
        <v>-38</v>
      </c>
      <c r="M803" s="6">
        <v>0.375</v>
      </c>
      <c r="N803" s="6">
        <v>0</v>
      </c>
      <c r="O803" s="6">
        <v>0.9375</v>
      </c>
      <c r="P803" s="6">
        <v>-2.125</v>
      </c>
      <c r="Q803" s="6">
        <v>-40.8125</v>
      </c>
      <c r="R803" s="6">
        <v>1.1024740934371899</v>
      </c>
      <c r="S803" s="6">
        <v>-26.8559379577637</v>
      </c>
      <c r="T803" s="6">
        <v>0.41902267932891801</v>
      </c>
      <c r="U803" s="6">
        <v>1.2962619066238401</v>
      </c>
      <c r="V803" s="6">
        <v>-35.608306884765597</v>
      </c>
      <c r="W803" s="6">
        <v>-18.445428848266602</v>
      </c>
    </row>
    <row r="804" spans="1:23" ht="18.95" customHeight="1">
      <c r="A804" s="4">
        <v>800</v>
      </c>
      <c r="B804" s="4">
        <v>17185</v>
      </c>
      <c r="C804" s="4">
        <v>1</v>
      </c>
      <c r="D804" s="6">
        <v>0</v>
      </c>
      <c r="E804" s="6">
        <v>0</v>
      </c>
      <c r="F804" s="6">
        <v>27.75</v>
      </c>
      <c r="G804" s="6">
        <v>0.6875</v>
      </c>
      <c r="H804" s="6">
        <v>0.5</v>
      </c>
      <c r="I804" s="6">
        <v>1.5</v>
      </c>
      <c r="J804" s="6">
        <v>-2.1875</v>
      </c>
      <c r="K804" s="6">
        <v>-15.125</v>
      </c>
      <c r="L804" s="6">
        <v>-39.8125</v>
      </c>
      <c r="M804" s="6">
        <v>0.5625</v>
      </c>
      <c r="N804" s="6">
        <v>0</v>
      </c>
      <c r="O804" s="6">
        <v>0.9375</v>
      </c>
      <c r="P804" s="6">
        <v>-2.125</v>
      </c>
      <c r="Q804" s="6">
        <v>-40.0625</v>
      </c>
      <c r="R804" s="6">
        <v>1.45361912250519</v>
      </c>
      <c r="S804" s="6">
        <v>-24.657464981079102</v>
      </c>
      <c r="T804" s="6">
        <v>0.57169449329376198</v>
      </c>
      <c r="U804" s="6">
        <v>1.2705227136611901</v>
      </c>
      <c r="V804" s="6">
        <v>-35.9587211608887</v>
      </c>
      <c r="W804" s="6">
        <v>-18.434410095214801</v>
      </c>
    </row>
    <row r="805" spans="1:23" ht="18.95" customHeight="1">
      <c r="A805" s="4">
        <v>801</v>
      </c>
      <c r="B805" s="4">
        <v>17205</v>
      </c>
      <c r="C805" s="4">
        <v>1</v>
      </c>
      <c r="D805" s="6">
        <v>0</v>
      </c>
      <c r="E805" s="6">
        <v>0</v>
      </c>
      <c r="F805" s="6">
        <v>25.75</v>
      </c>
      <c r="G805" s="6">
        <v>1</v>
      </c>
      <c r="H805" s="6">
        <v>0.8125</v>
      </c>
      <c r="I805" s="6">
        <v>1.4375</v>
      </c>
      <c r="J805" s="6">
        <v>-2.25</v>
      </c>
      <c r="K805" s="6">
        <v>-15.625</v>
      </c>
      <c r="L805" s="6">
        <v>-41</v>
      </c>
      <c r="M805" s="6">
        <v>0.375</v>
      </c>
      <c r="N805" s="6">
        <v>0.1875</v>
      </c>
      <c r="O805" s="6">
        <v>0.9375</v>
      </c>
      <c r="P805" s="6">
        <v>-2.125</v>
      </c>
      <c r="Q805" s="6">
        <v>-39.3125</v>
      </c>
      <c r="R805" s="6">
        <v>0.751328945159912</v>
      </c>
      <c r="S805" s="6">
        <v>-22.5963954925537</v>
      </c>
      <c r="T805" s="6">
        <v>0.144213557243347</v>
      </c>
      <c r="U805" s="6">
        <v>1.3384536504745499</v>
      </c>
      <c r="V805" s="6">
        <v>-36.298095703125</v>
      </c>
      <c r="W805" s="6">
        <v>-18.4304103851318</v>
      </c>
    </row>
    <row r="806" spans="1:23" ht="18.95" customHeight="1">
      <c r="A806" s="4">
        <v>802</v>
      </c>
      <c r="B806" s="4">
        <v>17226</v>
      </c>
      <c r="C806" s="4">
        <v>1</v>
      </c>
      <c r="D806" s="6">
        <v>0</v>
      </c>
      <c r="E806" s="6">
        <v>0</v>
      </c>
      <c r="F806" s="6">
        <v>23.875</v>
      </c>
      <c r="G806" s="6">
        <v>0.5</v>
      </c>
      <c r="H806" s="6">
        <v>0.5625</v>
      </c>
      <c r="I806" s="6">
        <v>1.5</v>
      </c>
      <c r="J806" s="6">
        <v>-2.25</v>
      </c>
      <c r="K806" s="6">
        <v>-16.0625</v>
      </c>
      <c r="L806" s="6">
        <v>-42.8125</v>
      </c>
      <c r="M806" s="6">
        <v>0.5625</v>
      </c>
      <c r="N806" s="6">
        <v>6.25E-2</v>
      </c>
      <c r="O806" s="6">
        <v>0.875</v>
      </c>
      <c r="P806" s="6">
        <v>-2.125</v>
      </c>
      <c r="Q806" s="6">
        <v>-38.5</v>
      </c>
      <c r="R806" s="6">
        <v>0.38491678237915</v>
      </c>
      <c r="S806" s="6">
        <v>-20.443723678588899</v>
      </c>
      <c r="T806" s="6">
        <v>5.2610516548156697E-2</v>
      </c>
      <c r="U806" s="6">
        <v>1.3179179430007899</v>
      </c>
      <c r="V806" s="6">
        <v>-36.541042327880902</v>
      </c>
      <c r="W806" s="6">
        <v>-18.431884765625</v>
      </c>
    </row>
    <row r="807" spans="1:23" ht="18.95" customHeight="1">
      <c r="A807" s="4">
        <v>803</v>
      </c>
      <c r="B807" s="4">
        <v>17248</v>
      </c>
      <c r="C807" s="4">
        <v>1</v>
      </c>
      <c r="D807" s="6">
        <v>0</v>
      </c>
      <c r="E807" s="6">
        <v>0</v>
      </c>
      <c r="F807" s="6">
        <v>21.75</v>
      </c>
      <c r="G807" s="6">
        <v>0.3125</v>
      </c>
      <c r="H807" s="6">
        <v>0.25</v>
      </c>
      <c r="I807" s="6">
        <v>1.5</v>
      </c>
      <c r="J807" s="6">
        <v>-2.25</v>
      </c>
      <c r="K807" s="6">
        <v>-16.5</v>
      </c>
      <c r="L807" s="6">
        <v>-45.1875</v>
      </c>
      <c r="M807" s="6">
        <v>0.4375</v>
      </c>
      <c r="N807" s="6">
        <v>0</v>
      </c>
      <c r="O807" s="6">
        <v>0.875</v>
      </c>
      <c r="P807" s="6">
        <v>-2.125</v>
      </c>
      <c r="Q807" s="6">
        <v>-37.25</v>
      </c>
      <c r="R807" s="6">
        <v>1.1024740934371899</v>
      </c>
      <c r="S807" s="6">
        <v>-18.535327911376999</v>
      </c>
      <c r="T807" s="6">
        <v>0.64803040027618397</v>
      </c>
      <c r="U807" s="6">
        <v>1.2614208459854099</v>
      </c>
      <c r="V807" s="6">
        <v>-36.893634796142599</v>
      </c>
      <c r="W807" s="6">
        <v>-18.4241237640381</v>
      </c>
    </row>
    <row r="808" spans="1:23" ht="18.95" customHeight="1">
      <c r="A808" s="4">
        <v>804</v>
      </c>
      <c r="B808" s="4">
        <v>17268</v>
      </c>
      <c r="C808" s="4">
        <v>1</v>
      </c>
      <c r="D808" s="6">
        <v>0</v>
      </c>
      <c r="E808" s="6">
        <v>0</v>
      </c>
      <c r="F808" s="6">
        <v>19.6875</v>
      </c>
      <c r="G808" s="6">
        <v>0.3125</v>
      </c>
      <c r="H808" s="6">
        <v>0.4375</v>
      </c>
      <c r="I808" s="6">
        <v>1.5</v>
      </c>
      <c r="J808" s="6">
        <v>-2.25</v>
      </c>
      <c r="K808" s="6">
        <v>-16.875</v>
      </c>
      <c r="L808" s="6">
        <v>-46.6875</v>
      </c>
      <c r="M808" s="6">
        <v>0.5</v>
      </c>
      <c r="N808" s="6">
        <v>0.125</v>
      </c>
      <c r="O808" s="6">
        <v>0.875</v>
      </c>
      <c r="P808" s="6">
        <v>-2.125</v>
      </c>
      <c r="Q808" s="6">
        <v>-36.375</v>
      </c>
      <c r="R808" s="6">
        <v>1.08720684051514</v>
      </c>
      <c r="S808" s="6">
        <v>-16.199449539184599</v>
      </c>
      <c r="T808" s="6">
        <v>0.38848841190338101</v>
      </c>
      <c r="U808" s="6">
        <v>1.3092465400695801</v>
      </c>
      <c r="V808" s="6">
        <v>-37.0810546875</v>
      </c>
      <c r="W808" s="6">
        <v>-18.4073390960693</v>
      </c>
    </row>
    <row r="809" spans="1:23" ht="18.95" customHeight="1">
      <c r="A809" s="4">
        <v>805</v>
      </c>
      <c r="B809" s="4">
        <v>17289</v>
      </c>
      <c r="C809" s="4">
        <v>1</v>
      </c>
      <c r="D809" s="6">
        <v>0</v>
      </c>
      <c r="E809" s="6">
        <v>0</v>
      </c>
      <c r="F809" s="6">
        <v>17.25</v>
      </c>
      <c r="G809" s="6">
        <v>0.9375</v>
      </c>
      <c r="H809" s="6">
        <v>1</v>
      </c>
      <c r="I809" s="6">
        <v>1.5</v>
      </c>
      <c r="J809" s="6">
        <v>-2.25</v>
      </c>
      <c r="K809" s="6">
        <v>-17.25</v>
      </c>
      <c r="L809" s="6">
        <v>-49.3125</v>
      </c>
      <c r="M809" s="6">
        <v>0.625</v>
      </c>
      <c r="N809" s="6">
        <v>0</v>
      </c>
      <c r="O809" s="6">
        <v>0.8125</v>
      </c>
      <c r="P809" s="6">
        <v>-2.125</v>
      </c>
      <c r="Q809" s="6">
        <v>-35.4375</v>
      </c>
      <c r="R809" s="6">
        <v>-5.7831287384033203E-2</v>
      </c>
      <c r="S809" s="6">
        <v>-13.588762283325201</v>
      </c>
      <c r="T809" s="6">
        <v>-0.22219866514205899</v>
      </c>
      <c r="U809" s="6">
        <v>1.39089167118073</v>
      </c>
      <c r="V809" s="6">
        <v>-37.2463188171387</v>
      </c>
      <c r="W809" s="6">
        <v>-18.409601211547901</v>
      </c>
    </row>
    <row r="810" spans="1:23" ht="18.95" customHeight="1">
      <c r="A810" s="4">
        <v>806</v>
      </c>
      <c r="B810" s="4">
        <v>17309</v>
      </c>
      <c r="C810" s="4">
        <v>1</v>
      </c>
      <c r="D810" s="6">
        <v>0</v>
      </c>
      <c r="E810" s="6">
        <v>0</v>
      </c>
      <c r="F810" s="6">
        <v>15</v>
      </c>
      <c r="G810" s="6">
        <v>6.25E-2</v>
      </c>
      <c r="H810" s="6">
        <v>0.125</v>
      </c>
      <c r="I810" s="6">
        <v>1.5</v>
      </c>
      <c r="J810" s="6">
        <v>-2.25</v>
      </c>
      <c r="K810" s="6">
        <v>-17.5625</v>
      </c>
      <c r="L810" s="6">
        <v>-51.75</v>
      </c>
      <c r="M810" s="6">
        <v>0.375</v>
      </c>
      <c r="N810" s="6">
        <v>-0.125</v>
      </c>
      <c r="O810" s="6">
        <v>0.8125</v>
      </c>
      <c r="P810" s="6">
        <v>-2.125</v>
      </c>
      <c r="Q810" s="6">
        <v>-34.4375</v>
      </c>
      <c r="R810" s="6">
        <v>0.49178695678710899</v>
      </c>
      <c r="S810" s="6">
        <v>-10.8254041671753</v>
      </c>
      <c r="T810" s="6">
        <v>0.44955706596374501</v>
      </c>
      <c r="U810" s="6">
        <v>1.3025590181350699</v>
      </c>
      <c r="V810" s="6">
        <v>-37.3599853515625</v>
      </c>
      <c r="W810" s="6">
        <v>-18.407243728637699</v>
      </c>
    </row>
    <row r="811" spans="1:23" ht="18.95" customHeight="1">
      <c r="A811" s="4">
        <v>807</v>
      </c>
      <c r="B811" s="4">
        <v>17331</v>
      </c>
      <c r="C811" s="4">
        <v>1</v>
      </c>
      <c r="D811" s="6">
        <v>0</v>
      </c>
      <c r="E811" s="6">
        <v>0</v>
      </c>
      <c r="F811" s="6">
        <v>12.3125</v>
      </c>
      <c r="G811" s="6">
        <v>0.4375</v>
      </c>
      <c r="H811" s="6">
        <v>0.5</v>
      </c>
      <c r="I811" s="6">
        <v>1.5</v>
      </c>
      <c r="J811" s="6">
        <v>-2.25</v>
      </c>
      <c r="K811" s="6">
        <v>-17.8125</v>
      </c>
      <c r="L811" s="6">
        <v>-52.3125</v>
      </c>
      <c r="M811" s="6">
        <v>0.4375</v>
      </c>
      <c r="N811" s="6">
        <v>0.1875</v>
      </c>
      <c r="O811" s="6">
        <v>0.8125</v>
      </c>
      <c r="P811" s="6">
        <v>-2.125</v>
      </c>
      <c r="Q811" s="6">
        <v>-33.4375</v>
      </c>
      <c r="R811" s="6">
        <v>0.67499315738678001</v>
      </c>
      <c r="S811" s="6">
        <v>-7.8635721206665004</v>
      </c>
      <c r="T811" s="6">
        <v>0.77016770839691195</v>
      </c>
      <c r="U811" s="6">
        <v>1.3339650630950901</v>
      </c>
      <c r="V811" s="6">
        <v>-37.518875122070298</v>
      </c>
      <c r="W811" s="6">
        <v>-18.397558212280298</v>
      </c>
    </row>
    <row r="812" spans="1:23" ht="18.95" customHeight="1">
      <c r="A812" s="4">
        <v>808</v>
      </c>
      <c r="B812" s="4">
        <v>17352</v>
      </c>
      <c r="C812" s="4">
        <v>1</v>
      </c>
      <c r="D812" s="6">
        <v>0</v>
      </c>
      <c r="E812" s="6">
        <v>0</v>
      </c>
      <c r="F812" s="6">
        <v>9.5625</v>
      </c>
      <c r="G812" s="6">
        <v>0.4375</v>
      </c>
      <c r="H812" s="6">
        <v>0.5625</v>
      </c>
      <c r="I812" s="6">
        <v>1.5</v>
      </c>
      <c r="J812" s="6">
        <v>-2.25</v>
      </c>
      <c r="K812" s="6">
        <v>-18.0625</v>
      </c>
      <c r="L812" s="6">
        <v>-54.625</v>
      </c>
      <c r="M812" s="6">
        <v>0.5</v>
      </c>
      <c r="N812" s="6">
        <v>0.125</v>
      </c>
      <c r="O812" s="6">
        <v>0.75</v>
      </c>
      <c r="P812" s="6">
        <v>-2.1875</v>
      </c>
      <c r="Q812" s="6">
        <v>-32.375</v>
      </c>
      <c r="R812" s="6">
        <v>0.56812286376953103</v>
      </c>
      <c r="S812" s="6">
        <v>-5.0849461555481001</v>
      </c>
      <c r="T812" s="6">
        <v>0.32741963863372803</v>
      </c>
      <c r="U812" s="6">
        <v>1.28373563289642</v>
      </c>
      <c r="V812" s="6">
        <v>-37.500343322753899</v>
      </c>
      <c r="W812" s="6">
        <v>-18.391914367675799</v>
      </c>
    </row>
    <row r="813" spans="1:23" ht="18.95" customHeight="1">
      <c r="A813" s="4">
        <v>809</v>
      </c>
      <c r="B813" s="4">
        <v>17373</v>
      </c>
      <c r="C813" s="4">
        <v>1</v>
      </c>
      <c r="D813" s="6">
        <v>0</v>
      </c>
      <c r="E813" s="6">
        <v>0</v>
      </c>
      <c r="F813" s="6">
        <v>6.75</v>
      </c>
      <c r="G813" s="6">
        <v>0</v>
      </c>
      <c r="H813" s="6">
        <v>0.3125</v>
      </c>
      <c r="I813" s="6">
        <v>1.5</v>
      </c>
      <c r="J813" s="6">
        <v>-2.25</v>
      </c>
      <c r="K813" s="6">
        <v>-18.125</v>
      </c>
      <c r="L813" s="6">
        <v>-56.1875</v>
      </c>
      <c r="M813" s="6">
        <v>0.4375</v>
      </c>
      <c r="N813" s="6">
        <v>0.1875</v>
      </c>
      <c r="O813" s="6">
        <v>0.75</v>
      </c>
      <c r="P813" s="6">
        <v>-2.1875</v>
      </c>
      <c r="Q813" s="6">
        <v>-31.3125</v>
      </c>
      <c r="R813" s="6">
        <v>-0.13416719436645499</v>
      </c>
      <c r="S813" s="6">
        <v>-2.1231138706207302</v>
      </c>
      <c r="T813" s="6">
        <v>0.144213557243347</v>
      </c>
      <c r="U813" s="6">
        <v>1.30436456203461</v>
      </c>
      <c r="V813" s="6">
        <v>-37.5325927734375</v>
      </c>
      <c r="W813" s="6">
        <v>-18.390617370605501</v>
      </c>
    </row>
    <row r="814" spans="1:23" ht="18.95" customHeight="1">
      <c r="A814" s="4">
        <v>810</v>
      </c>
      <c r="B814" s="4">
        <v>17402</v>
      </c>
      <c r="C814" s="4">
        <v>1</v>
      </c>
      <c r="D814" s="6">
        <v>0</v>
      </c>
      <c r="E814" s="6">
        <v>0</v>
      </c>
      <c r="F814" s="6">
        <v>2.5</v>
      </c>
      <c r="G814" s="6">
        <v>0.25</v>
      </c>
      <c r="H814" s="6">
        <v>0.5</v>
      </c>
      <c r="I814" s="6">
        <v>1.5</v>
      </c>
      <c r="J814" s="6">
        <v>-2.25</v>
      </c>
      <c r="K814" s="6">
        <v>-18.25</v>
      </c>
      <c r="L814" s="6">
        <v>-59.5</v>
      </c>
      <c r="M814" s="6">
        <v>0.6875</v>
      </c>
      <c r="N814" s="6">
        <v>-0.1875</v>
      </c>
      <c r="O814" s="6">
        <v>0.6875</v>
      </c>
      <c r="P814" s="6">
        <v>-2.1875</v>
      </c>
      <c r="Q814" s="6">
        <v>-29.625</v>
      </c>
      <c r="R814" s="6">
        <v>0.56812286376953103</v>
      </c>
      <c r="S814" s="6">
        <v>2.1974968910217298</v>
      </c>
      <c r="T814" s="6">
        <v>0.83123648166656505</v>
      </c>
      <c r="U814" s="6">
        <v>1.2939879894256601</v>
      </c>
      <c r="V814" s="6">
        <v>-37.435050964355497</v>
      </c>
      <c r="W814" s="6">
        <v>-18.375160217285199</v>
      </c>
    </row>
    <row r="815" spans="1:23" ht="18.95" customHeight="1">
      <c r="A815" s="4">
        <v>811</v>
      </c>
      <c r="B815" s="4">
        <v>17423</v>
      </c>
      <c r="C815" s="4">
        <v>1</v>
      </c>
      <c r="D815" s="6">
        <v>0</v>
      </c>
      <c r="E815" s="6">
        <v>0</v>
      </c>
      <c r="F815" s="6">
        <v>-0.6875</v>
      </c>
      <c r="G815" s="6">
        <v>0.1875</v>
      </c>
      <c r="H815" s="6">
        <v>0.6875</v>
      </c>
      <c r="I815" s="6">
        <v>1.4375</v>
      </c>
      <c r="J815" s="6">
        <v>-2.25</v>
      </c>
      <c r="K815" s="6">
        <v>-18.25</v>
      </c>
      <c r="L815" s="6">
        <v>-60.5625</v>
      </c>
      <c r="M815" s="6">
        <v>0.625</v>
      </c>
      <c r="N815" s="6">
        <v>0.1875</v>
      </c>
      <c r="O815" s="6">
        <v>0.6875</v>
      </c>
      <c r="P815" s="6">
        <v>-2.1875</v>
      </c>
      <c r="Q815" s="6">
        <v>-28.4375</v>
      </c>
      <c r="R815" s="6">
        <v>-0.51584649085998502</v>
      </c>
      <c r="S815" s="6">
        <v>5.4799394607543901</v>
      </c>
      <c r="T815" s="6">
        <v>0.11367923021316501</v>
      </c>
      <c r="U815" s="6">
        <v>1.3122978210449201</v>
      </c>
      <c r="V815" s="6">
        <v>-37.409767150878899</v>
      </c>
      <c r="W815" s="6">
        <v>-18.368991851806602</v>
      </c>
    </row>
    <row r="816" spans="1:23" ht="18.95" customHeight="1">
      <c r="A816" s="4">
        <v>812</v>
      </c>
      <c r="B816" s="4">
        <v>17444</v>
      </c>
      <c r="C816" s="4">
        <v>1</v>
      </c>
      <c r="D816" s="6">
        <v>0</v>
      </c>
      <c r="E816" s="6">
        <v>0</v>
      </c>
      <c r="F816" s="6">
        <v>-5.25</v>
      </c>
      <c r="G816" s="6">
        <v>-0.4375</v>
      </c>
      <c r="H816" s="6">
        <v>0.25</v>
      </c>
      <c r="I816" s="6">
        <v>1.4375</v>
      </c>
      <c r="J816" s="6">
        <v>-2.25</v>
      </c>
      <c r="K816" s="6">
        <v>-18.125</v>
      </c>
      <c r="L816" s="6">
        <v>-63.3125</v>
      </c>
      <c r="M816" s="6">
        <v>0.75</v>
      </c>
      <c r="N816" s="6">
        <v>0.25</v>
      </c>
      <c r="O816" s="6">
        <v>0.625</v>
      </c>
      <c r="P816" s="6">
        <v>-2.1875</v>
      </c>
      <c r="Q816" s="6">
        <v>-27.25</v>
      </c>
      <c r="R816" s="6">
        <v>0.69026029109954801</v>
      </c>
      <c r="S816" s="6">
        <v>8.9913902282714808</v>
      </c>
      <c r="T816" s="6">
        <v>0.58696162700653098</v>
      </c>
      <c r="U816" s="6">
        <v>1.1617628335952801</v>
      </c>
      <c r="V816" s="6">
        <v>-37.062831878662102</v>
      </c>
      <c r="W816" s="6">
        <v>-18.3642463684082</v>
      </c>
    </row>
    <row r="817" spans="1:23" ht="18.95" customHeight="1">
      <c r="A817" s="4">
        <v>813</v>
      </c>
      <c r="B817" s="4">
        <v>17464</v>
      </c>
      <c r="C817" s="4">
        <v>1</v>
      </c>
      <c r="D817" s="6">
        <v>0</v>
      </c>
      <c r="E817" s="6">
        <v>0</v>
      </c>
      <c r="F817" s="6">
        <v>-7.3125</v>
      </c>
      <c r="G817" s="6">
        <v>-0.8125</v>
      </c>
      <c r="H817" s="6">
        <v>-0.1875</v>
      </c>
      <c r="I817" s="6">
        <v>1.4375</v>
      </c>
      <c r="J817" s="6">
        <v>-2.25</v>
      </c>
      <c r="K817" s="6">
        <v>-18</v>
      </c>
      <c r="L817" s="6">
        <v>-65.3125</v>
      </c>
      <c r="M817" s="6">
        <v>0.625</v>
      </c>
      <c r="N817" s="6">
        <v>0.1875</v>
      </c>
      <c r="O817" s="6">
        <v>0.625</v>
      </c>
      <c r="P817" s="6">
        <v>-2.1875</v>
      </c>
      <c r="Q817" s="6">
        <v>-25.9375</v>
      </c>
      <c r="R817" s="6">
        <v>-0.118900060653687</v>
      </c>
      <c r="S817" s="6">
        <v>11.937954902648899</v>
      </c>
      <c r="T817" s="6">
        <v>8.3144843578338595E-2</v>
      </c>
      <c r="U817" s="6">
        <v>1.23665511608124</v>
      </c>
      <c r="V817" s="6">
        <v>-36.905406951904297</v>
      </c>
      <c r="W817" s="6">
        <v>-18.363231658935501</v>
      </c>
    </row>
    <row r="818" spans="1:23" ht="18.95" customHeight="1">
      <c r="A818" s="4">
        <v>814</v>
      </c>
      <c r="B818" s="4">
        <v>17485</v>
      </c>
      <c r="C818" s="4">
        <v>1</v>
      </c>
      <c r="D818" s="6">
        <v>0</v>
      </c>
      <c r="E818" s="6">
        <v>0</v>
      </c>
      <c r="F818" s="6">
        <v>-12.0625</v>
      </c>
      <c r="G818" s="6">
        <v>-0.25</v>
      </c>
      <c r="H818" s="6">
        <v>0.375</v>
      </c>
      <c r="I818" s="6">
        <v>1.4375</v>
      </c>
      <c r="J818" s="6">
        <v>-2.25</v>
      </c>
      <c r="K818" s="6">
        <v>-17.8125</v>
      </c>
      <c r="L818" s="6">
        <v>-66.6875</v>
      </c>
      <c r="M818" s="6">
        <v>0.9375</v>
      </c>
      <c r="N818" s="6">
        <v>-6.25E-2</v>
      </c>
      <c r="O818" s="6">
        <v>0.5625</v>
      </c>
      <c r="P818" s="6">
        <v>-2.25</v>
      </c>
      <c r="Q818" s="6">
        <v>-24.6875</v>
      </c>
      <c r="R818" s="6">
        <v>-0.22577023506164601</v>
      </c>
      <c r="S818" s="6">
        <v>15.418870925903301</v>
      </c>
      <c r="T818" s="6">
        <v>0.84650361537933305</v>
      </c>
      <c r="U818" s="6">
        <v>1.1253857612609901</v>
      </c>
      <c r="V818" s="6">
        <v>-36.426010131835902</v>
      </c>
      <c r="W818" s="6">
        <v>-18.360246658325199</v>
      </c>
    </row>
    <row r="819" spans="1:23" ht="18.95" customHeight="1">
      <c r="A819" s="4">
        <v>815</v>
      </c>
      <c r="B819" s="4">
        <v>17507</v>
      </c>
      <c r="C819" s="4">
        <v>1</v>
      </c>
      <c r="D819" s="6">
        <v>0</v>
      </c>
      <c r="E819" s="6">
        <v>0</v>
      </c>
      <c r="F819" s="6">
        <v>-15.5</v>
      </c>
      <c r="G819" s="6">
        <v>-0.25</v>
      </c>
      <c r="H819" s="6">
        <v>0.25</v>
      </c>
      <c r="I819" s="6">
        <v>1.4375</v>
      </c>
      <c r="J819" s="6">
        <v>-2.25</v>
      </c>
      <c r="K819" s="6">
        <v>-17.5</v>
      </c>
      <c r="L819" s="6">
        <v>-68.125</v>
      </c>
      <c r="M819" s="6">
        <v>0.75</v>
      </c>
      <c r="N819" s="6">
        <v>-6.25E-2</v>
      </c>
      <c r="O819" s="6">
        <v>0.5625</v>
      </c>
      <c r="P819" s="6">
        <v>-2.25</v>
      </c>
      <c r="Q819" s="6">
        <v>-23.375</v>
      </c>
      <c r="R819" s="6">
        <v>-0.54638099670410201</v>
      </c>
      <c r="S819" s="6">
        <v>18.823450088501001</v>
      </c>
      <c r="T819" s="6">
        <v>-0.100061237812042</v>
      </c>
      <c r="U819" s="6">
        <v>1.20504939556122</v>
      </c>
      <c r="V819" s="6">
        <v>-36.1133842468262</v>
      </c>
      <c r="W819" s="6">
        <v>-18.361822128295898</v>
      </c>
    </row>
    <row r="820" spans="1:23" ht="18.95" customHeight="1">
      <c r="A820" s="4">
        <v>816</v>
      </c>
      <c r="B820" s="4">
        <v>17528</v>
      </c>
      <c r="C820" s="4">
        <v>1</v>
      </c>
      <c r="D820" s="6">
        <v>0</v>
      </c>
      <c r="E820" s="6">
        <v>0</v>
      </c>
      <c r="F820" s="6">
        <v>-18.4375</v>
      </c>
      <c r="G820" s="6">
        <v>-0.375</v>
      </c>
      <c r="H820" s="6">
        <v>-0.1875</v>
      </c>
      <c r="I820" s="6">
        <v>1.4375</v>
      </c>
      <c r="J820" s="6">
        <v>-2.25</v>
      </c>
      <c r="K820" s="6">
        <v>-17.125</v>
      </c>
      <c r="L820" s="6">
        <v>-68</v>
      </c>
      <c r="M820" s="6">
        <v>0.8125</v>
      </c>
      <c r="N820" s="6">
        <v>0.1875</v>
      </c>
      <c r="O820" s="6">
        <v>0.5</v>
      </c>
      <c r="P820" s="6">
        <v>-2.25</v>
      </c>
      <c r="Q820" s="6">
        <v>-21.375</v>
      </c>
      <c r="R820" s="6">
        <v>-0.76012134552001998</v>
      </c>
      <c r="S820" s="6">
        <v>22.411237716674801</v>
      </c>
      <c r="T820" s="6">
        <v>3.7343323230743401E-2</v>
      </c>
      <c r="U820" s="6">
        <v>1.0937374830246001</v>
      </c>
      <c r="V820" s="6">
        <v>-35.6356811523438</v>
      </c>
      <c r="W820" s="6">
        <v>-18.356855392456101</v>
      </c>
    </row>
    <row r="821" spans="1:23" ht="18.95" customHeight="1">
      <c r="A821" s="4">
        <v>817</v>
      </c>
      <c r="B821" s="4">
        <v>17548</v>
      </c>
      <c r="C821" s="4">
        <v>1</v>
      </c>
      <c r="D821" s="6">
        <v>0</v>
      </c>
      <c r="E821" s="6">
        <v>0</v>
      </c>
      <c r="F821" s="6">
        <v>-22.1875</v>
      </c>
      <c r="G821" s="6">
        <v>-0.8125</v>
      </c>
      <c r="H821" s="6">
        <v>6.25E-2</v>
      </c>
      <c r="I821" s="6">
        <v>1.4375</v>
      </c>
      <c r="J821" s="6">
        <v>-2.1875</v>
      </c>
      <c r="K821" s="6">
        <v>-16.75</v>
      </c>
      <c r="L821" s="6">
        <v>-70.9375</v>
      </c>
      <c r="M821" s="6">
        <v>0.625</v>
      </c>
      <c r="N821" s="6">
        <v>-0.1875</v>
      </c>
      <c r="O821" s="6">
        <v>0.5</v>
      </c>
      <c r="P821" s="6">
        <v>-2.25</v>
      </c>
      <c r="Q821" s="6">
        <v>-20</v>
      </c>
      <c r="R821" s="6">
        <v>-0.77538847923278797</v>
      </c>
      <c r="S821" s="6">
        <v>25.846351623535199</v>
      </c>
      <c r="T821" s="6">
        <v>-2.3725390434265099E-2</v>
      </c>
      <c r="U821" s="6">
        <v>1.1790133714675901</v>
      </c>
      <c r="V821" s="6">
        <v>-35.110034942627003</v>
      </c>
      <c r="W821" s="6">
        <v>-18.345260620117202</v>
      </c>
    </row>
    <row r="822" spans="1:23" ht="18.95" customHeight="1">
      <c r="A822" s="4">
        <v>818</v>
      </c>
      <c r="B822" s="4">
        <v>17568</v>
      </c>
      <c r="C822" s="4">
        <v>1</v>
      </c>
      <c r="D822" s="6">
        <v>0</v>
      </c>
      <c r="E822" s="6">
        <v>0</v>
      </c>
      <c r="F822" s="6">
        <v>-25.25</v>
      </c>
      <c r="G822" s="6">
        <v>0.1875</v>
      </c>
      <c r="H822" s="6">
        <v>0.4375</v>
      </c>
      <c r="I822" s="6">
        <v>1.4375</v>
      </c>
      <c r="J822" s="6">
        <v>-2.1875</v>
      </c>
      <c r="K822" s="6">
        <v>-16.25</v>
      </c>
      <c r="L822" s="6">
        <v>-71.375</v>
      </c>
      <c r="M822" s="6">
        <v>0.8125</v>
      </c>
      <c r="N822" s="6">
        <v>0</v>
      </c>
      <c r="O822" s="6">
        <v>0.4375</v>
      </c>
      <c r="P822" s="6">
        <v>-2.25</v>
      </c>
      <c r="Q822" s="6">
        <v>-18.625</v>
      </c>
      <c r="R822" s="6">
        <v>-1.0043962001800499</v>
      </c>
      <c r="S822" s="6">
        <v>29.449405670166001</v>
      </c>
      <c r="T822" s="6">
        <v>3.7343323230743401E-2</v>
      </c>
      <c r="U822" s="6">
        <v>1.14440882205963</v>
      </c>
      <c r="V822" s="6">
        <v>-34.5593452453613</v>
      </c>
      <c r="W822" s="6">
        <v>-18.344192504882798</v>
      </c>
    </row>
    <row r="823" spans="1:23" ht="18.95" customHeight="1">
      <c r="A823" s="4">
        <v>819</v>
      </c>
      <c r="B823" s="4">
        <v>17589</v>
      </c>
      <c r="C823" s="4">
        <v>1</v>
      </c>
      <c r="D823" s="6">
        <v>0</v>
      </c>
      <c r="E823" s="6">
        <v>0</v>
      </c>
      <c r="F823" s="6">
        <v>-29</v>
      </c>
      <c r="G823" s="6">
        <v>-0.75</v>
      </c>
      <c r="H823" s="6">
        <v>6.25E-2</v>
      </c>
      <c r="I823" s="6">
        <v>1.4375</v>
      </c>
      <c r="J823" s="6">
        <v>-2.1875</v>
      </c>
      <c r="K823" s="6">
        <v>-15.75</v>
      </c>
      <c r="L823" s="6">
        <v>-73.75</v>
      </c>
      <c r="M823" s="6">
        <v>0.5625</v>
      </c>
      <c r="N823" s="6">
        <v>-0.125</v>
      </c>
      <c r="O823" s="6">
        <v>0.4375</v>
      </c>
      <c r="P823" s="6">
        <v>-2.25</v>
      </c>
      <c r="Q823" s="6">
        <v>-17.1875</v>
      </c>
      <c r="R823" s="6">
        <v>-0.89752602577209495</v>
      </c>
      <c r="S823" s="6">
        <v>31.846351623535199</v>
      </c>
      <c r="T823" s="6">
        <v>0.35795402526855502</v>
      </c>
      <c r="U823" s="6">
        <v>1.1291602849960301</v>
      </c>
      <c r="V823" s="6">
        <v>-33.924808502197301</v>
      </c>
      <c r="W823" s="6">
        <v>-18.3360710144043</v>
      </c>
    </row>
    <row r="824" spans="1:23" ht="18.95" customHeight="1">
      <c r="A824" s="4">
        <v>820</v>
      </c>
      <c r="B824" s="4">
        <v>17609</v>
      </c>
      <c r="C824" s="4">
        <v>1</v>
      </c>
      <c r="D824" s="6">
        <v>0</v>
      </c>
      <c r="E824" s="6">
        <v>0</v>
      </c>
      <c r="F824" s="6">
        <v>-32.0625</v>
      </c>
      <c r="G824" s="6">
        <v>-0.375</v>
      </c>
      <c r="H824" s="6">
        <v>0.375</v>
      </c>
      <c r="I824" s="6">
        <v>1.4375</v>
      </c>
      <c r="J824" s="6">
        <v>-2.1875</v>
      </c>
      <c r="K824" s="6">
        <v>-15.125</v>
      </c>
      <c r="L824" s="6">
        <v>-73.5625</v>
      </c>
      <c r="M824" s="6">
        <v>0.6875</v>
      </c>
      <c r="N824" s="6">
        <v>0.125</v>
      </c>
      <c r="O824" s="6">
        <v>0.375</v>
      </c>
      <c r="P824" s="6">
        <v>-2.3125</v>
      </c>
      <c r="Q824" s="6">
        <v>-15.75</v>
      </c>
      <c r="R824" s="6">
        <v>-0.98912906646728505</v>
      </c>
      <c r="S824" s="6">
        <v>36.792915344238303</v>
      </c>
      <c r="T824" s="6">
        <v>0.98390817642211903</v>
      </c>
      <c r="U824" s="6">
        <v>1.1255958080291699</v>
      </c>
      <c r="V824" s="6">
        <v>-33.478000640869098</v>
      </c>
      <c r="W824" s="6">
        <v>-18.3284091949463</v>
      </c>
    </row>
    <row r="825" spans="1:23" ht="18.95" customHeight="1">
      <c r="A825" s="4">
        <v>821</v>
      </c>
      <c r="B825" s="4">
        <v>17630</v>
      </c>
      <c r="C825" s="4">
        <v>1</v>
      </c>
      <c r="D825" s="6">
        <v>0</v>
      </c>
      <c r="E825" s="6">
        <v>0</v>
      </c>
      <c r="F825" s="6">
        <v>-35.5625</v>
      </c>
      <c r="G825" s="6">
        <v>-0.6875</v>
      </c>
      <c r="H825" s="6">
        <v>0</v>
      </c>
      <c r="I825" s="6">
        <v>1.375</v>
      </c>
      <c r="J825" s="6">
        <v>-2.1875</v>
      </c>
      <c r="K825" s="6">
        <v>-14.4375</v>
      </c>
      <c r="L825" s="6">
        <v>-76.125</v>
      </c>
      <c r="M825" s="6">
        <v>0.75</v>
      </c>
      <c r="N825" s="6">
        <v>-0.25</v>
      </c>
      <c r="O825" s="6">
        <v>0.375</v>
      </c>
      <c r="P825" s="6">
        <v>-2.3125</v>
      </c>
      <c r="Q825" s="6">
        <v>-14.3125</v>
      </c>
      <c r="R825" s="6">
        <v>-1.14180088043213</v>
      </c>
      <c r="S825" s="6">
        <v>39.495208740234403</v>
      </c>
      <c r="T825" s="6">
        <v>0.464824199676514</v>
      </c>
      <c r="U825" s="6">
        <v>1.0887852907180799</v>
      </c>
      <c r="V825" s="6">
        <v>-32.622463226318402</v>
      </c>
      <c r="W825" s="6">
        <v>-18.319953918456999</v>
      </c>
    </row>
    <row r="826" spans="1:23" ht="18.95" customHeight="1">
      <c r="A826" s="4">
        <v>822</v>
      </c>
      <c r="B826" s="4">
        <v>17652</v>
      </c>
      <c r="C826" s="4">
        <v>1</v>
      </c>
      <c r="D826" s="6">
        <v>0</v>
      </c>
      <c r="E826" s="6">
        <v>0</v>
      </c>
      <c r="F826" s="6">
        <v>-39.3125</v>
      </c>
      <c r="G826" s="6">
        <v>-0.875</v>
      </c>
      <c r="H826" s="6">
        <v>-0.125</v>
      </c>
      <c r="I826" s="6">
        <v>1.375</v>
      </c>
      <c r="J826" s="6">
        <v>-2.1875</v>
      </c>
      <c r="K826" s="6">
        <v>-13.6875</v>
      </c>
      <c r="L826" s="6">
        <v>-76.3125</v>
      </c>
      <c r="M826" s="6">
        <v>0.625</v>
      </c>
      <c r="N826" s="6">
        <v>6.25E-2</v>
      </c>
      <c r="O826" s="6">
        <v>0.3125</v>
      </c>
      <c r="P826" s="6">
        <v>-2.3125</v>
      </c>
      <c r="Q826" s="6">
        <v>-12.8125</v>
      </c>
      <c r="R826" s="6">
        <v>-1.35554122924805</v>
      </c>
      <c r="S826" s="6">
        <v>43.159332275390597</v>
      </c>
      <c r="T826" s="6">
        <v>0.66329753398895297</v>
      </c>
      <c r="U826" s="6">
        <v>1.0886272192001301</v>
      </c>
      <c r="V826" s="6">
        <v>-31.930055618286101</v>
      </c>
      <c r="W826" s="6">
        <v>-18.3130798339844</v>
      </c>
    </row>
    <row r="827" spans="1:23" ht="18.95" customHeight="1">
      <c r="A827" s="4">
        <v>823</v>
      </c>
      <c r="B827" s="4">
        <v>17673</v>
      </c>
      <c r="C827" s="4">
        <v>1</v>
      </c>
      <c r="D827" s="6">
        <v>0</v>
      </c>
      <c r="E827" s="6">
        <v>0</v>
      </c>
      <c r="F827" s="6">
        <v>-42.375</v>
      </c>
      <c r="G827" s="6">
        <v>-0.75</v>
      </c>
      <c r="H827" s="6">
        <v>0.125</v>
      </c>
      <c r="I827" s="6">
        <v>1.375</v>
      </c>
      <c r="J827" s="6">
        <v>-2.1875</v>
      </c>
      <c r="K827" s="6">
        <v>-12.875</v>
      </c>
      <c r="L827" s="6">
        <v>-77.125</v>
      </c>
      <c r="M827" s="6">
        <v>0.5625</v>
      </c>
      <c r="N827" s="6">
        <v>-0.125</v>
      </c>
      <c r="O827" s="6">
        <v>0.3125</v>
      </c>
      <c r="P827" s="6">
        <v>-2.3125</v>
      </c>
      <c r="Q827" s="6">
        <v>-11.3125</v>
      </c>
      <c r="R827" s="6">
        <v>-1.23340392112732</v>
      </c>
      <c r="S827" s="6">
        <v>45.785285949707003</v>
      </c>
      <c r="T827" s="6">
        <v>0.92283952236175504</v>
      </c>
      <c r="U827" s="6">
        <v>1.0315315723419201</v>
      </c>
      <c r="V827" s="6">
        <v>-30.940893173217798</v>
      </c>
      <c r="W827" s="6">
        <v>-18.3150825500488</v>
      </c>
    </row>
    <row r="828" spans="1:23" ht="18.95" customHeight="1">
      <c r="A828" s="4">
        <v>824</v>
      </c>
      <c r="B828" s="4">
        <v>17693</v>
      </c>
      <c r="C828" s="4">
        <v>1</v>
      </c>
      <c r="D828" s="6">
        <v>0</v>
      </c>
      <c r="E828" s="6">
        <v>0</v>
      </c>
      <c r="F828" s="6">
        <v>-45.6875</v>
      </c>
      <c r="G828" s="6">
        <v>-0.875</v>
      </c>
      <c r="H828" s="6">
        <v>-0.3125</v>
      </c>
      <c r="I828" s="6">
        <v>1.375</v>
      </c>
      <c r="J828" s="6">
        <v>-2.125</v>
      </c>
      <c r="K828" s="6">
        <v>-12</v>
      </c>
      <c r="L828" s="6">
        <v>-76.75</v>
      </c>
      <c r="M828" s="6">
        <v>0.8125</v>
      </c>
      <c r="N828" s="6">
        <v>6.25E-2</v>
      </c>
      <c r="O828" s="6">
        <v>0.25</v>
      </c>
      <c r="P828" s="6">
        <v>-2.3125</v>
      </c>
      <c r="Q828" s="6">
        <v>-9.875</v>
      </c>
      <c r="R828" s="6">
        <v>-1.6761517524719201</v>
      </c>
      <c r="S828" s="6">
        <v>48.457038879394503</v>
      </c>
      <c r="T828" s="6">
        <v>6.80899620056152E-3</v>
      </c>
      <c r="U828" s="6">
        <v>1.02373671531677</v>
      </c>
      <c r="V828" s="6">
        <v>-30.1408786773682</v>
      </c>
      <c r="W828" s="6">
        <v>-18.312526702880898</v>
      </c>
    </row>
    <row r="829" spans="1:23" ht="18.95" customHeight="1">
      <c r="A829" s="4">
        <v>825</v>
      </c>
      <c r="B829" s="4">
        <v>17714</v>
      </c>
      <c r="C829" s="4">
        <v>1</v>
      </c>
      <c r="D829" s="6">
        <v>0</v>
      </c>
      <c r="E829" s="6">
        <v>0</v>
      </c>
      <c r="F829" s="6">
        <v>-48.1875</v>
      </c>
      <c r="G829" s="6">
        <v>-0.875</v>
      </c>
      <c r="H829" s="6">
        <v>0</v>
      </c>
      <c r="I829" s="6">
        <v>1.3125</v>
      </c>
      <c r="J829" s="6">
        <v>-2.125</v>
      </c>
      <c r="K829" s="6">
        <v>-10.625</v>
      </c>
      <c r="L829" s="6">
        <v>-76.0625</v>
      </c>
      <c r="M829" s="6">
        <v>0.6875</v>
      </c>
      <c r="N829" s="6">
        <v>-0.125</v>
      </c>
      <c r="O829" s="6">
        <v>0.25</v>
      </c>
      <c r="P829" s="6">
        <v>-2.3125</v>
      </c>
      <c r="Q829" s="6">
        <v>-8.375</v>
      </c>
      <c r="R829" s="6">
        <v>-2.0883655548095699</v>
      </c>
      <c r="S829" s="6">
        <v>52.044822692871101</v>
      </c>
      <c r="T829" s="6">
        <v>-0.29853454232215898</v>
      </c>
      <c r="U829" s="6">
        <v>1.01881003379822</v>
      </c>
      <c r="V829" s="6">
        <v>-29.10085105896</v>
      </c>
      <c r="W829" s="6">
        <v>-18.309535980224599</v>
      </c>
    </row>
    <row r="830" spans="1:23" ht="18.95" customHeight="1">
      <c r="A830" s="4">
        <v>826</v>
      </c>
      <c r="B830" s="4">
        <v>17734</v>
      </c>
      <c r="C830" s="4">
        <v>1</v>
      </c>
      <c r="D830" s="6">
        <v>0</v>
      </c>
      <c r="E830" s="6">
        <v>0</v>
      </c>
      <c r="F830" s="6">
        <v>-51.6875</v>
      </c>
      <c r="G830" s="6">
        <v>-0.75</v>
      </c>
      <c r="H830" s="6">
        <v>-0.1875</v>
      </c>
      <c r="I830" s="6">
        <v>1.3125</v>
      </c>
      <c r="J830" s="6">
        <v>-2.125</v>
      </c>
      <c r="K830" s="6">
        <v>-10.125</v>
      </c>
      <c r="L830" s="6">
        <v>-76.6875</v>
      </c>
      <c r="M830" s="6">
        <v>0.8125</v>
      </c>
      <c r="N830" s="6">
        <v>-6.25E-2</v>
      </c>
      <c r="O830" s="6">
        <v>0.1875</v>
      </c>
      <c r="P830" s="6">
        <v>-2.375</v>
      </c>
      <c r="Q830" s="6">
        <v>-6.875</v>
      </c>
      <c r="R830" s="6">
        <v>-2.07309865951538</v>
      </c>
      <c r="S830" s="6">
        <v>54.594444274902301</v>
      </c>
      <c r="T830" s="6">
        <v>0.22054940462112399</v>
      </c>
      <c r="U830" s="6">
        <v>1.02477514743805</v>
      </c>
      <c r="V830" s="6">
        <v>-28.127313613891602</v>
      </c>
      <c r="W830" s="6">
        <v>-18.303359985351602</v>
      </c>
    </row>
    <row r="831" spans="1:23" ht="18.95" customHeight="1">
      <c r="A831" s="4">
        <v>827</v>
      </c>
      <c r="B831" s="4">
        <v>17756</v>
      </c>
      <c r="C831" s="4">
        <v>1</v>
      </c>
      <c r="D831" s="6">
        <v>0</v>
      </c>
      <c r="E831" s="6">
        <v>0</v>
      </c>
      <c r="F831" s="6">
        <v>-54.5625</v>
      </c>
      <c r="G831" s="6">
        <v>-0.875</v>
      </c>
      <c r="H831" s="6">
        <v>0.1875</v>
      </c>
      <c r="I831" s="6">
        <v>1.3125</v>
      </c>
      <c r="J831" s="6">
        <v>-2.0625</v>
      </c>
      <c r="K831" s="6">
        <v>-8.5625</v>
      </c>
      <c r="L831" s="6">
        <v>-75.8125</v>
      </c>
      <c r="M831" s="6">
        <v>0.8125</v>
      </c>
      <c r="N831" s="6">
        <v>0.125</v>
      </c>
      <c r="O831" s="6">
        <v>0.1875</v>
      </c>
      <c r="P831" s="6">
        <v>-2.375</v>
      </c>
      <c r="Q831" s="6">
        <v>-5.4375</v>
      </c>
      <c r="R831" s="6">
        <v>-2.1036329269409202</v>
      </c>
      <c r="S831" s="6">
        <v>57.846351623535199</v>
      </c>
      <c r="T831" s="6">
        <v>-0.34433606266975397</v>
      </c>
      <c r="U831" s="6">
        <v>1.0714020729064899</v>
      </c>
      <c r="V831" s="6">
        <v>-26.9932041168213</v>
      </c>
      <c r="W831" s="6">
        <v>-18.294874191284201</v>
      </c>
    </row>
    <row r="832" spans="1:23" ht="18.95" customHeight="1">
      <c r="A832" s="4">
        <v>828</v>
      </c>
      <c r="B832" s="4">
        <v>17778</v>
      </c>
      <c r="C832" s="4">
        <v>1</v>
      </c>
      <c r="D832" s="6">
        <v>0</v>
      </c>
      <c r="E832" s="6">
        <v>0</v>
      </c>
      <c r="F832" s="6">
        <v>-58.9375</v>
      </c>
      <c r="G832" s="6">
        <v>-1</v>
      </c>
      <c r="H832" s="6">
        <v>-0.4375</v>
      </c>
      <c r="I832" s="6">
        <v>1.25</v>
      </c>
      <c r="J832" s="6">
        <v>-2.0625</v>
      </c>
      <c r="K832" s="6">
        <v>-7.4375</v>
      </c>
      <c r="L832" s="6">
        <v>-75.3125</v>
      </c>
      <c r="M832" s="6">
        <v>0.75</v>
      </c>
      <c r="N832" s="6">
        <v>0.125</v>
      </c>
      <c r="O832" s="6">
        <v>0.125</v>
      </c>
      <c r="P832" s="6">
        <v>-2.375</v>
      </c>
      <c r="Q832" s="6">
        <v>-3.25</v>
      </c>
      <c r="R832" s="6">
        <v>-2.3631749153137198</v>
      </c>
      <c r="S832" s="6">
        <v>59.541007995605497</v>
      </c>
      <c r="T832" s="6">
        <v>-0.161129951477051</v>
      </c>
      <c r="U832" s="6">
        <v>1.03668749332428</v>
      </c>
      <c r="V832" s="6">
        <v>-25.663871765136701</v>
      </c>
      <c r="W832" s="6">
        <v>-18.297304153442401</v>
      </c>
    </row>
    <row r="833" spans="1:23" ht="18.95" customHeight="1">
      <c r="A833" s="4">
        <v>829</v>
      </c>
      <c r="B833" s="4">
        <v>17809</v>
      </c>
      <c r="C833" s="4">
        <v>0</v>
      </c>
      <c r="D833" s="6">
        <v>0</v>
      </c>
      <c r="E833" s="6">
        <v>0</v>
      </c>
      <c r="F833" s="6">
        <v>-61.6875</v>
      </c>
      <c r="G833" s="6">
        <v>-1.375</v>
      </c>
      <c r="H833" s="6">
        <v>-0.6875</v>
      </c>
      <c r="I833" s="6">
        <v>1.25</v>
      </c>
      <c r="J833" s="6">
        <v>-2</v>
      </c>
      <c r="K833" s="6">
        <v>-5.625</v>
      </c>
      <c r="L833" s="6">
        <v>-72.3125</v>
      </c>
      <c r="M833" s="6">
        <v>0.6875</v>
      </c>
      <c r="N833" s="6">
        <v>0</v>
      </c>
      <c r="O833" s="6">
        <v>6.25E-2</v>
      </c>
      <c r="P833" s="6">
        <v>-2.375</v>
      </c>
      <c r="Q833" s="6">
        <v>-1.125</v>
      </c>
      <c r="R833" s="6">
        <v>-1.9051594734191899</v>
      </c>
      <c r="S833" s="6">
        <v>62.731849670410199</v>
      </c>
      <c r="T833" s="6">
        <v>0.128946363925934</v>
      </c>
      <c r="U833" s="6">
        <v>0.99862307310104403</v>
      </c>
      <c r="V833" s="6">
        <v>-23.70143699646</v>
      </c>
      <c r="W833" s="6">
        <v>-18.2933158874512</v>
      </c>
    </row>
    <row r="834" spans="1:23" ht="18.95" customHeight="1">
      <c r="A834" s="4">
        <v>830</v>
      </c>
      <c r="B834" s="4">
        <v>17831</v>
      </c>
      <c r="C834" s="4">
        <v>0</v>
      </c>
      <c r="D834" s="6">
        <v>0</v>
      </c>
      <c r="E834" s="6">
        <v>0</v>
      </c>
      <c r="F834" s="6">
        <v>-64.5</v>
      </c>
      <c r="G834" s="6">
        <v>-1</v>
      </c>
      <c r="H834" s="6">
        <v>-0.4375</v>
      </c>
      <c r="I834" s="6">
        <v>1.25</v>
      </c>
      <c r="J834" s="6">
        <v>-2</v>
      </c>
      <c r="K834" s="6">
        <v>-4.375</v>
      </c>
      <c r="L834" s="6">
        <v>-69.8125</v>
      </c>
      <c r="M834" s="6">
        <v>0.625</v>
      </c>
      <c r="N834" s="6">
        <v>0</v>
      </c>
      <c r="O834" s="6">
        <v>6.25E-2</v>
      </c>
      <c r="P834" s="6">
        <v>-2.4375</v>
      </c>
      <c r="Q834" s="6">
        <v>0.1875</v>
      </c>
      <c r="R834" s="6">
        <v>-1.9051594734191899</v>
      </c>
      <c r="S834" s="6">
        <v>64.960853576660199</v>
      </c>
      <c r="T834" s="6">
        <v>-0.28326734900474498</v>
      </c>
      <c r="U834" s="6">
        <v>0.85717898607253995</v>
      </c>
      <c r="V834" s="6">
        <v>-22.4384670257568</v>
      </c>
      <c r="W834" s="6">
        <v>-18.305364608764599</v>
      </c>
    </row>
    <row r="835" spans="1:23" ht="18.95" customHeight="1">
      <c r="A835" s="4">
        <v>831</v>
      </c>
      <c r="B835" s="4">
        <v>17851</v>
      </c>
      <c r="C835" s="4">
        <v>0</v>
      </c>
      <c r="D835" s="6">
        <v>0</v>
      </c>
      <c r="E835" s="6">
        <v>0</v>
      </c>
      <c r="F835" s="6">
        <v>-65.4375</v>
      </c>
      <c r="G835" s="6">
        <v>-1.8125</v>
      </c>
      <c r="H835" s="6">
        <v>-0.6875</v>
      </c>
      <c r="I835" s="6">
        <v>1.25</v>
      </c>
      <c r="J835" s="6">
        <v>-2</v>
      </c>
      <c r="K835" s="6">
        <v>-3.125</v>
      </c>
      <c r="L835" s="6">
        <v>-66.6875</v>
      </c>
      <c r="M835" s="6">
        <v>0.625</v>
      </c>
      <c r="N835" s="6">
        <v>-6.25E-2</v>
      </c>
      <c r="O835" s="6">
        <v>0</v>
      </c>
      <c r="P835" s="6">
        <v>-2.4375</v>
      </c>
      <c r="Q835" s="6">
        <v>1.5</v>
      </c>
      <c r="R835" s="6">
        <v>-1.76775503158569</v>
      </c>
      <c r="S835" s="6">
        <v>64.655509948730497</v>
      </c>
      <c r="T835" s="6">
        <v>0.34268689155578602</v>
      </c>
      <c r="U835" s="6">
        <v>0.94285094738006603</v>
      </c>
      <c r="V835" s="6">
        <v>-20.898422241210898</v>
      </c>
      <c r="W835" s="6">
        <v>-18.300563812255898</v>
      </c>
    </row>
    <row r="836" spans="1:23" ht="18.95" customHeight="1">
      <c r="A836" s="4">
        <v>832</v>
      </c>
      <c r="B836" s="4">
        <v>17873</v>
      </c>
      <c r="C836" s="4">
        <v>0</v>
      </c>
      <c r="D836" s="6">
        <v>0</v>
      </c>
      <c r="E836" s="6">
        <v>0</v>
      </c>
      <c r="F836" s="6">
        <v>-66.9375</v>
      </c>
      <c r="G836" s="6">
        <v>-0.75</v>
      </c>
      <c r="H836" s="6">
        <v>-0.3125</v>
      </c>
      <c r="I836" s="6">
        <v>1.1875</v>
      </c>
      <c r="J836" s="6">
        <v>-1.9375</v>
      </c>
      <c r="K836" s="6">
        <v>-1.875</v>
      </c>
      <c r="L836" s="6">
        <v>-62.6875</v>
      </c>
      <c r="M836" s="6">
        <v>0.625</v>
      </c>
      <c r="N836" s="6">
        <v>0</v>
      </c>
      <c r="O836" s="6">
        <v>0</v>
      </c>
      <c r="P836" s="6">
        <v>-2.4375</v>
      </c>
      <c r="Q836" s="6">
        <v>2.75</v>
      </c>
      <c r="R836" s="6">
        <v>-1.9967627525329601</v>
      </c>
      <c r="S836" s="6">
        <v>65.586814880371094</v>
      </c>
      <c r="T836" s="6">
        <v>-0.64967960119247403</v>
      </c>
      <c r="U836" s="6">
        <v>0.83243542909622203</v>
      </c>
      <c r="V836" s="6">
        <v>-19.423154830932599</v>
      </c>
      <c r="W836" s="6">
        <v>-18.3105373382568</v>
      </c>
    </row>
    <row r="837" spans="1:23" ht="18.95" customHeight="1">
      <c r="A837" s="4">
        <v>833</v>
      </c>
      <c r="B837" s="4">
        <v>17894</v>
      </c>
      <c r="C837" s="4">
        <v>1</v>
      </c>
      <c r="D837" s="6">
        <v>0</v>
      </c>
      <c r="E837" s="6">
        <v>0</v>
      </c>
      <c r="F837" s="6">
        <v>-66.5625</v>
      </c>
      <c r="G837" s="6">
        <v>-1.625</v>
      </c>
      <c r="H837" s="6">
        <v>-0.6875</v>
      </c>
      <c r="I837" s="6">
        <v>1.1875</v>
      </c>
      <c r="J837" s="6">
        <v>-1.9375</v>
      </c>
      <c r="K837" s="6">
        <v>-0.5625</v>
      </c>
      <c r="L837" s="6">
        <v>-58.375</v>
      </c>
      <c r="M837" s="6">
        <v>0.625</v>
      </c>
      <c r="N837" s="6">
        <v>-0.1875</v>
      </c>
      <c r="O837" s="6">
        <v>359.9375</v>
      </c>
      <c r="P837" s="6">
        <v>-2.4375</v>
      </c>
      <c r="Q837" s="6">
        <v>3.875</v>
      </c>
      <c r="R837" s="6">
        <v>-1.8135566711425799</v>
      </c>
      <c r="S837" s="6">
        <v>64.014289855957003</v>
      </c>
      <c r="T837" s="6">
        <v>2.2076129913330099E-2</v>
      </c>
      <c r="U837" s="6">
        <v>0.803846895694733</v>
      </c>
      <c r="V837" s="6">
        <v>-17.7601203918457</v>
      </c>
      <c r="W837" s="6">
        <v>-18.313148498535199</v>
      </c>
    </row>
    <row r="838" spans="1:23" ht="18.95" customHeight="1">
      <c r="A838" s="4">
        <v>834</v>
      </c>
      <c r="B838" s="4">
        <v>17914</v>
      </c>
      <c r="C838" s="4">
        <v>1</v>
      </c>
      <c r="D838" s="6">
        <v>0</v>
      </c>
      <c r="E838" s="6">
        <v>0</v>
      </c>
      <c r="F838" s="6">
        <v>-66.4375</v>
      </c>
      <c r="G838" s="6">
        <v>-1.3125</v>
      </c>
      <c r="H838" s="6">
        <v>-0.75</v>
      </c>
      <c r="I838" s="6">
        <v>1.1875</v>
      </c>
      <c r="J838" s="6">
        <v>-1.875</v>
      </c>
      <c r="K838" s="6">
        <v>0.6875</v>
      </c>
      <c r="L838" s="6">
        <v>-53.8125</v>
      </c>
      <c r="M838" s="6">
        <v>0.5</v>
      </c>
      <c r="N838" s="6">
        <v>-0.125</v>
      </c>
      <c r="O838" s="6">
        <v>359.9375</v>
      </c>
      <c r="P838" s="6">
        <v>-2.4375</v>
      </c>
      <c r="Q838" s="6">
        <v>4.9375</v>
      </c>
      <c r="R838" s="6">
        <v>-1.7219533920288099</v>
      </c>
      <c r="S838" s="6">
        <v>64.472305297851605</v>
      </c>
      <c r="T838" s="6">
        <v>0.55642724037170399</v>
      </c>
      <c r="U838" s="6">
        <v>0.57727491855621305</v>
      </c>
      <c r="V838" s="6">
        <v>-16.609531402587901</v>
      </c>
      <c r="W838" s="6">
        <v>-18.3185844421387</v>
      </c>
    </row>
    <row r="839" spans="1:23" ht="18.95" customHeight="1">
      <c r="A839" s="4">
        <v>835</v>
      </c>
      <c r="B839" s="4">
        <v>17935</v>
      </c>
      <c r="C839" s="4">
        <v>1</v>
      </c>
      <c r="D839" s="6">
        <v>0</v>
      </c>
      <c r="E839" s="6">
        <v>0</v>
      </c>
      <c r="F839" s="6">
        <v>-66</v>
      </c>
      <c r="G839" s="6">
        <v>-1.25</v>
      </c>
      <c r="H839" s="6">
        <v>-0.4375</v>
      </c>
      <c r="I839" s="6">
        <v>1.1875</v>
      </c>
      <c r="J839" s="6">
        <v>-1.875</v>
      </c>
      <c r="K839" s="6">
        <v>1.9375</v>
      </c>
      <c r="L839" s="6">
        <v>-48.3125</v>
      </c>
      <c r="M839" s="6">
        <v>0.25</v>
      </c>
      <c r="N839" s="6">
        <v>6.25E-2</v>
      </c>
      <c r="O839" s="6">
        <v>359.9375</v>
      </c>
      <c r="P839" s="6">
        <v>-2.4375</v>
      </c>
      <c r="Q839" s="6">
        <v>5.875</v>
      </c>
      <c r="R839" s="6">
        <v>-2.3021059036254901</v>
      </c>
      <c r="S839" s="6">
        <v>62.487571716308601</v>
      </c>
      <c r="T839" s="6">
        <v>-0.29853454232215898</v>
      </c>
      <c r="U839" s="6">
        <v>0.60596215724945102</v>
      </c>
      <c r="V839" s="6">
        <v>-15.0202388763428</v>
      </c>
      <c r="W839" s="6">
        <v>-18.327190399169901</v>
      </c>
    </row>
    <row r="840" spans="1:23" ht="18.95" customHeight="1">
      <c r="A840" s="4">
        <v>836</v>
      </c>
      <c r="B840" s="4">
        <v>17956</v>
      </c>
      <c r="C840" s="4">
        <v>1</v>
      </c>
      <c r="D840" s="6">
        <v>0</v>
      </c>
      <c r="E840" s="6">
        <v>0</v>
      </c>
      <c r="F840" s="6">
        <v>-65.1875</v>
      </c>
      <c r="G840" s="6">
        <v>-1.6875</v>
      </c>
      <c r="H840" s="6">
        <v>-1</v>
      </c>
      <c r="I840" s="6">
        <v>1.1875</v>
      </c>
      <c r="J840" s="6">
        <v>-1.8125</v>
      </c>
      <c r="K840" s="6">
        <v>3.8125</v>
      </c>
      <c r="L840" s="6">
        <v>-43.75</v>
      </c>
      <c r="M840" s="6">
        <v>0.5625</v>
      </c>
      <c r="N840" s="6">
        <v>-0.1875</v>
      </c>
      <c r="O840" s="6">
        <v>359.875</v>
      </c>
      <c r="P840" s="6">
        <v>-2.4375</v>
      </c>
      <c r="Q840" s="6">
        <v>6.75</v>
      </c>
      <c r="R840" s="6">
        <v>-1.41660976409912</v>
      </c>
      <c r="S840" s="6">
        <v>62.869255065917997</v>
      </c>
      <c r="T840" s="6">
        <v>0.70909905433654796</v>
      </c>
      <c r="U840" s="6">
        <v>0.33080863952636702</v>
      </c>
      <c r="V840" s="6">
        <v>-13.905460357666</v>
      </c>
      <c r="W840" s="6">
        <v>-18.334276199340799</v>
      </c>
    </row>
    <row r="841" spans="1:23" ht="18.95" customHeight="1">
      <c r="A841" s="4">
        <v>837</v>
      </c>
      <c r="B841" s="4">
        <v>17977</v>
      </c>
      <c r="C841" s="4">
        <v>1</v>
      </c>
      <c r="D841" s="6">
        <v>0</v>
      </c>
      <c r="E841" s="6">
        <v>0</v>
      </c>
      <c r="F841" s="6">
        <v>-64.375</v>
      </c>
      <c r="G841" s="6">
        <v>-1.5</v>
      </c>
      <c r="H841" s="6">
        <v>-0.8125</v>
      </c>
      <c r="I841" s="6">
        <v>1.1875</v>
      </c>
      <c r="J841" s="6">
        <v>-1.8125</v>
      </c>
      <c r="K841" s="6">
        <v>4.4375</v>
      </c>
      <c r="L841" s="6">
        <v>-37.9375</v>
      </c>
      <c r="M841" s="6">
        <v>0.125</v>
      </c>
      <c r="N841" s="6">
        <v>0</v>
      </c>
      <c r="O841" s="6">
        <v>359.875</v>
      </c>
      <c r="P841" s="6">
        <v>-2.4375</v>
      </c>
      <c r="Q841" s="6">
        <v>7.5625</v>
      </c>
      <c r="R841" s="6">
        <v>-2.4395108222961399</v>
      </c>
      <c r="S841" s="6">
        <v>60.747116088867202</v>
      </c>
      <c r="T841" s="6">
        <v>-0.497007817029953</v>
      </c>
      <c r="U841" s="6">
        <v>0.60266077518463101</v>
      </c>
      <c r="V841" s="6">
        <v>-12.144636154174799</v>
      </c>
      <c r="W841" s="6">
        <v>-18.337430953979499</v>
      </c>
    </row>
    <row r="842" spans="1:23" ht="18.95" customHeight="1">
      <c r="A842" s="4">
        <v>838</v>
      </c>
      <c r="B842" s="4">
        <v>17997</v>
      </c>
      <c r="C842" s="4">
        <v>1</v>
      </c>
      <c r="D842" s="6">
        <v>0</v>
      </c>
      <c r="E842" s="6">
        <v>0</v>
      </c>
      <c r="F842" s="6">
        <v>-64</v>
      </c>
      <c r="G842" s="6">
        <v>-1.125</v>
      </c>
      <c r="H842" s="6">
        <v>-0.9375</v>
      </c>
      <c r="I842" s="6">
        <v>1.125</v>
      </c>
      <c r="J842" s="6">
        <v>-1.75</v>
      </c>
      <c r="K842" s="6">
        <v>6.3125</v>
      </c>
      <c r="L842" s="6">
        <v>-33.4375</v>
      </c>
      <c r="M842" s="6">
        <v>0.5625</v>
      </c>
      <c r="N842" s="6">
        <v>-0.25</v>
      </c>
      <c r="O842" s="6">
        <v>359.875</v>
      </c>
      <c r="P842" s="6">
        <v>-2.4375</v>
      </c>
      <c r="Q842" s="6">
        <v>8.1875</v>
      </c>
      <c r="R842" s="6">
        <v>-2.5311136245727499</v>
      </c>
      <c r="S842" s="6">
        <v>59.846351623535199</v>
      </c>
      <c r="T842" s="6">
        <v>-0.57334369421005205</v>
      </c>
      <c r="U842" s="6">
        <v>0.44695037603378301</v>
      </c>
      <c r="V842" s="6">
        <v>-10.914986610412599</v>
      </c>
      <c r="W842" s="6">
        <v>-18.359472274780298</v>
      </c>
    </row>
    <row r="843" spans="1:23" ht="18.95" customHeight="1">
      <c r="A843" s="4">
        <v>839</v>
      </c>
      <c r="B843" s="4">
        <v>18017</v>
      </c>
      <c r="C843" s="4">
        <v>1</v>
      </c>
      <c r="D843" s="6">
        <v>0</v>
      </c>
      <c r="E843" s="6">
        <v>0</v>
      </c>
      <c r="F843" s="6">
        <v>-61.5625</v>
      </c>
      <c r="G843" s="6">
        <v>-2.25</v>
      </c>
      <c r="H843" s="6">
        <v>-1.3125</v>
      </c>
      <c r="I843" s="6">
        <v>1.125</v>
      </c>
      <c r="J843" s="6">
        <v>-1.75</v>
      </c>
      <c r="K843" s="6">
        <v>7.5</v>
      </c>
      <c r="L843" s="6">
        <v>-26.4375</v>
      </c>
      <c r="M843" s="6">
        <v>-0.1875</v>
      </c>
      <c r="N843" s="6">
        <v>0.125</v>
      </c>
      <c r="O843" s="6">
        <v>359.875</v>
      </c>
      <c r="P843" s="6">
        <v>-2.4375</v>
      </c>
      <c r="Q843" s="6">
        <v>9</v>
      </c>
      <c r="R843" s="6">
        <v>-1.0959992408752399</v>
      </c>
      <c r="S843" s="6">
        <v>56.121162414550803</v>
      </c>
      <c r="T843" s="6">
        <v>0.26635098457336398</v>
      </c>
      <c r="U843" s="6">
        <v>0.37041237950325001</v>
      </c>
      <c r="V843" s="6">
        <v>-9.4131488800048793</v>
      </c>
      <c r="W843" s="6">
        <v>-18.3537483215332</v>
      </c>
    </row>
    <row r="844" spans="1:23" ht="18.95" customHeight="1">
      <c r="A844" s="4">
        <v>840</v>
      </c>
      <c r="B844" s="4">
        <v>18038</v>
      </c>
      <c r="C844" s="4">
        <v>1</v>
      </c>
      <c r="D844" s="6">
        <v>0</v>
      </c>
      <c r="E844" s="6">
        <v>0</v>
      </c>
      <c r="F844" s="6">
        <v>-57.5625</v>
      </c>
      <c r="G844" s="6">
        <v>-1.0625</v>
      </c>
      <c r="H844" s="6">
        <v>-0.25</v>
      </c>
      <c r="I844" s="6">
        <v>1.125</v>
      </c>
      <c r="J844" s="6">
        <v>-1.75</v>
      </c>
      <c r="K844" s="6">
        <v>8.625</v>
      </c>
      <c r="L844" s="6">
        <v>-21.5625</v>
      </c>
      <c r="M844" s="6">
        <v>0.375</v>
      </c>
      <c r="N844" s="6">
        <v>-0.125</v>
      </c>
      <c r="O844" s="6">
        <v>359.875</v>
      </c>
      <c r="P844" s="6">
        <v>-2.4375</v>
      </c>
      <c r="Q844" s="6">
        <v>9.4375</v>
      </c>
      <c r="R844" s="6">
        <v>-2.5921826362609899</v>
      </c>
      <c r="S844" s="6">
        <v>54.395973205566399</v>
      </c>
      <c r="T844" s="6">
        <v>-1.2298321723937999</v>
      </c>
      <c r="U844" s="6">
        <v>0.50180685520172097</v>
      </c>
      <c r="V844" s="6">
        <v>-8.2485466003418004</v>
      </c>
      <c r="W844" s="6">
        <v>-18.363712310791001</v>
      </c>
    </row>
    <row r="845" spans="1:23" ht="18.95" customHeight="1">
      <c r="A845" s="4">
        <v>841</v>
      </c>
      <c r="B845" s="4">
        <v>18059</v>
      </c>
      <c r="C845" s="4">
        <v>1</v>
      </c>
      <c r="D845" s="6">
        <v>0</v>
      </c>
      <c r="E845" s="6">
        <v>0</v>
      </c>
      <c r="F845" s="6">
        <v>-55.8125</v>
      </c>
      <c r="G845" s="6">
        <v>-1.8125</v>
      </c>
      <c r="H845" s="6">
        <v>-1.6875</v>
      </c>
      <c r="I845" s="6">
        <v>1.125</v>
      </c>
      <c r="J845" s="6">
        <v>-1.6875</v>
      </c>
      <c r="K845" s="6">
        <v>9.75</v>
      </c>
      <c r="L845" s="6">
        <v>-14.6875</v>
      </c>
      <c r="M845" s="6">
        <v>-0.125</v>
      </c>
      <c r="N845" s="6">
        <v>0</v>
      </c>
      <c r="O845" s="6">
        <v>359.875</v>
      </c>
      <c r="P845" s="6">
        <v>-2.4375</v>
      </c>
      <c r="Q845" s="6">
        <v>9.625</v>
      </c>
      <c r="R845" s="6">
        <v>-1.64561748504639</v>
      </c>
      <c r="S845" s="6">
        <v>50.976119995117202</v>
      </c>
      <c r="T845" s="6">
        <v>-0.42067193984985402</v>
      </c>
      <c r="U845" s="6">
        <v>0.30308419466018699</v>
      </c>
      <c r="V845" s="6">
        <v>-6.94091796875</v>
      </c>
      <c r="W845" s="6">
        <v>-18.375049591064499</v>
      </c>
    </row>
    <row r="846" spans="1:23" ht="18.95" customHeight="1">
      <c r="A846" s="4">
        <v>842</v>
      </c>
      <c r="B846" s="4">
        <v>18081</v>
      </c>
      <c r="C846" s="4">
        <v>1</v>
      </c>
      <c r="D846" s="6">
        <v>0</v>
      </c>
      <c r="E846" s="6">
        <v>0</v>
      </c>
      <c r="F846" s="6">
        <v>-52.5</v>
      </c>
      <c r="G846" s="6">
        <v>-1.1875</v>
      </c>
      <c r="H846" s="6">
        <v>-0.625</v>
      </c>
      <c r="I846" s="6">
        <v>1.125</v>
      </c>
      <c r="J846" s="6">
        <v>-1.6875</v>
      </c>
      <c r="K846" s="6">
        <v>10.75</v>
      </c>
      <c r="L846" s="6">
        <v>-6.5625</v>
      </c>
      <c r="M846" s="6">
        <v>-0.125</v>
      </c>
      <c r="N846" s="6">
        <v>-6.25E-2</v>
      </c>
      <c r="O846" s="6">
        <v>359.8125</v>
      </c>
      <c r="P846" s="6">
        <v>-2.5</v>
      </c>
      <c r="Q846" s="6">
        <v>10.125</v>
      </c>
      <c r="R846" s="6">
        <v>-1.35554122924805</v>
      </c>
      <c r="S846" s="6">
        <v>48.5486450195312</v>
      </c>
      <c r="T846" s="6">
        <v>-0.100061237812042</v>
      </c>
      <c r="U846" s="6">
        <v>0.24321611225605</v>
      </c>
      <c r="V846" s="6">
        <v>-5.9425024986267099</v>
      </c>
      <c r="W846" s="6">
        <v>-18.375486373901399</v>
      </c>
    </row>
    <row r="847" spans="1:23" ht="18.95" customHeight="1">
      <c r="A847" s="4">
        <v>843</v>
      </c>
      <c r="B847" s="4">
        <v>18103</v>
      </c>
      <c r="C847" s="4">
        <v>1</v>
      </c>
      <c r="D847" s="6">
        <v>0</v>
      </c>
      <c r="E847" s="6">
        <v>0</v>
      </c>
      <c r="F847" s="6">
        <v>-50.1875</v>
      </c>
      <c r="G847" s="6">
        <v>-0.8125</v>
      </c>
      <c r="H847" s="6">
        <v>-0.6875</v>
      </c>
      <c r="I847" s="6">
        <v>1.125</v>
      </c>
      <c r="J847" s="6">
        <v>-1.625</v>
      </c>
      <c r="K847" s="6">
        <v>12.0625</v>
      </c>
      <c r="L847" s="6">
        <v>-1.5625</v>
      </c>
      <c r="M847" s="6">
        <v>0</v>
      </c>
      <c r="N847" s="6">
        <v>0.125</v>
      </c>
      <c r="O847" s="6">
        <v>359.8125</v>
      </c>
      <c r="P847" s="6">
        <v>-2.5</v>
      </c>
      <c r="Q847" s="6">
        <v>10.25</v>
      </c>
      <c r="R847" s="6">
        <v>-1.889892578125</v>
      </c>
      <c r="S847" s="6">
        <v>45.434135437011697</v>
      </c>
      <c r="T847" s="6">
        <v>-1.42830550670624</v>
      </c>
      <c r="U847" s="6">
        <v>0.42074245214462302</v>
      </c>
      <c r="V847" s="6">
        <v>-5.0344648361206099</v>
      </c>
      <c r="W847" s="6">
        <v>-18.3880825042725</v>
      </c>
    </row>
    <row r="848" spans="1:23" ht="18.95" customHeight="1">
      <c r="A848" s="4">
        <v>844</v>
      </c>
      <c r="B848" s="4">
        <v>18125</v>
      </c>
      <c r="C848" s="4">
        <v>1</v>
      </c>
      <c r="D848" s="6">
        <v>0</v>
      </c>
      <c r="E848" s="6">
        <v>0</v>
      </c>
      <c r="F848" s="6">
        <v>-47.3125</v>
      </c>
      <c r="G848" s="6">
        <v>-1.25</v>
      </c>
      <c r="H848" s="6">
        <v>-1.5</v>
      </c>
      <c r="I848" s="6">
        <v>1.125</v>
      </c>
      <c r="J848" s="6">
        <v>-1.625</v>
      </c>
      <c r="K848" s="6">
        <v>13.1875</v>
      </c>
      <c r="L848" s="6">
        <v>2.5</v>
      </c>
      <c r="M848" s="6">
        <v>0.3125</v>
      </c>
      <c r="N848" s="6">
        <v>-0.5</v>
      </c>
      <c r="O848" s="6">
        <v>359.8125</v>
      </c>
      <c r="P848" s="6">
        <v>-2.5625</v>
      </c>
      <c r="Q848" s="6">
        <v>10.3125</v>
      </c>
      <c r="R848" s="6">
        <v>-2.66851854324341</v>
      </c>
      <c r="S848" s="6">
        <v>43.876884460449197</v>
      </c>
      <c r="T848" s="6">
        <v>-0.97029030323028598</v>
      </c>
      <c r="U848" s="6">
        <v>0.40514251589775102</v>
      </c>
      <c r="V848" s="6">
        <v>-3.9342617988586399</v>
      </c>
      <c r="W848" s="6">
        <v>-18.397819519043001</v>
      </c>
    </row>
    <row r="849" spans="1:23" ht="18.95" customHeight="1">
      <c r="A849" s="4">
        <v>845</v>
      </c>
      <c r="B849" s="4">
        <v>18147</v>
      </c>
      <c r="C849" s="4">
        <v>1</v>
      </c>
      <c r="D849" s="6">
        <v>0</v>
      </c>
      <c r="E849" s="6">
        <v>0</v>
      </c>
      <c r="F849" s="6">
        <v>-45.4375</v>
      </c>
      <c r="G849" s="6">
        <v>-1.8125</v>
      </c>
      <c r="H849" s="6">
        <v>-0.75</v>
      </c>
      <c r="I849" s="6">
        <v>1.125</v>
      </c>
      <c r="J849" s="6">
        <v>-1.625</v>
      </c>
      <c r="K849" s="6">
        <v>14.0625</v>
      </c>
      <c r="L849" s="6">
        <v>8.0625</v>
      </c>
      <c r="M849" s="6">
        <v>-0.4375</v>
      </c>
      <c r="N849" s="6">
        <v>-0.5</v>
      </c>
      <c r="O849" s="6">
        <v>359.875</v>
      </c>
      <c r="P849" s="6">
        <v>-2.5625</v>
      </c>
      <c r="Q849" s="6">
        <v>10.25</v>
      </c>
      <c r="R849" s="6">
        <v>-1.2792053222656199</v>
      </c>
      <c r="S849" s="6">
        <v>41.159332275390597</v>
      </c>
      <c r="T849" s="6">
        <v>-8.4794104099273696E-2</v>
      </c>
      <c r="U849" s="6">
        <v>0.14639401435852101</v>
      </c>
      <c r="V849" s="6">
        <v>-3.25941133499146</v>
      </c>
      <c r="W849" s="6">
        <v>-18.416316986083999</v>
      </c>
    </row>
    <row r="850" spans="1:23" ht="18.95" customHeight="1">
      <c r="A850" s="4">
        <v>846</v>
      </c>
      <c r="B850" s="4">
        <v>18167</v>
      </c>
      <c r="C850" s="4">
        <v>1</v>
      </c>
      <c r="D850" s="6">
        <v>0</v>
      </c>
      <c r="E850" s="6">
        <v>0</v>
      </c>
      <c r="F850" s="6">
        <v>-43.25</v>
      </c>
      <c r="G850" s="6">
        <v>-1.5</v>
      </c>
      <c r="H850" s="6">
        <v>-1.125</v>
      </c>
      <c r="I850" s="6">
        <v>1.125</v>
      </c>
      <c r="J850" s="6">
        <v>-1.5625</v>
      </c>
      <c r="K850" s="6">
        <v>15.3125</v>
      </c>
      <c r="L850" s="6">
        <v>12.125</v>
      </c>
      <c r="M850" s="6">
        <v>-0.1875</v>
      </c>
      <c r="N850" s="6">
        <v>-0.25</v>
      </c>
      <c r="O850" s="6">
        <v>359.875</v>
      </c>
      <c r="P850" s="6">
        <v>-2.5625</v>
      </c>
      <c r="Q850" s="6">
        <v>10</v>
      </c>
      <c r="R850" s="6">
        <v>-0.98912906646728505</v>
      </c>
      <c r="S850" s="6">
        <v>39.098258972167997</v>
      </c>
      <c r="T850" s="6">
        <v>-0.176397144794464</v>
      </c>
      <c r="U850" s="6">
        <v>7.5845643877983093E-2</v>
      </c>
      <c r="V850" s="6">
        <v>-2.5597939491271999</v>
      </c>
      <c r="W850" s="6">
        <v>-18.4162406921387</v>
      </c>
    </row>
    <row r="851" spans="1:23" ht="18.95" customHeight="1">
      <c r="A851" s="4">
        <v>847</v>
      </c>
      <c r="B851" s="4">
        <v>18189</v>
      </c>
      <c r="C851" s="4">
        <v>1</v>
      </c>
      <c r="D851" s="6">
        <v>0</v>
      </c>
      <c r="E851" s="6">
        <v>0</v>
      </c>
      <c r="F851" s="6">
        <v>-41.4375</v>
      </c>
      <c r="G851" s="6">
        <v>-0.3125</v>
      </c>
      <c r="H851" s="6">
        <v>-0.5</v>
      </c>
      <c r="I851" s="6">
        <v>1.125</v>
      </c>
      <c r="J851" s="6">
        <v>-1.5625</v>
      </c>
      <c r="K851" s="6">
        <v>16.125</v>
      </c>
      <c r="L851" s="6">
        <v>16.5625</v>
      </c>
      <c r="M851" s="6">
        <v>-0.25</v>
      </c>
      <c r="N851" s="6">
        <v>-6.25E-2</v>
      </c>
      <c r="O851" s="6">
        <v>359.875</v>
      </c>
      <c r="P851" s="6">
        <v>-2.5625</v>
      </c>
      <c r="Q851" s="6">
        <v>9.6875</v>
      </c>
      <c r="R851" s="6">
        <v>-1.9051594734191899</v>
      </c>
      <c r="S851" s="6">
        <v>35.861618041992202</v>
      </c>
      <c r="T851" s="6">
        <v>-0.40540477633476302</v>
      </c>
      <c r="U851" s="6">
        <v>0.19319522380828899</v>
      </c>
      <c r="V851" s="6">
        <v>-1.99209308624268</v>
      </c>
      <c r="W851" s="6">
        <v>-18.431190490722699</v>
      </c>
    </row>
    <row r="852" spans="1:23" ht="18.95" customHeight="1">
      <c r="A852" s="4">
        <v>848</v>
      </c>
      <c r="B852" s="4">
        <v>18218</v>
      </c>
      <c r="C852" s="4">
        <v>1</v>
      </c>
      <c r="D852" s="6">
        <v>0</v>
      </c>
      <c r="E852" s="6">
        <v>0</v>
      </c>
      <c r="F852" s="6">
        <v>-36.875</v>
      </c>
      <c r="G852" s="6">
        <v>-1.4375</v>
      </c>
      <c r="H852" s="6">
        <v>-1.1875</v>
      </c>
      <c r="I852" s="6">
        <v>1.125</v>
      </c>
      <c r="J852" s="6">
        <v>-1.5</v>
      </c>
      <c r="K852" s="6">
        <v>16.9375</v>
      </c>
      <c r="L852" s="6">
        <v>21.5</v>
      </c>
      <c r="M852" s="6">
        <v>-0.5</v>
      </c>
      <c r="N852" s="6">
        <v>-6.25E-2</v>
      </c>
      <c r="O852" s="6">
        <v>359.875</v>
      </c>
      <c r="P852" s="6">
        <v>-2.5625</v>
      </c>
      <c r="Q852" s="6">
        <v>9</v>
      </c>
      <c r="R852" s="6">
        <v>-1.23340392112732</v>
      </c>
      <c r="S852" s="6">
        <v>33.021926879882798</v>
      </c>
      <c r="T852" s="6">
        <v>0.40375554561615001</v>
      </c>
      <c r="U852" s="6">
        <v>0.16035270690917999</v>
      </c>
      <c r="V852" s="6">
        <v>-1.0685846805572501</v>
      </c>
      <c r="W852" s="6">
        <v>-18.419481277465799</v>
      </c>
    </row>
    <row r="853" spans="1:23" ht="18.95" customHeight="1">
      <c r="A853" s="4">
        <v>849</v>
      </c>
      <c r="B853" s="4">
        <v>18239</v>
      </c>
      <c r="C853" s="4">
        <v>1</v>
      </c>
      <c r="D853" s="6">
        <v>0</v>
      </c>
      <c r="E853" s="6">
        <v>0</v>
      </c>
      <c r="F853" s="6">
        <v>-35.4375</v>
      </c>
      <c r="G853" s="6">
        <v>-0.6875</v>
      </c>
      <c r="H853" s="6">
        <v>-0.4375</v>
      </c>
      <c r="I853" s="6">
        <v>1.125</v>
      </c>
      <c r="J853" s="6">
        <v>-1.5</v>
      </c>
      <c r="K853" s="6">
        <v>18.125</v>
      </c>
      <c r="L853" s="6">
        <v>25.3125</v>
      </c>
      <c r="M853" s="6">
        <v>-0.125</v>
      </c>
      <c r="N853" s="6">
        <v>-0.1875</v>
      </c>
      <c r="O853" s="6">
        <v>359.875</v>
      </c>
      <c r="P853" s="6">
        <v>-2.5625</v>
      </c>
      <c r="Q853" s="6">
        <v>8.5625</v>
      </c>
      <c r="R853" s="6">
        <v>-1.1876022815704299</v>
      </c>
      <c r="S853" s="6">
        <v>31.1440620422363</v>
      </c>
      <c r="T853" s="6">
        <v>-0.80235135555267301</v>
      </c>
      <c r="U853" s="6">
        <v>0.24482250213623</v>
      </c>
      <c r="V853" s="6">
        <v>-0.68481487035751298</v>
      </c>
      <c r="W853" s="6">
        <v>-18.416954040527301</v>
      </c>
    </row>
    <row r="854" spans="1:23" ht="18.95" customHeight="1">
      <c r="A854" s="4">
        <v>850</v>
      </c>
      <c r="B854" s="4">
        <v>18260</v>
      </c>
      <c r="C854" s="4">
        <v>1</v>
      </c>
      <c r="D854" s="6">
        <v>0</v>
      </c>
      <c r="E854" s="6">
        <v>0</v>
      </c>
      <c r="F854" s="6">
        <v>-33.1875</v>
      </c>
      <c r="G854" s="6">
        <v>-0.625</v>
      </c>
      <c r="H854" s="6">
        <v>-0.3125</v>
      </c>
      <c r="I854" s="6">
        <v>1.125</v>
      </c>
      <c r="J854" s="6">
        <v>-1.4375</v>
      </c>
      <c r="K854" s="6">
        <v>18.9375</v>
      </c>
      <c r="L854" s="6">
        <v>27.875</v>
      </c>
      <c r="M854" s="6">
        <v>-0.3125</v>
      </c>
      <c r="N854" s="6">
        <v>6.25E-2</v>
      </c>
      <c r="O854" s="6">
        <v>359.875</v>
      </c>
      <c r="P854" s="6">
        <v>-2.5625</v>
      </c>
      <c r="Q854" s="6">
        <v>8</v>
      </c>
      <c r="R854" s="6">
        <v>-1.3097395896911601</v>
      </c>
      <c r="S854" s="6">
        <v>29.357801437377901</v>
      </c>
      <c r="T854" s="6">
        <v>-0.52754217386245705</v>
      </c>
      <c r="U854" s="6">
        <v>0.24670788645744299</v>
      </c>
      <c r="V854" s="6">
        <v>-0.189595326781273</v>
      </c>
      <c r="W854" s="6">
        <v>-18.425193786621101</v>
      </c>
    </row>
    <row r="855" spans="1:23" ht="18.95" customHeight="1">
      <c r="A855" s="4">
        <v>851</v>
      </c>
      <c r="B855" s="4">
        <v>18282</v>
      </c>
      <c r="C855" s="4">
        <v>1</v>
      </c>
      <c r="D855" s="6">
        <v>0</v>
      </c>
      <c r="E855" s="6">
        <v>0</v>
      </c>
      <c r="F855" s="6">
        <v>-30.6875</v>
      </c>
      <c r="G855" s="6">
        <v>-1.0625</v>
      </c>
      <c r="H855" s="6">
        <v>-1</v>
      </c>
      <c r="I855" s="6">
        <v>1.125</v>
      </c>
      <c r="J855" s="6">
        <v>-1.4375</v>
      </c>
      <c r="K855" s="6">
        <v>19.5</v>
      </c>
      <c r="L855" s="6">
        <v>33.3125</v>
      </c>
      <c r="M855" s="6">
        <v>-0.5</v>
      </c>
      <c r="N855" s="6">
        <v>0.25</v>
      </c>
      <c r="O855" s="6">
        <v>359.9375</v>
      </c>
      <c r="P855" s="6">
        <v>-2.5625</v>
      </c>
      <c r="Q855" s="6">
        <v>7.375</v>
      </c>
      <c r="R855" s="6">
        <v>-0.79065585136413596</v>
      </c>
      <c r="S855" s="6">
        <v>27.250932693481399</v>
      </c>
      <c r="T855" s="6">
        <v>-8.4581971168518101E-3</v>
      </c>
      <c r="U855" s="6">
        <v>0.14763319492340099</v>
      </c>
      <c r="V855" s="6">
        <v>4.5229159295558902E-2</v>
      </c>
      <c r="W855" s="6">
        <v>-18.432237625122099</v>
      </c>
    </row>
    <row r="856" spans="1:23" ht="18.95" customHeight="1">
      <c r="A856" s="4">
        <v>852</v>
      </c>
      <c r="B856" s="4">
        <v>18304</v>
      </c>
      <c r="C856" s="4">
        <v>1</v>
      </c>
      <c r="D856" s="6">
        <v>0</v>
      </c>
      <c r="E856" s="6">
        <v>0</v>
      </c>
      <c r="F856" s="6">
        <v>-29</v>
      </c>
      <c r="G856" s="6">
        <v>-0.375</v>
      </c>
      <c r="H856" s="6">
        <v>-0.4375</v>
      </c>
      <c r="I856" s="6">
        <v>1.125</v>
      </c>
      <c r="J856" s="6">
        <v>-1.4375</v>
      </c>
      <c r="K856" s="6">
        <v>20.125</v>
      </c>
      <c r="L856" s="6">
        <v>35.125</v>
      </c>
      <c r="M856" s="6">
        <v>-0.25</v>
      </c>
      <c r="N856" s="6">
        <v>-0.1875</v>
      </c>
      <c r="O856" s="6">
        <v>359.9375</v>
      </c>
      <c r="P856" s="6">
        <v>-2.5625</v>
      </c>
      <c r="Q856" s="6">
        <v>6.75</v>
      </c>
      <c r="R856" s="6">
        <v>-0.607449531555176</v>
      </c>
      <c r="S856" s="6">
        <v>26.380702972412099</v>
      </c>
      <c r="T856" s="6">
        <v>-0.26800018548965499</v>
      </c>
      <c r="U856" s="6">
        <v>0.23062030971050301</v>
      </c>
      <c r="V856" s="6">
        <v>0.61292314529418901</v>
      </c>
      <c r="W856" s="6">
        <v>-18.4295978546143</v>
      </c>
    </row>
    <row r="857" spans="1:23" ht="18.95" customHeight="1">
      <c r="A857" s="4">
        <v>853</v>
      </c>
      <c r="B857" s="4">
        <v>18326</v>
      </c>
      <c r="C857" s="4">
        <v>1</v>
      </c>
      <c r="D857" s="6">
        <v>0</v>
      </c>
      <c r="E857" s="6">
        <v>0</v>
      </c>
      <c r="F857" s="6">
        <v>-28.3125</v>
      </c>
      <c r="G857" s="6">
        <v>-0.5625</v>
      </c>
      <c r="H857" s="6">
        <v>-0.375</v>
      </c>
      <c r="I857" s="6">
        <v>1.125</v>
      </c>
      <c r="J857" s="6">
        <v>-1.4375</v>
      </c>
      <c r="K857" s="6">
        <v>20.8125</v>
      </c>
      <c r="L857" s="6">
        <v>39.375</v>
      </c>
      <c r="M857" s="6">
        <v>-0.375</v>
      </c>
      <c r="N857" s="6">
        <v>-0.125</v>
      </c>
      <c r="O857" s="6">
        <v>359.9375</v>
      </c>
      <c r="P857" s="6">
        <v>-2.5625</v>
      </c>
      <c r="Q857" s="6">
        <v>6</v>
      </c>
      <c r="R857" s="6">
        <v>-0.79065585136413596</v>
      </c>
      <c r="S857" s="6">
        <v>24.838718414306602</v>
      </c>
      <c r="T857" s="6">
        <v>6.80899620056152E-3</v>
      </c>
      <c r="U857" s="6">
        <v>0.13405878841877</v>
      </c>
      <c r="V857" s="6">
        <v>0.74156004190444902</v>
      </c>
      <c r="W857" s="6">
        <v>-18.436944961547901</v>
      </c>
    </row>
    <row r="858" spans="1:23" ht="18.95" customHeight="1">
      <c r="A858" s="4">
        <v>854</v>
      </c>
      <c r="B858" s="4">
        <v>18347</v>
      </c>
      <c r="C858" s="4">
        <v>1</v>
      </c>
      <c r="D858" s="6">
        <v>0</v>
      </c>
      <c r="E858" s="6">
        <v>0</v>
      </c>
      <c r="F858" s="6">
        <v>-26.125</v>
      </c>
      <c r="G858" s="6">
        <v>-0.8125</v>
      </c>
      <c r="H858" s="6">
        <v>-0.6875</v>
      </c>
      <c r="I858" s="6">
        <v>1.125</v>
      </c>
      <c r="J858" s="6">
        <v>-1.4375</v>
      </c>
      <c r="K858" s="6">
        <v>21.3125</v>
      </c>
      <c r="L858" s="6">
        <v>41.375</v>
      </c>
      <c r="M858" s="6">
        <v>-0.4375</v>
      </c>
      <c r="N858" s="6">
        <v>-0.1875</v>
      </c>
      <c r="O858" s="6">
        <v>359.9375</v>
      </c>
      <c r="P858" s="6">
        <v>-2.625</v>
      </c>
      <c r="Q858" s="6">
        <v>5.1875</v>
      </c>
      <c r="R858" s="6">
        <v>-0.24103736877441401</v>
      </c>
      <c r="S858" s="6">
        <v>23.602077484130898</v>
      </c>
      <c r="T858" s="6">
        <v>0.35795402526855502</v>
      </c>
      <c r="U858" s="6">
        <v>0.13903763890266399</v>
      </c>
      <c r="V858" s="6">
        <v>1.1239923238754299</v>
      </c>
      <c r="W858" s="6">
        <v>-18.432907104492202</v>
      </c>
    </row>
    <row r="859" spans="1:23" ht="18.95" customHeight="1">
      <c r="A859" s="4">
        <v>855</v>
      </c>
      <c r="B859" s="4">
        <v>18367</v>
      </c>
      <c r="C859" s="4">
        <v>1</v>
      </c>
      <c r="D859" s="6">
        <v>0</v>
      </c>
      <c r="E859" s="6">
        <v>0</v>
      </c>
      <c r="F859" s="6">
        <v>-25.25</v>
      </c>
      <c r="G859" s="6">
        <v>-0.1875</v>
      </c>
      <c r="H859" s="6">
        <v>-0.5</v>
      </c>
      <c r="I859" s="6">
        <v>1.125</v>
      </c>
      <c r="J859" s="6">
        <v>-1.4375</v>
      </c>
      <c r="K859" s="6">
        <v>21.875</v>
      </c>
      <c r="L859" s="6">
        <v>44.375</v>
      </c>
      <c r="M859" s="6">
        <v>-0.375</v>
      </c>
      <c r="N859" s="6">
        <v>0.1875</v>
      </c>
      <c r="O859" s="6">
        <v>0</v>
      </c>
      <c r="P859" s="6">
        <v>-2.5625</v>
      </c>
      <c r="Q859" s="6">
        <v>3.9375</v>
      </c>
      <c r="R859" s="6">
        <v>-0.77538847923278797</v>
      </c>
      <c r="S859" s="6">
        <v>22.1669616699219</v>
      </c>
      <c r="T859" s="6">
        <v>-0.206931471824646</v>
      </c>
      <c r="U859" s="6">
        <v>0.14636392891406999</v>
      </c>
      <c r="V859" s="6">
        <v>1.1546288728714</v>
      </c>
      <c r="W859" s="6">
        <v>-18.432703018188501</v>
      </c>
    </row>
    <row r="860" spans="1:23" ht="18.95" customHeight="1">
      <c r="A860" s="4">
        <v>856</v>
      </c>
      <c r="B860" s="4">
        <v>18390</v>
      </c>
      <c r="C860" s="4">
        <v>1</v>
      </c>
      <c r="D860" s="6">
        <v>0</v>
      </c>
      <c r="E860" s="6">
        <v>0</v>
      </c>
      <c r="F860" s="6">
        <v>-23.125</v>
      </c>
      <c r="G860" s="6">
        <v>-0.375</v>
      </c>
      <c r="H860" s="6">
        <v>-0.3125</v>
      </c>
      <c r="I860" s="6">
        <v>1.125</v>
      </c>
      <c r="J860" s="6">
        <v>-1.4375</v>
      </c>
      <c r="K860" s="6">
        <v>22.375</v>
      </c>
      <c r="L860" s="6">
        <v>45.625</v>
      </c>
      <c r="M860" s="6">
        <v>-0.5</v>
      </c>
      <c r="N860" s="6">
        <v>-6.25E-2</v>
      </c>
      <c r="O860" s="6">
        <v>0</v>
      </c>
      <c r="P860" s="6">
        <v>-2.5625</v>
      </c>
      <c r="Q860" s="6">
        <v>3.0625</v>
      </c>
      <c r="R860" s="6">
        <v>-1.0959992408752399</v>
      </c>
      <c r="S860" s="6">
        <v>20.976121902465799</v>
      </c>
      <c r="T860" s="6">
        <v>-0.497007817029953</v>
      </c>
      <c r="U860" s="6">
        <v>0.13439147174358401</v>
      </c>
      <c r="V860" s="6">
        <v>1.6730146408081099</v>
      </c>
      <c r="W860" s="6">
        <v>-18.4374084472656</v>
      </c>
    </row>
    <row r="861" spans="1:23" ht="18.95" customHeight="1">
      <c r="A861" s="4">
        <v>857</v>
      </c>
      <c r="B861" s="4">
        <v>18412</v>
      </c>
      <c r="C861" s="4">
        <v>1</v>
      </c>
      <c r="D861" s="6">
        <v>0</v>
      </c>
      <c r="E861" s="6">
        <v>0</v>
      </c>
      <c r="F861" s="6">
        <v>-21.6875</v>
      </c>
      <c r="G861" s="6">
        <v>-0.75</v>
      </c>
      <c r="H861" s="6">
        <v>-0.8125</v>
      </c>
      <c r="I861" s="6">
        <v>1.125</v>
      </c>
      <c r="J861" s="6">
        <v>-1.375</v>
      </c>
      <c r="K861" s="6">
        <v>23.0625</v>
      </c>
      <c r="L861" s="6">
        <v>49.8125</v>
      </c>
      <c r="M861" s="6">
        <v>-0.625</v>
      </c>
      <c r="N861" s="6">
        <v>0</v>
      </c>
      <c r="O861" s="6">
        <v>6.25E-2</v>
      </c>
      <c r="P861" s="6">
        <v>-2.5625</v>
      </c>
      <c r="Q861" s="6">
        <v>2.0625</v>
      </c>
      <c r="R861" s="6">
        <v>-0.40897631645202598</v>
      </c>
      <c r="S861" s="6">
        <v>19.617343902587901</v>
      </c>
      <c r="T861" s="6">
        <v>0.29688531160354598</v>
      </c>
      <c r="U861" s="6">
        <v>3.4125573933124501E-2</v>
      </c>
      <c r="V861" s="6">
        <v>1.6197428703308101</v>
      </c>
      <c r="W861" s="6">
        <v>-18.437526702880898</v>
      </c>
    </row>
    <row r="862" spans="1:23" ht="18.95" customHeight="1">
      <c r="A862" s="4">
        <v>858</v>
      </c>
      <c r="B862" s="4">
        <v>18432</v>
      </c>
      <c r="C862" s="4">
        <v>1</v>
      </c>
      <c r="D862" s="6">
        <v>0</v>
      </c>
      <c r="E862" s="6">
        <v>0</v>
      </c>
      <c r="F862" s="6">
        <v>-20.875</v>
      </c>
      <c r="G862" s="6">
        <v>-0.5625</v>
      </c>
      <c r="H862" s="6">
        <v>-0.5625</v>
      </c>
      <c r="I862" s="6">
        <v>1.125</v>
      </c>
      <c r="J862" s="6">
        <v>-1.375</v>
      </c>
      <c r="K862" s="6">
        <v>23.4375</v>
      </c>
      <c r="L862" s="6">
        <v>50.9375</v>
      </c>
      <c r="M862" s="6">
        <v>-0.4375</v>
      </c>
      <c r="N862" s="6">
        <v>-6.25E-2</v>
      </c>
      <c r="O862" s="6">
        <v>6.25E-2</v>
      </c>
      <c r="P862" s="6">
        <v>-2.5625</v>
      </c>
      <c r="Q862" s="6">
        <v>1.125</v>
      </c>
      <c r="R862" s="6">
        <v>-0.72958707809448198</v>
      </c>
      <c r="S862" s="6">
        <v>19.189863204956101</v>
      </c>
      <c r="T862" s="6">
        <v>-0.161129951477051</v>
      </c>
      <c r="U862" s="6">
        <v>0.166313096880913</v>
      </c>
      <c r="V862" s="6">
        <v>2.0162770748138401</v>
      </c>
      <c r="W862" s="6">
        <v>-18.431825637817401</v>
      </c>
    </row>
    <row r="863" spans="1:23" ht="18.95" customHeight="1">
      <c r="A863" s="4">
        <v>859</v>
      </c>
      <c r="B863" s="4">
        <v>18453</v>
      </c>
      <c r="C863" s="4">
        <v>1</v>
      </c>
      <c r="D863" s="6">
        <v>0</v>
      </c>
      <c r="E863" s="6">
        <v>0</v>
      </c>
      <c r="F863" s="6">
        <v>-19.4375</v>
      </c>
      <c r="G863" s="6">
        <v>-0.375</v>
      </c>
      <c r="H863" s="6">
        <v>-0.75</v>
      </c>
      <c r="I863" s="6">
        <v>1.125</v>
      </c>
      <c r="J863" s="6">
        <v>-1.375</v>
      </c>
      <c r="K863" s="6">
        <v>23.875</v>
      </c>
      <c r="L863" s="6">
        <v>54.1875</v>
      </c>
      <c r="M863" s="6">
        <v>-0.4375</v>
      </c>
      <c r="N863" s="6">
        <v>0.125</v>
      </c>
      <c r="O863" s="6">
        <v>6.25E-2</v>
      </c>
      <c r="P863" s="6">
        <v>-2.5625</v>
      </c>
      <c r="Q863" s="6">
        <v>6.25E-2</v>
      </c>
      <c r="R863" s="6">
        <v>-1.1570680141448999</v>
      </c>
      <c r="S863" s="6">
        <v>17.464672088623001</v>
      </c>
      <c r="T863" s="6">
        <v>-0.45120629668235801</v>
      </c>
      <c r="U863" s="6">
        <v>0.131440505385399</v>
      </c>
      <c r="V863" s="6">
        <v>1.81603395938873</v>
      </c>
      <c r="W863" s="6">
        <v>-18.443071365356399</v>
      </c>
    </row>
    <row r="864" spans="1:23" ht="18.95" customHeight="1">
      <c r="A864" s="4">
        <v>860</v>
      </c>
      <c r="B864" s="4">
        <v>18473</v>
      </c>
      <c r="C864" s="4">
        <v>1</v>
      </c>
      <c r="D864" s="6">
        <v>0</v>
      </c>
      <c r="E864" s="6">
        <v>0</v>
      </c>
      <c r="F864" s="6">
        <v>-17.8125</v>
      </c>
      <c r="G864" s="6">
        <v>-0.9375</v>
      </c>
      <c r="H864" s="6">
        <v>-0.9375</v>
      </c>
      <c r="I864" s="6">
        <v>1.125</v>
      </c>
      <c r="J864" s="6">
        <v>-1.375</v>
      </c>
      <c r="K864" s="6">
        <v>24.1875</v>
      </c>
      <c r="L864" s="6">
        <v>55.1875</v>
      </c>
      <c r="M864" s="6">
        <v>-0.6875</v>
      </c>
      <c r="N864" s="6">
        <v>0</v>
      </c>
      <c r="O864" s="6">
        <v>0.125</v>
      </c>
      <c r="P864" s="6">
        <v>-2.5625</v>
      </c>
      <c r="Q864" s="6">
        <v>-0.9375</v>
      </c>
      <c r="R864" s="6">
        <v>-0.27157187461853</v>
      </c>
      <c r="S864" s="6">
        <v>17.357801437377901</v>
      </c>
      <c r="T864" s="6">
        <v>-0.14586275815963701</v>
      </c>
      <c r="U864" s="6">
        <v>5.8434531092643705E-4</v>
      </c>
      <c r="V864" s="6">
        <v>2.0567390918731698</v>
      </c>
      <c r="W864" s="6">
        <v>-18.446310043335</v>
      </c>
    </row>
    <row r="865" spans="1:23" ht="18.95" customHeight="1">
      <c r="A865" s="4">
        <v>861</v>
      </c>
      <c r="B865" s="4">
        <v>18494</v>
      </c>
      <c r="C865" s="4">
        <v>1</v>
      </c>
      <c r="D865" s="6">
        <v>0</v>
      </c>
      <c r="E865" s="6">
        <v>0</v>
      </c>
      <c r="F865" s="6">
        <v>-16.875</v>
      </c>
      <c r="G865" s="6">
        <v>-0.1875</v>
      </c>
      <c r="H865" s="6">
        <v>-0.5</v>
      </c>
      <c r="I865" s="6">
        <v>1.125</v>
      </c>
      <c r="J865" s="6">
        <v>-1.375</v>
      </c>
      <c r="K865" s="6">
        <v>24.625</v>
      </c>
      <c r="L865" s="6">
        <v>57</v>
      </c>
      <c r="M865" s="6">
        <v>-0.625</v>
      </c>
      <c r="N865" s="6">
        <v>0.125</v>
      </c>
      <c r="O865" s="6">
        <v>0.125</v>
      </c>
      <c r="P865" s="6">
        <v>-2.5625</v>
      </c>
      <c r="Q865" s="6">
        <v>-2</v>
      </c>
      <c r="R865" s="6">
        <v>-1.2486710548400899</v>
      </c>
      <c r="S865" s="6">
        <v>15.2203979492188</v>
      </c>
      <c r="T865" s="6">
        <v>-0.497007817029953</v>
      </c>
      <c r="U865" s="6">
        <v>0.138983219861984</v>
      </c>
      <c r="V865" s="6">
        <v>2.0166819095611599</v>
      </c>
      <c r="W865" s="6">
        <v>-18.450624465942401</v>
      </c>
    </row>
    <row r="866" spans="1:23" ht="18.95" customHeight="1">
      <c r="A866" s="4">
        <v>862</v>
      </c>
      <c r="B866" s="4">
        <v>18516</v>
      </c>
      <c r="C866" s="4">
        <v>1</v>
      </c>
      <c r="D866" s="6">
        <v>0</v>
      </c>
      <c r="E866" s="6">
        <v>0</v>
      </c>
      <c r="F866" s="6">
        <v>-15.6875</v>
      </c>
      <c r="G866" s="6">
        <v>-0.8125</v>
      </c>
      <c r="H866" s="6">
        <v>-0.5625</v>
      </c>
      <c r="I866" s="6">
        <v>1.125</v>
      </c>
      <c r="J866" s="6">
        <v>-1.375</v>
      </c>
      <c r="K866" s="6">
        <v>24.9375</v>
      </c>
      <c r="L866" s="6">
        <v>59.0625</v>
      </c>
      <c r="M866" s="6">
        <v>-0.5625</v>
      </c>
      <c r="N866" s="6">
        <v>0</v>
      </c>
      <c r="O866" s="6">
        <v>0.1875</v>
      </c>
      <c r="P866" s="6">
        <v>-2.5625</v>
      </c>
      <c r="Q866" s="6">
        <v>-3.1875</v>
      </c>
      <c r="R866" s="6">
        <v>-5.5540142059326199</v>
      </c>
      <c r="S866" s="6">
        <v>13.418870925903301</v>
      </c>
      <c r="T866" s="6">
        <v>-0.22219866514205899</v>
      </c>
      <c r="U866" s="6">
        <v>0.27368053793907199</v>
      </c>
      <c r="V866" s="6">
        <v>2.1201372146606401</v>
      </c>
      <c r="W866" s="6">
        <v>-18.459413528442401</v>
      </c>
    </row>
    <row r="867" spans="1:23" ht="18.95" customHeight="1">
      <c r="A867" s="4">
        <v>863</v>
      </c>
      <c r="B867" s="4">
        <v>18538</v>
      </c>
      <c r="C867" s="4">
        <v>1</v>
      </c>
      <c r="D867" s="6">
        <v>0</v>
      </c>
      <c r="E867" s="6">
        <v>0</v>
      </c>
      <c r="F867" s="6">
        <v>-14.25</v>
      </c>
      <c r="G867" s="6">
        <v>-1.1875</v>
      </c>
      <c r="H867" s="6">
        <v>-0.6875</v>
      </c>
      <c r="I867" s="6">
        <v>1.1875</v>
      </c>
      <c r="J867" s="6">
        <v>-1.3125</v>
      </c>
      <c r="K867" s="6">
        <v>25.1875</v>
      </c>
      <c r="L867" s="6">
        <v>60.1875</v>
      </c>
      <c r="M867" s="6">
        <v>-0.75</v>
      </c>
      <c r="N867" s="6">
        <v>6.25E-2</v>
      </c>
      <c r="O867" s="6">
        <v>0.1875</v>
      </c>
      <c r="P867" s="6">
        <v>-2.5625</v>
      </c>
      <c r="Q867" s="6">
        <v>-4.3125</v>
      </c>
      <c r="R867" s="6">
        <v>0.52232146263122603</v>
      </c>
      <c r="S867" s="6">
        <v>12.289099693298301</v>
      </c>
      <c r="T867" s="6">
        <v>5.2610516548156697E-2</v>
      </c>
      <c r="U867" s="6">
        <v>0.14233151078224199</v>
      </c>
      <c r="V867" s="6">
        <v>1.8567533493042001</v>
      </c>
      <c r="W867" s="6">
        <v>-18.464340209960898</v>
      </c>
    </row>
    <row r="868" spans="1:23" ht="18.95" customHeight="1">
      <c r="A868" s="4">
        <v>864</v>
      </c>
      <c r="B868" s="4">
        <v>18559</v>
      </c>
      <c r="C868" s="4">
        <v>1</v>
      </c>
      <c r="D868" s="6">
        <v>0</v>
      </c>
      <c r="E868" s="6">
        <v>0</v>
      </c>
      <c r="F868" s="6">
        <v>-13.125</v>
      </c>
      <c r="G868" s="6">
        <v>0.4375</v>
      </c>
      <c r="H868" s="6">
        <v>-0.5625</v>
      </c>
      <c r="I868" s="6">
        <v>1.1875</v>
      </c>
      <c r="J868" s="6">
        <v>-1.3125</v>
      </c>
      <c r="K868" s="6">
        <v>25.4375</v>
      </c>
      <c r="L868" s="6">
        <v>60.5</v>
      </c>
      <c r="M868" s="6">
        <v>-0.5</v>
      </c>
      <c r="N868" s="6">
        <v>-0.125</v>
      </c>
      <c r="O868" s="6">
        <v>0.25</v>
      </c>
      <c r="P868" s="6">
        <v>-2.5625</v>
      </c>
      <c r="Q868" s="6">
        <v>-6.0625</v>
      </c>
      <c r="R868" s="6">
        <v>-1.7219533920288099</v>
      </c>
      <c r="S868" s="6">
        <v>11.4952068328857</v>
      </c>
      <c r="T868" s="6">
        <v>-1.51990866661072</v>
      </c>
      <c r="U868" s="6">
        <v>0.186035960912704</v>
      </c>
      <c r="V868" s="6">
        <v>2.0972669124603298</v>
      </c>
      <c r="W868" s="6">
        <v>-18.486268997192401</v>
      </c>
    </row>
    <row r="869" spans="1:23" ht="18.95" customHeight="1">
      <c r="A869" s="4">
        <v>865</v>
      </c>
      <c r="B869" s="4">
        <v>18580</v>
      </c>
      <c r="C869" s="4">
        <v>1</v>
      </c>
      <c r="D869" s="6">
        <v>0</v>
      </c>
      <c r="E869" s="6">
        <v>0</v>
      </c>
      <c r="F869" s="6">
        <v>-12</v>
      </c>
      <c r="G869" s="6">
        <v>-0.875</v>
      </c>
      <c r="H869" s="6">
        <v>-0.875</v>
      </c>
      <c r="I869" s="6">
        <v>1.1875</v>
      </c>
      <c r="J869" s="6">
        <v>-1.3125</v>
      </c>
      <c r="K869" s="6">
        <v>25.6875</v>
      </c>
      <c r="L869" s="6">
        <v>61.5625</v>
      </c>
      <c r="M869" s="6">
        <v>-1</v>
      </c>
      <c r="N869" s="6">
        <v>0.1875</v>
      </c>
      <c r="O869" s="6">
        <v>0.25</v>
      </c>
      <c r="P869" s="6">
        <v>-2.5</v>
      </c>
      <c r="Q869" s="6">
        <v>-7.3125</v>
      </c>
      <c r="R869" s="6">
        <v>0.232244968414307</v>
      </c>
      <c r="S869" s="6">
        <v>10.457038879394499</v>
      </c>
      <c r="T869" s="6">
        <v>-6.9526910781860393E-2</v>
      </c>
      <c r="U869" s="6">
        <v>7.1375451982021304E-2</v>
      </c>
      <c r="V869" s="6">
        <v>1.83307528495789</v>
      </c>
      <c r="W869" s="6">
        <v>-18.485551834106399</v>
      </c>
    </row>
    <row r="870" spans="1:23" ht="18.95" customHeight="1">
      <c r="A870" s="4">
        <v>866</v>
      </c>
      <c r="B870" s="4">
        <v>18613</v>
      </c>
      <c r="C870" s="4">
        <v>1</v>
      </c>
      <c r="D870" s="6">
        <v>0</v>
      </c>
      <c r="E870" s="6">
        <v>0</v>
      </c>
      <c r="F870" s="6">
        <v>-9.8125</v>
      </c>
      <c r="G870" s="6">
        <v>0.375</v>
      </c>
      <c r="H870" s="6">
        <v>-6.25E-2</v>
      </c>
      <c r="I870" s="6">
        <v>1.1875</v>
      </c>
      <c r="J870" s="6">
        <v>-1.3125</v>
      </c>
      <c r="K870" s="6">
        <v>26.125</v>
      </c>
      <c r="L870" s="6">
        <v>63.1875</v>
      </c>
      <c r="M870" s="6">
        <v>-0.875</v>
      </c>
      <c r="N870" s="6">
        <v>-0.125</v>
      </c>
      <c r="O870" s="6">
        <v>0.3125</v>
      </c>
      <c r="P870" s="6">
        <v>-2.5</v>
      </c>
      <c r="Q870" s="6">
        <v>-9.125</v>
      </c>
      <c r="R870" s="6">
        <v>-0.85172438621520996</v>
      </c>
      <c r="S870" s="6">
        <v>8.3959693908691406</v>
      </c>
      <c r="T870" s="6">
        <v>-1.1534963846206701</v>
      </c>
      <c r="U870" s="6">
        <v>0.12542977929115301</v>
      </c>
      <c r="V870" s="6">
        <v>1.99517250061035</v>
      </c>
      <c r="W870" s="6">
        <v>-18.503337860107401</v>
      </c>
    </row>
    <row r="871" spans="1:23" ht="18.95" customHeight="1">
      <c r="A871" s="4">
        <v>867</v>
      </c>
      <c r="B871" s="4">
        <v>18634</v>
      </c>
      <c r="C871" s="4">
        <v>1</v>
      </c>
      <c r="D871" s="6">
        <v>0</v>
      </c>
      <c r="E871" s="6">
        <v>0</v>
      </c>
      <c r="F871" s="6">
        <v>-8.75</v>
      </c>
      <c r="G871" s="6">
        <v>-1.1875</v>
      </c>
      <c r="H871" s="6">
        <v>-1.125</v>
      </c>
      <c r="I871" s="6">
        <v>1.1875</v>
      </c>
      <c r="J871" s="6">
        <v>-1.3125</v>
      </c>
      <c r="K871" s="6">
        <v>26.25</v>
      </c>
      <c r="L871" s="6">
        <v>64.75</v>
      </c>
      <c r="M871" s="6">
        <v>-0.8125</v>
      </c>
      <c r="N871" s="6">
        <v>0.125</v>
      </c>
      <c r="O871" s="6">
        <v>0.3125</v>
      </c>
      <c r="P871" s="6">
        <v>-2.5</v>
      </c>
      <c r="Q871" s="6">
        <v>-10.375</v>
      </c>
      <c r="R871" s="6">
        <v>0.27804660797119102</v>
      </c>
      <c r="S871" s="6">
        <v>7.3272676467895499</v>
      </c>
      <c r="T871" s="6">
        <v>0.29688531160354598</v>
      </c>
      <c r="U871" s="6">
        <v>-2.2066339850425699E-2</v>
      </c>
      <c r="V871" s="6">
        <v>1.85903763771057</v>
      </c>
      <c r="W871" s="6">
        <v>-18.507240295410199</v>
      </c>
    </row>
    <row r="872" spans="1:23" ht="18.95" customHeight="1">
      <c r="A872" s="4">
        <v>868</v>
      </c>
      <c r="B872" s="4">
        <v>18656</v>
      </c>
      <c r="C872" s="4">
        <v>1</v>
      </c>
      <c r="D872" s="6">
        <v>0</v>
      </c>
      <c r="E872" s="6">
        <v>0</v>
      </c>
      <c r="F872" s="6">
        <v>-7.6875</v>
      </c>
      <c r="G872" s="6">
        <v>0.375</v>
      </c>
      <c r="H872" s="6">
        <v>-0.1875</v>
      </c>
      <c r="I872" s="6">
        <v>1.1875</v>
      </c>
      <c r="J872" s="6">
        <v>-1.25</v>
      </c>
      <c r="K872" s="6">
        <v>26.4375</v>
      </c>
      <c r="L872" s="6">
        <v>64.75</v>
      </c>
      <c r="M872" s="6">
        <v>-0.625</v>
      </c>
      <c r="N872" s="6">
        <v>-0.1875</v>
      </c>
      <c r="O872" s="6">
        <v>0.375</v>
      </c>
      <c r="P872" s="6">
        <v>-2.5</v>
      </c>
      <c r="Q872" s="6">
        <v>-11.625</v>
      </c>
      <c r="R872" s="6">
        <v>-0.43951058387756298</v>
      </c>
      <c r="S872" s="6">
        <v>6.1364278793334996</v>
      </c>
      <c r="T872" s="6">
        <v>-1.0924277305603001</v>
      </c>
      <c r="U872" s="6">
        <v>5.6530117988586398E-2</v>
      </c>
      <c r="V872" s="6">
        <v>1.6697927713394201</v>
      </c>
      <c r="W872" s="6">
        <v>-18.520936965942401</v>
      </c>
    </row>
    <row r="873" spans="1:23" ht="18.95" customHeight="1">
      <c r="A873" s="4">
        <v>869</v>
      </c>
      <c r="B873" s="4">
        <v>18678</v>
      </c>
      <c r="C873" s="4">
        <v>1</v>
      </c>
      <c r="D873" s="6">
        <v>0</v>
      </c>
      <c r="E873" s="6">
        <v>0</v>
      </c>
      <c r="F873" s="6">
        <v>-6.6875</v>
      </c>
      <c r="G873" s="6">
        <v>-0.375</v>
      </c>
      <c r="H873" s="6">
        <v>-0.5625</v>
      </c>
      <c r="I873" s="6">
        <v>1.1875</v>
      </c>
      <c r="J873" s="6">
        <v>-1.3125</v>
      </c>
      <c r="K873" s="6">
        <v>26.5</v>
      </c>
      <c r="L873" s="6">
        <v>66.9375</v>
      </c>
      <c r="M873" s="6">
        <v>-0.5625</v>
      </c>
      <c r="N873" s="6">
        <v>0.3125</v>
      </c>
      <c r="O873" s="6">
        <v>0.375</v>
      </c>
      <c r="P873" s="6">
        <v>-2.4375</v>
      </c>
      <c r="Q873" s="6">
        <v>-12.875</v>
      </c>
      <c r="R873" s="6">
        <v>-0.53111386299133301</v>
      </c>
      <c r="S873" s="6">
        <v>5.2967333793640101</v>
      </c>
      <c r="T873" s="6">
        <v>-0.57334369421005205</v>
      </c>
      <c r="U873" s="6">
        <v>8.3458319306373596E-2</v>
      </c>
      <c r="V873" s="6">
        <v>1.5155662298202499</v>
      </c>
      <c r="W873" s="6">
        <v>-18.527267456054702</v>
      </c>
    </row>
    <row r="874" spans="1:23" ht="18.95" customHeight="1">
      <c r="A874" s="4">
        <v>870</v>
      </c>
      <c r="B874" s="4">
        <v>18699</v>
      </c>
      <c r="C874" s="4">
        <v>1</v>
      </c>
      <c r="D874" s="6">
        <v>0</v>
      </c>
      <c r="E874" s="6">
        <v>0</v>
      </c>
      <c r="F874" s="6">
        <v>-5.4375</v>
      </c>
      <c r="G874" s="6">
        <v>-0.125</v>
      </c>
      <c r="H874" s="6">
        <v>-0.3125</v>
      </c>
      <c r="I874" s="6">
        <v>1.1875</v>
      </c>
      <c r="J874" s="6">
        <v>-1.3125</v>
      </c>
      <c r="K874" s="6">
        <v>26.625</v>
      </c>
      <c r="L874" s="6">
        <v>66.3125</v>
      </c>
      <c r="M874" s="6">
        <v>-0.75</v>
      </c>
      <c r="N874" s="6">
        <v>-0.1875</v>
      </c>
      <c r="O874" s="6">
        <v>0.4375</v>
      </c>
      <c r="P874" s="6">
        <v>-2.4375</v>
      </c>
      <c r="Q874" s="6">
        <v>-14.8125</v>
      </c>
      <c r="R874" s="6">
        <v>0.15590906143188499</v>
      </c>
      <c r="S874" s="6">
        <v>3.7547485828399698</v>
      </c>
      <c r="T874" s="6">
        <v>-0.26800018548965499</v>
      </c>
      <c r="U874" s="6">
        <v>-8.4888264536857605E-2</v>
      </c>
      <c r="V874" s="6">
        <v>1.1013643741607699</v>
      </c>
      <c r="W874" s="6">
        <v>-18.543321609497099</v>
      </c>
    </row>
    <row r="875" spans="1:23" ht="18.95" customHeight="1">
      <c r="A875" s="4">
        <v>871</v>
      </c>
      <c r="B875" s="4">
        <v>18720</v>
      </c>
      <c r="C875" s="4">
        <v>1</v>
      </c>
      <c r="D875" s="6">
        <v>0</v>
      </c>
      <c r="E875" s="6">
        <v>0</v>
      </c>
      <c r="F875" s="6">
        <v>-4.4375</v>
      </c>
      <c r="G875" s="6">
        <v>-0.4375</v>
      </c>
      <c r="H875" s="6">
        <v>-0.9375</v>
      </c>
      <c r="I875" s="6">
        <v>1.1875</v>
      </c>
      <c r="J875" s="6">
        <v>-1.25</v>
      </c>
      <c r="K875" s="6">
        <v>26.625</v>
      </c>
      <c r="L875" s="6">
        <v>66.1875</v>
      </c>
      <c r="M875" s="6">
        <v>-0.6875</v>
      </c>
      <c r="N875" s="6">
        <v>-6.25E-2</v>
      </c>
      <c r="O875" s="6">
        <v>0.4375</v>
      </c>
      <c r="P875" s="6">
        <v>-2.4375</v>
      </c>
      <c r="Q875" s="6">
        <v>-16.125</v>
      </c>
      <c r="R875" s="6">
        <v>-8.8365554809570299E-2</v>
      </c>
      <c r="S875" s="6">
        <v>2.68604636192322</v>
      </c>
      <c r="T875" s="6">
        <v>-1.07716047763824</v>
      </c>
      <c r="U875" s="6">
        <v>0.148222595453262</v>
      </c>
      <c r="V875" s="6">
        <v>1.0531244277954099</v>
      </c>
      <c r="W875" s="6">
        <v>-18.552690505981399</v>
      </c>
    </row>
    <row r="876" spans="1:23" ht="18.95" customHeight="1">
      <c r="A876" s="4">
        <v>872</v>
      </c>
      <c r="B876" s="4">
        <v>18741</v>
      </c>
      <c r="C876" s="4">
        <v>1</v>
      </c>
      <c r="D876" s="6">
        <v>0</v>
      </c>
      <c r="E876" s="6">
        <v>0</v>
      </c>
      <c r="F876" s="6">
        <v>-3.0625</v>
      </c>
      <c r="G876" s="6">
        <v>0.375</v>
      </c>
      <c r="H876" s="6">
        <v>-0.1875</v>
      </c>
      <c r="I876" s="6">
        <v>1.1875</v>
      </c>
      <c r="J876" s="6">
        <v>-1.25</v>
      </c>
      <c r="K876" s="6">
        <v>26.6875</v>
      </c>
      <c r="L876" s="6">
        <v>66.375</v>
      </c>
      <c r="M876" s="6">
        <v>-0.625</v>
      </c>
      <c r="N876" s="6">
        <v>-0.125</v>
      </c>
      <c r="O876" s="6">
        <v>0.5</v>
      </c>
      <c r="P876" s="6">
        <v>-2.4375</v>
      </c>
      <c r="Q876" s="6">
        <v>-17.4375</v>
      </c>
      <c r="R876" s="6">
        <v>-0.16470146179199199</v>
      </c>
      <c r="S876" s="6">
        <v>1.6478784084320099</v>
      </c>
      <c r="T876" s="6">
        <v>-0.28326734900474498</v>
      </c>
      <c r="U876" s="6">
        <v>5.9679284691810601E-2</v>
      </c>
      <c r="V876" s="6">
        <v>0.65289402008056596</v>
      </c>
      <c r="W876" s="6">
        <v>-18.5713500976562</v>
      </c>
    </row>
    <row r="877" spans="1:23" ht="18.95" customHeight="1">
      <c r="A877" s="4">
        <v>873</v>
      </c>
      <c r="B877" s="4">
        <v>18763</v>
      </c>
      <c r="C877" s="4">
        <v>1</v>
      </c>
      <c r="D877" s="6">
        <v>0</v>
      </c>
      <c r="E877" s="6">
        <v>0</v>
      </c>
      <c r="F877" s="6">
        <v>-1.6875</v>
      </c>
      <c r="G877" s="6">
        <v>-0.5</v>
      </c>
      <c r="H877" s="6">
        <v>-0.75</v>
      </c>
      <c r="I877" s="6">
        <v>1.25</v>
      </c>
      <c r="J877" s="6">
        <v>-1.25</v>
      </c>
      <c r="K877" s="6">
        <v>26.6875</v>
      </c>
      <c r="L877" s="6">
        <v>65.9375</v>
      </c>
      <c r="M877" s="6">
        <v>-0.75</v>
      </c>
      <c r="N877" s="6">
        <v>0.1875</v>
      </c>
      <c r="O877" s="6">
        <v>0.5</v>
      </c>
      <c r="P877" s="6">
        <v>-2.4375</v>
      </c>
      <c r="Q877" s="6">
        <v>-18.6875</v>
      </c>
      <c r="R877" s="6">
        <v>0.53758859634399403</v>
      </c>
      <c r="S877" s="6">
        <v>0.24329829216003401</v>
      </c>
      <c r="T877" s="6">
        <v>-0.13059562444686901</v>
      </c>
      <c r="U877" s="6">
        <v>-3.8981325924396502E-3</v>
      </c>
      <c r="V877" s="6">
        <v>0.53728795051574696</v>
      </c>
      <c r="W877" s="6">
        <v>-18.565773010253899</v>
      </c>
    </row>
    <row r="878" spans="1:23" ht="18.95" customHeight="1">
      <c r="A878" s="4">
        <v>874</v>
      </c>
      <c r="B878" s="4">
        <v>18783</v>
      </c>
      <c r="C878" s="4">
        <v>1</v>
      </c>
      <c r="D878" s="6">
        <v>0</v>
      </c>
      <c r="E878" s="6">
        <v>0</v>
      </c>
      <c r="F878" s="6">
        <v>-1</v>
      </c>
      <c r="G878" s="6">
        <v>0.3125</v>
      </c>
      <c r="H878" s="6">
        <v>-0.1875</v>
      </c>
      <c r="I878" s="6">
        <v>1.25</v>
      </c>
      <c r="J878" s="6">
        <v>-1.25</v>
      </c>
      <c r="K878" s="6">
        <v>26.6875</v>
      </c>
      <c r="L878" s="6">
        <v>65.6875</v>
      </c>
      <c r="M878" s="6">
        <v>-0.625</v>
      </c>
      <c r="N878" s="6">
        <v>-0.125</v>
      </c>
      <c r="O878" s="6">
        <v>0.5625</v>
      </c>
      <c r="P878" s="6">
        <v>-2.375</v>
      </c>
      <c r="Q878" s="6">
        <v>-20</v>
      </c>
      <c r="R878" s="6">
        <v>-0.42424345016479498</v>
      </c>
      <c r="S878" s="6">
        <v>-0.97807574272155795</v>
      </c>
      <c r="T878" s="6">
        <v>-0.497007817029953</v>
      </c>
      <c r="U878" s="6">
        <v>7.5605422258377103E-2</v>
      </c>
      <c r="V878" s="6">
        <v>0.197874635457993</v>
      </c>
      <c r="W878" s="6">
        <v>-18.5777988433838</v>
      </c>
    </row>
    <row r="879" spans="1:23" ht="18.95" customHeight="1">
      <c r="A879" s="4">
        <v>875</v>
      </c>
      <c r="B879" s="4">
        <v>18805</v>
      </c>
      <c r="C879" s="4">
        <v>1</v>
      </c>
      <c r="D879" s="6">
        <v>0</v>
      </c>
      <c r="E879" s="6">
        <v>0</v>
      </c>
      <c r="F879" s="6">
        <v>0.5625</v>
      </c>
      <c r="G879" s="6">
        <v>-6.25E-2</v>
      </c>
      <c r="H879" s="6">
        <v>-0.4375</v>
      </c>
      <c r="I879" s="6">
        <v>1.25</v>
      </c>
      <c r="J879" s="6">
        <v>-1.25</v>
      </c>
      <c r="K879" s="6">
        <v>26.625</v>
      </c>
      <c r="L879" s="6">
        <v>65.3125</v>
      </c>
      <c r="M879" s="6">
        <v>-0.8125</v>
      </c>
      <c r="N879" s="6">
        <v>0.1875</v>
      </c>
      <c r="O879" s="6">
        <v>0.5625</v>
      </c>
      <c r="P879" s="6">
        <v>-2.375</v>
      </c>
      <c r="Q879" s="6">
        <v>-21.25</v>
      </c>
      <c r="R879" s="6">
        <v>-0.17996859550476099</v>
      </c>
      <c r="S879" s="6">
        <v>-1.81777048110962</v>
      </c>
      <c r="T879" s="6">
        <v>-0.80235135555267301</v>
      </c>
      <c r="U879" s="6">
        <v>0.102940604090691</v>
      </c>
      <c r="V879" s="6">
        <v>7.2814121842384297E-2</v>
      </c>
      <c r="W879" s="6">
        <v>-18.584657669067401</v>
      </c>
    </row>
    <row r="880" spans="1:23" ht="18.95" customHeight="1">
      <c r="A880" s="4">
        <v>876</v>
      </c>
      <c r="B880" s="4">
        <v>18825</v>
      </c>
      <c r="C880" s="4">
        <v>1</v>
      </c>
      <c r="D880" s="6">
        <v>0</v>
      </c>
      <c r="E880" s="6">
        <v>0</v>
      </c>
      <c r="F880" s="6">
        <v>1.75</v>
      </c>
      <c r="G880" s="6">
        <v>0</v>
      </c>
      <c r="H880" s="6">
        <v>-0.25</v>
      </c>
      <c r="I880" s="6">
        <v>1.25</v>
      </c>
      <c r="J880" s="6">
        <v>-1.25</v>
      </c>
      <c r="K880" s="6">
        <v>26.5625</v>
      </c>
      <c r="L880" s="6">
        <v>64.1875</v>
      </c>
      <c r="M880" s="6">
        <v>-0.6875</v>
      </c>
      <c r="N880" s="6">
        <v>6.25E-2</v>
      </c>
      <c r="O880" s="6">
        <v>0.625</v>
      </c>
      <c r="P880" s="6">
        <v>-2.375</v>
      </c>
      <c r="Q880" s="6">
        <v>-22.5</v>
      </c>
      <c r="R880" s="6">
        <v>0.32384800910949701</v>
      </c>
      <c r="S880" s="6">
        <v>-2.8559384346008301</v>
      </c>
      <c r="T880" s="6">
        <v>-0.25273302197456399</v>
      </c>
      <c r="U880" s="6">
        <v>5.2545532584190403E-2</v>
      </c>
      <c r="V880" s="6">
        <v>-0.21034064888954199</v>
      </c>
      <c r="W880" s="6">
        <v>-18.589872360229499</v>
      </c>
    </row>
    <row r="881" spans="1:23" ht="18.95" customHeight="1">
      <c r="A881" s="4">
        <v>877</v>
      </c>
      <c r="B881" s="4">
        <v>18847</v>
      </c>
      <c r="C881" s="4">
        <v>1</v>
      </c>
      <c r="D881" s="6">
        <v>0</v>
      </c>
      <c r="E881" s="6">
        <v>0</v>
      </c>
      <c r="F881" s="6">
        <v>2.8125</v>
      </c>
      <c r="G881" s="6">
        <v>0.5</v>
      </c>
      <c r="H881" s="6">
        <v>-0.1875</v>
      </c>
      <c r="I881" s="6">
        <v>1.25</v>
      </c>
      <c r="J881" s="6">
        <v>-1.25</v>
      </c>
      <c r="K881" s="6">
        <v>26.4375</v>
      </c>
      <c r="L881" s="6">
        <v>64.625</v>
      </c>
      <c r="M881" s="6">
        <v>-0.625</v>
      </c>
      <c r="N881" s="6">
        <v>6.25E-2</v>
      </c>
      <c r="O881" s="6">
        <v>0.625</v>
      </c>
      <c r="P881" s="6">
        <v>-2.375</v>
      </c>
      <c r="Q881" s="6">
        <v>-23.75</v>
      </c>
      <c r="R881" s="6">
        <v>-0.33264040946960399</v>
      </c>
      <c r="S881" s="6">
        <v>-3.9551749229431201</v>
      </c>
      <c r="T881" s="6">
        <v>-0.72601544857025102</v>
      </c>
      <c r="U881" s="6">
        <v>0.21255800127983099</v>
      </c>
      <c r="V881" s="6">
        <v>-0.39544904232025102</v>
      </c>
      <c r="W881" s="6">
        <v>-18.594478607177699</v>
      </c>
    </row>
    <row r="882" spans="1:23" ht="18.95" customHeight="1">
      <c r="A882" s="4">
        <v>878</v>
      </c>
      <c r="B882" s="4">
        <v>18867</v>
      </c>
      <c r="C882" s="4">
        <v>1</v>
      </c>
      <c r="D882" s="6">
        <v>0</v>
      </c>
      <c r="E882" s="6">
        <v>0</v>
      </c>
      <c r="F882" s="6">
        <v>3.9375</v>
      </c>
      <c r="G882" s="6">
        <v>0.125</v>
      </c>
      <c r="H882" s="6">
        <v>-0.1875</v>
      </c>
      <c r="I882" s="6">
        <v>1.25</v>
      </c>
      <c r="J882" s="6">
        <v>-1.25</v>
      </c>
      <c r="K882" s="6">
        <v>26.375</v>
      </c>
      <c r="L882" s="6">
        <v>63</v>
      </c>
      <c r="M882" s="6">
        <v>-0.625</v>
      </c>
      <c r="N882" s="6">
        <v>-6.25E-2</v>
      </c>
      <c r="O882" s="6">
        <v>0.6875</v>
      </c>
      <c r="P882" s="6">
        <v>-2.375</v>
      </c>
      <c r="Q882" s="6">
        <v>-24.9375</v>
      </c>
      <c r="R882" s="6">
        <v>-5.7831287384033203E-2</v>
      </c>
      <c r="S882" s="6">
        <v>-5.3139533996581996</v>
      </c>
      <c r="T882" s="6">
        <v>-0.51227498054504395</v>
      </c>
      <c r="U882" s="6">
        <v>6.1578355729579898E-2</v>
      </c>
      <c r="V882" s="6">
        <v>-0.80489099025726296</v>
      </c>
      <c r="W882" s="6">
        <v>-18.610145568847699</v>
      </c>
    </row>
    <row r="883" spans="1:23" ht="18.95" customHeight="1">
      <c r="A883" s="4">
        <v>879</v>
      </c>
      <c r="B883" s="4">
        <v>18888</v>
      </c>
      <c r="C883" s="4">
        <v>1</v>
      </c>
      <c r="D883" s="6">
        <v>0</v>
      </c>
      <c r="E883" s="6">
        <v>0</v>
      </c>
      <c r="F883" s="6">
        <v>4.9375</v>
      </c>
      <c r="G883" s="6">
        <v>-0.3125</v>
      </c>
      <c r="H883" s="6">
        <v>-0.6875</v>
      </c>
      <c r="I883" s="6">
        <v>1.25</v>
      </c>
      <c r="J883" s="6">
        <v>-1.25</v>
      </c>
      <c r="K883" s="6">
        <v>26.25</v>
      </c>
      <c r="L883" s="6">
        <v>62.4375</v>
      </c>
      <c r="M883" s="6">
        <v>-0.9375</v>
      </c>
      <c r="N883" s="6">
        <v>-0.125</v>
      </c>
      <c r="O883" s="6">
        <v>0.6875</v>
      </c>
      <c r="P883" s="6">
        <v>-2.375</v>
      </c>
      <c r="Q883" s="6">
        <v>-26.1875</v>
      </c>
      <c r="R883" s="6">
        <v>0.232244968414307</v>
      </c>
      <c r="S883" s="6">
        <v>-6.41319036483765</v>
      </c>
      <c r="T883" s="6">
        <v>-0.54280936717987105</v>
      </c>
      <c r="U883" s="6">
        <v>0.175286769866943</v>
      </c>
      <c r="V883" s="6">
        <v>-1.0006685256957999</v>
      </c>
      <c r="W883" s="6">
        <v>-18.6135368347168</v>
      </c>
    </row>
    <row r="884" spans="1:23" ht="18.95" customHeight="1">
      <c r="A884" s="4">
        <v>880</v>
      </c>
      <c r="B884" s="4">
        <v>18909</v>
      </c>
      <c r="C884" s="4">
        <v>1</v>
      </c>
      <c r="D884" s="6">
        <v>0</v>
      </c>
      <c r="E884" s="6">
        <v>0</v>
      </c>
      <c r="F884" s="6">
        <v>6</v>
      </c>
      <c r="G884" s="6">
        <v>0.4375</v>
      </c>
      <c r="H884" s="6">
        <v>6.25E-2</v>
      </c>
      <c r="I884" s="6">
        <v>1.25</v>
      </c>
      <c r="J884" s="6">
        <v>-1.25</v>
      </c>
      <c r="K884" s="6">
        <v>26.125</v>
      </c>
      <c r="L884" s="6">
        <v>59.6875</v>
      </c>
      <c r="M884" s="6">
        <v>-0.6875</v>
      </c>
      <c r="N884" s="6">
        <v>-0.125</v>
      </c>
      <c r="O884" s="6">
        <v>0.75</v>
      </c>
      <c r="P884" s="6">
        <v>-2.3125</v>
      </c>
      <c r="Q884" s="6">
        <v>-27.9375</v>
      </c>
      <c r="R884" s="6">
        <v>-0.48531222343444802</v>
      </c>
      <c r="S884" s="6">
        <v>-7.4818925857543901</v>
      </c>
      <c r="T884" s="6">
        <v>-0.92448872327804599</v>
      </c>
      <c r="U884" s="6">
        <v>0.174181267619133</v>
      </c>
      <c r="V884" s="6">
        <v>-1.2885338068008401</v>
      </c>
      <c r="W884" s="6">
        <v>-18.626165390014599</v>
      </c>
    </row>
    <row r="885" spans="1:23" ht="18.95" customHeight="1">
      <c r="A885" s="4">
        <v>881</v>
      </c>
      <c r="B885" s="4">
        <v>18930</v>
      </c>
      <c r="C885" s="4">
        <v>1</v>
      </c>
      <c r="D885" s="6">
        <v>0</v>
      </c>
      <c r="E885" s="6">
        <v>0</v>
      </c>
      <c r="F885" s="6">
        <v>7.125</v>
      </c>
      <c r="G885" s="6">
        <v>-0.1875</v>
      </c>
      <c r="H885" s="6">
        <v>-0.5</v>
      </c>
      <c r="I885" s="6">
        <v>1.25</v>
      </c>
      <c r="J885" s="6">
        <v>-1.25</v>
      </c>
      <c r="K885" s="6">
        <v>25.9375</v>
      </c>
      <c r="L885" s="6">
        <v>60</v>
      </c>
      <c r="M885" s="6">
        <v>-0.75</v>
      </c>
      <c r="N885" s="6">
        <v>-6.25E-2</v>
      </c>
      <c r="O885" s="6">
        <v>0.75</v>
      </c>
      <c r="P885" s="6">
        <v>-2.3125</v>
      </c>
      <c r="Q885" s="6">
        <v>-29.0625</v>
      </c>
      <c r="R885" s="6">
        <v>0.751328945159912</v>
      </c>
      <c r="S885" s="6">
        <v>-8.9322738647460902</v>
      </c>
      <c r="T885" s="6">
        <v>-5.4259717464447001E-2</v>
      </c>
      <c r="U885" s="6">
        <v>0.17242111265659299</v>
      </c>
      <c r="V885" s="6">
        <v>-1.51419949531555</v>
      </c>
      <c r="W885" s="6">
        <v>-18.632448196411101</v>
      </c>
    </row>
    <row r="886" spans="1:23" ht="18.95" customHeight="1">
      <c r="A886" s="4">
        <v>882</v>
      </c>
      <c r="B886" s="4">
        <v>18950</v>
      </c>
      <c r="C886" s="4">
        <v>1</v>
      </c>
      <c r="D886" s="6">
        <v>0</v>
      </c>
      <c r="E886" s="6">
        <v>0</v>
      </c>
      <c r="F886" s="6">
        <v>8.4375</v>
      </c>
      <c r="G886" s="6">
        <v>0.125</v>
      </c>
      <c r="H886" s="6">
        <v>-0.125</v>
      </c>
      <c r="I886" s="6">
        <v>1.25</v>
      </c>
      <c r="J886" s="6">
        <v>-1.25</v>
      </c>
      <c r="K886" s="6">
        <v>25.75</v>
      </c>
      <c r="L886" s="6">
        <v>58.1875</v>
      </c>
      <c r="M886" s="6">
        <v>-1</v>
      </c>
      <c r="N886" s="6">
        <v>0.125</v>
      </c>
      <c r="O886" s="6">
        <v>0.8125</v>
      </c>
      <c r="P886" s="6">
        <v>-2.3125</v>
      </c>
      <c r="Q886" s="6">
        <v>-30.1875</v>
      </c>
      <c r="R886" s="6">
        <v>0.79713058471679699</v>
      </c>
      <c r="S886" s="6">
        <v>-10.077312469482401</v>
      </c>
      <c r="T886" s="6">
        <v>-0.206931471824646</v>
      </c>
      <c r="U886" s="6">
        <v>1.5332438051700601E-2</v>
      </c>
      <c r="V886" s="6">
        <v>-1.82333207130432</v>
      </c>
      <c r="W886" s="6">
        <v>-18.645807266235401</v>
      </c>
    </row>
    <row r="887" spans="1:23" ht="18.95" customHeight="1">
      <c r="A887" s="4">
        <v>883</v>
      </c>
      <c r="B887" s="4">
        <v>18971</v>
      </c>
      <c r="C887" s="4">
        <v>1</v>
      </c>
      <c r="D887" s="6">
        <v>0</v>
      </c>
      <c r="E887" s="6">
        <v>0</v>
      </c>
      <c r="F887" s="6">
        <v>9.5</v>
      </c>
      <c r="G887" s="6">
        <v>0.125</v>
      </c>
      <c r="H887" s="6">
        <v>-0.75</v>
      </c>
      <c r="I887" s="6">
        <v>1.25</v>
      </c>
      <c r="J887" s="6">
        <v>-1.25</v>
      </c>
      <c r="K887" s="6">
        <v>25.5</v>
      </c>
      <c r="L887" s="6">
        <v>57.5625</v>
      </c>
      <c r="M887" s="6">
        <v>-0.5625</v>
      </c>
      <c r="N887" s="6">
        <v>-6.25E-2</v>
      </c>
      <c r="O887" s="6">
        <v>0.8125</v>
      </c>
      <c r="P887" s="6">
        <v>-2.3125</v>
      </c>
      <c r="Q887" s="6">
        <v>-31.3125</v>
      </c>
      <c r="R887" s="6">
        <v>0.49178695678710899</v>
      </c>
      <c r="S887" s="6">
        <v>-11.0849456787109</v>
      </c>
      <c r="T887" s="6">
        <v>-5.4259717464447001E-2</v>
      </c>
      <c r="U887" s="6">
        <v>7.7962279319763197E-2</v>
      </c>
      <c r="V887" s="6">
        <v>-2.0646069049835201</v>
      </c>
      <c r="W887" s="6">
        <v>-18.645685195922901</v>
      </c>
    </row>
    <row r="888" spans="1:23" ht="18.95" customHeight="1">
      <c r="A888" s="4">
        <v>884</v>
      </c>
      <c r="B888" s="4">
        <v>18992</v>
      </c>
      <c r="C888" s="4">
        <v>1</v>
      </c>
      <c r="D888" s="6">
        <v>0</v>
      </c>
      <c r="E888" s="6">
        <v>0</v>
      </c>
      <c r="F888" s="6">
        <v>10.875</v>
      </c>
      <c r="G888" s="6">
        <v>0.625</v>
      </c>
      <c r="H888" s="6">
        <v>0.25</v>
      </c>
      <c r="I888" s="6">
        <v>1.25</v>
      </c>
      <c r="J888" s="6">
        <v>-1.25</v>
      </c>
      <c r="K888" s="6">
        <v>25.1875</v>
      </c>
      <c r="L888" s="6">
        <v>56.625</v>
      </c>
      <c r="M888" s="6">
        <v>-0.5625</v>
      </c>
      <c r="N888" s="6">
        <v>0.125</v>
      </c>
      <c r="O888" s="6">
        <v>0.875</v>
      </c>
      <c r="P888" s="6">
        <v>-2.3125</v>
      </c>
      <c r="Q888" s="6">
        <v>-32.4375</v>
      </c>
      <c r="R888" s="6">
        <v>0.400183916091919</v>
      </c>
      <c r="S888" s="6">
        <v>-12.6879997253418</v>
      </c>
      <c r="T888" s="6">
        <v>-0.176397144794464</v>
      </c>
      <c r="U888" s="6">
        <v>-1.33384987711906E-2</v>
      </c>
      <c r="V888" s="6">
        <v>-2.3758752346038801</v>
      </c>
      <c r="W888" s="6">
        <v>-18.658390045166001</v>
      </c>
    </row>
    <row r="889" spans="1:23" ht="18.95" customHeight="1">
      <c r="A889" s="4">
        <v>885</v>
      </c>
      <c r="B889" s="4">
        <v>19019</v>
      </c>
      <c r="C889" s="4">
        <v>1</v>
      </c>
      <c r="D889" s="6">
        <v>0</v>
      </c>
      <c r="E889" s="6">
        <v>0</v>
      </c>
      <c r="F889" s="6">
        <v>12.9375</v>
      </c>
      <c r="G889" s="6">
        <v>0.1875</v>
      </c>
      <c r="H889" s="6">
        <v>-0.1875</v>
      </c>
      <c r="I889" s="6">
        <v>1.25</v>
      </c>
      <c r="J889" s="6">
        <v>-1.25</v>
      </c>
      <c r="K889" s="6">
        <v>24.8125</v>
      </c>
      <c r="L889" s="6">
        <v>57.3125</v>
      </c>
      <c r="M889" s="6">
        <v>-0.625</v>
      </c>
      <c r="N889" s="6">
        <v>0.1875</v>
      </c>
      <c r="O889" s="6">
        <v>0.875</v>
      </c>
      <c r="P889" s="6">
        <v>-2.3125</v>
      </c>
      <c r="Q889" s="6">
        <v>-34.0625</v>
      </c>
      <c r="R889" s="6">
        <v>0.81239771842956499</v>
      </c>
      <c r="S889" s="6">
        <v>-14.932273864746101</v>
      </c>
      <c r="T889" s="6">
        <v>-5.4259717464447001E-2</v>
      </c>
      <c r="U889" s="6">
        <v>7.0310950279235798E-2</v>
      </c>
      <c r="V889" s="6">
        <v>-2.7634108066558798</v>
      </c>
      <c r="W889" s="6">
        <v>-18.6598014831543</v>
      </c>
    </row>
    <row r="890" spans="1:23" ht="18.95" customHeight="1">
      <c r="A890" s="4">
        <v>886</v>
      </c>
      <c r="B890" s="4">
        <v>19040</v>
      </c>
      <c r="C890" s="4">
        <v>1</v>
      </c>
      <c r="D890" s="6">
        <v>0</v>
      </c>
      <c r="E890" s="6">
        <v>0</v>
      </c>
      <c r="F890" s="6">
        <v>14.4375</v>
      </c>
      <c r="G890" s="6">
        <v>0.3125</v>
      </c>
      <c r="H890" s="6">
        <v>0.25</v>
      </c>
      <c r="I890" s="6">
        <v>1.25</v>
      </c>
      <c r="J890" s="6">
        <v>-1.25</v>
      </c>
      <c r="K890" s="6">
        <v>24.5625</v>
      </c>
      <c r="L890" s="6">
        <v>54.625</v>
      </c>
      <c r="M890" s="6">
        <v>-0.6875</v>
      </c>
      <c r="N890" s="6">
        <v>-6.25E-2</v>
      </c>
      <c r="O890" s="6">
        <v>0.9375</v>
      </c>
      <c r="P890" s="6">
        <v>-2.25</v>
      </c>
      <c r="Q890" s="6">
        <v>-35.125</v>
      </c>
      <c r="R890" s="6">
        <v>0.33911514282226601</v>
      </c>
      <c r="S890" s="6">
        <v>-15.848304748535201</v>
      </c>
      <c r="T890" s="6">
        <v>-0.54280936717987105</v>
      </c>
      <c r="U890" s="6">
        <v>-2.25678104907274E-2</v>
      </c>
      <c r="V890" s="6">
        <v>-3.1676940917968799</v>
      </c>
      <c r="W890" s="6">
        <v>-18.671535491943398</v>
      </c>
    </row>
    <row r="891" spans="1:23" ht="18.95" customHeight="1">
      <c r="A891" s="4">
        <v>887</v>
      </c>
      <c r="B891" s="4">
        <v>19060</v>
      </c>
      <c r="C891" s="4">
        <v>1</v>
      </c>
      <c r="D891" s="6">
        <v>0</v>
      </c>
      <c r="E891" s="6">
        <v>0</v>
      </c>
      <c r="F891" s="6">
        <v>15.4375</v>
      </c>
      <c r="G891" s="6">
        <v>0</v>
      </c>
      <c r="H891" s="6">
        <v>-0.25</v>
      </c>
      <c r="I891" s="6">
        <v>1.25</v>
      </c>
      <c r="J891" s="6">
        <v>-1.3125</v>
      </c>
      <c r="K891" s="6">
        <v>24.1875</v>
      </c>
      <c r="L891" s="6">
        <v>52.8125</v>
      </c>
      <c r="M891" s="6">
        <v>-0.625</v>
      </c>
      <c r="N891" s="6">
        <v>0</v>
      </c>
      <c r="O891" s="6">
        <v>0.9375</v>
      </c>
      <c r="P891" s="6">
        <v>-2.25</v>
      </c>
      <c r="Q891" s="6">
        <v>-36.1875</v>
      </c>
      <c r="R891" s="6">
        <v>0.90400075912475597</v>
      </c>
      <c r="S891" s="6">
        <v>-17.436090469360401</v>
      </c>
      <c r="T891" s="6">
        <v>-0.22219866514205899</v>
      </c>
      <c r="U891" s="6">
        <v>0.14517156779766099</v>
      </c>
      <c r="V891" s="6">
        <v>-3.48922896385193</v>
      </c>
      <c r="W891" s="6">
        <v>-18.673122406005898</v>
      </c>
    </row>
    <row r="892" spans="1:23" ht="18.95" customHeight="1">
      <c r="A892" s="4">
        <v>888</v>
      </c>
      <c r="B892" s="4">
        <v>19081</v>
      </c>
      <c r="C892" s="4">
        <v>1</v>
      </c>
      <c r="D892" s="6">
        <v>0</v>
      </c>
      <c r="E892" s="6">
        <v>0</v>
      </c>
      <c r="F892" s="6">
        <v>17.625</v>
      </c>
      <c r="G892" s="6">
        <v>0.375</v>
      </c>
      <c r="H892" s="6">
        <v>0.125</v>
      </c>
      <c r="I892" s="6">
        <v>1.25</v>
      </c>
      <c r="J892" s="6">
        <v>-1.3125</v>
      </c>
      <c r="K892" s="6">
        <v>23.8125</v>
      </c>
      <c r="L892" s="6">
        <v>51.5</v>
      </c>
      <c r="M892" s="6">
        <v>-0.625</v>
      </c>
      <c r="N892" s="6">
        <v>-0.125</v>
      </c>
      <c r="O892" s="6">
        <v>0.9375</v>
      </c>
      <c r="P892" s="6">
        <v>-2.25</v>
      </c>
      <c r="Q892" s="6">
        <v>-37.125</v>
      </c>
      <c r="R892" s="6">
        <v>0.98033666610717796</v>
      </c>
      <c r="S892" s="6">
        <v>-18.565862655639599</v>
      </c>
      <c r="T892" s="6">
        <v>-0.25273302197456399</v>
      </c>
      <c r="U892" s="6">
        <v>9.4425760209560394E-2</v>
      </c>
      <c r="V892" s="6">
        <v>-3.9457306861877401</v>
      </c>
      <c r="W892" s="6">
        <v>-18.6752033233643</v>
      </c>
    </row>
    <row r="893" spans="1:23" ht="18.95" customHeight="1">
      <c r="A893" s="4">
        <v>889</v>
      </c>
      <c r="B893" s="4">
        <v>19103</v>
      </c>
      <c r="C893" s="4">
        <v>1</v>
      </c>
      <c r="D893" s="6">
        <v>0</v>
      </c>
      <c r="E893" s="6">
        <v>0</v>
      </c>
      <c r="F893" s="6">
        <v>19.125</v>
      </c>
      <c r="G893" s="6">
        <v>0.5</v>
      </c>
      <c r="H893" s="6">
        <v>0.3125</v>
      </c>
      <c r="I893" s="6">
        <v>1.25</v>
      </c>
      <c r="J893" s="6">
        <v>-1.3125</v>
      </c>
      <c r="K893" s="6">
        <v>23.4375</v>
      </c>
      <c r="L893" s="6">
        <v>50.0625</v>
      </c>
      <c r="M893" s="6">
        <v>-0.5</v>
      </c>
      <c r="N893" s="6">
        <v>0</v>
      </c>
      <c r="O893" s="6">
        <v>1</v>
      </c>
      <c r="P893" s="6">
        <v>-2.25</v>
      </c>
      <c r="Q893" s="6">
        <v>-38.125</v>
      </c>
      <c r="R893" s="6">
        <v>1.2856801748275799</v>
      </c>
      <c r="S893" s="6">
        <v>-20.5200595855713</v>
      </c>
      <c r="T893" s="6">
        <v>3.7343323230743401E-2</v>
      </c>
      <c r="U893" s="6">
        <v>0.14457103610038799</v>
      </c>
      <c r="V893" s="6">
        <v>-4.3246030807495099</v>
      </c>
      <c r="W893" s="6">
        <v>-18.674968719482401</v>
      </c>
    </row>
    <row r="894" spans="1:23" ht="18.95" customHeight="1">
      <c r="A894" s="4">
        <v>890</v>
      </c>
      <c r="B894" s="4">
        <v>19124</v>
      </c>
      <c r="C894" s="4">
        <v>1</v>
      </c>
      <c r="D894" s="6">
        <v>0</v>
      </c>
      <c r="E894" s="6">
        <v>0</v>
      </c>
      <c r="F894" s="6">
        <v>20.6875</v>
      </c>
      <c r="G894" s="6">
        <v>0.5</v>
      </c>
      <c r="H894" s="6">
        <v>0.25</v>
      </c>
      <c r="I894" s="6">
        <v>1.25</v>
      </c>
      <c r="J894" s="6">
        <v>-1.3125</v>
      </c>
      <c r="K894" s="6">
        <v>22.75</v>
      </c>
      <c r="L894" s="6">
        <v>47.6875</v>
      </c>
      <c r="M894" s="6">
        <v>-0.5625</v>
      </c>
      <c r="N894" s="6">
        <v>-0.1875</v>
      </c>
      <c r="O894" s="6">
        <v>1</v>
      </c>
      <c r="P894" s="6">
        <v>-2.25</v>
      </c>
      <c r="Q894" s="6">
        <v>-39.0625</v>
      </c>
      <c r="R894" s="6">
        <v>0.94980227947235096</v>
      </c>
      <c r="S894" s="6">
        <v>-21.787235260009801</v>
      </c>
      <c r="T894" s="6">
        <v>-0.35960325598716703</v>
      </c>
      <c r="U894" s="6">
        <v>0.105490036308765</v>
      </c>
      <c r="V894" s="6">
        <v>-4.7800936698913601</v>
      </c>
      <c r="W894" s="6">
        <v>-18.683986663818398</v>
      </c>
    </row>
    <row r="895" spans="1:23" ht="18.95" customHeight="1">
      <c r="A895" s="4">
        <v>891</v>
      </c>
      <c r="B895" s="4">
        <v>19144</v>
      </c>
      <c r="C895" s="4">
        <v>1</v>
      </c>
      <c r="D895" s="6">
        <v>0</v>
      </c>
      <c r="E895" s="6">
        <v>0</v>
      </c>
      <c r="F895" s="6">
        <v>22.125</v>
      </c>
      <c r="G895" s="6">
        <v>0.4375</v>
      </c>
      <c r="H895" s="6">
        <v>-0.25</v>
      </c>
      <c r="I895" s="6">
        <v>1.3125</v>
      </c>
      <c r="J895" s="6">
        <v>-1.3125</v>
      </c>
      <c r="K895" s="6">
        <v>22.3125</v>
      </c>
      <c r="L895" s="6">
        <v>46.8125</v>
      </c>
      <c r="M895" s="6">
        <v>-0.625</v>
      </c>
      <c r="N895" s="6">
        <v>0.1875</v>
      </c>
      <c r="O895" s="6">
        <v>1.0625</v>
      </c>
      <c r="P895" s="6">
        <v>-2.25</v>
      </c>
      <c r="Q895" s="6">
        <v>-40</v>
      </c>
      <c r="R895" s="6">
        <v>0.90400075912475597</v>
      </c>
      <c r="S895" s="6">
        <v>-23.359754562377901</v>
      </c>
      <c r="T895" s="6">
        <v>-8.4581971168518101E-3</v>
      </c>
      <c r="U895" s="6">
        <v>0.195816606283188</v>
      </c>
      <c r="V895" s="6">
        <v>-5.2439947128295898</v>
      </c>
      <c r="W895" s="6">
        <v>-18.680360794067401</v>
      </c>
    </row>
    <row r="896" spans="1:23" ht="18.95" customHeight="1">
      <c r="A896" s="4">
        <v>892</v>
      </c>
      <c r="B896" s="4">
        <v>19165</v>
      </c>
      <c r="C896" s="4">
        <v>1</v>
      </c>
      <c r="D896" s="6">
        <v>0</v>
      </c>
      <c r="E896" s="6">
        <v>0</v>
      </c>
      <c r="F896" s="6">
        <v>23.5625</v>
      </c>
      <c r="G896" s="6">
        <v>0.875</v>
      </c>
      <c r="H896" s="6">
        <v>0.4375</v>
      </c>
      <c r="I896" s="6">
        <v>1.3125</v>
      </c>
      <c r="J896" s="6">
        <v>-1.3125</v>
      </c>
      <c r="K896" s="6">
        <v>21.875</v>
      </c>
      <c r="L896" s="6">
        <v>43.875</v>
      </c>
      <c r="M896" s="6">
        <v>-0.75</v>
      </c>
      <c r="N896" s="6">
        <v>-6.25E-2</v>
      </c>
      <c r="O896" s="6">
        <v>1.0625</v>
      </c>
      <c r="P896" s="6">
        <v>-2.25</v>
      </c>
      <c r="Q896" s="6">
        <v>-40.875</v>
      </c>
      <c r="R896" s="6">
        <v>1.17880988121033</v>
      </c>
      <c r="S896" s="6">
        <v>-24.9475421905518</v>
      </c>
      <c r="T896" s="6">
        <v>0.144213557243347</v>
      </c>
      <c r="U896" s="6">
        <v>0.119737207889557</v>
      </c>
      <c r="V896" s="6">
        <v>-5.6974773406982404</v>
      </c>
      <c r="W896" s="6">
        <v>-18.690027236938501</v>
      </c>
    </row>
    <row r="897" spans="1:23" ht="18.95" customHeight="1">
      <c r="A897" s="4">
        <v>893</v>
      </c>
      <c r="B897" s="4">
        <v>19186</v>
      </c>
      <c r="C897" s="4">
        <v>1</v>
      </c>
      <c r="D897" s="6">
        <v>0</v>
      </c>
      <c r="E897" s="6">
        <v>0</v>
      </c>
      <c r="F897" s="6">
        <v>25.4375</v>
      </c>
      <c r="G897" s="6">
        <v>0.5</v>
      </c>
      <c r="H897" s="6">
        <v>-0.125</v>
      </c>
      <c r="I897" s="6">
        <v>1.3125</v>
      </c>
      <c r="J897" s="6">
        <v>-1.3125</v>
      </c>
      <c r="K897" s="6">
        <v>21.3125</v>
      </c>
      <c r="L897" s="6">
        <v>43.75</v>
      </c>
      <c r="M897" s="6">
        <v>-0.5</v>
      </c>
      <c r="N897" s="6">
        <v>0.125</v>
      </c>
      <c r="O897" s="6">
        <v>1.0625</v>
      </c>
      <c r="P897" s="6">
        <v>-2.25</v>
      </c>
      <c r="Q897" s="6">
        <v>-41.75</v>
      </c>
      <c r="R897" s="6">
        <v>0.87346637248992898</v>
      </c>
      <c r="S897" s="6">
        <v>-26.9475421905518</v>
      </c>
      <c r="T897" s="6">
        <v>-0.100061237812042</v>
      </c>
      <c r="U897" s="6">
        <v>0.21440222859382599</v>
      </c>
      <c r="V897" s="6">
        <v>-6.2583079338073704</v>
      </c>
      <c r="W897" s="6">
        <v>-18.687038421630898</v>
      </c>
    </row>
    <row r="898" spans="1:23" ht="18.95" customHeight="1">
      <c r="A898" s="4">
        <v>894</v>
      </c>
      <c r="B898" s="4">
        <v>19208</v>
      </c>
      <c r="C898" s="4">
        <v>1</v>
      </c>
      <c r="D898" s="6">
        <v>0</v>
      </c>
      <c r="E898" s="6">
        <v>0</v>
      </c>
      <c r="F898" s="6">
        <v>27.8125</v>
      </c>
      <c r="G898" s="6">
        <v>0.5625</v>
      </c>
      <c r="H898" s="6">
        <v>0.25</v>
      </c>
      <c r="I898" s="6">
        <v>1.3125</v>
      </c>
      <c r="J898" s="6">
        <v>-1.3125</v>
      </c>
      <c r="K898" s="6">
        <v>20.75</v>
      </c>
      <c r="L898" s="6">
        <v>40.75</v>
      </c>
      <c r="M898" s="6">
        <v>-0.375</v>
      </c>
      <c r="N898" s="6">
        <v>-6.25E-2</v>
      </c>
      <c r="O898" s="6">
        <v>1.0625</v>
      </c>
      <c r="P898" s="6">
        <v>-2.25</v>
      </c>
      <c r="Q898" s="6">
        <v>-42.5625</v>
      </c>
      <c r="R898" s="6">
        <v>1.39255034923553</v>
      </c>
      <c r="S898" s="6">
        <v>-28.046777725219702</v>
      </c>
      <c r="T898" s="6">
        <v>-0.22219866514205899</v>
      </c>
      <c r="U898" s="6">
        <v>0.19738468527793901</v>
      </c>
      <c r="V898" s="6">
        <v>-6.8253116607665998</v>
      </c>
      <c r="W898" s="6">
        <v>-18.694948196411101</v>
      </c>
    </row>
    <row r="899" spans="1:23" ht="18.95" customHeight="1">
      <c r="A899" s="4">
        <v>895</v>
      </c>
      <c r="B899" s="4">
        <v>19229</v>
      </c>
      <c r="C899" s="4">
        <v>1</v>
      </c>
      <c r="D899" s="6">
        <v>0</v>
      </c>
      <c r="E899" s="6">
        <v>0</v>
      </c>
      <c r="F899" s="6">
        <v>28.75</v>
      </c>
      <c r="G899" s="6">
        <v>0.6875</v>
      </c>
      <c r="H899" s="6">
        <v>0</v>
      </c>
      <c r="I899" s="6">
        <v>1.3125</v>
      </c>
      <c r="J899" s="6">
        <v>-1.3125</v>
      </c>
      <c r="K899" s="6">
        <v>20.1875</v>
      </c>
      <c r="L899" s="6">
        <v>39.4375</v>
      </c>
      <c r="M899" s="6">
        <v>-0.4375</v>
      </c>
      <c r="N899" s="6">
        <v>6.25E-2</v>
      </c>
      <c r="O899" s="6">
        <v>1.125</v>
      </c>
      <c r="P899" s="6">
        <v>-2.25</v>
      </c>
      <c r="Q899" s="6">
        <v>-43.6875</v>
      </c>
      <c r="R899" s="6">
        <v>1.2246114015579199</v>
      </c>
      <c r="S899" s="6">
        <v>-29.2223510742188</v>
      </c>
      <c r="T899" s="6">
        <v>0.15948075056076</v>
      </c>
      <c r="U899" s="6">
        <v>0.238237485289574</v>
      </c>
      <c r="V899" s="6">
        <v>-7.3919916152954102</v>
      </c>
      <c r="W899" s="6">
        <v>-18.689506530761701</v>
      </c>
    </row>
    <row r="900" spans="1:23" ht="18.95" customHeight="1">
      <c r="A900" s="4">
        <v>896</v>
      </c>
      <c r="B900" s="4">
        <v>19250</v>
      </c>
      <c r="C900" s="4">
        <v>1</v>
      </c>
      <c r="D900" s="6">
        <v>0</v>
      </c>
      <c r="E900" s="6">
        <v>0</v>
      </c>
      <c r="F900" s="6">
        <v>30.0625</v>
      </c>
      <c r="G900" s="6">
        <v>0.625</v>
      </c>
      <c r="H900" s="6">
        <v>0.125</v>
      </c>
      <c r="I900" s="6">
        <v>1.3125</v>
      </c>
      <c r="J900" s="6">
        <v>-1.375</v>
      </c>
      <c r="K900" s="6">
        <v>19.625</v>
      </c>
      <c r="L900" s="6">
        <v>35.625</v>
      </c>
      <c r="M900" s="6">
        <v>-0.375</v>
      </c>
      <c r="N900" s="6">
        <v>-6.25E-2</v>
      </c>
      <c r="O900" s="6">
        <v>1.125</v>
      </c>
      <c r="P900" s="6">
        <v>-2.25</v>
      </c>
      <c r="Q900" s="6">
        <v>-44</v>
      </c>
      <c r="R900" s="6">
        <v>1.1940771341323899</v>
      </c>
      <c r="S900" s="6">
        <v>-30.474258422851602</v>
      </c>
      <c r="T900" s="6">
        <v>-0.22219866514205899</v>
      </c>
      <c r="U900" s="6">
        <v>0.21765513718128199</v>
      </c>
      <c r="V900" s="6">
        <v>-7.9254570007324201</v>
      </c>
      <c r="W900" s="6">
        <v>-18.6961574554443</v>
      </c>
    </row>
    <row r="901" spans="1:23" ht="18.95" customHeight="1">
      <c r="A901" s="4">
        <v>897</v>
      </c>
      <c r="B901" s="4">
        <v>19272</v>
      </c>
      <c r="C901" s="4">
        <v>1</v>
      </c>
      <c r="D901" s="6">
        <v>0</v>
      </c>
      <c r="E901" s="6">
        <v>0</v>
      </c>
      <c r="F901" s="6">
        <v>31.1875</v>
      </c>
      <c r="G901" s="6">
        <v>0.8125</v>
      </c>
      <c r="H901" s="6">
        <v>6.25E-2</v>
      </c>
      <c r="I901" s="6">
        <v>1.3125</v>
      </c>
      <c r="J901" s="6">
        <v>-1.375</v>
      </c>
      <c r="K901" s="6">
        <v>19</v>
      </c>
      <c r="L901" s="6">
        <v>32.875</v>
      </c>
      <c r="M901" s="6">
        <v>-0.375</v>
      </c>
      <c r="N901" s="6">
        <v>0</v>
      </c>
      <c r="O901" s="6">
        <v>1.125</v>
      </c>
      <c r="P901" s="6">
        <v>-2.1875</v>
      </c>
      <c r="Q901" s="6">
        <v>-45</v>
      </c>
      <c r="R901" s="6">
        <v>0.59865713119506803</v>
      </c>
      <c r="S901" s="6">
        <v>-31.588762283325199</v>
      </c>
      <c r="T901" s="6">
        <v>-0.61914521455764804</v>
      </c>
      <c r="U901" s="6">
        <v>0.272627413272858</v>
      </c>
      <c r="V901" s="6">
        <v>-8.4763698577880895</v>
      </c>
      <c r="W901" s="6">
        <v>-18.6955261230469</v>
      </c>
    </row>
    <row r="902" spans="1:23" ht="18.95" customHeight="1">
      <c r="A902" s="4">
        <v>898</v>
      </c>
      <c r="B902" s="4">
        <v>19293</v>
      </c>
      <c r="C902" s="4">
        <v>1</v>
      </c>
      <c r="D902" s="6">
        <v>0</v>
      </c>
      <c r="E902" s="6">
        <v>0</v>
      </c>
      <c r="F902" s="6">
        <v>32.3125</v>
      </c>
      <c r="G902" s="6">
        <v>0.875</v>
      </c>
      <c r="H902" s="6">
        <v>0.3125</v>
      </c>
      <c r="I902" s="6">
        <v>1.375</v>
      </c>
      <c r="J902" s="6">
        <v>-1.375</v>
      </c>
      <c r="K902" s="6">
        <v>18.375</v>
      </c>
      <c r="L902" s="6">
        <v>30.25</v>
      </c>
      <c r="M902" s="6">
        <v>-0.1875</v>
      </c>
      <c r="N902" s="6">
        <v>0.125</v>
      </c>
      <c r="O902" s="6">
        <v>1.1875</v>
      </c>
      <c r="P902" s="6">
        <v>-2.1875</v>
      </c>
      <c r="Q902" s="6">
        <v>-45.625</v>
      </c>
      <c r="R902" s="6">
        <v>1.20934426784515</v>
      </c>
      <c r="S902" s="6">
        <v>-33.115478515625</v>
      </c>
      <c r="T902" s="6">
        <v>-0.115328431129456</v>
      </c>
      <c r="U902" s="6">
        <v>0.27479439973831199</v>
      </c>
      <c r="V902" s="6">
        <v>-9.0849399566650408</v>
      </c>
      <c r="W902" s="6">
        <v>-18.700933456420898</v>
      </c>
    </row>
    <row r="903" spans="1:23" ht="18.95" customHeight="1">
      <c r="A903" s="4">
        <v>899</v>
      </c>
      <c r="B903" s="4">
        <v>19315</v>
      </c>
      <c r="C903" s="4">
        <v>1</v>
      </c>
      <c r="D903" s="6">
        <v>0</v>
      </c>
      <c r="E903" s="6">
        <v>0</v>
      </c>
      <c r="F903" s="6">
        <v>33.875</v>
      </c>
      <c r="G903" s="6">
        <v>0.625</v>
      </c>
      <c r="H903" s="6">
        <v>6.25E-2</v>
      </c>
      <c r="I903" s="6">
        <v>1.375</v>
      </c>
      <c r="J903" s="6">
        <v>-1.4375</v>
      </c>
      <c r="K903" s="6">
        <v>17.375</v>
      </c>
      <c r="L903" s="6">
        <v>28.4375</v>
      </c>
      <c r="M903" s="6">
        <v>-0.375</v>
      </c>
      <c r="N903" s="6">
        <v>0.125</v>
      </c>
      <c r="O903" s="6">
        <v>1.1875</v>
      </c>
      <c r="P903" s="6">
        <v>-2.1875</v>
      </c>
      <c r="Q903" s="6">
        <v>-46.1875</v>
      </c>
      <c r="R903" s="6">
        <v>1.2856801748275799</v>
      </c>
      <c r="S903" s="6">
        <v>-34.535324096679702</v>
      </c>
      <c r="T903" s="6">
        <v>-3.8992583751678501E-2</v>
      </c>
      <c r="U903" s="6">
        <v>0.26783007383346602</v>
      </c>
      <c r="V903" s="6">
        <v>-9.6765661239624006</v>
      </c>
      <c r="W903" s="6">
        <v>-18.701459884643601</v>
      </c>
    </row>
    <row r="904" spans="1:23" ht="18.95" customHeight="1">
      <c r="A904" s="4">
        <v>900</v>
      </c>
      <c r="B904" s="4">
        <v>19337</v>
      </c>
      <c r="C904" s="4">
        <v>1</v>
      </c>
      <c r="D904" s="6">
        <v>0</v>
      </c>
      <c r="E904" s="6">
        <v>0</v>
      </c>
      <c r="F904" s="6">
        <v>34.8125</v>
      </c>
      <c r="G904" s="6">
        <v>1.125</v>
      </c>
      <c r="H904" s="6">
        <v>0.3125</v>
      </c>
      <c r="I904" s="6">
        <v>1.375</v>
      </c>
      <c r="J904" s="6">
        <v>-1.4375</v>
      </c>
      <c r="K904" s="6">
        <v>16.625</v>
      </c>
      <c r="L904" s="6">
        <v>26.25</v>
      </c>
      <c r="M904" s="6">
        <v>-6.25E-2</v>
      </c>
      <c r="N904" s="6">
        <v>-0.1875</v>
      </c>
      <c r="O904" s="6">
        <v>1.1875</v>
      </c>
      <c r="P904" s="6">
        <v>-2.1875</v>
      </c>
      <c r="Q904" s="6">
        <v>-46.75</v>
      </c>
      <c r="R904" s="6">
        <v>1.33148169517517</v>
      </c>
      <c r="S904" s="6">
        <v>-36.520057678222699</v>
      </c>
      <c r="T904" s="6">
        <v>-3.8992583751678501E-2</v>
      </c>
      <c r="U904" s="6">
        <v>0.31015402078628501</v>
      </c>
      <c r="V904" s="6">
        <v>-10.3503074645996</v>
      </c>
      <c r="W904" s="6">
        <v>-18.706148147583001</v>
      </c>
    </row>
    <row r="905" spans="1:23" ht="18.95" customHeight="1">
      <c r="A905" s="4">
        <v>901</v>
      </c>
      <c r="B905" s="4">
        <v>19357</v>
      </c>
      <c r="C905" s="4">
        <v>1</v>
      </c>
      <c r="D905" s="6">
        <v>0</v>
      </c>
      <c r="E905" s="6">
        <v>0</v>
      </c>
      <c r="F905" s="6">
        <v>37.5</v>
      </c>
      <c r="G905" s="6">
        <v>0.8125</v>
      </c>
      <c r="H905" s="6">
        <v>0.25</v>
      </c>
      <c r="I905" s="6">
        <v>1.375</v>
      </c>
      <c r="J905" s="6">
        <v>-1.4375</v>
      </c>
      <c r="K905" s="6">
        <v>15.9375</v>
      </c>
      <c r="L905" s="6">
        <v>24.4375</v>
      </c>
      <c r="M905" s="6">
        <v>-0.1875</v>
      </c>
      <c r="N905" s="6">
        <v>6.25E-2</v>
      </c>
      <c r="O905" s="6">
        <v>1.1875</v>
      </c>
      <c r="P905" s="6">
        <v>-2.1875</v>
      </c>
      <c r="Q905" s="6">
        <v>-47.25</v>
      </c>
      <c r="R905" s="6">
        <v>1.74369549751282</v>
      </c>
      <c r="S905" s="6">
        <v>-37.695632934570298</v>
      </c>
      <c r="T905" s="6">
        <v>0.26635098457336398</v>
      </c>
      <c r="U905" s="6">
        <v>0.27104991674423201</v>
      </c>
      <c r="V905" s="6">
        <v>-11.0208330154419</v>
      </c>
      <c r="W905" s="6">
        <v>-18.7036228179932</v>
      </c>
    </row>
    <row r="906" spans="1:23" ht="18.95" customHeight="1">
      <c r="A906" s="4">
        <v>902</v>
      </c>
      <c r="B906" s="4">
        <v>19377</v>
      </c>
      <c r="C906" s="4">
        <v>1</v>
      </c>
      <c r="D906" s="6">
        <v>0</v>
      </c>
      <c r="E906" s="6">
        <v>0</v>
      </c>
      <c r="F906" s="6">
        <v>37.75</v>
      </c>
      <c r="G906" s="6">
        <v>1</v>
      </c>
      <c r="H906" s="6">
        <v>0.25</v>
      </c>
      <c r="I906" s="6">
        <v>1.375</v>
      </c>
      <c r="J906" s="6">
        <v>-1.4375</v>
      </c>
      <c r="K906" s="6">
        <v>15.1875</v>
      </c>
      <c r="L906" s="6">
        <v>22.375</v>
      </c>
      <c r="M906" s="6">
        <v>-0.1875</v>
      </c>
      <c r="N906" s="6">
        <v>-0.125</v>
      </c>
      <c r="O906" s="6">
        <v>1.1875</v>
      </c>
      <c r="P906" s="6">
        <v>-2.1875</v>
      </c>
      <c r="Q906" s="6">
        <v>-47.75</v>
      </c>
      <c r="R906" s="6">
        <v>1.3467488288879399</v>
      </c>
      <c r="S906" s="6">
        <v>-38.596397399902301</v>
      </c>
      <c r="T906" s="6">
        <v>-0.43593913316726701</v>
      </c>
      <c r="U906" s="6">
        <v>0.35854673385620101</v>
      </c>
      <c r="V906" s="6">
        <v>-11.657096862793001</v>
      </c>
      <c r="W906" s="6">
        <v>-18.706556320190401</v>
      </c>
    </row>
    <row r="907" spans="1:23" ht="18.95" customHeight="1">
      <c r="A907" s="4">
        <v>903</v>
      </c>
      <c r="B907" s="4">
        <v>19415</v>
      </c>
      <c r="C907" s="4">
        <v>1</v>
      </c>
      <c r="D907" s="6">
        <v>0</v>
      </c>
      <c r="E907" s="6">
        <v>0</v>
      </c>
      <c r="F907" s="6">
        <v>39.6875</v>
      </c>
      <c r="G907" s="6">
        <v>0.875</v>
      </c>
      <c r="H907" s="6">
        <v>0.375</v>
      </c>
      <c r="I907" s="6">
        <v>1.4375</v>
      </c>
      <c r="J907" s="6">
        <v>-1.5</v>
      </c>
      <c r="K907" s="6">
        <v>14</v>
      </c>
      <c r="L907" s="6">
        <v>17.875</v>
      </c>
      <c r="M907" s="6">
        <v>-6.25E-2</v>
      </c>
      <c r="N907" s="6">
        <v>-0.125</v>
      </c>
      <c r="O907" s="6">
        <v>1.1875</v>
      </c>
      <c r="P907" s="6">
        <v>-2.1875</v>
      </c>
      <c r="Q907" s="6">
        <v>-48.5</v>
      </c>
      <c r="R907" s="6">
        <v>1.1330083608627299</v>
      </c>
      <c r="S907" s="6">
        <v>-40.275787353515597</v>
      </c>
      <c r="T907" s="6">
        <v>-0.31380170583724998</v>
      </c>
      <c r="U907" s="6">
        <v>0.29069206118583701</v>
      </c>
      <c r="V907" s="6">
        <v>-13.1097555160522</v>
      </c>
      <c r="W907" s="6">
        <v>-18.715885162353501</v>
      </c>
    </row>
    <row r="908" spans="1:23" ht="18.95" customHeight="1">
      <c r="A908" s="4">
        <v>904</v>
      </c>
      <c r="B908" s="4">
        <v>19435</v>
      </c>
      <c r="C908" s="4">
        <v>1</v>
      </c>
      <c r="D908" s="6">
        <v>0</v>
      </c>
      <c r="E908" s="6">
        <v>0</v>
      </c>
      <c r="F908" s="6">
        <v>40.875</v>
      </c>
      <c r="G908" s="6">
        <v>1</v>
      </c>
      <c r="H908" s="6">
        <v>0.375</v>
      </c>
      <c r="I908" s="6">
        <v>1.4375</v>
      </c>
      <c r="J908" s="6">
        <v>-1.5</v>
      </c>
      <c r="K908" s="6">
        <v>13.25</v>
      </c>
      <c r="L908" s="6">
        <v>15.6875</v>
      </c>
      <c r="M908" s="6">
        <v>-0.1875</v>
      </c>
      <c r="N908" s="6">
        <v>6.25E-2</v>
      </c>
      <c r="O908" s="6">
        <v>1.1875</v>
      </c>
      <c r="P908" s="6">
        <v>-2.1875</v>
      </c>
      <c r="Q908" s="6">
        <v>-48.875</v>
      </c>
      <c r="R908" s="6">
        <v>1.8505656719207799</v>
      </c>
      <c r="S908" s="6">
        <v>-41.4513549804688</v>
      </c>
      <c r="T908" s="6">
        <v>0.44955706596374501</v>
      </c>
      <c r="U908" s="6">
        <v>0.296894311904907</v>
      </c>
      <c r="V908" s="6">
        <v>-13.776909828186</v>
      </c>
      <c r="W908" s="6">
        <v>-18.718488693237301</v>
      </c>
    </row>
    <row r="909" spans="1:23" ht="18.95" customHeight="1">
      <c r="A909" s="4">
        <v>905</v>
      </c>
      <c r="B909" s="4">
        <v>19455</v>
      </c>
      <c r="C909" s="4">
        <v>1</v>
      </c>
      <c r="D909" s="6">
        <v>0</v>
      </c>
      <c r="E909" s="6">
        <v>0</v>
      </c>
      <c r="F909" s="6">
        <v>42.3125</v>
      </c>
      <c r="G909" s="6">
        <v>0.875</v>
      </c>
      <c r="H909" s="6">
        <v>0.25</v>
      </c>
      <c r="I909" s="6">
        <v>1.4375</v>
      </c>
      <c r="J909" s="6">
        <v>-1.5</v>
      </c>
      <c r="K909" s="6">
        <v>12.4375</v>
      </c>
      <c r="L909" s="6">
        <v>14</v>
      </c>
      <c r="M909" s="6">
        <v>-0.125</v>
      </c>
      <c r="N909" s="6">
        <v>0</v>
      </c>
      <c r="O909" s="6">
        <v>1.1875</v>
      </c>
      <c r="P909" s="6">
        <v>-2.1875</v>
      </c>
      <c r="Q909" s="6">
        <v>-49.125</v>
      </c>
      <c r="R909" s="6">
        <v>1.69789385795593</v>
      </c>
      <c r="S909" s="6">
        <v>-42.886474609375</v>
      </c>
      <c r="T909" s="6">
        <v>2.2076129913330099E-2</v>
      </c>
      <c r="U909" s="6">
        <v>0.31350591778755199</v>
      </c>
      <c r="V909" s="6">
        <v>-14.4830274581909</v>
      </c>
      <c r="W909" s="6">
        <v>-18.719802856445298</v>
      </c>
    </row>
    <row r="910" spans="1:23" ht="18.95" customHeight="1">
      <c r="A910" s="4">
        <v>906</v>
      </c>
      <c r="B910" s="4">
        <v>19475</v>
      </c>
      <c r="C910" s="4">
        <v>1</v>
      </c>
      <c r="D910" s="6">
        <v>0</v>
      </c>
      <c r="E910" s="6">
        <v>0</v>
      </c>
      <c r="F910" s="6">
        <v>43.6875</v>
      </c>
      <c r="G910" s="6">
        <v>1</v>
      </c>
      <c r="H910" s="6">
        <v>0.375</v>
      </c>
      <c r="I910" s="6">
        <v>1.4375</v>
      </c>
      <c r="J910" s="6">
        <v>-1.5625</v>
      </c>
      <c r="K910" s="6">
        <v>11.5625</v>
      </c>
      <c r="L910" s="6">
        <v>11.875</v>
      </c>
      <c r="M910" s="6">
        <v>-0.1875</v>
      </c>
      <c r="N910" s="6">
        <v>6.25E-2</v>
      </c>
      <c r="O910" s="6">
        <v>1.1875</v>
      </c>
      <c r="P910" s="6">
        <v>-2.1875</v>
      </c>
      <c r="Q910" s="6">
        <v>-49.375</v>
      </c>
      <c r="R910" s="6">
        <v>1.42308473587036</v>
      </c>
      <c r="S910" s="6">
        <v>-43.695632934570298</v>
      </c>
      <c r="T910" s="6">
        <v>-0.31380170583724998</v>
      </c>
      <c r="U910" s="6">
        <v>0.36142009496688798</v>
      </c>
      <c r="V910" s="6">
        <v>-15.255790710449199</v>
      </c>
      <c r="W910" s="6">
        <v>-18.726882934570298</v>
      </c>
    </row>
    <row r="911" spans="1:23" ht="18.95" customHeight="1">
      <c r="A911" s="4">
        <v>907</v>
      </c>
      <c r="B911" s="4">
        <v>19495</v>
      </c>
      <c r="C911" s="4">
        <v>1</v>
      </c>
      <c r="D911" s="6">
        <v>0</v>
      </c>
      <c r="E911" s="6">
        <v>0</v>
      </c>
      <c r="F911" s="6">
        <v>44.8125</v>
      </c>
      <c r="G911" s="6">
        <v>1.125</v>
      </c>
      <c r="H911" s="6">
        <v>0.3125</v>
      </c>
      <c r="I911" s="6">
        <v>1.4375</v>
      </c>
      <c r="J911" s="6">
        <v>-1.5625</v>
      </c>
      <c r="K911" s="6">
        <v>10.6875</v>
      </c>
      <c r="L911" s="6">
        <v>10.125</v>
      </c>
      <c r="M911" s="6">
        <v>-6.25E-2</v>
      </c>
      <c r="N911" s="6">
        <v>-0.125</v>
      </c>
      <c r="O911" s="6">
        <v>1.25</v>
      </c>
      <c r="P911" s="6">
        <v>-2.1875</v>
      </c>
      <c r="Q911" s="6">
        <v>-49.625</v>
      </c>
      <c r="R911" s="6">
        <v>1.30094730854034</v>
      </c>
      <c r="S911" s="6">
        <v>-44.978073120117202</v>
      </c>
      <c r="T911" s="6">
        <v>-0.22219866514205899</v>
      </c>
      <c r="U911" s="6">
        <v>0.471042931079865</v>
      </c>
      <c r="V911" s="6">
        <v>-16.048282623291001</v>
      </c>
      <c r="W911" s="6">
        <v>-18.725257873535199</v>
      </c>
    </row>
    <row r="912" spans="1:23" ht="18.95" customHeight="1">
      <c r="A912" s="4">
        <v>908</v>
      </c>
      <c r="B912" s="4">
        <v>19515</v>
      </c>
      <c r="C912" s="4">
        <v>1</v>
      </c>
      <c r="D912" s="6">
        <v>0</v>
      </c>
      <c r="E912" s="6">
        <v>0</v>
      </c>
      <c r="F912" s="6">
        <v>45.375</v>
      </c>
      <c r="G912" s="6">
        <v>1.0625</v>
      </c>
      <c r="H912" s="6">
        <v>0.4375</v>
      </c>
      <c r="I912" s="6">
        <v>1.5</v>
      </c>
      <c r="J912" s="6">
        <v>-1.5625</v>
      </c>
      <c r="K912" s="6">
        <v>9.8125</v>
      </c>
      <c r="L912" s="6">
        <v>7.8125</v>
      </c>
      <c r="M912" s="6">
        <v>0</v>
      </c>
      <c r="N912" s="6">
        <v>-6.25E-2</v>
      </c>
      <c r="O912" s="6">
        <v>1.25</v>
      </c>
      <c r="P912" s="6">
        <v>-2.1875</v>
      </c>
      <c r="Q912" s="6">
        <v>-49.8125</v>
      </c>
      <c r="R912" s="6">
        <v>1.6520923376083401</v>
      </c>
      <c r="S912" s="6">
        <v>-45.970443725585902</v>
      </c>
      <c r="T912" s="6">
        <v>-0.25273302197456399</v>
      </c>
      <c r="U912" s="6">
        <v>0.42704182863235501</v>
      </c>
      <c r="V912" s="6">
        <v>-16.769668579101602</v>
      </c>
      <c r="W912" s="6">
        <v>-18.727418899536101</v>
      </c>
    </row>
    <row r="913" spans="1:23" ht="18.95" customHeight="1">
      <c r="A913" s="4">
        <v>909</v>
      </c>
      <c r="B913" s="4">
        <v>19535</v>
      </c>
      <c r="C913" s="4">
        <v>1</v>
      </c>
      <c r="D913" s="6">
        <v>0</v>
      </c>
      <c r="E913" s="6">
        <v>0</v>
      </c>
      <c r="F913" s="6">
        <v>47.5</v>
      </c>
      <c r="G913" s="6">
        <v>1</v>
      </c>
      <c r="H913" s="6">
        <v>0.5</v>
      </c>
      <c r="I913" s="6">
        <v>1.5</v>
      </c>
      <c r="J913" s="6">
        <v>-1.625</v>
      </c>
      <c r="K913" s="6">
        <v>8.9375</v>
      </c>
      <c r="L913" s="6">
        <v>6.25</v>
      </c>
      <c r="M913" s="6">
        <v>-0.125</v>
      </c>
      <c r="N913" s="6">
        <v>-0.125</v>
      </c>
      <c r="O913" s="6">
        <v>1.25</v>
      </c>
      <c r="P913" s="6">
        <v>-2.125</v>
      </c>
      <c r="Q913" s="6">
        <v>-49.9375</v>
      </c>
      <c r="R913" s="6">
        <v>1.5910236835479701</v>
      </c>
      <c r="S913" s="6">
        <v>-46.474258422851598</v>
      </c>
      <c r="T913" s="6">
        <v>-0.55807650089263905</v>
      </c>
      <c r="U913" s="6">
        <v>0.58635127544403098</v>
      </c>
      <c r="V913" s="6">
        <v>-17.482011795043899</v>
      </c>
      <c r="W913" s="6">
        <v>-18.724037170410199</v>
      </c>
    </row>
    <row r="914" spans="1:23" ht="18.95" customHeight="1">
      <c r="A914" s="4">
        <v>910</v>
      </c>
      <c r="B914" s="4">
        <v>19555</v>
      </c>
      <c r="C914" s="4">
        <v>1</v>
      </c>
      <c r="D914" s="6">
        <v>0</v>
      </c>
      <c r="E914" s="6">
        <v>0</v>
      </c>
      <c r="F914" s="6">
        <v>47.0625</v>
      </c>
      <c r="G914" s="6">
        <v>1.3125</v>
      </c>
      <c r="H914" s="6">
        <v>0.8125</v>
      </c>
      <c r="I914" s="6">
        <v>1.5</v>
      </c>
      <c r="J914" s="6">
        <v>-1.625</v>
      </c>
      <c r="K914" s="6">
        <v>8</v>
      </c>
      <c r="L914" s="6">
        <v>3.75</v>
      </c>
      <c r="M914" s="6">
        <v>-6.25E-2</v>
      </c>
      <c r="N914" s="6">
        <v>0</v>
      </c>
      <c r="O914" s="6">
        <v>1.25</v>
      </c>
      <c r="P914" s="6">
        <v>-2.125</v>
      </c>
      <c r="Q914" s="6">
        <v>-50.0625</v>
      </c>
      <c r="R914" s="6">
        <v>2.5375885963439901</v>
      </c>
      <c r="S914" s="6">
        <v>-46.092582702636697</v>
      </c>
      <c r="T914" s="6">
        <v>0.52589297294616699</v>
      </c>
      <c r="U914" s="6">
        <v>0.51735943555831898</v>
      </c>
      <c r="V914" s="6">
        <v>-18.305339813232401</v>
      </c>
      <c r="W914" s="6">
        <v>-18.7297248840332</v>
      </c>
    </row>
    <row r="915" spans="1:23" ht="18.95" customHeight="1">
      <c r="A915" s="4">
        <v>911</v>
      </c>
      <c r="B915" s="4">
        <v>19576</v>
      </c>
      <c r="C915" s="4">
        <v>1</v>
      </c>
      <c r="D915" s="6">
        <v>0</v>
      </c>
      <c r="E915" s="6">
        <v>0</v>
      </c>
      <c r="F915" s="6">
        <v>48.3125</v>
      </c>
      <c r="G915" s="6">
        <v>1</v>
      </c>
      <c r="H915" s="6">
        <v>0.125</v>
      </c>
      <c r="I915" s="6">
        <v>1.5</v>
      </c>
      <c r="J915" s="6">
        <v>-1.625</v>
      </c>
      <c r="K915" s="6">
        <v>7.0625</v>
      </c>
      <c r="L915" s="6">
        <v>2.25</v>
      </c>
      <c r="M915" s="6">
        <v>-0.125</v>
      </c>
      <c r="N915" s="6">
        <v>-6.25E-2</v>
      </c>
      <c r="O915" s="6">
        <v>1.25</v>
      </c>
      <c r="P915" s="6">
        <v>-2.125</v>
      </c>
      <c r="Q915" s="6">
        <v>-50.125</v>
      </c>
      <c r="R915" s="6">
        <v>1.7742297649383501</v>
      </c>
      <c r="S915" s="6">
        <v>-45.833038330078097</v>
      </c>
      <c r="T915" s="6">
        <v>-0.191664308309555</v>
      </c>
      <c r="U915" s="6">
        <v>0.63378989696502697</v>
      </c>
      <c r="V915" s="6">
        <v>-19.077510833740199</v>
      </c>
      <c r="W915" s="6">
        <v>-18.717710494995099</v>
      </c>
    </row>
    <row r="916" spans="1:23" ht="18.95" customHeight="1">
      <c r="A916" s="4">
        <v>912</v>
      </c>
      <c r="B916" s="4">
        <v>19597</v>
      </c>
      <c r="C916" s="4">
        <v>1</v>
      </c>
      <c r="D916" s="6">
        <v>0</v>
      </c>
      <c r="E916" s="6">
        <v>0</v>
      </c>
      <c r="F916" s="6">
        <v>47</v>
      </c>
      <c r="G916" s="6">
        <v>1.4375</v>
      </c>
      <c r="H916" s="6">
        <v>0.875</v>
      </c>
      <c r="I916" s="6">
        <v>1.5</v>
      </c>
      <c r="J916" s="6">
        <v>-1.6875</v>
      </c>
      <c r="K916" s="6">
        <v>6.1875</v>
      </c>
      <c r="L916" s="6">
        <v>0.125</v>
      </c>
      <c r="M916" s="6">
        <v>0.1875</v>
      </c>
      <c r="N916" s="6">
        <v>0.125</v>
      </c>
      <c r="O916" s="6">
        <v>1.1875</v>
      </c>
      <c r="P916" s="6">
        <v>-2.125</v>
      </c>
      <c r="Q916" s="6">
        <v>-50.125</v>
      </c>
      <c r="R916" s="6">
        <v>2.3696496486663801</v>
      </c>
      <c r="S916" s="6">
        <v>-45.985710144042997</v>
      </c>
      <c r="T916" s="6">
        <v>0.37322115898132302</v>
      </c>
      <c r="U916" s="6">
        <v>0.56231749057769798</v>
      </c>
      <c r="V916" s="6">
        <v>-19.941839218139599</v>
      </c>
      <c r="W916" s="6">
        <v>-18.717124938964801</v>
      </c>
    </row>
    <row r="917" spans="1:23" ht="18.95" customHeight="1">
      <c r="A917" s="4">
        <v>913</v>
      </c>
      <c r="B917" s="4">
        <v>19618</v>
      </c>
      <c r="C917" s="4">
        <v>1</v>
      </c>
      <c r="D917" s="6">
        <v>0</v>
      </c>
      <c r="E917" s="6">
        <v>0</v>
      </c>
      <c r="F917" s="6">
        <v>48.0625</v>
      </c>
      <c r="G917" s="6">
        <v>1.25</v>
      </c>
      <c r="H917" s="6">
        <v>0.5625</v>
      </c>
      <c r="I917" s="6">
        <v>1.5</v>
      </c>
      <c r="J917" s="6">
        <v>-1.75</v>
      </c>
      <c r="K917" s="6">
        <v>4.75</v>
      </c>
      <c r="L917" s="6">
        <v>-1.0625</v>
      </c>
      <c r="M917" s="6">
        <v>0</v>
      </c>
      <c r="N917" s="6">
        <v>0.25</v>
      </c>
      <c r="O917" s="6">
        <v>1.1875</v>
      </c>
      <c r="P917" s="6">
        <v>-2.125</v>
      </c>
      <c r="Q917" s="6">
        <v>-50.125</v>
      </c>
      <c r="R917" s="6">
        <v>2.61392450332642</v>
      </c>
      <c r="S917" s="6">
        <v>-45.833038330078097</v>
      </c>
      <c r="T917" s="6">
        <v>0.40375554561615001</v>
      </c>
      <c r="U917" s="6">
        <v>0.62384527921676602</v>
      </c>
      <c r="V917" s="6">
        <v>-20.709663391113299</v>
      </c>
      <c r="W917" s="6">
        <v>-18.703304290771499</v>
      </c>
    </row>
    <row r="918" spans="1:23" ht="18.95" customHeight="1">
      <c r="A918" s="4">
        <v>914</v>
      </c>
      <c r="B918" s="4">
        <v>19640</v>
      </c>
      <c r="C918" s="4">
        <v>1</v>
      </c>
      <c r="D918" s="6">
        <v>0</v>
      </c>
      <c r="E918" s="6">
        <v>0</v>
      </c>
      <c r="F918" s="6">
        <v>47.4375</v>
      </c>
      <c r="G918" s="6">
        <v>1.6875</v>
      </c>
      <c r="H918" s="6">
        <v>0.9375</v>
      </c>
      <c r="I918" s="6">
        <v>1.5</v>
      </c>
      <c r="J918" s="6">
        <v>-1.75</v>
      </c>
      <c r="K918" s="6">
        <v>3.875</v>
      </c>
      <c r="L918" s="6">
        <v>-3.0625</v>
      </c>
      <c r="M918" s="6">
        <v>0.3125</v>
      </c>
      <c r="N918" s="6">
        <v>-0.125</v>
      </c>
      <c r="O918" s="6">
        <v>1.1875</v>
      </c>
      <c r="P918" s="6">
        <v>-2.125</v>
      </c>
      <c r="Q918" s="6">
        <v>-50.0625</v>
      </c>
      <c r="R918" s="6">
        <v>1.74369549751282</v>
      </c>
      <c r="S918" s="6">
        <v>-46.306320190429702</v>
      </c>
      <c r="T918" s="6">
        <v>6.7877650260925307E-2</v>
      </c>
      <c r="U918" s="6">
        <v>0.72961127758026101</v>
      </c>
      <c r="V918" s="6">
        <v>-21.541511535644499</v>
      </c>
      <c r="W918" s="6">
        <v>-18.702375411987301</v>
      </c>
    </row>
    <row r="919" spans="1:23" ht="18.95" customHeight="1">
      <c r="A919" s="4">
        <v>915</v>
      </c>
      <c r="B919" s="4">
        <v>19660</v>
      </c>
      <c r="C919" s="4">
        <v>1</v>
      </c>
      <c r="D919" s="6">
        <v>0</v>
      </c>
      <c r="E919" s="6">
        <v>0</v>
      </c>
      <c r="F919" s="6">
        <v>47.5625</v>
      </c>
      <c r="G919" s="6">
        <v>1.125</v>
      </c>
      <c r="H919" s="6">
        <v>0.625</v>
      </c>
      <c r="I919" s="6">
        <v>1.5</v>
      </c>
      <c r="J919" s="6">
        <v>-1.75</v>
      </c>
      <c r="K919" s="6">
        <v>2.9375</v>
      </c>
      <c r="L919" s="6">
        <v>-4.8125</v>
      </c>
      <c r="M919" s="6">
        <v>6.25E-2</v>
      </c>
      <c r="N919" s="6">
        <v>-6.25E-2</v>
      </c>
      <c r="O919" s="6">
        <v>1.1875</v>
      </c>
      <c r="P919" s="6">
        <v>-2.125</v>
      </c>
      <c r="Q919" s="6">
        <v>-50</v>
      </c>
      <c r="R919" s="6">
        <v>2.2322449684143102</v>
      </c>
      <c r="S919" s="6">
        <v>-45.6651000976562</v>
      </c>
      <c r="T919" s="6">
        <v>2.2076129913330099E-2</v>
      </c>
      <c r="U919" s="6">
        <v>0.70191019773483299</v>
      </c>
      <c r="V919" s="6">
        <v>-22.291627883911101</v>
      </c>
      <c r="W919" s="6">
        <v>-18.7026672363281</v>
      </c>
    </row>
    <row r="920" spans="1:23" ht="18.95" customHeight="1">
      <c r="A920" s="4">
        <v>916</v>
      </c>
      <c r="B920" s="4">
        <v>19680</v>
      </c>
      <c r="C920" s="4">
        <v>1</v>
      </c>
      <c r="D920" s="6">
        <v>0</v>
      </c>
      <c r="E920" s="6">
        <v>0</v>
      </c>
      <c r="F920" s="6">
        <v>47.0625</v>
      </c>
      <c r="G920" s="6">
        <v>1.125</v>
      </c>
      <c r="H920" s="6">
        <v>0.5625</v>
      </c>
      <c r="I920" s="6">
        <v>1.5625</v>
      </c>
      <c r="J920" s="6">
        <v>-1.8125</v>
      </c>
      <c r="K920" s="6">
        <v>2</v>
      </c>
      <c r="L920" s="6">
        <v>-6.375</v>
      </c>
      <c r="M920" s="6">
        <v>6.25E-2</v>
      </c>
      <c r="N920" s="6">
        <v>6.25E-2</v>
      </c>
      <c r="O920" s="6">
        <v>1.1875</v>
      </c>
      <c r="P920" s="6">
        <v>-2.125</v>
      </c>
      <c r="Q920" s="6">
        <v>-49.8125</v>
      </c>
      <c r="R920" s="6">
        <v>2.3085808753967298</v>
      </c>
      <c r="S920" s="6">
        <v>-46.947540283203097</v>
      </c>
      <c r="T920" s="6">
        <v>0.54116010665893599</v>
      </c>
      <c r="U920" s="6">
        <v>0.73235374689102195</v>
      </c>
      <c r="V920" s="6">
        <v>-23.0897216796875</v>
      </c>
      <c r="W920" s="6">
        <v>-18.691234588623001</v>
      </c>
    </row>
    <row r="921" spans="1:23" ht="18.95" customHeight="1">
      <c r="A921" s="4">
        <v>917</v>
      </c>
      <c r="B921" s="4">
        <v>19700</v>
      </c>
      <c r="C921" s="4">
        <v>1</v>
      </c>
      <c r="D921" s="6">
        <v>0</v>
      </c>
      <c r="E921" s="6">
        <v>0</v>
      </c>
      <c r="F921" s="6">
        <v>48.25</v>
      </c>
      <c r="G921" s="6">
        <v>1.375</v>
      </c>
      <c r="H921" s="6">
        <v>1</v>
      </c>
      <c r="I921" s="6">
        <v>1.5</v>
      </c>
      <c r="J921" s="6">
        <v>-1.8125</v>
      </c>
      <c r="K921" s="6">
        <v>1.125</v>
      </c>
      <c r="L921" s="6">
        <v>-8.125</v>
      </c>
      <c r="M921" s="6">
        <v>0</v>
      </c>
      <c r="N921" s="6">
        <v>-0.125</v>
      </c>
      <c r="O921" s="6">
        <v>1.1875</v>
      </c>
      <c r="P921" s="6">
        <v>-2.125</v>
      </c>
      <c r="Q921" s="6">
        <v>-49.75</v>
      </c>
      <c r="R921" s="6">
        <v>2.2780466079711901</v>
      </c>
      <c r="S921" s="6">
        <v>-45.955177307128899</v>
      </c>
      <c r="T921" s="6">
        <v>0.63276314735412598</v>
      </c>
      <c r="U921" s="6">
        <v>0.80000597238540605</v>
      </c>
      <c r="V921" s="6">
        <v>-23.820121765136701</v>
      </c>
      <c r="W921" s="6">
        <v>-18.686637878418001</v>
      </c>
    </row>
    <row r="922" spans="1:23" ht="18.95" customHeight="1">
      <c r="A922" s="4">
        <v>918</v>
      </c>
      <c r="B922" s="4">
        <v>19720</v>
      </c>
      <c r="C922" s="4">
        <v>1</v>
      </c>
      <c r="D922" s="6">
        <v>0</v>
      </c>
      <c r="E922" s="6">
        <v>0</v>
      </c>
      <c r="F922" s="6">
        <v>47.875</v>
      </c>
      <c r="G922" s="6">
        <v>1.375</v>
      </c>
      <c r="H922" s="6">
        <v>0.8125</v>
      </c>
      <c r="I922" s="6">
        <v>1.5</v>
      </c>
      <c r="J922" s="6">
        <v>-1.875</v>
      </c>
      <c r="K922" s="6">
        <v>0.1875</v>
      </c>
      <c r="L922" s="6">
        <v>-9.625</v>
      </c>
      <c r="M922" s="6">
        <v>0.1875</v>
      </c>
      <c r="N922" s="6">
        <v>0</v>
      </c>
      <c r="O922" s="6">
        <v>1.1875</v>
      </c>
      <c r="P922" s="6">
        <v>-2.125</v>
      </c>
      <c r="Q922" s="6">
        <v>-49.5</v>
      </c>
      <c r="R922" s="6">
        <v>1.4383518695831301</v>
      </c>
      <c r="S922" s="6">
        <v>-46.687995910644503</v>
      </c>
      <c r="T922" s="6">
        <v>-0.34433606266975397</v>
      </c>
      <c r="U922" s="6">
        <v>0.85651391744613603</v>
      </c>
      <c r="V922" s="6">
        <v>-24.5616855621338</v>
      </c>
      <c r="W922" s="6">
        <v>-18.690181732177699</v>
      </c>
    </row>
    <row r="923" spans="1:23" ht="18.95" customHeight="1">
      <c r="A923" s="4">
        <v>919</v>
      </c>
      <c r="B923" s="4">
        <v>19740</v>
      </c>
      <c r="C923" s="4">
        <v>1</v>
      </c>
      <c r="D923" s="6">
        <v>0</v>
      </c>
      <c r="E923" s="6">
        <v>0</v>
      </c>
      <c r="F923" s="6">
        <v>47.8125</v>
      </c>
      <c r="G923" s="6">
        <v>0.9375</v>
      </c>
      <c r="H923" s="6">
        <v>0.3125</v>
      </c>
      <c r="I923" s="6">
        <v>1.5625</v>
      </c>
      <c r="J923" s="6">
        <v>-1.875</v>
      </c>
      <c r="K923" s="6">
        <v>-0.6875</v>
      </c>
      <c r="L923" s="6">
        <v>-11.3125</v>
      </c>
      <c r="M923" s="6">
        <v>0.1875</v>
      </c>
      <c r="N923" s="6">
        <v>0</v>
      </c>
      <c r="O923" s="6">
        <v>1.1875</v>
      </c>
      <c r="P923" s="6">
        <v>-2.125</v>
      </c>
      <c r="Q923" s="6">
        <v>-49.25</v>
      </c>
      <c r="R923" s="6">
        <v>2.2475121021270801</v>
      </c>
      <c r="S923" s="6">
        <v>-45.023880004882798</v>
      </c>
      <c r="T923" s="6">
        <v>0.60222876071929898</v>
      </c>
      <c r="U923" s="6">
        <v>0.85000866651535001</v>
      </c>
      <c r="V923" s="6">
        <v>-25.279769897460898</v>
      </c>
      <c r="W923" s="6">
        <v>-18.683956146240199</v>
      </c>
    </row>
    <row r="924" spans="1:23" ht="18.95" customHeight="1">
      <c r="A924" s="4">
        <v>920</v>
      </c>
      <c r="B924" s="4">
        <v>19761</v>
      </c>
      <c r="C924" s="4">
        <v>1</v>
      </c>
      <c r="D924" s="6">
        <v>0</v>
      </c>
      <c r="E924" s="6">
        <v>0</v>
      </c>
      <c r="F924" s="6">
        <v>46.75</v>
      </c>
      <c r="G924" s="6">
        <v>1.25</v>
      </c>
      <c r="H924" s="6">
        <v>0.8125</v>
      </c>
      <c r="I924" s="6">
        <v>1.5625</v>
      </c>
      <c r="J924" s="6">
        <v>-1.875</v>
      </c>
      <c r="K924" s="6">
        <v>-1.625</v>
      </c>
      <c r="L924" s="6">
        <v>-12.6875</v>
      </c>
      <c r="M924" s="6">
        <v>0.125</v>
      </c>
      <c r="N924" s="6">
        <v>-0.1875</v>
      </c>
      <c r="O924" s="6">
        <v>1.1875</v>
      </c>
      <c r="P924" s="6">
        <v>-2.125</v>
      </c>
      <c r="Q924" s="6">
        <v>-49.125</v>
      </c>
      <c r="R924" s="6">
        <v>2.0490388870239298</v>
      </c>
      <c r="S924" s="6">
        <v>-44.962806701660199</v>
      </c>
      <c r="T924" s="6">
        <v>0.174747884273529</v>
      </c>
      <c r="U924" s="6">
        <v>0.88975822925567605</v>
      </c>
      <c r="V924" s="6">
        <v>-26.0230903625488</v>
      </c>
      <c r="W924" s="6">
        <v>-18.678712844848601</v>
      </c>
    </row>
    <row r="925" spans="1:23" ht="18.95" customHeight="1">
      <c r="A925" s="4">
        <v>921</v>
      </c>
      <c r="B925" s="4">
        <v>19782</v>
      </c>
      <c r="C925" s="4">
        <v>1</v>
      </c>
      <c r="D925" s="6">
        <v>0</v>
      </c>
      <c r="E925" s="6">
        <v>0</v>
      </c>
      <c r="F925" s="6">
        <v>46.25</v>
      </c>
      <c r="G925" s="6">
        <v>1.25</v>
      </c>
      <c r="H925" s="6">
        <v>0.75</v>
      </c>
      <c r="I925" s="6">
        <v>1.5625</v>
      </c>
      <c r="J925" s="6">
        <v>-1.9375</v>
      </c>
      <c r="K925" s="6">
        <v>-2.5</v>
      </c>
      <c r="L925" s="6">
        <v>-14.8125</v>
      </c>
      <c r="M925" s="6">
        <v>0.25</v>
      </c>
      <c r="N925" s="6">
        <v>6.25E-2</v>
      </c>
      <c r="O925" s="6">
        <v>1.1875</v>
      </c>
      <c r="P925" s="6">
        <v>-2.125</v>
      </c>
      <c r="Q925" s="6">
        <v>-48.75</v>
      </c>
      <c r="R925" s="6">
        <v>1.5604892969131501</v>
      </c>
      <c r="S925" s="6">
        <v>-44.947540283203097</v>
      </c>
      <c r="T925" s="6">
        <v>-0.35960325598716703</v>
      </c>
      <c r="U925" s="6">
        <v>0.93919485807418801</v>
      </c>
      <c r="V925" s="6">
        <v>-26.792503356933601</v>
      </c>
      <c r="W925" s="6">
        <v>-18.6761360168457</v>
      </c>
    </row>
    <row r="926" spans="1:23" ht="18.95" customHeight="1">
      <c r="A926" s="4">
        <v>922</v>
      </c>
      <c r="B926" s="4">
        <v>19815</v>
      </c>
      <c r="C926" s="4">
        <v>1</v>
      </c>
      <c r="D926" s="6">
        <v>0</v>
      </c>
      <c r="E926" s="6">
        <v>0</v>
      </c>
      <c r="F926" s="6">
        <v>45.875</v>
      </c>
      <c r="G926" s="6">
        <v>1.125</v>
      </c>
      <c r="H926" s="6">
        <v>0.875</v>
      </c>
      <c r="I926" s="6">
        <v>1.5625</v>
      </c>
      <c r="J926" s="6">
        <v>-1.9375</v>
      </c>
      <c r="K926" s="6">
        <v>-3.8125</v>
      </c>
      <c r="L926" s="6">
        <v>-17.1875</v>
      </c>
      <c r="M926" s="6">
        <v>0.1875</v>
      </c>
      <c r="N926" s="6">
        <v>0.125</v>
      </c>
      <c r="O926" s="6">
        <v>1.1875</v>
      </c>
      <c r="P926" s="6">
        <v>-2.125</v>
      </c>
      <c r="Q926" s="6">
        <v>-48.3125</v>
      </c>
      <c r="R926" s="6">
        <v>2.0032374858856201</v>
      </c>
      <c r="S926" s="6">
        <v>-44.352119445800803</v>
      </c>
      <c r="T926" s="6">
        <v>0.32741963863372803</v>
      </c>
      <c r="U926" s="6">
        <v>0.99477881193161</v>
      </c>
      <c r="V926" s="6">
        <v>-28.1003532409668</v>
      </c>
      <c r="W926" s="6">
        <v>-18.664039611816399</v>
      </c>
    </row>
    <row r="927" spans="1:23" ht="18.95" customHeight="1">
      <c r="A927" s="4">
        <v>923</v>
      </c>
      <c r="B927" s="4">
        <v>19837</v>
      </c>
      <c r="C927" s="4">
        <v>1</v>
      </c>
      <c r="D927" s="6">
        <v>0</v>
      </c>
      <c r="E927" s="6">
        <v>0</v>
      </c>
      <c r="F927" s="6">
        <v>45.5625</v>
      </c>
      <c r="G927" s="6">
        <v>1.25</v>
      </c>
      <c r="H927" s="6">
        <v>1</v>
      </c>
      <c r="I927" s="6">
        <v>1.5625</v>
      </c>
      <c r="J927" s="6">
        <v>-2</v>
      </c>
      <c r="K927" s="6">
        <v>-4.75</v>
      </c>
      <c r="L927" s="6">
        <v>-18.75</v>
      </c>
      <c r="M927" s="6">
        <v>6.25E-2</v>
      </c>
      <c r="N927" s="6">
        <v>-6.25E-2</v>
      </c>
      <c r="O927" s="6">
        <v>1.125</v>
      </c>
      <c r="P927" s="6">
        <v>-2.125</v>
      </c>
      <c r="Q927" s="6">
        <v>-47.9375</v>
      </c>
      <c r="R927" s="6">
        <v>2.1864435672760001</v>
      </c>
      <c r="S927" s="6">
        <v>-43.023880004882798</v>
      </c>
      <c r="T927" s="6">
        <v>0.510625720024109</v>
      </c>
      <c r="U927" s="6">
        <v>0.97736120223999001</v>
      </c>
      <c r="V927" s="6">
        <v>-28.927268981933601</v>
      </c>
      <c r="W927" s="6">
        <v>-18.650104522705099</v>
      </c>
    </row>
    <row r="928" spans="1:23" ht="18.95" customHeight="1">
      <c r="A928" s="4">
        <v>924</v>
      </c>
      <c r="B928" s="4">
        <v>19859</v>
      </c>
      <c r="C928" s="4">
        <v>1</v>
      </c>
      <c r="D928" s="6">
        <v>0</v>
      </c>
      <c r="E928" s="6">
        <v>0</v>
      </c>
      <c r="F928" s="6">
        <v>45.125</v>
      </c>
      <c r="G928" s="6">
        <v>1.375</v>
      </c>
      <c r="H928" s="6">
        <v>1.1875</v>
      </c>
      <c r="I928" s="6">
        <v>1.5</v>
      </c>
      <c r="J928" s="6">
        <v>-2</v>
      </c>
      <c r="K928" s="6">
        <v>-6.0625</v>
      </c>
      <c r="L928" s="6">
        <v>-20.1875</v>
      </c>
      <c r="M928" s="6">
        <v>0.25</v>
      </c>
      <c r="N928" s="6">
        <v>-6.25E-2</v>
      </c>
      <c r="O928" s="6">
        <v>1.125</v>
      </c>
      <c r="P928" s="6">
        <v>-2.125</v>
      </c>
      <c r="Q928" s="6">
        <v>-47.5625</v>
      </c>
      <c r="R928" s="6">
        <v>1.98797023296356</v>
      </c>
      <c r="S928" s="6">
        <v>-43.924636840820298</v>
      </c>
      <c r="T928" s="6">
        <v>0.23581659793853799</v>
      </c>
      <c r="U928" s="6">
        <v>1.08118808269501</v>
      </c>
      <c r="V928" s="6">
        <v>-29.5957126617432</v>
      </c>
      <c r="W928" s="6">
        <v>-18.63916015625</v>
      </c>
    </row>
    <row r="929" spans="1:23" ht="18.95" customHeight="1">
      <c r="A929" s="4">
        <v>925</v>
      </c>
      <c r="B929" s="4">
        <v>19879</v>
      </c>
      <c r="C929" s="4">
        <v>1</v>
      </c>
      <c r="D929" s="6">
        <v>0</v>
      </c>
      <c r="E929" s="6">
        <v>0</v>
      </c>
      <c r="F929" s="6">
        <v>44.25</v>
      </c>
      <c r="G929" s="6">
        <v>1.5625</v>
      </c>
      <c r="H929" s="6">
        <v>1.25</v>
      </c>
      <c r="I929" s="6">
        <v>1.5</v>
      </c>
      <c r="J929" s="6">
        <v>-2.0625</v>
      </c>
      <c r="K929" s="6">
        <v>-6.875</v>
      </c>
      <c r="L929" s="6">
        <v>-21.6875</v>
      </c>
      <c r="M929" s="6">
        <v>0.4375</v>
      </c>
      <c r="N929" s="6">
        <v>-0.25</v>
      </c>
      <c r="O929" s="6">
        <v>1.125</v>
      </c>
      <c r="P929" s="6">
        <v>-2.125</v>
      </c>
      <c r="Q929" s="6">
        <v>-46.9375</v>
      </c>
      <c r="R929" s="6">
        <v>2.3085808753967298</v>
      </c>
      <c r="S929" s="6">
        <v>-42.138381958007798</v>
      </c>
      <c r="T929" s="6">
        <v>0.52589297294616699</v>
      </c>
      <c r="U929" s="6">
        <v>1.01074278354645</v>
      </c>
      <c r="V929" s="6">
        <v>-30.275133132934599</v>
      </c>
      <c r="W929" s="6">
        <v>-18.636131286621101</v>
      </c>
    </row>
    <row r="930" spans="1:23" ht="18.95" customHeight="1">
      <c r="A930" s="4">
        <v>926</v>
      </c>
      <c r="B930" s="4">
        <v>19901</v>
      </c>
      <c r="C930" s="4">
        <v>1</v>
      </c>
      <c r="D930" s="6">
        <v>0</v>
      </c>
      <c r="E930" s="6">
        <v>0</v>
      </c>
      <c r="F930" s="6">
        <v>44.3125</v>
      </c>
      <c r="G930" s="6">
        <v>0.5625</v>
      </c>
      <c r="H930" s="6">
        <v>0.625</v>
      </c>
      <c r="I930" s="6">
        <v>1.5</v>
      </c>
      <c r="J930" s="6">
        <v>-2.0625</v>
      </c>
      <c r="K930" s="6">
        <v>-7.75</v>
      </c>
      <c r="L930" s="6">
        <v>-23.5625</v>
      </c>
      <c r="M930" s="6">
        <v>0.125</v>
      </c>
      <c r="N930" s="6">
        <v>6.25E-2</v>
      </c>
      <c r="O930" s="6">
        <v>1.125</v>
      </c>
      <c r="P930" s="6">
        <v>-2.125</v>
      </c>
      <c r="Q930" s="6">
        <v>-46.5</v>
      </c>
      <c r="R930" s="6">
        <v>1.6520923376083401</v>
      </c>
      <c r="S930" s="6">
        <v>-41.955177307128899</v>
      </c>
      <c r="T930" s="6">
        <v>0.29688531160354598</v>
      </c>
      <c r="U930" s="6">
        <v>1.1093380451202399</v>
      </c>
      <c r="V930" s="6">
        <v>-30.9538898468018</v>
      </c>
      <c r="W930" s="6">
        <v>-18.627805709838899</v>
      </c>
    </row>
    <row r="931" spans="1:23" ht="18.95" customHeight="1">
      <c r="A931" s="4">
        <v>927</v>
      </c>
      <c r="B931" s="4">
        <v>19924</v>
      </c>
      <c r="C931" s="4">
        <v>1</v>
      </c>
      <c r="D931" s="6">
        <v>0</v>
      </c>
      <c r="E931" s="6">
        <v>0</v>
      </c>
      <c r="F931" s="6">
        <v>42.9375</v>
      </c>
      <c r="G931" s="6">
        <v>1.1875</v>
      </c>
      <c r="H931" s="6">
        <v>1</v>
      </c>
      <c r="I931" s="6">
        <v>1.5</v>
      </c>
      <c r="J931" s="6">
        <v>-2.0625</v>
      </c>
      <c r="K931" s="6">
        <v>-8.5625</v>
      </c>
      <c r="L931" s="6">
        <v>-26.0625</v>
      </c>
      <c r="M931" s="6">
        <v>0.5</v>
      </c>
      <c r="N931" s="6">
        <v>6.25E-2</v>
      </c>
      <c r="O931" s="6">
        <v>1.125</v>
      </c>
      <c r="P931" s="6">
        <v>-2.0625</v>
      </c>
      <c r="Q931" s="6">
        <v>-46</v>
      </c>
      <c r="R931" s="6">
        <v>2.1253747940063499</v>
      </c>
      <c r="S931" s="6">
        <v>-39.161285400390597</v>
      </c>
      <c r="T931" s="6">
        <v>0.89230513572692904</v>
      </c>
      <c r="U931" s="6">
        <v>1.1140376329421999</v>
      </c>
      <c r="V931" s="6">
        <v>-31.5710334777832</v>
      </c>
      <c r="W931" s="6">
        <v>-18.619573593139599</v>
      </c>
    </row>
    <row r="932" spans="1:23" ht="18.95" customHeight="1">
      <c r="A932" s="4">
        <v>928</v>
      </c>
      <c r="B932" s="4">
        <v>19945</v>
      </c>
      <c r="C932" s="4">
        <v>1</v>
      </c>
      <c r="D932" s="6">
        <v>0</v>
      </c>
      <c r="E932" s="6">
        <v>0</v>
      </c>
      <c r="F932" s="6">
        <v>41.0625</v>
      </c>
      <c r="G932" s="6">
        <v>1.1875</v>
      </c>
      <c r="H932" s="6">
        <v>0.75</v>
      </c>
      <c r="I932" s="6">
        <v>1.5</v>
      </c>
      <c r="J932" s="6">
        <v>-2.0625</v>
      </c>
      <c r="K932" s="6">
        <v>-9.375</v>
      </c>
      <c r="L932" s="6">
        <v>-26.6875</v>
      </c>
      <c r="M932" s="6">
        <v>0.4375</v>
      </c>
      <c r="N932" s="6">
        <v>0.125</v>
      </c>
      <c r="O932" s="6">
        <v>1.0625</v>
      </c>
      <c r="P932" s="6">
        <v>-2.0625</v>
      </c>
      <c r="Q932" s="6">
        <v>-45.5</v>
      </c>
      <c r="R932" s="6">
        <v>1.60629081726074</v>
      </c>
      <c r="S932" s="6">
        <v>-38.535324096679702</v>
      </c>
      <c r="T932" s="6">
        <v>6.7877650260925307E-2</v>
      </c>
      <c r="U932" s="6">
        <v>1.1597470045089699</v>
      </c>
      <c r="V932" s="6">
        <v>-32.170585632324197</v>
      </c>
      <c r="W932" s="6">
        <v>-18.615659713745099</v>
      </c>
    </row>
    <row r="933" spans="1:23" ht="18.95" customHeight="1">
      <c r="A933" s="4">
        <v>929</v>
      </c>
      <c r="B933" s="4">
        <v>19967</v>
      </c>
      <c r="C933" s="4">
        <v>1</v>
      </c>
      <c r="D933" s="6">
        <v>0</v>
      </c>
      <c r="E933" s="6">
        <v>0</v>
      </c>
      <c r="F933" s="6">
        <v>39.875</v>
      </c>
      <c r="G933" s="6">
        <v>0.9375</v>
      </c>
      <c r="H933" s="6">
        <v>0.8125</v>
      </c>
      <c r="I933" s="6">
        <v>1.5</v>
      </c>
      <c r="J933" s="6">
        <v>-2.125</v>
      </c>
      <c r="K933" s="6">
        <v>-10.1875</v>
      </c>
      <c r="L933" s="6">
        <v>-28.1875</v>
      </c>
      <c r="M933" s="6">
        <v>0.3125</v>
      </c>
      <c r="N933" s="6">
        <v>0</v>
      </c>
      <c r="O933" s="6">
        <v>1.0625</v>
      </c>
      <c r="P933" s="6">
        <v>-2.0625</v>
      </c>
      <c r="Q933" s="6">
        <v>-45</v>
      </c>
      <c r="R933" s="6">
        <v>2.1253747940063499</v>
      </c>
      <c r="S933" s="6">
        <v>-35.848304748535199</v>
      </c>
      <c r="T933" s="6">
        <v>0.84650361537933305</v>
      </c>
      <c r="U933" s="6">
        <v>1.0966422557830799</v>
      </c>
      <c r="V933" s="6">
        <v>-32.683238983154297</v>
      </c>
      <c r="W933" s="6">
        <v>-18.603397369384801</v>
      </c>
    </row>
    <row r="934" spans="1:23" ht="18.95" customHeight="1">
      <c r="A934" s="4">
        <v>930</v>
      </c>
      <c r="B934" s="4">
        <v>19987</v>
      </c>
      <c r="C934" s="4">
        <v>1</v>
      </c>
      <c r="D934" s="6">
        <v>0</v>
      </c>
      <c r="E934" s="6">
        <v>0</v>
      </c>
      <c r="F934" s="6">
        <v>38.1875</v>
      </c>
      <c r="G934" s="6">
        <v>0.9375</v>
      </c>
      <c r="H934" s="6">
        <v>0.8125</v>
      </c>
      <c r="I934" s="6">
        <v>1.5</v>
      </c>
      <c r="J934" s="6">
        <v>-2.125</v>
      </c>
      <c r="K934" s="6">
        <v>-10.9375</v>
      </c>
      <c r="L934" s="6">
        <v>-29.3125</v>
      </c>
      <c r="M934" s="6">
        <v>0.625</v>
      </c>
      <c r="N934" s="6">
        <v>0.25</v>
      </c>
      <c r="O934" s="6">
        <v>1.0625</v>
      </c>
      <c r="P934" s="6">
        <v>-2.0625</v>
      </c>
      <c r="Q934" s="6">
        <v>-44.4375</v>
      </c>
      <c r="R934" s="6">
        <v>1.2246114015579199</v>
      </c>
      <c r="S934" s="6">
        <v>-35.130744934082003</v>
      </c>
      <c r="T934" s="6">
        <v>-3.8992583751678501E-2</v>
      </c>
      <c r="U934" s="6">
        <v>1.24797534942627</v>
      </c>
      <c r="V934" s="6">
        <v>-33.1950874328613</v>
      </c>
      <c r="W934" s="6">
        <v>-18.602748870849599</v>
      </c>
    </row>
    <row r="935" spans="1:23" ht="18.95" customHeight="1">
      <c r="A935" s="4">
        <v>931</v>
      </c>
      <c r="B935" s="4">
        <v>20007</v>
      </c>
      <c r="C935" s="4">
        <v>1</v>
      </c>
      <c r="D935" s="6">
        <v>0</v>
      </c>
      <c r="E935" s="6">
        <v>0</v>
      </c>
      <c r="F935" s="6">
        <v>36.3125</v>
      </c>
      <c r="G935" s="6">
        <v>1.3125</v>
      </c>
      <c r="H935" s="6">
        <v>0.9375</v>
      </c>
      <c r="I935" s="6">
        <v>1.5</v>
      </c>
      <c r="J935" s="6">
        <v>-2.125</v>
      </c>
      <c r="K935" s="6">
        <v>-11.625</v>
      </c>
      <c r="L935" s="6">
        <v>-30.125</v>
      </c>
      <c r="M935" s="6">
        <v>0.5</v>
      </c>
      <c r="N935" s="6">
        <v>-0.125</v>
      </c>
      <c r="O935" s="6">
        <v>1.0625</v>
      </c>
      <c r="P935" s="6">
        <v>-2.0625</v>
      </c>
      <c r="Q935" s="6">
        <v>-43.875</v>
      </c>
      <c r="R935" s="6">
        <v>1.0566724538803101</v>
      </c>
      <c r="S935" s="6">
        <v>-33.436088562011697</v>
      </c>
      <c r="T935" s="6">
        <v>0.174747884273529</v>
      </c>
      <c r="U935" s="6">
        <v>1.1781547069549601</v>
      </c>
      <c r="V935" s="6">
        <v>-33.721565246582003</v>
      </c>
      <c r="W935" s="6">
        <v>-18.608768463134801</v>
      </c>
    </row>
    <row r="936" spans="1:23" ht="18.95" customHeight="1">
      <c r="A936" s="4">
        <v>932</v>
      </c>
      <c r="B936" s="4">
        <v>20029</v>
      </c>
      <c r="C936" s="4">
        <v>1</v>
      </c>
      <c r="D936" s="6">
        <v>0</v>
      </c>
      <c r="E936" s="6">
        <v>0</v>
      </c>
      <c r="F936" s="6">
        <v>35.75</v>
      </c>
      <c r="G936" s="6">
        <v>0.125</v>
      </c>
      <c r="H936" s="6">
        <v>0.4375</v>
      </c>
      <c r="I936" s="6">
        <v>1.5</v>
      </c>
      <c r="J936" s="6">
        <v>-2.125</v>
      </c>
      <c r="K936" s="6">
        <v>-12.3125</v>
      </c>
      <c r="L936" s="6">
        <v>-32.4375</v>
      </c>
      <c r="M936" s="6">
        <v>0.375</v>
      </c>
      <c r="N936" s="6">
        <v>0</v>
      </c>
      <c r="O936" s="6">
        <v>1</v>
      </c>
      <c r="P936" s="6">
        <v>-2.0625</v>
      </c>
      <c r="Q936" s="6">
        <v>-42.9375</v>
      </c>
      <c r="R936" s="6">
        <v>1.30094730854034</v>
      </c>
      <c r="S936" s="6">
        <v>-32.1078491210938</v>
      </c>
      <c r="T936" s="6">
        <v>0.20528227090835599</v>
      </c>
      <c r="U936" s="6">
        <v>1.2400506734848</v>
      </c>
      <c r="V936" s="6">
        <v>-34.1889457702637</v>
      </c>
      <c r="W936" s="6">
        <v>-18.597993850708001</v>
      </c>
    </row>
    <row r="937" spans="1:23" ht="18.95" customHeight="1">
      <c r="A937" s="4">
        <v>933</v>
      </c>
      <c r="B937" s="4">
        <v>20050</v>
      </c>
      <c r="C937" s="4">
        <v>1</v>
      </c>
      <c r="D937" s="6">
        <v>0</v>
      </c>
      <c r="E937" s="6">
        <v>0</v>
      </c>
      <c r="F937" s="6">
        <v>33.75</v>
      </c>
      <c r="G937" s="6">
        <v>1.25</v>
      </c>
      <c r="H937" s="6">
        <v>0.9375</v>
      </c>
      <c r="I937" s="6">
        <v>1.5</v>
      </c>
      <c r="J937" s="6">
        <v>-2.1875</v>
      </c>
      <c r="K937" s="6">
        <v>-13.3125</v>
      </c>
      <c r="L937" s="6">
        <v>-33.375</v>
      </c>
      <c r="M937" s="6">
        <v>0.625</v>
      </c>
      <c r="N937" s="6">
        <v>-6.25E-2</v>
      </c>
      <c r="O937" s="6">
        <v>1</v>
      </c>
      <c r="P937" s="6">
        <v>-2.125</v>
      </c>
      <c r="Q937" s="6">
        <v>-42.3125</v>
      </c>
      <c r="R937" s="6">
        <v>0.65972590446472201</v>
      </c>
      <c r="S937" s="6">
        <v>-31.451356887817401</v>
      </c>
      <c r="T937" s="6">
        <v>0.174747884273529</v>
      </c>
      <c r="U937" s="6">
        <v>1.30923247337341</v>
      </c>
      <c r="V937" s="6">
        <v>-34.757724761962898</v>
      </c>
      <c r="W937" s="6">
        <v>-18.592128753662099</v>
      </c>
    </row>
    <row r="938" spans="1:23" ht="18.95" customHeight="1">
      <c r="A938" s="4">
        <v>934</v>
      </c>
      <c r="B938" s="4">
        <v>20071</v>
      </c>
      <c r="C938" s="4">
        <v>1</v>
      </c>
      <c r="D938" s="6">
        <v>0</v>
      </c>
      <c r="E938" s="6">
        <v>0</v>
      </c>
      <c r="F938" s="6">
        <v>33.25</v>
      </c>
      <c r="G938" s="6">
        <v>0.8125</v>
      </c>
      <c r="H938" s="6">
        <v>0.8125</v>
      </c>
      <c r="I938" s="6">
        <v>1.5</v>
      </c>
      <c r="J938" s="6">
        <v>-2.1875</v>
      </c>
      <c r="K938" s="6">
        <v>-13.9375</v>
      </c>
      <c r="L938" s="6">
        <v>-36</v>
      </c>
      <c r="M938" s="6">
        <v>0.5</v>
      </c>
      <c r="N938" s="6">
        <v>0.125</v>
      </c>
      <c r="O938" s="6">
        <v>1</v>
      </c>
      <c r="P938" s="6">
        <v>-2.0625</v>
      </c>
      <c r="Q938" s="6">
        <v>-41.625</v>
      </c>
      <c r="R938" s="6">
        <v>1.8200312852859499</v>
      </c>
      <c r="S938" s="6">
        <v>-29.451358795166001</v>
      </c>
      <c r="T938" s="6">
        <v>0.55642724037170399</v>
      </c>
      <c r="U938" s="6">
        <v>1.2595471143722501</v>
      </c>
      <c r="V938" s="6">
        <v>-35.106815338134801</v>
      </c>
      <c r="W938" s="6">
        <v>-18.5816650390625</v>
      </c>
    </row>
    <row r="939" spans="1:23" ht="18.95" customHeight="1">
      <c r="A939" s="4">
        <v>935</v>
      </c>
      <c r="B939" s="4">
        <v>20091</v>
      </c>
      <c r="C939" s="4">
        <v>1</v>
      </c>
      <c r="D939" s="6">
        <v>0</v>
      </c>
      <c r="E939" s="6">
        <v>0</v>
      </c>
      <c r="F939" s="6">
        <v>31.625</v>
      </c>
      <c r="G939" s="6">
        <v>0.625</v>
      </c>
      <c r="H939" s="6">
        <v>0.5625</v>
      </c>
      <c r="I939" s="6">
        <v>1.5</v>
      </c>
      <c r="J939" s="6">
        <v>-2.1875</v>
      </c>
      <c r="K939" s="6">
        <v>-14.25</v>
      </c>
      <c r="L939" s="6">
        <v>-37.5625</v>
      </c>
      <c r="M939" s="6">
        <v>0.375</v>
      </c>
      <c r="N939" s="6">
        <v>0</v>
      </c>
      <c r="O939" s="6">
        <v>1</v>
      </c>
      <c r="P939" s="6">
        <v>-2.0625</v>
      </c>
      <c r="Q939" s="6">
        <v>-40.875</v>
      </c>
      <c r="R939" s="6">
        <v>0.67499315738678001</v>
      </c>
      <c r="S939" s="6">
        <v>-27.481891632080099</v>
      </c>
      <c r="T939" s="6">
        <v>0.63276314735412598</v>
      </c>
      <c r="U939" s="6">
        <v>1.3335337638855</v>
      </c>
      <c r="V939" s="6">
        <v>-35.467487335205099</v>
      </c>
      <c r="W939" s="6">
        <v>-18.5703239440918</v>
      </c>
    </row>
    <row r="940" spans="1:23" ht="18.95" customHeight="1">
      <c r="A940" s="4">
        <v>936</v>
      </c>
      <c r="B940" s="4">
        <v>20111</v>
      </c>
      <c r="C940" s="4">
        <v>1</v>
      </c>
      <c r="D940" s="6">
        <v>0</v>
      </c>
      <c r="E940" s="6">
        <v>0</v>
      </c>
      <c r="F940" s="6">
        <v>29.875</v>
      </c>
      <c r="G940" s="6">
        <v>1</v>
      </c>
      <c r="H940" s="6">
        <v>0.875</v>
      </c>
      <c r="I940" s="6">
        <v>1.5</v>
      </c>
      <c r="J940" s="6">
        <v>-2.1875</v>
      </c>
      <c r="K940" s="6">
        <v>-15.125</v>
      </c>
      <c r="L940" s="6">
        <v>-40.1875</v>
      </c>
      <c r="M940" s="6">
        <v>0.4375</v>
      </c>
      <c r="N940" s="6">
        <v>-6.25E-2</v>
      </c>
      <c r="O940" s="6">
        <v>0.9375</v>
      </c>
      <c r="P940" s="6">
        <v>-2.0625</v>
      </c>
      <c r="Q940" s="6">
        <v>-40.125</v>
      </c>
      <c r="R940" s="6">
        <v>1.0261381864547701</v>
      </c>
      <c r="S940" s="6">
        <v>-25.252885818481399</v>
      </c>
      <c r="T940" s="6">
        <v>0.19001507759094199</v>
      </c>
      <c r="U940" s="6">
        <v>1.3914046287536601</v>
      </c>
      <c r="V940" s="6">
        <v>-35.779712677002003</v>
      </c>
      <c r="W940" s="6">
        <v>-18.562179565429702</v>
      </c>
    </row>
    <row r="941" spans="1:23" ht="18.95" customHeight="1">
      <c r="A941" s="4">
        <v>937</v>
      </c>
      <c r="B941" s="4">
        <v>20131</v>
      </c>
      <c r="C941" s="4">
        <v>1</v>
      </c>
      <c r="D941" s="6">
        <v>0</v>
      </c>
      <c r="E941" s="6">
        <v>0</v>
      </c>
      <c r="F941" s="6">
        <v>27.875</v>
      </c>
      <c r="G941" s="6">
        <v>0.5625</v>
      </c>
      <c r="H941" s="6">
        <v>0.9375</v>
      </c>
      <c r="I941" s="6">
        <v>1.5</v>
      </c>
      <c r="J941" s="6">
        <v>-2.1875</v>
      </c>
      <c r="K941" s="6">
        <v>-15.625</v>
      </c>
      <c r="L941" s="6">
        <v>-40.875</v>
      </c>
      <c r="M941" s="6">
        <v>0.4375</v>
      </c>
      <c r="N941" s="6">
        <v>-6.25E-2</v>
      </c>
      <c r="O941" s="6">
        <v>0.9375</v>
      </c>
      <c r="P941" s="6">
        <v>-2.125</v>
      </c>
      <c r="Q941" s="6">
        <v>-39.3125</v>
      </c>
      <c r="R941" s="6">
        <v>0.736061811447144</v>
      </c>
      <c r="S941" s="6">
        <v>-23.726167678833001</v>
      </c>
      <c r="T941" s="6">
        <v>9.8412036895751995E-2</v>
      </c>
      <c r="U941" s="6">
        <v>1.3878762722015401</v>
      </c>
      <c r="V941" s="6">
        <v>-36.088081359863303</v>
      </c>
      <c r="W941" s="6">
        <v>-18.560340881347699</v>
      </c>
    </row>
    <row r="942" spans="1:23" ht="18.95" customHeight="1">
      <c r="A942" s="4">
        <v>938</v>
      </c>
      <c r="B942" s="4">
        <v>20152</v>
      </c>
      <c r="C942" s="4">
        <v>1</v>
      </c>
      <c r="D942" s="6">
        <v>0</v>
      </c>
      <c r="E942" s="6">
        <v>0</v>
      </c>
      <c r="F942" s="6">
        <v>25.5</v>
      </c>
      <c r="G942" s="6">
        <v>0.5625</v>
      </c>
      <c r="H942" s="6">
        <v>0.4375</v>
      </c>
      <c r="I942" s="6">
        <v>1.5</v>
      </c>
      <c r="J942" s="6">
        <v>-2.25</v>
      </c>
      <c r="K942" s="6">
        <v>-16.125</v>
      </c>
      <c r="L942" s="6">
        <v>-41.5625</v>
      </c>
      <c r="M942" s="6">
        <v>0.375</v>
      </c>
      <c r="N942" s="6">
        <v>0</v>
      </c>
      <c r="O942" s="6">
        <v>0.9375</v>
      </c>
      <c r="P942" s="6">
        <v>-2.125</v>
      </c>
      <c r="Q942" s="6">
        <v>-38.5</v>
      </c>
      <c r="R942" s="6">
        <v>0.98033666610717796</v>
      </c>
      <c r="S942" s="6">
        <v>-21.0544109344482</v>
      </c>
      <c r="T942" s="6">
        <v>0.510625720024109</v>
      </c>
      <c r="U942" s="6">
        <v>1.36634492874146</v>
      </c>
      <c r="V942" s="6">
        <v>-36.354011535644503</v>
      </c>
      <c r="W942" s="6">
        <v>-18.557024002075199</v>
      </c>
    </row>
    <row r="943" spans="1:23" ht="18.95" customHeight="1">
      <c r="A943" s="4">
        <v>939</v>
      </c>
      <c r="B943" s="4">
        <v>20174</v>
      </c>
      <c r="C943" s="4">
        <v>1</v>
      </c>
      <c r="D943" s="6">
        <v>0</v>
      </c>
      <c r="E943" s="6">
        <v>0</v>
      </c>
      <c r="F943" s="6">
        <v>22.375</v>
      </c>
      <c r="G943" s="6">
        <v>0.5</v>
      </c>
      <c r="H943" s="6">
        <v>0.375</v>
      </c>
      <c r="I943" s="6">
        <v>1.5</v>
      </c>
      <c r="J943" s="6">
        <v>-2.1875</v>
      </c>
      <c r="K943" s="6">
        <v>-16.5625</v>
      </c>
      <c r="L943" s="6">
        <v>-43.4375</v>
      </c>
      <c r="M943" s="6">
        <v>0.5</v>
      </c>
      <c r="N943" s="6">
        <v>0.1875</v>
      </c>
      <c r="O943" s="6">
        <v>0.875</v>
      </c>
      <c r="P943" s="6">
        <v>-2.125</v>
      </c>
      <c r="Q943" s="6">
        <v>-37.6875</v>
      </c>
      <c r="R943" s="6">
        <v>0.110107660293579</v>
      </c>
      <c r="S943" s="6">
        <v>-18.5200595855713</v>
      </c>
      <c r="T943" s="6">
        <v>-3.8992583751678501E-2</v>
      </c>
      <c r="U943" s="6">
        <v>1.3974745273590099</v>
      </c>
      <c r="V943" s="6">
        <v>-36.575584411621101</v>
      </c>
      <c r="W943" s="6">
        <v>-18.552934646606399</v>
      </c>
    </row>
    <row r="944" spans="1:23" ht="18.95" customHeight="1">
      <c r="A944" s="4">
        <v>940</v>
      </c>
      <c r="B944" s="4">
        <v>20214</v>
      </c>
      <c r="C944" s="4">
        <v>1</v>
      </c>
      <c r="D944" s="6">
        <v>0</v>
      </c>
      <c r="E944" s="6">
        <v>0</v>
      </c>
      <c r="F944" s="6">
        <v>17.5625</v>
      </c>
      <c r="G944" s="6">
        <v>0.1875</v>
      </c>
      <c r="H944" s="6">
        <v>0.75</v>
      </c>
      <c r="I944" s="6">
        <v>1.5</v>
      </c>
      <c r="J944" s="6">
        <v>-2.1875</v>
      </c>
      <c r="K944" s="6">
        <v>-17.3125</v>
      </c>
      <c r="L944" s="6">
        <v>-45.75</v>
      </c>
      <c r="M944" s="6">
        <v>0.625</v>
      </c>
      <c r="N944" s="6">
        <v>0.125</v>
      </c>
      <c r="O944" s="6">
        <v>0.875</v>
      </c>
      <c r="P944" s="6">
        <v>-2.125</v>
      </c>
      <c r="Q944" s="6">
        <v>-36</v>
      </c>
      <c r="R944" s="6">
        <v>0.33911514282226601</v>
      </c>
      <c r="S944" s="6">
        <v>-14.291052818298301</v>
      </c>
      <c r="T944" s="6">
        <v>-2.3725390434265099E-2</v>
      </c>
      <c r="U944" s="6">
        <v>1.3443866968154901</v>
      </c>
      <c r="V944" s="6">
        <v>-37.034030914306598</v>
      </c>
      <c r="W944" s="6">
        <v>-18.545984268188501</v>
      </c>
    </row>
    <row r="945" spans="1:23" ht="18.95" customHeight="1">
      <c r="A945" s="4">
        <v>941</v>
      </c>
      <c r="B945" s="4">
        <v>20234</v>
      </c>
      <c r="C945" s="4">
        <v>1</v>
      </c>
      <c r="D945" s="6">
        <v>0</v>
      </c>
      <c r="E945" s="6">
        <v>0</v>
      </c>
      <c r="F945" s="6">
        <v>14.375</v>
      </c>
      <c r="G945" s="6">
        <v>0.625</v>
      </c>
      <c r="H945" s="6">
        <v>0.5625</v>
      </c>
      <c r="I945" s="6">
        <v>1.5</v>
      </c>
      <c r="J945" s="6">
        <v>-2.1875</v>
      </c>
      <c r="K945" s="6">
        <v>-17.5625</v>
      </c>
      <c r="L945" s="6">
        <v>-47.0625</v>
      </c>
      <c r="M945" s="6">
        <v>0.6875</v>
      </c>
      <c r="N945" s="6">
        <v>0.125</v>
      </c>
      <c r="O945" s="6">
        <v>0.8125</v>
      </c>
      <c r="P945" s="6">
        <v>-2.125</v>
      </c>
      <c r="Q945" s="6">
        <v>-35.0625</v>
      </c>
      <c r="R945" s="6">
        <v>-4.25641536712646E-2</v>
      </c>
      <c r="S945" s="6">
        <v>-12.1841821670532</v>
      </c>
      <c r="T945" s="6">
        <v>-0.14586275815963701</v>
      </c>
      <c r="U945" s="6">
        <v>1.38087546825409</v>
      </c>
      <c r="V945" s="6">
        <v>-37.2078666687012</v>
      </c>
      <c r="W945" s="6">
        <v>-18.551580429077099</v>
      </c>
    </row>
    <row r="946" spans="1:23" ht="18.95" customHeight="1">
      <c r="A946" s="4">
        <v>942</v>
      </c>
      <c r="B946" s="4">
        <v>20256</v>
      </c>
      <c r="C946" s="4">
        <v>1</v>
      </c>
      <c r="D946" s="6">
        <v>0</v>
      </c>
      <c r="E946" s="6">
        <v>0</v>
      </c>
      <c r="F946" s="6">
        <v>12.1875</v>
      </c>
      <c r="G946" s="6">
        <v>-0.1875</v>
      </c>
      <c r="H946" s="6">
        <v>0.375</v>
      </c>
      <c r="I946" s="6">
        <v>1.5</v>
      </c>
      <c r="J946" s="6">
        <v>-2.1875</v>
      </c>
      <c r="K946" s="6">
        <v>-17.8125</v>
      </c>
      <c r="L946" s="6">
        <v>-50</v>
      </c>
      <c r="M946" s="6">
        <v>0.5</v>
      </c>
      <c r="N946" s="6">
        <v>0</v>
      </c>
      <c r="O946" s="6">
        <v>0.8125</v>
      </c>
      <c r="P946" s="6">
        <v>-2.125</v>
      </c>
      <c r="Q946" s="6">
        <v>-34.1875</v>
      </c>
      <c r="R946" s="6">
        <v>1.14827561378479</v>
      </c>
      <c r="S946" s="6">
        <v>-9.5734958648681605</v>
      </c>
      <c r="T946" s="6">
        <v>0.87703800201416005</v>
      </c>
      <c r="U946" s="6">
        <v>1.28123962879181</v>
      </c>
      <c r="V946" s="6">
        <v>-37.267250061035199</v>
      </c>
      <c r="W946" s="6">
        <v>-18.541936874389599</v>
      </c>
    </row>
    <row r="947" spans="1:23" ht="18.95" customHeight="1">
      <c r="A947" s="4">
        <v>943</v>
      </c>
      <c r="B947" s="4">
        <v>20278</v>
      </c>
      <c r="C947" s="4">
        <v>1</v>
      </c>
      <c r="D947" s="6">
        <v>0</v>
      </c>
      <c r="E947" s="6">
        <v>0</v>
      </c>
      <c r="F947" s="6">
        <v>9.625</v>
      </c>
      <c r="G947" s="6">
        <v>0.6875</v>
      </c>
      <c r="H947" s="6">
        <v>0.875</v>
      </c>
      <c r="I947" s="6">
        <v>1.5</v>
      </c>
      <c r="J947" s="6">
        <v>-2.25</v>
      </c>
      <c r="K947" s="6">
        <v>-18.0625</v>
      </c>
      <c r="L947" s="6">
        <v>-51.25</v>
      </c>
      <c r="M947" s="6">
        <v>0.6875</v>
      </c>
      <c r="N947" s="6">
        <v>0.1875</v>
      </c>
      <c r="O947" s="6">
        <v>0.8125</v>
      </c>
      <c r="P947" s="6">
        <v>-2.125</v>
      </c>
      <c r="Q947" s="6">
        <v>-33.1875</v>
      </c>
      <c r="R947" s="6">
        <v>0.17117643356323201</v>
      </c>
      <c r="S947" s="6">
        <v>-6.7032666206359899</v>
      </c>
      <c r="T947" s="6">
        <v>6.7877650260925307E-2</v>
      </c>
      <c r="U947" s="6">
        <v>1.3818731307983401</v>
      </c>
      <c r="V947" s="6">
        <v>-37.301490783691399</v>
      </c>
      <c r="W947" s="6">
        <v>-18.533327102661101</v>
      </c>
    </row>
    <row r="948" spans="1:23" ht="18.95" customHeight="1">
      <c r="A948" s="4">
        <v>944</v>
      </c>
      <c r="B948" s="4">
        <v>20298</v>
      </c>
      <c r="C948" s="4">
        <v>1</v>
      </c>
      <c r="D948" s="6">
        <v>0</v>
      </c>
      <c r="E948" s="6">
        <v>0</v>
      </c>
      <c r="F948" s="6">
        <v>7.0625</v>
      </c>
      <c r="G948" s="6">
        <v>-6.25E-2</v>
      </c>
      <c r="H948" s="6">
        <v>0.375</v>
      </c>
      <c r="I948" s="6">
        <v>1.5</v>
      </c>
      <c r="J948" s="6">
        <v>-2.25</v>
      </c>
      <c r="K948" s="6">
        <v>-18.1875</v>
      </c>
      <c r="L948" s="6">
        <v>-53</v>
      </c>
      <c r="M948" s="6">
        <v>0.625</v>
      </c>
      <c r="N948" s="6">
        <v>-0.1875</v>
      </c>
      <c r="O948" s="6">
        <v>0.75</v>
      </c>
      <c r="P948" s="6">
        <v>-2.125</v>
      </c>
      <c r="Q948" s="6">
        <v>-32.1875</v>
      </c>
      <c r="R948" s="6">
        <v>0.26277947425842302</v>
      </c>
      <c r="S948" s="6">
        <v>-4.0315108299255398</v>
      </c>
      <c r="T948" s="6">
        <v>0.174747884273529</v>
      </c>
      <c r="U948" s="6">
        <v>1.31577956676483</v>
      </c>
      <c r="V948" s="6">
        <v>-37.232357025146499</v>
      </c>
      <c r="W948" s="6">
        <v>-18.5310764312744</v>
      </c>
    </row>
    <row r="949" spans="1:23" ht="18.95" customHeight="1">
      <c r="A949" s="4">
        <v>945</v>
      </c>
      <c r="B949" s="4">
        <v>20318</v>
      </c>
      <c r="C949" s="4">
        <v>1</v>
      </c>
      <c r="D949" s="6">
        <v>0</v>
      </c>
      <c r="E949" s="6">
        <v>0</v>
      </c>
      <c r="F949" s="6">
        <v>4.3125</v>
      </c>
      <c r="G949" s="6">
        <v>0.1875</v>
      </c>
      <c r="H949" s="6">
        <v>0.5</v>
      </c>
      <c r="I949" s="6">
        <v>1.5</v>
      </c>
      <c r="J949" s="6">
        <v>-2.25</v>
      </c>
      <c r="K949" s="6">
        <v>-18.25</v>
      </c>
      <c r="L949" s="6">
        <v>-53.8125</v>
      </c>
      <c r="M949" s="6">
        <v>0.75</v>
      </c>
      <c r="N949" s="6">
        <v>0</v>
      </c>
      <c r="O949" s="6">
        <v>0.75</v>
      </c>
      <c r="P949" s="6">
        <v>-2.125</v>
      </c>
      <c r="Q949" s="6">
        <v>-31.125</v>
      </c>
      <c r="R949" s="6">
        <v>0.354382514953613</v>
      </c>
      <c r="S949" s="6">
        <v>-1.5429611206054701</v>
      </c>
      <c r="T949" s="6">
        <v>0.19001507759094199</v>
      </c>
      <c r="U949" s="6">
        <v>1.3227965831756601</v>
      </c>
      <c r="V949" s="6">
        <v>-37.2076225280762</v>
      </c>
      <c r="W949" s="6">
        <v>-18.5253601074219</v>
      </c>
    </row>
    <row r="950" spans="1:23" ht="18.95" customHeight="1">
      <c r="A950" s="4">
        <v>946</v>
      </c>
      <c r="B950" s="4">
        <v>20339</v>
      </c>
      <c r="C950" s="4">
        <v>1</v>
      </c>
      <c r="D950" s="6">
        <v>0</v>
      </c>
      <c r="E950" s="6">
        <v>0</v>
      </c>
      <c r="F950" s="6">
        <v>1.75</v>
      </c>
      <c r="G950" s="6">
        <v>0.375</v>
      </c>
      <c r="H950" s="6">
        <v>0.4375</v>
      </c>
      <c r="I950" s="6">
        <v>1.5</v>
      </c>
      <c r="J950" s="6">
        <v>-2.25</v>
      </c>
      <c r="K950" s="6">
        <v>-18.3125</v>
      </c>
      <c r="L950" s="6">
        <v>-54.875</v>
      </c>
      <c r="M950" s="6">
        <v>0.625</v>
      </c>
      <c r="N950" s="6">
        <v>0.125</v>
      </c>
      <c r="O950" s="6">
        <v>0.6875</v>
      </c>
      <c r="P950" s="6">
        <v>-2.125</v>
      </c>
      <c r="Q950" s="6">
        <v>-29.5</v>
      </c>
      <c r="R950" s="6">
        <v>-1.2029886245727499E-2</v>
      </c>
      <c r="S950" s="6">
        <v>1.2967333793640099</v>
      </c>
      <c r="T950" s="6">
        <v>6.80899620056152E-3</v>
      </c>
      <c r="U950" s="6">
        <v>1.3582170009612999</v>
      </c>
      <c r="V950" s="6">
        <v>-37.075469970703097</v>
      </c>
      <c r="W950" s="6">
        <v>-18.519666671752901</v>
      </c>
    </row>
    <row r="951" spans="1:23" ht="18.95" customHeight="1">
      <c r="A951" s="4">
        <v>947</v>
      </c>
      <c r="B951" s="4">
        <v>20361</v>
      </c>
      <c r="C951" s="4">
        <v>1</v>
      </c>
      <c r="D951" s="6">
        <v>0</v>
      </c>
      <c r="E951" s="6">
        <v>0</v>
      </c>
      <c r="F951" s="6">
        <v>-1.0625</v>
      </c>
      <c r="G951" s="6">
        <v>-6.25E-2</v>
      </c>
      <c r="H951" s="6">
        <v>0.1875</v>
      </c>
      <c r="I951" s="6">
        <v>1.5</v>
      </c>
      <c r="J951" s="6">
        <v>-2.25</v>
      </c>
      <c r="K951" s="6">
        <v>-18.3125</v>
      </c>
      <c r="L951" s="6">
        <v>-57.375</v>
      </c>
      <c r="M951" s="6">
        <v>0.5625</v>
      </c>
      <c r="N951" s="6">
        <v>6.25E-2</v>
      </c>
      <c r="O951" s="6">
        <v>0.6875</v>
      </c>
      <c r="P951" s="6">
        <v>-2.125</v>
      </c>
      <c r="Q951" s="6">
        <v>-28.4375</v>
      </c>
      <c r="R951" s="6">
        <v>-0.53111386299133301</v>
      </c>
      <c r="S951" s="6">
        <v>4.1211609840393102</v>
      </c>
      <c r="T951" s="6">
        <v>0.38848841190338101</v>
      </c>
      <c r="U951" s="6">
        <v>1.34963095188141</v>
      </c>
      <c r="V951" s="6">
        <v>-36.996566772460902</v>
      </c>
      <c r="W951" s="6">
        <v>-18.524419784545898</v>
      </c>
    </row>
    <row r="952" spans="1:23" ht="18.95" customHeight="1">
      <c r="A952" s="4">
        <v>948</v>
      </c>
      <c r="B952" s="4">
        <v>20382</v>
      </c>
      <c r="C952" s="4">
        <v>1</v>
      </c>
      <c r="D952" s="6">
        <v>0</v>
      </c>
      <c r="E952" s="6">
        <v>0</v>
      </c>
      <c r="F952" s="6">
        <v>-3.6875</v>
      </c>
      <c r="G952" s="6">
        <v>-0.3125</v>
      </c>
      <c r="H952" s="6">
        <v>-6.25E-2</v>
      </c>
      <c r="I952" s="6">
        <v>1.5</v>
      </c>
      <c r="J952" s="6">
        <v>-2.25</v>
      </c>
      <c r="K952" s="6">
        <v>-18.25</v>
      </c>
      <c r="L952" s="6">
        <v>-59.375</v>
      </c>
      <c r="M952" s="6">
        <v>0.625</v>
      </c>
      <c r="N952" s="6">
        <v>6.25E-2</v>
      </c>
      <c r="O952" s="6">
        <v>0.6875</v>
      </c>
      <c r="P952" s="6">
        <v>-2.125</v>
      </c>
      <c r="Q952" s="6">
        <v>-27.25</v>
      </c>
      <c r="R952" s="6">
        <v>0.26277947425842302</v>
      </c>
      <c r="S952" s="6">
        <v>7.5257411003112802</v>
      </c>
      <c r="T952" s="6">
        <v>6.80899620056152E-3</v>
      </c>
      <c r="U952" s="6">
        <v>1.2997227907180799</v>
      </c>
      <c r="V952" s="6">
        <v>-36.825614929199197</v>
      </c>
      <c r="W952" s="6">
        <v>-18.520221710205099</v>
      </c>
    </row>
    <row r="953" spans="1:23" ht="18.95" customHeight="1">
      <c r="A953" s="4">
        <v>949</v>
      </c>
      <c r="B953" s="4">
        <v>20403</v>
      </c>
      <c r="C953" s="4">
        <v>1</v>
      </c>
      <c r="D953" s="6">
        <v>0</v>
      </c>
      <c r="E953" s="6">
        <v>0</v>
      </c>
      <c r="F953" s="6">
        <v>-6.6875</v>
      </c>
      <c r="G953" s="6">
        <v>-6.25E-2</v>
      </c>
      <c r="H953" s="6">
        <v>0.1875</v>
      </c>
      <c r="I953" s="6">
        <v>1.5</v>
      </c>
      <c r="J953" s="6">
        <v>-2.25</v>
      </c>
      <c r="K953" s="6">
        <v>-18.125</v>
      </c>
      <c r="L953" s="6">
        <v>-60.625</v>
      </c>
      <c r="M953" s="6">
        <v>0.5</v>
      </c>
      <c r="N953" s="6">
        <v>6.25E-2</v>
      </c>
      <c r="O953" s="6">
        <v>0.625</v>
      </c>
      <c r="P953" s="6">
        <v>-2.125</v>
      </c>
      <c r="Q953" s="6">
        <v>-26.125</v>
      </c>
      <c r="R953" s="6">
        <v>3.3771753311157199E-2</v>
      </c>
      <c r="S953" s="6">
        <v>10.197496414184601</v>
      </c>
      <c r="T953" s="6">
        <v>0.480091452598572</v>
      </c>
      <c r="U953" s="6">
        <v>1.33366847038269</v>
      </c>
      <c r="V953" s="6">
        <v>-36.568965911865199</v>
      </c>
      <c r="W953" s="6">
        <v>-18.508813858032202</v>
      </c>
    </row>
    <row r="954" spans="1:23" ht="18.95" customHeight="1">
      <c r="A954" s="4">
        <v>950</v>
      </c>
      <c r="B954" s="4">
        <v>20424</v>
      </c>
      <c r="C954" s="4">
        <v>1</v>
      </c>
      <c r="D954" s="6">
        <v>0</v>
      </c>
      <c r="E954" s="6">
        <v>0</v>
      </c>
      <c r="F954" s="6">
        <v>-9.6875</v>
      </c>
      <c r="G954" s="6">
        <v>6.25E-2</v>
      </c>
      <c r="H954" s="6">
        <v>0.625</v>
      </c>
      <c r="I954" s="6">
        <v>1.5</v>
      </c>
      <c r="J954" s="6">
        <v>-2.1875</v>
      </c>
      <c r="K954" s="6">
        <v>-17.875</v>
      </c>
      <c r="L954" s="6">
        <v>-62.5625</v>
      </c>
      <c r="M954" s="6">
        <v>0.6875</v>
      </c>
      <c r="N954" s="6">
        <v>0.125</v>
      </c>
      <c r="O954" s="6">
        <v>0.625</v>
      </c>
      <c r="P954" s="6">
        <v>-2.1875</v>
      </c>
      <c r="Q954" s="6">
        <v>-24.875</v>
      </c>
      <c r="R954" s="6">
        <v>-0.45477795600891102</v>
      </c>
      <c r="S954" s="6">
        <v>14.457038879394499</v>
      </c>
      <c r="T954" s="6">
        <v>2.2076129913330099E-2</v>
      </c>
      <c r="U954" s="6">
        <v>1.3497997522354099</v>
      </c>
      <c r="V954" s="6">
        <v>-36.476642608642599</v>
      </c>
      <c r="W954" s="6">
        <v>-18.5026340484619</v>
      </c>
    </row>
    <row r="955" spans="1:23" ht="18.95" customHeight="1">
      <c r="A955" s="4">
        <v>951</v>
      </c>
      <c r="B955" s="4">
        <v>20444</v>
      </c>
      <c r="C955" s="4">
        <v>1</v>
      </c>
      <c r="D955" s="6">
        <v>0</v>
      </c>
      <c r="E955" s="6">
        <v>0</v>
      </c>
      <c r="F955" s="6">
        <v>-12.875</v>
      </c>
      <c r="G955" s="6">
        <v>-0.375</v>
      </c>
      <c r="H955" s="6">
        <v>6.25E-2</v>
      </c>
      <c r="I955" s="6">
        <v>1.5</v>
      </c>
      <c r="J955" s="6">
        <v>-2.1875</v>
      </c>
      <c r="K955" s="6">
        <v>-17.75</v>
      </c>
      <c r="L955" s="6">
        <v>-66.125</v>
      </c>
      <c r="M955" s="6">
        <v>0.6875</v>
      </c>
      <c r="N955" s="6">
        <v>-6.25E-2</v>
      </c>
      <c r="O955" s="6">
        <v>0.5625</v>
      </c>
      <c r="P955" s="6">
        <v>-2.1875</v>
      </c>
      <c r="Q955" s="6">
        <v>-23.625</v>
      </c>
      <c r="R955" s="6">
        <v>-0.51584649085998502</v>
      </c>
      <c r="S955" s="6">
        <v>17.1287956237793</v>
      </c>
      <c r="T955" s="6">
        <v>0.31215250492095897</v>
      </c>
      <c r="U955" s="6">
        <v>1.32394587993622</v>
      </c>
      <c r="V955" s="6">
        <v>-36.076389312744098</v>
      </c>
      <c r="W955" s="6">
        <v>-18.497886657714801</v>
      </c>
    </row>
    <row r="956" spans="1:23" ht="18.95" customHeight="1">
      <c r="A956" s="4">
        <v>952</v>
      </c>
      <c r="B956" s="4">
        <v>20466</v>
      </c>
      <c r="C956" s="4">
        <v>1</v>
      </c>
      <c r="D956" s="6">
        <v>0</v>
      </c>
      <c r="E956" s="6">
        <v>0</v>
      </c>
      <c r="F956" s="6">
        <v>-17.9375</v>
      </c>
      <c r="G956" s="6">
        <v>-0.3125</v>
      </c>
      <c r="H956" s="6">
        <v>0.375</v>
      </c>
      <c r="I956" s="6">
        <v>1.4375</v>
      </c>
      <c r="J956" s="6">
        <v>-2.1875</v>
      </c>
      <c r="K956" s="6">
        <v>-17.25</v>
      </c>
      <c r="L956" s="6">
        <v>-66.875</v>
      </c>
      <c r="M956" s="6">
        <v>0.625</v>
      </c>
      <c r="N956" s="6">
        <v>0.125</v>
      </c>
      <c r="O956" s="6">
        <v>0.5625</v>
      </c>
      <c r="P956" s="6">
        <v>-2.1875</v>
      </c>
      <c r="Q956" s="6">
        <v>-22.3125</v>
      </c>
      <c r="R956" s="6">
        <v>-0.77538847923278797</v>
      </c>
      <c r="S956" s="6">
        <v>20.7013130187988</v>
      </c>
      <c r="T956" s="6">
        <v>0.15948075056076</v>
      </c>
      <c r="U956" s="6">
        <v>1.30174195766449</v>
      </c>
      <c r="V956" s="6">
        <v>-35.799228668212898</v>
      </c>
      <c r="W956" s="6">
        <v>-18.4953937530518</v>
      </c>
    </row>
    <row r="957" spans="1:23" ht="18.95" customHeight="1">
      <c r="A957" s="4">
        <v>953</v>
      </c>
      <c r="B957" s="4">
        <v>20486</v>
      </c>
      <c r="C957" s="4">
        <v>1</v>
      </c>
      <c r="D957" s="6">
        <v>0</v>
      </c>
      <c r="E957" s="6">
        <v>0</v>
      </c>
      <c r="F957" s="6">
        <v>-21.5625</v>
      </c>
      <c r="G957" s="6">
        <v>-0.1875</v>
      </c>
      <c r="H957" s="6">
        <v>0.3125</v>
      </c>
      <c r="I957" s="6">
        <v>1.4375</v>
      </c>
      <c r="J957" s="6">
        <v>-2.1875</v>
      </c>
      <c r="K957" s="6">
        <v>-16.875</v>
      </c>
      <c r="L957" s="6">
        <v>-69.5</v>
      </c>
      <c r="M957" s="6">
        <v>0.5625</v>
      </c>
      <c r="N957" s="6">
        <v>6.25E-2</v>
      </c>
      <c r="O957" s="6">
        <v>0.5625</v>
      </c>
      <c r="P957" s="6">
        <v>-2.1875</v>
      </c>
      <c r="Q957" s="6">
        <v>-21</v>
      </c>
      <c r="R957" s="6">
        <v>-0.36317491531372098</v>
      </c>
      <c r="S957" s="6">
        <v>23.800550460815401</v>
      </c>
      <c r="T957" s="6">
        <v>0.98390817642211903</v>
      </c>
      <c r="U957" s="6">
        <v>1.2367427349090601</v>
      </c>
      <c r="V957" s="6">
        <v>-35.247047424316399</v>
      </c>
      <c r="W957" s="6">
        <v>-18.489234924316399</v>
      </c>
    </row>
    <row r="958" spans="1:23" ht="18.95" customHeight="1">
      <c r="A958" s="4">
        <v>954</v>
      </c>
      <c r="B958" s="4">
        <v>20506</v>
      </c>
      <c r="C958" s="4">
        <v>1</v>
      </c>
      <c r="D958" s="6">
        <v>0</v>
      </c>
      <c r="E958" s="6">
        <v>0</v>
      </c>
      <c r="F958" s="6">
        <v>-24.6875</v>
      </c>
      <c r="G958" s="6">
        <v>-0.125</v>
      </c>
      <c r="H958" s="6">
        <v>0.5625</v>
      </c>
      <c r="I958" s="6">
        <v>1.4375</v>
      </c>
      <c r="J958" s="6">
        <v>-2.1875</v>
      </c>
      <c r="K958" s="6">
        <v>-16.375</v>
      </c>
      <c r="L958" s="6">
        <v>-70.9375</v>
      </c>
      <c r="M958" s="6">
        <v>0.875</v>
      </c>
      <c r="N958" s="6">
        <v>-0.125</v>
      </c>
      <c r="O958" s="6">
        <v>0.5</v>
      </c>
      <c r="P958" s="6">
        <v>-2.1875</v>
      </c>
      <c r="Q958" s="6">
        <v>-19.625</v>
      </c>
      <c r="R958" s="6">
        <v>-0.88225889205932595</v>
      </c>
      <c r="S958" s="6">
        <v>27.418870925903299</v>
      </c>
      <c r="T958" s="6">
        <v>0.480091452598572</v>
      </c>
      <c r="U958" s="6">
        <v>1.23231589794159</v>
      </c>
      <c r="V958" s="6">
        <v>-34.809661865234403</v>
      </c>
      <c r="W958" s="6">
        <v>-18.483282089233398</v>
      </c>
    </row>
    <row r="959" spans="1:23" ht="18.95" customHeight="1">
      <c r="A959" s="4">
        <v>955</v>
      </c>
      <c r="B959" s="4">
        <v>20526</v>
      </c>
      <c r="C959" s="4">
        <v>1</v>
      </c>
      <c r="D959" s="6">
        <v>0</v>
      </c>
      <c r="E959" s="6">
        <v>0</v>
      </c>
      <c r="F959" s="6">
        <v>-28.0625</v>
      </c>
      <c r="G959" s="6">
        <v>-0.625</v>
      </c>
      <c r="H959" s="6">
        <v>-6.25E-2</v>
      </c>
      <c r="I959" s="6">
        <v>1.4375</v>
      </c>
      <c r="J959" s="6">
        <v>-2.1875</v>
      </c>
      <c r="K959" s="6">
        <v>-15.875</v>
      </c>
      <c r="L959" s="6">
        <v>-71.875</v>
      </c>
      <c r="M959" s="6">
        <v>0.625</v>
      </c>
      <c r="N959" s="6">
        <v>-6.25E-2</v>
      </c>
      <c r="O959" s="6">
        <v>0.5</v>
      </c>
      <c r="P959" s="6">
        <v>-2.1875</v>
      </c>
      <c r="Q959" s="6">
        <v>-18.25</v>
      </c>
      <c r="R959" s="6">
        <v>-0.72958707809448198</v>
      </c>
      <c r="S959" s="6">
        <v>31.266199111938501</v>
      </c>
      <c r="T959" s="6">
        <v>6.80899620056152E-3</v>
      </c>
      <c r="U959" s="6">
        <v>1.20846796035767</v>
      </c>
      <c r="V959" s="6">
        <v>-34.348190307617202</v>
      </c>
      <c r="W959" s="6">
        <v>-18.474174499511701</v>
      </c>
    </row>
    <row r="960" spans="1:23" ht="18.95" customHeight="1">
      <c r="A960" s="4">
        <v>956</v>
      </c>
      <c r="B960" s="4">
        <v>20548</v>
      </c>
      <c r="C960" s="4">
        <v>1</v>
      </c>
      <c r="D960" s="6">
        <v>0</v>
      </c>
      <c r="E960" s="6">
        <v>0</v>
      </c>
      <c r="F960" s="6">
        <v>-32.125</v>
      </c>
      <c r="G960" s="6">
        <v>-0.6875</v>
      </c>
      <c r="H960" s="6">
        <v>-0.125</v>
      </c>
      <c r="I960" s="6">
        <v>1.4375</v>
      </c>
      <c r="J960" s="6">
        <v>-2.1875</v>
      </c>
      <c r="K960" s="6">
        <v>-15.25</v>
      </c>
      <c r="L960" s="6">
        <v>-74.5625</v>
      </c>
      <c r="M960" s="6">
        <v>0.9375</v>
      </c>
      <c r="N960" s="6">
        <v>-0.1875</v>
      </c>
      <c r="O960" s="6">
        <v>0.4375</v>
      </c>
      <c r="P960" s="6">
        <v>-2.1875</v>
      </c>
      <c r="Q960" s="6">
        <v>-16.8125</v>
      </c>
      <c r="R960" s="6">
        <v>-1.11126637458801</v>
      </c>
      <c r="S960" s="6">
        <v>34.5486450195312</v>
      </c>
      <c r="T960" s="6">
        <v>-0.37487041950225802</v>
      </c>
      <c r="U960" s="6">
        <v>1.24143862724304</v>
      </c>
      <c r="V960" s="6">
        <v>-33.689537048339801</v>
      </c>
      <c r="W960" s="6">
        <v>-18.459796905517599</v>
      </c>
    </row>
    <row r="961" spans="1:23" ht="18.95" customHeight="1">
      <c r="A961" s="4">
        <v>957</v>
      </c>
      <c r="B961" s="4">
        <v>20570</v>
      </c>
      <c r="C961" s="4">
        <v>1</v>
      </c>
      <c r="D961" s="6">
        <v>0</v>
      </c>
      <c r="E961" s="6">
        <v>0</v>
      </c>
      <c r="F961" s="6">
        <v>-35.375</v>
      </c>
      <c r="G961" s="6">
        <v>-0.8125</v>
      </c>
      <c r="H961" s="6">
        <v>0.1875</v>
      </c>
      <c r="I961" s="6">
        <v>1.4375</v>
      </c>
      <c r="J961" s="6">
        <v>-2.1875</v>
      </c>
      <c r="K961" s="6">
        <v>-14.5625</v>
      </c>
      <c r="L961" s="6">
        <v>-75.125</v>
      </c>
      <c r="M961" s="6">
        <v>0.5</v>
      </c>
      <c r="N961" s="6">
        <v>0</v>
      </c>
      <c r="O961" s="6">
        <v>0.375</v>
      </c>
      <c r="P961" s="6">
        <v>-2.25</v>
      </c>
      <c r="Q961" s="6">
        <v>-14.625</v>
      </c>
      <c r="R961" s="6">
        <v>-1.6303505897521999</v>
      </c>
      <c r="S961" s="6">
        <v>39.2203979492188</v>
      </c>
      <c r="T961" s="6">
        <v>-8.4794104099273696E-2</v>
      </c>
      <c r="U961" s="6">
        <v>1.2532429695129399</v>
      </c>
      <c r="V961" s="6">
        <v>-33.003494262695298</v>
      </c>
      <c r="W961" s="6">
        <v>-18.451143264770501</v>
      </c>
    </row>
    <row r="962" spans="1:23" ht="18.95" customHeight="1">
      <c r="A962" s="4">
        <v>958</v>
      </c>
      <c r="B962" s="4">
        <v>20591</v>
      </c>
      <c r="C962" s="4">
        <v>1</v>
      </c>
      <c r="D962" s="6">
        <v>0</v>
      </c>
      <c r="E962" s="6">
        <v>0</v>
      </c>
      <c r="F962" s="6">
        <v>-39.6875</v>
      </c>
      <c r="G962" s="6">
        <v>-0.875</v>
      </c>
      <c r="H962" s="6">
        <v>6.25E-2</v>
      </c>
      <c r="I962" s="6">
        <v>1.375</v>
      </c>
      <c r="J962" s="6">
        <v>-2.1875</v>
      </c>
      <c r="K962" s="6">
        <v>-13.8125</v>
      </c>
      <c r="L962" s="6">
        <v>-77.8125</v>
      </c>
      <c r="M962" s="6">
        <v>0.625</v>
      </c>
      <c r="N962" s="6">
        <v>-0.25</v>
      </c>
      <c r="O962" s="6">
        <v>0.375</v>
      </c>
      <c r="P962" s="6">
        <v>-2.25</v>
      </c>
      <c r="Q962" s="6">
        <v>-13.125</v>
      </c>
      <c r="R962" s="6">
        <v>-1.50821304321289</v>
      </c>
      <c r="S962" s="6">
        <v>41.9990234375</v>
      </c>
      <c r="T962" s="6">
        <v>0.37322115898132302</v>
      </c>
      <c r="U962" s="6">
        <v>1.23501813411713</v>
      </c>
      <c r="V962" s="6">
        <v>-32.153007507324197</v>
      </c>
      <c r="W962" s="6">
        <v>-18.437793731689499</v>
      </c>
    </row>
    <row r="963" spans="1:23" ht="18.95" customHeight="1">
      <c r="A963" s="4">
        <v>959</v>
      </c>
      <c r="B963" s="4">
        <v>20622</v>
      </c>
      <c r="C963" s="4">
        <v>1</v>
      </c>
      <c r="D963" s="6">
        <v>0</v>
      </c>
      <c r="E963" s="6">
        <v>0</v>
      </c>
      <c r="F963" s="6">
        <v>-44.25</v>
      </c>
      <c r="G963" s="6">
        <v>-1</v>
      </c>
      <c r="H963" s="6">
        <v>-0.125</v>
      </c>
      <c r="I963" s="6">
        <v>1.375</v>
      </c>
      <c r="J963" s="6">
        <v>-2.125</v>
      </c>
      <c r="K963" s="6">
        <v>-12.5625</v>
      </c>
      <c r="L963" s="6">
        <v>-78.375</v>
      </c>
      <c r="M963" s="6">
        <v>0.75</v>
      </c>
      <c r="N963" s="6">
        <v>-0.1875</v>
      </c>
      <c r="O963" s="6">
        <v>0.3125</v>
      </c>
      <c r="P963" s="6">
        <v>-2.25</v>
      </c>
      <c r="Q963" s="6">
        <v>-10.875</v>
      </c>
      <c r="R963" s="6">
        <v>-1.6914191246032699</v>
      </c>
      <c r="S963" s="6">
        <v>48.411239624023402</v>
      </c>
      <c r="T963" s="6">
        <v>-0.54280936717987105</v>
      </c>
      <c r="U963" s="6">
        <v>1.1674113273620601</v>
      </c>
      <c r="V963" s="6">
        <v>-30.759944915771499</v>
      </c>
      <c r="W963" s="6">
        <v>-18.4448642730713</v>
      </c>
    </row>
    <row r="964" spans="1:23" ht="18.95" customHeight="1">
      <c r="A964" s="4">
        <v>960</v>
      </c>
      <c r="B964" s="4">
        <v>20643</v>
      </c>
      <c r="C964" s="4">
        <v>1</v>
      </c>
      <c r="D964" s="6">
        <v>0</v>
      </c>
      <c r="E964" s="6">
        <v>0</v>
      </c>
      <c r="F964" s="6">
        <v>-48.625</v>
      </c>
      <c r="G964" s="6">
        <v>-1.125</v>
      </c>
      <c r="H964" s="6">
        <v>-6.25E-2</v>
      </c>
      <c r="I964" s="6">
        <v>1.375</v>
      </c>
      <c r="J964" s="6">
        <v>-2.125</v>
      </c>
      <c r="K964" s="6">
        <v>-11.6875</v>
      </c>
      <c r="L964" s="6">
        <v>-79.875</v>
      </c>
      <c r="M964" s="6">
        <v>0.875</v>
      </c>
      <c r="N964" s="6">
        <v>-0.25</v>
      </c>
      <c r="O964" s="6">
        <v>0.3125</v>
      </c>
      <c r="P964" s="6">
        <v>-2.25</v>
      </c>
      <c r="Q964" s="6">
        <v>-9.3125</v>
      </c>
      <c r="R964" s="6">
        <v>-1.8440909385681199</v>
      </c>
      <c r="S964" s="6">
        <v>51.434135437011697</v>
      </c>
      <c r="T964" s="6">
        <v>-8.4581971168518101E-3</v>
      </c>
      <c r="U964" s="6">
        <v>1.1997987031936601</v>
      </c>
      <c r="V964" s="6">
        <v>-29.814725875854499</v>
      </c>
      <c r="W964" s="6">
        <v>-18.4399108886719</v>
      </c>
    </row>
    <row r="965" spans="1:23" ht="18.95" customHeight="1">
      <c r="A965" s="4">
        <v>961</v>
      </c>
      <c r="B965" s="4">
        <v>20665</v>
      </c>
      <c r="C965" s="4">
        <v>1</v>
      </c>
      <c r="D965" s="6">
        <v>0</v>
      </c>
      <c r="E965" s="6">
        <v>0</v>
      </c>
      <c r="F965" s="6">
        <v>-51.5625</v>
      </c>
      <c r="G965" s="6">
        <v>-1</v>
      </c>
      <c r="H965" s="6">
        <v>-0.125</v>
      </c>
      <c r="I965" s="6">
        <v>1.3125</v>
      </c>
      <c r="J965" s="6">
        <v>-2.125</v>
      </c>
      <c r="K965" s="6">
        <v>-10.1875</v>
      </c>
      <c r="L965" s="6">
        <v>-79.0625</v>
      </c>
      <c r="M965" s="6">
        <v>0.5625</v>
      </c>
      <c r="N965" s="6">
        <v>6.25E-2</v>
      </c>
      <c r="O965" s="6">
        <v>0.25</v>
      </c>
      <c r="P965" s="6">
        <v>-2.25</v>
      </c>
      <c r="Q965" s="6">
        <v>-7.8125</v>
      </c>
      <c r="R965" s="6">
        <v>-1.5234799385070801</v>
      </c>
      <c r="S965" s="6">
        <v>54.747116088867202</v>
      </c>
      <c r="T965" s="6">
        <v>-8.4794104099273696E-2</v>
      </c>
      <c r="U965" s="6">
        <v>1.1260137557983401</v>
      </c>
      <c r="V965" s="6">
        <v>-28.712797164916999</v>
      </c>
      <c r="W965" s="6">
        <v>-18.4342041015625</v>
      </c>
    </row>
    <row r="966" spans="1:23" ht="18.95" customHeight="1">
      <c r="A966" s="4">
        <v>962</v>
      </c>
      <c r="B966" s="4">
        <v>20686</v>
      </c>
      <c r="C966" s="4">
        <v>1</v>
      </c>
      <c r="D966" s="6">
        <v>0</v>
      </c>
      <c r="E966" s="6">
        <v>0</v>
      </c>
      <c r="F966" s="6">
        <v>-55.1875</v>
      </c>
      <c r="G966" s="6">
        <v>-1.125</v>
      </c>
      <c r="H966" s="6">
        <v>-6.25E-2</v>
      </c>
      <c r="I966" s="6">
        <v>1.3125</v>
      </c>
      <c r="J966" s="6">
        <v>-2.0625</v>
      </c>
      <c r="K966" s="6">
        <v>-9.0625</v>
      </c>
      <c r="L966" s="6">
        <v>-79.1875</v>
      </c>
      <c r="M966" s="6">
        <v>0.5625</v>
      </c>
      <c r="N966" s="6">
        <v>-0.125</v>
      </c>
      <c r="O966" s="6">
        <v>0.25</v>
      </c>
      <c r="P966" s="6">
        <v>-2.3125</v>
      </c>
      <c r="Q966" s="6">
        <v>-6.25</v>
      </c>
      <c r="R966" s="6">
        <v>-1.53874731063843</v>
      </c>
      <c r="S966" s="6">
        <v>56.960853576660199</v>
      </c>
      <c r="T966" s="6">
        <v>0.34268689155578602</v>
      </c>
      <c r="U966" s="6">
        <v>1.07065117359161</v>
      </c>
      <c r="V966" s="6">
        <v>-27.606370925903299</v>
      </c>
      <c r="W966" s="6">
        <v>-18.432703018188501</v>
      </c>
    </row>
    <row r="967" spans="1:23" ht="18.95" customHeight="1">
      <c r="A967" s="4">
        <v>963</v>
      </c>
      <c r="B967" s="4">
        <v>20708</v>
      </c>
      <c r="C967" s="4">
        <v>1</v>
      </c>
      <c r="D967" s="6">
        <v>0</v>
      </c>
      <c r="E967" s="6">
        <v>0</v>
      </c>
      <c r="F967" s="6">
        <v>-58.5625</v>
      </c>
      <c r="G967" s="6">
        <v>-0.9375</v>
      </c>
      <c r="H967" s="6">
        <v>-0.25</v>
      </c>
      <c r="I967" s="6">
        <v>1.3125</v>
      </c>
      <c r="J967" s="6">
        <v>-2.0625</v>
      </c>
      <c r="K967" s="6">
        <v>-7.9375</v>
      </c>
      <c r="L967" s="6">
        <v>-77.1875</v>
      </c>
      <c r="M967" s="6">
        <v>0.6875</v>
      </c>
      <c r="N967" s="6">
        <v>0</v>
      </c>
      <c r="O967" s="6">
        <v>0.1875</v>
      </c>
      <c r="P967" s="6">
        <v>-2.3125</v>
      </c>
      <c r="Q967" s="6">
        <v>-4.75</v>
      </c>
      <c r="R967" s="6">
        <v>-1.79828929901123</v>
      </c>
      <c r="S967" s="6">
        <v>60.640243530273402</v>
      </c>
      <c r="T967" s="6">
        <v>-0.37487041950225802</v>
      </c>
      <c r="U967" s="6">
        <v>1.0112152099609399</v>
      </c>
      <c r="V967" s="6">
        <v>-26.399419784545898</v>
      </c>
      <c r="W967" s="6">
        <v>-18.427249908447301</v>
      </c>
    </row>
    <row r="968" spans="1:23" ht="18.95" customHeight="1">
      <c r="A968" s="4">
        <v>964</v>
      </c>
      <c r="B968" s="4">
        <v>20729</v>
      </c>
      <c r="C968" s="4">
        <v>1</v>
      </c>
      <c r="D968" s="6">
        <v>0</v>
      </c>
      <c r="E968" s="6">
        <v>0</v>
      </c>
      <c r="F968" s="6">
        <v>-61.875</v>
      </c>
      <c r="G968" s="6">
        <v>-1</v>
      </c>
      <c r="H968" s="6">
        <v>-0.5</v>
      </c>
      <c r="I968" s="6">
        <v>1.25</v>
      </c>
      <c r="J968" s="6">
        <v>-2.0625</v>
      </c>
      <c r="K968" s="6">
        <v>-6.75</v>
      </c>
      <c r="L968" s="6">
        <v>-76.75</v>
      </c>
      <c r="M968" s="6">
        <v>0.75</v>
      </c>
      <c r="N968" s="6">
        <v>0</v>
      </c>
      <c r="O968" s="6">
        <v>0.125</v>
      </c>
      <c r="P968" s="6">
        <v>-2.3125</v>
      </c>
      <c r="Q968" s="6">
        <v>-2.5</v>
      </c>
      <c r="R968" s="6">
        <v>-2.04256391525269</v>
      </c>
      <c r="S968" s="6">
        <v>62.151695251464801</v>
      </c>
      <c r="T968" s="6">
        <v>0.28161811828613298</v>
      </c>
      <c r="U968" s="6">
        <v>1.0126260519027701</v>
      </c>
      <c r="V968" s="6">
        <v>-25.1277980804443</v>
      </c>
      <c r="W968" s="6">
        <v>-18.4318237304688</v>
      </c>
    </row>
    <row r="969" spans="1:23" ht="18.95" customHeight="1">
      <c r="A969" s="4">
        <v>965</v>
      </c>
      <c r="B969" s="4">
        <v>20751</v>
      </c>
      <c r="C969" s="4">
        <v>0</v>
      </c>
      <c r="D969" s="6">
        <v>0</v>
      </c>
      <c r="E969" s="6">
        <v>0</v>
      </c>
      <c r="F969" s="6">
        <v>-63.6875</v>
      </c>
      <c r="G969" s="6">
        <v>-1.375</v>
      </c>
      <c r="H969" s="6">
        <v>-0.5625</v>
      </c>
      <c r="I969" s="6">
        <v>1.25</v>
      </c>
      <c r="J969" s="6">
        <v>-2</v>
      </c>
      <c r="K969" s="6">
        <v>-5.5625</v>
      </c>
      <c r="L969" s="6">
        <v>-74.4375</v>
      </c>
      <c r="M969" s="6">
        <v>0.625</v>
      </c>
      <c r="N969" s="6">
        <v>-0.1875</v>
      </c>
      <c r="O969" s="6">
        <v>0.125</v>
      </c>
      <c r="P969" s="6">
        <v>-2.3125</v>
      </c>
      <c r="Q969" s="6">
        <v>-1.8125</v>
      </c>
      <c r="R969" s="6">
        <v>-1.6914191246032699</v>
      </c>
      <c r="S969" s="6">
        <v>64.518104553222699</v>
      </c>
      <c r="T969" s="6">
        <v>-0.14586275815963701</v>
      </c>
      <c r="U969" s="6">
        <v>0.95512765645980802</v>
      </c>
      <c r="V969" s="6">
        <v>-23.776170730590799</v>
      </c>
      <c r="W969" s="6">
        <v>-18.433343887329102</v>
      </c>
    </row>
    <row r="970" spans="1:23" ht="18.95" customHeight="1">
      <c r="A970" s="4">
        <v>966</v>
      </c>
      <c r="B970" s="4">
        <v>20772</v>
      </c>
      <c r="C970" s="4">
        <v>0</v>
      </c>
      <c r="D970" s="6">
        <v>0</v>
      </c>
      <c r="E970" s="6">
        <v>0</v>
      </c>
      <c r="F970" s="6">
        <v>-66.1875</v>
      </c>
      <c r="G970" s="6">
        <v>-1.0625</v>
      </c>
      <c r="H970" s="6">
        <v>-0.5625</v>
      </c>
      <c r="I970" s="6">
        <v>1.25</v>
      </c>
      <c r="J970" s="6">
        <v>-2</v>
      </c>
      <c r="K970" s="6">
        <v>-4.25</v>
      </c>
      <c r="L970" s="6">
        <v>-71.5625</v>
      </c>
      <c r="M970" s="6">
        <v>0.75</v>
      </c>
      <c r="N970" s="6">
        <v>-6.25E-2</v>
      </c>
      <c r="O970" s="6">
        <v>6.25E-2</v>
      </c>
      <c r="P970" s="6">
        <v>-2.375</v>
      </c>
      <c r="Q970" s="6">
        <v>0.25</v>
      </c>
      <c r="R970" s="6">
        <v>-2.1188998222351101</v>
      </c>
      <c r="S970" s="6">
        <v>66.166961669921903</v>
      </c>
      <c r="T970" s="6">
        <v>-0.28326734900474498</v>
      </c>
      <c r="U970" s="6">
        <v>0.996296405792236</v>
      </c>
      <c r="V970" s="6">
        <v>-22.344978332519499</v>
      </c>
      <c r="W970" s="6">
        <v>-18.435117721557599</v>
      </c>
    </row>
    <row r="971" spans="1:23" ht="18.95" customHeight="1">
      <c r="A971" s="4">
        <v>967</v>
      </c>
      <c r="B971" s="4">
        <v>20794</v>
      </c>
      <c r="C971" s="4">
        <v>0</v>
      </c>
      <c r="D971" s="6">
        <v>0</v>
      </c>
      <c r="E971" s="6">
        <v>0</v>
      </c>
      <c r="F971" s="6">
        <v>-67.3125</v>
      </c>
      <c r="G971" s="6">
        <v>-1.375</v>
      </c>
      <c r="H971" s="6">
        <v>-0.625</v>
      </c>
      <c r="I971" s="6">
        <v>1.25</v>
      </c>
      <c r="J971" s="6">
        <v>-2</v>
      </c>
      <c r="K971" s="6">
        <v>-3</v>
      </c>
      <c r="L971" s="6">
        <v>-68.0625</v>
      </c>
      <c r="M971" s="6">
        <v>0.6875</v>
      </c>
      <c r="N971" s="6">
        <v>0.1875</v>
      </c>
      <c r="O971" s="6">
        <v>6.25E-2</v>
      </c>
      <c r="P971" s="6">
        <v>-2.375</v>
      </c>
      <c r="Q971" s="6">
        <v>1.5625</v>
      </c>
      <c r="R971" s="6">
        <v>-2.2257704734802202</v>
      </c>
      <c r="S971" s="6">
        <v>68.289100646972699</v>
      </c>
      <c r="T971" s="6">
        <v>-0.29853454232215898</v>
      </c>
      <c r="U971" s="6">
        <v>0.93726444244384799</v>
      </c>
      <c r="V971" s="6">
        <v>-20.787155151367202</v>
      </c>
      <c r="W971" s="6">
        <v>-18.442451477050799</v>
      </c>
    </row>
    <row r="972" spans="1:23" ht="18.95" customHeight="1">
      <c r="A972" s="4">
        <v>968</v>
      </c>
      <c r="B972" s="4">
        <v>20815</v>
      </c>
      <c r="C972" s="4">
        <v>0</v>
      </c>
      <c r="D972" s="6">
        <v>0</v>
      </c>
      <c r="E972" s="6">
        <v>0</v>
      </c>
      <c r="F972" s="6">
        <v>-70.1875</v>
      </c>
      <c r="G972" s="6">
        <v>-1.3125</v>
      </c>
      <c r="H972" s="6">
        <v>-0.8125</v>
      </c>
      <c r="I972" s="6">
        <v>1.25</v>
      </c>
      <c r="J972" s="6">
        <v>-1.9375</v>
      </c>
      <c r="K972" s="6">
        <v>-0.9375</v>
      </c>
      <c r="L972" s="6">
        <v>-65.875</v>
      </c>
      <c r="M972" s="6">
        <v>0.875</v>
      </c>
      <c r="N972" s="6">
        <v>0</v>
      </c>
      <c r="O972" s="6">
        <v>6.25E-2</v>
      </c>
      <c r="P972" s="6">
        <v>-2.375</v>
      </c>
      <c r="Q972" s="6">
        <v>2.875</v>
      </c>
      <c r="R972" s="6">
        <v>-2.7753887176513699</v>
      </c>
      <c r="S972" s="6">
        <v>68.640243530273395</v>
      </c>
      <c r="T972" s="6">
        <v>-0.37487041950225802</v>
      </c>
      <c r="U972" s="6">
        <v>0.92660301923751798</v>
      </c>
      <c r="V972" s="6">
        <v>-19.2665195465088</v>
      </c>
      <c r="W972" s="6">
        <v>-18.4371013641357</v>
      </c>
    </row>
    <row r="973" spans="1:23" ht="18.95" customHeight="1">
      <c r="A973" s="4">
        <v>969</v>
      </c>
      <c r="B973" s="4">
        <v>20835</v>
      </c>
      <c r="C973" s="4">
        <v>1</v>
      </c>
      <c r="D973" s="6">
        <v>0</v>
      </c>
      <c r="E973" s="6">
        <v>0</v>
      </c>
      <c r="F973" s="6">
        <v>-70.1875</v>
      </c>
      <c r="G973" s="6">
        <v>-1.375</v>
      </c>
      <c r="H973" s="6">
        <v>-0.3125</v>
      </c>
      <c r="I973" s="6">
        <v>1.1875</v>
      </c>
      <c r="J973" s="6">
        <v>-1.9375</v>
      </c>
      <c r="K973" s="6">
        <v>-0.25</v>
      </c>
      <c r="L973" s="6">
        <v>-60.5</v>
      </c>
      <c r="M973" s="6">
        <v>0.375</v>
      </c>
      <c r="N973" s="6">
        <v>6.25E-2</v>
      </c>
      <c r="O973" s="6">
        <v>0</v>
      </c>
      <c r="P973" s="6">
        <v>-2.375</v>
      </c>
      <c r="Q973" s="6">
        <v>4.0625</v>
      </c>
      <c r="R973" s="6">
        <v>-2.3631749153137198</v>
      </c>
      <c r="S973" s="6">
        <v>67.892158508300795</v>
      </c>
      <c r="T973" s="6">
        <v>-0.52754217386245705</v>
      </c>
      <c r="U973" s="6">
        <v>0.879228115081787</v>
      </c>
      <c r="V973" s="6">
        <v>-17.645879745483398</v>
      </c>
      <c r="W973" s="6">
        <v>-18.448217391967798</v>
      </c>
    </row>
    <row r="974" spans="1:23" ht="18.95" customHeight="1">
      <c r="A974" s="4">
        <v>970</v>
      </c>
      <c r="B974" s="4">
        <v>20855</v>
      </c>
      <c r="C974" s="4">
        <v>1</v>
      </c>
      <c r="D974" s="6">
        <v>0</v>
      </c>
      <c r="E974" s="6">
        <v>0</v>
      </c>
      <c r="F974" s="6">
        <v>-70.8125</v>
      </c>
      <c r="G974" s="6">
        <v>-1.4375</v>
      </c>
      <c r="H974" s="6">
        <v>-1.0625</v>
      </c>
      <c r="I974" s="6">
        <v>1.1875</v>
      </c>
      <c r="J974" s="6">
        <v>-1.875</v>
      </c>
      <c r="K974" s="6">
        <v>1.0625</v>
      </c>
      <c r="L974" s="6">
        <v>-56.125</v>
      </c>
      <c r="M974" s="6">
        <v>0.5</v>
      </c>
      <c r="N974" s="6">
        <v>-0.125</v>
      </c>
      <c r="O974" s="6">
        <v>0</v>
      </c>
      <c r="P974" s="6">
        <v>-2.375</v>
      </c>
      <c r="Q974" s="6">
        <v>5.1875</v>
      </c>
      <c r="R974" s="6">
        <v>-2.4395108222961399</v>
      </c>
      <c r="S974" s="6">
        <v>66.579177856445298</v>
      </c>
      <c r="T974" s="6">
        <v>6.7877650260925307E-2</v>
      </c>
      <c r="U974" s="6">
        <v>0.83857077360153198</v>
      </c>
      <c r="V974" s="6">
        <v>-16.2203693389893</v>
      </c>
      <c r="W974" s="6">
        <v>-18.455095291137699</v>
      </c>
    </row>
    <row r="975" spans="1:23" ht="18.95" customHeight="1">
      <c r="A975" s="4">
        <v>971</v>
      </c>
      <c r="B975" s="4">
        <v>20875</v>
      </c>
      <c r="C975" s="4">
        <v>1</v>
      </c>
      <c r="D975" s="6">
        <v>0</v>
      </c>
      <c r="E975" s="6">
        <v>0</v>
      </c>
      <c r="F975" s="6">
        <v>-69.125</v>
      </c>
      <c r="G975" s="6">
        <v>-1.5</v>
      </c>
      <c r="H975" s="6">
        <v>-0.6875</v>
      </c>
      <c r="I975" s="6">
        <v>1.1875</v>
      </c>
      <c r="J975" s="6">
        <v>-1.875</v>
      </c>
      <c r="K975" s="6">
        <v>2.375</v>
      </c>
      <c r="L975" s="6">
        <v>-48.875</v>
      </c>
      <c r="M975" s="6">
        <v>0.4375</v>
      </c>
      <c r="N975" s="6">
        <v>6.25E-2</v>
      </c>
      <c r="O975" s="6">
        <v>359.9375</v>
      </c>
      <c r="P975" s="6">
        <v>-2.375</v>
      </c>
      <c r="Q975" s="6">
        <v>6.125</v>
      </c>
      <c r="R975" s="6">
        <v>-2.4547777175903298</v>
      </c>
      <c r="S975" s="6">
        <v>66.075363159179702</v>
      </c>
      <c r="T975" s="6">
        <v>-0.45120629668235801</v>
      </c>
      <c r="U975" s="6">
        <v>0.76027441024780296</v>
      </c>
      <c r="V975" s="6">
        <v>-14.7158765792847</v>
      </c>
      <c r="W975" s="6">
        <v>-18.4624347686768</v>
      </c>
    </row>
    <row r="976" spans="1:23" ht="18.95" customHeight="1">
      <c r="A976" s="4">
        <v>972</v>
      </c>
      <c r="B976" s="4">
        <v>20895</v>
      </c>
      <c r="C976" s="4">
        <v>1</v>
      </c>
      <c r="D976" s="6">
        <v>0</v>
      </c>
      <c r="E976" s="6">
        <v>0</v>
      </c>
      <c r="F976" s="6">
        <v>-69.0625</v>
      </c>
      <c r="G976" s="6">
        <v>-1.5625</v>
      </c>
      <c r="H976" s="6">
        <v>-0.8125</v>
      </c>
      <c r="I976" s="6">
        <v>1.1875</v>
      </c>
      <c r="J976" s="6">
        <v>-1.8125</v>
      </c>
      <c r="K976" s="6">
        <v>3.6875</v>
      </c>
      <c r="L976" s="6">
        <v>-44.6875</v>
      </c>
      <c r="M976" s="6">
        <v>0.8125</v>
      </c>
      <c r="N976" s="6">
        <v>-0.25</v>
      </c>
      <c r="O976" s="6">
        <v>359.9375</v>
      </c>
      <c r="P976" s="6">
        <v>-2.375</v>
      </c>
      <c r="Q976" s="6">
        <v>7.0625</v>
      </c>
      <c r="R976" s="6">
        <v>-2.4089765548706099</v>
      </c>
      <c r="S976" s="6">
        <v>64.640243530273395</v>
      </c>
      <c r="T976" s="6">
        <v>0.128946363925934</v>
      </c>
      <c r="U976" s="6">
        <v>0.73958355188369795</v>
      </c>
      <c r="V976" s="6">
        <v>-13.339505195617701</v>
      </c>
      <c r="W976" s="6">
        <v>-18.463525772094702</v>
      </c>
    </row>
    <row r="977" spans="1:23" ht="18.95" customHeight="1">
      <c r="A977" s="4">
        <v>973</v>
      </c>
      <c r="B977" s="4">
        <v>20917</v>
      </c>
      <c r="C977" s="4">
        <v>1</v>
      </c>
      <c r="D977" s="6">
        <v>0</v>
      </c>
      <c r="E977" s="6">
        <v>0</v>
      </c>
      <c r="F977" s="6">
        <v>-67</v>
      </c>
      <c r="G977" s="6">
        <v>-1.3125</v>
      </c>
      <c r="H977" s="6">
        <v>-0.5625</v>
      </c>
      <c r="I977" s="6">
        <v>1.1875</v>
      </c>
      <c r="J977" s="6">
        <v>-1.75</v>
      </c>
      <c r="K977" s="6">
        <v>5.6875</v>
      </c>
      <c r="L977" s="6">
        <v>-37.25</v>
      </c>
      <c r="M977" s="6">
        <v>-6.25E-2</v>
      </c>
      <c r="N977" s="6">
        <v>0.1875</v>
      </c>
      <c r="O977" s="6">
        <v>359.9375</v>
      </c>
      <c r="P977" s="6">
        <v>-2.375</v>
      </c>
      <c r="Q977" s="6">
        <v>7.8125</v>
      </c>
      <c r="R977" s="6">
        <v>-1.3402740955352801</v>
      </c>
      <c r="S977" s="6">
        <v>61.678413391113303</v>
      </c>
      <c r="T977" s="6">
        <v>6.7877650260925307E-2</v>
      </c>
      <c r="U977" s="6">
        <v>0.52446770668029796</v>
      </c>
      <c r="V977" s="6">
        <v>-11.5578508377075</v>
      </c>
      <c r="W977" s="6">
        <v>-18.4747104644775</v>
      </c>
    </row>
    <row r="978" spans="1:23" ht="18.95" customHeight="1">
      <c r="A978" s="4">
        <v>974</v>
      </c>
      <c r="B978" s="4">
        <v>20939</v>
      </c>
      <c r="C978" s="4">
        <v>1</v>
      </c>
      <c r="D978" s="6">
        <v>0</v>
      </c>
      <c r="E978" s="6">
        <v>0</v>
      </c>
      <c r="F978" s="6">
        <v>-63.8125</v>
      </c>
      <c r="G978" s="6">
        <v>-1</v>
      </c>
      <c r="H978" s="6">
        <v>-1</v>
      </c>
      <c r="I978" s="6">
        <v>1.1875</v>
      </c>
      <c r="J978" s="6">
        <v>-1.75</v>
      </c>
      <c r="K978" s="6">
        <v>6.9375</v>
      </c>
      <c r="L978" s="6">
        <v>-31.75</v>
      </c>
      <c r="M978" s="6">
        <v>0.4375</v>
      </c>
      <c r="N978" s="6">
        <v>-0.3125</v>
      </c>
      <c r="O978" s="6">
        <v>359.9375</v>
      </c>
      <c r="P978" s="6">
        <v>-2.375</v>
      </c>
      <c r="Q978" s="6">
        <v>8.4375</v>
      </c>
      <c r="R978" s="6">
        <v>-2.1494345664978001</v>
      </c>
      <c r="S978" s="6">
        <v>60.075363159179702</v>
      </c>
      <c r="T978" s="6">
        <v>0.22054940462112399</v>
      </c>
      <c r="U978" s="6">
        <v>0.45008537173271201</v>
      </c>
      <c r="V978" s="6">
        <v>-10.310759544372599</v>
      </c>
      <c r="W978" s="6">
        <v>-18.4760341644287</v>
      </c>
    </row>
    <row r="979" spans="1:23" ht="18.95" customHeight="1">
      <c r="A979" s="4">
        <v>975</v>
      </c>
      <c r="B979" s="4">
        <v>20961</v>
      </c>
      <c r="C979" s="4">
        <v>1</v>
      </c>
      <c r="D979" s="6">
        <v>0</v>
      </c>
      <c r="E979" s="6">
        <v>0</v>
      </c>
      <c r="F979" s="6">
        <v>-62.0625</v>
      </c>
      <c r="G979" s="6">
        <v>-1.5625</v>
      </c>
      <c r="H979" s="6">
        <v>-0.5</v>
      </c>
      <c r="I979" s="6">
        <v>1.125</v>
      </c>
      <c r="J979" s="6">
        <v>-1.75</v>
      </c>
      <c r="K979" s="6">
        <v>8.125</v>
      </c>
      <c r="L979" s="6">
        <v>-24.1875</v>
      </c>
      <c r="M979" s="6">
        <v>-6.25E-2</v>
      </c>
      <c r="N979" s="6">
        <v>0.125</v>
      </c>
      <c r="O979" s="6">
        <v>359.9375</v>
      </c>
      <c r="P979" s="6">
        <v>-2.375</v>
      </c>
      <c r="Q979" s="6">
        <v>8.9375</v>
      </c>
      <c r="R979" s="6">
        <v>-2.3631749153137198</v>
      </c>
      <c r="S979" s="6">
        <v>56.502838134765597</v>
      </c>
      <c r="T979" s="6">
        <v>-0.39013758301734902</v>
      </c>
      <c r="U979" s="6">
        <v>0.448253363370895</v>
      </c>
      <c r="V979" s="6">
        <v>-8.6218032836914098</v>
      </c>
      <c r="W979" s="6">
        <v>-18.496097564697301</v>
      </c>
    </row>
    <row r="980" spans="1:23" ht="18.95" customHeight="1">
      <c r="A980" s="4">
        <v>976</v>
      </c>
      <c r="B980" s="4">
        <v>20983</v>
      </c>
      <c r="C980" s="4">
        <v>1</v>
      </c>
      <c r="D980" s="6">
        <v>0</v>
      </c>
      <c r="E980" s="6">
        <v>0</v>
      </c>
      <c r="F980" s="6">
        <v>-59.4375</v>
      </c>
      <c r="G980" s="6">
        <v>-1.5</v>
      </c>
      <c r="H980" s="6">
        <v>-1.375</v>
      </c>
      <c r="I980" s="6">
        <v>1.125</v>
      </c>
      <c r="J980" s="6">
        <v>-1.6875</v>
      </c>
      <c r="K980" s="6">
        <v>9.3125</v>
      </c>
      <c r="L980" s="6">
        <v>-15.5</v>
      </c>
      <c r="M980" s="6">
        <v>-6.25E-2</v>
      </c>
      <c r="N980" s="6">
        <v>6.25E-2</v>
      </c>
      <c r="O980" s="6">
        <v>359.875</v>
      </c>
      <c r="P980" s="6">
        <v>-2.375</v>
      </c>
      <c r="Q980" s="6">
        <v>9.625</v>
      </c>
      <c r="R980" s="6">
        <v>-1.95096111297607</v>
      </c>
      <c r="S980" s="6">
        <v>54.838714599609403</v>
      </c>
      <c r="T980" s="6">
        <v>-0.98555743694305398</v>
      </c>
      <c r="U980" s="6">
        <v>0.30642899870872498</v>
      </c>
      <c r="V980" s="6">
        <v>-7.4351673126220703</v>
      </c>
      <c r="W980" s="6">
        <v>-18.5027866363525</v>
      </c>
    </row>
    <row r="981" spans="1:23" ht="18.95" customHeight="1">
      <c r="A981" s="4">
        <v>977</v>
      </c>
      <c r="B981" s="4">
        <v>21023</v>
      </c>
      <c r="C981" s="4">
        <v>1</v>
      </c>
      <c r="D981" s="6">
        <v>0</v>
      </c>
      <c r="E981" s="6">
        <v>0</v>
      </c>
      <c r="F981" s="6">
        <v>-53.5</v>
      </c>
      <c r="G981" s="6">
        <v>-1.1875</v>
      </c>
      <c r="H981" s="6">
        <v>-0.5625</v>
      </c>
      <c r="I981" s="6">
        <v>1.125</v>
      </c>
      <c r="J981" s="6">
        <v>-1.625</v>
      </c>
      <c r="K981" s="6">
        <v>11.5</v>
      </c>
      <c r="L981" s="6">
        <v>-3.75</v>
      </c>
      <c r="M981" s="6">
        <v>-0.1875</v>
      </c>
      <c r="N981" s="6">
        <v>0.125</v>
      </c>
      <c r="O981" s="6">
        <v>359.875</v>
      </c>
      <c r="P981" s="6">
        <v>-2.4375</v>
      </c>
      <c r="Q981" s="6">
        <v>10.1875</v>
      </c>
      <c r="R981" s="6">
        <v>-1.82882356643677</v>
      </c>
      <c r="S981" s="6">
        <v>49.647880554199197</v>
      </c>
      <c r="T981" s="6">
        <v>-0.66494673490524303</v>
      </c>
      <c r="U981" s="6">
        <v>0.38272187113761902</v>
      </c>
      <c r="V981" s="6">
        <v>-5.2107772827148402</v>
      </c>
      <c r="W981" s="6">
        <v>-18.52321434021</v>
      </c>
    </row>
    <row r="982" spans="1:23" ht="18.95" customHeight="1">
      <c r="A982" s="4">
        <v>978</v>
      </c>
      <c r="B982" s="4">
        <v>21044</v>
      </c>
      <c r="C982" s="4">
        <v>1</v>
      </c>
      <c r="D982" s="6">
        <v>0</v>
      </c>
      <c r="E982" s="6">
        <v>0</v>
      </c>
      <c r="F982" s="6">
        <v>-51.5625</v>
      </c>
      <c r="G982" s="6">
        <v>-1.125</v>
      </c>
      <c r="H982" s="6">
        <v>-0.9375</v>
      </c>
      <c r="I982" s="6">
        <v>1.125</v>
      </c>
      <c r="J982" s="6">
        <v>-1.625</v>
      </c>
      <c r="K982" s="6">
        <v>12.5</v>
      </c>
      <c r="L982" s="6">
        <v>0.9375</v>
      </c>
      <c r="M982" s="6">
        <v>0.25</v>
      </c>
      <c r="N982" s="6">
        <v>-0.1875</v>
      </c>
      <c r="O982" s="6">
        <v>359.875</v>
      </c>
      <c r="P982" s="6">
        <v>-2.4375</v>
      </c>
      <c r="Q982" s="6">
        <v>10.25</v>
      </c>
      <c r="R982" s="6">
        <v>-2.2410373687744101</v>
      </c>
      <c r="S982" s="6">
        <v>44.747116088867202</v>
      </c>
      <c r="T982" s="6">
        <v>-0.40540477633476302</v>
      </c>
      <c r="U982" s="6">
        <v>0.48321971297264099</v>
      </c>
      <c r="V982" s="6">
        <v>-4.1304149627685502</v>
      </c>
      <c r="W982" s="6">
        <v>-18.543087005615199</v>
      </c>
    </row>
    <row r="983" spans="1:23" ht="18.95" customHeight="1">
      <c r="A983" s="4">
        <v>979</v>
      </c>
      <c r="B983" s="4">
        <v>21065</v>
      </c>
      <c r="C983" s="4">
        <v>1</v>
      </c>
      <c r="D983" s="6">
        <v>0</v>
      </c>
      <c r="E983" s="6">
        <v>0</v>
      </c>
      <c r="F983" s="6">
        <v>-48.25</v>
      </c>
      <c r="G983" s="6">
        <v>-1.4375</v>
      </c>
      <c r="H983" s="6">
        <v>-1.125</v>
      </c>
      <c r="I983" s="6">
        <v>1.125</v>
      </c>
      <c r="J983" s="6">
        <v>-1.5625</v>
      </c>
      <c r="K983" s="6">
        <v>13.5625</v>
      </c>
      <c r="L983" s="6">
        <v>5.6875</v>
      </c>
      <c r="M983" s="6">
        <v>-0.25</v>
      </c>
      <c r="N983" s="6">
        <v>-0.4375</v>
      </c>
      <c r="O983" s="6">
        <v>359.875</v>
      </c>
      <c r="P983" s="6">
        <v>-2.4375</v>
      </c>
      <c r="Q983" s="6">
        <v>10.25</v>
      </c>
      <c r="R983" s="6">
        <v>-2.4700450897216801</v>
      </c>
      <c r="S983" s="6">
        <v>43.342536926269503</v>
      </c>
      <c r="T983" s="6">
        <v>-1.39777112007141</v>
      </c>
      <c r="U983" s="6">
        <v>0.35874640941619901</v>
      </c>
      <c r="V983" s="6">
        <v>-3.2954375743865998</v>
      </c>
      <c r="W983" s="6">
        <v>-18.5652751922607</v>
      </c>
    </row>
    <row r="984" spans="1:23" ht="18.95" customHeight="1">
      <c r="A984" s="4">
        <v>980</v>
      </c>
      <c r="B984" s="4">
        <v>21085</v>
      </c>
      <c r="C984" s="4">
        <v>1</v>
      </c>
      <c r="D984" s="6">
        <v>0</v>
      </c>
      <c r="E984" s="6">
        <v>0</v>
      </c>
      <c r="F984" s="6">
        <v>-46.0625</v>
      </c>
      <c r="G984" s="6">
        <v>-2.1875</v>
      </c>
      <c r="H984" s="6">
        <v>-1.5</v>
      </c>
      <c r="I984" s="6">
        <v>1.125</v>
      </c>
      <c r="J984" s="6">
        <v>-1.5625</v>
      </c>
      <c r="K984" s="6">
        <v>14.5</v>
      </c>
      <c r="L984" s="6">
        <v>10.8125</v>
      </c>
      <c r="M984" s="6">
        <v>-0.1875</v>
      </c>
      <c r="N984" s="6">
        <v>-0.375</v>
      </c>
      <c r="O984" s="6">
        <v>359.875</v>
      </c>
      <c r="P984" s="6">
        <v>-2.4375</v>
      </c>
      <c r="Q984" s="6">
        <v>10.125</v>
      </c>
      <c r="R984" s="6">
        <v>-1.2028694152832</v>
      </c>
      <c r="S984" s="6">
        <v>40.166961669921903</v>
      </c>
      <c r="T984" s="6">
        <v>5.2610516548156697E-2</v>
      </c>
      <c r="U984" s="6">
        <v>0.171503826975822</v>
      </c>
      <c r="V984" s="6">
        <v>-2.6158876419067401</v>
      </c>
      <c r="W984" s="6">
        <v>-18.564479827880898</v>
      </c>
    </row>
    <row r="985" spans="1:23" ht="18.95" customHeight="1">
      <c r="A985" s="4">
        <v>981</v>
      </c>
      <c r="B985" s="4">
        <v>21107</v>
      </c>
      <c r="C985" s="4">
        <v>1</v>
      </c>
      <c r="D985" s="6">
        <v>0</v>
      </c>
      <c r="E985" s="6">
        <v>0</v>
      </c>
      <c r="F985" s="6">
        <v>-43.0625</v>
      </c>
      <c r="G985" s="6">
        <v>-1.1875</v>
      </c>
      <c r="H985" s="6">
        <v>-0.625</v>
      </c>
      <c r="I985" s="6">
        <v>1.125</v>
      </c>
      <c r="J985" s="6">
        <v>-1.5</v>
      </c>
      <c r="K985" s="6">
        <v>15.3125</v>
      </c>
      <c r="L985" s="6">
        <v>14.875</v>
      </c>
      <c r="M985" s="6">
        <v>-0.125</v>
      </c>
      <c r="N985" s="6">
        <v>-6.25E-2</v>
      </c>
      <c r="O985" s="6">
        <v>359.875</v>
      </c>
      <c r="P985" s="6">
        <v>-2.4375</v>
      </c>
      <c r="Q985" s="6">
        <v>9.9375</v>
      </c>
      <c r="R985" s="6">
        <v>-2.07309865951538</v>
      </c>
      <c r="S985" s="6">
        <v>39.815818786621101</v>
      </c>
      <c r="T985" s="6">
        <v>-0.64967960119247403</v>
      </c>
      <c r="U985" s="6">
        <v>0.387448370456696</v>
      </c>
      <c r="V985" s="6">
        <v>-1.7279644012451201</v>
      </c>
      <c r="W985" s="6">
        <v>-18.5646858215332</v>
      </c>
    </row>
    <row r="986" spans="1:23" ht="18.95" customHeight="1">
      <c r="A986" s="4">
        <v>982</v>
      </c>
      <c r="B986" s="4">
        <v>21129</v>
      </c>
      <c r="C986" s="4">
        <v>1</v>
      </c>
      <c r="D986" s="6">
        <v>0</v>
      </c>
      <c r="E986" s="6">
        <v>0</v>
      </c>
      <c r="F986" s="6">
        <v>-41.5625</v>
      </c>
      <c r="G986" s="6">
        <v>-0.5</v>
      </c>
      <c r="H986" s="6">
        <v>-0.125</v>
      </c>
      <c r="I986" s="6">
        <v>1.125</v>
      </c>
      <c r="J986" s="6">
        <v>-1.5</v>
      </c>
      <c r="K986" s="6">
        <v>16.6875</v>
      </c>
      <c r="L986" s="6">
        <v>19.5625</v>
      </c>
      <c r="M986" s="6">
        <v>-0.125</v>
      </c>
      <c r="N986" s="6">
        <v>6.25E-2</v>
      </c>
      <c r="O986" s="6">
        <v>359.9375</v>
      </c>
      <c r="P986" s="6">
        <v>-2.5</v>
      </c>
      <c r="Q986" s="6">
        <v>9.625</v>
      </c>
      <c r="R986" s="6">
        <v>-1.05019760131836</v>
      </c>
      <c r="S986" s="6">
        <v>36.212760925292997</v>
      </c>
      <c r="T986" s="6">
        <v>-0.63441240787506104</v>
      </c>
      <c r="U986" s="6">
        <v>0.175057172775269</v>
      </c>
      <c r="V986" s="6">
        <v>-1.2801165580749501</v>
      </c>
      <c r="W986" s="6">
        <v>-18.584897994995099</v>
      </c>
    </row>
    <row r="987" spans="1:23" ht="18.95" customHeight="1">
      <c r="A987" s="4">
        <v>983</v>
      </c>
      <c r="B987" s="4">
        <v>21150</v>
      </c>
      <c r="C987" s="4">
        <v>1</v>
      </c>
      <c r="D987" s="6">
        <v>0</v>
      </c>
      <c r="E987" s="6">
        <v>0</v>
      </c>
      <c r="F987" s="6">
        <v>-37.75</v>
      </c>
      <c r="G987" s="6">
        <v>-1.3125</v>
      </c>
      <c r="H987" s="6">
        <v>-0.875</v>
      </c>
      <c r="I987" s="6">
        <v>1.125</v>
      </c>
      <c r="J987" s="6">
        <v>-1.4375</v>
      </c>
      <c r="K987" s="6">
        <v>17.5</v>
      </c>
      <c r="L987" s="6">
        <v>23.125</v>
      </c>
      <c r="M987" s="6">
        <v>-0.625</v>
      </c>
      <c r="N987" s="6">
        <v>-6.25E-2</v>
      </c>
      <c r="O987" s="6">
        <v>359.9375</v>
      </c>
      <c r="P987" s="6">
        <v>-2.5</v>
      </c>
      <c r="Q987" s="6">
        <v>9.25</v>
      </c>
      <c r="R987" s="6">
        <v>-0.576915264129639</v>
      </c>
      <c r="S987" s="6">
        <v>33.800552368164098</v>
      </c>
      <c r="T987" s="6">
        <v>0.54116010665893599</v>
      </c>
      <c r="U987" s="6">
        <v>0.122570760548115</v>
      </c>
      <c r="V987" s="6">
        <v>-0.69853472709655795</v>
      </c>
      <c r="W987" s="6">
        <v>-18.5820827484131</v>
      </c>
    </row>
    <row r="988" spans="1:23" ht="18.95" customHeight="1">
      <c r="A988" s="4">
        <v>984</v>
      </c>
      <c r="B988" s="4">
        <v>21170</v>
      </c>
      <c r="C988" s="4">
        <v>1</v>
      </c>
      <c r="D988" s="6">
        <v>0</v>
      </c>
      <c r="E988" s="6">
        <v>0</v>
      </c>
      <c r="F988" s="6">
        <v>-37.3125</v>
      </c>
      <c r="G988" s="6">
        <v>-0.8125</v>
      </c>
      <c r="H988" s="6">
        <v>-0.8125</v>
      </c>
      <c r="I988" s="6">
        <v>1.125</v>
      </c>
      <c r="J988" s="6">
        <v>-1.4375</v>
      </c>
      <c r="K988" s="6">
        <v>18.1875</v>
      </c>
      <c r="L988" s="6">
        <v>27.3125</v>
      </c>
      <c r="M988" s="6">
        <v>-0.125</v>
      </c>
      <c r="N988" s="6">
        <v>0</v>
      </c>
      <c r="O988" s="6">
        <v>359.9375</v>
      </c>
      <c r="P988" s="6">
        <v>-2.5</v>
      </c>
      <c r="Q988" s="6">
        <v>8.75</v>
      </c>
      <c r="R988" s="6">
        <v>-0.98912906646728505</v>
      </c>
      <c r="S988" s="6">
        <v>31.846351623535199</v>
      </c>
      <c r="T988" s="6">
        <v>6.80899620056152E-3</v>
      </c>
      <c r="U988" s="6">
        <v>9.78398397564888E-2</v>
      </c>
      <c r="V988" s="6">
        <v>-0.48613607883453402</v>
      </c>
      <c r="W988" s="6">
        <v>-18.5876655578613</v>
      </c>
    </row>
    <row r="989" spans="1:23" ht="18.95" customHeight="1">
      <c r="A989" s="4">
        <v>985</v>
      </c>
      <c r="B989" s="4">
        <v>21190</v>
      </c>
      <c r="C989" s="4">
        <v>1</v>
      </c>
      <c r="D989" s="6">
        <v>0</v>
      </c>
      <c r="E989" s="6">
        <v>0</v>
      </c>
      <c r="F989" s="6">
        <v>-33.3125</v>
      </c>
      <c r="G989" s="6">
        <v>-0.5</v>
      </c>
      <c r="H989" s="6">
        <v>-0.4375</v>
      </c>
      <c r="I989" s="6">
        <v>1.125</v>
      </c>
      <c r="J989" s="6">
        <v>-1.4375</v>
      </c>
      <c r="K989" s="6">
        <v>18.9375</v>
      </c>
      <c r="L989" s="6">
        <v>29.5</v>
      </c>
      <c r="M989" s="6">
        <v>-0.125</v>
      </c>
      <c r="N989" s="6">
        <v>-6.25E-2</v>
      </c>
      <c r="O989" s="6">
        <v>359.9375</v>
      </c>
      <c r="P989" s="6">
        <v>-2.5</v>
      </c>
      <c r="Q989" s="6">
        <v>8.1875</v>
      </c>
      <c r="R989" s="6">
        <v>-1.5540146827697801</v>
      </c>
      <c r="S989" s="6">
        <v>29.8158168792725</v>
      </c>
      <c r="T989" s="6">
        <v>-5.4259717464447001E-2</v>
      </c>
      <c r="U989" s="6">
        <v>0.18161886930465701</v>
      </c>
      <c r="V989" s="6">
        <v>8.8694699108600603E-2</v>
      </c>
      <c r="W989" s="6">
        <v>-18.596773147583001</v>
      </c>
    </row>
    <row r="990" spans="1:23" ht="18.95" customHeight="1">
      <c r="A990" s="4">
        <v>986</v>
      </c>
      <c r="B990" s="4">
        <v>21212</v>
      </c>
      <c r="C990" s="4">
        <v>1</v>
      </c>
      <c r="D990" s="6">
        <v>0</v>
      </c>
      <c r="E990" s="6">
        <v>0</v>
      </c>
      <c r="F990" s="6">
        <v>-31.9375</v>
      </c>
      <c r="G990" s="6">
        <v>-0.875</v>
      </c>
      <c r="H990" s="6">
        <v>-0.875</v>
      </c>
      <c r="I990" s="6">
        <v>1.125</v>
      </c>
      <c r="J990" s="6">
        <v>-1.4375</v>
      </c>
      <c r="K990" s="6">
        <v>19.5625</v>
      </c>
      <c r="L990" s="6">
        <v>33.375</v>
      </c>
      <c r="M990" s="6">
        <v>-0.5625</v>
      </c>
      <c r="N990" s="6">
        <v>6.25E-2</v>
      </c>
      <c r="O990" s="6">
        <v>359.9375</v>
      </c>
      <c r="P990" s="6">
        <v>-2.5</v>
      </c>
      <c r="Q990" s="6">
        <v>7.5625</v>
      </c>
      <c r="R990" s="6">
        <v>-0.47004508972168002</v>
      </c>
      <c r="S990" s="6">
        <v>28.380702972412099</v>
      </c>
      <c r="T990" s="6">
        <v>0.34268689155578602</v>
      </c>
      <c r="U990" s="6">
        <v>3.3180750906467403E-2</v>
      </c>
      <c r="V990" s="6">
        <v>0.26754283905029302</v>
      </c>
      <c r="W990" s="6">
        <v>-18.601882934570298</v>
      </c>
    </row>
    <row r="991" spans="1:23" ht="18.95" customHeight="1">
      <c r="A991" s="4">
        <v>987</v>
      </c>
      <c r="B991" s="4">
        <v>21233</v>
      </c>
      <c r="C991" s="4">
        <v>1</v>
      </c>
      <c r="D991" s="6">
        <v>0</v>
      </c>
      <c r="E991" s="6">
        <v>0</v>
      </c>
      <c r="F991" s="6">
        <v>-30.0625</v>
      </c>
      <c r="G991" s="6">
        <v>-0.6875</v>
      </c>
      <c r="H991" s="6">
        <v>-0.625</v>
      </c>
      <c r="I991" s="6">
        <v>1.125</v>
      </c>
      <c r="J991" s="6">
        <v>-1.375</v>
      </c>
      <c r="K991" s="6">
        <v>20.1875</v>
      </c>
      <c r="L991" s="6">
        <v>37.0625</v>
      </c>
      <c r="M991" s="6">
        <v>-0.1875</v>
      </c>
      <c r="N991" s="6">
        <v>0</v>
      </c>
      <c r="O991" s="6">
        <v>0</v>
      </c>
      <c r="P991" s="6">
        <v>-2.5</v>
      </c>
      <c r="Q991" s="6">
        <v>6.5</v>
      </c>
      <c r="R991" s="6">
        <v>-1.38607549667358</v>
      </c>
      <c r="S991" s="6">
        <v>26.823450088501001</v>
      </c>
      <c r="T991" s="6">
        <v>-0.46647346019744901</v>
      </c>
      <c r="U991" s="6">
        <v>0.21921715140342701</v>
      </c>
      <c r="V991" s="6">
        <v>0.73921442031860396</v>
      </c>
      <c r="W991" s="6">
        <v>-18.605461120605501</v>
      </c>
    </row>
    <row r="992" spans="1:23" ht="18.95" customHeight="1">
      <c r="A992" s="4">
        <v>988</v>
      </c>
      <c r="B992" s="4">
        <v>21253</v>
      </c>
      <c r="C992" s="4">
        <v>1</v>
      </c>
      <c r="D992" s="6">
        <v>0</v>
      </c>
      <c r="E992" s="6">
        <v>0</v>
      </c>
      <c r="F992" s="6">
        <v>-28.6875</v>
      </c>
      <c r="G992" s="6">
        <v>-0.6875</v>
      </c>
      <c r="H992" s="6">
        <v>-0.5</v>
      </c>
      <c r="I992" s="6">
        <v>1.125</v>
      </c>
      <c r="J992" s="6">
        <v>-1.4375</v>
      </c>
      <c r="K992" s="6">
        <v>20.8125</v>
      </c>
      <c r="L992" s="6">
        <v>38.9375</v>
      </c>
      <c r="M992" s="6">
        <v>-0.375</v>
      </c>
      <c r="N992" s="6">
        <v>6.25E-2</v>
      </c>
      <c r="O992" s="6">
        <v>0</v>
      </c>
      <c r="P992" s="6">
        <v>-2.5</v>
      </c>
      <c r="Q992" s="6">
        <v>5.75</v>
      </c>
      <c r="R992" s="6">
        <v>-0.76012134552001998</v>
      </c>
      <c r="S992" s="6">
        <v>24.930320739746101</v>
      </c>
      <c r="T992" s="6">
        <v>-2.3725390434265099E-2</v>
      </c>
      <c r="U992" s="6">
        <v>7.8768674284219707E-3</v>
      </c>
      <c r="V992" s="6">
        <v>0.71892535686492898</v>
      </c>
      <c r="W992" s="6">
        <v>-18.610355377197301</v>
      </c>
    </row>
    <row r="993" spans="1:23" ht="18.95" customHeight="1">
      <c r="A993" s="4">
        <v>989</v>
      </c>
      <c r="B993" s="4">
        <v>21274</v>
      </c>
      <c r="C993" s="4">
        <v>1</v>
      </c>
      <c r="D993" s="6">
        <v>0</v>
      </c>
      <c r="E993" s="6">
        <v>0</v>
      </c>
      <c r="F993" s="6">
        <v>-26.875</v>
      </c>
      <c r="G993" s="6">
        <v>-0.75</v>
      </c>
      <c r="H993" s="6">
        <v>-1</v>
      </c>
      <c r="I993" s="6">
        <v>1.125</v>
      </c>
      <c r="J993" s="6">
        <v>-1.375</v>
      </c>
      <c r="K993" s="6">
        <v>21.375</v>
      </c>
      <c r="L993" s="6">
        <v>42.3125</v>
      </c>
      <c r="M993" s="6">
        <v>-0.6875</v>
      </c>
      <c r="N993" s="6">
        <v>-6.25E-2</v>
      </c>
      <c r="O993" s="6">
        <v>0</v>
      </c>
      <c r="P993" s="6">
        <v>-2.4375</v>
      </c>
      <c r="Q993" s="6">
        <v>4.9375</v>
      </c>
      <c r="R993" s="6">
        <v>-0.36317491531372098</v>
      </c>
      <c r="S993" s="6">
        <v>23.983757019043001</v>
      </c>
      <c r="T993" s="6">
        <v>0.29688531160354598</v>
      </c>
      <c r="U993" s="6">
        <v>6.5015107393264798E-2</v>
      </c>
      <c r="V993" s="6">
        <v>1.1969286203384399</v>
      </c>
      <c r="W993" s="6">
        <v>-18.603565216064499</v>
      </c>
    </row>
    <row r="994" spans="1:23" ht="18.95" customHeight="1">
      <c r="A994" s="4">
        <v>990</v>
      </c>
      <c r="B994" s="4">
        <v>21294</v>
      </c>
      <c r="C994" s="4">
        <v>1</v>
      </c>
      <c r="D994" s="6">
        <v>0</v>
      </c>
      <c r="E994" s="6">
        <v>0</v>
      </c>
      <c r="F994" s="6">
        <v>-25.375</v>
      </c>
      <c r="G994" s="6">
        <v>-6.25E-2</v>
      </c>
      <c r="H994" s="6">
        <v>0</v>
      </c>
      <c r="I994" s="6">
        <v>1.125</v>
      </c>
      <c r="J994" s="6">
        <v>-1.375</v>
      </c>
      <c r="K994" s="6">
        <v>21.9375</v>
      </c>
      <c r="L994" s="6">
        <v>45.5</v>
      </c>
      <c r="M994" s="6">
        <v>-0.3125</v>
      </c>
      <c r="N994" s="6">
        <v>0</v>
      </c>
      <c r="O994" s="6">
        <v>6.25E-2</v>
      </c>
      <c r="P994" s="6">
        <v>-2.4375</v>
      </c>
      <c r="Q994" s="6">
        <v>4.0625</v>
      </c>
      <c r="R994" s="6">
        <v>-0.97386193275451705</v>
      </c>
      <c r="S994" s="6">
        <v>22.9608554840088</v>
      </c>
      <c r="T994" s="6">
        <v>-0.55807650089263905</v>
      </c>
      <c r="U994" s="6">
        <v>0.104025721549988</v>
      </c>
      <c r="V994" s="6">
        <v>1.21512734889984</v>
      </c>
      <c r="W994" s="6">
        <v>-18.609336853027301</v>
      </c>
    </row>
    <row r="995" spans="1:23" ht="18.95" customHeight="1">
      <c r="A995" s="4">
        <v>991</v>
      </c>
      <c r="B995" s="4">
        <v>21316</v>
      </c>
      <c r="C995" s="4">
        <v>1</v>
      </c>
      <c r="D995" s="6">
        <v>0</v>
      </c>
      <c r="E995" s="6">
        <v>0</v>
      </c>
      <c r="F995" s="6">
        <v>-23.875</v>
      </c>
      <c r="G995" s="6">
        <v>-1</v>
      </c>
      <c r="H995" s="6">
        <v>-0.9375</v>
      </c>
      <c r="I995" s="6">
        <v>1.125</v>
      </c>
      <c r="J995" s="6">
        <v>-1.375</v>
      </c>
      <c r="K995" s="6">
        <v>22.375</v>
      </c>
      <c r="L995" s="6">
        <v>47.6875</v>
      </c>
      <c r="M995" s="6">
        <v>-0.625</v>
      </c>
      <c r="N995" s="6">
        <v>-0.125</v>
      </c>
      <c r="O995" s="6">
        <v>6.25E-2</v>
      </c>
      <c r="P995" s="6">
        <v>-2.4375</v>
      </c>
      <c r="Q995" s="6">
        <v>3.125</v>
      </c>
      <c r="R995" s="6">
        <v>-0.34790754318237299</v>
      </c>
      <c r="S995" s="6">
        <v>21.3883361816406</v>
      </c>
      <c r="T995" s="6">
        <v>0.15948075056076</v>
      </c>
      <c r="U995" s="6">
        <v>-7.8366756439208998E-2</v>
      </c>
      <c r="V995" s="6">
        <v>1.39289927482605</v>
      </c>
      <c r="W995" s="6">
        <v>-18.612140655517599</v>
      </c>
    </row>
    <row r="996" spans="1:23" ht="18.95" customHeight="1">
      <c r="A996" s="4">
        <v>992</v>
      </c>
      <c r="B996" s="4">
        <v>21337</v>
      </c>
      <c r="C996" s="4">
        <v>1</v>
      </c>
      <c r="D996" s="6">
        <v>0</v>
      </c>
      <c r="E996" s="6">
        <v>0</v>
      </c>
      <c r="F996" s="6">
        <v>-22.5</v>
      </c>
      <c r="G996" s="6">
        <v>-0.5</v>
      </c>
      <c r="H996" s="6">
        <v>-0.6875</v>
      </c>
      <c r="I996" s="6">
        <v>1.125</v>
      </c>
      <c r="J996" s="6">
        <v>-1.375</v>
      </c>
      <c r="K996" s="6">
        <v>22.875</v>
      </c>
      <c r="L996" s="6">
        <v>49.75</v>
      </c>
      <c r="M996" s="6">
        <v>-0.375</v>
      </c>
      <c r="N996" s="6">
        <v>0.1875</v>
      </c>
      <c r="O996" s="6">
        <v>6.25E-2</v>
      </c>
      <c r="P996" s="6">
        <v>-2.4375</v>
      </c>
      <c r="Q996" s="6">
        <v>2.1875</v>
      </c>
      <c r="R996" s="6">
        <v>-0.50057935714721702</v>
      </c>
      <c r="S996" s="6">
        <v>19.785282135009801</v>
      </c>
      <c r="T996" s="6">
        <v>0.60222876071929898</v>
      </c>
      <c r="U996" s="6">
        <v>-3.3355109393596601E-2</v>
      </c>
      <c r="V996" s="6">
        <v>1.3956947326660201</v>
      </c>
      <c r="W996" s="6">
        <v>-18.6080131530762</v>
      </c>
    </row>
    <row r="997" spans="1:23" ht="18.95" customHeight="1">
      <c r="A997" s="4">
        <v>993</v>
      </c>
      <c r="B997" s="4">
        <v>21357</v>
      </c>
      <c r="C997" s="4">
        <v>1</v>
      </c>
      <c r="D997" s="6">
        <v>0</v>
      </c>
      <c r="E997" s="6">
        <v>0</v>
      </c>
      <c r="F997" s="6">
        <v>-20.875</v>
      </c>
      <c r="G997" s="6">
        <v>-0.5625</v>
      </c>
      <c r="H997" s="6">
        <v>-0.125</v>
      </c>
      <c r="I997" s="6">
        <v>1.125</v>
      </c>
      <c r="J997" s="6">
        <v>-1.375</v>
      </c>
      <c r="K997" s="6">
        <v>23.25</v>
      </c>
      <c r="L997" s="6">
        <v>50.125</v>
      </c>
      <c r="M997" s="6">
        <v>-0.625</v>
      </c>
      <c r="N997" s="6">
        <v>-0.1875</v>
      </c>
      <c r="O997" s="6">
        <v>0.125</v>
      </c>
      <c r="P997" s="6">
        <v>-2.4375</v>
      </c>
      <c r="Q997" s="6">
        <v>1.25</v>
      </c>
      <c r="R997" s="6">
        <v>-1.2181365489959699</v>
      </c>
      <c r="S997" s="6">
        <v>18.4265041351318</v>
      </c>
      <c r="T997" s="6">
        <v>-0.58861088752746604</v>
      </c>
      <c r="U997" s="6">
        <v>-3.7331532686948797E-2</v>
      </c>
      <c r="V997" s="6">
        <v>1.6363427639007599</v>
      </c>
      <c r="W997" s="6">
        <v>-18.617555618286101</v>
      </c>
    </row>
    <row r="998" spans="1:23" ht="18.95" customHeight="1">
      <c r="A998" s="4">
        <v>994</v>
      </c>
      <c r="B998" s="4">
        <v>21379</v>
      </c>
      <c r="C998" s="4">
        <v>1</v>
      </c>
      <c r="D998" s="6">
        <v>0</v>
      </c>
      <c r="E998" s="6">
        <v>0</v>
      </c>
      <c r="F998" s="6">
        <v>-19.3125</v>
      </c>
      <c r="G998" s="6">
        <v>-0.4375</v>
      </c>
      <c r="H998" s="6">
        <v>-0.5625</v>
      </c>
      <c r="I998" s="6">
        <v>1.125</v>
      </c>
      <c r="J998" s="6">
        <v>-1.375</v>
      </c>
      <c r="K998" s="6">
        <v>23.6875</v>
      </c>
      <c r="L998" s="6">
        <v>51.875</v>
      </c>
      <c r="M998" s="6">
        <v>-0.625</v>
      </c>
      <c r="N998" s="6">
        <v>0</v>
      </c>
      <c r="O998" s="6">
        <v>0.125</v>
      </c>
      <c r="P998" s="6">
        <v>-2.4375</v>
      </c>
      <c r="Q998" s="6">
        <v>0.25</v>
      </c>
      <c r="R998" s="6">
        <v>-0.53111386299133301</v>
      </c>
      <c r="S998" s="6">
        <v>17.098258972168001</v>
      </c>
      <c r="T998" s="6">
        <v>-5.4259717464447001E-2</v>
      </c>
      <c r="U998" s="6">
        <v>-5.4764792323112502E-2</v>
      </c>
      <c r="V998" s="6">
        <v>1.5503855943679801</v>
      </c>
      <c r="W998" s="6">
        <v>-18.6191806793213</v>
      </c>
    </row>
    <row r="999" spans="1:23" ht="18.95" customHeight="1">
      <c r="A999" s="4">
        <v>995</v>
      </c>
      <c r="B999" s="4">
        <v>21401</v>
      </c>
      <c r="C999" s="4">
        <v>1</v>
      </c>
      <c r="D999" s="6">
        <v>0</v>
      </c>
      <c r="E999" s="6">
        <v>0</v>
      </c>
      <c r="F999" s="6">
        <v>-18</v>
      </c>
      <c r="G999" s="6">
        <v>-0.375</v>
      </c>
      <c r="H999" s="6">
        <v>-0.625</v>
      </c>
      <c r="I999" s="6">
        <v>1.125</v>
      </c>
      <c r="J999" s="6">
        <v>-1.3125</v>
      </c>
      <c r="K999" s="6">
        <v>24.1875</v>
      </c>
      <c r="L999" s="6">
        <v>53.0625</v>
      </c>
      <c r="M999" s="6">
        <v>-0.4375</v>
      </c>
      <c r="N999" s="6">
        <v>0.125</v>
      </c>
      <c r="O999" s="6">
        <v>0.125</v>
      </c>
      <c r="P999" s="6">
        <v>-2.4375</v>
      </c>
      <c r="Q999" s="6">
        <v>-0.75</v>
      </c>
      <c r="R999" s="6">
        <v>-1.1265335083007799</v>
      </c>
      <c r="S999" s="6">
        <v>15.7852830886841</v>
      </c>
      <c r="T999" s="6">
        <v>-0.848152875900269</v>
      </c>
      <c r="U999" s="6">
        <v>-4.19678259640932E-3</v>
      </c>
      <c r="V999" s="6">
        <v>1.59320712089539</v>
      </c>
      <c r="W999" s="6">
        <v>-18.629610061645501</v>
      </c>
    </row>
    <row r="1000" spans="1:23" ht="18.95" customHeight="1">
      <c r="A1000" s="4">
        <v>996</v>
      </c>
      <c r="B1000" s="4">
        <v>21428</v>
      </c>
      <c r="C1000" s="4">
        <v>1</v>
      </c>
      <c r="D1000" s="6">
        <v>0</v>
      </c>
      <c r="E1000" s="6">
        <v>0</v>
      </c>
      <c r="F1000" s="6">
        <v>-15.5625</v>
      </c>
      <c r="G1000" s="6">
        <v>-0.6875</v>
      </c>
      <c r="H1000" s="6">
        <v>-0.75</v>
      </c>
      <c r="I1000" s="6">
        <v>1.1875</v>
      </c>
      <c r="J1000" s="6">
        <v>-1.3125</v>
      </c>
      <c r="K1000" s="6">
        <v>24.5</v>
      </c>
      <c r="L1000" s="6">
        <v>54.375</v>
      </c>
      <c r="M1000" s="6">
        <v>-0.5625</v>
      </c>
      <c r="N1000" s="6">
        <v>0</v>
      </c>
      <c r="O1000" s="6">
        <v>0.1875</v>
      </c>
      <c r="P1000" s="6">
        <v>-2.4375</v>
      </c>
      <c r="Q1000" s="6">
        <v>-2.3125</v>
      </c>
      <c r="R1000" s="6">
        <v>-0.33264040946960399</v>
      </c>
      <c r="S1000" s="6">
        <v>14.334901809692401</v>
      </c>
      <c r="T1000" s="6">
        <v>-0.60387802124023404</v>
      </c>
      <c r="U1000" s="6">
        <v>5.6109186261892301E-3</v>
      </c>
      <c r="V1000" s="6">
        <v>1.93737137317657</v>
      </c>
      <c r="W1000" s="6">
        <v>-18.646518707275401</v>
      </c>
    </row>
    <row r="1001" spans="1:23" ht="18.95" customHeight="1">
      <c r="A1001" s="4">
        <v>997</v>
      </c>
      <c r="B1001" s="4">
        <v>21448</v>
      </c>
      <c r="C1001" s="4">
        <v>1</v>
      </c>
      <c r="D1001" s="6">
        <v>0</v>
      </c>
      <c r="E1001" s="6">
        <v>0</v>
      </c>
      <c r="F1001" s="6">
        <v>-14.5</v>
      </c>
      <c r="G1001" s="6">
        <v>-0.25</v>
      </c>
      <c r="H1001" s="6">
        <v>-0.4375</v>
      </c>
      <c r="I1001" s="6">
        <v>1.125</v>
      </c>
      <c r="J1001" s="6">
        <v>-1.3125</v>
      </c>
      <c r="K1001" s="6">
        <v>24.8125</v>
      </c>
      <c r="L1001" s="6">
        <v>55.6875</v>
      </c>
      <c r="M1001" s="6">
        <v>-0.5</v>
      </c>
      <c r="N1001" s="6">
        <v>6.25E-2</v>
      </c>
      <c r="O1001" s="6">
        <v>0.1875</v>
      </c>
      <c r="P1001" s="6">
        <v>-2.4375</v>
      </c>
      <c r="Q1001" s="6">
        <v>-3.375</v>
      </c>
      <c r="R1001" s="6">
        <v>-0.86699151992797896</v>
      </c>
      <c r="S1001" s="6">
        <v>13.5257406234741</v>
      </c>
      <c r="T1001" s="6">
        <v>-0.74128264188766502</v>
      </c>
      <c r="U1001" s="6">
        <v>2.8748894110321999E-2</v>
      </c>
      <c r="V1001" s="6">
        <v>2.1156992912292498</v>
      </c>
      <c r="W1001" s="6">
        <v>-18.650922775268601</v>
      </c>
    </row>
    <row r="1002" spans="1:23" ht="18.95" customHeight="1">
      <c r="A1002" s="4">
        <v>998</v>
      </c>
      <c r="B1002" s="4">
        <v>21468</v>
      </c>
      <c r="C1002" s="4">
        <v>1</v>
      </c>
      <c r="D1002" s="6">
        <v>0</v>
      </c>
      <c r="E1002" s="6">
        <v>0</v>
      </c>
      <c r="F1002" s="6">
        <v>-13.4375</v>
      </c>
      <c r="G1002" s="6">
        <v>-0.625</v>
      </c>
      <c r="H1002" s="6">
        <v>-0.6875</v>
      </c>
      <c r="I1002" s="6">
        <v>1.1875</v>
      </c>
      <c r="J1002" s="6">
        <v>-1.3125</v>
      </c>
      <c r="K1002" s="6">
        <v>25.0625</v>
      </c>
      <c r="L1002" s="6">
        <v>56.75</v>
      </c>
      <c r="M1002" s="6">
        <v>-0.5</v>
      </c>
      <c r="N1002" s="6">
        <v>6.25E-2</v>
      </c>
      <c r="O1002" s="6">
        <v>0.25</v>
      </c>
      <c r="P1002" s="6">
        <v>-2.4375</v>
      </c>
      <c r="Q1002" s="6">
        <v>-4.4375</v>
      </c>
      <c r="R1002" s="6">
        <v>-0.72958707809448198</v>
      </c>
      <c r="S1002" s="6">
        <v>14.273832321166999</v>
      </c>
      <c r="T1002" s="6">
        <v>-0.29853454232215898</v>
      </c>
      <c r="U1002" s="6">
        <v>-3.9929393678903597E-3</v>
      </c>
      <c r="V1002" s="6">
        <v>2.0541181564331099</v>
      </c>
      <c r="W1002" s="6">
        <v>-18.663749694824201</v>
      </c>
    </row>
    <row r="1003" spans="1:23" ht="18.95" customHeight="1">
      <c r="A1003" s="4">
        <v>999</v>
      </c>
      <c r="B1003" s="4">
        <v>21490</v>
      </c>
      <c r="C1003" s="4">
        <v>1</v>
      </c>
      <c r="D1003" s="6">
        <v>0</v>
      </c>
      <c r="E1003" s="6">
        <v>0</v>
      </c>
      <c r="F1003" s="6">
        <v>-12.4375</v>
      </c>
      <c r="G1003" s="6">
        <v>-0.4375</v>
      </c>
      <c r="H1003" s="6">
        <v>-0.875</v>
      </c>
      <c r="I1003" s="6">
        <v>1.1875</v>
      </c>
      <c r="J1003" s="6">
        <v>-1.3125</v>
      </c>
      <c r="K1003" s="6">
        <v>25.4375</v>
      </c>
      <c r="L1003" s="6">
        <v>59.125</v>
      </c>
      <c r="M1003" s="6">
        <v>-0.75</v>
      </c>
      <c r="N1003" s="6">
        <v>0.1875</v>
      </c>
      <c r="O1003" s="6">
        <v>0.25</v>
      </c>
      <c r="P1003" s="6">
        <v>-2.4375</v>
      </c>
      <c r="Q1003" s="6">
        <v>-6.1875</v>
      </c>
      <c r="R1003" s="6">
        <v>-0.103632926940918</v>
      </c>
      <c r="S1003" s="6">
        <v>11.0371913909912</v>
      </c>
      <c r="T1003" s="6">
        <v>-0.191664308309555</v>
      </c>
      <c r="U1003" s="6">
        <v>-2.8551444411277799E-2</v>
      </c>
      <c r="V1003" s="6">
        <v>2.0778138637542698</v>
      </c>
      <c r="W1003" s="6">
        <v>-18.661401748657202</v>
      </c>
    </row>
    <row r="1004" spans="1:23" ht="18.95" customHeight="1">
      <c r="A1004" s="4">
        <v>1000</v>
      </c>
      <c r="B1004" s="4">
        <v>21512</v>
      </c>
      <c r="C1004" s="4">
        <v>1</v>
      </c>
      <c r="D1004" s="6">
        <v>0</v>
      </c>
      <c r="E1004" s="6">
        <v>0</v>
      </c>
      <c r="F1004" s="6">
        <v>-11.375</v>
      </c>
      <c r="G1004" s="6">
        <v>6.25E-2</v>
      </c>
      <c r="H1004" s="6">
        <v>6.25E-2</v>
      </c>
      <c r="I1004" s="6">
        <v>1.1875</v>
      </c>
      <c r="J1004" s="6">
        <v>-1.3125</v>
      </c>
      <c r="K1004" s="6">
        <v>25.625</v>
      </c>
      <c r="L1004" s="6">
        <v>59.3125</v>
      </c>
      <c r="M1004" s="6">
        <v>-0.5</v>
      </c>
      <c r="N1004" s="6">
        <v>-6.25E-2</v>
      </c>
      <c r="O1004" s="6">
        <v>0.3125</v>
      </c>
      <c r="P1004" s="6">
        <v>-2.4375</v>
      </c>
      <c r="Q1004" s="6">
        <v>-7.3125</v>
      </c>
      <c r="R1004" s="6">
        <v>-0.72958707809448198</v>
      </c>
      <c r="S1004" s="6">
        <v>9.7700157165527308</v>
      </c>
      <c r="T1004" s="6">
        <v>-0.61914521455764804</v>
      </c>
      <c r="U1004" s="6">
        <v>6.2826618552207905E-2</v>
      </c>
      <c r="V1004" s="6">
        <v>1.81545257568359</v>
      </c>
      <c r="W1004" s="6">
        <v>-18.675024032592798</v>
      </c>
    </row>
    <row r="1005" spans="1:23" ht="18.95" customHeight="1">
      <c r="A1005" s="4">
        <v>1001</v>
      </c>
      <c r="B1005" s="4">
        <v>21532</v>
      </c>
      <c r="C1005" s="4">
        <v>1</v>
      </c>
      <c r="D1005" s="6">
        <v>0</v>
      </c>
      <c r="E1005" s="6">
        <v>0</v>
      </c>
      <c r="F1005" s="6">
        <v>-10.5</v>
      </c>
      <c r="G1005" s="6">
        <v>-0.25</v>
      </c>
      <c r="H1005" s="6">
        <v>-0.6875</v>
      </c>
      <c r="I1005" s="6">
        <v>1.1875</v>
      </c>
      <c r="J1005" s="6">
        <v>-1.3125</v>
      </c>
      <c r="K1005" s="6">
        <v>25.8125</v>
      </c>
      <c r="L1005" s="6">
        <v>60.875</v>
      </c>
      <c r="M1005" s="6">
        <v>-0.6875</v>
      </c>
      <c r="N1005" s="6">
        <v>0.25</v>
      </c>
      <c r="O1005" s="6">
        <v>0.3125</v>
      </c>
      <c r="P1005" s="6">
        <v>-2.4375</v>
      </c>
      <c r="Q1005" s="6">
        <v>-8.5</v>
      </c>
      <c r="R1005" s="6">
        <v>-0.74485421180725098</v>
      </c>
      <c r="S1005" s="6">
        <v>8.7165813446044904</v>
      </c>
      <c r="T1005" s="6">
        <v>-0.89395439624786399</v>
      </c>
      <c r="U1005" s="6">
        <v>9.5979169011116E-2</v>
      </c>
      <c r="V1005" s="6">
        <v>1.7437831163406401</v>
      </c>
      <c r="W1005" s="6">
        <v>-18.685590744018601</v>
      </c>
    </row>
    <row r="1006" spans="1:23" ht="18.95" customHeight="1">
      <c r="A1006" s="4">
        <v>1002</v>
      </c>
      <c r="B1006" s="4">
        <v>21552</v>
      </c>
      <c r="C1006" s="4">
        <v>1</v>
      </c>
      <c r="D1006" s="6">
        <v>0</v>
      </c>
      <c r="E1006" s="6">
        <v>0</v>
      </c>
      <c r="F1006" s="6">
        <v>-9.25</v>
      </c>
      <c r="G1006" s="6">
        <v>-0.5625</v>
      </c>
      <c r="H1006" s="6">
        <v>-0.625</v>
      </c>
      <c r="I1006" s="6">
        <v>1.1875</v>
      </c>
      <c r="J1006" s="6">
        <v>-1.3125</v>
      </c>
      <c r="K1006" s="6">
        <v>26</v>
      </c>
      <c r="L1006" s="6">
        <v>59.9375</v>
      </c>
      <c r="M1006" s="6">
        <v>-0.625</v>
      </c>
      <c r="N1006" s="6">
        <v>-6.25E-2</v>
      </c>
      <c r="O1006" s="6">
        <v>0.3125</v>
      </c>
      <c r="P1006" s="6">
        <v>-2.375</v>
      </c>
      <c r="Q1006" s="6">
        <v>-9.0625</v>
      </c>
      <c r="R1006" s="6">
        <v>1.85046195983887E-2</v>
      </c>
      <c r="S1006" s="6">
        <v>8.3959693908691406</v>
      </c>
      <c r="T1006" s="6">
        <v>-0.46647346019744901</v>
      </c>
      <c r="U1006" s="6">
        <v>1.63236632943153E-2</v>
      </c>
      <c r="V1006" s="6">
        <v>1.60050189495087</v>
      </c>
      <c r="W1006" s="6">
        <v>-18.6911735534668</v>
      </c>
    </row>
    <row r="1007" spans="1:23" ht="18.95" customHeight="1">
      <c r="A1007" s="4">
        <v>1003</v>
      </c>
      <c r="B1007" s="4">
        <v>21574</v>
      </c>
      <c r="C1007" s="4">
        <v>1</v>
      </c>
      <c r="D1007" s="6">
        <v>0</v>
      </c>
      <c r="E1007" s="6">
        <v>0</v>
      </c>
      <c r="F1007" s="6">
        <v>-7.875</v>
      </c>
      <c r="G1007" s="6">
        <v>-0.25</v>
      </c>
      <c r="H1007" s="6">
        <v>-0.5625</v>
      </c>
      <c r="I1007" s="6">
        <v>1.1875</v>
      </c>
      <c r="J1007" s="6">
        <v>-1.3125</v>
      </c>
      <c r="K1007" s="6">
        <v>26.125</v>
      </c>
      <c r="L1007" s="6">
        <v>61.6875</v>
      </c>
      <c r="M1007" s="6">
        <v>-0.5</v>
      </c>
      <c r="N1007" s="6">
        <v>0.1875</v>
      </c>
      <c r="O1007" s="6">
        <v>0.375</v>
      </c>
      <c r="P1007" s="6">
        <v>-2.375</v>
      </c>
      <c r="Q1007" s="6">
        <v>-10.875</v>
      </c>
      <c r="R1007" s="6">
        <v>0.14064192771911599</v>
      </c>
      <c r="S1007" s="6">
        <v>6.6097106933593803</v>
      </c>
      <c r="T1007" s="6">
        <v>0.20528227090835599</v>
      </c>
      <c r="U1007" s="6">
        <v>3.5224985331296899E-3</v>
      </c>
      <c r="V1007" s="6">
        <v>1.50554323196411</v>
      </c>
      <c r="W1007" s="6">
        <v>-18.698793411254901</v>
      </c>
    </row>
    <row r="1008" spans="1:23" ht="18.95" customHeight="1">
      <c r="A1008" s="4">
        <v>1004</v>
      </c>
      <c r="B1008" s="4">
        <v>21594</v>
      </c>
      <c r="C1008" s="4">
        <v>1</v>
      </c>
      <c r="D1008" s="6">
        <v>0</v>
      </c>
      <c r="E1008" s="6">
        <v>0</v>
      </c>
      <c r="F1008" s="6">
        <v>-6.8125</v>
      </c>
      <c r="G1008" s="6">
        <v>-6.25E-2</v>
      </c>
      <c r="H1008" s="6">
        <v>-0.375</v>
      </c>
      <c r="I1008" s="6">
        <v>1.1875</v>
      </c>
      <c r="J1008" s="6">
        <v>-1.3125</v>
      </c>
      <c r="K1008" s="6">
        <v>26.3125</v>
      </c>
      <c r="L1008" s="6">
        <v>62.0625</v>
      </c>
      <c r="M1008" s="6">
        <v>-0.6875</v>
      </c>
      <c r="N1008" s="6">
        <v>-6.25E-2</v>
      </c>
      <c r="O1008" s="6">
        <v>0.375</v>
      </c>
      <c r="P1008" s="6">
        <v>-2.375</v>
      </c>
      <c r="Q1008" s="6">
        <v>-12.0625</v>
      </c>
      <c r="R1008" s="6">
        <v>-0.65325117111206099</v>
      </c>
      <c r="S1008" s="6">
        <v>5.9684891700744602</v>
      </c>
      <c r="T1008" s="6">
        <v>-0.32906889915466297</v>
      </c>
      <c r="U1008" s="6">
        <v>-2.2660568356513999E-4</v>
      </c>
      <c r="V1008" s="6">
        <v>1.33120489120483</v>
      </c>
      <c r="W1008" s="6">
        <v>-18.712007522583001</v>
      </c>
    </row>
    <row r="1009" spans="1:23" ht="18.95" customHeight="1">
      <c r="A1009" s="4">
        <v>1005</v>
      </c>
      <c r="B1009" s="4">
        <v>21615</v>
      </c>
      <c r="C1009" s="4">
        <v>1</v>
      </c>
      <c r="D1009" s="6">
        <v>0</v>
      </c>
      <c r="E1009" s="6">
        <v>0</v>
      </c>
      <c r="F1009" s="6">
        <v>-6</v>
      </c>
      <c r="G1009" s="6">
        <v>-0.25</v>
      </c>
      <c r="H1009" s="6">
        <v>-0.5625</v>
      </c>
      <c r="I1009" s="6">
        <v>1.1875</v>
      </c>
      <c r="J1009" s="6">
        <v>-1.3125</v>
      </c>
      <c r="K1009" s="6">
        <v>26.375</v>
      </c>
      <c r="L1009" s="6">
        <v>63.1875</v>
      </c>
      <c r="M1009" s="6">
        <v>-0.6875</v>
      </c>
      <c r="N1009" s="6">
        <v>0.25</v>
      </c>
      <c r="O1009" s="6">
        <v>0.4375</v>
      </c>
      <c r="P1009" s="6">
        <v>-2.375</v>
      </c>
      <c r="Q1009" s="6">
        <v>-13.3125</v>
      </c>
      <c r="R1009" s="6">
        <v>-0.576915264129639</v>
      </c>
      <c r="S1009" s="6">
        <v>4.7623825073242196</v>
      </c>
      <c r="T1009" s="6">
        <v>-0.48174065351486201</v>
      </c>
      <c r="U1009" s="6">
        <v>-3.03356759250164E-2</v>
      </c>
      <c r="V1009" s="6">
        <v>1.13056981563568</v>
      </c>
      <c r="W1009" s="6">
        <v>-18.7209873199463</v>
      </c>
    </row>
    <row r="1010" spans="1:23" ht="18.95" customHeight="1">
      <c r="A1010" s="4">
        <v>1006</v>
      </c>
      <c r="B1010" s="4">
        <v>21635</v>
      </c>
      <c r="C1010" s="4">
        <v>1</v>
      </c>
      <c r="D1010" s="6">
        <v>0</v>
      </c>
      <c r="E1010" s="6">
        <v>0</v>
      </c>
      <c r="F1010" s="6">
        <v>-4.8125</v>
      </c>
      <c r="G1010" s="6">
        <v>0.125</v>
      </c>
      <c r="H1010" s="6">
        <v>-0.3125</v>
      </c>
      <c r="I1010" s="6">
        <v>1.1875</v>
      </c>
      <c r="J1010" s="6">
        <v>-1.3125</v>
      </c>
      <c r="K1010" s="6">
        <v>26.5</v>
      </c>
      <c r="L1010" s="6">
        <v>62.6875</v>
      </c>
      <c r="M1010" s="6">
        <v>-0.625</v>
      </c>
      <c r="N1010" s="6">
        <v>-6.25E-2</v>
      </c>
      <c r="O1010" s="6">
        <v>0.4375</v>
      </c>
      <c r="P1010" s="6">
        <v>-2.375</v>
      </c>
      <c r="Q1010" s="6">
        <v>-14.5</v>
      </c>
      <c r="R1010" s="6">
        <v>-0.31737327575683599</v>
      </c>
      <c r="S1010" s="6">
        <v>3.7089471817016602</v>
      </c>
      <c r="T1010" s="6">
        <v>-0.78708416223526001</v>
      </c>
      <c r="U1010" s="6">
        <v>-1.1640403419733001E-2</v>
      </c>
      <c r="V1010" s="6">
        <v>1.15001916885376</v>
      </c>
      <c r="W1010" s="6">
        <v>-18.736530303955099</v>
      </c>
    </row>
    <row r="1011" spans="1:23" ht="18.95" customHeight="1">
      <c r="A1011" s="4">
        <v>1007</v>
      </c>
      <c r="B1011" s="4">
        <v>21656</v>
      </c>
      <c r="C1011" s="4">
        <v>1</v>
      </c>
      <c r="D1011" s="6">
        <v>0</v>
      </c>
      <c r="E1011" s="6">
        <v>0</v>
      </c>
      <c r="F1011" s="6">
        <v>-3.9375</v>
      </c>
      <c r="G1011" s="6">
        <v>-0.3125</v>
      </c>
      <c r="H1011" s="6">
        <v>-0.75</v>
      </c>
      <c r="I1011" s="6">
        <v>1.1875</v>
      </c>
      <c r="J1011" s="6">
        <v>-1.3125</v>
      </c>
      <c r="K1011" s="6">
        <v>26.5625</v>
      </c>
      <c r="L1011" s="6">
        <v>65</v>
      </c>
      <c r="M1011" s="6">
        <v>-0.6875</v>
      </c>
      <c r="N1011" s="6">
        <v>0.1875</v>
      </c>
      <c r="O1011" s="6">
        <v>0.5</v>
      </c>
      <c r="P1011" s="6">
        <v>-2.375</v>
      </c>
      <c r="Q1011" s="6">
        <v>-15.75</v>
      </c>
      <c r="R1011" s="6">
        <v>0.216977834701538</v>
      </c>
      <c r="S1011" s="6">
        <v>2.7318477630615199</v>
      </c>
      <c r="T1011" s="6">
        <v>-0.39013758301734902</v>
      </c>
      <c r="U1011" s="6">
        <v>-5.12939095497131E-2</v>
      </c>
      <c r="V1011" s="6">
        <v>0.82445573806762695</v>
      </c>
      <c r="W1011" s="6">
        <v>-18.752067565918001</v>
      </c>
    </row>
    <row r="1012" spans="1:23" ht="18.95" customHeight="1">
      <c r="A1012" s="4">
        <v>1008</v>
      </c>
      <c r="B1012" s="4">
        <v>21676</v>
      </c>
      <c r="C1012" s="4">
        <v>1</v>
      </c>
      <c r="D1012" s="6">
        <v>0</v>
      </c>
      <c r="E1012" s="6">
        <v>0</v>
      </c>
      <c r="F1012" s="6">
        <v>-2.75</v>
      </c>
      <c r="G1012" s="6">
        <v>-6.25E-2</v>
      </c>
      <c r="H1012" s="6">
        <v>-0.4375</v>
      </c>
      <c r="I1012" s="6">
        <v>1.1875</v>
      </c>
      <c r="J1012" s="6">
        <v>-1.25</v>
      </c>
      <c r="K1012" s="6">
        <v>26.625</v>
      </c>
      <c r="L1012" s="6">
        <v>63.5625</v>
      </c>
      <c r="M1012" s="6">
        <v>-0.75</v>
      </c>
      <c r="N1012" s="6">
        <v>-6.25E-2</v>
      </c>
      <c r="O1012" s="6">
        <v>0.5</v>
      </c>
      <c r="P1012" s="6">
        <v>-2.3125</v>
      </c>
      <c r="Q1012" s="6">
        <v>-17</v>
      </c>
      <c r="R1012" s="6">
        <v>-0.92806029319763195</v>
      </c>
      <c r="S1012" s="6">
        <v>2.0142908096313499</v>
      </c>
      <c r="T1012" s="6">
        <v>-1.39777112007141</v>
      </c>
      <c r="U1012" s="6">
        <v>-5.89648261666298E-3</v>
      </c>
      <c r="V1012" s="6">
        <v>0.66909712553024303</v>
      </c>
      <c r="W1012" s="6">
        <v>-18.766136169433601</v>
      </c>
    </row>
    <row r="1013" spans="1:23" ht="18.95" customHeight="1">
      <c r="A1013" s="4">
        <v>1009</v>
      </c>
      <c r="B1013" s="4">
        <v>21697</v>
      </c>
      <c r="C1013" s="4">
        <v>1</v>
      </c>
      <c r="D1013" s="6">
        <v>0</v>
      </c>
      <c r="E1013" s="6">
        <v>0</v>
      </c>
      <c r="F1013" s="6">
        <v>-2.0625</v>
      </c>
      <c r="G1013" s="6">
        <v>-0.4375</v>
      </c>
      <c r="H1013" s="6">
        <v>-1</v>
      </c>
      <c r="I1013" s="6">
        <v>1.1875</v>
      </c>
      <c r="J1013" s="6">
        <v>-1.25</v>
      </c>
      <c r="K1013" s="6">
        <v>26.625</v>
      </c>
      <c r="L1013" s="6">
        <v>64.75</v>
      </c>
      <c r="M1013" s="6">
        <v>-0.5</v>
      </c>
      <c r="N1013" s="6">
        <v>0.375</v>
      </c>
      <c r="O1013" s="6">
        <v>0.5</v>
      </c>
      <c r="P1013" s="6">
        <v>-2.3125</v>
      </c>
      <c r="Q1013" s="6">
        <v>-18.25</v>
      </c>
      <c r="R1013" s="6">
        <v>0.12537479400634799</v>
      </c>
      <c r="S1013" s="6">
        <v>0.670779228210449</v>
      </c>
      <c r="T1013" s="6">
        <v>9.8412036895751995E-2</v>
      </c>
      <c r="U1013" s="6">
        <v>1.5681723132729499E-2</v>
      </c>
      <c r="V1013" s="6">
        <v>0.227910161018372</v>
      </c>
      <c r="W1013" s="6">
        <v>-18.767055511474599</v>
      </c>
    </row>
    <row r="1014" spans="1:23" ht="18.95" customHeight="1">
      <c r="A1014" s="4">
        <v>1010</v>
      </c>
      <c r="B1014" s="4">
        <v>21717</v>
      </c>
      <c r="C1014" s="4">
        <v>1</v>
      </c>
      <c r="D1014" s="6">
        <v>0</v>
      </c>
      <c r="E1014" s="6">
        <v>0</v>
      </c>
      <c r="F1014" s="6">
        <v>-0.75</v>
      </c>
      <c r="G1014" s="6">
        <v>0.4375</v>
      </c>
      <c r="H1014" s="6">
        <v>0.125</v>
      </c>
      <c r="I1014" s="6">
        <v>1.1875</v>
      </c>
      <c r="J1014" s="6">
        <v>-1.25</v>
      </c>
      <c r="K1014" s="6">
        <v>26.5625</v>
      </c>
      <c r="L1014" s="6">
        <v>61.6875</v>
      </c>
      <c r="M1014" s="6">
        <v>-0.5</v>
      </c>
      <c r="N1014" s="6">
        <v>-0.25</v>
      </c>
      <c r="O1014" s="6">
        <v>0.5625</v>
      </c>
      <c r="P1014" s="6">
        <v>-2.3125</v>
      </c>
      <c r="Q1014" s="6">
        <v>-19.4375</v>
      </c>
      <c r="R1014" s="6">
        <v>-0.28683900833129899</v>
      </c>
      <c r="S1014" s="6">
        <v>-0.168915390968323</v>
      </c>
      <c r="T1014" s="6">
        <v>-0.81761848926544201</v>
      </c>
      <c r="U1014" s="6">
        <v>0.120120644569397</v>
      </c>
      <c r="V1014" s="6">
        <v>0.240986287593842</v>
      </c>
      <c r="W1014" s="6">
        <v>-18.7776584625244</v>
      </c>
    </row>
    <row r="1015" spans="1:23" ht="18.95" customHeight="1">
      <c r="A1015" s="4">
        <v>1011</v>
      </c>
      <c r="B1015" s="4">
        <v>21738</v>
      </c>
      <c r="C1015" s="4">
        <v>1</v>
      </c>
      <c r="D1015" s="6">
        <v>0</v>
      </c>
      <c r="E1015" s="6">
        <v>0</v>
      </c>
      <c r="F1015" s="6">
        <v>0.1875</v>
      </c>
      <c r="G1015" s="6">
        <v>-0.1875</v>
      </c>
      <c r="H1015" s="6">
        <v>-0.6875</v>
      </c>
      <c r="I1015" s="6">
        <v>1.25</v>
      </c>
      <c r="J1015" s="6">
        <v>-1.25</v>
      </c>
      <c r="K1015" s="6">
        <v>26.5625</v>
      </c>
      <c r="L1015" s="6">
        <v>62.5625</v>
      </c>
      <c r="M1015" s="6">
        <v>-0.6875</v>
      </c>
      <c r="N1015" s="6">
        <v>0.1875</v>
      </c>
      <c r="O1015" s="6">
        <v>0.5625</v>
      </c>
      <c r="P1015" s="6">
        <v>-2.3125</v>
      </c>
      <c r="Q1015" s="6">
        <v>-20.625</v>
      </c>
      <c r="R1015" s="6">
        <v>0.17117643356323201</v>
      </c>
      <c r="S1015" s="6">
        <v>-1.2376177310943599</v>
      </c>
      <c r="T1015" s="6">
        <v>-0.29853454232215898</v>
      </c>
      <c r="U1015" s="6">
        <v>-1.4388270676135999E-2</v>
      </c>
      <c r="V1015" s="6">
        <v>-6.2888070940971402E-2</v>
      </c>
      <c r="W1015" s="6">
        <v>-18.7853107452393</v>
      </c>
    </row>
    <row r="1016" spans="1:23" ht="18.95" customHeight="1">
      <c r="A1016" s="4">
        <v>1012</v>
      </c>
      <c r="B1016" s="4">
        <v>21759</v>
      </c>
      <c r="C1016" s="4">
        <v>1</v>
      </c>
      <c r="D1016" s="6">
        <v>0</v>
      </c>
      <c r="E1016" s="6">
        <v>0</v>
      </c>
      <c r="F1016" s="6">
        <v>1.125</v>
      </c>
      <c r="G1016" s="6">
        <v>0.1875</v>
      </c>
      <c r="H1016" s="6">
        <v>-0.25</v>
      </c>
      <c r="I1016" s="6">
        <v>1.25</v>
      </c>
      <c r="J1016" s="6">
        <v>-1.25</v>
      </c>
      <c r="K1016" s="6">
        <v>26.4375</v>
      </c>
      <c r="L1016" s="6">
        <v>61.75</v>
      </c>
      <c r="M1016" s="6">
        <v>-0.5</v>
      </c>
      <c r="N1016" s="6">
        <v>0</v>
      </c>
      <c r="O1016" s="6">
        <v>0.625</v>
      </c>
      <c r="P1016" s="6">
        <v>-2.3125</v>
      </c>
      <c r="Q1016" s="6">
        <v>-21.875</v>
      </c>
      <c r="R1016" s="6">
        <v>9.4840526580810505E-2</v>
      </c>
      <c r="S1016" s="6">
        <v>-2.3215870857238801</v>
      </c>
      <c r="T1016" s="6">
        <v>-0.66494673490524303</v>
      </c>
      <c r="U1016" s="6">
        <v>8.7517730891704601E-2</v>
      </c>
      <c r="V1016" s="6">
        <v>-0.14926581084728199</v>
      </c>
      <c r="W1016" s="6">
        <v>-18.785219192504901</v>
      </c>
    </row>
    <row r="1017" spans="1:23" ht="18.95" customHeight="1">
      <c r="A1017" s="4">
        <v>1013</v>
      </c>
      <c r="B1017" s="4">
        <v>21779</v>
      </c>
      <c r="C1017" s="4">
        <v>1</v>
      </c>
      <c r="D1017" s="6">
        <v>0</v>
      </c>
      <c r="E1017" s="6">
        <v>0</v>
      </c>
      <c r="F1017" s="6">
        <v>2.125</v>
      </c>
      <c r="G1017" s="6">
        <v>0.4375</v>
      </c>
      <c r="H1017" s="6">
        <v>-6.25E-2</v>
      </c>
      <c r="I1017" s="6">
        <v>1.25</v>
      </c>
      <c r="J1017" s="6">
        <v>-1.25</v>
      </c>
      <c r="K1017" s="6">
        <v>26.375</v>
      </c>
      <c r="L1017" s="6">
        <v>61.3125</v>
      </c>
      <c r="M1017" s="6">
        <v>-0.4375</v>
      </c>
      <c r="N1017" s="6">
        <v>6.25E-2</v>
      </c>
      <c r="O1017" s="6">
        <v>0.625</v>
      </c>
      <c r="P1017" s="6">
        <v>-2.3125</v>
      </c>
      <c r="Q1017" s="6">
        <v>-23.625</v>
      </c>
      <c r="R1017" s="6">
        <v>-0.17996859550476099</v>
      </c>
      <c r="S1017" s="6">
        <v>-3.3902893066406201</v>
      </c>
      <c r="T1017" s="6">
        <v>-0.39013758301734902</v>
      </c>
      <c r="U1017" s="6">
        <v>7.7568531036376995E-2</v>
      </c>
      <c r="V1017" s="6">
        <v>-0.43016445636749301</v>
      </c>
      <c r="W1017" s="6">
        <v>-18.799108505248999</v>
      </c>
    </row>
    <row r="1018" spans="1:23" ht="18.95" customHeight="1">
      <c r="A1018" s="4">
        <v>1014</v>
      </c>
      <c r="B1018" s="4">
        <v>21802</v>
      </c>
      <c r="C1018" s="4">
        <v>1</v>
      </c>
      <c r="D1018" s="6">
        <v>0</v>
      </c>
      <c r="E1018" s="6">
        <v>0</v>
      </c>
      <c r="F1018" s="6">
        <v>3.125</v>
      </c>
      <c r="G1018" s="6">
        <v>-0.125</v>
      </c>
      <c r="H1018" s="6">
        <v>-0.4375</v>
      </c>
      <c r="I1018" s="6">
        <v>1.25</v>
      </c>
      <c r="J1018" s="6">
        <v>-1.25</v>
      </c>
      <c r="K1018" s="6">
        <v>26.25</v>
      </c>
      <c r="L1018" s="6">
        <v>60.8125</v>
      </c>
      <c r="M1018" s="6">
        <v>-0.8125</v>
      </c>
      <c r="N1018" s="6">
        <v>0</v>
      </c>
      <c r="O1018" s="6">
        <v>0.6875</v>
      </c>
      <c r="P1018" s="6">
        <v>-2.3125</v>
      </c>
      <c r="Q1018" s="6">
        <v>-24.25</v>
      </c>
      <c r="R1018" s="6">
        <v>-0.21050310134887701</v>
      </c>
      <c r="S1018" s="6">
        <v>-4.3826560974121103</v>
      </c>
      <c r="T1018" s="6">
        <v>-0.66494673490524303</v>
      </c>
      <c r="U1018" s="6">
        <v>8.2976885139942197E-2</v>
      </c>
      <c r="V1018" s="6">
        <v>-0.56841027736663796</v>
      </c>
      <c r="W1018" s="6">
        <v>-18.810022354126001</v>
      </c>
    </row>
    <row r="1019" spans="1:23" ht="18.95" customHeight="1">
      <c r="A1019" s="4">
        <v>1015</v>
      </c>
      <c r="B1019" s="4">
        <v>21829</v>
      </c>
      <c r="C1019" s="4">
        <v>1</v>
      </c>
      <c r="D1019" s="6">
        <v>0</v>
      </c>
      <c r="E1019" s="6">
        <v>0</v>
      </c>
      <c r="F1019" s="6">
        <v>4.75</v>
      </c>
      <c r="G1019" s="6">
        <v>6.25E-2</v>
      </c>
      <c r="H1019" s="6">
        <v>-0.125</v>
      </c>
      <c r="I1019" s="6">
        <v>1.25</v>
      </c>
      <c r="J1019" s="6">
        <v>-1.25</v>
      </c>
      <c r="K1019" s="6">
        <v>26.125</v>
      </c>
      <c r="L1019" s="6">
        <v>60</v>
      </c>
      <c r="M1019" s="6">
        <v>-0.625</v>
      </c>
      <c r="N1019" s="6">
        <v>-6.25E-2</v>
      </c>
      <c r="O1019" s="6">
        <v>0.6875</v>
      </c>
      <c r="P1019" s="6">
        <v>-2.3125</v>
      </c>
      <c r="Q1019" s="6">
        <v>-25.9375</v>
      </c>
      <c r="R1019" s="6">
        <v>0.56812286376953103</v>
      </c>
      <c r="S1019" s="6">
        <v>-5.9093732833862296</v>
      </c>
      <c r="T1019" s="6">
        <v>-0.206931471824646</v>
      </c>
      <c r="U1019" s="6">
        <v>7.6569348573684706E-2</v>
      </c>
      <c r="V1019" s="6">
        <v>-0.773193299770355</v>
      </c>
      <c r="W1019" s="6">
        <v>-18.815402984619102</v>
      </c>
    </row>
    <row r="1020" spans="1:23" ht="18.95" customHeight="1">
      <c r="A1020" s="4">
        <v>1016</v>
      </c>
      <c r="B1020" s="4">
        <v>21849</v>
      </c>
      <c r="C1020" s="4">
        <v>1</v>
      </c>
      <c r="D1020" s="6">
        <v>0</v>
      </c>
      <c r="E1020" s="6">
        <v>0</v>
      </c>
      <c r="F1020" s="6">
        <v>5.6875</v>
      </c>
      <c r="G1020" s="6">
        <v>0.125</v>
      </c>
      <c r="H1020" s="6">
        <v>-0.4375</v>
      </c>
      <c r="I1020" s="6">
        <v>1.25</v>
      </c>
      <c r="J1020" s="6">
        <v>-1.25</v>
      </c>
      <c r="K1020" s="6">
        <v>25.9375</v>
      </c>
      <c r="L1020" s="6">
        <v>59.375</v>
      </c>
      <c r="M1020" s="6">
        <v>-0.625</v>
      </c>
      <c r="N1020" s="6">
        <v>0.1875</v>
      </c>
      <c r="O1020" s="6">
        <v>0.75</v>
      </c>
      <c r="P1020" s="6">
        <v>-2.25</v>
      </c>
      <c r="Q1020" s="6">
        <v>-27.125</v>
      </c>
      <c r="R1020" s="6">
        <v>0.186443567276001</v>
      </c>
      <c r="S1020" s="6">
        <v>-6.8712053298950204</v>
      </c>
      <c r="T1020" s="6">
        <v>-0.832885682582855</v>
      </c>
      <c r="U1020" s="6">
        <v>0.160478815436363</v>
      </c>
      <c r="V1020" s="6">
        <v>-0.90123009681701705</v>
      </c>
      <c r="W1020" s="6">
        <v>-18.818565368652301</v>
      </c>
    </row>
    <row r="1021" spans="1:23" ht="18.95" customHeight="1">
      <c r="A1021" s="4">
        <v>1017</v>
      </c>
      <c r="B1021" s="4">
        <v>21870</v>
      </c>
      <c r="C1021" s="4">
        <v>1</v>
      </c>
      <c r="D1021" s="6">
        <v>0</v>
      </c>
      <c r="E1021" s="6">
        <v>0</v>
      </c>
      <c r="F1021" s="6">
        <v>6.8125</v>
      </c>
      <c r="G1021" s="6">
        <v>-6.25E-2</v>
      </c>
      <c r="H1021" s="6">
        <v>-0.125</v>
      </c>
      <c r="I1021" s="6">
        <v>1.25</v>
      </c>
      <c r="J1021" s="6">
        <v>-1.3125</v>
      </c>
      <c r="K1021" s="6">
        <v>25.8125</v>
      </c>
      <c r="L1021" s="6">
        <v>58.4375</v>
      </c>
      <c r="M1021" s="6">
        <v>-0.6875</v>
      </c>
      <c r="N1021" s="6">
        <v>-6.25E-2</v>
      </c>
      <c r="O1021" s="6">
        <v>0.75</v>
      </c>
      <c r="P1021" s="6">
        <v>-2.25</v>
      </c>
      <c r="Q1021" s="6">
        <v>-28.8125</v>
      </c>
      <c r="R1021" s="6">
        <v>0.46125268936157199</v>
      </c>
      <c r="S1021" s="6">
        <v>-8.0925798416137695</v>
      </c>
      <c r="T1021" s="6">
        <v>-0.14586275815963701</v>
      </c>
      <c r="U1021" s="6">
        <v>5.2965231239795699E-2</v>
      </c>
      <c r="V1021" s="6">
        <v>-1.24886846542358</v>
      </c>
      <c r="W1021" s="6">
        <v>-18.829431533813501</v>
      </c>
    </row>
    <row r="1022" spans="1:23" ht="18.95" customHeight="1">
      <c r="A1022" s="4">
        <v>1018</v>
      </c>
      <c r="B1022" s="4">
        <v>21890</v>
      </c>
      <c r="C1022" s="4">
        <v>1</v>
      </c>
      <c r="D1022" s="6">
        <v>0</v>
      </c>
      <c r="E1022" s="6">
        <v>0</v>
      </c>
      <c r="F1022" s="6">
        <v>7.9375</v>
      </c>
      <c r="G1022" s="6">
        <v>0.125</v>
      </c>
      <c r="H1022" s="6">
        <v>-0.5</v>
      </c>
      <c r="I1022" s="6">
        <v>1.25</v>
      </c>
      <c r="J1022" s="6">
        <v>-1.25</v>
      </c>
      <c r="K1022" s="6">
        <v>25.625</v>
      </c>
      <c r="L1022" s="6">
        <v>57.8125</v>
      </c>
      <c r="M1022" s="6">
        <v>-0.8125</v>
      </c>
      <c r="N1022" s="6">
        <v>6.25E-2</v>
      </c>
      <c r="O1022" s="6">
        <v>0.8125</v>
      </c>
      <c r="P1022" s="6">
        <v>-2.25</v>
      </c>
      <c r="Q1022" s="6">
        <v>-29.375</v>
      </c>
      <c r="R1022" s="6">
        <v>0.232244968414307</v>
      </c>
      <c r="S1022" s="6">
        <v>-8.9628086090087908</v>
      </c>
      <c r="T1022" s="6">
        <v>-0.68021392822265603</v>
      </c>
      <c r="U1022" s="6">
        <v>0.116127386689186</v>
      </c>
      <c r="V1022" s="6">
        <v>-1.44050121307373</v>
      </c>
      <c r="W1022" s="6">
        <v>-18.835218429565401</v>
      </c>
    </row>
    <row r="1023" spans="1:23" ht="18.95" customHeight="1">
      <c r="A1023" s="4">
        <v>1019</v>
      </c>
      <c r="B1023" s="4">
        <v>21911</v>
      </c>
      <c r="C1023" s="4">
        <v>1</v>
      </c>
      <c r="D1023" s="6">
        <v>0</v>
      </c>
      <c r="E1023" s="6">
        <v>0</v>
      </c>
      <c r="F1023" s="6">
        <v>9.125</v>
      </c>
      <c r="G1023" s="6">
        <v>0.3125</v>
      </c>
      <c r="H1023" s="6">
        <v>-0.3125</v>
      </c>
      <c r="I1023" s="6">
        <v>1.25</v>
      </c>
      <c r="J1023" s="6">
        <v>-1.25</v>
      </c>
      <c r="K1023" s="6">
        <v>25.375</v>
      </c>
      <c r="L1023" s="6">
        <v>56.8125</v>
      </c>
      <c r="M1023" s="6">
        <v>-0.5625</v>
      </c>
      <c r="N1023" s="6">
        <v>-6.25E-2</v>
      </c>
      <c r="O1023" s="6">
        <v>0.8125</v>
      </c>
      <c r="P1023" s="6">
        <v>-2.25</v>
      </c>
      <c r="Q1023" s="6">
        <v>-30.5</v>
      </c>
      <c r="R1023" s="6">
        <v>-0.22577023506164601</v>
      </c>
      <c r="S1023" s="6">
        <v>-10.550595283508301</v>
      </c>
      <c r="T1023" s="6">
        <v>-0.80235135555267301</v>
      </c>
      <c r="U1023" s="6">
        <v>0.14437536895275099</v>
      </c>
      <c r="V1023" s="6">
        <v>-1.6960818767547601</v>
      </c>
      <c r="W1023" s="6">
        <v>-18.843410491943398</v>
      </c>
    </row>
    <row r="1024" spans="1:23" ht="18.95" customHeight="1">
      <c r="A1024" s="4">
        <v>1020</v>
      </c>
      <c r="B1024" s="4">
        <v>21933</v>
      </c>
      <c r="C1024" s="4">
        <v>1</v>
      </c>
      <c r="D1024" s="6">
        <v>0</v>
      </c>
      <c r="E1024" s="6">
        <v>0</v>
      </c>
      <c r="F1024" s="6">
        <v>10.4375</v>
      </c>
      <c r="G1024" s="6">
        <v>0.125</v>
      </c>
      <c r="H1024" s="6">
        <v>-0.125</v>
      </c>
      <c r="I1024" s="6">
        <v>1.25</v>
      </c>
      <c r="J1024" s="6">
        <v>-1.25</v>
      </c>
      <c r="K1024" s="6">
        <v>25.1875</v>
      </c>
      <c r="L1024" s="6">
        <v>56.6875</v>
      </c>
      <c r="M1024" s="6">
        <v>-0.6875</v>
      </c>
      <c r="N1024" s="6">
        <v>0</v>
      </c>
      <c r="O1024" s="6">
        <v>0.875</v>
      </c>
      <c r="P1024" s="6">
        <v>-2.25</v>
      </c>
      <c r="Q1024" s="6">
        <v>-32.125</v>
      </c>
      <c r="R1024" s="6">
        <v>0.99560379981994596</v>
      </c>
      <c r="S1024" s="6">
        <v>-12.1841821670532</v>
      </c>
      <c r="T1024" s="6">
        <v>0.174747884273529</v>
      </c>
      <c r="U1024" s="6">
        <v>0.12867933511734</v>
      </c>
      <c r="V1024" s="6">
        <v>-2.0391960144043</v>
      </c>
      <c r="W1024" s="6">
        <v>-18.8461399078369</v>
      </c>
    </row>
    <row r="1025" spans="1:23" ht="18.95" customHeight="1">
      <c r="A1025" s="4">
        <v>1021</v>
      </c>
      <c r="B1025" s="4">
        <v>21953</v>
      </c>
      <c r="C1025" s="4">
        <v>1</v>
      </c>
      <c r="D1025" s="6">
        <v>0</v>
      </c>
      <c r="E1025" s="6">
        <v>0</v>
      </c>
      <c r="F1025" s="6">
        <v>11.6875</v>
      </c>
      <c r="G1025" s="6">
        <v>0.4375</v>
      </c>
      <c r="H1025" s="6">
        <v>6.25E-2</v>
      </c>
      <c r="I1025" s="6">
        <v>1.25</v>
      </c>
      <c r="J1025" s="6">
        <v>-1.25</v>
      </c>
      <c r="K1025" s="6">
        <v>24.9375</v>
      </c>
      <c r="L1025" s="6">
        <v>56</v>
      </c>
      <c r="M1025" s="6">
        <v>-0.5625</v>
      </c>
      <c r="N1025" s="6">
        <v>0.125</v>
      </c>
      <c r="O1025" s="6">
        <v>0.875</v>
      </c>
      <c r="P1025" s="6">
        <v>-2.25</v>
      </c>
      <c r="Q1025" s="6">
        <v>-33.1875</v>
      </c>
      <c r="R1025" s="6">
        <v>0.400183916091919</v>
      </c>
      <c r="S1025" s="6">
        <v>-13.146014213561999</v>
      </c>
      <c r="T1025" s="6">
        <v>-0.60387802124023404</v>
      </c>
      <c r="U1025" s="6">
        <v>0.14276596903801</v>
      </c>
      <c r="V1025" s="6">
        <v>-2.37554931640625</v>
      </c>
      <c r="W1025" s="6">
        <v>-18.851760864257798</v>
      </c>
    </row>
    <row r="1026" spans="1:23" ht="18.95" customHeight="1">
      <c r="A1026" s="4">
        <v>1022</v>
      </c>
      <c r="B1026" s="4">
        <v>21973</v>
      </c>
      <c r="C1026" s="4">
        <v>1</v>
      </c>
      <c r="D1026" s="6">
        <v>0</v>
      </c>
      <c r="E1026" s="6">
        <v>0</v>
      </c>
      <c r="F1026" s="6">
        <v>13.125</v>
      </c>
      <c r="G1026" s="6">
        <v>0.125</v>
      </c>
      <c r="H1026" s="6">
        <v>-6.25E-2</v>
      </c>
      <c r="I1026" s="6">
        <v>1.25</v>
      </c>
      <c r="J1026" s="6">
        <v>-1.25</v>
      </c>
      <c r="K1026" s="6">
        <v>24.625</v>
      </c>
      <c r="L1026" s="6">
        <v>54.875</v>
      </c>
      <c r="M1026" s="6">
        <v>-0.4375</v>
      </c>
      <c r="N1026" s="6">
        <v>6.25E-2</v>
      </c>
      <c r="O1026" s="6">
        <v>0.875</v>
      </c>
      <c r="P1026" s="6">
        <v>-2.25</v>
      </c>
      <c r="Q1026" s="6">
        <v>-34.25</v>
      </c>
      <c r="R1026" s="6">
        <v>0.64445877075195301</v>
      </c>
      <c r="S1026" s="6">
        <v>-14.3979234695435</v>
      </c>
      <c r="T1026" s="6">
        <v>8.3144843578338595E-2</v>
      </c>
      <c r="U1026" s="6">
        <v>0.122201465070248</v>
      </c>
      <c r="V1026" s="6">
        <v>-2.71527099609375</v>
      </c>
      <c r="W1026" s="6">
        <v>-18.8551425933838</v>
      </c>
    </row>
    <row r="1027" spans="1:23" ht="18.95" customHeight="1">
      <c r="A1027" s="4">
        <v>1023</v>
      </c>
      <c r="B1027" s="4">
        <v>21993</v>
      </c>
      <c r="C1027" s="4">
        <v>1</v>
      </c>
      <c r="D1027" s="6">
        <v>0</v>
      </c>
      <c r="E1027" s="6">
        <v>0</v>
      </c>
      <c r="F1027" s="6">
        <v>14.375</v>
      </c>
      <c r="G1027" s="6">
        <v>0.5</v>
      </c>
      <c r="H1027" s="6">
        <v>0</v>
      </c>
      <c r="I1027" s="6">
        <v>1.25</v>
      </c>
      <c r="J1027" s="6">
        <v>-1.25</v>
      </c>
      <c r="K1027" s="6">
        <v>24.3125</v>
      </c>
      <c r="L1027" s="6">
        <v>52.75</v>
      </c>
      <c r="M1027" s="6">
        <v>-0.625</v>
      </c>
      <c r="N1027" s="6">
        <v>-0.125</v>
      </c>
      <c r="O1027" s="6">
        <v>0.9375</v>
      </c>
      <c r="P1027" s="6">
        <v>-2.25</v>
      </c>
      <c r="Q1027" s="6">
        <v>-35.3125</v>
      </c>
      <c r="R1027" s="6">
        <v>0.44598555564880399</v>
      </c>
      <c r="S1027" s="6">
        <v>-15.771968841552701</v>
      </c>
      <c r="T1027" s="6">
        <v>-0.28326734900474498</v>
      </c>
      <c r="U1027" s="6">
        <v>0.15747374296188399</v>
      </c>
      <c r="V1027" s="6">
        <v>-3.0204739570617698</v>
      </c>
      <c r="W1027" s="6">
        <v>-18.860679626464801</v>
      </c>
    </row>
    <row r="1028" spans="1:23" ht="18.95" customHeight="1">
      <c r="A1028" s="4">
        <v>1024</v>
      </c>
      <c r="B1028" s="4">
        <v>22013</v>
      </c>
      <c r="C1028" s="4">
        <v>1</v>
      </c>
      <c r="D1028" s="6">
        <v>0</v>
      </c>
      <c r="E1028" s="6">
        <v>0</v>
      </c>
      <c r="F1028" s="6">
        <v>15.9375</v>
      </c>
      <c r="G1028" s="6">
        <v>0.3125</v>
      </c>
      <c r="H1028" s="6">
        <v>0</v>
      </c>
      <c r="I1028" s="6">
        <v>1.25</v>
      </c>
      <c r="J1028" s="6">
        <v>-1.3125</v>
      </c>
      <c r="K1028" s="6">
        <v>24</v>
      </c>
      <c r="L1028" s="6">
        <v>53.0625</v>
      </c>
      <c r="M1028" s="6">
        <v>-0.6875</v>
      </c>
      <c r="N1028" s="6">
        <v>6.25E-2</v>
      </c>
      <c r="O1028" s="6">
        <v>0.9375</v>
      </c>
      <c r="P1028" s="6">
        <v>-2.25</v>
      </c>
      <c r="Q1028" s="6">
        <v>-36.3125</v>
      </c>
      <c r="R1028" s="6">
        <v>0.70552742481231701</v>
      </c>
      <c r="S1028" s="6">
        <v>-17.527694702148398</v>
      </c>
      <c r="T1028" s="6">
        <v>9.8412036895751995E-2</v>
      </c>
      <c r="U1028" s="6">
        <v>7.5855836272239699E-2</v>
      </c>
      <c r="V1028" s="6">
        <v>-3.4369630813598602</v>
      </c>
      <c r="W1028" s="6">
        <v>-18.861179351806602</v>
      </c>
    </row>
    <row r="1029" spans="1:23" ht="18.95" customHeight="1">
      <c r="A1029" s="4">
        <v>1025</v>
      </c>
      <c r="B1029" s="4">
        <v>22033</v>
      </c>
      <c r="C1029" s="4">
        <v>1</v>
      </c>
      <c r="D1029" s="6">
        <v>0</v>
      </c>
      <c r="E1029" s="6">
        <v>0</v>
      </c>
      <c r="F1029" s="6">
        <v>17.1875</v>
      </c>
      <c r="G1029" s="6">
        <v>0.3125</v>
      </c>
      <c r="H1029" s="6">
        <v>0</v>
      </c>
      <c r="I1029" s="6">
        <v>1.25</v>
      </c>
      <c r="J1029" s="6">
        <v>-1.3125</v>
      </c>
      <c r="K1029" s="6">
        <v>23.625</v>
      </c>
      <c r="L1029" s="6">
        <v>50.625</v>
      </c>
      <c r="M1029" s="6">
        <v>-0.6875</v>
      </c>
      <c r="N1029" s="6">
        <v>-0.1875</v>
      </c>
      <c r="O1029" s="6">
        <v>0.9375</v>
      </c>
      <c r="P1029" s="6">
        <v>-2.1875</v>
      </c>
      <c r="Q1029" s="6">
        <v>-37.3125</v>
      </c>
      <c r="R1029" s="6">
        <v>0.79713058471679699</v>
      </c>
      <c r="S1029" s="6">
        <v>-18.901739120483398</v>
      </c>
      <c r="T1029" s="6">
        <v>-0.28326734900474498</v>
      </c>
      <c r="U1029" s="6">
        <v>0.125946819782257</v>
      </c>
      <c r="V1029" s="6">
        <v>-3.8222365379333501</v>
      </c>
      <c r="W1029" s="6">
        <v>-18.870195388793899</v>
      </c>
    </row>
    <row r="1030" spans="1:23" ht="18.95" customHeight="1">
      <c r="A1030" s="4">
        <v>1026</v>
      </c>
      <c r="B1030" s="4">
        <v>22053</v>
      </c>
      <c r="C1030" s="4">
        <v>1</v>
      </c>
      <c r="D1030" s="6">
        <v>0</v>
      </c>
      <c r="E1030" s="6">
        <v>0</v>
      </c>
      <c r="F1030" s="6">
        <v>18.625</v>
      </c>
      <c r="G1030" s="6">
        <v>0.375</v>
      </c>
      <c r="H1030" s="6">
        <v>-6.25E-2</v>
      </c>
      <c r="I1030" s="6">
        <v>1.25</v>
      </c>
      <c r="J1030" s="6">
        <v>-1.3125</v>
      </c>
      <c r="K1030" s="6">
        <v>23.25</v>
      </c>
      <c r="L1030" s="6">
        <v>49.6875</v>
      </c>
      <c r="M1030" s="6">
        <v>-0.625</v>
      </c>
      <c r="N1030" s="6">
        <v>0.1875</v>
      </c>
      <c r="O1030" s="6">
        <v>1</v>
      </c>
      <c r="P1030" s="6">
        <v>-2.1875</v>
      </c>
      <c r="Q1030" s="6">
        <v>-38.3125</v>
      </c>
      <c r="R1030" s="6">
        <v>1.0261381864547701</v>
      </c>
      <c r="S1030" s="6">
        <v>-19.878839492797901</v>
      </c>
      <c r="T1030" s="6">
        <v>-0.14586275815963701</v>
      </c>
      <c r="U1030" s="6">
        <v>0.13942322134971599</v>
      </c>
      <c r="V1030" s="6">
        <v>-4.2616910934448198</v>
      </c>
      <c r="W1030" s="6">
        <v>-18.868938446044901</v>
      </c>
    </row>
    <row r="1031" spans="1:23" ht="18.95" customHeight="1">
      <c r="A1031" s="4">
        <v>1027</v>
      </c>
      <c r="B1031" s="4">
        <v>22073</v>
      </c>
      <c r="C1031" s="4">
        <v>1</v>
      </c>
      <c r="D1031" s="6">
        <v>0</v>
      </c>
      <c r="E1031" s="6">
        <v>0</v>
      </c>
      <c r="F1031" s="6">
        <v>19.9375</v>
      </c>
      <c r="G1031" s="6">
        <v>0.625</v>
      </c>
      <c r="H1031" s="6">
        <v>0.3125</v>
      </c>
      <c r="I1031" s="6">
        <v>1.25</v>
      </c>
      <c r="J1031" s="6">
        <v>-1.3125</v>
      </c>
      <c r="K1031" s="6">
        <v>22.875</v>
      </c>
      <c r="L1031" s="6">
        <v>46.875</v>
      </c>
      <c r="M1031" s="6">
        <v>-0.5625</v>
      </c>
      <c r="N1031" s="6">
        <v>-6.25E-2</v>
      </c>
      <c r="O1031" s="6">
        <v>1</v>
      </c>
      <c r="P1031" s="6">
        <v>-2.1875</v>
      </c>
      <c r="Q1031" s="6">
        <v>-39.1875</v>
      </c>
      <c r="R1031" s="6">
        <v>0.67499315738678001</v>
      </c>
      <c r="S1031" s="6">
        <v>-21.359754562377901</v>
      </c>
      <c r="T1031" s="6">
        <v>-6.9526910781860393E-2</v>
      </c>
      <c r="U1031" s="6">
        <v>0.18325752019882199</v>
      </c>
      <c r="V1031" s="6">
        <v>-4.6012072563171396</v>
      </c>
      <c r="W1031" s="6">
        <v>-18.873632431030298</v>
      </c>
    </row>
    <row r="1032" spans="1:23" ht="18.95" customHeight="1">
      <c r="A1032" s="4">
        <v>1028</v>
      </c>
      <c r="B1032" s="4">
        <v>22094</v>
      </c>
      <c r="C1032" s="4">
        <v>1</v>
      </c>
      <c r="D1032" s="6">
        <v>0</v>
      </c>
      <c r="E1032" s="6">
        <v>0</v>
      </c>
      <c r="F1032" s="6">
        <v>21.3125</v>
      </c>
      <c r="G1032" s="6">
        <v>0.5</v>
      </c>
      <c r="H1032" s="6">
        <v>0</v>
      </c>
      <c r="I1032" s="6">
        <v>1.25</v>
      </c>
      <c r="J1032" s="6">
        <v>-1.3125</v>
      </c>
      <c r="K1032" s="6">
        <v>22.5</v>
      </c>
      <c r="L1032" s="6">
        <v>45.5625</v>
      </c>
      <c r="M1032" s="6">
        <v>-0.625</v>
      </c>
      <c r="N1032" s="6">
        <v>0</v>
      </c>
      <c r="O1032" s="6">
        <v>1.0625</v>
      </c>
      <c r="P1032" s="6">
        <v>-2.1875</v>
      </c>
      <c r="Q1032" s="6">
        <v>-40.125</v>
      </c>
      <c r="R1032" s="6">
        <v>1.0566724538803101</v>
      </c>
      <c r="S1032" s="6">
        <v>-22.153648376464801</v>
      </c>
      <c r="T1032" s="6">
        <v>0.32741963863372803</v>
      </c>
      <c r="U1032" s="6">
        <v>0.11688460409641301</v>
      </c>
      <c r="V1032" s="6">
        <v>-5.0608172416687003</v>
      </c>
      <c r="W1032" s="6">
        <v>-18.87815284729</v>
      </c>
    </row>
    <row r="1033" spans="1:23" ht="18.95" customHeight="1">
      <c r="A1033" s="4">
        <v>1029</v>
      </c>
      <c r="B1033" s="4">
        <v>22115</v>
      </c>
      <c r="C1033" s="4">
        <v>1</v>
      </c>
      <c r="D1033" s="6">
        <v>0</v>
      </c>
      <c r="E1033" s="6">
        <v>0</v>
      </c>
      <c r="F1033" s="6">
        <v>22.5</v>
      </c>
      <c r="G1033" s="6">
        <v>0.4375</v>
      </c>
      <c r="H1033" s="6">
        <v>-6.25E-2</v>
      </c>
      <c r="I1033" s="6">
        <v>1.25</v>
      </c>
      <c r="J1033" s="6">
        <v>-1.3125</v>
      </c>
      <c r="K1033" s="6">
        <v>22</v>
      </c>
      <c r="L1033" s="6">
        <v>42.625</v>
      </c>
      <c r="M1033" s="6">
        <v>-0.375</v>
      </c>
      <c r="N1033" s="6">
        <v>-6.25E-2</v>
      </c>
      <c r="O1033" s="6">
        <v>1.0625</v>
      </c>
      <c r="P1033" s="6">
        <v>-2.1875</v>
      </c>
      <c r="Q1033" s="6">
        <v>-40.9375</v>
      </c>
      <c r="R1033" s="6">
        <v>1.08720684051514</v>
      </c>
      <c r="S1033" s="6">
        <v>-24.092578887939499</v>
      </c>
      <c r="T1033" s="6">
        <v>-0.191664308309555</v>
      </c>
      <c r="U1033" s="6">
        <v>0.17687363922596</v>
      </c>
      <c r="V1033" s="6">
        <v>-5.4610214233398402</v>
      </c>
      <c r="W1033" s="6">
        <v>-18.8839206695557</v>
      </c>
    </row>
    <row r="1034" spans="1:23" ht="18.95" customHeight="1">
      <c r="A1034" s="4">
        <v>1030</v>
      </c>
      <c r="B1034" s="4">
        <v>22136</v>
      </c>
      <c r="C1034" s="4">
        <v>1</v>
      </c>
      <c r="D1034" s="6">
        <v>0</v>
      </c>
      <c r="E1034" s="6">
        <v>0</v>
      </c>
      <c r="F1034" s="6">
        <v>24.625</v>
      </c>
      <c r="G1034" s="6">
        <v>0.3125</v>
      </c>
      <c r="H1034" s="6">
        <v>0</v>
      </c>
      <c r="I1034" s="6">
        <v>1.25</v>
      </c>
      <c r="J1034" s="6">
        <v>-1.3125</v>
      </c>
      <c r="K1034" s="6">
        <v>21.1875</v>
      </c>
      <c r="L1034" s="6">
        <v>41.5</v>
      </c>
      <c r="M1034" s="6">
        <v>-0.375</v>
      </c>
      <c r="N1034" s="6">
        <v>6.25E-2</v>
      </c>
      <c r="O1034" s="6">
        <v>1.0625</v>
      </c>
      <c r="P1034" s="6">
        <v>-2.1875</v>
      </c>
      <c r="Q1034" s="6">
        <v>-41.75</v>
      </c>
      <c r="R1034" s="6">
        <v>1.42308473587036</v>
      </c>
      <c r="S1034" s="6">
        <v>-25.451358795166001</v>
      </c>
      <c r="T1034" s="6">
        <v>0.41902267932891801</v>
      </c>
      <c r="U1034" s="6">
        <v>6.5661348402500194E-2</v>
      </c>
      <c r="V1034" s="6">
        <v>-5.9774374961853001</v>
      </c>
      <c r="W1034" s="6">
        <v>-18.886411666870099</v>
      </c>
    </row>
    <row r="1035" spans="1:23" ht="18.95" customHeight="1">
      <c r="A1035" s="4">
        <v>1031</v>
      </c>
      <c r="B1035" s="4">
        <v>22156</v>
      </c>
      <c r="C1035" s="4">
        <v>1</v>
      </c>
      <c r="D1035" s="6">
        <v>0</v>
      </c>
      <c r="E1035" s="6">
        <v>0</v>
      </c>
      <c r="F1035" s="6">
        <v>25.1875</v>
      </c>
      <c r="G1035" s="6">
        <v>0.5</v>
      </c>
      <c r="H1035" s="6">
        <v>0</v>
      </c>
      <c r="I1035" s="6">
        <v>1.3125</v>
      </c>
      <c r="J1035" s="6">
        <v>-1.3125</v>
      </c>
      <c r="K1035" s="6">
        <v>20.9375</v>
      </c>
      <c r="L1035" s="6">
        <v>39.0625</v>
      </c>
      <c r="M1035" s="6">
        <v>-0.25</v>
      </c>
      <c r="N1035" s="6">
        <v>-0.25</v>
      </c>
      <c r="O1035" s="6">
        <v>1.0625</v>
      </c>
      <c r="P1035" s="6">
        <v>-2.1875</v>
      </c>
      <c r="Q1035" s="6">
        <v>-42.5625</v>
      </c>
      <c r="R1035" s="6">
        <v>0.62919163703918501</v>
      </c>
      <c r="S1035" s="6">
        <v>-27.436090469360401</v>
      </c>
      <c r="T1035" s="6">
        <v>-0.74128264188766502</v>
      </c>
      <c r="U1035" s="6">
        <v>0.21973417699337</v>
      </c>
      <c r="V1035" s="6">
        <v>-6.3534364700317401</v>
      </c>
      <c r="W1035" s="6">
        <v>-18.893060684204102</v>
      </c>
    </row>
    <row r="1036" spans="1:23" ht="18.95" customHeight="1">
      <c r="A1036" s="4">
        <v>1032</v>
      </c>
      <c r="B1036" s="4">
        <v>22177</v>
      </c>
      <c r="C1036" s="4">
        <v>1</v>
      </c>
      <c r="D1036" s="6">
        <v>0</v>
      </c>
      <c r="E1036" s="6">
        <v>0</v>
      </c>
      <c r="F1036" s="6">
        <v>27.8125</v>
      </c>
      <c r="G1036" s="6">
        <v>0.375</v>
      </c>
      <c r="H1036" s="6">
        <v>-6.25E-2</v>
      </c>
      <c r="I1036" s="6">
        <v>1.3125</v>
      </c>
      <c r="J1036" s="6">
        <v>-1.3125</v>
      </c>
      <c r="K1036" s="6">
        <v>20.125</v>
      </c>
      <c r="L1036" s="6">
        <v>38.125</v>
      </c>
      <c r="M1036" s="6">
        <v>-0.375</v>
      </c>
      <c r="N1036" s="6">
        <v>6.25E-2</v>
      </c>
      <c r="O1036" s="6">
        <v>1.125</v>
      </c>
      <c r="P1036" s="6">
        <v>-2.1875</v>
      </c>
      <c r="Q1036" s="6">
        <v>-43.3125</v>
      </c>
      <c r="R1036" s="6">
        <v>1.4688862562179601</v>
      </c>
      <c r="S1036" s="6">
        <v>-28.7796020507812</v>
      </c>
      <c r="T1036" s="6">
        <v>-8.4794104099273696E-2</v>
      </c>
      <c r="U1036" s="6">
        <v>7.2042874991893796E-2</v>
      </c>
      <c r="V1036" s="6">
        <v>-6.9793825149536097</v>
      </c>
      <c r="W1036" s="6">
        <v>-18.899642944335898</v>
      </c>
    </row>
    <row r="1037" spans="1:23" ht="18.95" customHeight="1">
      <c r="A1037" s="4">
        <v>1033</v>
      </c>
      <c r="B1037" s="4">
        <v>22198</v>
      </c>
      <c r="C1037" s="4">
        <v>1</v>
      </c>
      <c r="D1037" s="6">
        <v>0</v>
      </c>
      <c r="E1037" s="6">
        <v>0</v>
      </c>
      <c r="F1037" s="6">
        <v>29.3125</v>
      </c>
      <c r="G1037" s="6">
        <v>0.9375</v>
      </c>
      <c r="H1037" s="6">
        <v>0.3125</v>
      </c>
      <c r="I1037" s="6">
        <v>1.3125</v>
      </c>
      <c r="J1037" s="6">
        <v>-1.375</v>
      </c>
      <c r="K1037" s="6">
        <v>19.5</v>
      </c>
      <c r="L1037" s="6">
        <v>36.5</v>
      </c>
      <c r="M1037" s="6">
        <v>-0.375</v>
      </c>
      <c r="N1037" s="6">
        <v>6.25E-2</v>
      </c>
      <c r="O1037" s="6">
        <v>1.125</v>
      </c>
      <c r="P1037" s="6">
        <v>-2.1875</v>
      </c>
      <c r="Q1037" s="6">
        <v>-44</v>
      </c>
      <c r="R1037" s="6">
        <v>0.99560379981994596</v>
      </c>
      <c r="S1037" s="6">
        <v>-30.367387771606399</v>
      </c>
      <c r="T1037" s="6">
        <v>-0.31380170583724998</v>
      </c>
      <c r="U1037" s="6">
        <v>0.33586835861206099</v>
      </c>
      <c r="V1037" s="6">
        <v>-7.4540290832519496</v>
      </c>
      <c r="W1037" s="6">
        <v>-18.8981609344482</v>
      </c>
    </row>
    <row r="1038" spans="1:23" ht="18.95" customHeight="1">
      <c r="A1038" s="4">
        <v>1034</v>
      </c>
      <c r="B1038" s="4">
        <v>22228</v>
      </c>
      <c r="C1038" s="4">
        <v>1</v>
      </c>
      <c r="D1038" s="6">
        <v>0</v>
      </c>
      <c r="E1038" s="6">
        <v>0</v>
      </c>
      <c r="F1038" s="6">
        <v>31.5625</v>
      </c>
      <c r="G1038" s="6">
        <v>0.3125</v>
      </c>
      <c r="H1038" s="6">
        <v>-0.3125</v>
      </c>
      <c r="I1038" s="6">
        <v>1.3125</v>
      </c>
      <c r="J1038" s="6">
        <v>-1.375</v>
      </c>
      <c r="K1038" s="6">
        <v>18.625</v>
      </c>
      <c r="L1038" s="6">
        <v>33.6875</v>
      </c>
      <c r="M1038" s="6">
        <v>-0.5625</v>
      </c>
      <c r="N1038" s="6">
        <v>0.125</v>
      </c>
      <c r="O1038" s="6">
        <v>1.125</v>
      </c>
      <c r="P1038" s="6">
        <v>-2.1875</v>
      </c>
      <c r="Q1038" s="6">
        <v>-45</v>
      </c>
      <c r="R1038" s="6">
        <v>1.5910236835479701</v>
      </c>
      <c r="S1038" s="6">
        <v>-32.153648376464801</v>
      </c>
      <c r="T1038" s="6">
        <v>0.15948075056076</v>
      </c>
      <c r="U1038" s="6">
        <v>0.396530032157898</v>
      </c>
      <c r="V1038" s="6">
        <v>-8.3714408874511701</v>
      </c>
      <c r="W1038" s="6">
        <v>-18.9018039703369</v>
      </c>
    </row>
    <row r="1039" spans="1:23" ht="18.95" customHeight="1">
      <c r="A1039" s="4">
        <v>1035</v>
      </c>
      <c r="B1039" s="4">
        <v>22248</v>
      </c>
      <c r="C1039" s="4">
        <v>1</v>
      </c>
      <c r="D1039" s="6">
        <v>0</v>
      </c>
      <c r="E1039" s="6">
        <v>0</v>
      </c>
      <c r="F1039" s="6">
        <v>32.75</v>
      </c>
      <c r="G1039" s="6">
        <v>1.125</v>
      </c>
      <c r="H1039" s="6">
        <v>0.875</v>
      </c>
      <c r="I1039" s="6">
        <v>1.3125</v>
      </c>
      <c r="J1039" s="6">
        <v>-1.375</v>
      </c>
      <c r="K1039" s="6">
        <v>18</v>
      </c>
      <c r="L1039" s="6">
        <v>30.125</v>
      </c>
      <c r="M1039" s="6">
        <v>-0.375</v>
      </c>
      <c r="N1039" s="6">
        <v>-0.125</v>
      </c>
      <c r="O1039" s="6">
        <v>1.1875</v>
      </c>
      <c r="P1039" s="6">
        <v>-2.1875</v>
      </c>
      <c r="Q1039" s="6">
        <v>-45.625</v>
      </c>
      <c r="R1039" s="6">
        <v>1.0566724538803101</v>
      </c>
      <c r="S1039" s="6">
        <v>-33.619300842285199</v>
      </c>
      <c r="T1039" s="6">
        <v>6.7877650260925307E-2</v>
      </c>
      <c r="U1039" s="6">
        <v>0.43315696716308599</v>
      </c>
      <c r="V1039" s="6">
        <v>-8.9003591537475604</v>
      </c>
      <c r="W1039" s="6">
        <v>-18.906415939331101</v>
      </c>
    </row>
    <row r="1040" spans="1:23" ht="18.95" customHeight="1">
      <c r="A1040" s="4">
        <v>1036</v>
      </c>
      <c r="B1040" s="4">
        <v>22269</v>
      </c>
      <c r="C1040" s="4">
        <v>1</v>
      </c>
      <c r="D1040" s="6">
        <v>0</v>
      </c>
      <c r="E1040" s="6">
        <v>0</v>
      </c>
      <c r="F1040" s="6">
        <v>33.9375</v>
      </c>
      <c r="G1040" s="6">
        <v>0.5625</v>
      </c>
      <c r="H1040" s="6">
        <v>0</v>
      </c>
      <c r="I1040" s="6">
        <v>1.3125</v>
      </c>
      <c r="J1040" s="6">
        <v>-1.375</v>
      </c>
      <c r="K1040" s="6">
        <v>17.3125</v>
      </c>
      <c r="L1040" s="6">
        <v>28.6875</v>
      </c>
      <c r="M1040" s="6">
        <v>-0.375</v>
      </c>
      <c r="N1040" s="6">
        <v>0.1875</v>
      </c>
      <c r="O1040" s="6">
        <v>1.1875</v>
      </c>
      <c r="P1040" s="6">
        <v>-2.1875</v>
      </c>
      <c r="Q1040" s="6">
        <v>-46.1875</v>
      </c>
      <c r="R1040" s="6">
        <v>1.7284282445907599</v>
      </c>
      <c r="S1040" s="6">
        <v>-33.939910888671903</v>
      </c>
      <c r="T1040" s="6">
        <v>0.28161811828613298</v>
      </c>
      <c r="U1040" s="6">
        <v>0.32679986953735402</v>
      </c>
      <c r="V1040" s="6">
        <v>-9.6207294464111293</v>
      </c>
      <c r="W1040" s="6">
        <v>-18.9068393707275</v>
      </c>
    </row>
    <row r="1041" spans="1:23" ht="18.95" customHeight="1">
      <c r="A1041" s="4">
        <v>1037</v>
      </c>
      <c r="B1041" s="4">
        <v>22291</v>
      </c>
      <c r="C1041" s="4">
        <v>1</v>
      </c>
      <c r="D1041" s="6">
        <v>0</v>
      </c>
      <c r="E1041" s="6">
        <v>0</v>
      </c>
      <c r="F1041" s="6">
        <v>34.875</v>
      </c>
      <c r="G1041" s="6">
        <v>1.1875</v>
      </c>
      <c r="H1041" s="6">
        <v>0.3125</v>
      </c>
      <c r="I1041" s="6">
        <v>1.3125</v>
      </c>
      <c r="J1041" s="6">
        <v>-1.4375</v>
      </c>
      <c r="K1041" s="6">
        <v>16.625</v>
      </c>
      <c r="L1041" s="6">
        <v>26</v>
      </c>
      <c r="M1041" s="6">
        <v>-0.125</v>
      </c>
      <c r="N1041" s="6">
        <v>-6.25E-2</v>
      </c>
      <c r="O1041" s="6">
        <v>1.1875</v>
      </c>
      <c r="P1041" s="6">
        <v>-2.1875</v>
      </c>
      <c r="Q1041" s="6">
        <v>-46.75</v>
      </c>
      <c r="R1041" s="6">
        <v>0.99560379981994596</v>
      </c>
      <c r="S1041" s="6">
        <v>-35.527694702148402</v>
      </c>
      <c r="T1041" s="6">
        <v>-0.45120629668235801</v>
      </c>
      <c r="U1041" s="6">
        <v>0.411891639232635</v>
      </c>
      <c r="V1041" s="6">
        <v>-10.161149978637701</v>
      </c>
      <c r="W1041" s="6">
        <v>-18.906490325927699</v>
      </c>
    </row>
    <row r="1042" spans="1:23" ht="18.95" customHeight="1">
      <c r="A1042" s="4">
        <v>1038</v>
      </c>
      <c r="B1042" s="4">
        <v>22311</v>
      </c>
      <c r="C1042" s="4">
        <v>1</v>
      </c>
      <c r="D1042" s="6">
        <v>0</v>
      </c>
      <c r="E1042" s="6">
        <v>0</v>
      </c>
      <c r="F1042" s="6">
        <v>36.125</v>
      </c>
      <c r="G1042" s="6">
        <v>0.9375</v>
      </c>
      <c r="H1042" s="6">
        <v>0.5</v>
      </c>
      <c r="I1042" s="6">
        <v>1.375</v>
      </c>
      <c r="J1042" s="6">
        <v>-1.4375</v>
      </c>
      <c r="K1042" s="6">
        <v>15.875</v>
      </c>
      <c r="L1042" s="6">
        <v>23.9375</v>
      </c>
      <c r="M1042" s="6">
        <v>-0.3125</v>
      </c>
      <c r="N1042" s="6">
        <v>-6.25E-2</v>
      </c>
      <c r="O1042" s="6">
        <v>1.1875</v>
      </c>
      <c r="P1042" s="6">
        <v>-2.1875</v>
      </c>
      <c r="Q1042" s="6">
        <v>-47.25</v>
      </c>
      <c r="R1042" s="6">
        <v>1.45361912250519</v>
      </c>
      <c r="S1042" s="6">
        <v>-36.382652282714801</v>
      </c>
      <c r="T1042" s="6">
        <v>6.7877650260925307E-2</v>
      </c>
      <c r="U1042" s="6">
        <v>0.37354111671447798</v>
      </c>
      <c r="V1042" s="6">
        <v>-10.8650550842285</v>
      </c>
      <c r="W1042" s="6">
        <v>-18.909975051879901</v>
      </c>
    </row>
    <row r="1043" spans="1:23" ht="18.95" customHeight="1">
      <c r="A1043" s="4">
        <v>1039</v>
      </c>
      <c r="B1043" s="4">
        <v>22331</v>
      </c>
      <c r="C1043" s="4">
        <v>1</v>
      </c>
      <c r="D1043" s="6">
        <v>0</v>
      </c>
      <c r="E1043" s="6">
        <v>0</v>
      </c>
      <c r="F1043" s="6">
        <v>36.9375</v>
      </c>
      <c r="G1043" s="6">
        <v>1.0625</v>
      </c>
      <c r="H1043" s="6">
        <v>0.1875</v>
      </c>
      <c r="I1043" s="6">
        <v>1.375</v>
      </c>
      <c r="J1043" s="6">
        <v>-1.4375</v>
      </c>
      <c r="K1043" s="6">
        <v>15.125</v>
      </c>
      <c r="L1043" s="6">
        <v>21.8125</v>
      </c>
      <c r="M1043" s="6">
        <v>-0.3125</v>
      </c>
      <c r="N1043" s="6">
        <v>0.125</v>
      </c>
      <c r="O1043" s="6">
        <v>1.1875</v>
      </c>
      <c r="P1043" s="6">
        <v>-2.1875</v>
      </c>
      <c r="Q1043" s="6">
        <v>-47.6875</v>
      </c>
      <c r="R1043" s="6">
        <v>1.17880988121033</v>
      </c>
      <c r="S1043" s="6">
        <v>-37.710899353027301</v>
      </c>
      <c r="T1043" s="6">
        <v>-0.54280936717987105</v>
      </c>
      <c r="U1043" s="6">
        <v>0.49735230207443198</v>
      </c>
      <c r="V1043" s="6">
        <v>-11.4688205718994</v>
      </c>
      <c r="W1043" s="6">
        <v>-18.912916183471701</v>
      </c>
    </row>
    <row r="1044" spans="1:23" ht="18.95" customHeight="1">
      <c r="A1044" s="4">
        <v>1040</v>
      </c>
      <c r="B1044" s="4">
        <v>22351</v>
      </c>
      <c r="C1044" s="4">
        <v>1</v>
      </c>
      <c r="D1044" s="6">
        <v>0</v>
      </c>
      <c r="E1044" s="6">
        <v>0</v>
      </c>
      <c r="F1044" s="6">
        <v>38</v>
      </c>
      <c r="G1044" s="6">
        <v>1.0625</v>
      </c>
      <c r="H1044" s="6">
        <v>0.375</v>
      </c>
      <c r="I1044" s="6">
        <v>1.375</v>
      </c>
      <c r="J1044" s="6">
        <v>-1.5</v>
      </c>
      <c r="K1044" s="6">
        <v>14.4375</v>
      </c>
      <c r="L1044" s="6">
        <v>19.625</v>
      </c>
      <c r="M1044" s="6">
        <v>-0.1875</v>
      </c>
      <c r="N1044" s="6">
        <v>-6.25E-2</v>
      </c>
      <c r="O1044" s="6">
        <v>1.1875</v>
      </c>
      <c r="P1044" s="6">
        <v>-2.1875</v>
      </c>
      <c r="Q1044" s="6">
        <v>-48.0625</v>
      </c>
      <c r="R1044" s="6">
        <v>1.48415338993073</v>
      </c>
      <c r="S1044" s="6">
        <v>-39.252883911132798</v>
      </c>
      <c r="T1044" s="6">
        <v>6.80899620056152E-3</v>
      </c>
      <c r="U1044" s="6">
        <v>0.450492054224014</v>
      </c>
      <c r="V1044" s="6">
        <v>-12.152019500732401</v>
      </c>
      <c r="W1044" s="6">
        <v>-18.917863845825199</v>
      </c>
    </row>
    <row r="1045" spans="1:23" ht="18.95" customHeight="1">
      <c r="A1045" s="4">
        <v>1041</v>
      </c>
      <c r="B1045" s="4">
        <v>22371</v>
      </c>
      <c r="C1045" s="4">
        <v>1</v>
      </c>
      <c r="D1045" s="6">
        <v>0</v>
      </c>
      <c r="E1045" s="6">
        <v>0</v>
      </c>
      <c r="F1045" s="6">
        <v>40.125</v>
      </c>
      <c r="G1045" s="6">
        <v>0.9375</v>
      </c>
      <c r="H1045" s="6">
        <v>0.25</v>
      </c>
      <c r="I1045" s="6">
        <v>1.375</v>
      </c>
      <c r="J1045" s="6">
        <v>-1.5</v>
      </c>
      <c r="K1045" s="6">
        <v>13.625</v>
      </c>
      <c r="L1045" s="6">
        <v>18.4375</v>
      </c>
      <c r="M1045" s="6">
        <v>0</v>
      </c>
      <c r="N1045" s="6">
        <v>-6.25E-2</v>
      </c>
      <c r="O1045" s="6">
        <v>1.1875</v>
      </c>
      <c r="P1045" s="6">
        <v>-2.1875</v>
      </c>
      <c r="Q1045" s="6">
        <v>-48.4375</v>
      </c>
      <c r="R1045" s="6">
        <v>1.8810999393463099</v>
      </c>
      <c r="S1045" s="6">
        <v>-40.611663818359403</v>
      </c>
      <c r="T1045" s="6">
        <v>0.69383192062377896</v>
      </c>
      <c r="U1045" s="6">
        <v>0.54356360435485795</v>
      </c>
      <c r="V1045" s="6">
        <v>-12.7754459381104</v>
      </c>
      <c r="W1045" s="6">
        <v>-18.913276672363299</v>
      </c>
    </row>
    <row r="1046" spans="1:23" ht="18.95" customHeight="1">
      <c r="A1046" s="4">
        <v>1042</v>
      </c>
      <c r="B1046" s="4">
        <v>22391</v>
      </c>
      <c r="C1046" s="4">
        <v>1</v>
      </c>
      <c r="D1046" s="6">
        <v>0</v>
      </c>
      <c r="E1046" s="6">
        <v>0</v>
      </c>
      <c r="F1046" s="6">
        <v>41.1875</v>
      </c>
      <c r="G1046" s="6">
        <v>1.125</v>
      </c>
      <c r="H1046" s="6">
        <v>0.4375</v>
      </c>
      <c r="I1046" s="6">
        <v>1.375</v>
      </c>
      <c r="J1046" s="6">
        <v>-1.5</v>
      </c>
      <c r="K1046" s="6">
        <v>12.875</v>
      </c>
      <c r="L1046" s="6">
        <v>15.8125</v>
      </c>
      <c r="M1046" s="6">
        <v>0</v>
      </c>
      <c r="N1046" s="6">
        <v>0</v>
      </c>
      <c r="O1046" s="6">
        <v>1.1875</v>
      </c>
      <c r="P1046" s="6">
        <v>-2.1875</v>
      </c>
      <c r="Q1046" s="6">
        <v>-48.9375</v>
      </c>
      <c r="R1046" s="6">
        <v>0.76659619808196999</v>
      </c>
      <c r="S1046" s="6">
        <v>-41.313957214355497</v>
      </c>
      <c r="T1046" s="6">
        <v>-0.60387802124023404</v>
      </c>
      <c r="U1046" s="6">
        <v>0.52341133356094405</v>
      </c>
      <c r="V1046" s="6">
        <v>-13.538958549499499</v>
      </c>
      <c r="W1046" s="6">
        <v>-18.9246921539307</v>
      </c>
    </row>
    <row r="1047" spans="1:23" ht="18.95" customHeight="1">
      <c r="A1047" s="4">
        <v>1043</v>
      </c>
      <c r="B1047" s="4">
        <v>22413</v>
      </c>
      <c r="C1047" s="4">
        <v>1</v>
      </c>
      <c r="D1047" s="6">
        <v>0</v>
      </c>
      <c r="E1047" s="6">
        <v>0</v>
      </c>
      <c r="F1047" s="6">
        <v>42.1875</v>
      </c>
      <c r="G1047" s="6">
        <v>0.875</v>
      </c>
      <c r="H1047" s="6">
        <v>0</v>
      </c>
      <c r="I1047" s="6">
        <v>1.375</v>
      </c>
      <c r="J1047" s="6">
        <v>-1.5</v>
      </c>
      <c r="K1047" s="6">
        <v>12.0625</v>
      </c>
      <c r="L1047" s="6">
        <v>14.375</v>
      </c>
      <c r="M1047" s="6">
        <v>-0.1875</v>
      </c>
      <c r="N1047" s="6">
        <v>6.25E-2</v>
      </c>
      <c r="O1047" s="6">
        <v>1.1875</v>
      </c>
      <c r="P1047" s="6">
        <v>-2.1875</v>
      </c>
      <c r="Q1047" s="6">
        <v>-49.125</v>
      </c>
      <c r="R1047" s="6">
        <v>2.0948405265808101</v>
      </c>
      <c r="S1047" s="6">
        <v>-41.512428283691399</v>
      </c>
      <c r="T1047" s="6">
        <v>0.19001507759094199</v>
      </c>
      <c r="U1047" s="6">
        <v>0.57017475366592396</v>
      </c>
      <c r="V1047" s="6">
        <v>-14.2693014144897</v>
      </c>
      <c r="W1047" s="6">
        <v>-18.925634384155298</v>
      </c>
    </row>
    <row r="1048" spans="1:23" ht="18.95" customHeight="1">
      <c r="A1048" s="4">
        <v>1044</v>
      </c>
      <c r="B1048" s="4">
        <v>22434</v>
      </c>
      <c r="C1048" s="4">
        <v>1</v>
      </c>
      <c r="D1048" s="6">
        <v>0</v>
      </c>
      <c r="E1048" s="6">
        <v>0</v>
      </c>
      <c r="F1048" s="6">
        <v>42.4375</v>
      </c>
      <c r="G1048" s="6">
        <v>0.9375</v>
      </c>
      <c r="H1048" s="6">
        <v>0.4375</v>
      </c>
      <c r="I1048" s="6">
        <v>1.4375</v>
      </c>
      <c r="J1048" s="6">
        <v>-1.5625</v>
      </c>
      <c r="K1048" s="6">
        <v>11.1875</v>
      </c>
      <c r="L1048" s="6">
        <v>11</v>
      </c>
      <c r="M1048" s="6">
        <v>-0.125</v>
      </c>
      <c r="N1048" s="6">
        <v>6.25E-2</v>
      </c>
      <c r="O1048" s="6">
        <v>1.25</v>
      </c>
      <c r="P1048" s="6">
        <v>-2.125</v>
      </c>
      <c r="Q1048" s="6">
        <v>-49.5</v>
      </c>
      <c r="R1048" s="6">
        <v>1.17880988121033</v>
      </c>
      <c r="S1048" s="6">
        <v>-42.6727294921875</v>
      </c>
      <c r="T1048" s="6">
        <v>-1.01609182357788</v>
      </c>
      <c r="U1048" s="6">
        <v>0.55596071481704701</v>
      </c>
      <c r="V1048" s="6">
        <v>-15.1119327545166</v>
      </c>
      <c r="W1048" s="6">
        <v>-18.934139251708999</v>
      </c>
    </row>
    <row r="1049" spans="1:23" ht="18.95" customHeight="1">
      <c r="A1049" s="4">
        <v>1045</v>
      </c>
      <c r="B1049" s="4">
        <v>22456</v>
      </c>
      <c r="C1049" s="4">
        <v>1</v>
      </c>
      <c r="D1049" s="6">
        <v>0</v>
      </c>
      <c r="E1049" s="6">
        <v>0</v>
      </c>
      <c r="F1049" s="6">
        <v>43.6875</v>
      </c>
      <c r="G1049" s="6">
        <v>0.875</v>
      </c>
      <c r="H1049" s="6">
        <v>0.3125</v>
      </c>
      <c r="I1049" s="6">
        <v>1.4375</v>
      </c>
      <c r="J1049" s="6">
        <v>-1.5625</v>
      </c>
      <c r="K1049" s="6">
        <v>10.375</v>
      </c>
      <c r="L1049" s="6">
        <v>9.125</v>
      </c>
      <c r="M1049" s="6">
        <v>0</v>
      </c>
      <c r="N1049" s="6">
        <v>-0.125</v>
      </c>
      <c r="O1049" s="6">
        <v>1.25</v>
      </c>
      <c r="P1049" s="6">
        <v>-2.125</v>
      </c>
      <c r="Q1049" s="6">
        <v>-49.6875</v>
      </c>
      <c r="R1049" s="6">
        <v>1.7894968986511199</v>
      </c>
      <c r="S1049" s="6">
        <v>-43.390289306640597</v>
      </c>
      <c r="T1049" s="6">
        <v>0.22054940462112399</v>
      </c>
      <c r="U1049" s="6">
        <v>0.596912622451782</v>
      </c>
      <c r="V1049" s="6">
        <v>-15.884406089782701</v>
      </c>
      <c r="W1049" s="6">
        <v>-18.936286926269499</v>
      </c>
    </row>
    <row r="1050" spans="1:23" ht="18.95" customHeight="1">
      <c r="A1050" s="4">
        <v>1046</v>
      </c>
      <c r="B1050" s="4">
        <v>22477</v>
      </c>
      <c r="C1050" s="4">
        <v>1</v>
      </c>
      <c r="D1050" s="6">
        <v>0</v>
      </c>
      <c r="E1050" s="6">
        <v>0</v>
      </c>
      <c r="F1050" s="6">
        <v>43.9375</v>
      </c>
      <c r="G1050" s="6">
        <v>1</v>
      </c>
      <c r="H1050" s="6">
        <v>0.4375</v>
      </c>
      <c r="I1050" s="6">
        <v>1.4375</v>
      </c>
      <c r="J1050" s="6">
        <v>-1.5625</v>
      </c>
      <c r="K1050" s="6">
        <v>9.0625</v>
      </c>
      <c r="L1050" s="6">
        <v>7.0625</v>
      </c>
      <c r="M1050" s="6">
        <v>6.25E-2</v>
      </c>
      <c r="N1050" s="6">
        <v>-0.25</v>
      </c>
      <c r="O1050" s="6">
        <v>1.25</v>
      </c>
      <c r="P1050" s="6">
        <v>-2.125</v>
      </c>
      <c r="Q1050" s="6">
        <v>-49.8125</v>
      </c>
      <c r="R1050" s="6">
        <v>1.9421687126159699</v>
      </c>
      <c r="S1050" s="6">
        <v>-44.733802795410199</v>
      </c>
      <c r="T1050" s="6">
        <v>-0.31380170583724998</v>
      </c>
      <c r="U1050" s="6">
        <v>0.58378398418426503</v>
      </c>
      <c r="V1050" s="6">
        <v>-16.703351974487301</v>
      </c>
      <c r="W1050" s="6">
        <v>-18.9413738250732</v>
      </c>
    </row>
    <row r="1051" spans="1:23" ht="18.95" customHeight="1">
      <c r="A1051" s="4">
        <v>1047</v>
      </c>
      <c r="B1051" s="4">
        <v>22497</v>
      </c>
      <c r="C1051" s="4">
        <v>1</v>
      </c>
      <c r="D1051" s="6">
        <v>0</v>
      </c>
      <c r="E1051" s="6">
        <v>0</v>
      </c>
      <c r="F1051" s="6">
        <v>45.5</v>
      </c>
      <c r="G1051" s="6">
        <v>0.9375</v>
      </c>
      <c r="H1051" s="6">
        <v>0.25</v>
      </c>
      <c r="I1051" s="6">
        <v>1.4375</v>
      </c>
      <c r="J1051" s="6">
        <v>-1.625</v>
      </c>
      <c r="K1051" s="6">
        <v>8.625</v>
      </c>
      <c r="L1051" s="6">
        <v>5.1875</v>
      </c>
      <c r="M1051" s="6">
        <v>-0.125</v>
      </c>
      <c r="N1051" s="6">
        <v>0</v>
      </c>
      <c r="O1051" s="6">
        <v>1.25</v>
      </c>
      <c r="P1051" s="6">
        <v>-2.125</v>
      </c>
      <c r="Q1051" s="6">
        <v>-49.9375</v>
      </c>
      <c r="R1051" s="6">
        <v>1.6826267242431601</v>
      </c>
      <c r="S1051" s="6">
        <v>-45.2223510742188</v>
      </c>
      <c r="T1051" s="6">
        <v>-0.28326734900474498</v>
      </c>
      <c r="U1051" s="6">
        <v>0.68090462684631303</v>
      </c>
      <c r="V1051" s="6">
        <v>-17.430793762206999</v>
      </c>
      <c r="W1051" s="6">
        <v>-18.9377956390381</v>
      </c>
    </row>
    <row r="1052" spans="1:23" ht="18.95" customHeight="1">
      <c r="A1052" s="4">
        <v>1048</v>
      </c>
      <c r="B1052" s="4">
        <v>22517</v>
      </c>
      <c r="C1052" s="4">
        <v>1</v>
      </c>
      <c r="D1052" s="6">
        <v>0</v>
      </c>
      <c r="E1052" s="6">
        <v>0</v>
      </c>
      <c r="F1052" s="6">
        <v>45.9375</v>
      </c>
      <c r="G1052" s="6">
        <v>1.1875</v>
      </c>
      <c r="H1052" s="6">
        <v>0.625</v>
      </c>
      <c r="I1052" s="6">
        <v>1.4375</v>
      </c>
      <c r="J1052" s="6">
        <v>-1.625</v>
      </c>
      <c r="K1052" s="6">
        <v>7.75</v>
      </c>
      <c r="L1052" s="6">
        <v>3.3125</v>
      </c>
      <c r="M1052" s="6">
        <v>-6.25E-2</v>
      </c>
      <c r="N1052" s="6">
        <v>6.25E-2</v>
      </c>
      <c r="O1052" s="6">
        <v>1.25</v>
      </c>
      <c r="P1052" s="6">
        <v>-2.125</v>
      </c>
      <c r="Q1052" s="6">
        <v>-50.0625</v>
      </c>
      <c r="R1052" s="6">
        <v>1.80476403236389</v>
      </c>
      <c r="S1052" s="6">
        <v>-46.810134887695298</v>
      </c>
      <c r="T1052" s="6">
        <v>5.2610516548156697E-2</v>
      </c>
      <c r="U1052" s="6">
        <v>0.69366240501403797</v>
      </c>
      <c r="V1052" s="6">
        <v>-18.233991622924801</v>
      </c>
      <c r="W1052" s="6">
        <v>-18.942865371704102</v>
      </c>
    </row>
    <row r="1053" spans="1:23" ht="18.95" customHeight="1">
      <c r="A1053" s="4">
        <v>1049</v>
      </c>
      <c r="B1053" s="4">
        <v>22538</v>
      </c>
      <c r="C1053" s="4">
        <v>1</v>
      </c>
      <c r="D1053" s="6">
        <v>0</v>
      </c>
      <c r="E1053" s="6">
        <v>0</v>
      </c>
      <c r="F1053" s="6">
        <v>47.1875</v>
      </c>
      <c r="G1053" s="6">
        <v>1.125</v>
      </c>
      <c r="H1053" s="6">
        <v>0.375</v>
      </c>
      <c r="I1053" s="6">
        <v>1.5</v>
      </c>
      <c r="J1053" s="6">
        <v>-1.625</v>
      </c>
      <c r="K1053" s="6">
        <v>6.375</v>
      </c>
      <c r="L1053" s="6">
        <v>1.625</v>
      </c>
      <c r="M1053" s="6">
        <v>0</v>
      </c>
      <c r="N1053" s="6">
        <v>-0.1875</v>
      </c>
      <c r="O1053" s="6">
        <v>1.25</v>
      </c>
      <c r="P1053" s="6">
        <v>-2.125</v>
      </c>
      <c r="Q1053" s="6">
        <v>-50.0625</v>
      </c>
      <c r="R1053" s="6">
        <v>2.4001839160919198</v>
      </c>
      <c r="S1053" s="6">
        <v>-46.5505981445312</v>
      </c>
      <c r="T1053" s="6">
        <v>0.67856466770172097</v>
      </c>
      <c r="U1053" s="6">
        <v>0.689905226230621</v>
      </c>
      <c r="V1053" s="6">
        <v>-19.081249237060501</v>
      </c>
      <c r="W1053" s="6">
        <v>-18.9365558624268</v>
      </c>
    </row>
    <row r="1054" spans="1:23" ht="18.95" customHeight="1">
      <c r="A1054" s="4">
        <v>1050</v>
      </c>
      <c r="B1054" s="4">
        <v>22560</v>
      </c>
      <c r="C1054" s="4">
        <v>1</v>
      </c>
      <c r="D1054" s="6">
        <v>0</v>
      </c>
      <c r="E1054" s="6">
        <v>0</v>
      </c>
      <c r="F1054" s="6">
        <v>48.5</v>
      </c>
      <c r="G1054" s="6">
        <v>1.375</v>
      </c>
      <c r="H1054" s="6">
        <v>0.5625</v>
      </c>
      <c r="I1054" s="6">
        <v>1.5</v>
      </c>
      <c r="J1054" s="6">
        <v>-1.6875</v>
      </c>
      <c r="K1054" s="6">
        <v>5.4375</v>
      </c>
      <c r="L1054" s="6">
        <v>-6.25E-2</v>
      </c>
      <c r="M1054" s="6">
        <v>-0.125</v>
      </c>
      <c r="N1054" s="6">
        <v>6.25E-2</v>
      </c>
      <c r="O1054" s="6">
        <v>1.25</v>
      </c>
      <c r="P1054" s="6">
        <v>-2.125</v>
      </c>
      <c r="Q1054" s="6">
        <v>-50.125</v>
      </c>
      <c r="R1054" s="6">
        <v>2.6291916370391801</v>
      </c>
      <c r="S1054" s="6">
        <v>-47.6651000976562</v>
      </c>
      <c r="T1054" s="6">
        <v>0.32741963863372803</v>
      </c>
      <c r="U1054" s="6">
        <v>0.63692533969879195</v>
      </c>
      <c r="V1054" s="6">
        <v>-20.007038116455099</v>
      </c>
      <c r="W1054" s="6">
        <v>-18.9365119934082</v>
      </c>
    </row>
    <row r="1055" spans="1:23" ht="18.95" customHeight="1">
      <c r="A1055" s="4">
        <v>1051</v>
      </c>
      <c r="B1055" s="4">
        <v>22581</v>
      </c>
      <c r="C1055" s="4">
        <v>1</v>
      </c>
      <c r="D1055" s="6">
        <v>0</v>
      </c>
      <c r="E1055" s="6">
        <v>0</v>
      </c>
      <c r="F1055" s="6">
        <v>48.4375</v>
      </c>
      <c r="G1055" s="6">
        <v>1.875</v>
      </c>
      <c r="H1055" s="6">
        <v>1.0625</v>
      </c>
      <c r="I1055" s="6">
        <v>1.5</v>
      </c>
      <c r="J1055" s="6">
        <v>-1.6875</v>
      </c>
      <c r="K1055" s="6">
        <v>4.5</v>
      </c>
      <c r="L1055" s="6">
        <v>-1.625</v>
      </c>
      <c r="M1055" s="6">
        <v>0.1875</v>
      </c>
      <c r="N1055" s="6">
        <v>-6.25E-2</v>
      </c>
      <c r="O1055" s="6">
        <v>1.25</v>
      </c>
      <c r="P1055" s="6">
        <v>-2.125</v>
      </c>
      <c r="Q1055" s="6">
        <v>-50.125</v>
      </c>
      <c r="R1055" s="6">
        <v>2.73606181144714</v>
      </c>
      <c r="S1055" s="6">
        <v>-46.733802795410199</v>
      </c>
      <c r="T1055" s="6">
        <v>0.69383192062377896</v>
      </c>
      <c r="U1055" s="6">
        <v>0.67650860548019398</v>
      </c>
      <c r="V1055" s="6">
        <v>-20.8901252746582</v>
      </c>
      <c r="W1055" s="6">
        <v>-18.918178558349599</v>
      </c>
    </row>
    <row r="1056" spans="1:23" ht="18.95" customHeight="1">
      <c r="A1056" s="4">
        <v>1052</v>
      </c>
      <c r="B1056" s="4">
        <v>22602</v>
      </c>
      <c r="C1056" s="4">
        <v>1</v>
      </c>
      <c r="D1056" s="6">
        <v>0</v>
      </c>
      <c r="E1056" s="6">
        <v>0</v>
      </c>
      <c r="F1056" s="6">
        <v>48.125</v>
      </c>
      <c r="G1056" s="6">
        <v>1.8125</v>
      </c>
      <c r="H1056" s="6">
        <v>1.0625</v>
      </c>
      <c r="I1056" s="6">
        <v>1.5</v>
      </c>
      <c r="J1056" s="6">
        <v>-1.75</v>
      </c>
      <c r="K1056" s="6">
        <v>3.5625</v>
      </c>
      <c r="L1056" s="6">
        <v>-3.75</v>
      </c>
      <c r="M1056" s="6">
        <v>0.3125</v>
      </c>
      <c r="N1056" s="6">
        <v>-0.125</v>
      </c>
      <c r="O1056" s="6">
        <v>1.1875</v>
      </c>
      <c r="P1056" s="6">
        <v>-2.125</v>
      </c>
      <c r="Q1056" s="6">
        <v>-50.0625</v>
      </c>
      <c r="R1056" s="6">
        <v>1.83529853820801</v>
      </c>
      <c r="S1056" s="6">
        <v>-48.642196655273402</v>
      </c>
      <c r="T1056" s="6">
        <v>-8.4794104099273696E-2</v>
      </c>
      <c r="U1056" s="6">
        <v>0.88090705871581998</v>
      </c>
      <c r="V1056" s="6">
        <v>-21.679933547973601</v>
      </c>
      <c r="W1056" s="6">
        <v>-18.912742614746101</v>
      </c>
    </row>
    <row r="1057" spans="1:23" ht="18.95" customHeight="1">
      <c r="A1057" s="4">
        <v>1053</v>
      </c>
      <c r="B1057" s="4">
        <v>22632</v>
      </c>
      <c r="C1057" s="4">
        <v>1</v>
      </c>
      <c r="D1057" s="6">
        <v>0</v>
      </c>
      <c r="E1057" s="6">
        <v>0</v>
      </c>
      <c r="F1057" s="6">
        <v>49.5625</v>
      </c>
      <c r="G1057" s="6">
        <v>0.8125</v>
      </c>
      <c r="H1057" s="6">
        <v>0.25</v>
      </c>
      <c r="I1057" s="6">
        <v>1.5</v>
      </c>
      <c r="J1057" s="6">
        <v>-1.8125</v>
      </c>
      <c r="K1057" s="6">
        <v>2.125</v>
      </c>
      <c r="L1057" s="6">
        <v>-6.375</v>
      </c>
      <c r="M1057" s="6">
        <v>-0.125</v>
      </c>
      <c r="N1057" s="6">
        <v>0</v>
      </c>
      <c r="O1057" s="6">
        <v>1.1875</v>
      </c>
      <c r="P1057" s="6">
        <v>-2.125</v>
      </c>
      <c r="Q1057" s="6">
        <v>-49.875</v>
      </c>
      <c r="R1057" s="6">
        <v>2.5070540904998802</v>
      </c>
      <c r="S1057" s="6">
        <v>-48.611663818359403</v>
      </c>
      <c r="T1057" s="6">
        <v>0.61749601364135698</v>
      </c>
      <c r="U1057" s="6">
        <v>0.91957342624664296</v>
      </c>
      <c r="V1057" s="6">
        <v>-23.072803497314499</v>
      </c>
      <c r="W1057" s="6">
        <v>-18.906034469604499</v>
      </c>
    </row>
    <row r="1058" spans="1:23" ht="18.95" customHeight="1">
      <c r="A1058" s="4">
        <v>1054</v>
      </c>
      <c r="B1058" s="4">
        <v>22652</v>
      </c>
      <c r="C1058" s="4">
        <v>1</v>
      </c>
      <c r="D1058" s="6">
        <v>0</v>
      </c>
      <c r="E1058" s="6">
        <v>0</v>
      </c>
      <c r="F1058" s="6">
        <v>50.1875</v>
      </c>
      <c r="G1058" s="6">
        <v>1.75</v>
      </c>
      <c r="H1058" s="6">
        <v>1.1875</v>
      </c>
      <c r="I1058" s="6">
        <v>1.5</v>
      </c>
      <c r="J1058" s="6">
        <v>-1.8125</v>
      </c>
      <c r="K1058" s="6">
        <v>1.1875</v>
      </c>
      <c r="L1058" s="6">
        <v>-8.0625</v>
      </c>
      <c r="M1058" s="6">
        <v>0.25</v>
      </c>
      <c r="N1058" s="6">
        <v>6.25E-2</v>
      </c>
      <c r="O1058" s="6">
        <v>1.1875</v>
      </c>
      <c r="P1058" s="6">
        <v>-2.125</v>
      </c>
      <c r="Q1058" s="6">
        <v>-49.75</v>
      </c>
      <c r="R1058" s="6">
        <v>2.4154510498046902</v>
      </c>
      <c r="S1058" s="6">
        <v>-48.962806701660199</v>
      </c>
      <c r="T1058" s="6">
        <v>0.37322115898132302</v>
      </c>
      <c r="U1058" s="6">
        <v>0.97002261877059903</v>
      </c>
      <c r="V1058" s="6">
        <v>-23.906923294067401</v>
      </c>
      <c r="W1058" s="6">
        <v>-18.895267486572301</v>
      </c>
    </row>
    <row r="1059" spans="1:23" ht="18.95" customHeight="1">
      <c r="A1059" s="4">
        <v>1055</v>
      </c>
      <c r="B1059" s="4">
        <v>22672</v>
      </c>
      <c r="C1059" s="4">
        <v>1</v>
      </c>
      <c r="D1059" s="6">
        <v>0</v>
      </c>
      <c r="E1059" s="6">
        <v>0</v>
      </c>
      <c r="F1059" s="6">
        <v>50.3125</v>
      </c>
      <c r="G1059" s="6">
        <v>1.5625</v>
      </c>
      <c r="H1059" s="6">
        <v>0.9375</v>
      </c>
      <c r="I1059" s="6">
        <v>1.5</v>
      </c>
      <c r="J1059" s="6">
        <v>-1.875</v>
      </c>
      <c r="K1059" s="6">
        <v>0.1875</v>
      </c>
      <c r="L1059" s="6">
        <v>-10.0625</v>
      </c>
      <c r="M1059" s="6">
        <v>0.3125</v>
      </c>
      <c r="N1059" s="6">
        <v>0</v>
      </c>
      <c r="O1059" s="6">
        <v>1.1875</v>
      </c>
      <c r="P1059" s="6">
        <v>-2.125</v>
      </c>
      <c r="Q1059" s="6">
        <v>-49.5625</v>
      </c>
      <c r="R1059" s="6">
        <v>1.3162144422531099</v>
      </c>
      <c r="S1059" s="6">
        <v>-47.695632934570298</v>
      </c>
      <c r="T1059" s="6">
        <v>-0.60387802124023404</v>
      </c>
      <c r="U1059" s="6">
        <v>1.0810558795928999</v>
      </c>
      <c r="V1059" s="6">
        <v>-24.610202789306602</v>
      </c>
      <c r="W1059" s="6">
        <v>-18.8928928375244</v>
      </c>
    </row>
    <row r="1060" spans="1:23" ht="18.95" customHeight="1">
      <c r="A1060" s="4">
        <v>1056</v>
      </c>
      <c r="B1060" s="4">
        <v>22692</v>
      </c>
      <c r="C1060" s="4">
        <v>1</v>
      </c>
      <c r="D1060" s="6">
        <v>0</v>
      </c>
      <c r="E1060" s="6">
        <v>0</v>
      </c>
      <c r="F1060" s="6">
        <v>49.375</v>
      </c>
      <c r="G1060" s="6">
        <v>0.875</v>
      </c>
      <c r="H1060" s="6">
        <v>0.375</v>
      </c>
      <c r="I1060" s="6">
        <v>1.5</v>
      </c>
      <c r="J1060" s="6">
        <v>-1.875</v>
      </c>
      <c r="K1060" s="6">
        <v>-0.6875</v>
      </c>
      <c r="L1060" s="6">
        <v>-11.6875</v>
      </c>
      <c r="M1060" s="6">
        <v>6.25E-2</v>
      </c>
      <c r="N1060" s="6">
        <v>6.25E-2</v>
      </c>
      <c r="O1060" s="6">
        <v>1.1875</v>
      </c>
      <c r="P1060" s="6">
        <v>-2.125</v>
      </c>
      <c r="Q1060" s="6">
        <v>-49.25</v>
      </c>
      <c r="R1060" s="6">
        <v>1.83529853820801</v>
      </c>
      <c r="S1060" s="6">
        <v>-48.932273864746101</v>
      </c>
      <c r="T1060" s="6">
        <v>0.22054940462112399</v>
      </c>
      <c r="U1060" s="6">
        <v>1.0383064746856701</v>
      </c>
      <c r="V1060" s="6">
        <v>-25.436704635620099</v>
      </c>
      <c r="W1060" s="6">
        <v>-18.896635055541999</v>
      </c>
    </row>
    <row r="1061" spans="1:23" ht="18.95" customHeight="1">
      <c r="A1061" s="4">
        <v>1057</v>
      </c>
      <c r="B1061" s="4">
        <v>22713</v>
      </c>
      <c r="C1061" s="4">
        <v>1</v>
      </c>
      <c r="D1061" s="6">
        <v>0</v>
      </c>
      <c r="E1061" s="6">
        <v>0</v>
      </c>
      <c r="F1061" s="6">
        <v>50.0625</v>
      </c>
      <c r="G1061" s="6">
        <v>1</v>
      </c>
      <c r="H1061" s="6">
        <v>0.75</v>
      </c>
      <c r="I1061" s="6">
        <v>1.5</v>
      </c>
      <c r="J1061" s="6">
        <v>-1.875</v>
      </c>
      <c r="K1061" s="6">
        <v>-1.6875</v>
      </c>
      <c r="L1061" s="6">
        <v>-13.5625</v>
      </c>
      <c r="M1061" s="6">
        <v>6.25E-2</v>
      </c>
      <c r="N1061" s="6">
        <v>6.25E-2</v>
      </c>
      <c r="O1061" s="6">
        <v>1.1875</v>
      </c>
      <c r="P1061" s="6">
        <v>-2.125</v>
      </c>
      <c r="Q1061" s="6">
        <v>-49.125</v>
      </c>
      <c r="R1061" s="6">
        <v>2.46125268936157</v>
      </c>
      <c r="S1061" s="6">
        <v>-48.046775817871101</v>
      </c>
      <c r="T1061" s="6">
        <v>0.22054940462112399</v>
      </c>
      <c r="U1061" s="6">
        <v>1.01376163959503</v>
      </c>
      <c r="V1061" s="6">
        <v>-26.248088836669901</v>
      </c>
      <c r="W1061" s="6">
        <v>-18.880720138549801</v>
      </c>
    </row>
    <row r="1062" spans="1:23" ht="18.95" customHeight="1">
      <c r="A1062" s="4">
        <v>1058</v>
      </c>
      <c r="B1062" s="4">
        <v>22734</v>
      </c>
      <c r="C1062" s="4">
        <v>1</v>
      </c>
      <c r="D1062" s="6">
        <v>0</v>
      </c>
      <c r="E1062" s="6">
        <v>0</v>
      </c>
      <c r="F1062" s="6">
        <v>49.3125</v>
      </c>
      <c r="G1062" s="6">
        <v>1.8125</v>
      </c>
      <c r="H1062" s="6">
        <v>1.25</v>
      </c>
      <c r="I1062" s="6">
        <v>1.5</v>
      </c>
      <c r="J1062" s="6">
        <v>-1.9375</v>
      </c>
      <c r="K1062" s="6">
        <v>-2.625</v>
      </c>
      <c r="L1062" s="6">
        <v>-16</v>
      </c>
      <c r="M1062" s="6">
        <v>0.4375</v>
      </c>
      <c r="N1062" s="6">
        <v>6.25E-2</v>
      </c>
      <c r="O1062" s="6">
        <v>1.1875</v>
      </c>
      <c r="P1062" s="6">
        <v>-2.125</v>
      </c>
      <c r="Q1062" s="6">
        <v>-48.6875</v>
      </c>
      <c r="R1062" s="6">
        <v>1.74369549751282</v>
      </c>
      <c r="S1062" s="6">
        <v>-47.146011352539098</v>
      </c>
      <c r="T1062" s="6">
        <v>0.22054940462112399</v>
      </c>
      <c r="U1062" s="6">
        <v>1.1018944978714</v>
      </c>
      <c r="V1062" s="6">
        <v>-27.017189025878899</v>
      </c>
      <c r="W1062" s="6">
        <v>-18.875972747802699</v>
      </c>
    </row>
    <row r="1063" spans="1:23" ht="18.95" customHeight="1">
      <c r="A1063" s="4">
        <v>1059</v>
      </c>
      <c r="B1063" s="4">
        <v>22756</v>
      </c>
      <c r="C1063" s="4">
        <v>1</v>
      </c>
      <c r="D1063" s="6">
        <v>0</v>
      </c>
      <c r="E1063" s="6">
        <v>0</v>
      </c>
      <c r="F1063" s="6">
        <v>48.5625</v>
      </c>
      <c r="G1063" s="6">
        <v>0.9375</v>
      </c>
      <c r="H1063" s="6">
        <v>0.5625</v>
      </c>
      <c r="I1063" s="6">
        <v>1.5</v>
      </c>
      <c r="J1063" s="6">
        <v>-1.9375</v>
      </c>
      <c r="K1063" s="6">
        <v>-3.5625</v>
      </c>
      <c r="L1063" s="6">
        <v>-17.625</v>
      </c>
      <c r="M1063" s="6">
        <v>0.125</v>
      </c>
      <c r="N1063" s="6">
        <v>0</v>
      </c>
      <c r="O1063" s="6">
        <v>1.1875</v>
      </c>
      <c r="P1063" s="6">
        <v>-2.125</v>
      </c>
      <c r="Q1063" s="6">
        <v>-48.375</v>
      </c>
      <c r="R1063" s="6">
        <v>1.9269015789032</v>
      </c>
      <c r="S1063" s="6">
        <v>-45.77197265625</v>
      </c>
      <c r="T1063" s="6">
        <v>-0.206931471824646</v>
      </c>
      <c r="U1063" s="6">
        <v>1.0802763700485201</v>
      </c>
      <c r="V1063" s="6">
        <v>-27.7881374359131</v>
      </c>
      <c r="W1063" s="6">
        <v>-18.8652038574219</v>
      </c>
    </row>
    <row r="1064" spans="1:23" ht="18.95" customHeight="1">
      <c r="A1064" s="4">
        <v>1060</v>
      </c>
      <c r="B1064" s="4">
        <v>22777</v>
      </c>
      <c r="C1064" s="4">
        <v>1</v>
      </c>
      <c r="D1064" s="6">
        <v>0</v>
      </c>
      <c r="E1064" s="6">
        <v>0</v>
      </c>
      <c r="F1064" s="6">
        <v>47.25</v>
      </c>
      <c r="G1064" s="6">
        <v>1.1875</v>
      </c>
      <c r="H1064" s="6">
        <v>0.9375</v>
      </c>
      <c r="I1064" s="6">
        <v>1.5</v>
      </c>
      <c r="J1064" s="6">
        <v>-1.9375</v>
      </c>
      <c r="K1064" s="6">
        <v>-4.5</v>
      </c>
      <c r="L1064" s="6">
        <v>-18.875</v>
      </c>
      <c r="M1064" s="6">
        <v>0.375</v>
      </c>
      <c r="N1064" s="6">
        <v>-6.25E-2</v>
      </c>
      <c r="O1064" s="6">
        <v>1.1875</v>
      </c>
      <c r="P1064" s="6">
        <v>-2.125</v>
      </c>
      <c r="Q1064" s="6">
        <v>-48.0625</v>
      </c>
      <c r="R1064" s="6">
        <v>2.3085808753967298</v>
      </c>
      <c r="S1064" s="6">
        <v>-45.756698608398402</v>
      </c>
      <c r="T1064" s="6">
        <v>1.0602440834045399</v>
      </c>
      <c r="U1064" s="6">
        <v>1.0798863172531099</v>
      </c>
      <c r="V1064" s="6">
        <v>-28.562349319458001</v>
      </c>
      <c r="W1064" s="6">
        <v>-18.847490310668899</v>
      </c>
    </row>
    <row r="1065" spans="1:23" ht="18.95" customHeight="1">
      <c r="A1065" s="4">
        <v>1061</v>
      </c>
      <c r="B1065" s="4">
        <v>22798</v>
      </c>
      <c r="C1065" s="4">
        <v>1</v>
      </c>
      <c r="D1065" s="6">
        <v>0</v>
      </c>
      <c r="E1065" s="6">
        <v>0</v>
      </c>
      <c r="F1065" s="6">
        <v>47.25</v>
      </c>
      <c r="G1065" s="6">
        <v>1.5</v>
      </c>
      <c r="H1065" s="6">
        <v>1.125</v>
      </c>
      <c r="I1065" s="6">
        <v>1.5</v>
      </c>
      <c r="J1065" s="6">
        <v>-2</v>
      </c>
      <c r="K1065" s="6">
        <v>-5.4375</v>
      </c>
      <c r="L1065" s="6">
        <v>-20.75</v>
      </c>
      <c r="M1065" s="6">
        <v>0.1875</v>
      </c>
      <c r="N1065" s="6">
        <v>0</v>
      </c>
      <c r="O1065" s="6">
        <v>1.125</v>
      </c>
      <c r="P1065" s="6">
        <v>-2.0625</v>
      </c>
      <c r="Q1065" s="6">
        <v>-47.6875</v>
      </c>
      <c r="R1065" s="6">
        <v>2.2780466079711901</v>
      </c>
      <c r="S1065" s="6">
        <v>-44.489524841308601</v>
      </c>
      <c r="T1065" s="6">
        <v>0.49535858631134</v>
      </c>
      <c r="U1065" s="6">
        <v>1.15847516059875</v>
      </c>
      <c r="V1065" s="6">
        <v>-29.3089904785156</v>
      </c>
      <c r="W1065" s="6">
        <v>-18.829088211059599</v>
      </c>
    </row>
    <row r="1066" spans="1:23" ht="18.95" customHeight="1">
      <c r="A1066" s="4">
        <v>1062</v>
      </c>
      <c r="B1066" s="4">
        <v>22819</v>
      </c>
      <c r="C1066" s="4">
        <v>1</v>
      </c>
      <c r="D1066" s="6">
        <v>0</v>
      </c>
      <c r="E1066" s="6">
        <v>0</v>
      </c>
      <c r="F1066" s="6">
        <v>46.125</v>
      </c>
      <c r="G1066" s="6">
        <v>1.5625</v>
      </c>
      <c r="H1066" s="6">
        <v>1.125</v>
      </c>
      <c r="I1066" s="6">
        <v>1.5</v>
      </c>
      <c r="J1066" s="6">
        <v>-2</v>
      </c>
      <c r="K1066" s="6">
        <v>-6.3125</v>
      </c>
      <c r="L1066" s="6">
        <v>-22.25</v>
      </c>
      <c r="M1066" s="6">
        <v>0.375</v>
      </c>
      <c r="N1066" s="6">
        <v>0.125</v>
      </c>
      <c r="O1066" s="6">
        <v>1.125</v>
      </c>
      <c r="P1066" s="6">
        <v>-2.0625</v>
      </c>
      <c r="Q1066" s="6">
        <v>-47.25</v>
      </c>
      <c r="R1066" s="6">
        <v>1.27041292190552</v>
      </c>
      <c r="S1066" s="6">
        <v>-44.275787353515597</v>
      </c>
      <c r="T1066" s="6">
        <v>-5.4259717464447001E-2</v>
      </c>
      <c r="U1066" s="6">
        <v>1.19815266132355</v>
      </c>
      <c r="V1066" s="6">
        <v>-30.011146545410199</v>
      </c>
      <c r="W1066" s="6">
        <v>-18.827754974365199</v>
      </c>
    </row>
    <row r="1067" spans="1:23" ht="18.95" customHeight="1">
      <c r="A1067" s="4">
        <v>1063</v>
      </c>
      <c r="B1067" s="4">
        <v>22840</v>
      </c>
      <c r="C1067" s="4">
        <v>1</v>
      </c>
      <c r="D1067" s="6">
        <v>0</v>
      </c>
      <c r="E1067" s="6">
        <v>0</v>
      </c>
      <c r="F1067" s="6">
        <v>45.875</v>
      </c>
      <c r="G1067" s="6">
        <v>0.75</v>
      </c>
      <c r="H1067" s="6">
        <v>0.5</v>
      </c>
      <c r="I1067" s="6">
        <v>1.5</v>
      </c>
      <c r="J1067" s="6">
        <v>-2.0625</v>
      </c>
      <c r="K1067" s="6">
        <v>-7.625</v>
      </c>
      <c r="L1067" s="6">
        <v>-24.1875</v>
      </c>
      <c r="M1067" s="6">
        <v>0.375</v>
      </c>
      <c r="N1067" s="6">
        <v>-6.25E-2</v>
      </c>
      <c r="O1067" s="6">
        <v>1.125</v>
      </c>
      <c r="P1067" s="6">
        <v>-2.0625</v>
      </c>
      <c r="Q1067" s="6">
        <v>-46.8125</v>
      </c>
      <c r="R1067" s="6">
        <v>2.4001839160919198</v>
      </c>
      <c r="S1067" s="6">
        <v>-42.581130981445298</v>
      </c>
      <c r="T1067" s="6">
        <v>0.81596922874450695</v>
      </c>
      <c r="U1067" s="6">
        <v>1.17017221450806</v>
      </c>
      <c r="V1067" s="6">
        <v>-30.748226165771499</v>
      </c>
      <c r="W1067" s="6">
        <v>-18.816553115844702</v>
      </c>
    </row>
    <row r="1068" spans="1:23" ht="18.95" customHeight="1">
      <c r="A1068" s="4">
        <v>1064</v>
      </c>
      <c r="B1068" s="4">
        <v>22862</v>
      </c>
      <c r="C1068" s="4">
        <v>1</v>
      </c>
      <c r="D1068" s="6">
        <v>0</v>
      </c>
      <c r="E1068" s="6">
        <v>0</v>
      </c>
      <c r="F1068" s="6">
        <v>44.25</v>
      </c>
      <c r="G1068" s="6">
        <v>1.5</v>
      </c>
      <c r="H1068" s="6">
        <v>1.1875</v>
      </c>
      <c r="I1068" s="6">
        <v>1.5</v>
      </c>
      <c r="J1068" s="6">
        <v>-2.0625</v>
      </c>
      <c r="K1068" s="6">
        <v>-8.5</v>
      </c>
      <c r="L1068" s="6">
        <v>-25.25</v>
      </c>
      <c r="M1068" s="6">
        <v>0.4375</v>
      </c>
      <c r="N1068" s="6">
        <v>0.125</v>
      </c>
      <c r="O1068" s="6">
        <v>1.125</v>
      </c>
      <c r="P1068" s="6">
        <v>-2.0625</v>
      </c>
      <c r="Q1068" s="6">
        <v>-46.3125</v>
      </c>
      <c r="R1068" s="6">
        <v>1.1635427474975599</v>
      </c>
      <c r="S1068" s="6">
        <v>-42.520057678222699</v>
      </c>
      <c r="T1068" s="6">
        <v>-0.29853454232215898</v>
      </c>
      <c r="U1068" s="6">
        <v>1.30771267414093</v>
      </c>
      <c r="V1068" s="6">
        <v>-31.454025268554702</v>
      </c>
      <c r="W1068" s="6">
        <v>-18.8108520507812</v>
      </c>
    </row>
    <row r="1069" spans="1:23" ht="18.95" customHeight="1">
      <c r="A1069" s="4">
        <v>1065</v>
      </c>
      <c r="B1069" s="4">
        <v>22884</v>
      </c>
      <c r="C1069" s="4">
        <v>1</v>
      </c>
      <c r="D1069" s="6">
        <v>0</v>
      </c>
      <c r="E1069" s="6">
        <v>0</v>
      </c>
      <c r="F1069" s="6">
        <v>43.875</v>
      </c>
      <c r="G1069" s="6">
        <v>0.625</v>
      </c>
      <c r="H1069" s="6">
        <v>0.6875</v>
      </c>
      <c r="I1069" s="6">
        <v>1.5</v>
      </c>
      <c r="J1069" s="6">
        <v>-2.0625</v>
      </c>
      <c r="K1069" s="6">
        <v>-9.375</v>
      </c>
      <c r="L1069" s="6">
        <v>-27.5625</v>
      </c>
      <c r="M1069" s="6">
        <v>0.25</v>
      </c>
      <c r="N1069" s="6">
        <v>-6.25E-2</v>
      </c>
      <c r="O1069" s="6">
        <v>1.125</v>
      </c>
      <c r="P1069" s="6">
        <v>-2.0625</v>
      </c>
      <c r="Q1069" s="6">
        <v>-45.5625</v>
      </c>
      <c r="R1069" s="6">
        <v>2.43071842193604</v>
      </c>
      <c r="S1069" s="6">
        <v>-40.825401306152301</v>
      </c>
      <c r="T1069" s="6">
        <v>0.72436618804931596</v>
      </c>
      <c r="U1069" s="6">
        <v>1.20563244819641</v>
      </c>
      <c r="V1069" s="6">
        <v>-32.171466827392599</v>
      </c>
      <c r="W1069" s="6">
        <v>-18.802314758300799</v>
      </c>
    </row>
    <row r="1070" spans="1:23" ht="18.95" customHeight="1">
      <c r="A1070" s="4">
        <v>1066</v>
      </c>
      <c r="B1070" s="4">
        <v>22906</v>
      </c>
      <c r="C1070" s="4">
        <v>1</v>
      </c>
      <c r="D1070" s="6">
        <v>0</v>
      </c>
      <c r="E1070" s="6">
        <v>0</v>
      </c>
      <c r="F1070" s="6">
        <v>42.0625</v>
      </c>
      <c r="G1070" s="6">
        <v>1.625</v>
      </c>
      <c r="H1070" s="6">
        <v>1.125</v>
      </c>
      <c r="I1070" s="6">
        <v>1.5</v>
      </c>
      <c r="J1070" s="6">
        <v>-2.125</v>
      </c>
      <c r="K1070" s="6">
        <v>-10.1875</v>
      </c>
      <c r="L1070" s="6">
        <v>-29.8125</v>
      </c>
      <c r="M1070" s="6">
        <v>0.25</v>
      </c>
      <c r="N1070" s="6">
        <v>0.1875</v>
      </c>
      <c r="O1070" s="6">
        <v>1.0625</v>
      </c>
      <c r="P1070" s="6">
        <v>-2.0625</v>
      </c>
      <c r="Q1070" s="6">
        <v>-45</v>
      </c>
      <c r="R1070" s="6">
        <v>1.9269015789032</v>
      </c>
      <c r="S1070" s="6">
        <v>-39.130744934082003</v>
      </c>
      <c r="T1070" s="6">
        <v>0.69383192062377896</v>
      </c>
      <c r="U1070" s="6">
        <v>1.2233309745788601</v>
      </c>
      <c r="V1070" s="6">
        <v>-32.747035980224602</v>
      </c>
      <c r="W1070" s="6">
        <v>-18.791210174560501</v>
      </c>
    </row>
    <row r="1071" spans="1:23" ht="18.95" customHeight="1">
      <c r="A1071" s="4">
        <v>1067</v>
      </c>
      <c r="B1071" s="4">
        <v>22928</v>
      </c>
      <c r="C1071" s="4">
        <v>1</v>
      </c>
      <c r="D1071" s="6">
        <v>0</v>
      </c>
      <c r="E1071" s="6">
        <v>0</v>
      </c>
      <c r="F1071" s="6">
        <v>40.875</v>
      </c>
      <c r="G1071" s="6">
        <v>1.25</v>
      </c>
      <c r="H1071" s="6">
        <v>1</v>
      </c>
      <c r="I1071" s="6">
        <v>1.5</v>
      </c>
      <c r="J1071" s="6">
        <v>-2.125</v>
      </c>
      <c r="K1071" s="6">
        <v>-10.9375</v>
      </c>
      <c r="L1071" s="6">
        <v>-31.75</v>
      </c>
      <c r="M1071" s="6">
        <v>0.3125</v>
      </c>
      <c r="N1071" s="6">
        <v>-6.25E-2</v>
      </c>
      <c r="O1071" s="6">
        <v>1.0625</v>
      </c>
      <c r="P1071" s="6">
        <v>-2.0625</v>
      </c>
      <c r="Q1071" s="6">
        <v>-44.375</v>
      </c>
      <c r="R1071" s="6">
        <v>0.84293210506439198</v>
      </c>
      <c r="S1071" s="6">
        <v>-37.146011352539098</v>
      </c>
      <c r="T1071" s="6">
        <v>-0.191664308309555</v>
      </c>
      <c r="U1071" s="6">
        <v>1.34304630756378</v>
      </c>
      <c r="V1071" s="6">
        <v>-33.313636779785199</v>
      </c>
      <c r="W1071" s="6">
        <v>-18.786138534545898</v>
      </c>
    </row>
    <row r="1072" spans="1:23" ht="18.95" customHeight="1">
      <c r="A1072" s="4">
        <v>1068</v>
      </c>
      <c r="B1072" s="4">
        <v>22948</v>
      </c>
      <c r="C1072" s="4">
        <v>1</v>
      </c>
      <c r="D1072" s="6">
        <v>0</v>
      </c>
      <c r="E1072" s="6">
        <v>0</v>
      </c>
      <c r="F1072" s="6">
        <v>38.5625</v>
      </c>
      <c r="G1072" s="6">
        <v>0.9375</v>
      </c>
      <c r="H1072" s="6">
        <v>0.9375</v>
      </c>
      <c r="I1072" s="6">
        <v>1.5</v>
      </c>
      <c r="J1072" s="6">
        <v>-2.125</v>
      </c>
      <c r="K1072" s="6">
        <v>-11.6875</v>
      </c>
      <c r="L1072" s="6">
        <v>-32.6875</v>
      </c>
      <c r="M1072" s="6">
        <v>0.25</v>
      </c>
      <c r="N1072" s="6">
        <v>6.25E-2</v>
      </c>
      <c r="O1072" s="6">
        <v>1.0625</v>
      </c>
      <c r="P1072" s="6">
        <v>-2.0625</v>
      </c>
      <c r="Q1072" s="6">
        <v>-43.8125</v>
      </c>
      <c r="R1072" s="6">
        <v>1.0719397068023699</v>
      </c>
      <c r="S1072" s="6">
        <v>-35.863571166992202</v>
      </c>
      <c r="T1072" s="6">
        <v>6.80899620056152E-3</v>
      </c>
      <c r="U1072" s="6">
        <v>1.3376706838607799</v>
      </c>
      <c r="V1072" s="6">
        <v>-33.866016387939503</v>
      </c>
      <c r="W1072" s="6">
        <v>-18.787368774414102</v>
      </c>
    </row>
    <row r="1073" spans="1:23" ht="18.95" customHeight="1">
      <c r="A1073" s="4">
        <v>1069</v>
      </c>
      <c r="B1073" s="4">
        <v>22970</v>
      </c>
      <c r="C1073" s="4">
        <v>1</v>
      </c>
      <c r="D1073" s="6">
        <v>0</v>
      </c>
      <c r="E1073" s="6">
        <v>0</v>
      </c>
      <c r="F1073" s="6">
        <v>37.5625</v>
      </c>
      <c r="G1073" s="6">
        <v>0.6875</v>
      </c>
      <c r="H1073" s="6">
        <v>0.5625</v>
      </c>
      <c r="I1073" s="6">
        <v>1.5</v>
      </c>
      <c r="J1073" s="6">
        <v>-2.125</v>
      </c>
      <c r="K1073" s="6">
        <v>-12.4375</v>
      </c>
      <c r="L1073" s="6">
        <v>-34.5625</v>
      </c>
      <c r="M1073" s="6">
        <v>0.3125</v>
      </c>
      <c r="N1073" s="6">
        <v>-0.1875</v>
      </c>
      <c r="O1073" s="6">
        <v>1.0625</v>
      </c>
      <c r="P1073" s="6">
        <v>-2.0625</v>
      </c>
      <c r="Q1073" s="6">
        <v>-43.125</v>
      </c>
      <c r="R1073" s="6">
        <v>2.43071842193604</v>
      </c>
      <c r="S1073" s="6">
        <v>-33.6651000976562</v>
      </c>
      <c r="T1073" s="6">
        <v>0.93810665607452404</v>
      </c>
      <c r="U1073" s="6">
        <v>1.2834779024124101</v>
      </c>
      <c r="V1073" s="6">
        <v>-34.410552978515597</v>
      </c>
      <c r="W1073" s="6">
        <v>-18.7721347808838</v>
      </c>
    </row>
    <row r="1074" spans="1:23" ht="18.95" customHeight="1">
      <c r="A1074" s="4">
        <v>1070</v>
      </c>
      <c r="B1074" s="4">
        <v>22992</v>
      </c>
      <c r="C1074" s="4">
        <v>1</v>
      </c>
      <c r="D1074" s="6">
        <v>0</v>
      </c>
      <c r="E1074" s="6">
        <v>0</v>
      </c>
      <c r="F1074" s="6">
        <v>35.4375</v>
      </c>
      <c r="G1074" s="6">
        <v>1</v>
      </c>
      <c r="H1074" s="6">
        <v>1.25</v>
      </c>
      <c r="I1074" s="6">
        <v>1.5</v>
      </c>
      <c r="J1074" s="6">
        <v>-2.1875</v>
      </c>
      <c r="K1074" s="6">
        <v>-13.5</v>
      </c>
      <c r="L1074" s="6">
        <v>-35.9375</v>
      </c>
      <c r="M1074" s="6">
        <v>0.4375</v>
      </c>
      <c r="N1074" s="6">
        <v>0.125</v>
      </c>
      <c r="O1074" s="6">
        <v>1</v>
      </c>
      <c r="P1074" s="6">
        <v>-2.0625</v>
      </c>
      <c r="Q1074" s="6">
        <v>-42.125</v>
      </c>
      <c r="R1074" s="6">
        <v>0.78186333179473899</v>
      </c>
      <c r="S1074" s="6">
        <v>-31.924638748168899</v>
      </c>
      <c r="T1074" s="6">
        <v>0.52589297294616699</v>
      </c>
      <c r="U1074" s="6">
        <v>1.34394860267639</v>
      </c>
      <c r="V1074" s="6">
        <v>-34.870853424072301</v>
      </c>
      <c r="W1074" s="6">
        <v>-18.76438331604</v>
      </c>
    </row>
    <row r="1075" spans="1:23" ht="18.95" customHeight="1">
      <c r="A1075" s="4">
        <v>1071</v>
      </c>
      <c r="B1075" s="4">
        <v>23031</v>
      </c>
      <c r="C1075" s="4">
        <v>1</v>
      </c>
      <c r="D1075" s="6">
        <v>0</v>
      </c>
      <c r="E1075" s="6">
        <v>0</v>
      </c>
      <c r="F1075" s="6">
        <v>31.4375</v>
      </c>
      <c r="G1075" s="6">
        <v>0.9375</v>
      </c>
      <c r="H1075" s="6">
        <v>0.6875</v>
      </c>
      <c r="I1075" s="6">
        <v>1.5</v>
      </c>
      <c r="J1075" s="6">
        <v>-2.1875</v>
      </c>
      <c r="K1075" s="6">
        <v>-14.6875</v>
      </c>
      <c r="L1075" s="6">
        <v>-38.4375</v>
      </c>
      <c r="M1075" s="6">
        <v>0.5625</v>
      </c>
      <c r="N1075" s="6">
        <v>0.125</v>
      </c>
      <c r="O1075" s="6">
        <v>1</v>
      </c>
      <c r="P1075" s="6">
        <v>-2.0625</v>
      </c>
      <c r="Q1075" s="6">
        <v>-40.625</v>
      </c>
      <c r="R1075" s="6">
        <v>1.2856801748275799</v>
      </c>
      <c r="S1075" s="6">
        <v>-28.016242980956999</v>
      </c>
      <c r="T1075" s="6">
        <v>0.49535858631134</v>
      </c>
      <c r="U1075" s="6">
        <v>1.33767938613892</v>
      </c>
      <c r="V1075" s="6">
        <v>-35.827507019042997</v>
      </c>
      <c r="W1075" s="6">
        <v>-18.7487678527832</v>
      </c>
    </row>
    <row r="1076" spans="1:23" ht="18.95" customHeight="1">
      <c r="A1076" s="4">
        <v>1072</v>
      </c>
      <c r="B1076" s="4">
        <v>23053</v>
      </c>
      <c r="C1076" s="4">
        <v>1</v>
      </c>
      <c r="D1076" s="6">
        <v>0</v>
      </c>
      <c r="E1076" s="6">
        <v>0</v>
      </c>
      <c r="F1076" s="6">
        <v>28.75</v>
      </c>
      <c r="G1076" s="6">
        <v>0.625</v>
      </c>
      <c r="H1076" s="6">
        <v>0.6875</v>
      </c>
      <c r="I1076" s="6">
        <v>1.5</v>
      </c>
      <c r="J1076" s="6">
        <v>-2.1875</v>
      </c>
      <c r="K1076" s="6">
        <v>-15.25</v>
      </c>
      <c r="L1076" s="6">
        <v>-40.1875</v>
      </c>
      <c r="M1076" s="6">
        <v>0.5625</v>
      </c>
      <c r="N1076" s="6">
        <v>-6.25E-2</v>
      </c>
      <c r="O1076" s="6">
        <v>1</v>
      </c>
      <c r="P1076" s="6">
        <v>-2.0625</v>
      </c>
      <c r="Q1076" s="6">
        <v>-40.25</v>
      </c>
      <c r="R1076" s="6">
        <v>1.7284282445907599</v>
      </c>
      <c r="S1076" s="6">
        <v>-25.2223510742188</v>
      </c>
      <c r="T1076" s="6">
        <v>0.58696162700653098</v>
      </c>
      <c r="U1076" s="6">
        <v>1.28763747215271</v>
      </c>
      <c r="V1076" s="6">
        <v>-36.126396179199197</v>
      </c>
      <c r="W1076" s="6">
        <v>-18.735740661621101</v>
      </c>
    </row>
    <row r="1077" spans="1:23" ht="18.95" customHeight="1">
      <c r="A1077" s="4">
        <v>1073</v>
      </c>
      <c r="B1077" s="4">
        <v>23075</v>
      </c>
      <c r="C1077" s="4">
        <v>1</v>
      </c>
      <c r="D1077" s="6">
        <v>0</v>
      </c>
      <c r="E1077" s="6">
        <v>0</v>
      </c>
      <c r="F1077" s="6">
        <v>26.125</v>
      </c>
      <c r="G1077" s="6">
        <v>1.1875</v>
      </c>
      <c r="H1077" s="6">
        <v>0.9375</v>
      </c>
      <c r="I1077" s="6">
        <v>1.4375</v>
      </c>
      <c r="J1077" s="6">
        <v>-2.1875</v>
      </c>
      <c r="K1077" s="6">
        <v>-15.8125</v>
      </c>
      <c r="L1077" s="6">
        <v>-42.375</v>
      </c>
      <c r="M1077" s="6">
        <v>0.5</v>
      </c>
      <c r="N1077" s="6">
        <v>0.125</v>
      </c>
      <c r="O1077" s="6">
        <v>0.9375</v>
      </c>
      <c r="P1077" s="6">
        <v>-2.0625</v>
      </c>
      <c r="Q1077" s="6">
        <v>-39.0625</v>
      </c>
      <c r="R1077" s="6">
        <v>0.32384800910949701</v>
      </c>
      <c r="S1077" s="6">
        <v>-23.3902893066406</v>
      </c>
      <c r="T1077" s="6">
        <v>-0.100061237812042</v>
      </c>
      <c r="U1077" s="6">
        <v>1.4328147172927901</v>
      </c>
      <c r="V1077" s="6">
        <v>-36.449333190917997</v>
      </c>
      <c r="W1077" s="6">
        <v>-18.739009857177699</v>
      </c>
    </row>
    <row r="1078" spans="1:23" ht="18.95" customHeight="1">
      <c r="A1078" s="4">
        <v>1074</v>
      </c>
      <c r="B1078" s="4">
        <v>23097</v>
      </c>
      <c r="C1078" s="4">
        <v>1</v>
      </c>
      <c r="D1078" s="6">
        <v>0</v>
      </c>
      <c r="E1078" s="6">
        <v>0</v>
      </c>
      <c r="F1078" s="6">
        <v>24.3125</v>
      </c>
      <c r="G1078" s="6">
        <v>-6.25E-2</v>
      </c>
      <c r="H1078" s="6">
        <v>0.125</v>
      </c>
      <c r="I1078" s="6">
        <v>1.5</v>
      </c>
      <c r="J1078" s="6">
        <v>-2.1875</v>
      </c>
      <c r="K1078" s="6">
        <v>-16.25</v>
      </c>
      <c r="L1078" s="6">
        <v>-44.25</v>
      </c>
      <c r="M1078" s="6">
        <v>0.4375</v>
      </c>
      <c r="N1078" s="6">
        <v>-0.125</v>
      </c>
      <c r="O1078" s="6">
        <v>0.9375</v>
      </c>
      <c r="P1078" s="6">
        <v>-2.0625</v>
      </c>
      <c r="Q1078" s="6">
        <v>-38.1875</v>
      </c>
      <c r="R1078" s="6">
        <v>1.5910236835479701</v>
      </c>
      <c r="S1078" s="6">
        <v>-20.5047931671143</v>
      </c>
      <c r="T1078" s="6">
        <v>0.80070209503173795</v>
      </c>
      <c r="U1078" s="6">
        <v>1.2578108310699501</v>
      </c>
      <c r="V1078" s="6">
        <v>-36.663124084472699</v>
      </c>
      <c r="W1078" s="6">
        <v>-18.737377166748001</v>
      </c>
    </row>
    <row r="1079" spans="1:23" ht="18.95" customHeight="1">
      <c r="A1079" s="4">
        <v>1075</v>
      </c>
      <c r="B1079" s="4">
        <v>23118</v>
      </c>
      <c r="C1079" s="4">
        <v>1</v>
      </c>
      <c r="D1079" s="6">
        <v>0</v>
      </c>
      <c r="E1079" s="6">
        <v>0</v>
      </c>
      <c r="F1079" s="6">
        <v>21.5625</v>
      </c>
      <c r="G1079" s="6">
        <v>0.8125</v>
      </c>
      <c r="H1079" s="6">
        <v>0.6875</v>
      </c>
      <c r="I1079" s="6">
        <v>1.5</v>
      </c>
      <c r="J1079" s="6">
        <v>-2.25</v>
      </c>
      <c r="K1079" s="6">
        <v>-16.6875</v>
      </c>
      <c r="L1079" s="6">
        <v>-44.75</v>
      </c>
      <c r="M1079" s="6">
        <v>0.625</v>
      </c>
      <c r="N1079" s="6">
        <v>0.25</v>
      </c>
      <c r="O1079" s="6">
        <v>0.9375</v>
      </c>
      <c r="P1079" s="6">
        <v>-2.0625</v>
      </c>
      <c r="Q1079" s="6">
        <v>-37.3125</v>
      </c>
      <c r="R1079" s="6">
        <v>0.67499315738678001</v>
      </c>
      <c r="S1079" s="6">
        <v>-18.123113632202099</v>
      </c>
      <c r="T1079" s="6">
        <v>0.128946363925934</v>
      </c>
      <c r="U1079" s="6">
        <v>1.33533835411072</v>
      </c>
      <c r="V1079" s="6">
        <v>-36.917758941650398</v>
      </c>
      <c r="W1079" s="6">
        <v>-18.734584808349599</v>
      </c>
    </row>
    <row r="1080" spans="1:23" ht="18.95" customHeight="1">
      <c r="A1080" s="4">
        <v>1076</v>
      </c>
      <c r="B1080" s="4">
        <v>23139</v>
      </c>
      <c r="C1080" s="4">
        <v>1</v>
      </c>
      <c r="D1080" s="6">
        <v>0</v>
      </c>
      <c r="E1080" s="6">
        <v>0</v>
      </c>
      <c r="F1080" s="6">
        <v>19.25</v>
      </c>
      <c r="G1080" s="6">
        <v>0.5625</v>
      </c>
      <c r="H1080" s="6">
        <v>0.5</v>
      </c>
      <c r="I1080" s="6">
        <v>1.5</v>
      </c>
      <c r="J1080" s="6">
        <v>-2.25</v>
      </c>
      <c r="K1080" s="6">
        <v>-17.0625</v>
      </c>
      <c r="L1080" s="6">
        <v>-46.5</v>
      </c>
      <c r="M1080" s="6">
        <v>0.625</v>
      </c>
      <c r="N1080" s="6">
        <v>6.25E-2</v>
      </c>
      <c r="O1080" s="6">
        <v>0.875</v>
      </c>
      <c r="P1080" s="6">
        <v>-2.125</v>
      </c>
      <c r="Q1080" s="6">
        <v>-36.4375</v>
      </c>
      <c r="R1080" s="6">
        <v>0.720794677734375</v>
      </c>
      <c r="S1080" s="6">
        <v>-15.481891632080099</v>
      </c>
      <c r="T1080" s="6">
        <v>0.78543496131896995</v>
      </c>
      <c r="U1080" s="6">
        <v>1.2341958284378101</v>
      </c>
      <c r="V1080" s="6">
        <v>-37.055477142333999</v>
      </c>
      <c r="W1080" s="6">
        <v>-18.733861923217798</v>
      </c>
    </row>
    <row r="1081" spans="1:23" ht="18.95" customHeight="1">
      <c r="A1081" s="4">
        <v>1077</v>
      </c>
      <c r="B1081" s="4">
        <v>23159</v>
      </c>
      <c r="C1081" s="4">
        <v>1</v>
      </c>
      <c r="D1081" s="6">
        <v>0</v>
      </c>
      <c r="E1081" s="6">
        <v>0</v>
      </c>
      <c r="F1081" s="6">
        <v>16.9375</v>
      </c>
      <c r="G1081" s="6">
        <v>6.25E-2</v>
      </c>
      <c r="H1081" s="6">
        <v>0.25</v>
      </c>
      <c r="I1081" s="6">
        <v>1.5</v>
      </c>
      <c r="J1081" s="6">
        <v>-2.25</v>
      </c>
      <c r="K1081" s="6">
        <v>-17.375</v>
      </c>
      <c r="L1081" s="6">
        <v>-48.125</v>
      </c>
      <c r="M1081" s="6">
        <v>0.5625</v>
      </c>
      <c r="N1081" s="6">
        <v>0.25</v>
      </c>
      <c r="O1081" s="6">
        <v>0.875</v>
      </c>
      <c r="P1081" s="6">
        <v>-2.125</v>
      </c>
      <c r="Q1081" s="6">
        <v>-35.5625</v>
      </c>
      <c r="R1081" s="6">
        <v>0.91926789283752397</v>
      </c>
      <c r="S1081" s="6">
        <v>-13.023877143859901</v>
      </c>
      <c r="T1081" s="6">
        <v>0.464824199676514</v>
      </c>
      <c r="U1081" s="6">
        <v>1.2772195339202901</v>
      </c>
      <c r="V1081" s="6">
        <v>-37.249221801757798</v>
      </c>
      <c r="W1081" s="6">
        <v>-18.7288417816162</v>
      </c>
    </row>
    <row r="1082" spans="1:23" ht="18.95" customHeight="1">
      <c r="A1082" s="4">
        <v>1078</v>
      </c>
      <c r="B1082" s="4">
        <v>23179</v>
      </c>
      <c r="C1082" s="4">
        <v>1</v>
      </c>
      <c r="D1082" s="6">
        <v>0</v>
      </c>
      <c r="E1082" s="6">
        <v>0</v>
      </c>
      <c r="F1082" s="6">
        <v>14.5625</v>
      </c>
      <c r="G1082" s="6">
        <v>0.375</v>
      </c>
      <c r="H1082" s="6">
        <v>0.625</v>
      </c>
      <c r="I1082" s="6">
        <v>1.4375</v>
      </c>
      <c r="J1082" s="6">
        <v>-2.25</v>
      </c>
      <c r="K1082" s="6">
        <v>-17.6875</v>
      </c>
      <c r="L1082" s="6">
        <v>-49.9375</v>
      </c>
      <c r="M1082" s="6">
        <v>0.5625</v>
      </c>
      <c r="N1082" s="6">
        <v>0.125</v>
      </c>
      <c r="O1082" s="6">
        <v>0.875</v>
      </c>
      <c r="P1082" s="6">
        <v>-2.125</v>
      </c>
      <c r="Q1082" s="6">
        <v>-34.5625</v>
      </c>
      <c r="R1082" s="6">
        <v>0.70552742481231701</v>
      </c>
      <c r="S1082" s="6">
        <v>-10.7796020507812</v>
      </c>
      <c r="T1082" s="6">
        <v>0.63276314735412598</v>
      </c>
      <c r="U1082" s="6">
        <v>1.21768569946289</v>
      </c>
      <c r="V1082" s="6">
        <v>-37.306697845458999</v>
      </c>
      <c r="W1082" s="6">
        <v>-18.718278884887699</v>
      </c>
    </row>
    <row r="1083" spans="1:23" ht="18.95" customHeight="1">
      <c r="A1083" s="4">
        <v>1079</v>
      </c>
      <c r="B1083" s="4">
        <v>23201</v>
      </c>
      <c r="C1083" s="4">
        <v>1</v>
      </c>
      <c r="D1083" s="6">
        <v>0</v>
      </c>
      <c r="E1083" s="6">
        <v>0</v>
      </c>
      <c r="F1083" s="6">
        <v>12</v>
      </c>
      <c r="G1083" s="6">
        <v>0.1875</v>
      </c>
      <c r="H1083" s="6">
        <v>0.75</v>
      </c>
      <c r="I1083" s="6">
        <v>1.4375</v>
      </c>
      <c r="J1083" s="6">
        <v>-2.1875</v>
      </c>
      <c r="K1083" s="6">
        <v>-17.9375</v>
      </c>
      <c r="L1083" s="6">
        <v>-51.9375</v>
      </c>
      <c r="M1083" s="6">
        <v>0.8125</v>
      </c>
      <c r="N1083" s="6">
        <v>-6.25E-2</v>
      </c>
      <c r="O1083" s="6">
        <v>0.8125</v>
      </c>
      <c r="P1083" s="6">
        <v>-2.125</v>
      </c>
      <c r="Q1083" s="6">
        <v>-33.5625</v>
      </c>
      <c r="R1083" s="6">
        <v>3.2374858856201198E-3</v>
      </c>
      <c r="S1083" s="6">
        <v>-7.7109003067016602</v>
      </c>
      <c r="T1083" s="6">
        <v>0.15948075056076</v>
      </c>
      <c r="U1083" s="6">
        <v>1.3165138959884599</v>
      </c>
      <c r="V1083" s="6">
        <v>-37.358249664306598</v>
      </c>
      <c r="W1083" s="6">
        <v>-18.7068691253662</v>
      </c>
    </row>
    <row r="1084" spans="1:23" ht="18.95" customHeight="1">
      <c r="A1084" s="4">
        <v>1080</v>
      </c>
      <c r="B1084" s="4">
        <v>23222</v>
      </c>
      <c r="C1084" s="4">
        <v>1</v>
      </c>
      <c r="D1084" s="6">
        <v>0</v>
      </c>
      <c r="E1084" s="6">
        <v>0</v>
      </c>
      <c r="F1084" s="6">
        <v>9.375</v>
      </c>
      <c r="G1084" s="6">
        <v>0.25</v>
      </c>
      <c r="H1084" s="6">
        <v>0.5625</v>
      </c>
      <c r="I1084" s="6">
        <v>1.5</v>
      </c>
      <c r="J1084" s="6">
        <v>-2.1875</v>
      </c>
      <c r="K1084" s="6">
        <v>-18.125</v>
      </c>
      <c r="L1084" s="6">
        <v>-53</v>
      </c>
      <c r="M1084" s="6">
        <v>0.625</v>
      </c>
      <c r="N1084" s="6">
        <v>0.125</v>
      </c>
      <c r="O1084" s="6">
        <v>0.8125</v>
      </c>
      <c r="P1084" s="6">
        <v>-2.125</v>
      </c>
      <c r="Q1084" s="6">
        <v>-32.0625</v>
      </c>
      <c r="R1084" s="6">
        <v>-0.69905257225036599</v>
      </c>
      <c r="S1084" s="6">
        <v>-5.0696787834167498</v>
      </c>
      <c r="T1084" s="6">
        <v>6.80899620056152E-3</v>
      </c>
      <c r="U1084" s="6">
        <v>1.3088299036026001</v>
      </c>
      <c r="V1084" s="6">
        <v>-37.459297180175803</v>
      </c>
      <c r="W1084" s="6">
        <v>-18.713542938232401</v>
      </c>
    </row>
    <row r="1085" spans="1:23" ht="18.95" customHeight="1">
      <c r="A1085" s="4">
        <v>1081</v>
      </c>
      <c r="B1085" s="4">
        <v>23243</v>
      </c>
      <c r="C1085" s="4">
        <v>1</v>
      </c>
      <c r="D1085" s="6">
        <v>0</v>
      </c>
      <c r="E1085" s="6">
        <v>0</v>
      </c>
      <c r="F1085" s="6">
        <v>6.75</v>
      </c>
      <c r="G1085" s="6">
        <v>-0.3125</v>
      </c>
      <c r="H1085" s="6">
        <v>0.1875</v>
      </c>
      <c r="I1085" s="6">
        <v>1.5</v>
      </c>
      <c r="J1085" s="6">
        <v>-2.1875</v>
      </c>
      <c r="K1085" s="6">
        <v>-18.3125</v>
      </c>
      <c r="L1085" s="6">
        <v>-55.75</v>
      </c>
      <c r="M1085" s="6">
        <v>0.625</v>
      </c>
      <c r="N1085" s="6">
        <v>6.25E-2</v>
      </c>
      <c r="O1085" s="6">
        <v>0.75</v>
      </c>
      <c r="P1085" s="6">
        <v>-2.125</v>
      </c>
      <c r="Q1085" s="6">
        <v>-30.9375</v>
      </c>
      <c r="R1085" s="6">
        <v>1.2856801748275799</v>
      </c>
      <c r="S1085" s="6">
        <v>-2.3673887252807599</v>
      </c>
      <c r="T1085" s="6">
        <v>1.19764864444733</v>
      </c>
      <c r="U1085" s="6">
        <v>1.2558724880218499</v>
      </c>
      <c r="V1085" s="6">
        <v>-37.408676147460902</v>
      </c>
      <c r="W1085" s="6">
        <v>-18.695848464965799</v>
      </c>
    </row>
    <row r="1086" spans="1:23" ht="18.95" customHeight="1">
      <c r="A1086" s="4">
        <v>1082</v>
      </c>
      <c r="B1086" s="4">
        <v>23264</v>
      </c>
      <c r="C1086" s="4">
        <v>1</v>
      </c>
      <c r="D1086" s="6">
        <v>0</v>
      </c>
      <c r="E1086" s="6">
        <v>0</v>
      </c>
      <c r="F1086" s="6">
        <v>3.9375</v>
      </c>
      <c r="G1086" s="6">
        <v>0.4375</v>
      </c>
      <c r="H1086" s="6">
        <v>0.9375</v>
      </c>
      <c r="I1086" s="6">
        <v>1.4375</v>
      </c>
      <c r="J1086" s="6">
        <v>-2.25</v>
      </c>
      <c r="K1086" s="6">
        <v>-18.375</v>
      </c>
      <c r="L1086" s="6">
        <v>-56.8125</v>
      </c>
      <c r="M1086" s="6">
        <v>0.75</v>
      </c>
      <c r="N1086" s="6">
        <v>0.125</v>
      </c>
      <c r="O1086" s="6">
        <v>0.75</v>
      </c>
      <c r="P1086" s="6">
        <v>-2.125</v>
      </c>
      <c r="Q1086" s="6">
        <v>-29.8125</v>
      </c>
      <c r="R1086" s="6">
        <v>-0.48531222343444802</v>
      </c>
      <c r="S1086" s="6">
        <v>1.0219242572784399</v>
      </c>
      <c r="T1086" s="6">
        <v>0.23581659793853799</v>
      </c>
      <c r="U1086" s="6">
        <v>1.35108971595764</v>
      </c>
      <c r="V1086" s="6">
        <v>-37.278923034667997</v>
      </c>
      <c r="W1086" s="6">
        <v>-18.6879978179932</v>
      </c>
    </row>
    <row r="1087" spans="1:23" ht="18.95" customHeight="1">
      <c r="A1087" s="4">
        <v>1083</v>
      </c>
      <c r="B1087" s="4">
        <v>23286</v>
      </c>
      <c r="C1087" s="4">
        <v>1</v>
      </c>
      <c r="D1087" s="6">
        <v>0</v>
      </c>
      <c r="E1087" s="6">
        <v>0</v>
      </c>
      <c r="F1087" s="6">
        <v>-0.5</v>
      </c>
      <c r="G1087" s="6">
        <v>-0.5</v>
      </c>
      <c r="H1087" s="6">
        <v>6.25E-2</v>
      </c>
      <c r="I1087" s="6">
        <v>1.4375</v>
      </c>
      <c r="J1087" s="6">
        <v>-2.25</v>
      </c>
      <c r="K1087" s="6">
        <v>-18.375</v>
      </c>
      <c r="L1087" s="6">
        <v>-59.6875</v>
      </c>
      <c r="M1087" s="6">
        <v>0.5</v>
      </c>
      <c r="N1087" s="6">
        <v>-0.1875</v>
      </c>
      <c r="O1087" s="6">
        <v>0.6875</v>
      </c>
      <c r="P1087" s="6">
        <v>-2.125</v>
      </c>
      <c r="Q1087" s="6">
        <v>-28.6875</v>
      </c>
      <c r="R1087" s="6">
        <v>-0.48531222343444802</v>
      </c>
      <c r="S1087" s="6">
        <v>3.8463518619537398</v>
      </c>
      <c r="T1087" s="6">
        <v>-0.43593913316726701</v>
      </c>
      <c r="U1087" s="6">
        <v>1.3033249378204299</v>
      </c>
      <c r="V1087" s="6">
        <v>-37.073936462402301</v>
      </c>
      <c r="W1087" s="6">
        <v>-18.689712524414102</v>
      </c>
    </row>
    <row r="1088" spans="1:23" ht="18.95" customHeight="1">
      <c r="A1088" s="4">
        <v>1084</v>
      </c>
      <c r="B1088" s="4">
        <v>23306</v>
      </c>
      <c r="C1088" s="4">
        <v>1</v>
      </c>
      <c r="D1088" s="6">
        <v>0</v>
      </c>
      <c r="E1088" s="6">
        <v>0</v>
      </c>
      <c r="F1088" s="6">
        <v>-3.375</v>
      </c>
      <c r="G1088" s="6">
        <v>-0.125</v>
      </c>
      <c r="H1088" s="6">
        <v>-6.25E-2</v>
      </c>
      <c r="I1088" s="6">
        <v>1.4375</v>
      </c>
      <c r="J1088" s="6">
        <v>-2.25</v>
      </c>
      <c r="K1088" s="6">
        <v>-18.3125</v>
      </c>
      <c r="L1088" s="6">
        <v>-60.125</v>
      </c>
      <c r="M1088" s="6">
        <v>0.8125</v>
      </c>
      <c r="N1088" s="6">
        <v>0.1875</v>
      </c>
      <c r="O1088" s="6">
        <v>0.6875</v>
      </c>
      <c r="P1088" s="6">
        <v>-2.125</v>
      </c>
      <c r="Q1088" s="6">
        <v>-27.5</v>
      </c>
      <c r="R1088" s="6">
        <v>-0.82119011878967296</v>
      </c>
      <c r="S1088" s="6">
        <v>6.7471151351928702</v>
      </c>
      <c r="T1088" s="6">
        <v>-0.29853454232215898</v>
      </c>
      <c r="U1088" s="6">
        <v>1.3627176284789999</v>
      </c>
      <c r="V1088" s="6">
        <v>-36.994071960449197</v>
      </c>
      <c r="W1088" s="6">
        <v>-18.6848754882812</v>
      </c>
    </row>
    <row r="1089" spans="1:23" ht="18.95" customHeight="1">
      <c r="A1089" s="4">
        <v>1085</v>
      </c>
      <c r="B1089" s="4">
        <v>23327</v>
      </c>
      <c r="C1089" s="4">
        <v>1</v>
      </c>
      <c r="D1089" s="6">
        <v>0</v>
      </c>
      <c r="E1089" s="6">
        <v>0</v>
      </c>
      <c r="F1089" s="6">
        <v>-6.3125</v>
      </c>
      <c r="G1089" s="6">
        <v>0</v>
      </c>
      <c r="H1089" s="6">
        <v>0.375</v>
      </c>
      <c r="I1089" s="6">
        <v>1.4375</v>
      </c>
      <c r="J1089" s="6">
        <v>-2.25</v>
      </c>
      <c r="K1089" s="6">
        <v>-18.1875</v>
      </c>
      <c r="L1089" s="6">
        <v>-62.5</v>
      </c>
      <c r="M1089" s="6">
        <v>0.625</v>
      </c>
      <c r="N1089" s="6">
        <v>-6.25E-2</v>
      </c>
      <c r="O1089" s="6">
        <v>0.625</v>
      </c>
      <c r="P1089" s="6">
        <v>-2.1875</v>
      </c>
      <c r="Q1089" s="6">
        <v>-26.3125</v>
      </c>
      <c r="R1089" s="6">
        <v>0.12537479400634799</v>
      </c>
      <c r="S1089" s="6">
        <v>10.319634437561</v>
      </c>
      <c r="T1089" s="6">
        <v>0.98390817642211903</v>
      </c>
      <c r="U1089" s="6">
        <v>1.2316316366195701</v>
      </c>
      <c r="V1089" s="6">
        <v>-36.7426567077637</v>
      </c>
      <c r="W1089" s="6">
        <v>-18.677679061889599</v>
      </c>
    </row>
    <row r="1090" spans="1:23" ht="18.95" customHeight="1">
      <c r="A1090" s="4">
        <v>1086</v>
      </c>
      <c r="B1090" s="4">
        <v>23349</v>
      </c>
      <c r="C1090" s="4">
        <v>1</v>
      </c>
      <c r="D1090" s="6">
        <v>0</v>
      </c>
      <c r="E1090" s="6">
        <v>0</v>
      </c>
      <c r="F1090" s="6">
        <v>-9.625</v>
      </c>
      <c r="G1090" s="6">
        <v>0</v>
      </c>
      <c r="H1090" s="6">
        <v>0.625</v>
      </c>
      <c r="I1090" s="6">
        <v>1.4375</v>
      </c>
      <c r="J1090" s="6">
        <v>-2.25</v>
      </c>
      <c r="K1090" s="6">
        <v>-18.0625</v>
      </c>
      <c r="L1090" s="6">
        <v>-64.1875</v>
      </c>
      <c r="M1090" s="6">
        <v>0.4375</v>
      </c>
      <c r="N1090" s="6">
        <v>0.125</v>
      </c>
      <c r="O1090" s="6">
        <v>0.625</v>
      </c>
      <c r="P1090" s="6">
        <v>-2.1875</v>
      </c>
      <c r="Q1090" s="6">
        <v>-25.125</v>
      </c>
      <c r="R1090" s="6">
        <v>-0.50057935714721702</v>
      </c>
      <c r="S1090" s="6">
        <v>13.4952068328857</v>
      </c>
      <c r="T1090" s="6">
        <v>0.32741963863372803</v>
      </c>
      <c r="U1090" s="6">
        <v>1.29519867897034</v>
      </c>
      <c r="V1090" s="6">
        <v>-36.481590270996101</v>
      </c>
      <c r="W1090" s="6">
        <v>-18.672071456909201</v>
      </c>
    </row>
    <row r="1091" spans="1:23" ht="18.95" customHeight="1">
      <c r="A1091" s="4">
        <v>1087</v>
      </c>
      <c r="B1091" s="4">
        <v>23369</v>
      </c>
      <c r="C1091" s="4">
        <v>1</v>
      </c>
      <c r="D1091" s="6">
        <v>0</v>
      </c>
      <c r="E1091" s="6">
        <v>0</v>
      </c>
      <c r="F1091" s="6">
        <v>-12.6875</v>
      </c>
      <c r="G1091" s="6">
        <v>-0.3125</v>
      </c>
      <c r="H1091" s="6">
        <v>0.3125</v>
      </c>
      <c r="I1091" s="6">
        <v>1.4375</v>
      </c>
      <c r="J1091" s="6">
        <v>-2.25</v>
      </c>
      <c r="K1091" s="6">
        <v>-17.8125</v>
      </c>
      <c r="L1091" s="6">
        <v>-65.875</v>
      </c>
      <c r="M1091" s="6">
        <v>0.5625</v>
      </c>
      <c r="N1091" s="6">
        <v>0</v>
      </c>
      <c r="O1091" s="6">
        <v>0.625</v>
      </c>
      <c r="P1091" s="6">
        <v>-2.1875</v>
      </c>
      <c r="Q1091" s="6">
        <v>-23.8125</v>
      </c>
      <c r="R1091" s="6">
        <v>-0.42424345016479498</v>
      </c>
      <c r="S1091" s="6">
        <v>17.0524597167969</v>
      </c>
      <c r="T1091" s="6">
        <v>0.128946363925934</v>
      </c>
      <c r="U1091" s="6">
        <v>1.2047004699707</v>
      </c>
      <c r="V1091" s="6">
        <v>-36.153041839599602</v>
      </c>
      <c r="W1091" s="6">
        <v>-18.6760959625244</v>
      </c>
    </row>
    <row r="1092" spans="1:23" ht="18.95" customHeight="1">
      <c r="A1092" s="4">
        <v>1088</v>
      </c>
      <c r="B1092" s="4">
        <v>23390</v>
      </c>
      <c r="C1092" s="4">
        <v>1</v>
      </c>
      <c r="D1092" s="6">
        <v>0</v>
      </c>
      <c r="E1092" s="6">
        <v>0</v>
      </c>
      <c r="F1092" s="6">
        <v>-16.25</v>
      </c>
      <c r="G1092" s="6">
        <v>-0.9375</v>
      </c>
      <c r="H1092" s="6">
        <v>-0.3125</v>
      </c>
      <c r="I1092" s="6">
        <v>1.4375</v>
      </c>
      <c r="J1092" s="6">
        <v>-2.1875</v>
      </c>
      <c r="K1092" s="6">
        <v>-17.5</v>
      </c>
      <c r="L1092" s="6">
        <v>-67.8125</v>
      </c>
      <c r="M1092" s="6">
        <v>0.625</v>
      </c>
      <c r="N1092" s="6">
        <v>-6.25E-2</v>
      </c>
      <c r="O1092" s="6">
        <v>0.5625</v>
      </c>
      <c r="P1092" s="6">
        <v>-2.1875</v>
      </c>
      <c r="Q1092" s="6">
        <v>-22.5</v>
      </c>
      <c r="R1092" s="6">
        <v>-0.43951058387756298</v>
      </c>
      <c r="S1092" s="6">
        <v>19.8158168792725</v>
      </c>
      <c r="T1092" s="6">
        <v>-8.4581971168518101E-3</v>
      </c>
      <c r="U1092" s="6">
        <v>1.26594018936157</v>
      </c>
      <c r="V1092" s="6">
        <v>-35.723281860351598</v>
      </c>
      <c r="W1092" s="6">
        <v>-18.661808013916001</v>
      </c>
    </row>
    <row r="1093" spans="1:23" ht="18.95" customHeight="1">
      <c r="A1093" s="4">
        <v>1089</v>
      </c>
      <c r="B1093" s="4">
        <v>23410</v>
      </c>
      <c r="C1093" s="4">
        <v>1</v>
      </c>
      <c r="D1093" s="6">
        <v>0</v>
      </c>
      <c r="E1093" s="6">
        <v>0</v>
      </c>
      <c r="F1093" s="6">
        <v>-19.125</v>
      </c>
      <c r="G1093" s="6">
        <v>6.25E-2</v>
      </c>
      <c r="H1093" s="6">
        <v>0.5625</v>
      </c>
      <c r="I1093" s="6">
        <v>1.4375</v>
      </c>
      <c r="J1093" s="6">
        <v>-2.1875</v>
      </c>
      <c r="K1093" s="6">
        <v>-17.125</v>
      </c>
      <c r="L1093" s="6">
        <v>-68.0625</v>
      </c>
      <c r="M1093" s="6">
        <v>0.5625</v>
      </c>
      <c r="N1093" s="6">
        <v>0.125</v>
      </c>
      <c r="O1093" s="6">
        <v>0.5625</v>
      </c>
      <c r="P1093" s="6">
        <v>-2.1875</v>
      </c>
      <c r="Q1093" s="6">
        <v>-21.1875</v>
      </c>
      <c r="R1093" s="6">
        <v>-1.70668649673462</v>
      </c>
      <c r="S1093" s="6">
        <v>24.136428833007798</v>
      </c>
      <c r="T1093" s="6">
        <v>-8.4581971168518101E-3</v>
      </c>
      <c r="U1093" s="6">
        <v>1.30401527881622</v>
      </c>
      <c r="V1093" s="6">
        <v>-35.331680297851598</v>
      </c>
      <c r="W1093" s="6">
        <v>-18.6573581695557</v>
      </c>
    </row>
    <row r="1094" spans="1:23" ht="18.95" customHeight="1">
      <c r="A1094" s="4">
        <v>1090</v>
      </c>
      <c r="B1094" s="4">
        <v>23437</v>
      </c>
      <c r="C1094" s="4">
        <v>1</v>
      </c>
      <c r="D1094" s="6">
        <v>0</v>
      </c>
      <c r="E1094" s="6">
        <v>0</v>
      </c>
      <c r="F1094" s="6">
        <v>-24.6875</v>
      </c>
      <c r="G1094" s="6">
        <v>-0.9375</v>
      </c>
      <c r="H1094" s="6">
        <v>-0.125</v>
      </c>
      <c r="I1094" s="6">
        <v>1.4375</v>
      </c>
      <c r="J1094" s="6">
        <v>-2.1875</v>
      </c>
      <c r="K1094" s="6">
        <v>-16.5</v>
      </c>
      <c r="L1094" s="6">
        <v>-71.6875</v>
      </c>
      <c r="M1094" s="6">
        <v>0.5625</v>
      </c>
      <c r="N1094" s="6">
        <v>-0.125</v>
      </c>
      <c r="O1094" s="6">
        <v>0.5</v>
      </c>
      <c r="P1094" s="6">
        <v>-2.1875</v>
      </c>
      <c r="Q1094" s="6">
        <v>-19.125</v>
      </c>
      <c r="R1094" s="6">
        <v>-0.83645725250244096</v>
      </c>
      <c r="S1094" s="6">
        <v>27.937953948974599</v>
      </c>
      <c r="T1094" s="6">
        <v>0.26635098457336398</v>
      </c>
      <c r="U1094" s="6">
        <v>1.27852129936218</v>
      </c>
      <c r="V1094" s="6">
        <v>-34.592960357666001</v>
      </c>
      <c r="W1094" s="6">
        <v>-18.649900436401399</v>
      </c>
    </row>
    <row r="1095" spans="1:23" ht="18.95" customHeight="1">
      <c r="A1095" s="4">
        <v>1091</v>
      </c>
      <c r="B1095" s="4">
        <v>23458</v>
      </c>
      <c r="C1095" s="4">
        <v>1</v>
      </c>
      <c r="D1095" s="6">
        <v>0</v>
      </c>
      <c r="E1095" s="6">
        <v>0</v>
      </c>
      <c r="F1095" s="6">
        <v>-27.8125</v>
      </c>
      <c r="G1095" s="6">
        <v>-0.1875</v>
      </c>
      <c r="H1095" s="6">
        <v>0.375</v>
      </c>
      <c r="I1095" s="6">
        <v>1.375</v>
      </c>
      <c r="J1095" s="6">
        <v>-2.1875</v>
      </c>
      <c r="K1095" s="6">
        <v>-15.9375</v>
      </c>
      <c r="L1095" s="6">
        <v>-72.125</v>
      </c>
      <c r="M1095" s="6">
        <v>0.875</v>
      </c>
      <c r="N1095" s="6">
        <v>6.25E-2</v>
      </c>
      <c r="O1095" s="6">
        <v>0.5</v>
      </c>
      <c r="P1095" s="6">
        <v>-2.1875</v>
      </c>
      <c r="Q1095" s="6">
        <v>-17.75</v>
      </c>
      <c r="R1095" s="6">
        <v>-0.82119011878967296</v>
      </c>
      <c r="S1095" s="6">
        <v>31.327268600463899</v>
      </c>
      <c r="T1095" s="6">
        <v>0.464824199676514</v>
      </c>
      <c r="U1095" s="6">
        <v>1.31045830249786</v>
      </c>
      <c r="V1095" s="6">
        <v>-33.928329467773402</v>
      </c>
      <c r="W1095" s="6">
        <v>-18.643774032592798</v>
      </c>
    </row>
    <row r="1096" spans="1:23" ht="18.95" customHeight="1">
      <c r="A1096" s="4">
        <v>1092</v>
      </c>
      <c r="B1096" s="4">
        <v>23478</v>
      </c>
      <c r="C1096" s="4">
        <v>1</v>
      </c>
      <c r="D1096" s="6">
        <v>0</v>
      </c>
      <c r="E1096" s="6">
        <v>0</v>
      </c>
      <c r="F1096" s="6">
        <v>-31.3125</v>
      </c>
      <c r="G1096" s="6">
        <v>-0.375</v>
      </c>
      <c r="H1096" s="6">
        <v>0.375</v>
      </c>
      <c r="I1096" s="6">
        <v>1.375</v>
      </c>
      <c r="J1096" s="6">
        <v>-2.1875</v>
      </c>
      <c r="K1096" s="6">
        <v>-15.375</v>
      </c>
      <c r="L1096" s="6">
        <v>-73.25</v>
      </c>
      <c r="M1096" s="6">
        <v>0.6875</v>
      </c>
      <c r="N1096" s="6">
        <v>0</v>
      </c>
      <c r="O1096" s="6">
        <v>0.4375</v>
      </c>
      <c r="P1096" s="6">
        <v>-2.1875</v>
      </c>
      <c r="Q1096" s="6">
        <v>-16.375</v>
      </c>
      <c r="R1096" s="6">
        <v>-1.2486710548400899</v>
      </c>
      <c r="S1096" s="6">
        <v>33.754745483398402</v>
      </c>
      <c r="T1096" s="6">
        <v>0.20528227090835599</v>
      </c>
      <c r="U1096" s="6">
        <v>1.3079209327697801</v>
      </c>
      <c r="V1096" s="6">
        <v>-33.332710266113303</v>
      </c>
      <c r="W1096" s="6">
        <v>-18.6404705047607</v>
      </c>
    </row>
    <row r="1097" spans="1:23" ht="18.95" customHeight="1">
      <c r="A1097" s="4">
        <v>1093</v>
      </c>
      <c r="B1097" s="4">
        <v>23499</v>
      </c>
      <c r="C1097" s="4">
        <v>1</v>
      </c>
      <c r="D1097" s="6">
        <v>0</v>
      </c>
      <c r="E1097" s="6">
        <v>0</v>
      </c>
      <c r="F1097" s="6">
        <v>-33.75</v>
      </c>
      <c r="G1097" s="6">
        <v>-0.5625</v>
      </c>
      <c r="H1097" s="6">
        <v>0</v>
      </c>
      <c r="I1097" s="6">
        <v>1.375</v>
      </c>
      <c r="J1097" s="6">
        <v>-2.1875</v>
      </c>
      <c r="K1097" s="6">
        <v>-14.75</v>
      </c>
      <c r="L1097" s="6">
        <v>-72.6875</v>
      </c>
      <c r="M1097" s="6">
        <v>0.5625</v>
      </c>
      <c r="N1097" s="6">
        <v>-0.1875</v>
      </c>
      <c r="O1097" s="6">
        <v>0.4375</v>
      </c>
      <c r="P1097" s="6">
        <v>-2.1875</v>
      </c>
      <c r="Q1097" s="6">
        <v>-14.9375</v>
      </c>
      <c r="R1097" s="6">
        <v>-0.76012134552001998</v>
      </c>
      <c r="S1097" s="6">
        <v>37.266197204589801</v>
      </c>
      <c r="T1097" s="6">
        <v>0.32741963863372803</v>
      </c>
      <c r="U1097" s="6">
        <v>1.2267507314682</v>
      </c>
      <c r="V1097" s="6">
        <v>-32.702220916747997</v>
      </c>
      <c r="W1097" s="6">
        <v>-18.637100219726602</v>
      </c>
    </row>
    <row r="1098" spans="1:23" ht="18.95" customHeight="1">
      <c r="A1098" s="4">
        <v>1094</v>
      </c>
      <c r="B1098" s="4">
        <v>23520</v>
      </c>
      <c r="C1098" s="4">
        <v>1</v>
      </c>
      <c r="D1098" s="6">
        <v>0</v>
      </c>
      <c r="E1098" s="6">
        <v>0</v>
      </c>
      <c r="F1098" s="6">
        <v>-36.8125</v>
      </c>
      <c r="G1098" s="6">
        <v>-0.9375</v>
      </c>
      <c r="H1098" s="6">
        <v>0</v>
      </c>
      <c r="I1098" s="6">
        <v>1.375</v>
      </c>
      <c r="J1098" s="6">
        <v>-2.1875</v>
      </c>
      <c r="K1098" s="6">
        <v>-14.0625</v>
      </c>
      <c r="L1098" s="6">
        <v>-73.8125</v>
      </c>
      <c r="M1098" s="6">
        <v>0.5625</v>
      </c>
      <c r="N1098" s="6">
        <v>-0.1875</v>
      </c>
      <c r="O1098" s="6">
        <v>0.375</v>
      </c>
      <c r="P1098" s="6">
        <v>-2.25</v>
      </c>
      <c r="Q1098" s="6">
        <v>-13.5</v>
      </c>
      <c r="R1098" s="6">
        <v>-0.40897631645202598</v>
      </c>
      <c r="S1098" s="6">
        <v>40.319633483886697</v>
      </c>
      <c r="T1098" s="6">
        <v>0.81596922874450695</v>
      </c>
      <c r="U1098" s="6">
        <v>1.16498482227325</v>
      </c>
      <c r="V1098" s="6">
        <v>-32.048297882080099</v>
      </c>
      <c r="W1098" s="6">
        <v>-18.629268646240199</v>
      </c>
    </row>
    <row r="1099" spans="1:23" ht="18.95" customHeight="1">
      <c r="A1099" s="4">
        <v>1095</v>
      </c>
      <c r="B1099" s="4">
        <v>23540</v>
      </c>
      <c r="C1099" s="4">
        <v>1</v>
      </c>
      <c r="D1099" s="6">
        <v>0</v>
      </c>
      <c r="E1099" s="6">
        <v>0</v>
      </c>
      <c r="F1099" s="6">
        <v>-40.125</v>
      </c>
      <c r="G1099" s="6">
        <v>-0.6875</v>
      </c>
      <c r="H1099" s="6">
        <v>0</v>
      </c>
      <c r="I1099" s="6">
        <v>1.375</v>
      </c>
      <c r="J1099" s="6">
        <v>-2.1875</v>
      </c>
      <c r="K1099" s="6">
        <v>-13.25</v>
      </c>
      <c r="L1099" s="6">
        <v>-74.5</v>
      </c>
      <c r="M1099" s="6">
        <v>0.625</v>
      </c>
      <c r="N1099" s="6">
        <v>0</v>
      </c>
      <c r="O1099" s="6">
        <v>0.3125</v>
      </c>
      <c r="P1099" s="6">
        <v>-2.25</v>
      </c>
      <c r="Q1099" s="6">
        <v>-11.375</v>
      </c>
      <c r="R1099" s="6">
        <v>-1.5540146827697801</v>
      </c>
      <c r="S1099" s="6">
        <v>43.235664367675803</v>
      </c>
      <c r="T1099" s="6">
        <v>0.128946363925934</v>
      </c>
      <c r="U1099" s="6">
        <v>1.17366099357605</v>
      </c>
      <c r="V1099" s="6">
        <v>-31.271568298339801</v>
      </c>
      <c r="W1099" s="6">
        <v>-18.628698348998999</v>
      </c>
    </row>
    <row r="1100" spans="1:23" ht="18.95" customHeight="1">
      <c r="A1100" s="4">
        <v>1096</v>
      </c>
      <c r="B1100" s="4">
        <v>23561</v>
      </c>
      <c r="C1100" s="4">
        <v>1</v>
      </c>
      <c r="D1100" s="6">
        <v>0</v>
      </c>
      <c r="E1100" s="6">
        <v>0</v>
      </c>
      <c r="F1100" s="6">
        <v>-43.25</v>
      </c>
      <c r="G1100" s="6">
        <v>-0.875</v>
      </c>
      <c r="H1100" s="6">
        <v>-0.25</v>
      </c>
      <c r="I1100" s="6">
        <v>1.3125</v>
      </c>
      <c r="J1100" s="6">
        <v>-2.125</v>
      </c>
      <c r="K1100" s="6">
        <v>-12.4375</v>
      </c>
      <c r="L1100" s="6">
        <v>-74.875</v>
      </c>
      <c r="M1100" s="6">
        <v>0.625</v>
      </c>
      <c r="N1100" s="6">
        <v>-0.1875</v>
      </c>
      <c r="O1100" s="6">
        <v>0.3125</v>
      </c>
      <c r="P1100" s="6">
        <v>-2.25</v>
      </c>
      <c r="Q1100" s="6">
        <v>-10.625</v>
      </c>
      <c r="R1100" s="6">
        <v>-1.8440909385681199</v>
      </c>
      <c r="S1100" s="6">
        <v>46.716583251953097</v>
      </c>
      <c r="T1100" s="6">
        <v>-0.35960325598716703</v>
      </c>
      <c r="U1100" s="6">
        <v>1.1542820930480999</v>
      </c>
      <c r="V1100" s="6">
        <v>-30.4517726898193</v>
      </c>
      <c r="W1100" s="6">
        <v>-18.634330749511701</v>
      </c>
    </row>
    <row r="1101" spans="1:23" ht="18.95" customHeight="1">
      <c r="A1101" s="4">
        <v>1097</v>
      </c>
      <c r="B1101" s="4">
        <v>23582</v>
      </c>
      <c r="C1101" s="4">
        <v>1</v>
      </c>
      <c r="D1101" s="6">
        <v>0</v>
      </c>
      <c r="E1101" s="6">
        <v>0</v>
      </c>
      <c r="F1101" s="6">
        <v>-46.625</v>
      </c>
      <c r="G1101" s="6">
        <v>-1</v>
      </c>
      <c r="H1101" s="6">
        <v>-0.3125</v>
      </c>
      <c r="I1101" s="6">
        <v>1.3125</v>
      </c>
      <c r="J1101" s="6">
        <v>-2.125</v>
      </c>
      <c r="K1101" s="6">
        <v>-11.5625</v>
      </c>
      <c r="L1101" s="6">
        <v>-75.5</v>
      </c>
      <c r="M1101" s="6">
        <v>0.625</v>
      </c>
      <c r="N1101" s="6">
        <v>-6.25E-2</v>
      </c>
      <c r="O1101" s="6">
        <v>0.3125</v>
      </c>
      <c r="P1101" s="6">
        <v>-2.25</v>
      </c>
      <c r="Q1101" s="6">
        <v>-8.4375</v>
      </c>
      <c r="R1101" s="6">
        <v>-1.44714450836182</v>
      </c>
      <c r="S1101" s="6">
        <v>49.693679809570298</v>
      </c>
      <c r="T1101" s="6">
        <v>0.26635098457336398</v>
      </c>
      <c r="U1101" s="6">
        <v>1.1051832437515301</v>
      </c>
      <c r="V1101" s="6">
        <v>-29.508853912353501</v>
      </c>
      <c r="W1101" s="6">
        <v>-18.634881973266602</v>
      </c>
    </row>
    <row r="1102" spans="1:23" ht="18.95" customHeight="1">
      <c r="A1102" s="4">
        <v>1098</v>
      </c>
      <c r="B1102" s="4">
        <v>23604</v>
      </c>
      <c r="C1102" s="4">
        <v>1</v>
      </c>
      <c r="D1102" s="6">
        <v>0</v>
      </c>
      <c r="E1102" s="6">
        <v>0</v>
      </c>
      <c r="F1102" s="6">
        <v>-49.625</v>
      </c>
      <c r="G1102" s="6">
        <v>-1.0625</v>
      </c>
      <c r="H1102" s="6">
        <v>-0.375</v>
      </c>
      <c r="I1102" s="6">
        <v>1.3125</v>
      </c>
      <c r="J1102" s="6">
        <v>-2.125</v>
      </c>
      <c r="K1102" s="6">
        <v>-10.625</v>
      </c>
      <c r="L1102" s="6">
        <v>-75.3125</v>
      </c>
      <c r="M1102" s="6">
        <v>0.625</v>
      </c>
      <c r="N1102" s="6">
        <v>0</v>
      </c>
      <c r="O1102" s="6">
        <v>0.25</v>
      </c>
      <c r="P1102" s="6">
        <v>-2.25</v>
      </c>
      <c r="Q1102" s="6">
        <v>-7</v>
      </c>
      <c r="R1102" s="6">
        <v>-1.5234799385070801</v>
      </c>
      <c r="S1102" s="6">
        <v>54.121162414550803</v>
      </c>
      <c r="T1102" s="6">
        <v>-5.4259717464447001E-2</v>
      </c>
      <c r="U1102" s="6">
        <v>1.0934089422226001</v>
      </c>
      <c r="V1102" s="6">
        <v>-28.565139770507798</v>
      </c>
      <c r="W1102" s="6">
        <v>-18.621099472045898</v>
      </c>
    </row>
    <row r="1103" spans="1:23" ht="18.95" customHeight="1">
      <c r="A1103" s="4">
        <v>1099</v>
      </c>
      <c r="B1103" s="4">
        <v>23624</v>
      </c>
      <c r="C1103" s="4">
        <v>1</v>
      </c>
      <c r="D1103" s="6">
        <v>0</v>
      </c>
      <c r="E1103" s="6">
        <v>0</v>
      </c>
      <c r="F1103" s="6">
        <v>-53</v>
      </c>
      <c r="G1103" s="6">
        <v>-0.9375</v>
      </c>
      <c r="H1103" s="6">
        <v>-6.25E-2</v>
      </c>
      <c r="I1103" s="6">
        <v>1.3125</v>
      </c>
      <c r="J1103" s="6">
        <v>-2.0625</v>
      </c>
      <c r="K1103" s="6">
        <v>-9.625</v>
      </c>
      <c r="L1103" s="6">
        <v>-76.375</v>
      </c>
      <c r="M1103" s="6">
        <v>0.9375</v>
      </c>
      <c r="N1103" s="6">
        <v>-0.1875</v>
      </c>
      <c r="O1103" s="6">
        <v>0.25</v>
      </c>
      <c r="P1103" s="6">
        <v>-2.3125</v>
      </c>
      <c r="Q1103" s="6">
        <v>-5.5</v>
      </c>
      <c r="R1103" s="6">
        <v>-2.3784418106079102</v>
      </c>
      <c r="S1103" s="6">
        <v>55.464675903320298</v>
      </c>
      <c r="T1103" s="6">
        <v>-0.43593913316726701</v>
      </c>
      <c r="U1103" s="6">
        <v>1.112548828125</v>
      </c>
      <c r="V1103" s="6">
        <v>-27.4499320983887</v>
      </c>
      <c r="W1103" s="6">
        <v>-18.620796203613299</v>
      </c>
    </row>
    <row r="1104" spans="1:23" ht="18.95" customHeight="1">
      <c r="A1104" s="4">
        <v>1100</v>
      </c>
      <c r="B1104" s="4">
        <v>23645</v>
      </c>
      <c r="C1104" s="4">
        <v>1</v>
      </c>
      <c r="D1104" s="6">
        <v>0</v>
      </c>
      <c r="E1104" s="6">
        <v>0</v>
      </c>
      <c r="F1104" s="6">
        <v>-56.0625</v>
      </c>
      <c r="G1104" s="6">
        <v>-1.0625</v>
      </c>
      <c r="H1104" s="6">
        <v>-0.5</v>
      </c>
      <c r="I1104" s="6">
        <v>1.25</v>
      </c>
      <c r="J1104" s="6">
        <v>-2.0625</v>
      </c>
      <c r="K1104" s="6">
        <v>-8.5</v>
      </c>
      <c r="L1104" s="6">
        <v>-74.1875</v>
      </c>
      <c r="M1104" s="6">
        <v>0.3125</v>
      </c>
      <c r="N1104" s="6">
        <v>0.1875</v>
      </c>
      <c r="O1104" s="6">
        <v>0.1875</v>
      </c>
      <c r="P1104" s="6">
        <v>-2.3125</v>
      </c>
      <c r="Q1104" s="6">
        <v>-4.0625</v>
      </c>
      <c r="R1104" s="6">
        <v>-1.47767877578735</v>
      </c>
      <c r="S1104" s="6">
        <v>58.136428833007798</v>
      </c>
      <c r="T1104" s="6">
        <v>-0.206931471824646</v>
      </c>
      <c r="U1104" s="6">
        <v>1.0033930540084799</v>
      </c>
      <c r="V1104" s="6">
        <v>-26.4129333496094</v>
      </c>
      <c r="W1104" s="6">
        <v>-18.62424659729</v>
      </c>
    </row>
    <row r="1105" spans="1:23" ht="18.95" customHeight="1">
      <c r="A1105" s="4">
        <v>1101</v>
      </c>
      <c r="B1105" s="4">
        <v>23665</v>
      </c>
      <c r="C1105" s="4">
        <v>1</v>
      </c>
      <c r="D1105" s="6">
        <v>0</v>
      </c>
      <c r="E1105" s="6">
        <v>0</v>
      </c>
      <c r="F1105" s="6">
        <v>-58.375</v>
      </c>
      <c r="G1105" s="6">
        <v>-1.5</v>
      </c>
      <c r="H1105" s="6">
        <v>-0.625</v>
      </c>
      <c r="I1105" s="6">
        <v>1.25</v>
      </c>
      <c r="J1105" s="6">
        <v>-2.0625</v>
      </c>
      <c r="K1105" s="6">
        <v>-7.375</v>
      </c>
      <c r="L1105" s="6">
        <v>-74.125</v>
      </c>
      <c r="M1105" s="6">
        <v>0.8125</v>
      </c>
      <c r="N1105" s="6">
        <v>0.1875</v>
      </c>
      <c r="O1105" s="6">
        <v>0.1875</v>
      </c>
      <c r="P1105" s="6">
        <v>-2.3125</v>
      </c>
      <c r="Q1105" s="6">
        <v>-2.625</v>
      </c>
      <c r="R1105" s="6">
        <v>-2.04256391525269</v>
      </c>
      <c r="S1105" s="6">
        <v>59.464675903320298</v>
      </c>
      <c r="T1105" s="6">
        <v>0.15948075056076</v>
      </c>
      <c r="U1105" s="6">
        <v>1.0059163570404099</v>
      </c>
      <c r="V1105" s="6">
        <v>-25.212720870971701</v>
      </c>
      <c r="W1105" s="6">
        <v>-18.618080139160199</v>
      </c>
    </row>
    <row r="1106" spans="1:23" ht="18.95" customHeight="1">
      <c r="A1106" s="4">
        <v>1102</v>
      </c>
      <c r="B1106" s="4">
        <v>23685</v>
      </c>
      <c r="C1106" s="4">
        <v>0</v>
      </c>
      <c r="D1106" s="6">
        <v>0</v>
      </c>
      <c r="E1106" s="6">
        <v>0</v>
      </c>
      <c r="F1106" s="6">
        <v>-60.125</v>
      </c>
      <c r="G1106" s="6">
        <v>-1.0625</v>
      </c>
      <c r="H1106" s="6">
        <v>-0.4375</v>
      </c>
      <c r="I1106" s="6">
        <v>1.25</v>
      </c>
      <c r="J1106" s="6">
        <v>-2</v>
      </c>
      <c r="K1106" s="6">
        <v>-6.25</v>
      </c>
      <c r="L1106" s="6">
        <v>-70.0625</v>
      </c>
      <c r="M1106" s="6">
        <v>0.5</v>
      </c>
      <c r="N1106" s="6">
        <v>6.25E-2</v>
      </c>
      <c r="O1106" s="6">
        <v>0.125</v>
      </c>
      <c r="P1106" s="6">
        <v>-2.3125</v>
      </c>
      <c r="Q1106" s="6">
        <v>-1.25</v>
      </c>
      <c r="R1106" s="6">
        <v>-1.8593578338623</v>
      </c>
      <c r="S1106" s="6">
        <v>62.121162414550803</v>
      </c>
      <c r="T1106" s="6">
        <v>0.49535858631134</v>
      </c>
      <c r="U1106" s="6">
        <v>0.88840943574905396</v>
      </c>
      <c r="V1106" s="6">
        <v>-24.232154846191399</v>
      </c>
      <c r="W1106" s="6">
        <v>-18.622432708740199</v>
      </c>
    </row>
    <row r="1107" spans="1:23" ht="18.95" customHeight="1">
      <c r="A1107" s="4">
        <v>1103</v>
      </c>
      <c r="B1107" s="4">
        <v>23705</v>
      </c>
      <c r="C1107" s="4">
        <v>0</v>
      </c>
      <c r="D1107" s="6">
        <v>0</v>
      </c>
      <c r="E1107" s="6">
        <v>0</v>
      </c>
      <c r="F1107" s="6">
        <v>-61.6875</v>
      </c>
      <c r="G1107" s="6">
        <v>-1.4375</v>
      </c>
      <c r="H1107" s="6">
        <v>-0.875</v>
      </c>
      <c r="I1107" s="6">
        <v>1.25</v>
      </c>
      <c r="J1107" s="6">
        <v>-2</v>
      </c>
      <c r="K1107" s="6">
        <v>-4.4375</v>
      </c>
      <c r="L1107" s="6">
        <v>-69.125</v>
      </c>
      <c r="M1107" s="6">
        <v>0.5625</v>
      </c>
      <c r="N1107" s="6">
        <v>-6.25E-2</v>
      </c>
      <c r="O1107" s="6">
        <v>0.125</v>
      </c>
      <c r="P1107" s="6">
        <v>-2.3125</v>
      </c>
      <c r="Q1107" s="6">
        <v>0</v>
      </c>
      <c r="R1107" s="6">
        <v>-2.3479075431823699</v>
      </c>
      <c r="S1107" s="6">
        <v>62.762382507324197</v>
      </c>
      <c r="T1107" s="6">
        <v>0.35795402526855502</v>
      </c>
      <c r="U1107" s="6">
        <v>0.87216162681579601</v>
      </c>
      <c r="V1107" s="6">
        <v>-22.913934707641602</v>
      </c>
      <c r="W1107" s="6">
        <v>-18.6255798339844</v>
      </c>
    </row>
    <row r="1108" spans="1:23" ht="18.95" customHeight="1">
      <c r="A1108" s="4">
        <v>1104</v>
      </c>
      <c r="B1108" s="4">
        <v>23726</v>
      </c>
      <c r="C1108" s="4">
        <v>0</v>
      </c>
      <c r="D1108" s="6">
        <v>0</v>
      </c>
      <c r="E1108" s="6">
        <v>0</v>
      </c>
      <c r="F1108" s="6">
        <v>-64.3125</v>
      </c>
      <c r="G1108" s="6">
        <v>-1.25</v>
      </c>
      <c r="H1108" s="6">
        <v>-0.625</v>
      </c>
      <c r="I1108" s="6">
        <v>1.1875</v>
      </c>
      <c r="J1108" s="6">
        <v>-2</v>
      </c>
      <c r="K1108" s="6">
        <v>-3.8125</v>
      </c>
      <c r="L1108" s="6">
        <v>-66.125</v>
      </c>
      <c r="M1108" s="6">
        <v>0.5</v>
      </c>
      <c r="N1108" s="6">
        <v>0</v>
      </c>
      <c r="O1108" s="6">
        <v>6.25E-2</v>
      </c>
      <c r="P1108" s="6">
        <v>-2.3125</v>
      </c>
      <c r="Q1108" s="6">
        <v>1.3125</v>
      </c>
      <c r="R1108" s="6">
        <v>-1.6914191246032699</v>
      </c>
      <c r="S1108" s="6">
        <v>65.052459716796903</v>
      </c>
      <c r="T1108" s="6">
        <v>-8.4794104099273696E-2</v>
      </c>
      <c r="U1108" s="6">
        <v>0.78936237096786499</v>
      </c>
      <c r="V1108" s="6">
        <v>-21.615577697753899</v>
      </c>
      <c r="W1108" s="6">
        <v>-18.624925613403299</v>
      </c>
    </row>
    <row r="1109" spans="1:23" ht="18.95" customHeight="1">
      <c r="A1109" s="4">
        <v>1105</v>
      </c>
      <c r="B1109" s="4">
        <v>23748</v>
      </c>
      <c r="C1109" s="4">
        <v>0</v>
      </c>
      <c r="D1109" s="6">
        <v>0</v>
      </c>
      <c r="E1109" s="6">
        <v>0</v>
      </c>
      <c r="F1109" s="6">
        <v>-66.4375</v>
      </c>
      <c r="G1109" s="6">
        <v>-1.25</v>
      </c>
      <c r="H1109" s="6">
        <v>-0.5625</v>
      </c>
      <c r="I1109" s="6">
        <v>1.1875</v>
      </c>
      <c r="J1109" s="6">
        <v>-1.9375</v>
      </c>
      <c r="K1109" s="6">
        <v>-1.9375</v>
      </c>
      <c r="L1109" s="6">
        <v>-63.5</v>
      </c>
      <c r="M1109" s="6">
        <v>0.6875</v>
      </c>
      <c r="N1109" s="6">
        <v>0.125</v>
      </c>
      <c r="O1109" s="6">
        <v>6.25E-2</v>
      </c>
      <c r="P1109" s="6">
        <v>-2.3125</v>
      </c>
      <c r="Q1109" s="6">
        <v>2.5625</v>
      </c>
      <c r="R1109" s="6">
        <v>-2.5616478919982901</v>
      </c>
      <c r="S1109" s="6">
        <v>64.502838134765597</v>
      </c>
      <c r="T1109" s="6">
        <v>0.31215250492095897</v>
      </c>
      <c r="U1109" s="6">
        <v>0.82758992910385099</v>
      </c>
      <c r="V1109" s="6">
        <v>-19.88108253479</v>
      </c>
      <c r="W1109" s="6">
        <v>-18.627113342285199</v>
      </c>
    </row>
    <row r="1110" spans="1:23" ht="18.95" customHeight="1">
      <c r="A1110" s="4">
        <v>1106</v>
      </c>
      <c r="B1110" s="4">
        <v>23768</v>
      </c>
      <c r="C1110" s="4">
        <v>0</v>
      </c>
      <c r="D1110" s="6">
        <v>0</v>
      </c>
      <c r="E1110" s="6">
        <v>0</v>
      </c>
      <c r="F1110" s="6">
        <v>-67.125</v>
      </c>
      <c r="G1110" s="6">
        <v>-0.875</v>
      </c>
      <c r="H1110" s="6">
        <v>-0.4375</v>
      </c>
      <c r="I1110" s="6">
        <v>1.1875</v>
      </c>
      <c r="J1110" s="6">
        <v>-1.9375</v>
      </c>
      <c r="K1110" s="6">
        <v>-0.625</v>
      </c>
      <c r="L1110" s="6">
        <v>-59</v>
      </c>
      <c r="M1110" s="6">
        <v>0.5</v>
      </c>
      <c r="N1110" s="6">
        <v>0</v>
      </c>
      <c r="O1110" s="6">
        <v>0</v>
      </c>
      <c r="P1110" s="6">
        <v>-2.3125</v>
      </c>
      <c r="Q1110" s="6">
        <v>3.75</v>
      </c>
      <c r="R1110" s="6">
        <v>-1.92042684555054</v>
      </c>
      <c r="S1110" s="6">
        <v>66.472305297851605</v>
      </c>
      <c r="T1110" s="6">
        <v>0.144213557243347</v>
      </c>
      <c r="U1110" s="6">
        <v>0.69270491600036599</v>
      </c>
      <c r="V1110" s="6">
        <v>-18.8446445465088</v>
      </c>
      <c r="W1110" s="6">
        <v>-18.627197265625</v>
      </c>
    </row>
    <row r="1111" spans="1:23" ht="18.95" customHeight="1">
      <c r="A1111" s="4">
        <v>1107</v>
      </c>
      <c r="B1111" s="4">
        <v>23789</v>
      </c>
      <c r="C1111" s="4">
        <v>1</v>
      </c>
      <c r="D1111" s="6">
        <v>0</v>
      </c>
      <c r="E1111" s="6">
        <v>0</v>
      </c>
      <c r="F1111" s="6">
        <v>-68.6875</v>
      </c>
      <c r="G1111" s="6">
        <v>-0.75</v>
      </c>
      <c r="H1111" s="6">
        <v>-0.5</v>
      </c>
      <c r="I1111" s="6">
        <v>1.125</v>
      </c>
      <c r="J1111" s="6">
        <v>-1.875</v>
      </c>
      <c r="K1111" s="6">
        <v>0.625</v>
      </c>
      <c r="L1111" s="6">
        <v>-55.25</v>
      </c>
      <c r="M1111" s="6">
        <v>0.4375</v>
      </c>
      <c r="N1111" s="6">
        <v>0</v>
      </c>
      <c r="O1111" s="6">
        <v>0</v>
      </c>
      <c r="P1111" s="6">
        <v>-2.3125</v>
      </c>
      <c r="Q1111" s="6">
        <v>4.8125</v>
      </c>
      <c r="R1111" s="6">
        <v>-2.3631749153137198</v>
      </c>
      <c r="S1111" s="6">
        <v>64.716583251953097</v>
      </c>
      <c r="T1111" s="6">
        <v>0.32741963863372803</v>
      </c>
      <c r="U1111" s="6">
        <v>0.77017909288406405</v>
      </c>
      <c r="V1111" s="6">
        <v>-16.813899993896499</v>
      </c>
      <c r="W1111" s="6">
        <v>-18.6297798156738</v>
      </c>
    </row>
    <row r="1112" spans="1:23" ht="18.95" customHeight="1">
      <c r="A1112" s="4">
        <v>1108</v>
      </c>
      <c r="B1112" s="4">
        <v>23811</v>
      </c>
      <c r="C1112" s="4">
        <v>1</v>
      </c>
      <c r="D1112" s="6">
        <v>0</v>
      </c>
      <c r="E1112" s="6">
        <v>0</v>
      </c>
      <c r="F1112" s="6">
        <v>-66.75</v>
      </c>
      <c r="G1112" s="6">
        <v>-1.625</v>
      </c>
      <c r="H1112" s="6">
        <v>-0.4375</v>
      </c>
      <c r="I1112" s="6">
        <v>1.125</v>
      </c>
      <c r="J1112" s="6">
        <v>-1.875</v>
      </c>
      <c r="K1112" s="6">
        <v>1.9375</v>
      </c>
      <c r="L1112" s="6">
        <v>-50.3125</v>
      </c>
      <c r="M1112" s="6">
        <v>0.625</v>
      </c>
      <c r="N1112" s="6">
        <v>-6.25E-2</v>
      </c>
      <c r="O1112" s="6">
        <v>0</v>
      </c>
      <c r="P1112" s="6">
        <v>-2.375</v>
      </c>
      <c r="Q1112" s="6">
        <v>5.8125</v>
      </c>
      <c r="R1112" s="6">
        <v>-1.8746252059936499</v>
      </c>
      <c r="S1112" s="6">
        <v>64.792915344238295</v>
      </c>
      <c r="T1112" s="6">
        <v>-0.58861088752746604</v>
      </c>
      <c r="U1112" s="6">
        <v>0.58021098375320401</v>
      </c>
      <c r="V1112" s="6">
        <v>-15.4602241516113</v>
      </c>
      <c r="W1112" s="6">
        <v>-18.6421813964844</v>
      </c>
    </row>
    <row r="1113" spans="1:23" ht="18.95" customHeight="1">
      <c r="A1113" s="4">
        <v>1109</v>
      </c>
      <c r="B1113" s="4">
        <v>23837</v>
      </c>
      <c r="C1113" s="4">
        <v>1</v>
      </c>
      <c r="D1113" s="6">
        <v>0</v>
      </c>
      <c r="E1113" s="6">
        <v>0</v>
      </c>
      <c r="F1113" s="6">
        <v>-66.4375</v>
      </c>
      <c r="G1113" s="6">
        <v>-1.1875</v>
      </c>
      <c r="H1113" s="6">
        <v>-1.0625</v>
      </c>
      <c r="I1113" s="6">
        <v>1.125</v>
      </c>
      <c r="J1113" s="6">
        <v>-1.8125</v>
      </c>
      <c r="K1113" s="6">
        <v>3.875</v>
      </c>
      <c r="L1113" s="6">
        <v>-42.6875</v>
      </c>
      <c r="M1113" s="6">
        <v>0.6875</v>
      </c>
      <c r="N1113" s="6">
        <v>-0.375</v>
      </c>
      <c r="O1113" s="6">
        <v>359.9375</v>
      </c>
      <c r="P1113" s="6">
        <v>-2.375</v>
      </c>
      <c r="Q1113" s="6">
        <v>7.125</v>
      </c>
      <c r="R1113" s="6">
        <v>-2.51584672927856</v>
      </c>
      <c r="S1113" s="6">
        <v>60.869255065917997</v>
      </c>
      <c r="T1113" s="6">
        <v>-0.23746582865714999</v>
      </c>
      <c r="U1113" s="6">
        <v>0.55165028572082497</v>
      </c>
      <c r="V1113" s="6">
        <v>-13.8731899261475</v>
      </c>
      <c r="W1113" s="6">
        <v>-18.6483554840088</v>
      </c>
    </row>
    <row r="1114" spans="1:23" ht="18.95" customHeight="1">
      <c r="A1114" s="4">
        <v>1110</v>
      </c>
      <c r="B1114" s="4">
        <v>23858</v>
      </c>
      <c r="C1114" s="4">
        <v>1</v>
      </c>
      <c r="D1114" s="6">
        <v>0</v>
      </c>
      <c r="E1114" s="6">
        <v>0</v>
      </c>
      <c r="F1114" s="6">
        <v>-63.5</v>
      </c>
      <c r="G1114" s="6">
        <v>-1.375</v>
      </c>
      <c r="H1114" s="6">
        <v>-0.25</v>
      </c>
      <c r="I1114" s="6">
        <v>1.125</v>
      </c>
      <c r="J1114" s="6">
        <v>-1.8125</v>
      </c>
      <c r="K1114" s="6">
        <v>5.0625</v>
      </c>
      <c r="L1114" s="6">
        <v>-35</v>
      </c>
      <c r="M1114" s="6">
        <v>-6.25E-2</v>
      </c>
      <c r="N1114" s="6">
        <v>0.1875</v>
      </c>
      <c r="O1114" s="6">
        <v>359.9375</v>
      </c>
      <c r="P1114" s="6">
        <v>-2.375</v>
      </c>
      <c r="Q1114" s="6">
        <v>7.8125</v>
      </c>
      <c r="R1114" s="6">
        <v>-1.79828929901123</v>
      </c>
      <c r="S1114" s="6">
        <v>60.747116088867202</v>
      </c>
      <c r="T1114" s="6">
        <v>-0.43593913316726701</v>
      </c>
      <c r="U1114" s="6">
        <v>0.513885498046875</v>
      </c>
      <c r="V1114" s="6">
        <v>-12.4481449127197</v>
      </c>
      <c r="W1114" s="6">
        <v>-18.6569309234619</v>
      </c>
    </row>
    <row r="1115" spans="1:23" ht="18.95" customHeight="1">
      <c r="A1115" s="4">
        <v>1111</v>
      </c>
      <c r="B1115" s="4">
        <v>23880</v>
      </c>
      <c r="C1115" s="4">
        <v>1</v>
      </c>
      <c r="D1115" s="6">
        <v>0</v>
      </c>
      <c r="E1115" s="6">
        <v>0</v>
      </c>
      <c r="F1115" s="6">
        <v>-61.875</v>
      </c>
      <c r="G1115" s="6">
        <v>-1.3125</v>
      </c>
      <c r="H1115" s="6">
        <v>-1.0625</v>
      </c>
      <c r="I1115" s="6">
        <v>1.125</v>
      </c>
      <c r="J1115" s="6">
        <v>-1.75</v>
      </c>
      <c r="K1115" s="6">
        <v>6.3125</v>
      </c>
      <c r="L1115" s="6">
        <v>-31</v>
      </c>
      <c r="M1115" s="6">
        <v>0.625</v>
      </c>
      <c r="N1115" s="6">
        <v>-0.4375</v>
      </c>
      <c r="O1115" s="6">
        <v>359.9375</v>
      </c>
      <c r="P1115" s="6">
        <v>-2.375</v>
      </c>
      <c r="Q1115" s="6">
        <v>8.4375</v>
      </c>
      <c r="R1115" s="6">
        <v>-2.3479075431823699</v>
      </c>
      <c r="S1115" s="6">
        <v>57.495208740234403</v>
      </c>
      <c r="T1115" s="6">
        <v>-0.25273302197456399</v>
      </c>
      <c r="U1115" s="6">
        <v>0.41601303219795199</v>
      </c>
      <c r="V1115" s="6">
        <v>-10.9148454666138</v>
      </c>
      <c r="W1115" s="6">
        <v>-18.6552848815918</v>
      </c>
    </row>
    <row r="1116" spans="1:23" ht="18.95" customHeight="1">
      <c r="A1116" s="4">
        <v>1112</v>
      </c>
      <c r="B1116" s="4">
        <v>23902</v>
      </c>
      <c r="C1116" s="4">
        <v>1</v>
      </c>
      <c r="D1116" s="6">
        <v>0</v>
      </c>
      <c r="E1116" s="6">
        <v>0</v>
      </c>
      <c r="F1116" s="6">
        <v>-59.4375</v>
      </c>
      <c r="G1116" s="6">
        <v>-1.4375</v>
      </c>
      <c r="H1116" s="6">
        <v>-0.875</v>
      </c>
      <c r="I1116" s="6">
        <v>1.125</v>
      </c>
      <c r="J1116" s="6">
        <v>-1.75</v>
      </c>
      <c r="K1116" s="6">
        <v>7.4375</v>
      </c>
      <c r="L1116" s="6">
        <v>-23.8125</v>
      </c>
      <c r="M1116" s="6">
        <v>-0.1875</v>
      </c>
      <c r="N1116" s="6">
        <v>0.25</v>
      </c>
      <c r="O1116" s="6">
        <v>359.9375</v>
      </c>
      <c r="P1116" s="6">
        <v>-2.375</v>
      </c>
      <c r="Q1116" s="6">
        <v>9</v>
      </c>
      <c r="R1116" s="6">
        <v>-1.889892578125</v>
      </c>
      <c r="S1116" s="6">
        <v>55.678413391113303</v>
      </c>
      <c r="T1116" s="6">
        <v>0.20528227090835599</v>
      </c>
      <c r="U1116" s="6">
        <v>0.45496231317520103</v>
      </c>
      <c r="V1116" s="6">
        <v>-9.4278821945190394</v>
      </c>
      <c r="W1116" s="6">
        <v>-18.659843444824201</v>
      </c>
    </row>
    <row r="1117" spans="1:23" ht="18.95" customHeight="1">
      <c r="A1117" s="4">
        <v>1113</v>
      </c>
      <c r="B1117" s="4">
        <v>23923</v>
      </c>
      <c r="C1117" s="4">
        <v>1</v>
      </c>
      <c r="D1117" s="6">
        <v>0</v>
      </c>
      <c r="E1117" s="6">
        <v>0</v>
      </c>
      <c r="F1117" s="6">
        <v>-57.375</v>
      </c>
      <c r="G1117" s="6">
        <v>-1.4375</v>
      </c>
      <c r="H1117" s="6">
        <v>-0.75</v>
      </c>
      <c r="I1117" s="6">
        <v>1.125</v>
      </c>
      <c r="J1117" s="6">
        <v>-1.75</v>
      </c>
      <c r="K1117" s="6">
        <v>8.5625</v>
      </c>
      <c r="L1117" s="6">
        <v>-18.875</v>
      </c>
      <c r="M1117" s="6">
        <v>0.4375</v>
      </c>
      <c r="N1117" s="6">
        <v>6.25E-2</v>
      </c>
      <c r="O1117" s="6">
        <v>359.9375</v>
      </c>
      <c r="P1117" s="6">
        <v>-2.375</v>
      </c>
      <c r="Q1117" s="6">
        <v>9.75</v>
      </c>
      <c r="R1117" s="6">
        <v>-1.9662284851074201</v>
      </c>
      <c r="S1117" s="6">
        <v>52.640243530273402</v>
      </c>
      <c r="T1117" s="6">
        <v>0.128946363925934</v>
      </c>
      <c r="U1117" s="6">
        <v>0.36028850078582803</v>
      </c>
      <c r="V1117" s="6">
        <v>-8.2674827575683594</v>
      </c>
      <c r="W1117" s="6">
        <v>-18.6664714813232</v>
      </c>
    </row>
    <row r="1118" spans="1:23" ht="18.95" customHeight="1">
      <c r="A1118" s="4">
        <v>1114</v>
      </c>
      <c r="B1118" s="4">
        <v>23944</v>
      </c>
      <c r="C1118" s="4">
        <v>1</v>
      </c>
      <c r="D1118" s="6">
        <v>0</v>
      </c>
      <c r="E1118" s="6">
        <v>0</v>
      </c>
      <c r="F1118" s="6">
        <v>-54.5</v>
      </c>
      <c r="G1118" s="6">
        <v>-1.25</v>
      </c>
      <c r="H1118" s="6">
        <v>-0.75</v>
      </c>
      <c r="I1118" s="6">
        <v>1.125</v>
      </c>
      <c r="J1118" s="6">
        <v>-1.6875</v>
      </c>
      <c r="K1118" s="6">
        <v>9.625</v>
      </c>
      <c r="L1118" s="6">
        <v>-10.375</v>
      </c>
      <c r="M1118" s="6">
        <v>0.125</v>
      </c>
      <c r="N1118" s="6">
        <v>0</v>
      </c>
      <c r="O1118" s="6">
        <v>359.9375</v>
      </c>
      <c r="P1118" s="6">
        <v>-2.4375</v>
      </c>
      <c r="Q1118" s="6">
        <v>10</v>
      </c>
      <c r="R1118" s="6">
        <v>-2.13416719436646</v>
      </c>
      <c r="S1118" s="6">
        <v>51.510475158691399</v>
      </c>
      <c r="T1118" s="6">
        <v>-0.115328431129456</v>
      </c>
      <c r="U1118" s="6">
        <v>0.42916932702064498</v>
      </c>
      <c r="V1118" s="6">
        <v>-7.0193009376525897</v>
      </c>
      <c r="W1118" s="6">
        <v>-18.667890548706101</v>
      </c>
    </row>
    <row r="1119" spans="1:23" ht="18.95" customHeight="1">
      <c r="A1119" s="4">
        <v>1115</v>
      </c>
      <c r="B1119" s="4">
        <v>23965</v>
      </c>
      <c r="C1119" s="4">
        <v>1</v>
      </c>
      <c r="D1119" s="6">
        <v>0</v>
      </c>
      <c r="E1119" s="6">
        <v>0</v>
      </c>
      <c r="F1119" s="6">
        <v>-53.5625</v>
      </c>
      <c r="G1119" s="6">
        <v>-1.125</v>
      </c>
      <c r="H1119" s="6">
        <v>-0.625</v>
      </c>
      <c r="I1119" s="6">
        <v>1.0625</v>
      </c>
      <c r="J1119" s="6">
        <v>-1.6875</v>
      </c>
      <c r="K1119" s="6">
        <v>10.6875</v>
      </c>
      <c r="L1119" s="6">
        <v>-7.875</v>
      </c>
      <c r="M1119" s="6">
        <v>0.25</v>
      </c>
      <c r="N1119" s="6">
        <v>-0.125</v>
      </c>
      <c r="O1119" s="6">
        <v>359.9375</v>
      </c>
      <c r="P1119" s="6">
        <v>-2.4375</v>
      </c>
      <c r="Q1119" s="6">
        <v>10.25</v>
      </c>
      <c r="R1119" s="6">
        <v>-1.73722076416016</v>
      </c>
      <c r="S1119" s="6">
        <v>48.197494506835902</v>
      </c>
      <c r="T1119" s="6">
        <v>-0.14586275815963701</v>
      </c>
      <c r="U1119" s="6">
        <v>0.35186183452606201</v>
      </c>
      <c r="V1119" s="6">
        <v>-6.03393459320068</v>
      </c>
      <c r="W1119" s="6">
        <v>-18.6706027984619</v>
      </c>
    </row>
    <row r="1120" spans="1:23" ht="18.95" customHeight="1">
      <c r="A1120" s="4">
        <v>1116</v>
      </c>
      <c r="B1120" s="4">
        <v>23985</v>
      </c>
      <c r="C1120" s="4">
        <v>1</v>
      </c>
      <c r="D1120" s="6">
        <v>0</v>
      </c>
      <c r="E1120" s="6">
        <v>0</v>
      </c>
      <c r="F1120" s="6">
        <v>-50.1875</v>
      </c>
      <c r="G1120" s="6">
        <v>-1.1875</v>
      </c>
      <c r="H1120" s="6">
        <v>-0.875</v>
      </c>
      <c r="I1120" s="6">
        <v>1.0625</v>
      </c>
      <c r="J1120" s="6">
        <v>-1.625</v>
      </c>
      <c r="K1120" s="6">
        <v>11.6875</v>
      </c>
      <c r="L1120" s="6">
        <v>6.25E-2</v>
      </c>
      <c r="M1120" s="6">
        <v>0</v>
      </c>
      <c r="N1120" s="6">
        <v>0</v>
      </c>
      <c r="O1120" s="6">
        <v>359.9375</v>
      </c>
      <c r="P1120" s="6">
        <v>-2.4375</v>
      </c>
      <c r="Q1120" s="6">
        <v>10.3125</v>
      </c>
      <c r="R1120" s="6">
        <v>-1.6761517524719201</v>
      </c>
      <c r="S1120" s="6">
        <v>45.953224182128899</v>
      </c>
      <c r="T1120" s="6">
        <v>-0.51227498054504395</v>
      </c>
      <c r="U1120" s="6">
        <v>0.44101610779762301</v>
      </c>
      <c r="V1120" s="6">
        <v>-5.0989608764648402</v>
      </c>
      <c r="W1120" s="6">
        <v>-18.68017578125</v>
      </c>
    </row>
    <row r="1121" spans="1:23" ht="18.95" customHeight="1">
      <c r="A1121" s="4">
        <v>1117</v>
      </c>
      <c r="B1121" s="4">
        <v>24005</v>
      </c>
      <c r="C1121" s="4">
        <v>1</v>
      </c>
      <c r="D1121" s="6">
        <v>0</v>
      </c>
      <c r="E1121" s="6">
        <v>0</v>
      </c>
      <c r="F1121" s="6">
        <v>-48.25</v>
      </c>
      <c r="G1121" s="6">
        <v>-1</v>
      </c>
      <c r="H1121" s="6">
        <v>-0.875</v>
      </c>
      <c r="I1121" s="6">
        <v>1.0625</v>
      </c>
      <c r="J1121" s="6">
        <v>-1.625</v>
      </c>
      <c r="K1121" s="6">
        <v>12.625</v>
      </c>
      <c r="L1121" s="6">
        <v>4.375</v>
      </c>
      <c r="M1121" s="6">
        <v>0.125</v>
      </c>
      <c r="N1121" s="6">
        <v>-0.4375</v>
      </c>
      <c r="O1121" s="6">
        <v>359.9375</v>
      </c>
      <c r="P1121" s="6">
        <v>-2.4375</v>
      </c>
      <c r="Q1121" s="6">
        <v>10.375</v>
      </c>
      <c r="R1121" s="6">
        <v>-3.2334036827087398</v>
      </c>
      <c r="S1121" s="6">
        <v>42.426506042480497</v>
      </c>
      <c r="T1121" s="6">
        <v>-1.5351758003234901</v>
      </c>
      <c r="U1121" s="6">
        <v>0.51436656713485696</v>
      </c>
      <c r="V1121" s="6">
        <v>-4.1181693077087402</v>
      </c>
      <c r="W1121" s="6">
        <v>-18.696903228759801</v>
      </c>
    </row>
    <row r="1122" spans="1:23" ht="18.95" customHeight="1">
      <c r="A1122" s="4">
        <v>1118</v>
      </c>
      <c r="B1122" s="4">
        <v>24027</v>
      </c>
      <c r="C1122" s="4">
        <v>1</v>
      </c>
      <c r="D1122" s="6">
        <v>0</v>
      </c>
      <c r="E1122" s="6">
        <v>0</v>
      </c>
      <c r="F1122" s="6">
        <v>-44.75</v>
      </c>
      <c r="G1122" s="6">
        <v>-2.5625</v>
      </c>
      <c r="H1122" s="6">
        <v>-1.1875</v>
      </c>
      <c r="I1122" s="6">
        <v>1.0625</v>
      </c>
      <c r="J1122" s="6">
        <v>-1.5625</v>
      </c>
      <c r="K1122" s="6">
        <v>13.5</v>
      </c>
      <c r="L1122" s="6">
        <v>9.625</v>
      </c>
      <c r="M1122" s="6">
        <v>-0.5</v>
      </c>
      <c r="N1122" s="6">
        <v>-0.3125</v>
      </c>
      <c r="O1122" s="6">
        <v>359.9375</v>
      </c>
      <c r="P1122" s="6">
        <v>-2.4375</v>
      </c>
      <c r="Q1122" s="6">
        <v>10.25</v>
      </c>
      <c r="R1122" s="6">
        <v>-0.89752602577209495</v>
      </c>
      <c r="S1122" s="6">
        <v>41.647880554199197</v>
      </c>
      <c r="T1122" s="6">
        <v>0.54116010665893599</v>
      </c>
      <c r="U1122" s="6">
        <v>0.115336924791336</v>
      </c>
      <c r="V1122" s="6">
        <v>-3.2932608127593999</v>
      </c>
      <c r="W1122" s="6">
        <v>-18.709142684936499</v>
      </c>
    </row>
    <row r="1123" spans="1:23" ht="18.95" customHeight="1">
      <c r="A1123" s="4">
        <v>1119</v>
      </c>
      <c r="B1123" s="4">
        <v>24048</v>
      </c>
      <c r="C1123" s="4">
        <v>1</v>
      </c>
      <c r="D1123" s="6">
        <v>0</v>
      </c>
      <c r="E1123" s="6">
        <v>0</v>
      </c>
      <c r="F1123" s="6">
        <v>-43.6875</v>
      </c>
      <c r="G1123" s="6">
        <v>-0.75</v>
      </c>
      <c r="H1123" s="6">
        <v>-0.75</v>
      </c>
      <c r="I1123" s="6">
        <v>1.125</v>
      </c>
      <c r="J1123" s="6">
        <v>-1.5625</v>
      </c>
      <c r="K1123" s="6">
        <v>14.75</v>
      </c>
      <c r="L1123" s="6">
        <v>13.875</v>
      </c>
      <c r="M1123" s="6">
        <v>-6.25E-2</v>
      </c>
      <c r="N1123" s="6">
        <v>-0.1875</v>
      </c>
      <c r="O1123" s="6">
        <v>359.9375</v>
      </c>
      <c r="P1123" s="6">
        <v>-2.4375</v>
      </c>
      <c r="Q1123" s="6">
        <v>10.0625</v>
      </c>
      <c r="R1123" s="6">
        <v>-1.53874731063843</v>
      </c>
      <c r="S1123" s="6">
        <v>38.930320739746101</v>
      </c>
      <c r="T1123" s="6">
        <v>-0.51227498054504395</v>
      </c>
      <c r="U1123" s="6">
        <v>0.27886024117469799</v>
      </c>
      <c r="V1123" s="6">
        <v>-2.64062595367432</v>
      </c>
      <c r="W1123" s="6">
        <v>-18.7054119110107</v>
      </c>
    </row>
    <row r="1124" spans="1:23" ht="18.95" customHeight="1">
      <c r="A1124" s="4">
        <v>1120</v>
      </c>
      <c r="B1124" s="4">
        <v>24069</v>
      </c>
      <c r="C1124" s="4">
        <v>1</v>
      </c>
      <c r="D1124" s="6">
        <v>0</v>
      </c>
      <c r="E1124" s="6">
        <v>0</v>
      </c>
      <c r="F1124" s="6">
        <v>-41.0625</v>
      </c>
      <c r="G1124" s="6">
        <v>-0.5625</v>
      </c>
      <c r="H1124" s="6">
        <v>-0.25</v>
      </c>
      <c r="I1124" s="6">
        <v>1.0625</v>
      </c>
      <c r="J1124" s="6">
        <v>-1.5625</v>
      </c>
      <c r="K1124" s="6">
        <v>15.1875</v>
      </c>
      <c r="L1124" s="6">
        <v>18</v>
      </c>
      <c r="M1124" s="6">
        <v>-0.25</v>
      </c>
      <c r="N1124" s="6">
        <v>0</v>
      </c>
      <c r="O1124" s="6">
        <v>359.9375</v>
      </c>
      <c r="P1124" s="6">
        <v>-2.5</v>
      </c>
      <c r="Q1124" s="6">
        <v>9.75</v>
      </c>
      <c r="R1124" s="6">
        <v>-1.9356937408447299</v>
      </c>
      <c r="S1124" s="6">
        <v>36.945587158203097</v>
      </c>
      <c r="T1124" s="6">
        <v>-0.45120629668235801</v>
      </c>
      <c r="U1124" s="6">
        <v>0.22239707410335499</v>
      </c>
      <c r="V1124" s="6">
        <v>-1.9057967662811299</v>
      </c>
      <c r="W1124" s="6">
        <v>-18.7236213684082</v>
      </c>
    </row>
    <row r="1125" spans="1:23" ht="18.95" customHeight="1">
      <c r="A1125" s="4">
        <v>1121</v>
      </c>
      <c r="B1125" s="4">
        <v>24090</v>
      </c>
      <c r="C1125" s="4">
        <v>1</v>
      </c>
      <c r="D1125" s="6">
        <v>0</v>
      </c>
      <c r="E1125" s="6">
        <v>0</v>
      </c>
      <c r="F1125" s="6">
        <v>-38.0625</v>
      </c>
      <c r="G1125" s="6">
        <v>-1.25</v>
      </c>
      <c r="H1125" s="6">
        <v>-1</v>
      </c>
      <c r="I1125" s="6">
        <v>1.125</v>
      </c>
      <c r="J1125" s="6">
        <v>-1.5</v>
      </c>
      <c r="K1125" s="6">
        <v>16.6875</v>
      </c>
      <c r="L1125" s="6">
        <v>22.1875</v>
      </c>
      <c r="M1125" s="6">
        <v>-0.4375</v>
      </c>
      <c r="N1125" s="6">
        <v>-6.25E-2</v>
      </c>
      <c r="O1125" s="6">
        <v>359.9375</v>
      </c>
      <c r="P1125" s="6">
        <v>-2.5</v>
      </c>
      <c r="Q1125" s="6">
        <v>9.375</v>
      </c>
      <c r="R1125" s="6">
        <v>-0.80592298507690396</v>
      </c>
      <c r="S1125" s="6">
        <v>33.983757019042997</v>
      </c>
      <c r="T1125" s="6">
        <v>6.7877650260925307E-2</v>
      </c>
      <c r="U1125" s="6">
        <v>3.4931413829326602E-2</v>
      </c>
      <c r="V1125" s="6">
        <v>-1.54623591899872</v>
      </c>
      <c r="W1125" s="6">
        <v>-18.726495742797901</v>
      </c>
    </row>
    <row r="1126" spans="1:23" ht="18.95" customHeight="1">
      <c r="A1126" s="4">
        <v>1122</v>
      </c>
      <c r="B1126" s="4">
        <v>24112</v>
      </c>
      <c r="C1126" s="4">
        <v>1</v>
      </c>
      <c r="D1126" s="6">
        <v>0</v>
      </c>
      <c r="E1126" s="6">
        <v>0</v>
      </c>
      <c r="F1126" s="6">
        <v>-35.625</v>
      </c>
      <c r="G1126" s="6">
        <v>-0.375</v>
      </c>
      <c r="H1126" s="6">
        <v>-0.5</v>
      </c>
      <c r="I1126" s="6">
        <v>1.125</v>
      </c>
      <c r="J1126" s="6">
        <v>-1.5</v>
      </c>
      <c r="K1126" s="6">
        <v>17.5625</v>
      </c>
      <c r="L1126" s="6">
        <v>25.125</v>
      </c>
      <c r="M1126" s="6">
        <v>-0.25</v>
      </c>
      <c r="N1126" s="6">
        <v>-0.25</v>
      </c>
      <c r="O1126" s="6">
        <v>359.9375</v>
      </c>
      <c r="P1126" s="6">
        <v>-2.5</v>
      </c>
      <c r="Q1126" s="6">
        <v>8.875</v>
      </c>
      <c r="R1126" s="6">
        <v>-1.76775503158569</v>
      </c>
      <c r="S1126" s="6">
        <v>32.563911437988303</v>
      </c>
      <c r="T1126" s="6">
        <v>-6.9526910781860393E-2</v>
      </c>
      <c r="U1126" s="6">
        <v>0.16310352087020899</v>
      </c>
      <c r="V1126" s="6">
        <v>-0.87246668338775601</v>
      </c>
      <c r="W1126" s="6">
        <v>-18.7259712219238</v>
      </c>
    </row>
    <row r="1127" spans="1:23" ht="18.95" customHeight="1">
      <c r="A1127" s="4">
        <v>1123</v>
      </c>
      <c r="B1127" s="4">
        <v>24133</v>
      </c>
      <c r="C1127" s="4">
        <v>1</v>
      </c>
      <c r="D1127" s="6">
        <v>0</v>
      </c>
      <c r="E1127" s="6">
        <v>0</v>
      </c>
      <c r="F1127" s="6">
        <v>-34</v>
      </c>
      <c r="G1127" s="6">
        <v>-0.9375</v>
      </c>
      <c r="H1127" s="6">
        <v>-0.625</v>
      </c>
      <c r="I1127" s="6">
        <v>1.125</v>
      </c>
      <c r="J1127" s="6">
        <v>-1.5</v>
      </c>
      <c r="K1127" s="6">
        <v>18.1875</v>
      </c>
      <c r="L1127" s="6">
        <v>29.1875</v>
      </c>
      <c r="M1127" s="6">
        <v>-0.375</v>
      </c>
      <c r="N1127" s="6">
        <v>-0.125</v>
      </c>
      <c r="O1127" s="6">
        <v>359.9375</v>
      </c>
      <c r="P1127" s="6">
        <v>-2.5</v>
      </c>
      <c r="Q1127" s="6">
        <v>8.0625</v>
      </c>
      <c r="R1127" s="6">
        <v>-0.80592298507690396</v>
      </c>
      <c r="S1127" s="6">
        <v>30.2432975769043</v>
      </c>
      <c r="T1127" s="6">
        <v>-0.22219866514205899</v>
      </c>
      <c r="U1127" s="6">
        <v>-9.4375256448984094E-3</v>
      </c>
      <c r="V1127" s="6">
        <v>-0.62677627801895097</v>
      </c>
      <c r="W1127" s="6">
        <v>-18.732723236083999</v>
      </c>
    </row>
    <row r="1128" spans="1:23" ht="18.95" customHeight="1">
      <c r="A1128" s="4">
        <v>1124</v>
      </c>
      <c r="B1128" s="4">
        <v>24155</v>
      </c>
      <c r="C1128" s="4">
        <v>1</v>
      </c>
      <c r="D1128" s="6">
        <v>0</v>
      </c>
      <c r="E1128" s="6">
        <v>0</v>
      </c>
      <c r="F1128" s="6">
        <v>-31.875</v>
      </c>
      <c r="G1128" s="6">
        <v>-0.5625</v>
      </c>
      <c r="H1128" s="6">
        <v>-0.8125</v>
      </c>
      <c r="I1128" s="6">
        <v>1.125</v>
      </c>
      <c r="J1128" s="6">
        <v>-1.4375</v>
      </c>
      <c r="K1128" s="6">
        <v>18.9375</v>
      </c>
      <c r="L1128" s="6">
        <v>31.6875</v>
      </c>
      <c r="M1128" s="6">
        <v>-0.5</v>
      </c>
      <c r="N1128" s="6">
        <v>-6.25E-2</v>
      </c>
      <c r="O1128" s="6">
        <v>0</v>
      </c>
      <c r="P1128" s="6">
        <v>-2.5</v>
      </c>
      <c r="Q1128" s="6">
        <v>7.4375</v>
      </c>
      <c r="R1128" s="6">
        <v>-1.50821304321289</v>
      </c>
      <c r="S1128" s="6">
        <v>28.151695251464801</v>
      </c>
      <c r="T1128" s="6">
        <v>2.2076129913330099E-2</v>
      </c>
      <c r="U1128" s="6">
        <v>9.3411549925804097E-2</v>
      </c>
      <c r="V1128" s="6">
        <v>-0.214437335729599</v>
      </c>
      <c r="W1128" s="6">
        <v>-18.733678817748999</v>
      </c>
    </row>
    <row r="1129" spans="1:23" ht="18.95" customHeight="1">
      <c r="A1129" s="4">
        <v>1125</v>
      </c>
      <c r="B1129" s="4">
        <v>24177</v>
      </c>
      <c r="C1129" s="4">
        <v>1</v>
      </c>
      <c r="D1129" s="6">
        <v>0</v>
      </c>
      <c r="E1129" s="6">
        <v>0</v>
      </c>
      <c r="F1129" s="6">
        <v>-30.125</v>
      </c>
      <c r="G1129" s="6">
        <v>-0.6875</v>
      </c>
      <c r="H1129" s="6">
        <v>-0.5</v>
      </c>
      <c r="I1129" s="6">
        <v>1.125</v>
      </c>
      <c r="J1129" s="6">
        <v>-1.4375</v>
      </c>
      <c r="K1129" s="6">
        <v>19.625</v>
      </c>
      <c r="L1129" s="6">
        <v>36.3125</v>
      </c>
      <c r="M1129" s="6">
        <v>-0.4375</v>
      </c>
      <c r="N1129" s="6">
        <v>0.125</v>
      </c>
      <c r="O1129" s="6">
        <v>0</v>
      </c>
      <c r="P1129" s="6">
        <v>-2.5</v>
      </c>
      <c r="Q1129" s="6">
        <v>6.75</v>
      </c>
      <c r="R1129" s="6">
        <v>-0.74485421180725098</v>
      </c>
      <c r="S1129" s="6">
        <v>26.579175949096701</v>
      </c>
      <c r="T1129" s="6">
        <v>0.31215250492095897</v>
      </c>
      <c r="U1129" s="6">
        <v>4.88804914057255E-2</v>
      </c>
      <c r="V1129" s="6">
        <v>3.5055000334978097E-2</v>
      </c>
      <c r="W1129" s="6">
        <v>-18.735149383544901</v>
      </c>
    </row>
    <row r="1130" spans="1:23" ht="18.95" customHeight="1">
      <c r="A1130" s="4">
        <v>1126</v>
      </c>
      <c r="B1130" s="4">
        <v>24197</v>
      </c>
      <c r="C1130" s="4">
        <v>1</v>
      </c>
      <c r="D1130" s="6">
        <v>0</v>
      </c>
      <c r="E1130" s="6">
        <v>0</v>
      </c>
      <c r="F1130" s="6">
        <v>-28.125</v>
      </c>
      <c r="G1130" s="6">
        <v>-0.5625</v>
      </c>
      <c r="H1130" s="6">
        <v>-0.625</v>
      </c>
      <c r="I1130" s="6">
        <v>1.125</v>
      </c>
      <c r="J1130" s="6">
        <v>-1.4375</v>
      </c>
      <c r="K1130" s="6">
        <v>20.3125</v>
      </c>
      <c r="L1130" s="6">
        <v>38.25</v>
      </c>
      <c r="M1130" s="6">
        <v>-0.25</v>
      </c>
      <c r="N1130" s="6">
        <v>6.25E-2</v>
      </c>
      <c r="O1130" s="6">
        <v>0</v>
      </c>
      <c r="P1130" s="6">
        <v>-2.5</v>
      </c>
      <c r="Q1130" s="6">
        <v>6.0625</v>
      </c>
      <c r="R1130" s="6">
        <v>-1.1876022815704299</v>
      </c>
      <c r="S1130" s="6">
        <v>24.9455890655518</v>
      </c>
      <c r="T1130" s="6">
        <v>-2.3725390434265099E-2</v>
      </c>
      <c r="U1130" s="6">
        <v>7.9561486840248094E-2</v>
      </c>
      <c r="V1130" s="6">
        <v>0.290236115455627</v>
      </c>
      <c r="W1130" s="6">
        <v>-18.740613937377901</v>
      </c>
    </row>
    <row r="1131" spans="1:23" ht="18.95" customHeight="1">
      <c r="A1131" s="4">
        <v>1127</v>
      </c>
      <c r="B1131" s="4">
        <v>24234</v>
      </c>
      <c r="C1131" s="4">
        <v>1</v>
      </c>
      <c r="D1131" s="6">
        <v>0</v>
      </c>
      <c r="E1131" s="6">
        <v>0</v>
      </c>
      <c r="F1131" s="6">
        <v>-24.5625</v>
      </c>
      <c r="G1131" s="6">
        <v>-0.3125</v>
      </c>
      <c r="H1131" s="6">
        <v>-0.375</v>
      </c>
      <c r="I1131" s="6">
        <v>1.125</v>
      </c>
      <c r="J1131" s="6">
        <v>-1.4375</v>
      </c>
      <c r="K1131" s="6">
        <v>21.4375</v>
      </c>
      <c r="L1131" s="6">
        <v>41.25</v>
      </c>
      <c r="M1131" s="6">
        <v>-0.4375</v>
      </c>
      <c r="N1131" s="6">
        <v>0</v>
      </c>
      <c r="O1131" s="6">
        <v>6.25E-2</v>
      </c>
      <c r="P1131" s="6">
        <v>-2.5</v>
      </c>
      <c r="Q1131" s="6">
        <v>4.4375</v>
      </c>
      <c r="R1131" s="6">
        <v>-0.62271690368652299</v>
      </c>
      <c r="S1131" s="6">
        <v>22.487573623657202</v>
      </c>
      <c r="T1131" s="6">
        <v>0.23581659793853799</v>
      </c>
      <c r="U1131" s="6">
        <v>4.3137583881616599E-2</v>
      </c>
      <c r="V1131" s="6">
        <v>0.83299881219863903</v>
      </c>
      <c r="W1131" s="6">
        <v>-18.7308349609375</v>
      </c>
    </row>
    <row r="1132" spans="1:23" ht="18.95" customHeight="1">
      <c r="A1132" s="4">
        <v>1128</v>
      </c>
      <c r="B1132" s="4">
        <v>24254</v>
      </c>
      <c r="C1132" s="4">
        <v>1</v>
      </c>
      <c r="D1132" s="6">
        <v>0</v>
      </c>
      <c r="E1132" s="6">
        <v>0</v>
      </c>
      <c r="F1132" s="6">
        <v>-23.4375</v>
      </c>
      <c r="G1132" s="6">
        <v>-0.4375</v>
      </c>
      <c r="H1132" s="6">
        <v>-0.5</v>
      </c>
      <c r="I1132" s="6">
        <v>1.0625</v>
      </c>
      <c r="J1132" s="6">
        <v>-1.4375</v>
      </c>
      <c r="K1132" s="6">
        <v>21.9375</v>
      </c>
      <c r="L1132" s="6">
        <v>43.25</v>
      </c>
      <c r="M1132" s="6">
        <v>-0.375</v>
      </c>
      <c r="N1132" s="6">
        <v>-6.25E-2</v>
      </c>
      <c r="O1132" s="6">
        <v>6.25E-2</v>
      </c>
      <c r="P1132" s="6">
        <v>-2.5</v>
      </c>
      <c r="Q1132" s="6">
        <v>4.0625</v>
      </c>
      <c r="R1132" s="6">
        <v>-0.69905257225036599</v>
      </c>
      <c r="S1132" s="6">
        <v>20.747114181518601</v>
      </c>
      <c r="T1132" s="6">
        <v>-8.4794104099273696E-2</v>
      </c>
      <c r="U1132" s="6">
        <v>-2.8856191784143399E-2</v>
      </c>
      <c r="V1132" s="6">
        <v>0.79439067840576205</v>
      </c>
      <c r="W1132" s="6">
        <v>-18.737890243530298</v>
      </c>
    </row>
    <row r="1133" spans="1:23" ht="18.95" customHeight="1">
      <c r="A1133" s="4">
        <v>1129</v>
      </c>
      <c r="B1133" s="4">
        <v>24276</v>
      </c>
      <c r="C1133" s="4">
        <v>1</v>
      </c>
      <c r="D1133" s="6">
        <v>0</v>
      </c>
      <c r="E1133" s="6">
        <v>0</v>
      </c>
      <c r="F1133" s="6">
        <v>-21.625</v>
      </c>
      <c r="G1133" s="6">
        <v>-0.875</v>
      </c>
      <c r="H1133" s="6">
        <v>-0.625</v>
      </c>
      <c r="I1133" s="6">
        <v>1.125</v>
      </c>
      <c r="J1133" s="6">
        <v>-1.4375</v>
      </c>
      <c r="K1133" s="6">
        <v>22.375</v>
      </c>
      <c r="L1133" s="6">
        <v>45.1875</v>
      </c>
      <c r="M1133" s="6">
        <v>-0.375</v>
      </c>
      <c r="N1133" s="6">
        <v>-0.1875</v>
      </c>
      <c r="O1133" s="6">
        <v>6.25E-2</v>
      </c>
      <c r="P1133" s="6">
        <v>-2.5</v>
      </c>
      <c r="Q1133" s="6">
        <v>2.75</v>
      </c>
      <c r="R1133" s="6">
        <v>-0.48531222343444802</v>
      </c>
      <c r="S1133" s="6">
        <v>20.457038879394499</v>
      </c>
      <c r="T1133" s="6">
        <v>0.31215250492095897</v>
      </c>
      <c r="U1133" s="6">
        <v>-0.114281415939331</v>
      </c>
      <c r="V1133" s="6">
        <v>1.25890517234802</v>
      </c>
      <c r="W1133" s="6">
        <v>-18.7350177764893</v>
      </c>
    </row>
    <row r="1134" spans="1:23" ht="18.95" customHeight="1">
      <c r="A1134" s="4">
        <v>1130</v>
      </c>
      <c r="B1134" s="4">
        <v>24298</v>
      </c>
      <c r="C1134" s="4">
        <v>1</v>
      </c>
      <c r="D1134" s="6">
        <v>0</v>
      </c>
      <c r="E1134" s="6">
        <v>0</v>
      </c>
      <c r="F1134" s="6">
        <v>-20.75</v>
      </c>
      <c r="G1134" s="6">
        <v>-0.125</v>
      </c>
      <c r="H1134" s="6">
        <v>-0.25</v>
      </c>
      <c r="I1134" s="6">
        <v>1.125</v>
      </c>
      <c r="J1134" s="6">
        <v>-1.4375</v>
      </c>
      <c r="K1134" s="6">
        <v>22.75</v>
      </c>
      <c r="L1134" s="6">
        <v>48.625</v>
      </c>
      <c r="M1134" s="6">
        <v>-0.25</v>
      </c>
      <c r="N1134" s="6">
        <v>0.125</v>
      </c>
      <c r="O1134" s="6">
        <v>0.125</v>
      </c>
      <c r="P1134" s="6">
        <v>-2.5</v>
      </c>
      <c r="Q1134" s="6">
        <v>1.8125</v>
      </c>
      <c r="R1134" s="6">
        <v>-1.0654649734497099</v>
      </c>
      <c r="S1134" s="6">
        <v>18.7929172515869</v>
      </c>
      <c r="T1134" s="6">
        <v>-0.60387802124023404</v>
      </c>
      <c r="U1134" s="6">
        <v>4.5565746724605602E-2</v>
      </c>
      <c r="V1134" s="6">
        <v>1.2140302658081099</v>
      </c>
      <c r="W1134" s="6">
        <v>-18.7404479980469</v>
      </c>
    </row>
    <row r="1135" spans="1:23" ht="18.95" customHeight="1">
      <c r="A1135" s="4">
        <v>1131</v>
      </c>
      <c r="B1135" s="4">
        <v>24319</v>
      </c>
      <c r="C1135" s="4">
        <v>1</v>
      </c>
      <c r="D1135" s="6">
        <v>0</v>
      </c>
      <c r="E1135" s="6">
        <v>0</v>
      </c>
      <c r="F1135" s="6">
        <v>-19.75</v>
      </c>
      <c r="G1135" s="6">
        <v>-0.625</v>
      </c>
      <c r="H1135" s="6">
        <v>-0.6875</v>
      </c>
      <c r="I1135" s="6">
        <v>1.125</v>
      </c>
      <c r="J1135" s="6">
        <v>-1.375</v>
      </c>
      <c r="K1135" s="6">
        <v>23.1875</v>
      </c>
      <c r="L1135" s="6">
        <v>50.4375</v>
      </c>
      <c r="M1135" s="6">
        <v>-0.8125</v>
      </c>
      <c r="N1135" s="6">
        <v>-6.25E-2</v>
      </c>
      <c r="O1135" s="6">
        <v>0.125</v>
      </c>
      <c r="P1135" s="6">
        <v>-2.5</v>
      </c>
      <c r="Q1135" s="6">
        <v>0.8125</v>
      </c>
      <c r="R1135" s="6">
        <v>-0.88225889205932595</v>
      </c>
      <c r="S1135" s="6">
        <v>17.8158168792725</v>
      </c>
      <c r="T1135" s="6">
        <v>-0.161129951477051</v>
      </c>
      <c r="U1135" s="6">
        <v>-6.0686785727739299E-2</v>
      </c>
      <c r="V1135" s="6">
        <v>1.498783826828</v>
      </c>
      <c r="W1135" s="6">
        <v>-18.741306304931602</v>
      </c>
    </row>
    <row r="1136" spans="1:23" ht="18.95" customHeight="1">
      <c r="A1136" s="4">
        <v>1132</v>
      </c>
      <c r="B1136" s="4">
        <v>24339</v>
      </c>
      <c r="C1136" s="4">
        <v>1</v>
      </c>
      <c r="D1136" s="6">
        <v>0</v>
      </c>
      <c r="E1136" s="6">
        <v>0</v>
      </c>
      <c r="F1136" s="6">
        <v>-18.375</v>
      </c>
      <c r="G1136" s="6">
        <v>-0.5</v>
      </c>
      <c r="H1136" s="6">
        <v>-0.5</v>
      </c>
      <c r="I1136" s="6">
        <v>1.125</v>
      </c>
      <c r="J1136" s="6">
        <v>-1.375</v>
      </c>
      <c r="K1136" s="6">
        <v>23.5625</v>
      </c>
      <c r="L1136" s="6">
        <v>51.8125</v>
      </c>
      <c r="M1136" s="6">
        <v>-0.5</v>
      </c>
      <c r="N1136" s="6">
        <v>6.25E-2</v>
      </c>
      <c r="O1136" s="6">
        <v>0.125</v>
      </c>
      <c r="P1136" s="6">
        <v>-2.5</v>
      </c>
      <c r="Q1136" s="6">
        <v>-0.125</v>
      </c>
      <c r="R1136" s="6">
        <v>-1.0959992408752399</v>
      </c>
      <c r="S1136" s="6">
        <v>16.5028400421143</v>
      </c>
      <c r="T1136" s="6">
        <v>-0.40540477633476302</v>
      </c>
      <c r="U1136" s="6">
        <v>1.2695848941802999E-2</v>
      </c>
      <c r="V1136" s="6">
        <v>1.4095982313156099</v>
      </c>
      <c r="W1136" s="6">
        <v>-18.747085571289102</v>
      </c>
    </row>
    <row r="1137" spans="1:23" ht="18.95" customHeight="1">
      <c r="A1137" s="4">
        <v>1133</v>
      </c>
      <c r="B1137" s="4">
        <v>24359</v>
      </c>
      <c r="C1137" s="4">
        <v>1</v>
      </c>
      <c r="D1137" s="6">
        <v>0</v>
      </c>
      <c r="E1137" s="6">
        <v>0</v>
      </c>
      <c r="F1137" s="6">
        <v>-17.3125</v>
      </c>
      <c r="G1137" s="6">
        <v>-0.5</v>
      </c>
      <c r="H1137" s="6">
        <v>-0.4375</v>
      </c>
      <c r="I1137" s="6">
        <v>1.0625</v>
      </c>
      <c r="J1137" s="6">
        <v>-1.375</v>
      </c>
      <c r="K1137" s="6">
        <v>23.9375</v>
      </c>
      <c r="L1137" s="6">
        <v>53.3125</v>
      </c>
      <c r="M1137" s="6">
        <v>-0.6875</v>
      </c>
      <c r="N1137" s="6">
        <v>0.125</v>
      </c>
      <c r="O1137" s="6">
        <v>0.1875</v>
      </c>
      <c r="P1137" s="6">
        <v>-2.5</v>
      </c>
      <c r="Q1137" s="6">
        <v>-1.125</v>
      </c>
      <c r="R1137" s="6">
        <v>-0.68378543853759799</v>
      </c>
      <c r="S1137" s="6">
        <v>15.754748344421399</v>
      </c>
      <c r="T1137" s="6">
        <v>-0.37487041950225802</v>
      </c>
      <c r="U1137" s="6">
        <v>-4.3305948376655599E-2</v>
      </c>
      <c r="V1137" s="6">
        <v>1.54431056976318</v>
      </c>
      <c r="W1137" s="6">
        <v>-18.752943038940401</v>
      </c>
    </row>
    <row r="1138" spans="1:23" ht="18.95" customHeight="1">
      <c r="A1138" s="4">
        <v>1134</v>
      </c>
      <c r="B1138" s="4">
        <v>24380</v>
      </c>
      <c r="C1138" s="4">
        <v>1</v>
      </c>
      <c r="D1138" s="6">
        <v>0</v>
      </c>
      <c r="E1138" s="6">
        <v>0</v>
      </c>
      <c r="F1138" s="6">
        <v>-15.9375</v>
      </c>
      <c r="G1138" s="6">
        <v>-0.5625</v>
      </c>
      <c r="H1138" s="6">
        <v>-0.6875</v>
      </c>
      <c r="I1138" s="6">
        <v>1.125</v>
      </c>
      <c r="J1138" s="6">
        <v>-1.375</v>
      </c>
      <c r="K1138" s="6">
        <v>24.25</v>
      </c>
      <c r="L1138" s="6">
        <v>53.75</v>
      </c>
      <c r="M1138" s="6">
        <v>-0.625</v>
      </c>
      <c r="N1138" s="6">
        <v>6.25E-2</v>
      </c>
      <c r="O1138" s="6">
        <v>0.1875</v>
      </c>
      <c r="P1138" s="6">
        <v>-2.4375</v>
      </c>
      <c r="Q1138" s="6">
        <v>-2.1875</v>
      </c>
      <c r="R1138" s="6">
        <v>0.47651982307434099</v>
      </c>
      <c r="S1138" s="6">
        <v>14.4265041351318</v>
      </c>
      <c r="T1138" s="6">
        <v>0.20528227090835599</v>
      </c>
      <c r="U1138" s="6">
        <v>-0.225669860839844</v>
      </c>
      <c r="V1138" s="6">
        <v>1.3791134357452399</v>
      </c>
      <c r="W1138" s="6">
        <v>-18.749937057495099</v>
      </c>
    </row>
    <row r="1139" spans="1:23" ht="18.95" customHeight="1">
      <c r="A1139" s="4">
        <v>1135</v>
      </c>
      <c r="B1139" s="4">
        <v>24401</v>
      </c>
      <c r="C1139" s="4">
        <v>1</v>
      </c>
      <c r="D1139" s="6">
        <v>0</v>
      </c>
      <c r="E1139" s="6">
        <v>0</v>
      </c>
      <c r="F1139" s="6">
        <v>-14.8125</v>
      </c>
      <c r="G1139" s="6">
        <v>0</v>
      </c>
      <c r="H1139" s="6">
        <v>-0.3125</v>
      </c>
      <c r="I1139" s="6">
        <v>1.0625</v>
      </c>
      <c r="J1139" s="6">
        <v>-1.375</v>
      </c>
      <c r="K1139" s="6">
        <v>24.625</v>
      </c>
      <c r="L1139" s="6">
        <v>54.6875</v>
      </c>
      <c r="M1139" s="6">
        <v>-0.375</v>
      </c>
      <c r="N1139" s="6">
        <v>-6.25E-2</v>
      </c>
      <c r="O1139" s="6">
        <v>0.1875</v>
      </c>
      <c r="P1139" s="6">
        <v>-2.4375</v>
      </c>
      <c r="Q1139" s="6">
        <v>-3.25</v>
      </c>
      <c r="R1139" s="6">
        <v>-1.29447245597839</v>
      </c>
      <c r="S1139" s="6">
        <v>12.853985786438001</v>
      </c>
      <c r="T1139" s="6">
        <v>-1.27563381195068</v>
      </c>
      <c r="U1139" s="6">
        <v>1.39183178544044E-3</v>
      </c>
      <c r="V1139" s="6">
        <v>1.31323230266571</v>
      </c>
      <c r="W1139" s="6">
        <v>-18.760322570800799</v>
      </c>
    </row>
    <row r="1140" spans="1:23" ht="18.95" customHeight="1">
      <c r="A1140" s="4">
        <v>1136</v>
      </c>
      <c r="B1140" s="4">
        <v>24421</v>
      </c>
      <c r="C1140" s="4">
        <v>1</v>
      </c>
      <c r="D1140" s="6">
        <v>0</v>
      </c>
      <c r="E1140" s="6">
        <v>0</v>
      </c>
      <c r="F1140" s="6">
        <v>-13.4375</v>
      </c>
      <c r="G1140" s="6">
        <v>-0.1875</v>
      </c>
      <c r="H1140" s="6">
        <v>-0.5625</v>
      </c>
      <c r="I1140" s="6">
        <v>1.0625</v>
      </c>
      <c r="J1140" s="6">
        <v>-1.375</v>
      </c>
      <c r="K1140" s="6">
        <v>24.75</v>
      </c>
      <c r="L1140" s="6">
        <v>54.625</v>
      </c>
      <c r="M1140" s="6">
        <v>-0.625</v>
      </c>
      <c r="N1140" s="6">
        <v>0</v>
      </c>
      <c r="O1140" s="6">
        <v>0.25</v>
      </c>
      <c r="P1140" s="6">
        <v>-2.4375</v>
      </c>
      <c r="Q1140" s="6">
        <v>-4.3125</v>
      </c>
      <c r="R1140" s="6">
        <v>-0.16470146179199199</v>
      </c>
      <c r="S1140" s="6">
        <v>11.2509317398071</v>
      </c>
      <c r="T1140" s="6">
        <v>0.144213557243347</v>
      </c>
      <c r="U1140" s="6">
        <v>-0.23007100820541401</v>
      </c>
      <c r="V1140" s="6">
        <v>1.22244560718536</v>
      </c>
      <c r="W1140" s="6">
        <v>-18.766176223754901</v>
      </c>
    </row>
    <row r="1141" spans="1:23" ht="18.95" customHeight="1">
      <c r="A1141" s="4">
        <v>1137</v>
      </c>
      <c r="B1141" s="4">
        <v>24442</v>
      </c>
      <c r="C1141" s="4">
        <v>1</v>
      </c>
      <c r="D1141" s="6">
        <v>0</v>
      </c>
      <c r="E1141" s="6">
        <v>0</v>
      </c>
      <c r="F1141" s="6">
        <v>-11.8125</v>
      </c>
      <c r="G1141" s="6">
        <v>-6.25E-2</v>
      </c>
      <c r="H1141" s="6">
        <v>-0.125</v>
      </c>
      <c r="I1141" s="6">
        <v>1.125</v>
      </c>
      <c r="J1141" s="6">
        <v>-1.375</v>
      </c>
      <c r="K1141" s="6">
        <v>25.125</v>
      </c>
      <c r="L1141" s="6">
        <v>55.1875</v>
      </c>
      <c r="M1141" s="6">
        <v>-0.6875</v>
      </c>
      <c r="N1141" s="6">
        <v>6.25E-2</v>
      </c>
      <c r="O1141" s="6">
        <v>0.25</v>
      </c>
      <c r="P1141" s="6">
        <v>-2.4375</v>
      </c>
      <c r="Q1141" s="6">
        <v>-5.375</v>
      </c>
      <c r="R1141" s="6">
        <v>-7.3098421096801799E-2</v>
      </c>
      <c r="S1141" s="6">
        <v>10.5181074142456</v>
      </c>
      <c r="T1141" s="6">
        <v>0.31215250492095897</v>
      </c>
      <c r="U1141" s="6">
        <v>-9.6446380019187899E-2</v>
      </c>
      <c r="V1141" s="6">
        <v>1.18912553787231</v>
      </c>
      <c r="W1141" s="6">
        <v>-18.765377044677699</v>
      </c>
    </row>
    <row r="1142" spans="1:23" ht="18.95" customHeight="1">
      <c r="A1142" s="4">
        <v>1138</v>
      </c>
      <c r="B1142" s="4">
        <v>24464</v>
      </c>
      <c r="C1142" s="4">
        <v>1</v>
      </c>
      <c r="D1142" s="6">
        <v>0</v>
      </c>
      <c r="E1142" s="6">
        <v>0</v>
      </c>
      <c r="F1142" s="6">
        <v>-10.9375</v>
      </c>
      <c r="G1142" s="6">
        <v>6.25E-2</v>
      </c>
      <c r="H1142" s="6">
        <v>0.1875</v>
      </c>
      <c r="I1142" s="6">
        <v>1.125</v>
      </c>
      <c r="J1142" s="6">
        <v>-1.375</v>
      </c>
      <c r="K1142" s="6">
        <v>25.3125</v>
      </c>
      <c r="L1142" s="6">
        <v>55.3125</v>
      </c>
      <c r="M1142" s="6">
        <v>-0.6875</v>
      </c>
      <c r="N1142" s="6">
        <v>-0.125</v>
      </c>
      <c r="O1142" s="6">
        <v>0.3125</v>
      </c>
      <c r="P1142" s="6">
        <v>-2.4375</v>
      </c>
      <c r="Q1142" s="6">
        <v>-6.4375</v>
      </c>
      <c r="R1142" s="6">
        <v>-0.36317491531372098</v>
      </c>
      <c r="S1142" s="6">
        <v>9.7700157165527308</v>
      </c>
      <c r="T1142" s="6">
        <v>-0.52754217386245705</v>
      </c>
      <c r="U1142" s="6">
        <v>-0.16996607184410101</v>
      </c>
      <c r="V1142" s="6">
        <v>1.3917747735977199</v>
      </c>
      <c r="W1142" s="6">
        <v>-18.779026031494102</v>
      </c>
    </row>
    <row r="1143" spans="1:23" ht="18.95" customHeight="1">
      <c r="A1143" s="4">
        <v>1139</v>
      </c>
      <c r="B1143" s="4">
        <v>24486</v>
      </c>
      <c r="C1143" s="4">
        <v>1</v>
      </c>
      <c r="D1143" s="6">
        <v>0</v>
      </c>
      <c r="E1143" s="6">
        <v>0</v>
      </c>
      <c r="F1143" s="6">
        <v>-10.1875</v>
      </c>
      <c r="G1143" s="6">
        <v>-0.3125</v>
      </c>
      <c r="H1143" s="6">
        <v>-0.4375</v>
      </c>
      <c r="I1143" s="6">
        <v>1.125</v>
      </c>
      <c r="J1143" s="6">
        <v>-1.3125</v>
      </c>
      <c r="K1143" s="6">
        <v>25.5625</v>
      </c>
      <c r="L1143" s="6">
        <v>58.5625</v>
      </c>
      <c r="M1143" s="6">
        <v>-0.625</v>
      </c>
      <c r="N1143" s="6">
        <v>0.25</v>
      </c>
      <c r="O1143" s="6">
        <v>0.3125</v>
      </c>
      <c r="P1143" s="6">
        <v>-2.375</v>
      </c>
      <c r="Q1143" s="6">
        <v>-8.0625</v>
      </c>
      <c r="R1143" s="6">
        <v>-0.53111386299133301</v>
      </c>
      <c r="S1143" s="6">
        <v>8.8692531585693395</v>
      </c>
      <c r="T1143" s="6">
        <v>-0.25273302197456399</v>
      </c>
      <c r="U1143" s="6">
        <v>-0.17005899548530601</v>
      </c>
      <c r="V1143" s="6">
        <v>1.16938877105713</v>
      </c>
      <c r="W1143" s="6">
        <v>-18.791618347168001</v>
      </c>
    </row>
    <row r="1144" spans="1:23" ht="18.95" customHeight="1">
      <c r="A1144" s="4">
        <v>1140</v>
      </c>
      <c r="B1144" s="4">
        <v>24507</v>
      </c>
      <c r="C1144" s="4">
        <v>1</v>
      </c>
      <c r="D1144" s="6">
        <v>0</v>
      </c>
      <c r="E1144" s="6">
        <v>0</v>
      </c>
      <c r="F1144" s="6">
        <v>-9.1875</v>
      </c>
      <c r="G1144" s="6">
        <v>-0.1875</v>
      </c>
      <c r="H1144" s="6">
        <v>-0.5625</v>
      </c>
      <c r="I1144" s="6">
        <v>1.125</v>
      </c>
      <c r="J1144" s="6">
        <v>-1.3125</v>
      </c>
      <c r="K1144" s="6">
        <v>25.75</v>
      </c>
      <c r="L1144" s="6">
        <v>58.25</v>
      </c>
      <c r="M1144" s="6">
        <v>-0.625</v>
      </c>
      <c r="N1144" s="6">
        <v>0</v>
      </c>
      <c r="O1144" s="6">
        <v>0.375</v>
      </c>
      <c r="P1144" s="6">
        <v>-2.375</v>
      </c>
      <c r="Q1144" s="6">
        <v>-9.1875</v>
      </c>
      <c r="R1144" s="6">
        <v>-0.17996859550476099</v>
      </c>
      <c r="S1144" s="6">
        <v>7.4494051933288601</v>
      </c>
      <c r="T1144" s="6">
        <v>-0.51227498054504395</v>
      </c>
      <c r="U1144" s="6">
        <v>-0.112614974379539</v>
      </c>
      <c r="V1144" s="6">
        <v>1.2492877244949301</v>
      </c>
      <c r="W1144" s="6">
        <v>-18.7985515594482</v>
      </c>
    </row>
    <row r="1145" spans="1:23" ht="18.95" customHeight="1">
      <c r="A1145" s="4">
        <v>1141</v>
      </c>
      <c r="B1145" s="4">
        <v>24527</v>
      </c>
      <c r="C1145" s="4">
        <v>1</v>
      </c>
      <c r="D1145" s="6">
        <v>0</v>
      </c>
      <c r="E1145" s="6">
        <v>0</v>
      </c>
      <c r="F1145" s="6">
        <v>-8.25</v>
      </c>
      <c r="G1145" s="6">
        <v>-0.4375</v>
      </c>
      <c r="H1145" s="6">
        <v>-0.625</v>
      </c>
      <c r="I1145" s="6">
        <v>1.125</v>
      </c>
      <c r="J1145" s="6">
        <v>-1.3125</v>
      </c>
      <c r="K1145" s="6">
        <v>25.875</v>
      </c>
      <c r="L1145" s="6">
        <v>60.1875</v>
      </c>
      <c r="M1145" s="6">
        <v>-0.5625</v>
      </c>
      <c r="N1145" s="6">
        <v>0.125</v>
      </c>
      <c r="O1145" s="6">
        <v>0.375</v>
      </c>
      <c r="P1145" s="6">
        <v>-2.375</v>
      </c>
      <c r="Q1145" s="6">
        <v>-10.375</v>
      </c>
      <c r="R1145" s="6">
        <v>-0.19523596763610801</v>
      </c>
      <c r="S1145" s="6">
        <v>6.9455885887145996</v>
      </c>
      <c r="T1145" s="6">
        <v>-6.9526910781860393E-2</v>
      </c>
      <c r="U1145" s="6">
        <v>-0.133531078696251</v>
      </c>
      <c r="V1145" s="6">
        <v>1.00143790245056</v>
      </c>
      <c r="W1145" s="6">
        <v>-18.808813095092798</v>
      </c>
    </row>
    <row r="1146" spans="1:23" ht="18.95" customHeight="1">
      <c r="A1146" s="4">
        <v>1142</v>
      </c>
      <c r="B1146" s="4">
        <v>24549</v>
      </c>
      <c r="C1146" s="4">
        <v>1</v>
      </c>
      <c r="D1146" s="6">
        <v>0</v>
      </c>
      <c r="E1146" s="6">
        <v>0</v>
      </c>
      <c r="F1146" s="6">
        <v>-7.375</v>
      </c>
      <c r="G1146" s="6">
        <v>-0.4375</v>
      </c>
      <c r="H1146" s="6">
        <v>-0.6875</v>
      </c>
      <c r="I1146" s="6">
        <v>1.125</v>
      </c>
      <c r="J1146" s="6">
        <v>-1.3125</v>
      </c>
      <c r="K1146" s="6">
        <v>26</v>
      </c>
      <c r="L1146" s="6">
        <v>59.1875</v>
      </c>
      <c r="M1146" s="6">
        <v>-0.6875</v>
      </c>
      <c r="N1146" s="6">
        <v>-6.25E-2</v>
      </c>
      <c r="O1146" s="6">
        <v>0.375</v>
      </c>
      <c r="P1146" s="6">
        <v>-2.375</v>
      </c>
      <c r="Q1146" s="6">
        <v>-11.5</v>
      </c>
      <c r="R1146" s="6">
        <v>-0.118900060653687</v>
      </c>
      <c r="S1146" s="6">
        <v>6.1364278793334996</v>
      </c>
      <c r="T1146" s="6">
        <v>-0.71074825525283802</v>
      </c>
      <c r="U1146" s="6">
        <v>-0.180818825960159</v>
      </c>
      <c r="V1146" s="6">
        <v>1.0333563089370701</v>
      </c>
      <c r="W1146" s="6">
        <v>-18.819961547851602</v>
      </c>
    </row>
    <row r="1147" spans="1:23" ht="18.95" customHeight="1">
      <c r="A1147" s="4">
        <v>1143</v>
      </c>
      <c r="B1147" s="4">
        <v>24570</v>
      </c>
      <c r="C1147" s="4">
        <v>1</v>
      </c>
      <c r="D1147" s="6">
        <v>0</v>
      </c>
      <c r="E1147" s="6">
        <v>0</v>
      </c>
      <c r="F1147" s="6">
        <v>-6.4375</v>
      </c>
      <c r="G1147" s="6">
        <v>-0.125</v>
      </c>
      <c r="H1147" s="6">
        <v>-0.75</v>
      </c>
      <c r="I1147" s="6">
        <v>1.125</v>
      </c>
      <c r="J1147" s="6">
        <v>-1.3125</v>
      </c>
      <c r="K1147" s="6">
        <v>26.125</v>
      </c>
      <c r="L1147" s="6">
        <v>59.8125</v>
      </c>
      <c r="M1147" s="6">
        <v>-0.5</v>
      </c>
      <c r="N1147" s="6">
        <v>0.125</v>
      </c>
      <c r="O1147" s="6">
        <v>0.4375</v>
      </c>
      <c r="P1147" s="6">
        <v>-2.375</v>
      </c>
      <c r="Q1147" s="6">
        <v>-12.6875</v>
      </c>
      <c r="R1147" s="6">
        <v>-0.21050310134887701</v>
      </c>
      <c r="S1147" s="6">
        <v>5.1440615653991699</v>
      </c>
      <c r="T1147" s="6">
        <v>-0.43593913316726701</v>
      </c>
      <c r="U1147" s="6">
        <v>-9.1188244521617903E-2</v>
      </c>
      <c r="V1147" s="6">
        <v>0.867337226867676</v>
      </c>
      <c r="W1147" s="6">
        <v>-18.828170776367202</v>
      </c>
    </row>
    <row r="1148" spans="1:23" ht="18.95" customHeight="1">
      <c r="A1148" s="4">
        <v>1144</v>
      </c>
      <c r="B1148" s="4">
        <v>24591</v>
      </c>
      <c r="C1148" s="4">
        <v>1</v>
      </c>
      <c r="D1148" s="6">
        <v>0</v>
      </c>
      <c r="E1148" s="6">
        <v>0</v>
      </c>
      <c r="F1148" s="6">
        <v>-5.4375</v>
      </c>
      <c r="G1148" s="6">
        <v>-0.25</v>
      </c>
      <c r="H1148" s="6">
        <v>-0.375</v>
      </c>
      <c r="I1148" s="6">
        <v>1.125</v>
      </c>
      <c r="J1148" s="6">
        <v>-1.3125</v>
      </c>
      <c r="K1148" s="6">
        <v>26.3125</v>
      </c>
      <c r="L1148" s="6">
        <v>60.375</v>
      </c>
      <c r="M1148" s="6">
        <v>-0.4375</v>
      </c>
      <c r="N1148" s="6">
        <v>6.25E-2</v>
      </c>
      <c r="O1148" s="6">
        <v>0.4375</v>
      </c>
      <c r="P1148" s="6">
        <v>-2.375</v>
      </c>
      <c r="Q1148" s="6">
        <v>-13.875</v>
      </c>
      <c r="R1148" s="6">
        <v>6.4306020736694294E-2</v>
      </c>
      <c r="S1148" s="6">
        <v>4.1058940887451199</v>
      </c>
      <c r="T1148" s="6">
        <v>-0.48174065351486201</v>
      </c>
      <c r="U1148" s="6">
        <v>-0.10515094548463801</v>
      </c>
      <c r="V1148" s="6">
        <v>0.83555150032043501</v>
      </c>
      <c r="W1148" s="6">
        <v>-18.8329067230225</v>
      </c>
    </row>
    <row r="1149" spans="1:23" ht="18.95" customHeight="1">
      <c r="A1149" s="4">
        <v>1145</v>
      </c>
      <c r="B1149" s="4">
        <v>24611</v>
      </c>
      <c r="C1149" s="4">
        <v>1</v>
      </c>
      <c r="D1149" s="6">
        <v>0</v>
      </c>
      <c r="E1149" s="6">
        <v>0</v>
      </c>
      <c r="F1149" s="6">
        <v>-4.5</v>
      </c>
      <c r="G1149" s="6">
        <v>-0.375</v>
      </c>
      <c r="H1149" s="6">
        <v>-0.5625</v>
      </c>
      <c r="I1149" s="6">
        <v>1.125</v>
      </c>
      <c r="J1149" s="6">
        <v>-1.3125</v>
      </c>
      <c r="K1149" s="6">
        <v>26.3125</v>
      </c>
      <c r="L1149" s="6">
        <v>60.5</v>
      </c>
      <c r="M1149" s="6">
        <v>-0.625</v>
      </c>
      <c r="N1149" s="6">
        <v>-0.1875</v>
      </c>
      <c r="O1149" s="6">
        <v>0.5</v>
      </c>
      <c r="P1149" s="6">
        <v>-2.375</v>
      </c>
      <c r="Q1149" s="6">
        <v>-15</v>
      </c>
      <c r="R1149" s="6">
        <v>1.85046195983887E-2</v>
      </c>
      <c r="S1149" s="6">
        <v>3.2356648445129399</v>
      </c>
      <c r="T1149" s="6">
        <v>-3.8992583751678501E-2</v>
      </c>
      <c r="U1149" s="6">
        <v>-0.135948985815048</v>
      </c>
      <c r="V1149" s="6">
        <v>0.65349769592285201</v>
      </c>
      <c r="W1149" s="6">
        <v>-18.840150833129901</v>
      </c>
    </row>
    <row r="1150" spans="1:23" ht="18.95" customHeight="1">
      <c r="A1150" s="4">
        <v>1146</v>
      </c>
      <c r="B1150" s="4">
        <v>24642</v>
      </c>
      <c r="C1150" s="4">
        <v>1</v>
      </c>
      <c r="D1150" s="6">
        <v>0</v>
      </c>
      <c r="E1150" s="6">
        <v>0</v>
      </c>
      <c r="F1150" s="6">
        <v>-3.25</v>
      </c>
      <c r="G1150" s="6">
        <v>0</v>
      </c>
      <c r="H1150" s="6">
        <v>-0.375</v>
      </c>
      <c r="I1150" s="6">
        <v>1.125</v>
      </c>
      <c r="J1150" s="6">
        <v>-1.3125</v>
      </c>
      <c r="K1150" s="6">
        <v>26.4375</v>
      </c>
      <c r="L1150" s="6">
        <v>60.4375</v>
      </c>
      <c r="M1150" s="6">
        <v>-0.5625</v>
      </c>
      <c r="N1150" s="6">
        <v>-0.1875</v>
      </c>
      <c r="O1150" s="6">
        <v>0.5</v>
      </c>
      <c r="P1150" s="6">
        <v>-2.375</v>
      </c>
      <c r="Q1150" s="6">
        <v>-16.8125</v>
      </c>
      <c r="R1150" s="6">
        <v>-0.63798403739929199</v>
      </c>
      <c r="S1150" s="6">
        <v>1.90742039680481</v>
      </c>
      <c r="T1150" s="6">
        <v>-0.93975591659545898</v>
      </c>
      <c r="U1150" s="6">
        <v>-0.175554394721985</v>
      </c>
      <c r="V1150" s="6">
        <v>0.71651983261108398</v>
      </c>
      <c r="W1150" s="6">
        <v>-18.8648490905762</v>
      </c>
    </row>
    <row r="1151" spans="1:23" ht="18.95" customHeight="1">
      <c r="A1151" s="4">
        <v>1147</v>
      </c>
      <c r="B1151" s="4">
        <v>24662</v>
      </c>
      <c r="C1151" s="4">
        <v>1</v>
      </c>
      <c r="D1151" s="6">
        <v>0</v>
      </c>
      <c r="E1151" s="6">
        <v>0</v>
      </c>
      <c r="F1151" s="6">
        <v>-2.25</v>
      </c>
      <c r="G1151" s="6">
        <v>-0.1875</v>
      </c>
      <c r="H1151" s="6">
        <v>-0.5625</v>
      </c>
      <c r="I1151" s="6">
        <v>1.125</v>
      </c>
      <c r="J1151" s="6">
        <v>-1.3125</v>
      </c>
      <c r="K1151" s="6">
        <v>26.5</v>
      </c>
      <c r="L1151" s="6">
        <v>60.9375</v>
      </c>
      <c r="M1151" s="6">
        <v>-0.6875</v>
      </c>
      <c r="N1151" s="6">
        <v>6.25E-2</v>
      </c>
      <c r="O1151" s="6">
        <v>0.5625</v>
      </c>
      <c r="P1151" s="6">
        <v>-2.3125</v>
      </c>
      <c r="Q1151" s="6">
        <v>-17.9375</v>
      </c>
      <c r="R1151" s="6">
        <v>-0.40897631645202598</v>
      </c>
      <c r="S1151" s="6">
        <v>0.73184794187545799</v>
      </c>
      <c r="T1151" s="6">
        <v>-0.61914521455764804</v>
      </c>
      <c r="U1151" s="6">
        <v>-0.17623373866081199</v>
      </c>
      <c r="V1151" s="6">
        <v>0.489533841609955</v>
      </c>
      <c r="W1151" s="6">
        <v>-18.871711730956999</v>
      </c>
    </row>
    <row r="1152" spans="1:23" ht="18.95" customHeight="1">
      <c r="A1152" s="4">
        <v>1148</v>
      </c>
      <c r="B1152" s="4">
        <v>24682</v>
      </c>
      <c r="C1152" s="4">
        <v>1</v>
      </c>
      <c r="D1152" s="6">
        <v>0</v>
      </c>
      <c r="E1152" s="6">
        <v>0</v>
      </c>
      <c r="F1152" s="6">
        <v>-1.375</v>
      </c>
      <c r="G1152" s="6">
        <v>-0.25</v>
      </c>
      <c r="H1152" s="6">
        <v>-0.375</v>
      </c>
      <c r="I1152" s="6">
        <v>1.125</v>
      </c>
      <c r="J1152" s="6">
        <v>-1.3125</v>
      </c>
      <c r="K1152" s="6">
        <v>26.5</v>
      </c>
      <c r="L1152" s="6">
        <v>61.8125</v>
      </c>
      <c r="M1152" s="6">
        <v>-0.625</v>
      </c>
      <c r="N1152" s="6">
        <v>6.25E-2</v>
      </c>
      <c r="O1152" s="6">
        <v>0.5625</v>
      </c>
      <c r="P1152" s="6">
        <v>-2.3125</v>
      </c>
      <c r="Q1152" s="6">
        <v>-19.1875</v>
      </c>
      <c r="R1152" s="6">
        <v>0.50705409049987804</v>
      </c>
      <c r="S1152" s="6">
        <v>-7.7312350273132296E-2</v>
      </c>
      <c r="T1152" s="6">
        <v>-6.9526910781860393E-2</v>
      </c>
      <c r="U1152" s="6">
        <v>-5.7222019881010097E-2</v>
      </c>
      <c r="V1152" s="6">
        <v>0.41385069489479098</v>
      </c>
      <c r="W1152" s="6">
        <v>-18.8664226531982</v>
      </c>
    </row>
    <row r="1153" spans="1:23" ht="18.95" customHeight="1">
      <c r="A1153" s="4">
        <v>1149</v>
      </c>
      <c r="B1153" s="4">
        <v>24704</v>
      </c>
      <c r="C1153" s="4">
        <v>1</v>
      </c>
      <c r="D1153" s="6">
        <v>0</v>
      </c>
      <c r="E1153" s="6">
        <v>0</v>
      </c>
      <c r="F1153" s="6">
        <v>-0.3125</v>
      </c>
      <c r="G1153" s="6">
        <v>0.1875</v>
      </c>
      <c r="H1153" s="6">
        <v>6.25E-2</v>
      </c>
      <c r="I1153" s="6">
        <v>1.125</v>
      </c>
      <c r="J1153" s="6">
        <v>-1.3125</v>
      </c>
      <c r="K1153" s="6">
        <v>26.4375</v>
      </c>
      <c r="L1153" s="6">
        <v>61</v>
      </c>
      <c r="M1153" s="6">
        <v>-0.625</v>
      </c>
      <c r="N1153" s="6">
        <v>-6.25E-2</v>
      </c>
      <c r="O1153" s="6">
        <v>0.5625</v>
      </c>
      <c r="P1153" s="6">
        <v>-2.3125</v>
      </c>
      <c r="Q1153" s="6">
        <v>-20.3125</v>
      </c>
      <c r="R1153" s="6">
        <v>0.12537479400634799</v>
      </c>
      <c r="S1153" s="6">
        <v>-1.2376177310943599</v>
      </c>
      <c r="T1153" s="6">
        <v>-0.39013758301734902</v>
      </c>
      <c r="U1153" s="6">
        <v>-0.209925562143326</v>
      </c>
      <c r="V1153" s="6">
        <v>0.111508712172508</v>
      </c>
      <c r="W1153" s="6">
        <v>-18.8803405761719</v>
      </c>
    </row>
    <row r="1154" spans="1:23" ht="18.95" customHeight="1">
      <c r="A1154" s="4">
        <v>1150</v>
      </c>
      <c r="B1154" s="4">
        <v>24726</v>
      </c>
      <c r="C1154" s="4">
        <v>1</v>
      </c>
      <c r="D1154" s="6">
        <v>0</v>
      </c>
      <c r="E1154" s="6">
        <v>0</v>
      </c>
      <c r="F1154" s="6">
        <v>1</v>
      </c>
      <c r="G1154" s="6">
        <v>6.25E-2</v>
      </c>
      <c r="H1154" s="6">
        <v>-0.375</v>
      </c>
      <c r="I1154" s="6">
        <v>1.1875</v>
      </c>
      <c r="J1154" s="6">
        <v>-1.3125</v>
      </c>
      <c r="K1154" s="6">
        <v>26.375</v>
      </c>
      <c r="L1154" s="6">
        <v>61.0625</v>
      </c>
      <c r="M1154" s="6">
        <v>-0.6875</v>
      </c>
      <c r="N1154" s="6">
        <v>-0.25</v>
      </c>
      <c r="O1154" s="6">
        <v>0.625</v>
      </c>
      <c r="P1154" s="6">
        <v>-2.3125</v>
      </c>
      <c r="Q1154" s="6">
        <v>-22.125</v>
      </c>
      <c r="R1154" s="6">
        <v>0.232244968414307</v>
      </c>
      <c r="S1154" s="6">
        <v>-1.97044205665588</v>
      </c>
      <c r="T1154" s="6">
        <v>-8.4794104099273696E-2</v>
      </c>
      <c r="U1154" s="6">
        <v>-0.16499482095241499</v>
      </c>
      <c r="V1154" s="6">
        <v>-8.1311218440532698E-2</v>
      </c>
      <c r="W1154" s="6">
        <v>-18.884954452514599</v>
      </c>
    </row>
    <row r="1155" spans="1:23" ht="18.95" customHeight="1">
      <c r="A1155" s="4">
        <v>1151</v>
      </c>
      <c r="B1155" s="4">
        <v>24746</v>
      </c>
      <c r="C1155" s="4">
        <v>1</v>
      </c>
      <c r="D1155" s="6">
        <v>0</v>
      </c>
      <c r="E1155" s="6">
        <v>0</v>
      </c>
      <c r="F1155" s="6">
        <v>1.9375</v>
      </c>
      <c r="G1155" s="6">
        <v>0.4375</v>
      </c>
      <c r="H1155" s="6">
        <v>6.25E-2</v>
      </c>
      <c r="I1155" s="6">
        <v>1.1875</v>
      </c>
      <c r="J1155" s="6">
        <v>-1.3125</v>
      </c>
      <c r="K1155" s="6">
        <v>26.3125</v>
      </c>
      <c r="L1155" s="6">
        <v>60.875</v>
      </c>
      <c r="M1155" s="6">
        <v>-0.625</v>
      </c>
      <c r="N1155" s="6">
        <v>-0.125</v>
      </c>
      <c r="O1155" s="6">
        <v>0.6875</v>
      </c>
      <c r="P1155" s="6">
        <v>-2.3125</v>
      </c>
      <c r="Q1155" s="6">
        <v>-23.3125</v>
      </c>
      <c r="R1155" s="6">
        <v>1.85046195983887E-2</v>
      </c>
      <c r="S1155" s="6">
        <v>-3.0696787834167498</v>
      </c>
      <c r="T1155" s="6">
        <v>-0.28326734900474498</v>
      </c>
      <c r="U1155" s="6">
        <v>-8.8229686021804796E-2</v>
      </c>
      <c r="V1155" s="6">
        <v>-0.25218376517295799</v>
      </c>
      <c r="W1155" s="6">
        <v>-18.8916110992432</v>
      </c>
    </row>
    <row r="1156" spans="1:23" ht="18.95" customHeight="1">
      <c r="A1156" s="4">
        <v>1152</v>
      </c>
      <c r="B1156" s="4">
        <v>24768</v>
      </c>
      <c r="C1156" s="4">
        <v>1</v>
      </c>
      <c r="D1156" s="6">
        <v>0</v>
      </c>
      <c r="E1156" s="6">
        <v>0</v>
      </c>
      <c r="F1156" s="6">
        <v>3.1875</v>
      </c>
      <c r="G1156" s="6">
        <v>0.125</v>
      </c>
      <c r="H1156" s="6">
        <v>-0.25</v>
      </c>
      <c r="I1156" s="6">
        <v>1.1875</v>
      </c>
      <c r="J1156" s="6">
        <v>-1.3125</v>
      </c>
      <c r="K1156" s="6">
        <v>26.25</v>
      </c>
      <c r="L1156" s="6">
        <v>61.875</v>
      </c>
      <c r="M1156" s="6">
        <v>-0.75</v>
      </c>
      <c r="N1156" s="6">
        <v>0.1875</v>
      </c>
      <c r="O1156" s="6">
        <v>0.6875</v>
      </c>
      <c r="P1156" s="6">
        <v>-2.3125</v>
      </c>
      <c r="Q1156" s="6">
        <v>-24.5</v>
      </c>
      <c r="R1156" s="6">
        <v>9.4840526580810505E-2</v>
      </c>
      <c r="S1156" s="6">
        <v>-4.62693071365356</v>
      </c>
      <c r="T1156" s="6">
        <v>8.3144843578338595E-2</v>
      </c>
      <c r="U1156" s="6">
        <v>-0.164091631770134</v>
      </c>
      <c r="V1156" s="6">
        <v>-0.53114688396453902</v>
      </c>
      <c r="W1156" s="6">
        <v>-18.900924682617202</v>
      </c>
    </row>
    <row r="1157" spans="1:23" ht="18.95" customHeight="1">
      <c r="A1157" s="4">
        <v>1153</v>
      </c>
      <c r="B1157" s="4">
        <v>24790</v>
      </c>
      <c r="C1157" s="4">
        <v>1</v>
      </c>
      <c r="D1157" s="6">
        <v>0</v>
      </c>
      <c r="E1157" s="6">
        <v>0</v>
      </c>
      <c r="F1157" s="6">
        <v>4.1875</v>
      </c>
      <c r="G1157" s="6">
        <v>0.125</v>
      </c>
      <c r="H1157" s="6">
        <v>-0.375</v>
      </c>
      <c r="I1157" s="6">
        <v>1.1875</v>
      </c>
      <c r="J1157" s="6">
        <v>-1.3125</v>
      </c>
      <c r="K1157" s="6">
        <v>26.1875</v>
      </c>
      <c r="L1157" s="6">
        <v>60.625</v>
      </c>
      <c r="M1157" s="6">
        <v>-0.875</v>
      </c>
      <c r="N1157" s="6">
        <v>-0.1875</v>
      </c>
      <c r="O1157" s="6">
        <v>0.6875</v>
      </c>
      <c r="P1157" s="6">
        <v>-2.25</v>
      </c>
      <c r="Q1157" s="6">
        <v>-25.6875</v>
      </c>
      <c r="R1157" s="6">
        <v>4.9038887023925802E-2</v>
      </c>
      <c r="S1157" s="6">
        <v>-5.6498312950134304</v>
      </c>
      <c r="T1157" s="6">
        <v>-0.32906889915466297</v>
      </c>
      <c r="U1157" s="6">
        <v>-0.16207088530063599</v>
      </c>
      <c r="V1157" s="6">
        <v>-0.81207215785980202</v>
      </c>
      <c r="W1157" s="6">
        <v>-18.9183235168457</v>
      </c>
    </row>
    <row r="1158" spans="1:23" ht="18.95" customHeight="1">
      <c r="A1158" s="4">
        <v>1154</v>
      </c>
      <c r="B1158" s="4">
        <v>24810</v>
      </c>
      <c r="C1158" s="4">
        <v>1</v>
      </c>
      <c r="D1158" s="6">
        <v>0</v>
      </c>
      <c r="E1158" s="6">
        <v>0</v>
      </c>
      <c r="F1158" s="6">
        <v>5.25</v>
      </c>
      <c r="G1158" s="6">
        <v>-0.125</v>
      </c>
      <c r="H1158" s="6">
        <v>-0.6875</v>
      </c>
      <c r="I1158" s="6">
        <v>1.1875</v>
      </c>
      <c r="J1158" s="6">
        <v>-1.3125</v>
      </c>
      <c r="K1158" s="6">
        <v>26.0625</v>
      </c>
      <c r="L1158" s="6">
        <v>61.4375</v>
      </c>
      <c r="M1158" s="6">
        <v>-0.75</v>
      </c>
      <c r="N1158" s="6">
        <v>0.125</v>
      </c>
      <c r="O1158" s="6">
        <v>0.75</v>
      </c>
      <c r="P1158" s="6">
        <v>-2.25</v>
      </c>
      <c r="Q1158" s="6">
        <v>-26.875</v>
      </c>
      <c r="R1158" s="6">
        <v>0.17117643356323201</v>
      </c>
      <c r="S1158" s="6">
        <v>-6.4284572601318404</v>
      </c>
      <c r="T1158" s="6">
        <v>-0.26800018548965499</v>
      </c>
      <c r="U1158" s="6">
        <v>-0.105331093072891</v>
      </c>
      <c r="V1158" s="6">
        <v>-1.0782450437545801</v>
      </c>
      <c r="W1158" s="6">
        <v>-18.9188137054443</v>
      </c>
    </row>
    <row r="1159" spans="1:23" ht="18.95" customHeight="1">
      <c r="A1159" s="4">
        <v>1155</v>
      </c>
      <c r="B1159" s="4">
        <v>24831</v>
      </c>
      <c r="C1159" s="4">
        <v>1</v>
      </c>
      <c r="D1159" s="6">
        <v>0</v>
      </c>
      <c r="E1159" s="6">
        <v>0</v>
      </c>
      <c r="F1159" s="6">
        <v>6.4375</v>
      </c>
      <c r="G1159" s="6">
        <v>0.375</v>
      </c>
      <c r="H1159" s="6">
        <v>-6.25E-2</v>
      </c>
      <c r="I1159" s="6">
        <v>1.1875</v>
      </c>
      <c r="J1159" s="6">
        <v>-1.3125</v>
      </c>
      <c r="K1159" s="6">
        <v>25.9375</v>
      </c>
      <c r="L1159" s="6">
        <v>59.4375</v>
      </c>
      <c r="M1159" s="6">
        <v>-0.75</v>
      </c>
      <c r="N1159" s="6">
        <v>-0.1875</v>
      </c>
      <c r="O1159" s="6">
        <v>0.75</v>
      </c>
      <c r="P1159" s="6">
        <v>-2.25</v>
      </c>
      <c r="Q1159" s="6">
        <v>-28.0625</v>
      </c>
      <c r="R1159" s="6">
        <v>0.20171070098877</v>
      </c>
      <c r="S1159" s="6">
        <v>-8.3215875625610405</v>
      </c>
      <c r="T1159" s="6">
        <v>-0.68021392822265603</v>
      </c>
      <c r="U1159" s="6">
        <v>-2.74613201618195E-2</v>
      </c>
      <c r="V1159" s="6">
        <v>-1.2288395166397099</v>
      </c>
      <c r="W1159" s="6">
        <v>-18.933616638183601</v>
      </c>
    </row>
    <row r="1160" spans="1:23" ht="18.95" customHeight="1">
      <c r="A1160" s="4">
        <v>1156</v>
      </c>
      <c r="B1160" s="4">
        <v>24852</v>
      </c>
      <c r="C1160" s="4">
        <v>1</v>
      </c>
      <c r="D1160" s="6">
        <v>0</v>
      </c>
      <c r="E1160" s="6">
        <v>0</v>
      </c>
      <c r="F1160" s="6">
        <v>7.625</v>
      </c>
      <c r="G1160" s="6">
        <v>0.1875</v>
      </c>
      <c r="H1160" s="6">
        <v>-0.3125</v>
      </c>
      <c r="I1160" s="6">
        <v>1.1875</v>
      </c>
      <c r="J1160" s="6">
        <v>-1.3125</v>
      </c>
      <c r="K1160" s="6">
        <v>25.75</v>
      </c>
      <c r="L1160" s="6">
        <v>59.75</v>
      </c>
      <c r="M1160" s="6">
        <v>-0.625</v>
      </c>
      <c r="N1160" s="6">
        <v>0</v>
      </c>
      <c r="O1160" s="6">
        <v>0.8125</v>
      </c>
      <c r="P1160" s="6">
        <v>-2.25</v>
      </c>
      <c r="Q1160" s="6">
        <v>-29.1875</v>
      </c>
      <c r="R1160" s="6">
        <v>0.62919163703918501</v>
      </c>
      <c r="S1160" s="6">
        <v>-9.4666252136230504</v>
      </c>
      <c r="T1160" s="6">
        <v>-0.100061237812042</v>
      </c>
      <c r="U1160" s="6">
        <v>-0.14701323211193101</v>
      </c>
      <c r="V1160" s="6">
        <v>-1.55341804027557</v>
      </c>
      <c r="W1160" s="6">
        <v>-18.948228836059599</v>
      </c>
    </row>
    <row r="1161" spans="1:23" ht="18.95" customHeight="1">
      <c r="A1161" s="4">
        <v>1157</v>
      </c>
      <c r="B1161" s="4">
        <v>24873</v>
      </c>
      <c r="C1161" s="4">
        <v>1</v>
      </c>
      <c r="D1161" s="6">
        <v>0</v>
      </c>
      <c r="E1161" s="6">
        <v>0</v>
      </c>
      <c r="F1161" s="6">
        <v>8.6875</v>
      </c>
      <c r="G1161" s="6">
        <v>-0.125</v>
      </c>
      <c r="H1161" s="6">
        <v>-0.75</v>
      </c>
      <c r="I1161" s="6">
        <v>1.1875</v>
      </c>
      <c r="J1161" s="6">
        <v>-1.3125</v>
      </c>
      <c r="K1161" s="6">
        <v>25.5625</v>
      </c>
      <c r="L1161" s="6">
        <v>59.25</v>
      </c>
      <c r="M1161" s="6">
        <v>-0.4375</v>
      </c>
      <c r="N1161" s="6">
        <v>-0.125</v>
      </c>
      <c r="O1161" s="6">
        <v>0.8125</v>
      </c>
      <c r="P1161" s="6">
        <v>-2.25</v>
      </c>
      <c r="Q1161" s="6">
        <v>-30.375</v>
      </c>
      <c r="R1161" s="6">
        <v>0.20171070098877</v>
      </c>
      <c r="S1161" s="6">
        <v>-10.3368539810181</v>
      </c>
      <c r="T1161" s="6">
        <v>-0.497007817029953</v>
      </c>
      <c r="U1161" s="6">
        <v>-5.2926432341337197E-2</v>
      </c>
      <c r="V1161" s="6">
        <v>-1.87562143802643</v>
      </c>
      <c r="W1161" s="6">
        <v>-18.9564018249512</v>
      </c>
    </row>
    <row r="1162" spans="1:23" ht="18.95" customHeight="1">
      <c r="A1162" s="4">
        <v>1158</v>
      </c>
      <c r="B1162" s="4">
        <v>24894</v>
      </c>
      <c r="C1162" s="4">
        <v>1</v>
      </c>
      <c r="D1162" s="6">
        <v>0</v>
      </c>
      <c r="E1162" s="6">
        <v>0</v>
      </c>
      <c r="F1162" s="6">
        <v>10.125</v>
      </c>
      <c r="G1162" s="6">
        <v>0.375</v>
      </c>
      <c r="H1162" s="6">
        <v>0</v>
      </c>
      <c r="I1162" s="6">
        <v>1.1875</v>
      </c>
      <c r="J1162" s="6">
        <v>-1.3125</v>
      </c>
      <c r="K1162" s="6">
        <v>25.25</v>
      </c>
      <c r="L1162" s="6">
        <v>58.8125</v>
      </c>
      <c r="M1162" s="6">
        <v>-0.75</v>
      </c>
      <c r="N1162" s="6">
        <v>6.25E-2</v>
      </c>
      <c r="O1162" s="6">
        <v>0.875</v>
      </c>
      <c r="P1162" s="6">
        <v>-2.25</v>
      </c>
      <c r="Q1162" s="6">
        <v>-32.0625</v>
      </c>
      <c r="R1162" s="6">
        <v>0.56812286376953103</v>
      </c>
      <c r="S1162" s="6">
        <v>-12.0162439346313</v>
      </c>
      <c r="T1162" s="6">
        <v>-0.22219866514205899</v>
      </c>
      <c r="U1162" s="6">
        <v>-1.7661623656749701E-2</v>
      </c>
      <c r="V1162" s="6">
        <v>-2.17176294326782</v>
      </c>
      <c r="W1162" s="6">
        <v>-18.959791183471701</v>
      </c>
    </row>
    <row r="1163" spans="1:23" ht="18.95" customHeight="1">
      <c r="A1163" s="4">
        <v>1159</v>
      </c>
      <c r="B1163" s="4">
        <v>24916</v>
      </c>
      <c r="C1163" s="4">
        <v>1</v>
      </c>
      <c r="D1163" s="6">
        <v>0</v>
      </c>
      <c r="E1163" s="6">
        <v>0</v>
      </c>
      <c r="F1163" s="6">
        <v>11.3125</v>
      </c>
      <c r="G1163" s="6">
        <v>0.375</v>
      </c>
      <c r="H1163" s="6">
        <v>-0.1875</v>
      </c>
      <c r="I1163" s="6">
        <v>1.1875</v>
      </c>
      <c r="J1163" s="6">
        <v>-1.3125</v>
      </c>
      <c r="K1163" s="6">
        <v>25</v>
      </c>
      <c r="L1163" s="6">
        <v>57.0625</v>
      </c>
      <c r="M1163" s="6">
        <v>-0.625</v>
      </c>
      <c r="N1163" s="6">
        <v>-6.25E-2</v>
      </c>
      <c r="O1163" s="6">
        <v>0.875</v>
      </c>
      <c r="P1163" s="6">
        <v>-2.1875</v>
      </c>
      <c r="Q1163" s="6">
        <v>-33.125</v>
      </c>
      <c r="R1163" s="6">
        <v>0.62919163703918501</v>
      </c>
      <c r="S1163" s="6">
        <v>-13.466625213623001</v>
      </c>
      <c r="T1163" s="6">
        <v>-0.42067193984985402</v>
      </c>
      <c r="U1163" s="6">
        <v>-2.6037726551294299E-2</v>
      </c>
      <c r="V1163" s="6">
        <v>-2.4745559692382799</v>
      </c>
      <c r="W1163" s="6">
        <v>-18.970466613769499</v>
      </c>
    </row>
    <row r="1164" spans="1:23" ht="18.95" customHeight="1">
      <c r="A1164" s="4">
        <v>1160</v>
      </c>
      <c r="B1164" s="4">
        <v>24938</v>
      </c>
      <c r="C1164" s="4">
        <v>1</v>
      </c>
      <c r="D1164" s="6">
        <v>0</v>
      </c>
      <c r="E1164" s="6">
        <v>0</v>
      </c>
      <c r="F1164" s="6">
        <v>13.5</v>
      </c>
      <c r="G1164" s="6">
        <v>0.25</v>
      </c>
      <c r="H1164" s="6">
        <v>-0.1875</v>
      </c>
      <c r="I1164" s="6">
        <v>1.1875</v>
      </c>
      <c r="J1164" s="6">
        <v>-1.3125</v>
      </c>
      <c r="K1164" s="6">
        <v>24.6875</v>
      </c>
      <c r="L1164" s="6">
        <v>56.0625</v>
      </c>
      <c r="M1164" s="6">
        <v>-0.5625</v>
      </c>
      <c r="N1164" s="6">
        <v>6.25E-2</v>
      </c>
      <c r="O1164" s="6">
        <v>0.9375</v>
      </c>
      <c r="P1164" s="6">
        <v>-2.1875</v>
      </c>
      <c r="Q1164" s="6">
        <v>-34.25</v>
      </c>
      <c r="R1164" s="6">
        <v>0.96506941318511996</v>
      </c>
      <c r="S1164" s="6">
        <v>-15.0086097717285</v>
      </c>
      <c r="T1164" s="6">
        <v>-0.13059562444686901</v>
      </c>
      <c r="U1164" s="6">
        <v>-8.2710437476634993E-2</v>
      </c>
      <c r="V1164" s="6">
        <v>-2.9047286510467498</v>
      </c>
      <c r="W1164" s="6">
        <v>-18.978401184081999</v>
      </c>
    </row>
    <row r="1165" spans="1:23" ht="18.95" customHeight="1">
      <c r="A1165" s="4">
        <v>1161</v>
      </c>
      <c r="B1165" s="4">
        <v>24960</v>
      </c>
      <c r="C1165" s="4">
        <v>1</v>
      </c>
      <c r="D1165" s="6">
        <v>0</v>
      </c>
      <c r="E1165" s="6">
        <v>0</v>
      </c>
      <c r="F1165" s="6">
        <v>15.5</v>
      </c>
      <c r="G1165" s="6">
        <v>0.4375</v>
      </c>
      <c r="H1165" s="6">
        <v>6.25E-2</v>
      </c>
      <c r="I1165" s="6">
        <v>1.1875</v>
      </c>
      <c r="J1165" s="6">
        <v>-1.3125</v>
      </c>
      <c r="K1165" s="6">
        <v>24.3125</v>
      </c>
      <c r="L1165" s="6">
        <v>54.0625</v>
      </c>
      <c r="M1165" s="6">
        <v>-0.5625</v>
      </c>
      <c r="N1165" s="6">
        <v>-6.25E-2</v>
      </c>
      <c r="O1165" s="6">
        <v>0.9375</v>
      </c>
      <c r="P1165" s="6">
        <v>-2.1875</v>
      </c>
      <c r="Q1165" s="6">
        <v>-35.3125</v>
      </c>
      <c r="R1165" s="6">
        <v>0.64445877075195301</v>
      </c>
      <c r="S1165" s="6">
        <v>-16.550594329833999</v>
      </c>
      <c r="T1165" s="6">
        <v>-0.52754217386245705</v>
      </c>
      <c r="U1165" s="6">
        <v>-2.4095638655126099E-3</v>
      </c>
      <c r="V1165" s="6">
        <v>-3.23789739608765</v>
      </c>
      <c r="W1165" s="6">
        <v>-18.9842834472656</v>
      </c>
    </row>
    <row r="1166" spans="1:23" ht="18.95" customHeight="1">
      <c r="A1166" s="4">
        <v>1162</v>
      </c>
      <c r="B1166" s="4">
        <v>24980</v>
      </c>
      <c r="C1166" s="4">
        <v>1</v>
      </c>
      <c r="D1166" s="6">
        <v>0</v>
      </c>
      <c r="E1166" s="6">
        <v>0</v>
      </c>
      <c r="F1166" s="6">
        <v>16.875</v>
      </c>
      <c r="G1166" s="6">
        <v>0.375</v>
      </c>
      <c r="H1166" s="6">
        <v>0</v>
      </c>
      <c r="I1166" s="6">
        <v>1.1875</v>
      </c>
      <c r="J1166" s="6">
        <v>-1.3125</v>
      </c>
      <c r="K1166" s="6">
        <v>24</v>
      </c>
      <c r="L1166" s="6">
        <v>53.1875</v>
      </c>
      <c r="M1166" s="6">
        <v>-0.6875</v>
      </c>
      <c r="N1166" s="6">
        <v>-0.125</v>
      </c>
      <c r="O1166" s="6">
        <v>0.9375</v>
      </c>
      <c r="P1166" s="6">
        <v>-2.1875</v>
      </c>
      <c r="Q1166" s="6">
        <v>-36.3125</v>
      </c>
      <c r="R1166" s="6">
        <v>1.11774122714996</v>
      </c>
      <c r="S1166" s="6">
        <v>-18.153648376464801</v>
      </c>
      <c r="T1166" s="6">
        <v>9.8412036895751995E-2</v>
      </c>
      <c r="U1166" s="6">
        <v>-7.6958060264587402E-2</v>
      </c>
      <c r="V1166" s="6">
        <v>-3.6128411293029798</v>
      </c>
      <c r="W1166" s="6">
        <v>-18.990062713623001</v>
      </c>
    </row>
    <row r="1167" spans="1:23" ht="18.95" customHeight="1">
      <c r="A1167" s="4">
        <v>1163</v>
      </c>
      <c r="B1167" s="4">
        <v>25001</v>
      </c>
      <c r="C1167" s="4">
        <v>1</v>
      </c>
      <c r="D1167" s="6">
        <v>0</v>
      </c>
      <c r="E1167" s="6">
        <v>0</v>
      </c>
      <c r="F1167" s="6">
        <v>18.4375</v>
      </c>
      <c r="G1167" s="6">
        <v>0.8125</v>
      </c>
      <c r="H1167" s="6">
        <v>0.1875</v>
      </c>
      <c r="I1167" s="6">
        <v>1.1875</v>
      </c>
      <c r="J1167" s="6">
        <v>-1.3125</v>
      </c>
      <c r="K1167" s="6">
        <v>23.5625</v>
      </c>
      <c r="L1167" s="6">
        <v>51.1875</v>
      </c>
      <c r="M1167" s="6">
        <v>-0.5</v>
      </c>
      <c r="N1167" s="6">
        <v>0</v>
      </c>
      <c r="O1167" s="6">
        <v>1</v>
      </c>
      <c r="P1167" s="6">
        <v>-2.1875</v>
      </c>
      <c r="Q1167" s="6">
        <v>-37.3125</v>
      </c>
      <c r="R1167" s="6">
        <v>0.400183916091919</v>
      </c>
      <c r="S1167" s="6">
        <v>-19.8177700042725</v>
      </c>
      <c r="T1167" s="6">
        <v>-0.32906889915466297</v>
      </c>
      <c r="U1167" s="6">
        <v>1.98801308870316E-2</v>
      </c>
      <c r="V1167" s="6">
        <v>-3.9852871894836399</v>
      </c>
      <c r="W1167" s="6">
        <v>-18.998004913330099</v>
      </c>
    </row>
    <row r="1168" spans="1:23" ht="18.95" customHeight="1">
      <c r="A1168" s="4">
        <v>1164</v>
      </c>
      <c r="B1168" s="4">
        <v>25021</v>
      </c>
      <c r="C1168" s="4">
        <v>1</v>
      </c>
      <c r="D1168" s="6">
        <v>0</v>
      </c>
      <c r="E1168" s="6">
        <v>0</v>
      </c>
      <c r="F1168" s="6">
        <v>20.0625</v>
      </c>
      <c r="G1168" s="6">
        <v>0.1875</v>
      </c>
      <c r="H1168" s="6">
        <v>-0.1875</v>
      </c>
      <c r="I1168" s="6">
        <v>1.1875</v>
      </c>
      <c r="J1168" s="6">
        <v>-1.3125</v>
      </c>
      <c r="K1168" s="6">
        <v>23.1875</v>
      </c>
      <c r="L1168" s="6">
        <v>50.5</v>
      </c>
      <c r="M1168" s="6">
        <v>-0.5</v>
      </c>
      <c r="N1168" s="6">
        <v>0.1875</v>
      </c>
      <c r="O1168" s="6">
        <v>1</v>
      </c>
      <c r="P1168" s="6">
        <v>-2.1875</v>
      </c>
      <c r="Q1168" s="6">
        <v>-38.3125</v>
      </c>
      <c r="R1168" s="6">
        <v>1.51468777656555</v>
      </c>
      <c r="S1168" s="6">
        <v>-21.283418655395501</v>
      </c>
      <c r="T1168" s="6">
        <v>0.49535858631134</v>
      </c>
      <c r="U1168" s="6">
        <v>-3.4056123346090303E-2</v>
      </c>
      <c r="V1168" s="6">
        <v>-4.4011678695678702</v>
      </c>
      <c r="W1168" s="6">
        <v>-18.998632431030298</v>
      </c>
    </row>
    <row r="1169" spans="1:23" ht="18.95" customHeight="1">
      <c r="A1169" s="4">
        <v>1165</v>
      </c>
      <c r="B1169" s="4">
        <v>25051</v>
      </c>
      <c r="C1169" s="4">
        <v>1</v>
      </c>
      <c r="D1169" s="6">
        <v>0</v>
      </c>
      <c r="E1169" s="6">
        <v>0</v>
      </c>
      <c r="F1169" s="6">
        <v>22.5</v>
      </c>
      <c r="G1169" s="6">
        <v>0.5</v>
      </c>
      <c r="H1169" s="6">
        <v>0.375</v>
      </c>
      <c r="I1169" s="6">
        <v>1.25</v>
      </c>
      <c r="J1169" s="6">
        <v>-1.3125</v>
      </c>
      <c r="K1169" s="6">
        <v>22.4375</v>
      </c>
      <c r="L1169" s="6">
        <v>47.0625</v>
      </c>
      <c r="M1169" s="6">
        <v>-0.625</v>
      </c>
      <c r="N1169" s="6">
        <v>6.25E-2</v>
      </c>
      <c r="O1169" s="6">
        <v>1.0625</v>
      </c>
      <c r="P1169" s="6">
        <v>-2.1875</v>
      </c>
      <c r="Q1169" s="6">
        <v>-39.6875</v>
      </c>
      <c r="R1169" s="6">
        <v>1.1024740934371899</v>
      </c>
      <c r="S1169" s="6">
        <v>-23.084945678710898</v>
      </c>
      <c r="T1169" s="6">
        <v>-0.48174065351486201</v>
      </c>
      <c r="U1169" s="6">
        <v>-8.59213643707335E-4</v>
      </c>
      <c r="V1169" s="6">
        <v>-5.0564441680908203</v>
      </c>
      <c r="W1169" s="6">
        <v>-19.0126037597656</v>
      </c>
    </row>
    <row r="1170" spans="1:23" ht="18.95" customHeight="1">
      <c r="A1170" s="4">
        <v>1166</v>
      </c>
      <c r="B1170" s="4">
        <v>25071</v>
      </c>
      <c r="C1170" s="4">
        <v>1</v>
      </c>
      <c r="D1170" s="6">
        <v>0</v>
      </c>
      <c r="E1170" s="6">
        <v>0</v>
      </c>
      <c r="F1170" s="6">
        <v>23.75</v>
      </c>
      <c r="G1170" s="6">
        <v>0.625</v>
      </c>
      <c r="H1170" s="6">
        <v>0.125</v>
      </c>
      <c r="I1170" s="6">
        <v>1.25</v>
      </c>
      <c r="J1170" s="6">
        <v>-1.3125</v>
      </c>
      <c r="K1170" s="6">
        <v>22</v>
      </c>
      <c r="L1170" s="6">
        <v>45.875</v>
      </c>
      <c r="M1170" s="6">
        <v>-0.5625</v>
      </c>
      <c r="N1170" s="6">
        <v>0</v>
      </c>
      <c r="O1170" s="6">
        <v>1.0625</v>
      </c>
      <c r="P1170" s="6">
        <v>-2.1875</v>
      </c>
      <c r="Q1170" s="6">
        <v>-40.625</v>
      </c>
      <c r="R1170" s="6">
        <v>0.82766485214233398</v>
      </c>
      <c r="S1170" s="6">
        <v>-24.153648376464801</v>
      </c>
      <c r="T1170" s="6">
        <v>-2.3725390434265099E-2</v>
      </c>
      <c r="U1170" s="6">
        <v>0.12681254744529699</v>
      </c>
      <c r="V1170" s="6">
        <v>-5.54854536056519</v>
      </c>
      <c r="W1170" s="6">
        <v>-19.012376785278299</v>
      </c>
    </row>
    <row r="1171" spans="1:23" ht="18.95" customHeight="1">
      <c r="A1171" s="4">
        <v>1167</v>
      </c>
      <c r="B1171" s="4">
        <v>25093</v>
      </c>
      <c r="C1171" s="4">
        <v>1</v>
      </c>
      <c r="D1171" s="6">
        <v>0</v>
      </c>
      <c r="E1171" s="6">
        <v>0</v>
      </c>
      <c r="F1171" s="6">
        <v>25</v>
      </c>
      <c r="G1171" s="6">
        <v>0.625</v>
      </c>
      <c r="H1171" s="6">
        <v>0.125</v>
      </c>
      <c r="I1171" s="6">
        <v>1.25</v>
      </c>
      <c r="J1171" s="6">
        <v>-1.3125</v>
      </c>
      <c r="K1171" s="6">
        <v>21.5</v>
      </c>
      <c r="L1171" s="6">
        <v>43.0625</v>
      </c>
      <c r="M1171" s="6">
        <v>-0.375</v>
      </c>
      <c r="N1171" s="6">
        <v>6.25E-2</v>
      </c>
      <c r="O1171" s="6">
        <v>1.0625</v>
      </c>
      <c r="P1171" s="6">
        <v>-2.1875</v>
      </c>
      <c r="Q1171" s="6">
        <v>-41.875</v>
      </c>
      <c r="R1171" s="6">
        <v>1.3772832155227701</v>
      </c>
      <c r="S1171" s="6">
        <v>-26.229984283447301</v>
      </c>
      <c r="T1171" s="6">
        <v>-0.35960325598716703</v>
      </c>
      <c r="U1171" s="6">
        <v>0.10070505738258401</v>
      </c>
      <c r="V1171" s="6">
        <v>-6.1019730567932102</v>
      </c>
      <c r="W1171" s="6">
        <v>-19.016319274902301</v>
      </c>
    </row>
    <row r="1172" spans="1:23" ht="18.95" customHeight="1">
      <c r="A1172" s="4">
        <v>1168</v>
      </c>
      <c r="B1172" s="4">
        <v>25115</v>
      </c>
      <c r="C1172" s="4">
        <v>1</v>
      </c>
      <c r="D1172" s="6">
        <v>0</v>
      </c>
      <c r="E1172" s="6">
        <v>0</v>
      </c>
      <c r="F1172" s="6">
        <v>26.75</v>
      </c>
      <c r="G1172" s="6">
        <v>0.5</v>
      </c>
      <c r="H1172" s="6">
        <v>0.25</v>
      </c>
      <c r="I1172" s="6">
        <v>1.25</v>
      </c>
      <c r="J1172" s="6">
        <v>-1.3125</v>
      </c>
      <c r="K1172" s="6">
        <v>21</v>
      </c>
      <c r="L1172" s="6">
        <v>40.25</v>
      </c>
      <c r="M1172" s="6">
        <v>-0.375</v>
      </c>
      <c r="N1172" s="6">
        <v>0.25</v>
      </c>
      <c r="O1172" s="6">
        <v>1.125</v>
      </c>
      <c r="P1172" s="6">
        <v>-2.1875</v>
      </c>
      <c r="Q1172" s="6">
        <v>-42.625</v>
      </c>
      <c r="R1172" s="6">
        <v>1.2246114015579199</v>
      </c>
      <c r="S1172" s="6">
        <v>-27.939907073974599</v>
      </c>
      <c r="T1172" s="6">
        <v>-5.4259717464447001E-2</v>
      </c>
      <c r="U1172" s="6">
        <v>0.175118789076805</v>
      </c>
      <c r="V1172" s="6">
        <v>-6.5902552604675302</v>
      </c>
      <c r="W1172" s="6">
        <v>-19.0146579742432</v>
      </c>
    </row>
    <row r="1173" spans="1:23" ht="18.95" customHeight="1">
      <c r="A1173" s="4">
        <v>1169</v>
      </c>
      <c r="B1173" s="4">
        <v>25136</v>
      </c>
      <c r="C1173" s="4">
        <v>1</v>
      </c>
      <c r="D1173" s="6">
        <v>0</v>
      </c>
      <c r="E1173" s="6">
        <v>0</v>
      </c>
      <c r="F1173" s="6">
        <v>28</v>
      </c>
      <c r="G1173" s="6">
        <v>0.75</v>
      </c>
      <c r="H1173" s="6">
        <v>0.5</v>
      </c>
      <c r="I1173" s="6">
        <v>1.25</v>
      </c>
      <c r="J1173" s="6">
        <v>-1.375</v>
      </c>
      <c r="K1173" s="6">
        <v>20.4375</v>
      </c>
      <c r="L1173" s="6">
        <v>38.8125</v>
      </c>
      <c r="M1173" s="6">
        <v>-0.375</v>
      </c>
      <c r="N1173" s="6">
        <v>-0.1875</v>
      </c>
      <c r="O1173" s="6">
        <v>1.125</v>
      </c>
      <c r="P1173" s="6">
        <v>-2.1875</v>
      </c>
      <c r="Q1173" s="6">
        <v>-43.375</v>
      </c>
      <c r="R1173" s="6">
        <v>1.5299549102783201</v>
      </c>
      <c r="S1173" s="6">
        <v>-28.535327911376999</v>
      </c>
      <c r="T1173" s="6">
        <v>-0.46647346019744901</v>
      </c>
      <c r="U1173" s="6">
        <v>0.13951857388019601</v>
      </c>
      <c r="V1173" s="6">
        <v>-7.1773719787597701</v>
      </c>
      <c r="W1173" s="6">
        <v>-19.027782440185501</v>
      </c>
    </row>
    <row r="1174" spans="1:23" ht="18.95" customHeight="1">
      <c r="A1174" s="4">
        <v>1170</v>
      </c>
      <c r="B1174" s="4">
        <v>25158</v>
      </c>
      <c r="C1174" s="4">
        <v>1</v>
      </c>
      <c r="D1174" s="6">
        <v>0</v>
      </c>
      <c r="E1174" s="6">
        <v>0</v>
      </c>
      <c r="F1174" s="6">
        <v>29.6875</v>
      </c>
      <c r="G1174" s="6">
        <v>0.8125</v>
      </c>
      <c r="H1174" s="6">
        <v>0.125</v>
      </c>
      <c r="I1174" s="6">
        <v>1.25</v>
      </c>
      <c r="J1174" s="6">
        <v>-1.375</v>
      </c>
      <c r="K1174" s="6">
        <v>19.5625</v>
      </c>
      <c r="L1174" s="6">
        <v>35.75</v>
      </c>
      <c r="M1174" s="6">
        <v>-0.3125</v>
      </c>
      <c r="N1174" s="6">
        <v>0.1875</v>
      </c>
      <c r="O1174" s="6">
        <v>1.125</v>
      </c>
      <c r="P1174" s="6">
        <v>-2.1875</v>
      </c>
      <c r="Q1174" s="6">
        <v>-44.125</v>
      </c>
      <c r="R1174" s="6">
        <v>1.36201608181</v>
      </c>
      <c r="S1174" s="6">
        <v>-30.321586608886701</v>
      </c>
      <c r="T1174" s="6">
        <v>-5.4259717464447001E-2</v>
      </c>
      <c r="U1174" s="6">
        <v>0.26836082339286799</v>
      </c>
      <c r="V1174" s="6">
        <v>-7.7395210266113299</v>
      </c>
      <c r="W1174" s="6">
        <v>-19.024023056030298</v>
      </c>
    </row>
    <row r="1175" spans="1:23" ht="18.95" customHeight="1">
      <c r="A1175" s="4">
        <v>1171</v>
      </c>
      <c r="B1175" s="4">
        <v>25178</v>
      </c>
      <c r="C1175" s="4">
        <v>1</v>
      </c>
      <c r="D1175" s="6">
        <v>0</v>
      </c>
      <c r="E1175" s="6">
        <v>0</v>
      </c>
      <c r="F1175" s="6">
        <v>30.4375</v>
      </c>
      <c r="G1175" s="6">
        <v>0.75</v>
      </c>
      <c r="H1175" s="6">
        <v>0.6875</v>
      </c>
      <c r="I1175" s="6">
        <v>1.25</v>
      </c>
      <c r="J1175" s="6">
        <v>-1.375</v>
      </c>
      <c r="K1175" s="6">
        <v>18.9375</v>
      </c>
      <c r="L1175" s="6">
        <v>32.75</v>
      </c>
      <c r="M1175" s="6">
        <v>-0.3125</v>
      </c>
      <c r="N1175" s="6">
        <v>-0.1875</v>
      </c>
      <c r="O1175" s="6">
        <v>1.125</v>
      </c>
      <c r="P1175" s="6">
        <v>-2.1875</v>
      </c>
      <c r="Q1175" s="6">
        <v>-44.8125</v>
      </c>
      <c r="R1175" s="6">
        <v>1.6826267242431601</v>
      </c>
      <c r="S1175" s="6">
        <v>-31.771970748901399</v>
      </c>
      <c r="T1175" s="6">
        <v>-0.100061237812042</v>
      </c>
      <c r="U1175" s="6">
        <v>0.17833122611045801</v>
      </c>
      <c r="V1175" s="6">
        <v>-8.2413816452026403</v>
      </c>
      <c r="W1175" s="6">
        <v>-19.030977249145501</v>
      </c>
    </row>
    <row r="1176" spans="1:23" ht="18.95" customHeight="1">
      <c r="A1176" s="4">
        <v>1172</v>
      </c>
      <c r="B1176" s="4">
        <v>25199</v>
      </c>
      <c r="C1176" s="4">
        <v>1</v>
      </c>
      <c r="D1176" s="6">
        <v>0</v>
      </c>
      <c r="E1176" s="6">
        <v>0</v>
      </c>
      <c r="F1176" s="6">
        <v>32.5625</v>
      </c>
      <c r="G1176" s="6">
        <v>0.9375</v>
      </c>
      <c r="H1176" s="6">
        <v>0.1875</v>
      </c>
      <c r="I1176" s="6">
        <v>1.25</v>
      </c>
      <c r="J1176" s="6">
        <v>-1.375</v>
      </c>
      <c r="K1176" s="6">
        <v>18.25</v>
      </c>
      <c r="L1176" s="6">
        <v>31.625</v>
      </c>
      <c r="M1176" s="6">
        <v>-0.3125</v>
      </c>
      <c r="N1176" s="6">
        <v>-6.25E-2</v>
      </c>
      <c r="O1176" s="6">
        <v>1.1875</v>
      </c>
      <c r="P1176" s="6">
        <v>-2.1875</v>
      </c>
      <c r="Q1176" s="6">
        <v>-45.4375</v>
      </c>
      <c r="R1176" s="6">
        <v>1.17880988121033</v>
      </c>
      <c r="S1176" s="6">
        <v>-32.871208190917997</v>
      </c>
      <c r="T1176" s="6">
        <v>-0.57334369421005205</v>
      </c>
      <c r="U1176" s="6">
        <v>0.27759313583374001</v>
      </c>
      <c r="V1176" s="6">
        <v>-8.8324947357177699</v>
      </c>
      <c r="W1176" s="6">
        <v>-19.02760887146</v>
      </c>
    </row>
    <row r="1177" spans="1:23" ht="18.95" customHeight="1">
      <c r="A1177" s="4">
        <v>1173</v>
      </c>
      <c r="B1177" s="4">
        <v>25219</v>
      </c>
      <c r="C1177" s="4">
        <v>1</v>
      </c>
      <c r="D1177" s="6">
        <v>0</v>
      </c>
      <c r="E1177" s="6">
        <v>0</v>
      </c>
      <c r="F1177" s="6">
        <v>33.875</v>
      </c>
      <c r="G1177" s="6">
        <v>0.875</v>
      </c>
      <c r="H1177" s="6">
        <v>0.1875</v>
      </c>
      <c r="I1177" s="6">
        <v>1.3125</v>
      </c>
      <c r="J1177" s="6">
        <v>-1.4375</v>
      </c>
      <c r="K1177" s="6">
        <v>17.5625</v>
      </c>
      <c r="L1177" s="6">
        <v>28.875</v>
      </c>
      <c r="M1177" s="6">
        <v>-0.3125</v>
      </c>
      <c r="N1177" s="6">
        <v>0</v>
      </c>
      <c r="O1177" s="6">
        <v>1.1875</v>
      </c>
      <c r="P1177" s="6">
        <v>-2.1875</v>
      </c>
      <c r="Q1177" s="6">
        <v>-46.0625</v>
      </c>
      <c r="R1177" s="6">
        <v>1.4383518695831301</v>
      </c>
      <c r="S1177" s="6">
        <v>-33.573493957519503</v>
      </c>
      <c r="T1177" s="6">
        <v>2.2076129913330099E-2</v>
      </c>
      <c r="U1177" s="6">
        <v>0.25826528668403598</v>
      </c>
      <c r="V1177" s="6">
        <v>-9.3926181793212908</v>
      </c>
      <c r="W1177" s="6">
        <v>-19.0360622406006</v>
      </c>
    </row>
    <row r="1178" spans="1:23" ht="18.95" customHeight="1">
      <c r="A1178" s="4">
        <v>1174</v>
      </c>
      <c r="B1178" s="4">
        <v>25240</v>
      </c>
      <c r="C1178" s="4">
        <v>1</v>
      </c>
      <c r="D1178" s="6">
        <v>0</v>
      </c>
      <c r="E1178" s="6">
        <v>0</v>
      </c>
      <c r="F1178" s="6">
        <v>34.875</v>
      </c>
      <c r="G1178" s="6">
        <v>1.125</v>
      </c>
      <c r="H1178" s="6">
        <v>6.25E-2</v>
      </c>
      <c r="I1178" s="6">
        <v>1.3125</v>
      </c>
      <c r="J1178" s="6">
        <v>-1.4375</v>
      </c>
      <c r="K1178" s="6">
        <v>16.875</v>
      </c>
      <c r="L1178" s="6">
        <v>26.9375</v>
      </c>
      <c r="M1178" s="6">
        <v>-0.125</v>
      </c>
      <c r="N1178" s="6">
        <v>-6.25E-2</v>
      </c>
      <c r="O1178" s="6">
        <v>1.1875</v>
      </c>
      <c r="P1178" s="6">
        <v>-2.125</v>
      </c>
      <c r="Q1178" s="6">
        <v>-46.5625</v>
      </c>
      <c r="R1178" s="6">
        <v>1.1940771341323899</v>
      </c>
      <c r="S1178" s="6">
        <v>-34.962806701660199</v>
      </c>
      <c r="T1178" s="6">
        <v>-0.31380170583724998</v>
      </c>
      <c r="U1178" s="6">
        <v>0.29946383833885198</v>
      </c>
      <c r="V1178" s="6">
        <v>-10.052762985229499</v>
      </c>
      <c r="W1178" s="6">
        <v>-19.034999847412099</v>
      </c>
    </row>
    <row r="1179" spans="1:23" ht="18.95" customHeight="1">
      <c r="A1179" s="4">
        <v>1175</v>
      </c>
      <c r="B1179" s="4">
        <v>25261</v>
      </c>
      <c r="C1179" s="4">
        <v>1</v>
      </c>
      <c r="D1179" s="6">
        <v>0</v>
      </c>
      <c r="E1179" s="6">
        <v>0</v>
      </c>
      <c r="F1179" s="6">
        <v>35.9375</v>
      </c>
      <c r="G1179" s="6">
        <v>0.875</v>
      </c>
      <c r="H1179" s="6">
        <v>0.25</v>
      </c>
      <c r="I1179" s="6">
        <v>1.3125</v>
      </c>
      <c r="J1179" s="6">
        <v>-1.4375</v>
      </c>
      <c r="K1179" s="6">
        <v>16.1875</v>
      </c>
      <c r="L1179" s="6">
        <v>24.3125</v>
      </c>
      <c r="M1179" s="6">
        <v>-0.125</v>
      </c>
      <c r="N1179" s="6">
        <v>0.1875</v>
      </c>
      <c r="O1179" s="6">
        <v>1.1875</v>
      </c>
      <c r="P1179" s="6">
        <v>-2.125</v>
      </c>
      <c r="Q1179" s="6">
        <v>-47.0625</v>
      </c>
      <c r="R1179" s="6">
        <v>1.1330083608627299</v>
      </c>
      <c r="S1179" s="6">
        <v>-36.733802795410199</v>
      </c>
      <c r="T1179" s="6">
        <v>-5.4259717464447001E-2</v>
      </c>
      <c r="U1179" s="6">
        <v>0.332218438386917</v>
      </c>
      <c r="V1179" s="6">
        <v>-10.668739318847701</v>
      </c>
      <c r="W1179" s="6">
        <v>-19.041078567504901</v>
      </c>
    </row>
    <row r="1180" spans="1:23" ht="18.95" customHeight="1">
      <c r="A1180" s="4">
        <v>1176</v>
      </c>
      <c r="B1180" s="4">
        <v>25282</v>
      </c>
      <c r="C1180" s="4">
        <v>1</v>
      </c>
      <c r="D1180" s="6">
        <v>0</v>
      </c>
      <c r="E1180" s="6">
        <v>0</v>
      </c>
      <c r="F1180" s="6">
        <v>37.625</v>
      </c>
      <c r="G1180" s="6">
        <v>0.75</v>
      </c>
      <c r="H1180" s="6">
        <v>0.1875</v>
      </c>
      <c r="I1180" s="6">
        <v>1.3125</v>
      </c>
      <c r="J1180" s="6">
        <v>-1.4375</v>
      </c>
      <c r="K1180" s="6">
        <v>15.4375</v>
      </c>
      <c r="L1180" s="6">
        <v>22.8125</v>
      </c>
      <c r="M1180" s="6">
        <v>-0.125</v>
      </c>
      <c r="N1180" s="6">
        <v>0</v>
      </c>
      <c r="O1180" s="6">
        <v>1.1875</v>
      </c>
      <c r="P1180" s="6">
        <v>-2.125</v>
      </c>
      <c r="Q1180" s="6">
        <v>-47.5625</v>
      </c>
      <c r="R1180" s="6">
        <v>1.27041292190552</v>
      </c>
      <c r="S1180" s="6">
        <v>-37.237617492675803</v>
      </c>
      <c r="T1180" s="6">
        <v>-0.23746582865714999</v>
      </c>
      <c r="U1180" s="6">
        <v>0.32857754826545699</v>
      </c>
      <c r="V1180" s="6">
        <v>-11.2918500900269</v>
      </c>
      <c r="W1180" s="6">
        <v>-19.041971206665</v>
      </c>
    </row>
    <row r="1181" spans="1:23" ht="18.95" customHeight="1">
      <c r="A1181" s="4">
        <v>1177</v>
      </c>
      <c r="B1181" s="4">
        <v>25304</v>
      </c>
      <c r="C1181" s="4">
        <v>1</v>
      </c>
      <c r="D1181" s="6">
        <v>0</v>
      </c>
      <c r="E1181" s="6">
        <v>0</v>
      </c>
      <c r="F1181" s="6">
        <v>38.0625</v>
      </c>
      <c r="G1181" s="6">
        <v>1.125</v>
      </c>
      <c r="H1181" s="6">
        <v>0.625</v>
      </c>
      <c r="I1181" s="6">
        <v>1.3125</v>
      </c>
      <c r="J1181" s="6">
        <v>-1.5</v>
      </c>
      <c r="K1181" s="6">
        <v>14.6875</v>
      </c>
      <c r="L1181" s="6">
        <v>20</v>
      </c>
      <c r="M1181" s="6">
        <v>-0.125</v>
      </c>
      <c r="N1181" s="6">
        <v>-0.1875</v>
      </c>
      <c r="O1181" s="6">
        <v>1.1875</v>
      </c>
      <c r="P1181" s="6">
        <v>-2.125</v>
      </c>
      <c r="Q1181" s="6">
        <v>-48</v>
      </c>
      <c r="R1181" s="6">
        <v>1.80476403236389</v>
      </c>
      <c r="S1181" s="6">
        <v>-38.703269958496101</v>
      </c>
      <c r="T1181" s="6">
        <v>-0.14586275815963701</v>
      </c>
      <c r="U1181" s="6">
        <v>0.385412037372589</v>
      </c>
      <c r="V1181" s="6">
        <v>-12.0300951004028</v>
      </c>
      <c r="W1181" s="6">
        <v>-19.0512084960938</v>
      </c>
    </row>
    <row r="1182" spans="1:23" ht="18.95" customHeight="1">
      <c r="A1182" s="4">
        <v>1178</v>
      </c>
      <c r="B1182" s="4">
        <v>25324</v>
      </c>
      <c r="C1182" s="4">
        <v>1</v>
      </c>
      <c r="D1182" s="6">
        <v>0</v>
      </c>
      <c r="E1182" s="6">
        <v>0</v>
      </c>
      <c r="F1182" s="6">
        <v>39.5</v>
      </c>
      <c r="G1182" s="6">
        <v>0.75</v>
      </c>
      <c r="H1182" s="6">
        <v>0.1875</v>
      </c>
      <c r="I1182" s="6">
        <v>1.3125</v>
      </c>
      <c r="J1182" s="6">
        <v>-1.5</v>
      </c>
      <c r="K1182" s="6">
        <v>13.875</v>
      </c>
      <c r="L1182" s="6">
        <v>18.4375</v>
      </c>
      <c r="M1182" s="6">
        <v>-0.3125</v>
      </c>
      <c r="N1182" s="6">
        <v>-6.25E-2</v>
      </c>
      <c r="O1182" s="6">
        <v>1.25</v>
      </c>
      <c r="P1182" s="6">
        <v>-2.125</v>
      </c>
      <c r="Q1182" s="6">
        <v>-48.5625</v>
      </c>
      <c r="R1182" s="6">
        <v>1.3467488288879399</v>
      </c>
      <c r="S1182" s="6">
        <v>-39.4513549804688</v>
      </c>
      <c r="T1182" s="6">
        <v>-0.29853454232215898</v>
      </c>
      <c r="U1182" s="6">
        <v>0.40936782956123402</v>
      </c>
      <c r="V1182" s="6">
        <v>-12.722771644592299</v>
      </c>
      <c r="W1182" s="6">
        <v>-19.0481967926025</v>
      </c>
    </row>
    <row r="1183" spans="1:23" ht="18.95" customHeight="1">
      <c r="A1183" s="4">
        <v>1179</v>
      </c>
      <c r="B1183" s="4">
        <v>25345</v>
      </c>
      <c r="C1183" s="4">
        <v>1</v>
      </c>
      <c r="D1183" s="6">
        <v>0</v>
      </c>
      <c r="E1183" s="6">
        <v>0</v>
      </c>
      <c r="F1183" s="6">
        <v>40.25</v>
      </c>
      <c r="G1183" s="6">
        <v>1.1875</v>
      </c>
      <c r="H1183" s="6">
        <v>0.75</v>
      </c>
      <c r="I1183" s="6">
        <v>1.3125</v>
      </c>
      <c r="J1183" s="6">
        <v>-1.5</v>
      </c>
      <c r="K1183" s="6">
        <v>13.125</v>
      </c>
      <c r="L1183" s="6">
        <v>15.125</v>
      </c>
      <c r="M1183" s="6">
        <v>-0.125</v>
      </c>
      <c r="N1183" s="6">
        <v>0</v>
      </c>
      <c r="O1183" s="6">
        <v>1.25</v>
      </c>
      <c r="P1183" s="6">
        <v>-2.125</v>
      </c>
      <c r="Q1183" s="6">
        <v>-48.875</v>
      </c>
      <c r="R1183" s="6">
        <v>2.20171070098877</v>
      </c>
      <c r="S1183" s="6">
        <v>-41.985710144042997</v>
      </c>
      <c r="T1183" s="6">
        <v>0.34268689155578602</v>
      </c>
      <c r="U1183" s="6">
        <v>0.42446723580360401</v>
      </c>
      <c r="V1183" s="6">
        <v>-13.446789741516101</v>
      </c>
      <c r="W1183" s="6">
        <v>-19.050632476806602</v>
      </c>
    </row>
    <row r="1184" spans="1:23" ht="18.95" customHeight="1">
      <c r="A1184" s="4">
        <v>1180</v>
      </c>
      <c r="B1184" s="4">
        <v>25366</v>
      </c>
      <c r="C1184" s="4">
        <v>1</v>
      </c>
      <c r="D1184" s="6">
        <v>0</v>
      </c>
      <c r="E1184" s="6">
        <v>0</v>
      </c>
      <c r="F1184" s="6">
        <v>42.25</v>
      </c>
      <c r="G1184" s="6">
        <v>0.625</v>
      </c>
      <c r="H1184" s="6">
        <v>0.125</v>
      </c>
      <c r="I1184" s="6">
        <v>1.375</v>
      </c>
      <c r="J1184" s="6">
        <v>-1.5625</v>
      </c>
      <c r="K1184" s="6">
        <v>12.3125</v>
      </c>
      <c r="L1184" s="6">
        <v>13.75</v>
      </c>
      <c r="M1184" s="6">
        <v>-0.125</v>
      </c>
      <c r="N1184" s="6">
        <v>-0.125</v>
      </c>
      <c r="O1184" s="6">
        <v>1.25</v>
      </c>
      <c r="P1184" s="6">
        <v>-2.125</v>
      </c>
      <c r="Q1184" s="6">
        <v>-49.125</v>
      </c>
      <c r="R1184" s="6">
        <v>1.60629081726074</v>
      </c>
      <c r="S1184" s="6">
        <v>-41.6651000976562</v>
      </c>
      <c r="T1184" s="6">
        <v>-6.9526910781860393E-2</v>
      </c>
      <c r="U1184" s="6">
        <v>0.42483922839164701</v>
      </c>
      <c r="V1184" s="6">
        <v>-14.242418289184601</v>
      </c>
      <c r="W1184" s="6">
        <v>-19.053113937377901</v>
      </c>
    </row>
    <row r="1185" spans="1:23" ht="18.95" customHeight="1">
      <c r="A1185" s="4">
        <v>1181</v>
      </c>
      <c r="B1185" s="4">
        <v>25387</v>
      </c>
      <c r="C1185" s="4">
        <v>1</v>
      </c>
      <c r="D1185" s="6">
        <v>0</v>
      </c>
      <c r="E1185" s="6">
        <v>0</v>
      </c>
      <c r="F1185" s="6">
        <v>42.9375</v>
      </c>
      <c r="G1185" s="6">
        <v>1.0625</v>
      </c>
      <c r="H1185" s="6">
        <v>0.5</v>
      </c>
      <c r="I1185" s="6">
        <v>1.375</v>
      </c>
      <c r="J1185" s="6">
        <v>-1.5625</v>
      </c>
      <c r="K1185" s="6">
        <v>11.5</v>
      </c>
      <c r="L1185" s="6">
        <v>11.25</v>
      </c>
      <c r="M1185" s="6">
        <v>6.25E-2</v>
      </c>
      <c r="N1185" s="6">
        <v>-0.125</v>
      </c>
      <c r="O1185" s="6">
        <v>1.25</v>
      </c>
      <c r="P1185" s="6">
        <v>-2.125</v>
      </c>
      <c r="Q1185" s="6">
        <v>-49.375</v>
      </c>
      <c r="R1185" s="6">
        <v>1.6215579509735101</v>
      </c>
      <c r="S1185" s="6">
        <v>-43.481895446777301</v>
      </c>
      <c r="T1185" s="6">
        <v>-0.54280936717987105</v>
      </c>
      <c r="U1185" s="6">
        <v>0.47715401649475098</v>
      </c>
      <c r="V1185" s="6">
        <v>-15.0122079849243</v>
      </c>
      <c r="W1185" s="6">
        <v>-19.060375213623001</v>
      </c>
    </row>
    <row r="1186" spans="1:23" ht="18.95" customHeight="1">
      <c r="A1186" s="4">
        <v>1182</v>
      </c>
      <c r="B1186" s="4">
        <v>25407</v>
      </c>
      <c r="C1186" s="4">
        <v>1</v>
      </c>
      <c r="D1186" s="6">
        <v>0</v>
      </c>
      <c r="E1186" s="6">
        <v>0</v>
      </c>
      <c r="F1186" s="6">
        <v>44.5</v>
      </c>
      <c r="G1186" s="6">
        <v>0.6875</v>
      </c>
      <c r="H1186" s="6">
        <v>0.25</v>
      </c>
      <c r="I1186" s="6">
        <v>1.375</v>
      </c>
      <c r="J1186" s="6">
        <v>-1.5625</v>
      </c>
      <c r="K1186" s="6">
        <v>10.625</v>
      </c>
      <c r="L1186" s="6">
        <v>9.75</v>
      </c>
      <c r="M1186" s="6">
        <v>-0.125</v>
      </c>
      <c r="N1186" s="6">
        <v>6.25E-2</v>
      </c>
      <c r="O1186" s="6">
        <v>1.25</v>
      </c>
      <c r="P1186" s="6">
        <v>-2.125</v>
      </c>
      <c r="Q1186" s="6">
        <v>-49.625</v>
      </c>
      <c r="R1186" s="6">
        <v>2.0948405265808101</v>
      </c>
      <c r="S1186" s="6">
        <v>-43.833038330078097</v>
      </c>
      <c r="T1186" s="6">
        <v>0.54116010665893599</v>
      </c>
      <c r="U1186" s="6">
        <v>0.41236135363578802</v>
      </c>
      <c r="V1186" s="6">
        <v>-15.731772422790501</v>
      </c>
      <c r="W1186" s="6">
        <v>-19.058565139770501</v>
      </c>
    </row>
    <row r="1187" spans="1:23" ht="18.95" customHeight="1">
      <c r="A1187" s="4">
        <v>1183</v>
      </c>
      <c r="B1187" s="4">
        <v>25444</v>
      </c>
      <c r="C1187" s="4">
        <v>1</v>
      </c>
      <c r="D1187" s="6">
        <v>0</v>
      </c>
      <c r="E1187" s="6">
        <v>0</v>
      </c>
      <c r="F1187" s="6">
        <v>45.8125</v>
      </c>
      <c r="G1187" s="6">
        <v>1.125</v>
      </c>
      <c r="H1187" s="6">
        <v>0.375</v>
      </c>
      <c r="I1187" s="6">
        <v>1.375</v>
      </c>
      <c r="J1187" s="6">
        <v>-1.625</v>
      </c>
      <c r="K1187" s="6">
        <v>8.875</v>
      </c>
      <c r="L1187" s="6">
        <v>6.5</v>
      </c>
      <c r="M1187" s="6">
        <v>-0.1875</v>
      </c>
      <c r="N1187" s="6">
        <v>6.25E-2</v>
      </c>
      <c r="O1187" s="6">
        <v>1.25</v>
      </c>
      <c r="P1187" s="6">
        <v>-2.125</v>
      </c>
      <c r="Q1187" s="6">
        <v>-49.9375</v>
      </c>
      <c r="R1187" s="6">
        <v>1.4383518695831301</v>
      </c>
      <c r="S1187" s="6">
        <v>-45.756698608398402</v>
      </c>
      <c r="T1187" s="6">
        <v>-0.14586275815963701</v>
      </c>
      <c r="U1187" s="6">
        <v>0.46733903884887701</v>
      </c>
      <c r="V1187" s="6">
        <v>-17.314521789550799</v>
      </c>
      <c r="W1187" s="6">
        <v>-19.062677383422901</v>
      </c>
    </row>
    <row r="1188" spans="1:23" ht="18.95" customHeight="1">
      <c r="A1188" s="4">
        <v>1184</v>
      </c>
      <c r="B1188" s="4">
        <v>25465</v>
      </c>
      <c r="C1188" s="4">
        <v>1</v>
      </c>
      <c r="D1188" s="6">
        <v>0</v>
      </c>
      <c r="E1188" s="6">
        <v>0</v>
      </c>
      <c r="F1188" s="6">
        <v>47.125</v>
      </c>
      <c r="G1188" s="6">
        <v>1.0625</v>
      </c>
      <c r="H1188" s="6">
        <v>0.5625</v>
      </c>
      <c r="I1188" s="6">
        <v>1.4375</v>
      </c>
      <c r="J1188" s="6">
        <v>-1.625</v>
      </c>
      <c r="K1188" s="6">
        <v>8</v>
      </c>
      <c r="L1188" s="6">
        <v>3.8125</v>
      </c>
      <c r="M1188" s="6">
        <v>6.25E-2</v>
      </c>
      <c r="N1188" s="6">
        <v>6.25E-2</v>
      </c>
      <c r="O1188" s="6">
        <v>1.25</v>
      </c>
      <c r="P1188" s="6">
        <v>-2.125</v>
      </c>
      <c r="Q1188" s="6">
        <v>-50</v>
      </c>
      <c r="R1188" s="6">
        <v>1.86583280563354</v>
      </c>
      <c r="S1188" s="6">
        <v>-46.871208190917997</v>
      </c>
      <c r="T1188" s="6">
        <v>0.31215250492095897</v>
      </c>
      <c r="U1188" s="6">
        <v>0.52955698966980003</v>
      </c>
      <c r="V1188" s="6">
        <v>-18.1810092926025</v>
      </c>
      <c r="W1188" s="6">
        <v>-19.058771133422901</v>
      </c>
    </row>
    <row r="1189" spans="1:23" ht="18.95" customHeight="1">
      <c r="A1189" s="4">
        <v>1185</v>
      </c>
      <c r="B1189" s="4">
        <v>25487</v>
      </c>
      <c r="C1189" s="4">
        <v>1</v>
      </c>
      <c r="D1189" s="6">
        <v>0</v>
      </c>
      <c r="E1189" s="6">
        <v>0</v>
      </c>
      <c r="F1189" s="6">
        <v>47.5625</v>
      </c>
      <c r="G1189" s="6">
        <v>1.25</v>
      </c>
      <c r="H1189" s="6">
        <v>0.5625</v>
      </c>
      <c r="I1189" s="6">
        <v>1.4375</v>
      </c>
      <c r="J1189" s="6">
        <v>-1.6875</v>
      </c>
      <c r="K1189" s="6">
        <v>7.0625</v>
      </c>
      <c r="L1189" s="6">
        <v>1.875</v>
      </c>
      <c r="M1189" s="6">
        <v>-0.125</v>
      </c>
      <c r="N1189" s="6">
        <v>-6.25E-2</v>
      </c>
      <c r="O1189" s="6">
        <v>1.25</v>
      </c>
      <c r="P1189" s="6">
        <v>-2.125</v>
      </c>
      <c r="Q1189" s="6">
        <v>-50.0625</v>
      </c>
      <c r="R1189" s="6">
        <v>1.86583280563354</v>
      </c>
      <c r="S1189" s="6">
        <v>-46.871208190917997</v>
      </c>
      <c r="T1189" s="6">
        <v>-0.161129951477051</v>
      </c>
      <c r="U1189" s="6">
        <v>0.52266520261764504</v>
      </c>
      <c r="V1189" s="6">
        <v>-19.0156650543213</v>
      </c>
      <c r="W1189" s="6">
        <v>-19.0589923858643</v>
      </c>
    </row>
    <row r="1190" spans="1:23" ht="18.95" customHeight="1">
      <c r="A1190" s="4">
        <v>1186</v>
      </c>
      <c r="B1190" s="4">
        <v>25508</v>
      </c>
      <c r="C1190" s="4">
        <v>1</v>
      </c>
      <c r="D1190" s="6">
        <v>0</v>
      </c>
      <c r="E1190" s="6">
        <v>0</v>
      </c>
      <c r="F1190" s="6">
        <v>48.5625</v>
      </c>
      <c r="G1190" s="6">
        <v>1.125</v>
      </c>
      <c r="H1190" s="6">
        <v>0.5</v>
      </c>
      <c r="I1190" s="6">
        <v>1.4375</v>
      </c>
      <c r="J1190" s="6">
        <v>-1.6875</v>
      </c>
      <c r="K1190" s="6">
        <v>5.6875</v>
      </c>
      <c r="L1190" s="6">
        <v>6.25E-2</v>
      </c>
      <c r="M1190" s="6">
        <v>0</v>
      </c>
      <c r="N1190" s="6">
        <v>6.25E-2</v>
      </c>
      <c r="O1190" s="6">
        <v>1.25</v>
      </c>
      <c r="P1190" s="6">
        <v>-2.125</v>
      </c>
      <c r="Q1190" s="6">
        <v>-50.0625</v>
      </c>
      <c r="R1190" s="6">
        <v>2.0795731544494598</v>
      </c>
      <c r="S1190" s="6">
        <v>-46.901741027832003</v>
      </c>
      <c r="T1190" s="6">
        <v>0.54116010665893599</v>
      </c>
      <c r="U1190" s="6">
        <v>0.58039146661758401</v>
      </c>
      <c r="V1190" s="6">
        <v>-19.862653732299801</v>
      </c>
      <c r="W1190" s="6">
        <v>-19.054399490356399</v>
      </c>
    </row>
    <row r="1191" spans="1:23" ht="18.95" customHeight="1">
      <c r="A1191" s="4">
        <v>1187</v>
      </c>
      <c r="B1191" s="4">
        <v>25529</v>
      </c>
      <c r="C1191" s="4">
        <v>1</v>
      </c>
      <c r="D1191" s="6">
        <v>0</v>
      </c>
      <c r="E1191" s="6">
        <v>0</v>
      </c>
      <c r="F1191" s="6">
        <v>47.75</v>
      </c>
      <c r="G1191" s="6">
        <v>1.375</v>
      </c>
      <c r="H1191" s="6">
        <v>0.6875</v>
      </c>
      <c r="I1191" s="6">
        <v>1.4375</v>
      </c>
      <c r="J1191" s="6">
        <v>-1.6875</v>
      </c>
      <c r="K1191" s="6">
        <v>5.1875</v>
      </c>
      <c r="L1191" s="6">
        <v>-0.9375</v>
      </c>
      <c r="M1191" s="6">
        <v>6.25E-2</v>
      </c>
      <c r="N1191" s="6">
        <v>0.125</v>
      </c>
      <c r="O1191" s="6">
        <v>1.25</v>
      </c>
      <c r="P1191" s="6">
        <v>-2.0625</v>
      </c>
      <c r="Q1191" s="6">
        <v>-50.0625</v>
      </c>
      <c r="R1191" s="6">
        <v>2.9498023986816402</v>
      </c>
      <c r="S1191" s="6">
        <v>-47.787239074707003</v>
      </c>
      <c r="T1191" s="6">
        <v>0.60222876071929898</v>
      </c>
      <c r="U1191" s="6">
        <v>0.53367954492569003</v>
      </c>
      <c r="V1191" s="6">
        <v>-20.671384811401399</v>
      </c>
      <c r="W1191" s="6">
        <v>-19.043300628662099</v>
      </c>
    </row>
    <row r="1192" spans="1:23" ht="18.95" customHeight="1">
      <c r="A1192" s="4">
        <v>1188</v>
      </c>
      <c r="B1192" s="4">
        <v>25550</v>
      </c>
      <c r="C1192" s="4">
        <v>1</v>
      </c>
      <c r="D1192" s="6">
        <v>0</v>
      </c>
      <c r="E1192" s="6">
        <v>0</v>
      </c>
      <c r="F1192" s="6">
        <v>48.875</v>
      </c>
      <c r="G1192" s="6">
        <v>2.25</v>
      </c>
      <c r="H1192" s="6">
        <v>1.3125</v>
      </c>
      <c r="I1192" s="6">
        <v>1.4375</v>
      </c>
      <c r="J1192" s="6">
        <v>-1.75</v>
      </c>
      <c r="K1192" s="6">
        <v>3.75</v>
      </c>
      <c r="L1192" s="6">
        <v>-3.1875</v>
      </c>
      <c r="M1192" s="6">
        <v>0.5625</v>
      </c>
      <c r="N1192" s="6">
        <v>-6.25E-2</v>
      </c>
      <c r="O1192" s="6">
        <v>1.25</v>
      </c>
      <c r="P1192" s="6">
        <v>-2.0625</v>
      </c>
      <c r="Q1192" s="6">
        <v>-50.0625</v>
      </c>
      <c r="R1192" s="6">
        <v>1.9421687126159699</v>
      </c>
      <c r="S1192" s="6">
        <v>-47.802505493164098</v>
      </c>
      <c r="T1192" s="6">
        <v>0.61749601364135698</v>
      </c>
      <c r="U1192" s="6">
        <v>0.72847533226013195</v>
      </c>
      <c r="V1192" s="6">
        <v>-21.4852695465088</v>
      </c>
      <c r="W1192" s="6">
        <v>-19.0291042327881</v>
      </c>
    </row>
    <row r="1193" spans="1:23" ht="18.95" customHeight="1">
      <c r="A1193" s="4">
        <v>1189</v>
      </c>
      <c r="B1193" s="4">
        <v>25570</v>
      </c>
      <c r="C1193" s="4">
        <v>1</v>
      </c>
      <c r="D1193" s="6">
        <v>0</v>
      </c>
      <c r="E1193" s="6">
        <v>0</v>
      </c>
      <c r="F1193" s="6">
        <v>48.625</v>
      </c>
      <c r="G1193" s="6">
        <v>2.3125</v>
      </c>
      <c r="H1193" s="6">
        <v>1.375</v>
      </c>
      <c r="I1193" s="6">
        <v>1.4375</v>
      </c>
      <c r="J1193" s="6">
        <v>-1.8125</v>
      </c>
      <c r="K1193" s="6">
        <v>2.8125</v>
      </c>
      <c r="L1193" s="6">
        <v>-5.1875</v>
      </c>
      <c r="M1193" s="6">
        <v>0.3125</v>
      </c>
      <c r="N1193" s="6">
        <v>0</v>
      </c>
      <c r="O1193" s="6">
        <v>1.25</v>
      </c>
      <c r="P1193" s="6">
        <v>-2.0625</v>
      </c>
      <c r="Q1193" s="6">
        <v>-49.9375</v>
      </c>
      <c r="R1193" s="6">
        <v>2.2169778347015399</v>
      </c>
      <c r="S1193" s="6">
        <v>-46.917007446289098</v>
      </c>
      <c r="T1193" s="6">
        <v>0.19001507759094199</v>
      </c>
      <c r="U1193" s="6">
        <v>0.76320177316665605</v>
      </c>
      <c r="V1193" s="6">
        <v>-22.209304809570298</v>
      </c>
      <c r="W1193" s="6">
        <v>-19.031496047973601</v>
      </c>
    </row>
    <row r="1194" spans="1:23" ht="18.95" customHeight="1">
      <c r="A1194" s="4">
        <v>1190</v>
      </c>
      <c r="B1194" s="4">
        <v>25592</v>
      </c>
      <c r="C1194" s="4">
        <v>1</v>
      </c>
      <c r="D1194" s="6">
        <v>0</v>
      </c>
      <c r="E1194" s="6">
        <v>0</v>
      </c>
      <c r="F1194" s="6">
        <v>48.5</v>
      </c>
      <c r="G1194" s="6">
        <v>1.0625</v>
      </c>
      <c r="H1194" s="6">
        <v>0.375</v>
      </c>
      <c r="I1194" s="6">
        <v>1.4375</v>
      </c>
      <c r="J1194" s="6">
        <v>-1.8125</v>
      </c>
      <c r="K1194" s="6">
        <v>1.875</v>
      </c>
      <c r="L1194" s="6">
        <v>-7</v>
      </c>
      <c r="M1194" s="6">
        <v>0</v>
      </c>
      <c r="N1194" s="6">
        <v>0</v>
      </c>
      <c r="O1194" s="6">
        <v>1.25</v>
      </c>
      <c r="P1194" s="6">
        <v>-2.0625</v>
      </c>
      <c r="Q1194" s="6">
        <v>-49.875</v>
      </c>
      <c r="R1194" s="6">
        <v>2.1559090614318799</v>
      </c>
      <c r="S1194" s="6">
        <v>-46.596397399902301</v>
      </c>
      <c r="T1194" s="6">
        <v>0.40375554561615001</v>
      </c>
      <c r="U1194" s="6">
        <v>0.73752868175506603</v>
      </c>
      <c r="V1194" s="6">
        <v>-23.045585632324201</v>
      </c>
      <c r="W1194" s="6">
        <v>-19.023790359497099</v>
      </c>
    </row>
    <row r="1195" spans="1:23" ht="18.95" customHeight="1">
      <c r="A1195" s="4">
        <v>1191</v>
      </c>
      <c r="B1195" s="4">
        <v>25613</v>
      </c>
      <c r="C1195" s="4">
        <v>1</v>
      </c>
      <c r="D1195" s="6">
        <v>0</v>
      </c>
      <c r="E1195" s="6">
        <v>0</v>
      </c>
      <c r="F1195" s="6">
        <v>48.0625</v>
      </c>
      <c r="G1195" s="6">
        <v>1.5625</v>
      </c>
      <c r="H1195" s="6">
        <v>0.8125</v>
      </c>
      <c r="I1195" s="6">
        <v>1.4375</v>
      </c>
      <c r="J1195" s="6">
        <v>-1.875</v>
      </c>
      <c r="K1195" s="6">
        <v>0.9375</v>
      </c>
      <c r="L1195" s="6">
        <v>-8.4375</v>
      </c>
      <c r="M1195" s="6">
        <v>0.3125</v>
      </c>
      <c r="N1195" s="6">
        <v>0.125</v>
      </c>
      <c r="O1195" s="6">
        <v>1.1875</v>
      </c>
      <c r="P1195" s="6">
        <v>-2.0625</v>
      </c>
      <c r="Q1195" s="6">
        <v>-49.6875</v>
      </c>
      <c r="R1195" s="6">
        <v>2.1253747940063499</v>
      </c>
      <c r="S1195" s="6">
        <v>-46.306320190429702</v>
      </c>
      <c r="T1195" s="6">
        <v>0.35795402526855502</v>
      </c>
      <c r="U1195" s="6">
        <v>0.81654745340347301</v>
      </c>
      <c r="V1195" s="6">
        <v>-23.8959636688232</v>
      </c>
      <c r="W1195" s="6">
        <v>-19.016008377075199</v>
      </c>
    </row>
    <row r="1196" spans="1:23" ht="18.95" customHeight="1">
      <c r="A1196" s="4">
        <v>1192</v>
      </c>
      <c r="B1196" s="4">
        <v>25635</v>
      </c>
      <c r="C1196" s="4">
        <v>1</v>
      </c>
      <c r="D1196" s="6">
        <v>0</v>
      </c>
      <c r="E1196" s="6">
        <v>0</v>
      </c>
      <c r="F1196" s="6">
        <v>48.1875</v>
      </c>
      <c r="G1196" s="6">
        <v>1.375</v>
      </c>
      <c r="H1196" s="6">
        <v>0.875</v>
      </c>
      <c r="I1196" s="6">
        <v>1.4375</v>
      </c>
      <c r="J1196" s="6">
        <v>-1.875</v>
      </c>
      <c r="K1196" s="6">
        <v>0</v>
      </c>
      <c r="L1196" s="6">
        <v>-10.1875</v>
      </c>
      <c r="M1196" s="6">
        <v>0.25</v>
      </c>
      <c r="N1196" s="6">
        <v>-6.25E-2</v>
      </c>
      <c r="O1196" s="6">
        <v>1.1875</v>
      </c>
      <c r="P1196" s="6">
        <v>-2.0625</v>
      </c>
      <c r="Q1196" s="6">
        <v>-49.4375</v>
      </c>
      <c r="R1196" s="6">
        <v>1.14827561378479</v>
      </c>
      <c r="S1196" s="6">
        <v>-45.741432189941399</v>
      </c>
      <c r="T1196" s="6">
        <v>-0.32906889915466297</v>
      </c>
      <c r="U1196" s="6">
        <v>0.85627681016921997</v>
      </c>
      <c r="V1196" s="6">
        <v>-24.613508224487301</v>
      </c>
      <c r="W1196" s="6">
        <v>-19.0159721374512</v>
      </c>
    </row>
    <row r="1197" spans="1:23" ht="18.95" customHeight="1">
      <c r="A1197" s="4">
        <v>1193</v>
      </c>
      <c r="B1197" s="4">
        <v>25655</v>
      </c>
      <c r="C1197" s="4">
        <v>1</v>
      </c>
      <c r="D1197" s="6">
        <v>0</v>
      </c>
      <c r="E1197" s="6">
        <v>0</v>
      </c>
      <c r="F1197" s="6">
        <v>47.1875</v>
      </c>
      <c r="G1197" s="6">
        <v>0.9375</v>
      </c>
      <c r="H1197" s="6">
        <v>0.6875</v>
      </c>
      <c r="I1197" s="6">
        <v>1.4375</v>
      </c>
      <c r="J1197" s="6">
        <v>-1.875</v>
      </c>
      <c r="K1197" s="6">
        <v>-0.8125</v>
      </c>
      <c r="L1197" s="6">
        <v>-12.3125</v>
      </c>
      <c r="M1197" s="6">
        <v>0.3125</v>
      </c>
      <c r="N1197" s="6">
        <v>-0.125</v>
      </c>
      <c r="O1197" s="6">
        <v>1.1875</v>
      </c>
      <c r="P1197" s="6">
        <v>-2.0625</v>
      </c>
      <c r="Q1197" s="6">
        <v>-49.1875</v>
      </c>
      <c r="R1197" s="6">
        <v>1.6520923376083401</v>
      </c>
      <c r="S1197" s="6">
        <v>-45.710899353027301</v>
      </c>
      <c r="T1197" s="6">
        <v>2.2076129913330099E-2</v>
      </c>
      <c r="U1197" s="6">
        <v>0.897630274295807</v>
      </c>
      <c r="V1197" s="6">
        <v>-25.381153106689499</v>
      </c>
      <c r="W1197" s="6">
        <v>-19.019292831420898</v>
      </c>
    </row>
    <row r="1198" spans="1:23" ht="18.95" customHeight="1">
      <c r="A1198" s="4">
        <v>1194</v>
      </c>
      <c r="B1198" s="4">
        <v>25676</v>
      </c>
      <c r="C1198" s="4">
        <v>1</v>
      </c>
      <c r="D1198" s="6">
        <v>0</v>
      </c>
      <c r="E1198" s="6">
        <v>0</v>
      </c>
      <c r="F1198" s="6">
        <v>46.9375</v>
      </c>
      <c r="G1198" s="6">
        <v>1.3125</v>
      </c>
      <c r="H1198" s="6">
        <v>0.4375</v>
      </c>
      <c r="I1198" s="6">
        <v>1.4375</v>
      </c>
      <c r="J1198" s="6">
        <v>-1.9375</v>
      </c>
      <c r="K1198" s="6">
        <v>-1.75</v>
      </c>
      <c r="L1198" s="6">
        <v>-13</v>
      </c>
      <c r="M1198" s="6">
        <v>0.1875</v>
      </c>
      <c r="N1198" s="6">
        <v>-6.25E-2</v>
      </c>
      <c r="O1198" s="6">
        <v>1.1875</v>
      </c>
      <c r="P1198" s="6">
        <v>-2.0625</v>
      </c>
      <c r="Q1198" s="6">
        <v>-48.9375</v>
      </c>
      <c r="R1198" s="6">
        <v>2.0948405265808101</v>
      </c>
      <c r="S1198" s="6">
        <v>-44.382652282714801</v>
      </c>
      <c r="T1198" s="6">
        <v>0.38848841190338101</v>
      </c>
      <c r="U1198" s="6">
        <v>0.91756981611251798</v>
      </c>
      <c r="V1198" s="6">
        <v>-26.1105556488037</v>
      </c>
      <c r="W1198" s="6">
        <v>-19.012630462646499</v>
      </c>
    </row>
    <row r="1199" spans="1:23" ht="18.95" customHeight="1">
      <c r="A1199" s="4">
        <v>1195</v>
      </c>
      <c r="B1199" s="4">
        <v>25696</v>
      </c>
      <c r="C1199" s="4">
        <v>1</v>
      </c>
      <c r="D1199" s="6">
        <v>0</v>
      </c>
      <c r="E1199" s="6">
        <v>0</v>
      </c>
      <c r="F1199" s="6">
        <v>46.4375</v>
      </c>
      <c r="G1199" s="6">
        <v>1.5</v>
      </c>
      <c r="H1199" s="6">
        <v>0.875</v>
      </c>
      <c r="I1199" s="6">
        <v>1.4375</v>
      </c>
      <c r="J1199" s="6">
        <v>-1.9375</v>
      </c>
      <c r="K1199" s="6">
        <v>-2.625</v>
      </c>
      <c r="L1199" s="6">
        <v>-15.125</v>
      </c>
      <c r="M1199" s="6">
        <v>0.1875</v>
      </c>
      <c r="N1199" s="6">
        <v>0</v>
      </c>
      <c r="O1199" s="6">
        <v>1.1875</v>
      </c>
      <c r="P1199" s="6">
        <v>-2.0625</v>
      </c>
      <c r="Q1199" s="6">
        <v>-48.6875</v>
      </c>
      <c r="R1199" s="6">
        <v>1.7589626312255899</v>
      </c>
      <c r="S1199" s="6">
        <v>-45.161285400390597</v>
      </c>
      <c r="T1199" s="6">
        <v>5.2610516548156697E-2</v>
      </c>
      <c r="U1199" s="6">
        <v>0.96866631507873502</v>
      </c>
      <c r="V1199" s="6">
        <v>-26.830741882324201</v>
      </c>
      <c r="W1199" s="6">
        <v>-19.007911682128899</v>
      </c>
    </row>
    <row r="1200" spans="1:23" ht="18.95" customHeight="1">
      <c r="A1200" s="4">
        <v>1196</v>
      </c>
      <c r="B1200" s="4">
        <v>25717</v>
      </c>
      <c r="C1200" s="4">
        <v>1</v>
      </c>
      <c r="D1200" s="6">
        <v>0</v>
      </c>
      <c r="E1200" s="6">
        <v>0</v>
      </c>
      <c r="F1200" s="6">
        <v>46</v>
      </c>
      <c r="G1200" s="6">
        <v>1.25</v>
      </c>
      <c r="H1200" s="6">
        <v>0.625</v>
      </c>
      <c r="I1200" s="6">
        <v>1.4375</v>
      </c>
      <c r="J1200" s="6">
        <v>-2</v>
      </c>
      <c r="K1200" s="6">
        <v>-3.5625</v>
      </c>
      <c r="L1200" s="6">
        <v>-16.9375</v>
      </c>
      <c r="M1200" s="6">
        <v>6.25E-2</v>
      </c>
      <c r="N1200" s="6">
        <v>-0.125</v>
      </c>
      <c r="O1200" s="6">
        <v>1.1875</v>
      </c>
      <c r="P1200" s="6">
        <v>-2.0625</v>
      </c>
      <c r="Q1200" s="6">
        <v>-48.375</v>
      </c>
      <c r="R1200" s="6">
        <v>1.8505656719207799</v>
      </c>
      <c r="S1200" s="6">
        <v>-43.985710144042997</v>
      </c>
      <c r="T1200" s="6">
        <v>0.22054940462112399</v>
      </c>
      <c r="U1200" s="6">
        <v>0.923964083194733</v>
      </c>
      <c r="V1200" s="6">
        <v>-27.5146369934082</v>
      </c>
      <c r="W1200" s="6">
        <v>-19.005332946777301</v>
      </c>
    </row>
    <row r="1201" spans="1:23" ht="18.95" customHeight="1">
      <c r="A1201" s="4">
        <v>1197</v>
      </c>
      <c r="B1201" s="4">
        <v>25738</v>
      </c>
      <c r="C1201" s="4">
        <v>1</v>
      </c>
      <c r="D1201" s="6">
        <v>0</v>
      </c>
      <c r="E1201" s="6">
        <v>0</v>
      </c>
      <c r="F1201" s="6">
        <v>46.125</v>
      </c>
      <c r="G1201" s="6">
        <v>1</v>
      </c>
      <c r="H1201" s="6">
        <v>0.5625</v>
      </c>
      <c r="I1201" s="6">
        <v>1.5</v>
      </c>
      <c r="J1201" s="6">
        <v>-2</v>
      </c>
      <c r="K1201" s="6">
        <v>-4.4375</v>
      </c>
      <c r="L1201" s="6">
        <v>-18.125</v>
      </c>
      <c r="M1201" s="6">
        <v>0.3125</v>
      </c>
      <c r="N1201" s="6">
        <v>0</v>
      </c>
      <c r="O1201" s="6">
        <v>1.1875</v>
      </c>
      <c r="P1201" s="6">
        <v>-2.0625</v>
      </c>
      <c r="Q1201" s="6">
        <v>-48</v>
      </c>
      <c r="R1201" s="6">
        <v>1.7131609916687001</v>
      </c>
      <c r="S1201" s="6">
        <v>-43.955177307128899</v>
      </c>
      <c r="T1201" s="6">
        <v>0.34268689155578602</v>
      </c>
      <c r="U1201" s="6">
        <v>1.0013839006423999</v>
      </c>
      <c r="V1201" s="6">
        <v>-28.303298950195298</v>
      </c>
      <c r="W1201" s="6">
        <v>-18.994878768920898</v>
      </c>
    </row>
    <row r="1202" spans="1:23" ht="18.95" customHeight="1">
      <c r="A1202" s="4">
        <v>1198</v>
      </c>
      <c r="B1202" s="4">
        <v>25760</v>
      </c>
      <c r="C1202" s="4">
        <v>1</v>
      </c>
      <c r="D1202" s="6">
        <v>0</v>
      </c>
      <c r="E1202" s="6">
        <v>0</v>
      </c>
      <c r="F1202" s="6">
        <v>45.0625</v>
      </c>
      <c r="G1202" s="6">
        <v>1.5</v>
      </c>
      <c r="H1202" s="6">
        <v>1.125</v>
      </c>
      <c r="I1202" s="6">
        <v>1.4375</v>
      </c>
      <c r="J1202" s="6">
        <v>-2</v>
      </c>
      <c r="K1202" s="6">
        <v>-5.75</v>
      </c>
      <c r="L1202" s="6">
        <v>-19.75</v>
      </c>
      <c r="M1202" s="6">
        <v>0.3125</v>
      </c>
      <c r="N1202" s="6">
        <v>0</v>
      </c>
      <c r="O1202" s="6">
        <v>1.1875</v>
      </c>
      <c r="P1202" s="6">
        <v>-2.0625</v>
      </c>
      <c r="Q1202" s="6">
        <v>-47.625</v>
      </c>
      <c r="R1202" s="6">
        <v>2.2627794742584202</v>
      </c>
      <c r="S1202" s="6">
        <v>-42.260520935058601</v>
      </c>
      <c r="T1202" s="6">
        <v>0.60222876071929898</v>
      </c>
      <c r="U1202" s="6">
        <v>0.99317401647567705</v>
      </c>
      <c r="V1202" s="6">
        <v>-28.967149734497099</v>
      </c>
      <c r="W1202" s="6">
        <v>-18.986478805541999</v>
      </c>
    </row>
    <row r="1203" spans="1:23" ht="18.95" customHeight="1">
      <c r="A1203" s="4">
        <v>1199</v>
      </c>
      <c r="B1203" s="4">
        <v>25780</v>
      </c>
      <c r="C1203" s="4">
        <v>1</v>
      </c>
      <c r="D1203" s="6">
        <v>0</v>
      </c>
      <c r="E1203" s="6">
        <v>0</v>
      </c>
      <c r="F1203" s="6">
        <v>44.375</v>
      </c>
      <c r="G1203" s="6">
        <v>1.1875</v>
      </c>
      <c r="H1203" s="6">
        <v>0.875</v>
      </c>
      <c r="I1203" s="6">
        <v>1.4375</v>
      </c>
      <c r="J1203" s="6">
        <v>-2.0625</v>
      </c>
      <c r="K1203" s="6">
        <v>-6.1875</v>
      </c>
      <c r="L1203" s="6">
        <v>-20.875</v>
      </c>
      <c r="M1203" s="6">
        <v>0.3125</v>
      </c>
      <c r="N1203" s="6">
        <v>0.125</v>
      </c>
      <c r="O1203" s="6">
        <v>1.125</v>
      </c>
      <c r="P1203" s="6">
        <v>-2.0625</v>
      </c>
      <c r="Q1203" s="6">
        <v>-47.25</v>
      </c>
      <c r="R1203" s="6">
        <v>1.74369549751282</v>
      </c>
      <c r="S1203" s="6">
        <v>-41.970443725585902</v>
      </c>
      <c r="T1203" s="6">
        <v>0.23581659793853799</v>
      </c>
      <c r="U1203" s="6">
        <v>1.04343605041504</v>
      </c>
      <c r="V1203" s="6">
        <v>-29.689613342285199</v>
      </c>
      <c r="W1203" s="6">
        <v>-18.979373931884801</v>
      </c>
    </row>
    <row r="1204" spans="1:23" ht="18.95" customHeight="1">
      <c r="A1204" s="4">
        <v>1200</v>
      </c>
      <c r="B1204" s="4">
        <v>25802</v>
      </c>
      <c r="C1204" s="4">
        <v>1</v>
      </c>
      <c r="D1204" s="6">
        <v>0</v>
      </c>
      <c r="E1204" s="6">
        <v>0</v>
      </c>
      <c r="F1204" s="6">
        <v>43.3125</v>
      </c>
      <c r="G1204" s="6">
        <v>1.25</v>
      </c>
      <c r="H1204" s="6">
        <v>0.75</v>
      </c>
      <c r="I1204" s="6">
        <v>1.4375</v>
      </c>
      <c r="J1204" s="6">
        <v>-2.0625</v>
      </c>
      <c r="K1204" s="6">
        <v>-7.4375</v>
      </c>
      <c r="L1204" s="6">
        <v>-22.5</v>
      </c>
      <c r="M1204" s="6">
        <v>0.375</v>
      </c>
      <c r="N1204" s="6">
        <v>0.125</v>
      </c>
      <c r="O1204" s="6">
        <v>1.125</v>
      </c>
      <c r="P1204" s="6">
        <v>-2.0625</v>
      </c>
      <c r="Q1204" s="6">
        <v>-46.8125</v>
      </c>
      <c r="R1204" s="6">
        <v>1.80476403236389</v>
      </c>
      <c r="S1204" s="6">
        <v>-40.810134887695298</v>
      </c>
      <c r="T1204" s="6">
        <v>0.55642724037170399</v>
      </c>
      <c r="U1204" s="6">
        <v>1.0433204174041699</v>
      </c>
      <c r="V1204" s="6">
        <v>-30.304988861083999</v>
      </c>
      <c r="W1204" s="6">
        <v>-18.970239639282202</v>
      </c>
    </row>
    <row r="1205" spans="1:23" ht="18.95" customHeight="1">
      <c r="A1205" s="4">
        <v>1201</v>
      </c>
      <c r="B1205" s="4">
        <v>25843</v>
      </c>
      <c r="C1205" s="4">
        <v>1</v>
      </c>
      <c r="D1205" s="6">
        <v>0</v>
      </c>
      <c r="E1205" s="6">
        <v>0</v>
      </c>
      <c r="F1205" s="6">
        <v>41.4375</v>
      </c>
      <c r="G1205" s="6">
        <v>1.0625</v>
      </c>
      <c r="H1205" s="6">
        <v>1</v>
      </c>
      <c r="I1205" s="6">
        <v>1.4375</v>
      </c>
      <c r="J1205" s="6">
        <v>-2.125</v>
      </c>
      <c r="K1205" s="6">
        <v>-9.0625</v>
      </c>
      <c r="L1205" s="6">
        <v>-25.5</v>
      </c>
      <c r="M1205" s="6">
        <v>0.4375</v>
      </c>
      <c r="N1205" s="6">
        <v>-6.25E-2</v>
      </c>
      <c r="O1205" s="6">
        <v>1.125</v>
      </c>
      <c r="P1205" s="6">
        <v>-2.0625</v>
      </c>
      <c r="Q1205" s="6">
        <v>-45.9375</v>
      </c>
      <c r="R1205" s="6">
        <v>1.5604892969131501</v>
      </c>
      <c r="S1205" s="6">
        <v>-38.932273864746101</v>
      </c>
      <c r="T1205" s="6">
        <v>0.41902267932891801</v>
      </c>
      <c r="U1205" s="6">
        <v>1.1507928371429399</v>
      </c>
      <c r="V1205" s="6">
        <v>-31.6949977874756</v>
      </c>
      <c r="W1205" s="6">
        <v>-18.952741622924801</v>
      </c>
    </row>
    <row r="1206" spans="1:23" ht="18.95" customHeight="1">
      <c r="A1206" s="4">
        <v>1202</v>
      </c>
      <c r="B1206" s="4">
        <v>25864</v>
      </c>
      <c r="C1206" s="4">
        <v>1</v>
      </c>
      <c r="D1206" s="6">
        <v>0</v>
      </c>
      <c r="E1206" s="6">
        <v>0</v>
      </c>
      <c r="F1206" s="6">
        <v>40.8125</v>
      </c>
      <c r="G1206" s="6">
        <v>1.0625</v>
      </c>
      <c r="H1206" s="6">
        <v>0.875</v>
      </c>
      <c r="I1206" s="6">
        <v>1.4375</v>
      </c>
      <c r="J1206" s="6">
        <v>-2.125</v>
      </c>
      <c r="K1206" s="6">
        <v>-9.875</v>
      </c>
      <c r="L1206" s="6">
        <v>-27.1875</v>
      </c>
      <c r="M1206" s="6">
        <v>0.4375</v>
      </c>
      <c r="N1206" s="6">
        <v>-6.25E-2</v>
      </c>
      <c r="O1206" s="6">
        <v>1.125</v>
      </c>
      <c r="P1206" s="6">
        <v>-2.0625</v>
      </c>
      <c r="Q1206" s="6">
        <v>-45.375</v>
      </c>
      <c r="R1206" s="6">
        <v>1.20934426784515</v>
      </c>
      <c r="S1206" s="6">
        <v>-37.710899353027301</v>
      </c>
      <c r="T1206" s="6">
        <v>0.25108379125595098</v>
      </c>
      <c r="U1206" s="6">
        <v>1.1488848924636801</v>
      </c>
      <c r="V1206" s="6">
        <v>-32.3096313476562</v>
      </c>
      <c r="W1206" s="6">
        <v>-18.945096969604499</v>
      </c>
    </row>
    <row r="1207" spans="1:23" ht="18.95" customHeight="1">
      <c r="A1207" s="4">
        <v>1203</v>
      </c>
      <c r="B1207" s="4">
        <v>25885</v>
      </c>
      <c r="C1207" s="4">
        <v>1</v>
      </c>
      <c r="D1207" s="6">
        <v>0</v>
      </c>
      <c r="E1207" s="6">
        <v>0</v>
      </c>
      <c r="F1207" s="6">
        <v>39.1875</v>
      </c>
      <c r="G1207" s="6">
        <v>1.1875</v>
      </c>
      <c r="H1207" s="6">
        <v>1</v>
      </c>
      <c r="I1207" s="6">
        <v>1.4375</v>
      </c>
      <c r="J1207" s="6">
        <v>-2.125</v>
      </c>
      <c r="K1207" s="6">
        <v>-10.625</v>
      </c>
      <c r="L1207" s="6">
        <v>-28.3125</v>
      </c>
      <c r="M1207" s="6">
        <v>0.3125</v>
      </c>
      <c r="N1207" s="6">
        <v>0.25</v>
      </c>
      <c r="O1207" s="6">
        <v>1.0625</v>
      </c>
      <c r="P1207" s="6">
        <v>-2.0625</v>
      </c>
      <c r="Q1207" s="6">
        <v>-44.625</v>
      </c>
      <c r="R1207" s="6">
        <v>1.3772832155227701</v>
      </c>
      <c r="S1207" s="6">
        <v>-37.130744934082003</v>
      </c>
      <c r="T1207" s="6">
        <v>0.64803040027618397</v>
      </c>
      <c r="U1207" s="6">
        <v>1.2307717800140401</v>
      </c>
      <c r="V1207" s="6">
        <v>-32.892059326171903</v>
      </c>
      <c r="W1207" s="6">
        <v>-18.938055038452099</v>
      </c>
    </row>
    <row r="1208" spans="1:23" ht="18.95" customHeight="1">
      <c r="A1208" s="4">
        <v>1204</v>
      </c>
      <c r="B1208" s="4">
        <v>25906</v>
      </c>
      <c r="C1208" s="4">
        <v>1</v>
      </c>
      <c r="D1208" s="6">
        <v>0</v>
      </c>
      <c r="E1208" s="6">
        <v>0</v>
      </c>
      <c r="F1208" s="6">
        <v>39</v>
      </c>
      <c r="G1208" s="6">
        <v>0.8125</v>
      </c>
      <c r="H1208" s="6">
        <v>0.9375</v>
      </c>
      <c r="I1208" s="6">
        <v>1.4375</v>
      </c>
      <c r="J1208" s="6">
        <v>-2.1875</v>
      </c>
      <c r="K1208" s="6">
        <v>-11.4375</v>
      </c>
      <c r="L1208" s="6">
        <v>-30.75</v>
      </c>
      <c r="M1208" s="6">
        <v>0.5</v>
      </c>
      <c r="N1208" s="6">
        <v>0.1875</v>
      </c>
      <c r="O1208" s="6">
        <v>1.0625</v>
      </c>
      <c r="P1208" s="6">
        <v>-2.0625</v>
      </c>
      <c r="Q1208" s="6">
        <v>-44</v>
      </c>
      <c r="R1208" s="6">
        <v>1.7589626312255899</v>
      </c>
      <c r="S1208" s="6">
        <v>-35.405555725097699</v>
      </c>
      <c r="T1208" s="6">
        <v>0.35795402526855502</v>
      </c>
      <c r="U1208" s="6">
        <v>1.25200819969177</v>
      </c>
      <c r="V1208" s="6">
        <v>-33.390178680419901</v>
      </c>
      <c r="W1208" s="6">
        <v>-18.927339553833001</v>
      </c>
    </row>
    <row r="1209" spans="1:23" ht="18.95" customHeight="1">
      <c r="A1209" s="4">
        <v>1205</v>
      </c>
      <c r="B1209" s="4">
        <v>25926</v>
      </c>
      <c r="C1209" s="4">
        <v>1</v>
      </c>
      <c r="D1209" s="6">
        <v>0</v>
      </c>
      <c r="E1209" s="6">
        <v>0</v>
      </c>
      <c r="F1209" s="6">
        <v>37</v>
      </c>
      <c r="G1209" s="6">
        <v>1.125</v>
      </c>
      <c r="H1209" s="6">
        <v>1.1875</v>
      </c>
      <c r="I1209" s="6">
        <v>1.4375</v>
      </c>
      <c r="J1209" s="6">
        <v>-2.1875</v>
      </c>
      <c r="K1209" s="6">
        <v>-12.125</v>
      </c>
      <c r="L1209" s="6">
        <v>-31.625</v>
      </c>
      <c r="M1209" s="6">
        <v>0.25</v>
      </c>
      <c r="N1209" s="6">
        <v>6.25E-2</v>
      </c>
      <c r="O1209" s="6">
        <v>1.0625</v>
      </c>
      <c r="P1209" s="6">
        <v>-2.0625</v>
      </c>
      <c r="Q1209" s="6">
        <v>-43.4375</v>
      </c>
      <c r="R1209" s="6">
        <v>0.70552742481231701</v>
      </c>
      <c r="S1209" s="6">
        <v>-34.168914794921903</v>
      </c>
      <c r="T1209" s="6">
        <v>-0.176397144794464</v>
      </c>
      <c r="U1209" s="6">
        <v>1.2764692306518599</v>
      </c>
      <c r="V1209" s="6">
        <v>-33.896392822265597</v>
      </c>
      <c r="W1209" s="6">
        <v>-18.925462722778299</v>
      </c>
    </row>
    <row r="1210" spans="1:23" ht="18.95" customHeight="1">
      <c r="A1210" s="4">
        <v>1206</v>
      </c>
      <c r="B1210" s="4">
        <v>25946</v>
      </c>
      <c r="C1210" s="4">
        <v>1</v>
      </c>
      <c r="D1210" s="6">
        <v>0</v>
      </c>
      <c r="E1210" s="6">
        <v>0</v>
      </c>
      <c r="F1210" s="6">
        <v>36.125</v>
      </c>
      <c r="G1210" s="6">
        <v>0.5625</v>
      </c>
      <c r="H1210" s="6">
        <v>0.5625</v>
      </c>
      <c r="I1210" s="6">
        <v>1.4375</v>
      </c>
      <c r="J1210" s="6">
        <v>-2.1875</v>
      </c>
      <c r="K1210" s="6">
        <v>-12.8125</v>
      </c>
      <c r="L1210" s="6">
        <v>-33.6875</v>
      </c>
      <c r="M1210" s="6">
        <v>0.3125</v>
      </c>
      <c r="N1210" s="6">
        <v>-0.1875</v>
      </c>
      <c r="O1210" s="6">
        <v>1.0625</v>
      </c>
      <c r="P1210" s="6">
        <v>-2.0625</v>
      </c>
      <c r="Q1210" s="6">
        <v>-42.75</v>
      </c>
      <c r="R1210" s="6">
        <v>1.5604892969131501</v>
      </c>
      <c r="S1210" s="6">
        <v>-32.0009765625</v>
      </c>
      <c r="T1210" s="6">
        <v>0.22054940462112399</v>
      </c>
      <c r="U1210" s="6">
        <v>1.2422479391098</v>
      </c>
      <c r="V1210" s="6">
        <v>-34.299896240234403</v>
      </c>
      <c r="W1210" s="6">
        <v>-18.917020797729499</v>
      </c>
    </row>
    <row r="1211" spans="1:23" ht="18.95" customHeight="1">
      <c r="A1211" s="4">
        <v>1207</v>
      </c>
      <c r="B1211" s="4">
        <v>25966</v>
      </c>
      <c r="C1211" s="4">
        <v>1</v>
      </c>
      <c r="D1211" s="6">
        <v>0</v>
      </c>
      <c r="E1211" s="6">
        <v>0</v>
      </c>
      <c r="F1211" s="6">
        <v>33.75</v>
      </c>
      <c r="G1211" s="6">
        <v>0.875</v>
      </c>
      <c r="H1211" s="6">
        <v>0.9375</v>
      </c>
      <c r="I1211" s="6">
        <v>1.4375</v>
      </c>
      <c r="J1211" s="6">
        <v>-2.1875</v>
      </c>
      <c r="K1211" s="6">
        <v>-13.5</v>
      </c>
      <c r="L1211" s="6">
        <v>-34.375</v>
      </c>
      <c r="M1211" s="6">
        <v>0.4375</v>
      </c>
      <c r="N1211" s="6">
        <v>0</v>
      </c>
      <c r="O1211" s="6">
        <v>1.0625</v>
      </c>
      <c r="P1211" s="6">
        <v>-2.0625</v>
      </c>
      <c r="Q1211" s="6">
        <v>-42.125</v>
      </c>
      <c r="R1211" s="6">
        <v>1.0719397068023699</v>
      </c>
      <c r="S1211" s="6">
        <v>-30.733800888061499</v>
      </c>
      <c r="T1211" s="6">
        <v>0.20528227090835599</v>
      </c>
      <c r="U1211" s="6">
        <v>1.33021712303162</v>
      </c>
      <c r="V1211" s="6">
        <v>-34.787651062011697</v>
      </c>
      <c r="W1211" s="6">
        <v>-18.907833099365199</v>
      </c>
    </row>
    <row r="1212" spans="1:23" ht="18.95" customHeight="1">
      <c r="A1212" s="4">
        <v>1208</v>
      </c>
      <c r="B1212" s="4">
        <v>25986</v>
      </c>
      <c r="C1212" s="4">
        <v>1</v>
      </c>
      <c r="D1212" s="6">
        <v>0</v>
      </c>
      <c r="E1212" s="6">
        <v>0</v>
      </c>
      <c r="F1212" s="6">
        <v>32</v>
      </c>
      <c r="G1212" s="6">
        <v>0.875</v>
      </c>
      <c r="H1212" s="6">
        <v>1</v>
      </c>
      <c r="I1212" s="6">
        <v>1.4375</v>
      </c>
      <c r="J1212" s="6">
        <v>-2.1875</v>
      </c>
      <c r="K1212" s="6">
        <v>-14.125</v>
      </c>
      <c r="L1212" s="6">
        <v>-35.9375</v>
      </c>
      <c r="M1212" s="6">
        <v>0.5</v>
      </c>
      <c r="N1212" s="6">
        <v>6.25E-2</v>
      </c>
      <c r="O1212" s="6">
        <v>1</v>
      </c>
      <c r="P1212" s="6">
        <v>-2.0625</v>
      </c>
      <c r="Q1212" s="6">
        <v>-41.375</v>
      </c>
      <c r="R1212" s="6">
        <v>0.82766485214233398</v>
      </c>
      <c r="S1212" s="6">
        <v>-28.7948703765869</v>
      </c>
      <c r="T1212" s="6">
        <v>0.49535858631134</v>
      </c>
      <c r="U1212" s="6">
        <v>1.3234457969665501</v>
      </c>
      <c r="V1212" s="6">
        <v>-35.158023834228501</v>
      </c>
      <c r="W1212" s="6">
        <v>-18.9023323059082</v>
      </c>
    </row>
    <row r="1213" spans="1:23" ht="18.95" customHeight="1">
      <c r="A1213" s="4">
        <v>1209</v>
      </c>
      <c r="B1213" s="4">
        <v>26006</v>
      </c>
      <c r="C1213" s="4">
        <v>1</v>
      </c>
      <c r="D1213" s="6">
        <v>0</v>
      </c>
      <c r="E1213" s="6">
        <v>0</v>
      </c>
      <c r="F1213" s="6">
        <v>30.625</v>
      </c>
      <c r="G1213" s="6">
        <v>0.5625</v>
      </c>
      <c r="H1213" s="6">
        <v>0.8125</v>
      </c>
      <c r="I1213" s="6">
        <v>1.4375</v>
      </c>
      <c r="J1213" s="6">
        <v>-2.1875</v>
      </c>
      <c r="K1213" s="6">
        <v>-14.75</v>
      </c>
      <c r="L1213" s="6">
        <v>-37.5625</v>
      </c>
      <c r="M1213" s="6">
        <v>0.3125</v>
      </c>
      <c r="N1213" s="6">
        <v>6.25E-2</v>
      </c>
      <c r="O1213" s="6">
        <v>1</v>
      </c>
      <c r="P1213" s="6">
        <v>-2.0625</v>
      </c>
      <c r="Q1213" s="6">
        <v>-40.6875</v>
      </c>
      <c r="R1213" s="6">
        <v>1.54522216320038</v>
      </c>
      <c r="S1213" s="6">
        <v>-27.161281585693398</v>
      </c>
      <c r="T1213" s="6">
        <v>0.75490057468414296</v>
      </c>
      <c r="U1213" s="6">
        <v>1.30317342281342</v>
      </c>
      <c r="V1213" s="6">
        <v>-35.521320343017599</v>
      </c>
      <c r="W1213" s="6">
        <v>-18.894220352172901</v>
      </c>
    </row>
    <row r="1214" spans="1:23" ht="18.95" customHeight="1">
      <c r="A1214" s="4">
        <v>1210</v>
      </c>
      <c r="B1214" s="4">
        <v>26026</v>
      </c>
      <c r="C1214" s="4">
        <v>1</v>
      </c>
      <c r="D1214" s="6">
        <v>0</v>
      </c>
      <c r="E1214" s="6">
        <v>0</v>
      </c>
      <c r="F1214" s="6">
        <v>28.375</v>
      </c>
      <c r="G1214" s="6">
        <v>0.75</v>
      </c>
      <c r="H1214" s="6">
        <v>0.875</v>
      </c>
      <c r="I1214" s="6">
        <v>1.4375</v>
      </c>
      <c r="J1214" s="6">
        <v>-2.25</v>
      </c>
      <c r="K1214" s="6">
        <v>-15.3125</v>
      </c>
      <c r="L1214" s="6">
        <v>-38.625</v>
      </c>
      <c r="M1214" s="6">
        <v>0.375</v>
      </c>
      <c r="N1214" s="6">
        <v>0.1875</v>
      </c>
      <c r="O1214" s="6">
        <v>1</v>
      </c>
      <c r="P1214" s="6">
        <v>-2.0625</v>
      </c>
      <c r="Q1214" s="6">
        <v>-39.9375</v>
      </c>
      <c r="R1214" s="6">
        <v>0.94980227947235096</v>
      </c>
      <c r="S1214" s="6">
        <v>-25.008609771728501</v>
      </c>
      <c r="T1214" s="6">
        <v>0.480091452598572</v>
      </c>
      <c r="U1214" s="6">
        <v>1.2781958580017101</v>
      </c>
      <c r="V1214" s="6">
        <v>-35.827239990234403</v>
      </c>
      <c r="W1214" s="6">
        <v>-18.885490417480501</v>
      </c>
    </row>
    <row r="1215" spans="1:23" ht="18.95" customHeight="1">
      <c r="A1215" s="4">
        <v>1211</v>
      </c>
      <c r="B1215" s="4">
        <v>26048</v>
      </c>
      <c r="C1215" s="4">
        <v>1</v>
      </c>
      <c r="D1215" s="6">
        <v>0</v>
      </c>
      <c r="E1215" s="6">
        <v>0</v>
      </c>
      <c r="F1215" s="6">
        <v>26.6875</v>
      </c>
      <c r="G1215" s="6">
        <v>0.6875</v>
      </c>
      <c r="H1215" s="6">
        <v>0.6875</v>
      </c>
      <c r="I1215" s="6">
        <v>1.375</v>
      </c>
      <c r="J1215" s="6">
        <v>-2.25</v>
      </c>
      <c r="K1215" s="6">
        <v>-15.8125</v>
      </c>
      <c r="L1215" s="6">
        <v>-40.625</v>
      </c>
      <c r="M1215" s="6">
        <v>0.625</v>
      </c>
      <c r="N1215" s="6">
        <v>0.25</v>
      </c>
      <c r="O1215" s="6">
        <v>1</v>
      </c>
      <c r="P1215" s="6">
        <v>-2.0625</v>
      </c>
      <c r="Q1215" s="6">
        <v>-39.125</v>
      </c>
      <c r="R1215" s="6">
        <v>0.46125268936157199</v>
      </c>
      <c r="S1215" s="6">
        <v>-22.733800888061499</v>
      </c>
      <c r="T1215" s="6">
        <v>-0.29853454232215898</v>
      </c>
      <c r="U1215" s="6">
        <v>1.3708693981170701</v>
      </c>
      <c r="V1215" s="6">
        <v>-36.087677001953097</v>
      </c>
      <c r="W1215" s="6">
        <v>-18.8769130706787</v>
      </c>
    </row>
    <row r="1216" spans="1:23" ht="18.95" customHeight="1">
      <c r="A1216" s="4">
        <v>1212</v>
      </c>
      <c r="B1216" s="4">
        <v>26069</v>
      </c>
      <c r="C1216" s="4">
        <v>1</v>
      </c>
      <c r="D1216" s="6">
        <v>0</v>
      </c>
      <c r="E1216" s="6">
        <v>0</v>
      </c>
      <c r="F1216" s="6">
        <v>24.1875</v>
      </c>
      <c r="G1216" s="6">
        <v>0.6875</v>
      </c>
      <c r="H1216" s="6">
        <v>0.75</v>
      </c>
      <c r="I1216" s="6">
        <v>1.375</v>
      </c>
      <c r="J1216" s="6">
        <v>-2.25</v>
      </c>
      <c r="K1216" s="6">
        <v>-16.25</v>
      </c>
      <c r="L1216" s="6">
        <v>-42.0625</v>
      </c>
      <c r="M1216" s="6">
        <v>0.75</v>
      </c>
      <c r="N1216" s="6">
        <v>0</v>
      </c>
      <c r="O1216" s="6">
        <v>0.9375</v>
      </c>
      <c r="P1216" s="6">
        <v>-2.0625</v>
      </c>
      <c r="Q1216" s="6">
        <v>-38.375</v>
      </c>
      <c r="R1216" s="6">
        <v>0.354382514953613</v>
      </c>
      <c r="S1216" s="6">
        <v>-20.7948703765869</v>
      </c>
      <c r="T1216" s="6">
        <v>6.7877650260925307E-2</v>
      </c>
      <c r="U1216" s="6">
        <v>1.3552502393722501</v>
      </c>
      <c r="V1216" s="6">
        <v>-36.432014465332003</v>
      </c>
      <c r="W1216" s="6">
        <v>-18.8819904327393</v>
      </c>
    </row>
    <row r="1217" spans="1:23" ht="18.95" customHeight="1">
      <c r="A1217" s="4">
        <v>1213</v>
      </c>
      <c r="B1217" s="4">
        <v>26089</v>
      </c>
      <c r="C1217" s="4">
        <v>1</v>
      </c>
      <c r="D1217" s="6">
        <v>0</v>
      </c>
      <c r="E1217" s="6">
        <v>0</v>
      </c>
      <c r="F1217" s="6">
        <v>22.75</v>
      </c>
      <c r="G1217" s="6">
        <v>0.125</v>
      </c>
      <c r="H1217" s="6">
        <v>0.3125</v>
      </c>
      <c r="I1217" s="6">
        <v>1.375</v>
      </c>
      <c r="J1217" s="6">
        <v>-2.25</v>
      </c>
      <c r="K1217" s="6">
        <v>-16.6875</v>
      </c>
      <c r="L1217" s="6">
        <v>-44.5</v>
      </c>
      <c r="M1217" s="6">
        <v>0.4375</v>
      </c>
      <c r="N1217" s="6">
        <v>0</v>
      </c>
      <c r="O1217" s="6">
        <v>0.9375</v>
      </c>
      <c r="P1217" s="6">
        <v>-2.0625</v>
      </c>
      <c r="Q1217" s="6">
        <v>-37.5</v>
      </c>
      <c r="R1217" s="6">
        <v>1.1940771341323899</v>
      </c>
      <c r="S1217" s="6">
        <v>-18.749067306518601</v>
      </c>
      <c r="T1217" s="6">
        <v>0.72436618804931596</v>
      </c>
      <c r="U1217" s="6">
        <v>1.30634140968323</v>
      </c>
      <c r="V1217" s="6">
        <v>-36.705970764160199</v>
      </c>
      <c r="W1217" s="6">
        <v>-18.877529144287099</v>
      </c>
    </row>
    <row r="1218" spans="1:23" ht="18.95" customHeight="1">
      <c r="A1218" s="4">
        <v>1214</v>
      </c>
      <c r="B1218" s="4">
        <v>26111</v>
      </c>
      <c r="C1218" s="4">
        <v>1</v>
      </c>
      <c r="D1218" s="6">
        <v>0</v>
      </c>
      <c r="E1218" s="6">
        <v>0</v>
      </c>
      <c r="F1218" s="6">
        <v>20.625</v>
      </c>
      <c r="G1218" s="6">
        <v>0.5</v>
      </c>
      <c r="H1218" s="6">
        <v>0.5625</v>
      </c>
      <c r="I1218" s="6">
        <v>1.4375</v>
      </c>
      <c r="J1218" s="6">
        <v>-2.25</v>
      </c>
      <c r="K1218" s="6">
        <v>-17.125</v>
      </c>
      <c r="L1218" s="6">
        <v>-45.75</v>
      </c>
      <c r="M1218" s="6">
        <v>0.5625</v>
      </c>
      <c r="N1218" s="6">
        <v>0</v>
      </c>
      <c r="O1218" s="6">
        <v>0.9375</v>
      </c>
      <c r="P1218" s="6">
        <v>-2.0625</v>
      </c>
      <c r="Q1218" s="6">
        <v>-36.6875</v>
      </c>
      <c r="R1218" s="6">
        <v>0.61392450332641602</v>
      </c>
      <c r="S1218" s="6">
        <v>-16.367387771606399</v>
      </c>
      <c r="T1218" s="6">
        <v>0.19001507759094199</v>
      </c>
      <c r="U1218" s="6">
        <v>1.3082844018936199</v>
      </c>
      <c r="V1218" s="6">
        <v>-36.934799194335902</v>
      </c>
      <c r="W1218" s="6">
        <v>-18.873517990112301</v>
      </c>
    </row>
    <row r="1219" spans="1:23" ht="18.95" customHeight="1">
      <c r="A1219" s="4">
        <v>1215</v>
      </c>
      <c r="B1219" s="4">
        <v>26132</v>
      </c>
      <c r="C1219" s="4">
        <v>1</v>
      </c>
      <c r="D1219" s="6">
        <v>0</v>
      </c>
      <c r="E1219" s="6">
        <v>0</v>
      </c>
      <c r="F1219" s="6">
        <v>17.3125</v>
      </c>
      <c r="G1219" s="6">
        <v>0.25</v>
      </c>
      <c r="H1219" s="6">
        <v>0.3125</v>
      </c>
      <c r="I1219" s="6">
        <v>1.4375</v>
      </c>
      <c r="J1219" s="6">
        <v>-2.25</v>
      </c>
      <c r="K1219" s="6">
        <v>-17.5</v>
      </c>
      <c r="L1219" s="6">
        <v>-47.75</v>
      </c>
      <c r="M1219" s="6">
        <v>0.4375</v>
      </c>
      <c r="N1219" s="6">
        <v>-6.25E-2</v>
      </c>
      <c r="O1219" s="6">
        <v>0.875</v>
      </c>
      <c r="P1219" s="6">
        <v>-2.0625</v>
      </c>
      <c r="Q1219" s="6">
        <v>-35.75</v>
      </c>
      <c r="R1219" s="6">
        <v>0.46125268936157199</v>
      </c>
      <c r="S1219" s="6">
        <v>-13.756701469421399</v>
      </c>
      <c r="T1219" s="6">
        <v>0.38848841190338101</v>
      </c>
      <c r="U1219" s="6">
        <v>1.30368316173553</v>
      </c>
      <c r="V1219" s="6">
        <v>-37.071262359619098</v>
      </c>
      <c r="W1219" s="6">
        <v>-18.868450164794901</v>
      </c>
    </row>
    <row r="1220" spans="1:23" ht="18.95" customHeight="1">
      <c r="A1220" s="4">
        <v>1216</v>
      </c>
      <c r="B1220" s="4">
        <v>26153</v>
      </c>
      <c r="C1220" s="4">
        <v>1</v>
      </c>
      <c r="D1220" s="6">
        <v>0</v>
      </c>
      <c r="E1220" s="6">
        <v>0</v>
      </c>
      <c r="F1220" s="6">
        <v>14.8125</v>
      </c>
      <c r="G1220" s="6">
        <v>0.375</v>
      </c>
      <c r="H1220" s="6">
        <v>0.5</v>
      </c>
      <c r="I1220" s="6">
        <v>1.4375</v>
      </c>
      <c r="J1220" s="6">
        <v>-2.25</v>
      </c>
      <c r="K1220" s="6">
        <v>-17.875</v>
      </c>
      <c r="L1220" s="6">
        <v>-49.125</v>
      </c>
      <c r="M1220" s="6">
        <v>0.6875</v>
      </c>
      <c r="N1220" s="6">
        <v>0.125</v>
      </c>
      <c r="O1220" s="6">
        <v>0.875</v>
      </c>
      <c r="P1220" s="6">
        <v>-2.0625</v>
      </c>
      <c r="Q1220" s="6">
        <v>-34.8125</v>
      </c>
      <c r="R1220" s="6">
        <v>0.415451049804688</v>
      </c>
      <c r="S1220" s="6">
        <v>-11.405556678771999</v>
      </c>
      <c r="T1220" s="6">
        <v>2.2076129913330099E-2</v>
      </c>
      <c r="U1220" s="6">
        <v>1.3561608791351301</v>
      </c>
      <c r="V1220" s="6">
        <v>-37.245975494384801</v>
      </c>
      <c r="W1220" s="6">
        <v>-18.861284255981399</v>
      </c>
    </row>
    <row r="1221" spans="1:23" ht="18.95" customHeight="1">
      <c r="A1221" s="4">
        <v>1217</v>
      </c>
      <c r="B1221" s="4">
        <v>26173</v>
      </c>
      <c r="C1221" s="4">
        <v>1</v>
      </c>
      <c r="D1221" s="6">
        <v>0</v>
      </c>
      <c r="E1221" s="6">
        <v>0</v>
      </c>
      <c r="F1221" s="6">
        <v>12.3125</v>
      </c>
      <c r="G1221" s="6">
        <v>0.3125</v>
      </c>
      <c r="H1221" s="6">
        <v>0.6875</v>
      </c>
      <c r="I1221" s="6">
        <v>1.4375</v>
      </c>
      <c r="J1221" s="6">
        <v>-2.25</v>
      </c>
      <c r="K1221" s="6">
        <v>-18.125</v>
      </c>
      <c r="L1221" s="6">
        <v>-51.0625</v>
      </c>
      <c r="M1221" s="6">
        <v>0.625</v>
      </c>
      <c r="N1221" s="6">
        <v>0.125</v>
      </c>
      <c r="O1221" s="6">
        <v>0.875</v>
      </c>
      <c r="P1221" s="6">
        <v>-2.0625</v>
      </c>
      <c r="Q1221" s="6">
        <v>-33.8125</v>
      </c>
      <c r="R1221" s="6">
        <v>0.49178695678710899</v>
      </c>
      <c r="S1221" s="6">
        <v>-8.7338008880615199</v>
      </c>
      <c r="T1221" s="6">
        <v>0.510625720024109</v>
      </c>
      <c r="U1221" s="6">
        <v>1.3017101287841799</v>
      </c>
      <c r="V1221" s="6">
        <v>-37.324798583984403</v>
      </c>
      <c r="W1221" s="6">
        <v>-18.856813430786101</v>
      </c>
    </row>
    <row r="1222" spans="1:23" ht="18.95" customHeight="1">
      <c r="A1222" s="4">
        <v>1218</v>
      </c>
      <c r="B1222" s="4">
        <v>26194</v>
      </c>
      <c r="C1222" s="4">
        <v>1</v>
      </c>
      <c r="D1222" s="6">
        <v>0</v>
      </c>
      <c r="E1222" s="6">
        <v>0</v>
      </c>
      <c r="F1222" s="6">
        <v>10</v>
      </c>
      <c r="G1222" s="6">
        <v>6.25E-2</v>
      </c>
      <c r="H1222" s="6">
        <v>0.4375</v>
      </c>
      <c r="I1222" s="6">
        <v>1.4375</v>
      </c>
      <c r="J1222" s="6">
        <v>-2.25</v>
      </c>
      <c r="K1222" s="6">
        <v>-18.3125</v>
      </c>
      <c r="L1222" s="6">
        <v>-53.375</v>
      </c>
      <c r="M1222" s="6">
        <v>0.5625</v>
      </c>
      <c r="N1222" s="6">
        <v>0.125</v>
      </c>
      <c r="O1222" s="6">
        <v>0.8125</v>
      </c>
      <c r="P1222" s="6">
        <v>-2.0625</v>
      </c>
      <c r="Q1222" s="6">
        <v>-32.8125</v>
      </c>
      <c r="R1222" s="6">
        <v>0.91926789283752397</v>
      </c>
      <c r="S1222" s="6">
        <v>-5.8635721206665004</v>
      </c>
      <c r="T1222" s="6">
        <v>0.57169449329376198</v>
      </c>
      <c r="U1222" s="6">
        <v>1.3002066612243699</v>
      </c>
      <c r="V1222" s="6">
        <v>-37.345623016357401</v>
      </c>
      <c r="W1222" s="6">
        <v>-18.8430080413818</v>
      </c>
    </row>
    <row r="1223" spans="1:23" ht="18.95" customHeight="1">
      <c r="A1223" s="4">
        <v>1219</v>
      </c>
      <c r="B1223" s="4">
        <v>26215</v>
      </c>
      <c r="C1223" s="4">
        <v>1</v>
      </c>
      <c r="D1223" s="6">
        <v>0</v>
      </c>
      <c r="E1223" s="6">
        <v>0</v>
      </c>
      <c r="F1223" s="6">
        <v>5.75</v>
      </c>
      <c r="G1223" s="6">
        <v>0.3125</v>
      </c>
      <c r="H1223" s="6">
        <v>0.6875</v>
      </c>
      <c r="I1223" s="6">
        <v>1.375</v>
      </c>
      <c r="J1223" s="6">
        <v>-2.1875</v>
      </c>
      <c r="K1223" s="6">
        <v>-18.4375</v>
      </c>
      <c r="L1223" s="6">
        <v>-54.6875</v>
      </c>
      <c r="M1223" s="6">
        <v>0.75</v>
      </c>
      <c r="N1223" s="6">
        <v>0.1875</v>
      </c>
      <c r="O1223" s="6">
        <v>0.8125</v>
      </c>
      <c r="P1223" s="6">
        <v>-2.125</v>
      </c>
      <c r="Q1223" s="6">
        <v>-31.75</v>
      </c>
      <c r="R1223" s="6">
        <v>-7.3098421096801799E-2</v>
      </c>
      <c r="S1223" s="6">
        <v>-2.87120532989502</v>
      </c>
      <c r="T1223" s="6">
        <v>8.3144843578338595E-2</v>
      </c>
      <c r="U1223" s="6">
        <v>1.35825383663177</v>
      </c>
      <c r="V1223" s="6">
        <v>-37.3028373718262</v>
      </c>
      <c r="W1223" s="6">
        <v>-18.8387641906738</v>
      </c>
    </row>
    <row r="1224" spans="1:23" ht="18.95" customHeight="1">
      <c r="A1224" s="4">
        <v>1220</v>
      </c>
      <c r="B1224" s="4">
        <v>26246</v>
      </c>
      <c r="C1224" s="4">
        <v>1</v>
      </c>
      <c r="D1224" s="6">
        <v>0</v>
      </c>
      <c r="E1224" s="6">
        <v>0</v>
      </c>
      <c r="F1224" s="6">
        <v>1.5625</v>
      </c>
      <c r="G1224" s="6">
        <v>0.1875</v>
      </c>
      <c r="H1224" s="6">
        <v>0.4375</v>
      </c>
      <c r="I1224" s="6">
        <v>1.375</v>
      </c>
      <c r="J1224" s="6">
        <v>-2.1875</v>
      </c>
      <c r="K1224" s="6">
        <v>-18.5</v>
      </c>
      <c r="L1224" s="6">
        <v>-57.1875</v>
      </c>
      <c r="M1224" s="6">
        <v>0.5625</v>
      </c>
      <c r="N1224" s="6">
        <v>0</v>
      </c>
      <c r="O1224" s="6">
        <v>0.75</v>
      </c>
      <c r="P1224" s="6">
        <v>-2.125</v>
      </c>
      <c r="Q1224" s="6">
        <v>-29.5625</v>
      </c>
      <c r="R1224" s="6">
        <v>-0.16470146179199199</v>
      </c>
      <c r="S1224" s="6">
        <v>1.09826016426086</v>
      </c>
      <c r="T1224" s="6">
        <v>-0.100061237812042</v>
      </c>
      <c r="U1224" s="6">
        <v>1.3381969928741499</v>
      </c>
      <c r="V1224" s="6">
        <v>-37.265884399414098</v>
      </c>
      <c r="W1224" s="6">
        <v>-18.839668273925799</v>
      </c>
    </row>
    <row r="1225" spans="1:23" ht="18.95" customHeight="1">
      <c r="A1225" s="4">
        <v>1221</v>
      </c>
      <c r="B1225" s="4">
        <v>26266</v>
      </c>
      <c r="C1225" s="4">
        <v>1</v>
      </c>
      <c r="D1225" s="6">
        <v>0</v>
      </c>
      <c r="E1225" s="6">
        <v>0</v>
      </c>
      <c r="F1225" s="6">
        <v>-1.3125</v>
      </c>
      <c r="G1225" s="6">
        <v>0</v>
      </c>
      <c r="H1225" s="6">
        <v>0.3125</v>
      </c>
      <c r="I1225" s="6">
        <v>1.375</v>
      </c>
      <c r="J1225" s="6">
        <v>-2.1875</v>
      </c>
      <c r="K1225" s="6">
        <v>-18.5</v>
      </c>
      <c r="L1225" s="6">
        <v>-58.1875</v>
      </c>
      <c r="M1225" s="6">
        <v>0.75</v>
      </c>
      <c r="N1225" s="6">
        <v>0</v>
      </c>
      <c r="O1225" s="6">
        <v>0.75</v>
      </c>
      <c r="P1225" s="6">
        <v>-2.125</v>
      </c>
      <c r="Q1225" s="6">
        <v>-28.4375</v>
      </c>
      <c r="R1225" s="6">
        <v>-4.25641536712646E-2</v>
      </c>
      <c r="S1225" s="6">
        <v>4.2890996932983398</v>
      </c>
      <c r="T1225" s="6">
        <v>-5.4259717464447001E-2</v>
      </c>
      <c r="U1225" s="6">
        <v>1.30201303958893</v>
      </c>
      <c r="V1225" s="6">
        <v>-37.089717864990199</v>
      </c>
      <c r="W1225" s="6">
        <v>-18.8402099609375</v>
      </c>
    </row>
    <row r="1226" spans="1:23" ht="18.95" customHeight="1">
      <c r="A1226" s="4">
        <v>1222</v>
      </c>
      <c r="B1226" s="4">
        <v>26286</v>
      </c>
      <c r="C1226" s="4">
        <v>1</v>
      </c>
      <c r="D1226" s="6">
        <v>0</v>
      </c>
      <c r="E1226" s="6">
        <v>0</v>
      </c>
      <c r="F1226" s="6">
        <v>-4.375</v>
      </c>
      <c r="G1226" s="6">
        <v>-0.1875</v>
      </c>
      <c r="H1226" s="6">
        <v>0.3125</v>
      </c>
      <c r="I1226" s="6">
        <v>1.375</v>
      </c>
      <c r="J1226" s="6">
        <v>-2.1875</v>
      </c>
      <c r="K1226" s="6">
        <v>-18.375</v>
      </c>
      <c r="L1226" s="6">
        <v>-60.875</v>
      </c>
      <c r="M1226" s="6">
        <v>0.6875</v>
      </c>
      <c r="N1226" s="6">
        <v>0</v>
      </c>
      <c r="O1226" s="6">
        <v>0.6875</v>
      </c>
      <c r="P1226" s="6">
        <v>-2.125</v>
      </c>
      <c r="Q1226" s="6">
        <v>-27.25</v>
      </c>
      <c r="R1226" s="6">
        <v>-1.2029886245727499E-2</v>
      </c>
      <c r="S1226" s="6">
        <v>6.9303212165832502</v>
      </c>
      <c r="T1226" s="6">
        <v>0.26635098457336398</v>
      </c>
      <c r="U1226" s="6">
        <v>1.3298703432083101</v>
      </c>
      <c r="V1226" s="6">
        <v>-36.9390258789062</v>
      </c>
      <c r="W1226" s="6">
        <v>-18.8354396820068</v>
      </c>
    </row>
    <row r="1227" spans="1:23" ht="18.95" customHeight="1">
      <c r="A1227" s="4">
        <v>1223</v>
      </c>
      <c r="B1227" s="4">
        <v>26306</v>
      </c>
      <c r="C1227" s="4">
        <v>1</v>
      </c>
      <c r="D1227" s="6">
        <v>0</v>
      </c>
      <c r="E1227" s="6">
        <v>0</v>
      </c>
      <c r="F1227" s="6">
        <v>-7.5</v>
      </c>
      <c r="G1227" s="6">
        <v>-0.1875</v>
      </c>
      <c r="H1227" s="6">
        <v>0.25</v>
      </c>
      <c r="I1227" s="6">
        <v>1.375</v>
      </c>
      <c r="J1227" s="6">
        <v>-2.1875</v>
      </c>
      <c r="K1227" s="6">
        <v>-18.25</v>
      </c>
      <c r="L1227" s="6">
        <v>-61.875</v>
      </c>
      <c r="M1227" s="6">
        <v>0.6875</v>
      </c>
      <c r="N1227" s="6">
        <v>0.125</v>
      </c>
      <c r="O1227" s="6">
        <v>0.6875</v>
      </c>
      <c r="P1227" s="6">
        <v>-2.125</v>
      </c>
      <c r="Q1227" s="6">
        <v>-26.625</v>
      </c>
      <c r="R1227" s="6">
        <v>-0.62271690368652299</v>
      </c>
      <c r="S1227" s="6">
        <v>10.3043670654297</v>
      </c>
      <c r="T1227" s="6">
        <v>9.8412036895751995E-2</v>
      </c>
      <c r="U1227" s="6">
        <v>1.31287848949432</v>
      </c>
      <c r="V1227" s="6">
        <v>-36.736156463622997</v>
      </c>
      <c r="W1227" s="6">
        <v>-18.830545425415</v>
      </c>
    </row>
    <row r="1228" spans="1:23" ht="18.95" customHeight="1">
      <c r="A1228" s="4">
        <v>1224</v>
      </c>
      <c r="B1228" s="4">
        <v>26328</v>
      </c>
      <c r="C1228" s="4">
        <v>1</v>
      </c>
      <c r="D1228" s="6">
        <v>0</v>
      </c>
      <c r="E1228" s="6">
        <v>0</v>
      </c>
      <c r="F1228" s="6">
        <v>-10.6875</v>
      </c>
      <c r="G1228" s="6">
        <v>-0.3125</v>
      </c>
      <c r="H1228" s="6">
        <v>0.3125</v>
      </c>
      <c r="I1228" s="6">
        <v>1.375</v>
      </c>
      <c r="J1228" s="6">
        <v>-2.1875</v>
      </c>
      <c r="K1228" s="6">
        <v>-18.0625</v>
      </c>
      <c r="L1228" s="6">
        <v>-64.5625</v>
      </c>
      <c r="M1228" s="6">
        <v>0.8125</v>
      </c>
      <c r="N1228" s="6">
        <v>0</v>
      </c>
      <c r="O1228" s="6">
        <v>0.625</v>
      </c>
      <c r="P1228" s="6">
        <v>-2.125</v>
      </c>
      <c r="Q1228" s="6">
        <v>-24.8125</v>
      </c>
      <c r="R1228" s="6">
        <v>-0.24103736877441401</v>
      </c>
      <c r="S1228" s="6">
        <v>13.5715427398682</v>
      </c>
      <c r="T1228" s="6">
        <v>-0.14586275815963701</v>
      </c>
      <c r="U1228" s="6">
        <v>1.3305346965789799</v>
      </c>
      <c r="V1228" s="6">
        <v>-36.386310577392599</v>
      </c>
      <c r="W1228" s="6">
        <v>-18.816404342651399</v>
      </c>
    </row>
    <row r="1229" spans="1:23" ht="18.95" customHeight="1">
      <c r="A1229" s="4">
        <v>1225</v>
      </c>
      <c r="B1229" s="4">
        <v>26349</v>
      </c>
      <c r="C1229" s="4">
        <v>1</v>
      </c>
      <c r="D1229" s="6">
        <v>0</v>
      </c>
      <c r="E1229" s="6">
        <v>0</v>
      </c>
      <c r="F1229" s="6">
        <v>-13.625</v>
      </c>
      <c r="G1229" s="6">
        <v>0.125</v>
      </c>
      <c r="H1229" s="6">
        <v>0.3125</v>
      </c>
      <c r="I1229" s="6">
        <v>1.375</v>
      </c>
      <c r="J1229" s="6">
        <v>-2.1875</v>
      </c>
      <c r="K1229" s="6">
        <v>-17.8125</v>
      </c>
      <c r="L1229" s="6">
        <v>-65.375</v>
      </c>
      <c r="M1229" s="6">
        <v>0.75</v>
      </c>
      <c r="N1229" s="6">
        <v>0</v>
      </c>
      <c r="O1229" s="6">
        <v>0.625</v>
      </c>
      <c r="P1229" s="6">
        <v>-2.1875</v>
      </c>
      <c r="Q1229" s="6">
        <v>-23.5625</v>
      </c>
      <c r="R1229" s="6">
        <v>-1.32500696182251</v>
      </c>
      <c r="S1229" s="6">
        <v>17.0524597167969</v>
      </c>
      <c r="T1229" s="6">
        <v>-0.32906889915466297</v>
      </c>
      <c r="U1229" s="6">
        <v>1.4165177345275899</v>
      </c>
      <c r="V1229" s="6">
        <v>-36.046707153320298</v>
      </c>
      <c r="W1229" s="6">
        <v>-18.817316055297901</v>
      </c>
    </row>
    <row r="1230" spans="1:23" ht="18.95" customHeight="1">
      <c r="A1230" s="4">
        <v>1226</v>
      </c>
      <c r="B1230" s="4">
        <v>26369</v>
      </c>
      <c r="C1230" s="4">
        <v>1</v>
      </c>
      <c r="D1230" s="6">
        <v>0</v>
      </c>
      <c r="E1230" s="6">
        <v>0</v>
      </c>
      <c r="F1230" s="6">
        <v>-16.875</v>
      </c>
      <c r="G1230" s="6">
        <v>-0.875</v>
      </c>
      <c r="H1230" s="6">
        <v>0</v>
      </c>
      <c r="I1230" s="6">
        <v>1.375</v>
      </c>
      <c r="J1230" s="6">
        <v>-2.1875</v>
      </c>
      <c r="K1230" s="6">
        <v>-17.5</v>
      </c>
      <c r="L1230" s="6">
        <v>-67.25</v>
      </c>
      <c r="M1230" s="6">
        <v>0.5</v>
      </c>
      <c r="N1230" s="6">
        <v>-0.125</v>
      </c>
      <c r="O1230" s="6">
        <v>0.5625</v>
      </c>
      <c r="P1230" s="6">
        <v>-2.1875</v>
      </c>
      <c r="Q1230" s="6">
        <v>-22.25</v>
      </c>
      <c r="R1230" s="6">
        <v>-0.63798403739929199</v>
      </c>
      <c r="S1230" s="6">
        <v>19.2203979492188</v>
      </c>
      <c r="T1230" s="6">
        <v>0.78543496131896995</v>
      </c>
      <c r="U1230" s="6">
        <v>1.30162990093231</v>
      </c>
      <c r="V1230" s="6">
        <v>-35.652301788330099</v>
      </c>
      <c r="W1230" s="6">
        <v>-18.808311462402301</v>
      </c>
    </row>
    <row r="1231" spans="1:23" ht="18.95" customHeight="1">
      <c r="A1231" s="4">
        <v>1227</v>
      </c>
      <c r="B1231" s="4">
        <v>26389</v>
      </c>
      <c r="C1231" s="4">
        <v>1</v>
      </c>
      <c r="D1231" s="6">
        <v>0</v>
      </c>
      <c r="E1231" s="6">
        <v>0</v>
      </c>
      <c r="F1231" s="6">
        <v>-19.6875</v>
      </c>
      <c r="G1231" s="6">
        <v>0.3125</v>
      </c>
      <c r="H1231" s="6">
        <v>0.6875</v>
      </c>
      <c r="I1231" s="6">
        <v>1.375</v>
      </c>
      <c r="J1231" s="6">
        <v>-2.1875</v>
      </c>
      <c r="K1231" s="6">
        <v>-17.125</v>
      </c>
      <c r="L1231" s="6">
        <v>-67.125</v>
      </c>
      <c r="M1231" s="6">
        <v>0.75</v>
      </c>
      <c r="N1231" s="6">
        <v>0</v>
      </c>
      <c r="O1231" s="6">
        <v>0.5625</v>
      </c>
      <c r="P1231" s="6">
        <v>-2.1875</v>
      </c>
      <c r="Q1231" s="6">
        <v>-20.9375</v>
      </c>
      <c r="R1231" s="6">
        <v>-1.1876022815704299</v>
      </c>
      <c r="S1231" s="6">
        <v>22.624977111816399</v>
      </c>
      <c r="T1231" s="6">
        <v>0.77016770839691195</v>
      </c>
      <c r="U1231" s="6">
        <v>1.34053134918213</v>
      </c>
      <c r="V1231" s="6">
        <v>-35.315437316894503</v>
      </c>
      <c r="W1231" s="6">
        <v>-18.803533554077099</v>
      </c>
    </row>
    <row r="1232" spans="1:23" ht="18.95" customHeight="1">
      <c r="A1232" s="4">
        <v>1228</v>
      </c>
      <c r="B1232" s="4">
        <v>26409</v>
      </c>
      <c r="C1232" s="4">
        <v>1</v>
      </c>
      <c r="D1232" s="6">
        <v>0</v>
      </c>
      <c r="E1232" s="6">
        <v>0</v>
      </c>
      <c r="F1232" s="6">
        <v>-22.9375</v>
      </c>
      <c r="G1232" s="6">
        <v>-0.3125</v>
      </c>
      <c r="H1232" s="6">
        <v>0.5</v>
      </c>
      <c r="I1232" s="6">
        <v>1.375</v>
      </c>
      <c r="J1232" s="6">
        <v>-2.1875</v>
      </c>
      <c r="K1232" s="6">
        <v>-16.75</v>
      </c>
      <c r="L1232" s="6">
        <v>-68.875</v>
      </c>
      <c r="M1232" s="6">
        <v>0.625</v>
      </c>
      <c r="N1232" s="6">
        <v>0</v>
      </c>
      <c r="O1232" s="6">
        <v>0.5625</v>
      </c>
      <c r="P1232" s="6">
        <v>-2.1875</v>
      </c>
      <c r="Q1232" s="6">
        <v>-19.625</v>
      </c>
      <c r="R1232" s="6">
        <v>-0.45477795600891102</v>
      </c>
      <c r="S1232" s="6">
        <v>25.342535018920898</v>
      </c>
      <c r="T1232" s="6">
        <v>0.19001507759094199</v>
      </c>
      <c r="U1232" s="6">
        <v>1.2412644624710101</v>
      </c>
      <c r="V1232" s="6">
        <v>-34.819068908691399</v>
      </c>
      <c r="W1232" s="6">
        <v>-18.8022136688232</v>
      </c>
    </row>
    <row r="1233" spans="1:23" ht="18.95" customHeight="1">
      <c r="A1233" s="4">
        <v>1229</v>
      </c>
      <c r="B1233" s="4">
        <v>26430</v>
      </c>
      <c r="C1233" s="4">
        <v>1</v>
      </c>
      <c r="D1233" s="6">
        <v>0</v>
      </c>
      <c r="E1233" s="6">
        <v>0</v>
      </c>
      <c r="F1233" s="6">
        <v>-25.9375</v>
      </c>
      <c r="G1233" s="6">
        <v>-0.625</v>
      </c>
      <c r="H1233" s="6">
        <v>6.25E-2</v>
      </c>
      <c r="I1233" s="6">
        <v>1.3125</v>
      </c>
      <c r="J1233" s="6">
        <v>-2.1875</v>
      </c>
      <c r="K1233" s="6">
        <v>-16.25</v>
      </c>
      <c r="L1233" s="6">
        <v>-69.4375</v>
      </c>
      <c r="M1233" s="6">
        <v>0.5</v>
      </c>
      <c r="N1233" s="6">
        <v>-6.25E-2</v>
      </c>
      <c r="O1233" s="6">
        <v>0.5</v>
      </c>
      <c r="P1233" s="6">
        <v>-2.1875</v>
      </c>
      <c r="Q1233" s="6">
        <v>-18.25</v>
      </c>
      <c r="R1233" s="6">
        <v>-0.24103736877441401</v>
      </c>
      <c r="S1233" s="6">
        <v>29.021924972534201</v>
      </c>
      <c r="T1233" s="6">
        <v>0.90757238864898704</v>
      </c>
      <c r="U1233" s="6">
        <v>1.18780982494354</v>
      </c>
      <c r="V1233" s="6">
        <v>-34.3838081359863</v>
      </c>
      <c r="W1233" s="6">
        <v>-18.797948837280298</v>
      </c>
    </row>
    <row r="1234" spans="1:23" ht="18.95" customHeight="1">
      <c r="A1234" s="4">
        <v>1230</v>
      </c>
      <c r="B1234" s="4">
        <v>26452</v>
      </c>
      <c r="C1234" s="4">
        <v>1</v>
      </c>
      <c r="D1234" s="6">
        <v>0</v>
      </c>
      <c r="E1234" s="6">
        <v>0</v>
      </c>
      <c r="F1234" s="6">
        <v>-29.0625</v>
      </c>
      <c r="G1234" s="6">
        <v>-0.5</v>
      </c>
      <c r="H1234" s="6">
        <v>6.25E-2</v>
      </c>
      <c r="I1234" s="6">
        <v>1.3125</v>
      </c>
      <c r="J1234" s="6">
        <v>-2.1875</v>
      </c>
      <c r="K1234" s="6">
        <v>-15.6875</v>
      </c>
      <c r="L1234" s="6">
        <v>-70.6875</v>
      </c>
      <c r="M1234" s="6">
        <v>0.6875</v>
      </c>
      <c r="N1234" s="6">
        <v>-6.25E-2</v>
      </c>
      <c r="O1234" s="6">
        <v>0.5</v>
      </c>
      <c r="P1234" s="6">
        <v>-2.1875</v>
      </c>
      <c r="Q1234" s="6">
        <v>-16.9375</v>
      </c>
      <c r="R1234" s="6">
        <v>-1.1570680141448999</v>
      </c>
      <c r="S1234" s="6">
        <v>33.3272705078125</v>
      </c>
      <c r="T1234" s="6">
        <v>6.80899620056152E-3</v>
      </c>
      <c r="U1234" s="6">
        <v>1.19374251365662</v>
      </c>
      <c r="V1234" s="6">
        <v>-33.816291809082003</v>
      </c>
      <c r="W1234" s="6">
        <v>-18.792076110839801</v>
      </c>
    </row>
    <row r="1235" spans="1:23" ht="18.95" customHeight="1">
      <c r="A1235" s="4">
        <v>1231</v>
      </c>
      <c r="B1235" s="4">
        <v>26472</v>
      </c>
      <c r="C1235" s="4">
        <v>1</v>
      </c>
      <c r="D1235" s="6">
        <v>0</v>
      </c>
      <c r="E1235" s="6">
        <v>0</v>
      </c>
      <c r="F1235" s="6">
        <v>-33.1875</v>
      </c>
      <c r="G1235" s="6">
        <v>-0.75</v>
      </c>
      <c r="H1235" s="6">
        <v>-0.125</v>
      </c>
      <c r="I1235" s="6">
        <v>1.3125</v>
      </c>
      <c r="J1235" s="6">
        <v>-2.1875</v>
      </c>
      <c r="K1235" s="6">
        <v>-15.0625</v>
      </c>
      <c r="L1235" s="6">
        <v>-73.625</v>
      </c>
      <c r="M1235" s="6">
        <v>0.875</v>
      </c>
      <c r="N1235" s="6">
        <v>-0.1875</v>
      </c>
      <c r="O1235" s="6">
        <v>0.4375</v>
      </c>
      <c r="P1235" s="6">
        <v>-2.1875</v>
      </c>
      <c r="Q1235" s="6">
        <v>-15.5</v>
      </c>
      <c r="R1235" s="6">
        <v>-1.3708086013793901</v>
      </c>
      <c r="S1235" s="6">
        <v>35.907417297363303</v>
      </c>
      <c r="T1235" s="6">
        <v>-0.57334369421005205</v>
      </c>
      <c r="U1235" s="6">
        <v>1.2244244813919101</v>
      </c>
      <c r="V1235" s="6">
        <v>-33.114704132080099</v>
      </c>
      <c r="W1235" s="6">
        <v>-18.7802410125732</v>
      </c>
    </row>
    <row r="1236" spans="1:23" ht="18.95" customHeight="1">
      <c r="A1236" s="4">
        <v>1232</v>
      </c>
      <c r="B1236" s="4">
        <v>26492</v>
      </c>
      <c r="C1236" s="4">
        <v>1</v>
      </c>
      <c r="D1236" s="6">
        <v>0</v>
      </c>
      <c r="E1236" s="6">
        <v>0</v>
      </c>
      <c r="F1236" s="6">
        <v>-36.1875</v>
      </c>
      <c r="G1236" s="6">
        <v>-0.25</v>
      </c>
      <c r="H1236" s="6">
        <v>0.3125</v>
      </c>
      <c r="I1236" s="6">
        <v>1.3125</v>
      </c>
      <c r="J1236" s="6">
        <v>-2.1875</v>
      </c>
      <c r="K1236" s="6">
        <v>-14.375</v>
      </c>
      <c r="L1236" s="6">
        <v>-73.9375</v>
      </c>
      <c r="M1236" s="6">
        <v>0.5</v>
      </c>
      <c r="N1236" s="6">
        <v>0.125</v>
      </c>
      <c r="O1236" s="6">
        <v>0.4375</v>
      </c>
      <c r="P1236" s="6">
        <v>-2.1875</v>
      </c>
      <c r="Q1236" s="6">
        <v>-14.0625</v>
      </c>
      <c r="R1236" s="6">
        <v>-1.6761517524719201</v>
      </c>
      <c r="S1236" s="6">
        <v>39.876884460449197</v>
      </c>
      <c r="T1236" s="6">
        <v>0.40375554561615001</v>
      </c>
      <c r="U1236" s="6">
        <v>1.19596755504608</v>
      </c>
      <c r="V1236" s="6">
        <v>-32.356700897216797</v>
      </c>
      <c r="W1236" s="6">
        <v>-18.7661437988281</v>
      </c>
    </row>
    <row r="1237" spans="1:23" ht="18.95" customHeight="1">
      <c r="A1237" s="4">
        <v>1233</v>
      </c>
      <c r="B1237" s="4">
        <v>26514</v>
      </c>
      <c r="C1237" s="4">
        <v>1</v>
      </c>
      <c r="D1237" s="6">
        <v>0</v>
      </c>
      <c r="E1237" s="6">
        <v>0</v>
      </c>
      <c r="F1237" s="6">
        <v>-39.875</v>
      </c>
      <c r="G1237" s="6">
        <v>-0.5</v>
      </c>
      <c r="H1237" s="6">
        <v>0.5</v>
      </c>
      <c r="I1237" s="6">
        <v>1.3125</v>
      </c>
      <c r="J1237" s="6">
        <v>-2.1875</v>
      </c>
      <c r="K1237" s="6">
        <v>-13.625</v>
      </c>
      <c r="L1237" s="6">
        <v>-75.5</v>
      </c>
      <c r="M1237" s="6">
        <v>0.6875</v>
      </c>
      <c r="N1237" s="6">
        <v>-0.1875</v>
      </c>
      <c r="O1237" s="6">
        <v>0.375</v>
      </c>
      <c r="P1237" s="6">
        <v>-2.25</v>
      </c>
      <c r="Q1237" s="6">
        <v>-12.625</v>
      </c>
      <c r="R1237" s="6">
        <v>-1.3708086013793901</v>
      </c>
      <c r="S1237" s="6">
        <v>42.502838134765597</v>
      </c>
      <c r="T1237" s="6">
        <v>0.49535858631134</v>
      </c>
      <c r="U1237" s="6">
        <v>1.19229304790497</v>
      </c>
      <c r="V1237" s="6">
        <v>-31.585462570190401</v>
      </c>
      <c r="W1237" s="6">
        <v>-18.757640838623001</v>
      </c>
    </row>
    <row r="1238" spans="1:23" ht="18.95" customHeight="1">
      <c r="A1238" s="4">
        <v>1234</v>
      </c>
      <c r="B1238" s="4">
        <v>26535</v>
      </c>
      <c r="C1238" s="4">
        <v>1</v>
      </c>
      <c r="D1238" s="6">
        <v>0</v>
      </c>
      <c r="E1238" s="6">
        <v>0</v>
      </c>
      <c r="F1238" s="6">
        <v>-42.875</v>
      </c>
      <c r="G1238" s="6">
        <v>-0.5625</v>
      </c>
      <c r="H1238" s="6">
        <v>0.375</v>
      </c>
      <c r="I1238" s="6">
        <v>1.25</v>
      </c>
      <c r="J1238" s="6">
        <v>-2.1875</v>
      </c>
      <c r="K1238" s="6">
        <v>-12.8125</v>
      </c>
      <c r="L1238" s="6">
        <v>-75.1875</v>
      </c>
      <c r="M1238" s="6">
        <v>0.8125</v>
      </c>
      <c r="N1238" s="6">
        <v>0.1875</v>
      </c>
      <c r="O1238" s="6">
        <v>0.375</v>
      </c>
      <c r="P1238" s="6">
        <v>-2.25</v>
      </c>
      <c r="Q1238" s="6">
        <v>-10.4375</v>
      </c>
      <c r="R1238" s="6">
        <v>-1.11126637458801</v>
      </c>
      <c r="S1238" s="6">
        <v>46.166961669921903</v>
      </c>
      <c r="T1238" s="6">
        <v>0.70909905433654796</v>
      </c>
      <c r="U1238" s="6">
        <v>1.1487274169921899</v>
      </c>
      <c r="V1238" s="6">
        <v>-30.7704677581787</v>
      </c>
      <c r="W1238" s="6">
        <v>-18.7510776519775</v>
      </c>
    </row>
    <row r="1239" spans="1:23" ht="18.95" customHeight="1">
      <c r="A1239" s="4">
        <v>1235</v>
      </c>
      <c r="B1239" s="4">
        <v>26556</v>
      </c>
      <c r="C1239" s="4">
        <v>1</v>
      </c>
      <c r="D1239" s="6">
        <v>0</v>
      </c>
      <c r="E1239" s="6">
        <v>0</v>
      </c>
      <c r="F1239" s="6">
        <v>-45.625</v>
      </c>
      <c r="G1239" s="6">
        <v>-1</v>
      </c>
      <c r="H1239" s="6">
        <v>-0.25</v>
      </c>
      <c r="I1239" s="6">
        <v>1.25</v>
      </c>
      <c r="J1239" s="6">
        <v>-2.125</v>
      </c>
      <c r="K1239" s="6">
        <v>-11.4375</v>
      </c>
      <c r="L1239" s="6">
        <v>-75.3125</v>
      </c>
      <c r="M1239" s="6">
        <v>0.5625</v>
      </c>
      <c r="N1239" s="6">
        <v>0</v>
      </c>
      <c r="O1239" s="6">
        <v>0.3125</v>
      </c>
      <c r="P1239" s="6">
        <v>-2.25</v>
      </c>
      <c r="Q1239" s="6">
        <v>-9.6875</v>
      </c>
      <c r="R1239" s="6">
        <v>-1.01966333389282</v>
      </c>
      <c r="S1239" s="6">
        <v>48.426506042480497</v>
      </c>
      <c r="T1239" s="6">
        <v>0.20528227090835599</v>
      </c>
      <c r="U1239" s="6">
        <v>1.0582834482193</v>
      </c>
      <c r="V1239" s="6">
        <v>-29.847606658935501</v>
      </c>
      <c r="W1239" s="6">
        <v>-18.751659393310501</v>
      </c>
    </row>
    <row r="1240" spans="1:23" ht="18.95" customHeight="1">
      <c r="A1240" s="4">
        <v>1236</v>
      </c>
      <c r="B1240" s="4">
        <v>26578</v>
      </c>
      <c r="C1240" s="4">
        <v>1</v>
      </c>
      <c r="D1240" s="6">
        <v>0</v>
      </c>
      <c r="E1240" s="6">
        <v>0</v>
      </c>
      <c r="F1240" s="6">
        <v>-49.8125</v>
      </c>
      <c r="G1240" s="6">
        <v>-0.8125</v>
      </c>
      <c r="H1240" s="6">
        <v>0</v>
      </c>
      <c r="I1240" s="6">
        <v>1.25</v>
      </c>
      <c r="J1240" s="6">
        <v>-2.125</v>
      </c>
      <c r="K1240" s="6">
        <v>-10.5</v>
      </c>
      <c r="L1240" s="6">
        <v>-74.6875</v>
      </c>
      <c r="M1240" s="6">
        <v>0.5625</v>
      </c>
      <c r="N1240" s="6">
        <v>6.25E-2</v>
      </c>
      <c r="O1240" s="6">
        <v>0.3125</v>
      </c>
      <c r="P1240" s="6">
        <v>-2.25</v>
      </c>
      <c r="Q1240" s="6">
        <v>-7.5</v>
      </c>
      <c r="R1240" s="6">
        <v>-1.9356937408447299</v>
      </c>
      <c r="S1240" s="6">
        <v>50.518104553222699</v>
      </c>
      <c r="T1240" s="6">
        <v>-6.9526910781860393E-2</v>
      </c>
      <c r="U1240" s="6">
        <v>1.041299700737</v>
      </c>
      <c r="V1240" s="6">
        <v>-28.773950576782202</v>
      </c>
      <c r="W1240" s="6">
        <v>-18.7591342926025</v>
      </c>
    </row>
    <row r="1241" spans="1:23" ht="18.95" customHeight="1">
      <c r="A1241" s="4">
        <v>1237</v>
      </c>
      <c r="B1241" s="4">
        <v>26600</v>
      </c>
      <c r="C1241" s="4">
        <v>1</v>
      </c>
      <c r="D1241" s="6">
        <v>0</v>
      </c>
      <c r="E1241" s="6">
        <v>0</v>
      </c>
      <c r="F1241" s="6">
        <v>-51.875</v>
      </c>
      <c r="G1241" s="6">
        <v>-1</v>
      </c>
      <c r="H1241" s="6">
        <v>-0.3125</v>
      </c>
      <c r="I1241" s="6">
        <v>1.25</v>
      </c>
      <c r="J1241" s="6">
        <v>-2.125</v>
      </c>
      <c r="K1241" s="6">
        <v>-9.5</v>
      </c>
      <c r="L1241" s="6">
        <v>-73.4375</v>
      </c>
      <c r="M1241" s="6">
        <v>0.5625</v>
      </c>
      <c r="N1241" s="6">
        <v>-0.125</v>
      </c>
      <c r="O1241" s="6">
        <v>0.25</v>
      </c>
      <c r="P1241" s="6">
        <v>-2.25</v>
      </c>
      <c r="Q1241" s="6">
        <v>-6.0625</v>
      </c>
      <c r="R1241" s="6">
        <v>-1.6761517524719201</v>
      </c>
      <c r="S1241" s="6">
        <v>53.006660461425803</v>
      </c>
      <c r="T1241" s="6">
        <v>0.98390817642211903</v>
      </c>
      <c r="U1241" s="6">
        <v>0.93302333354949996</v>
      </c>
      <c r="V1241" s="6">
        <v>-27.725540161132798</v>
      </c>
      <c r="W1241" s="6">
        <v>-18.7570285797119</v>
      </c>
    </row>
    <row r="1242" spans="1:23" ht="18.95" customHeight="1">
      <c r="A1242" s="4">
        <v>1238</v>
      </c>
      <c r="B1242" s="4">
        <v>26620</v>
      </c>
      <c r="C1242" s="4">
        <v>1</v>
      </c>
      <c r="D1242" s="6">
        <v>0</v>
      </c>
      <c r="E1242" s="6">
        <v>0</v>
      </c>
      <c r="F1242" s="6">
        <v>-54.0625</v>
      </c>
      <c r="G1242" s="6">
        <v>-0.875</v>
      </c>
      <c r="H1242" s="6">
        <v>-0.1875</v>
      </c>
      <c r="I1242" s="6">
        <v>1.1875</v>
      </c>
      <c r="J1242" s="6">
        <v>-2.0625</v>
      </c>
      <c r="K1242" s="6">
        <v>-8.5</v>
      </c>
      <c r="L1242" s="6">
        <v>-72.125</v>
      </c>
      <c r="M1242" s="6">
        <v>0.75</v>
      </c>
      <c r="N1242" s="6">
        <v>6.25E-2</v>
      </c>
      <c r="O1242" s="6">
        <v>0.25</v>
      </c>
      <c r="P1242" s="6">
        <v>-2.25</v>
      </c>
      <c r="Q1242" s="6">
        <v>-4.6875</v>
      </c>
      <c r="R1242" s="6">
        <v>-1.1876022815704299</v>
      </c>
      <c r="S1242" s="6">
        <v>54.915054321289098</v>
      </c>
      <c r="T1242" s="6">
        <v>3.7343323230743401E-2</v>
      </c>
      <c r="U1242" s="6">
        <v>0.95816844701767001</v>
      </c>
      <c r="V1242" s="6">
        <v>-26.744270324706999</v>
      </c>
      <c r="W1242" s="6">
        <v>-18.749046325683601</v>
      </c>
    </row>
    <row r="1243" spans="1:23" ht="18.95" customHeight="1">
      <c r="A1243" s="4">
        <v>1239</v>
      </c>
      <c r="B1243" s="4">
        <v>26650</v>
      </c>
      <c r="C1243" s="4">
        <v>1</v>
      </c>
      <c r="D1243" s="6">
        <v>0</v>
      </c>
      <c r="E1243" s="6">
        <v>0</v>
      </c>
      <c r="F1243" s="6">
        <v>-57.875</v>
      </c>
      <c r="G1243" s="6">
        <v>-1</v>
      </c>
      <c r="H1243" s="6">
        <v>-0.3125</v>
      </c>
      <c r="I1243" s="6">
        <v>1.1875</v>
      </c>
      <c r="J1243" s="6">
        <v>-2.0625</v>
      </c>
      <c r="K1243" s="6">
        <v>-6.8125</v>
      </c>
      <c r="L1243" s="6">
        <v>-71.0625</v>
      </c>
      <c r="M1243" s="6">
        <v>0.6875</v>
      </c>
      <c r="N1243" s="6">
        <v>0.125</v>
      </c>
      <c r="O1243" s="6">
        <v>0.1875</v>
      </c>
      <c r="P1243" s="6">
        <v>-2.25</v>
      </c>
      <c r="Q1243" s="6">
        <v>-2.625</v>
      </c>
      <c r="R1243" s="6">
        <v>-2.48531198501587</v>
      </c>
      <c r="S1243" s="6">
        <v>58.747116088867202</v>
      </c>
      <c r="T1243" s="6">
        <v>-0.31380170583724998</v>
      </c>
      <c r="U1243" s="6">
        <v>0.92635262012481701</v>
      </c>
      <c r="V1243" s="6">
        <v>-25.058620452880898</v>
      </c>
      <c r="W1243" s="6">
        <v>-18.754673004150401</v>
      </c>
    </row>
    <row r="1244" spans="1:23" ht="18.95" customHeight="1">
      <c r="A1244" s="4">
        <v>1240</v>
      </c>
      <c r="B1244" s="4">
        <v>26671</v>
      </c>
      <c r="C1244" s="4">
        <v>0</v>
      </c>
      <c r="D1244" s="6">
        <v>0</v>
      </c>
      <c r="E1244" s="6">
        <v>0</v>
      </c>
      <c r="F1244" s="6">
        <v>-60.1875</v>
      </c>
      <c r="G1244" s="6">
        <v>-1.3125</v>
      </c>
      <c r="H1244" s="6">
        <v>-0.6875</v>
      </c>
      <c r="I1244" s="6">
        <v>1.1875</v>
      </c>
      <c r="J1244" s="6">
        <v>-2</v>
      </c>
      <c r="K1244" s="6">
        <v>-5.6875</v>
      </c>
      <c r="L1244" s="6">
        <v>-69.6875</v>
      </c>
      <c r="M1244" s="6">
        <v>0.625</v>
      </c>
      <c r="N1244" s="6">
        <v>-0.125</v>
      </c>
      <c r="O1244" s="6">
        <v>0.1875</v>
      </c>
      <c r="P1244" s="6">
        <v>-2.3125</v>
      </c>
      <c r="Q1244" s="6">
        <v>-1.25</v>
      </c>
      <c r="R1244" s="6">
        <v>-1.8440909385681199</v>
      </c>
      <c r="S1244" s="6">
        <v>61.3272705078125</v>
      </c>
      <c r="T1244" s="6">
        <v>-8.4794104099273696E-2</v>
      </c>
      <c r="U1244" s="6">
        <v>0.83328300714492798</v>
      </c>
      <c r="V1244" s="6">
        <v>-24.037576675415</v>
      </c>
      <c r="W1244" s="6">
        <v>-18.7557563781738</v>
      </c>
    </row>
    <row r="1245" spans="1:23" ht="18.95" customHeight="1">
      <c r="A1245" s="4">
        <v>1241</v>
      </c>
      <c r="B1245" s="4">
        <v>26693</v>
      </c>
      <c r="C1245" s="4">
        <v>0</v>
      </c>
      <c r="D1245" s="6">
        <v>0</v>
      </c>
      <c r="E1245" s="6">
        <v>0</v>
      </c>
      <c r="F1245" s="6">
        <v>-62.5</v>
      </c>
      <c r="G1245" s="6">
        <v>-1.1875</v>
      </c>
      <c r="H1245" s="6">
        <v>-0.6875</v>
      </c>
      <c r="I1245" s="6">
        <v>1.1875</v>
      </c>
      <c r="J1245" s="6">
        <v>-2</v>
      </c>
      <c r="K1245" s="6">
        <v>-4.5</v>
      </c>
      <c r="L1245" s="6">
        <v>-68.125</v>
      </c>
      <c r="M1245" s="6">
        <v>0.875</v>
      </c>
      <c r="N1245" s="6">
        <v>6.25E-2</v>
      </c>
      <c r="O1245" s="6">
        <v>0.125</v>
      </c>
      <c r="P1245" s="6">
        <v>-2.3125</v>
      </c>
      <c r="Q1245" s="6">
        <v>0</v>
      </c>
      <c r="R1245" s="6">
        <v>-2.1494345664978001</v>
      </c>
      <c r="S1245" s="6">
        <v>62.22802734375</v>
      </c>
      <c r="T1245" s="6">
        <v>-0.28326734900474498</v>
      </c>
      <c r="U1245" s="6">
        <v>0.93690121173858598</v>
      </c>
      <c r="V1245" s="6">
        <v>-22.539400100708001</v>
      </c>
      <c r="W1245" s="6">
        <v>-18.757072448730501</v>
      </c>
    </row>
    <row r="1246" spans="1:23" ht="18.95" customHeight="1">
      <c r="A1246" s="4">
        <v>1242</v>
      </c>
      <c r="B1246" s="4">
        <v>26714</v>
      </c>
      <c r="C1246" s="4">
        <v>0</v>
      </c>
      <c r="D1246" s="6">
        <v>0</v>
      </c>
      <c r="E1246" s="6">
        <v>0</v>
      </c>
      <c r="F1246" s="6">
        <v>-64</v>
      </c>
      <c r="G1246" s="6">
        <v>-1.3125</v>
      </c>
      <c r="H1246" s="6">
        <v>-0.6875</v>
      </c>
      <c r="I1246" s="6">
        <v>1.125</v>
      </c>
      <c r="J1246" s="6">
        <v>-2</v>
      </c>
      <c r="K1246" s="6">
        <v>-3.25</v>
      </c>
      <c r="L1246" s="6">
        <v>-65.125</v>
      </c>
      <c r="M1246" s="6">
        <v>0.375</v>
      </c>
      <c r="N1246" s="6">
        <v>6.25E-2</v>
      </c>
      <c r="O1246" s="6">
        <v>6.25E-2</v>
      </c>
      <c r="P1246" s="6">
        <v>-2.3125</v>
      </c>
      <c r="Q1246" s="6">
        <v>1.875</v>
      </c>
      <c r="R1246" s="6">
        <v>-1.8440909385681199</v>
      </c>
      <c r="S1246" s="6">
        <v>63.693679809570298</v>
      </c>
      <c r="T1246" s="6">
        <v>0.144213557243347</v>
      </c>
      <c r="U1246" s="6">
        <v>0.74548542499542203</v>
      </c>
      <c r="V1246" s="6">
        <v>-21.297935485839801</v>
      </c>
      <c r="W1246" s="6">
        <v>-18.763822555541999</v>
      </c>
    </row>
    <row r="1247" spans="1:23" ht="18.95" customHeight="1">
      <c r="A1247" s="4">
        <v>1243</v>
      </c>
      <c r="B1247" s="4">
        <v>26736</v>
      </c>
      <c r="C1247" s="4">
        <v>0</v>
      </c>
      <c r="D1247" s="6">
        <v>0</v>
      </c>
      <c r="E1247" s="6">
        <v>0</v>
      </c>
      <c r="F1247" s="6">
        <v>-64.6875</v>
      </c>
      <c r="G1247" s="6">
        <v>-1.4375</v>
      </c>
      <c r="H1247" s="6">
        <v>-0.9375</v>
      </c>
      <c r="I1247" s="6">
        <v>1.125</v>
      </c>
      <c r="J1247" s="6">
        <v>-1.9375</v>
      </c>
      <c r="K1247" s="6">
        <v>-2</v>
      </c>
      <c r="L1247" s="6">
        <v>-61.6875</v>
      </c>
      <c r="M1247" s="6">
        <v>0.4375</v>
      </c>
      <c r="N1247" s="6">
        <v>0</v>
      </c>
      <c r="O1247" s="6">
        <v>6.25E-2</v>
      </c>
      <c r="P1247" s="6">
        <v>-2.3125</v>
      </c>
      <c r="Q1247" s="6">
        <v>3.0625</v>
      </c>
      <c r="R1247" s="6">
        <v>-1.76775503158569</v>
      </c>
      <c r="S1247" s="6">
        <v>63.632614135742202</v>
      </c>
      <c r="T1247" s="6">
        <v>2.2076129913330099E-2</v>
      </c>
      <c r="U1247" s="6">
        <v>0.79000270366668701</v>
      </c>
      <c r="V1247" s="6">
        <v>-19.7635593414307</v>
      </c>
      <c r="W1247" s="6">
        <v>-18.768854141235401</v>
      </c>
    </row>
    <row r="1248" spans="1:23" ht="18.95" customHeight="1">
      <c r="A1248" s="4">
        <v>1244</v>
      </c>
      <c r="B1248" s="4">
        <v>26756</v>
      </c>
      <c r="C1248" s="4">
        <v>1</v>
      </c>
      <c r="D1248" s="6">
        <v>0</v>
      </c>
      <c r="E1248" s="6">
        <v>0</v>
      </c>
      <c r="F1248" s="6">
        <v>-66.0625</v>
      </c>
      <c r="G1248" s="6">
        <v>-1.25</v>
      </c>
      <c r="H1248" s="6">
        <v>-0.625</v>
      </c>
      <c r="I1248" s="6">
        <v>1.125</v>
      </c>
      <c r="J1248" s="6">
        <v>-1.9375</v>
      </c>
      <c r="K1248" s="6">
        <v>-6.25E-2</v>
      </c>
      <c r="L1248" s="6">
        <v>-58.875</v>
      </c>
      <c r="M1248" s="6">
        <v>0.875</v>
      </c>
      <c r="N1248" s="6">
        <v>-6.25E-2</v>
      </c>
      <c r="O1248" s="6">
        <v>6.25E-2</v>
      </c>
      <c r="P1248" s="6">
        <v>-2.3125</v>
      </c>
      <c r="Q1248" s="6">
        <v>4.1875</v>
      </c>
      <c r="R1248" s="6">
        <v>-2.3631749153137198</v>
      </c>
      <c r="S1248" s="6">
        <v>64.380699157714801</v>
      </c>
      <c r="T1248" s="6">
        <v>-0.13059562444686901</v>
      </c>
      <c r="U1248" s="6">
        <v>0.71741229295730602</v>
      </c>
      <c r="V1248" s="6">
        <v>-18.4317836761475</v>
      </c>
      <c r="W1248" s="6">
        <v>-18.781337738037099</v>
      </c>
    </row>
    <row r="1249" spans="1:23" ht="18.95" customHeight="1">
      <c r="A1249" s="4">
        <v>1245</v>
      </c>
      <c r="B1249" s="4">
        <v>26777</v>
      </c>
      <c r="C1249" s="4">
        <v>1</v>
      </c>
      <c r="D1249" s="6">
        <v>0</v>
      </c>
      <c r="E1249" s="6">
        <v>0</v>
      </c>
      <c r="F1249" s="6">
        <v>-65.8125</v>
      </c>
      <c r="G1249" s="6">
        <v>-1.875</v>
      </c>
      <c r="H1249" s="6">
        <v>-0.875</v>
      </c>
      <c r="I1249" s="6">
        <v>1.125</v>
      </c>
      <c r="J1249" s="6">
        <v>-1.875</v>
      </c>
      <c r="K1249" s="6">
        <v>1.125</v>
      </c>
      <c r="L1249" s="6">
        <v>-52.1875</v>
      </c>
      <c r="M1249" s="6">
        <v>0.4375</v>
      </c>
      <c r="N1249" s="6">
        <v>0</v>
      </c>
      <c r="O1249" s="6">
        <v>0</v>
      </c>
      <c r="P1249" s="6">
        <v>-2.3125</v>
      </c>
      <c r="Q1249" s="6">
        <v>5.25</v>
      </c>
      <c r="R1249" s="6">
        <v>-2.1799688339233398</v>
      </c>
      <c r="S1249" s="6">
        <v>63.5562744140625</v>
      </c>
      <c r="T1249" s="6">
        <v>0.174747884273529</v>
      </c>
      <c r="U1249" s="6">
        <v>0.71456152200698897</v>
      </c>
      <c r="V1249" s="6">
        <v>-16.882963180541999</v>
      </c>
      <c r="W1249" s="6">
        <v>-18.788881301879901</v>
      </c>
    </row>
    <row r="1250" spans="1:23" ht="18.95" customHeight="1">
      <c r="A1250" s="4">
        <v>1246</v>
      </c>
      <c r="B1250" s="4">
        <v>26797</v>
      </c>
      <c r="C1250" s="4">
        <v>1</v>
      </c>
      <c r="D1250" s="6">
        <v>0</v>
      </c>
      <c r="E1250" s="6">
        <v>0</v>
      </c>
      <c r="F1250" s="6">
        <v>-66.25</v>
      </c>
      <c r="G1250" s="6">
        <v>-0.875</v>
      </c>
      <c r="H1250" s="6">
        <v>-0.625</v>
      </c>
      <c r="I1250" s="6">
        <v>1.125</v>
      </c>
      <c r="J1250" s="6">
        <v>-1.875</v>
      </c>
      <c r="K1250" s="6">
        <v>2.4375</v>
      </c>
      <c r="L1250" s="6">
        <v>-47.0625</v>
      </c>
      <c r="M1250" s="6">
        <v>0.375</v>
      </c>
      <c r="N1250" s="6">
        <v>0</v>
      </c>
      <c r="O1250" s="6">
        <v>0</v>
      </c>
      <c r="P1250" s="6">
        <v>-2.3125</v>
      </c>
      <c r="Q1250" s="6">
        <v>6.1875</v>
      </c>
      <c r="R1250" s="6">
        <v>-3.0959992408752401</v>
      </c>
      <c r="S1250" s="6">
        <v>63.602073669433601</v>
      </c>
      <c r="T1250" s="6">
        <v>-0.78708416223526001</v>
      </c>
      <c r="U1250" s="6">
        <v>0.81348168849945102</v>
      </c>
      <c r="V1250" s="6">
        <v>-15.4746742248535</v>
      </c>
      <c r="W1250" s="6">
        <v>-18.7881565093994</v>
      </c>
    </row>
    <row r="1251" spans="1:23" ht="18.95" customHeight="1">
      <c r="A1251" s="4">
        <v>1247</v>
      </c>
      <c r="B1251" s="4">
        <v>26817</v>
      </c>
      <c r="C1251" s="4">
        <v>1</v>
      </c>
      <c r="D1251" s="6">
        <v>0</v>
      </c>
      <c r="E1251" s="6">
        <v>0</v>
      </c>
      <c r="F1251" s="6">
        <v>-65.25</v>
      </c>
      <c r="G1251" s="6">
        <v>-1.375</v>
      </c>
      <c r="H1251" s="6">
        <v>-6.25E-2</v>
      </c>
      <c r="I1251" s="6">
        <v>1.0625</v>
      </c>
      <c r="J1251" s="6">
        <v>-1.8125</v>
      </c>
      <c r="K1251" s="6">
        <v>3.6875</v>
      </c>
      <c r="L1251" s="6">
        <v>-42.5625</v>
      </c>
      <c r="M1251" s="6">
        <v>0.375</v>
      </c>
      <c r="N1251" s="6">
        <v>-6.25E-2</v>
      </c>
      <c r="O1251" s="6">
        <v>0</v>
      </c>
      <c r="P1251" s="6">
        <v>-2.3125</v>
      </c>
      <c r="Q1251" s="6">
        <v>7</v>
      </c>
      <c r="R1251" s="6">
        <v>-2.6074495315551798</v>
      </c>
      <c r="S1251" s="6">
        <v>62.518104553222699</v>
      </c>
      <c r="T1251" s="6">
        <v>-0.52754217386245705</v>
      </c>
      <c r="U1251" s="6">
        <v>0.83822333812713601</v>
      </c>
      <c r="V1251" s="6">
        <v>-13.8686113357544</v>
      </c>
      <c r="W1251" s="6">
        <v>-18.795120239257798</v>
      </c>
    </row>
    <row r="1252" spans="1:23" ht="18.95" customHeight="1">
      <c r="A1252" s="4">
        <v>1248</v>
      </c>
      <c r="B1252" s="4">
        <v>26838</v>
      </c>
      <c r="C1252" s="4">
        <v>1</v>
      </c>
      <c r="D1252" s="6">
        <v>0</v>
      </c>
      <c r="E1252" s="6">
        <v>0</v>
      </c>
      <c r="F1252" s="6">
        <v>-66</v>
      </c>
      <c r="G1252" s="6">
        <v>-1.25</v>
      </c>
      <c r="H1252" s="6">
        <v>-0.6875</v>
      </c>
      <c r="I1252" s="6">
        <v>1.0625</v>
      </c>
      <c r="J1252" s="6">
        <v>-1.8125</v>
      </c>
      <c r="K1252" s="6">
        <v>4.3125</v>
      </c>
      <c r="L1252" s="6">
        <v>-40.5</v>
      </c>
      <c r="M1252" s="6">
        <v>0.6875</v>
      </c>
      <c r="N1252" s="6">
        <v>-0.375</v>
      </c>
      <c r="O1252" s="6">
        <v>0</v>
      </c>
      <c r="P1252" s="6">
        <v>-2.3125</v>
      </c>
      <c r="Q1252" s="6">
        <v>7.75</v>
      </c>
      <c r="R1252" s="6">
        <v>-2.76012134552002</v>
      </c>
      <c r="S1252" s="6">
        <v>61.708946228027301</v>
      </c>
      <c r="T1252" s="6">
        <v>-0.68021392822265603</v>
      </c>
      <c r="U1252" s="6">
        <v>0.87086689472198497</v>
      </c>
      <c r="V1252" s="6">
        <v>-12.5046491622925</v>
      </c>
      <c r="W1252" s="6">
        <v>-18.7923259735107</v>
      </c>
    </row>
    <row r="1253" spans="1:23" ht="18.95" customHeight="1">
      <c r="A1253" s="4">
        <v>1249</v>
      </c>
      <c r="B1253" s="4">
        <v>26860</v>
      </c>
      <c r="C1253" s="4">
        <v>1</v>
      </c>
      <c r="D1253" s="6">
        <v>0</v>
      </c>
      <c r="E1253" s="6">
        <v>0</v>
      </c>
      <c r="F1253" s="6">
        <v>-63.5</v>
      </c>
      <c r="G1253" s="6">
        <v>-1.6875</v>
      </c>
      <c r="H1253" s="6">
        <v>-0.9375</v>
      </c>
      <c r="I1253" s="6">
        <v>1.0625</v>
      </c>
      <c r="J1253" s="6">
        <v>-1.75</v>
      </c>
      <c r="K1253" s="6">
        <v>6.1875</v>
      </c>
      <c r="L1253" s="6">
        <v>-31</v>
      </c>
      <c r="M1253" s="6">
        <v>0.25</v>
      </c>
      <c r="N1253" s="6">
        <v>-0.125</v>
      </c>
      <c r="O1253" s="6">
        <v>359.9375</v>
      </c>
      <c r="P1253" s="6">
        <v>-2.3125</v>
      </c>
      <c r="Q1253" s="6">
        <v>8.375</v>
      </c>
      <c r="R1253" s="6">
        <v>-1.8440909385681199</v>
      </c>
      <c r="S1253" s="6">
        <v>59.312004089355497</v>
      </c>
      <c r="T1253" s="6">
        <v>-3.8992583751678501E-2</v>
      </c>
      <c r="U1253" s="6">
        <v>0.694477558135986</v>
      </c>
      <c r="V1253" s="6">
        <v>-10.9569959640503</v>
      </c>
      <c r="W1253" s="6">
        <v>-18.799365997314499</v>
      </c>
    </row>
    <row r="1254" spans="1:23" ht="18.95" customHeight="1">
      <c r="A1254" s="4">
        <v>1250</v>
      </c>
      <c r="B1254" s="4">
        <v>26882</v>
      </c>
      <c r="C1254" s="4">
        <v>1</v>
      </c>
      <c r="D1254" s="6">
        <v>0</v>
      </c>
      <c r="E1254" s="6">
        <v>0</v>
      </c>
      <c r="F1254" s="6">
        <v>-61.8125</v>
      </c>
      <c r="G1254" s="6">
        <v>-1</v>
      </c>
      <c r="H1254" s="6">
        <v>-0.6875</v>
      </c>
      <c r="I1254" s="6">
        <v>1.0625</v>
      </c>
      <c r="J1254" s="6">
        <v>-1.75</v>
      </c>
      <c r="K1254" s="6">
        <v>7.375</v>
      </c>
      <c r="L1254" s="6">
        <v>-25.6875</v>
      </c>
      <c r="M1254" s="6">
        <v>0.5</v>
      </c>
      <c r="N1254" s="6">
        <v>0</v>
      </c>
      <c r="O1254" s="6">
        <v>359.9375</v>
      </c>
      <c r="P1254" s="6">
        <v>-2.3125</v>
      </c>
      <c r="Q1254" s="6">
        <v>8.9375</v>
      </c>
      <c r="R1254" s="6">
        <v>-2.2257704734802202</v>
      </c>
      <c r="S1254" s="6">
        <v>58.029556274414098</v>
      </c>
      <c r="T1254" s="6">
        <v>-0.52754217386245705</v>
      </c>
      <c r="U1254" s="6">
        <v>0.70318996906280495</v>
      </c>
      <c r="V1254" s="6">
        <v>-9.5749311447143608</v>
      </c>
      <c r="W1254" s="6">
        <v>-18.7980842590332</v>
      </c>
    </row>
    <row r="1255" spans="1:23" ht="18.95" customHeight="1">
      <c r="A1255" s="4">
        <v>1251</v>
      </c>
      <c r="B1255" s="4">
        <v>26902</v>
      </c>
      <c r="C1255" s="4">
        <v>1</v>
      </c>
      <c r="D1255" s="6">
        <v>0</v>
      </c>
      <c r="E1255" s="6">
        <v>0</v>
      </c>
      <c r="F1255" s="6">
        <v>-59.75</v>
      </c>
      <c r="G1255" s="6">
        <v>-1.375</v>
      </c>
      <c r="H1255" s="6">
        <v>-0.5</v>
      </c>
      <c r="I1255" s="6">
        <v>1.0625</v>
      </c>
      <c r="J1255" s="6">
        <v>-1.75</v>
      </c>
      <c r="K1255" s="6">
        <v>8.5625</v>
      </c>
      <c r="L1255" s="6">
        <v>-19.25</v>
      </c>
      <c r="M1255" s="6">
        <v>0</v>
      </c>
      <c r="N1255" s="6">
        <v>6.25E-2</v>
      </c>
      <c r="O1255" s="6">
        <v>359.9375</v>
      </c>
      <c r="P1255" s="6">
        <v>-2.3125</v>
      </c>
      <c r="Q1255" s="6">
        <v>9.3125</v>
      </c>
      <c r="R1255" s="6">
        <v>-2.2563047409057599</v>
      </c>
      <c r="S1255" s="6">
        <v>55.082992553710902</v>
      </c>
      <c r="T1255" s="6">
        <v>-0.48174065351486201</v>
      </c>
      <c r="U1255" s="6">
        <v>0.63917785882949796</v>
      </c>
      <c r="V1255" s="6">
        <v>-8.0943498611450195</v>
      </c>
      <c r="W1255" s="6">
        <v>-18.811956405639599</v>
      </c>
    </row>
    <row r="1256" spans="1:23" ht="18.95" customHeight="1">
      <c r="A1256" s="4">
        <v>1252</v>
      </c>
      <c r="B1256" s="4">
        <v>26923</v>
      </c>
      <c r="C1256" s="4">
        <v>1</v>
      </c>
      <c r="D1256" s="6">
        <v>0</v>
      </c>
      <c r="E1256" s="6">
        <v>0</v>
      </c>
      <c r="F1256" s="6">
        <v>-58.5625</v>
      </c>
      <c r="G1256" s="6">
        <v>-1.5</v>
      </c>
      <c r="H1256" s="6">
        <v>-1.3125</v>
      </c>
      <c r="I1256" s="6">
        <v>1.0625</v>
      </c>
      <c r="J1256" s="6">
        <v>-1.6875</v>
      </c>
      <c r="K1256" s="6">
        <v>9.6875</v>
      </c>
      <c r="L1256" s="6">
        <v>-14.125</v>
      </c>
      <c r="M1256" s="6">
        <v>0.1875</v>
      </c>
      <c r="N1256" s="6">
        <v>-0.1875</v>
      </c>
      <c r="O1256" s="6">
        <v>359.9375</v>
      </c>
      <c r="P1256" s="6">
        <v>-2.375</v>
      </c>
      <c r="Q1256" s="6">
        <v>9.75</v>
      </c>
      <c r="R1256" s="6">
        <v>-2.1036329269409202</v>
      </c>
      <c r="S1256" s="6">
        <v>54.457038879394503</v>
      </c>
      <c r="T1256" s="6">
        <v>-0.28326734900474498</v>
      </c>
      <c r="U1256" s="6">
        <v>0.47548726201057401</v>
      </c>
      <c r="V1256" s="6">
        <v>-6.9620947837829599</v>
      </c>
      <c r="W1256" s="6">
        <v>-18.819263458251999</v>
      </c>
    </row>
    <row r="1257" spans="1:23" ht="18.95" customHeight="1">
      <c r="A1257" s="4">
        <v>1253</v>
      </c>
      <c r="B1257" s="4">
        <v>26943</v>
      </c>
      <c r="C1257" s="4">
        <v>1</v>
      </c>
      <c r="D1257" s="6">
        <v>0</v>
      </c>
      <c r="E1257" s="6">
        <v>0</v>
      </c>
      <c r="F1257" s="6">
        <v>-56.1875</v>
      </c>
      <c r="G1257" s="6">
        <v>-1.625</v>
      </c>
      <c r="H1257" s="6">
        <v>-0.8125</v>
      </c>
      <c r="I1257" s="6">
        <v>1.0625</v>
      </c>
      <c r="J1257" s="6">
        <v>-1.6875</v>
      </c>
      <c r="K1257" s="6">
        <v>10.8125</v>
      </c>
      <c r="L1257" s="6">
        <v>-7.875</v>
      </c>
      <c r="M1257" s="6">
        <v>-0.25</v>
      </c>
      <c r="N1257" s="6">
        <v>6.25E-2</v>
      </c>
      <c r="O1257" s="6">
        <v>359.9375</v>
      </c>
      <c r="P1257" s="6">
        <v>-2.375</v>
      </c>
      <c r="Q1257" s="6">
        <v>10.0625</v>
      </c>
      <c r="R1257" s="6">
        <v>-1.8746252059936499</v>
      </c>
      <c r="S1257" s="6">
        <v>49.983757019042997</v>
      </c>
      <c r="T1257" s="6">
        <v>3.7343323230743401E-2</v>
      </c>
      <c r="U1257" s="6">
        <v>0.49465131759643599</v>
      </c>
      <c r="V1257" s="6">
        <v>-5.7257261276245099</v>
      </c>
      <c r="W1257" s="6">
        <v>-18.820148468017599</v>
      </c>
    </row>
    <row r="1258" spans="1:23" ht="18.95" customHeight="1">
      <c r="A1258" s="4">
        <v>1254</v>
      </c>
      <c r="B1258" s="4">
        <v>26965</v>
      </c>
      <c r="C1258" s="4">
        <v>1</v>
      </c>
      <c r="D1258" s="6">
        <v>0</v>
      </c>
      <c r="E1258" s="6">
        <v>0</v>
      </c>
      <c r="F1258" s="6">
        <v>-53.5625</v>
      </c>
      <c r="G1258" s="6">
        <v>-1.25</v>
      </c>
      <c r="H1258" s="6">
        <v>-0.8125</v>
      </c>
      <c r="I1258" s="6">
        <v>1.0625</v>
      </c>
      <c r="J1258" s="6">
        <v>-1.625</v>
      </c>
      <c r="K1258" s="6">
        <v>11.875</v>
      </c>
      <c r="L1258" s="6">
        <v>-2.3125</v>
      </c>
      <c r="M1258" s="6">
        <v>0</v>
      </c>
      <c r="N1258" s="6">
        <v>-6.25E-2</v>
      </c>
      <c r="O1258" s="6">
        <v>359.9375</v>
      </c>
      <c r="P1258" s="6">
        <v>-2.4375</v>
      </c>
      <c r="Q1258" s="6">
        <v>10.3125</v>
      </c>
      <c r="R1258" s="6">
        <v>-1.56928157806396</v>
      </c>
      <c r="S1258" s="6">
        <v>48.7776489257812</v>
      </c>
      <c r="T1258" s="6">
        <v>-1.1229619979858401</v>
      </c>
      <c r="U1258" s="6">
        <v>0.42099851369857799</v>
      </c>
      <c r="V1258" s="6">
        <v>-4.79647016525269</v>
      </c>
      <c r="W1258" s="6">
        <v>-18.833816528320298</v>
      </c>
    </row>
    <row r="1259" spans="1:23" ht="18.95" customHeight="1">
      <c r="A1259" s="4">
        <v>1255</v>
      </c>
      <c r="B1259" s="4">
        <v>26986</v>
      </c>
      <c r="C1259" s="4">
        <v>1</v>
      </c>
      <c r="D1259" s="6">
        <v>0</v>
      </c>
      <c r="E1259" s="6">
        <v>0</v>
      </c>
      <c r="F1259" s="6">
        <v>-50.625</v>
      </c>
      <c r="G1259" s="6">
        <v>-1.25</v>
      </c>
      <c r="H1259" s="6">
        <v>-1</v>
      </c>
      <c r="I1259" s="6">
        <v>1.0625</v>
      </c>
      <c r="J1259" s="6">
        <v>-1.625</v>
      </c>
      <c r="K1259" s="6">
        <v>12.8125</v>
      </c>
      <c r="L1259" s="6">
        <v>2.4375</v>
      </c>
      <c r="M1259" s="6">
        <v>0.1875</v>
      </c>
      <c r="N1259" s="6">
        <v>-0.4375</v>
      </c>
      <c r="O1259" s="6">
        <v>359.9375</v>
      </c>
      <c r="P1259" s="6">
        <v>-2.4375</v>
      </c>
      <c r="Q1259" s="6">
        <v>10.375</v>
      </c>
      <c r="R1259" s="6">
        <v>-3.1570677757263201</v>
      </c>
      <c r="S1259" s="6">
        <v>43.861618041992202</v>
      </c>
      <c r="T1259" s="6">
        <v>-0.63441240787506104</v>
      </c>
      <c r="U1259" s="6">
        <v>0.63661491870880105</v>
      </c>
      <c r="V1259" s="6">
        <v>-3.6522254943847701</v>
      </c>
      <c r="W1259" s="6">
        <v>-18.841382980346701</v>
      </c>
    </row>
    <row r="1260" spans="1:23" ht="18.95" customHeight="1">
      <c r="A1260" s="4">
        <v>1256</v>
      </c>
      <c r="B1260" s="4">
        <v>27007</v>
      </c>
      <c r="C1260" s="4">
        <v>1</v>
      </c>
      <c r="D1260" s="6">
        <v>0</v>
      </c>
      <c r="E1260" s="6">
        <v>0</v>
      </c>
      <c r="F1260" s="6">
        <v>-48.125</v>
      </c>
      <c r="G1260" s="6">
        <v>-1.625</v>
      </c>
      <c r="H1260" s="6">
        <v>-0.9375</v>
      </c>
      <c r="I1260" s="6">
        <v>1.0625</v>
      </c>
      <c r="J1260" s="6">
        <v>-1.5625</v>
      </c>
      <c r="K1260" s="6">
        <v>13.8125</v>
      </c>
      <c r="L1260" s="6">
        <v>10.625</v>
      </c>
      <c r="M1260" s="6">
        <v>-0.6875</v>
      </c>
      <c r="N1260" s="6">
        <v>-0.3125</v>
      </c>
      <c r="O1260" s="6">
        <v>359.9375</v>
      </c>
      <c r="P1260" s="6">
        <v>-2.5</v>
      </c>
      <c r="Q1260" s="6">
        <v>10.25</v>
      </c>
      <c r="R1260" s="6">
        <v>-1.4624114036560101</v>
      </c>
      <c r="S1260" s="6">
        <v>42.853988647460902</v>
      </c>
      <c r="T1260" s="6">
        <v>-0.37487041950225802</v>
      </c>
      <c r="U1260" s="6">
        <v>0.197479248046875</v>
      </c>
      <c r="V1260" s="6">
        <v>-2.8659520149231001</v>
      </c>
      <c r="W1260" s="6">
        <v>-18.859077453613299</v>
      </c>
    </row>
    <row r="1261" spans="1:23" ht="18.95" customHeight="1">
      <c r="A1261" s="4">
        <v>1257</v>
      </c>
      <c r="B1261" s="4">
        <v>27027</v>
      </c>
      <c r="C1261" s="4">
        <v>1</v>
      </c>
      <c r="D1261" s="6">
        <v>0</v>
      </c>
      <c r="E1261" s="6">
        <v>0</v>
      </c>
      <c r="F1261" s="6">
        <v>-45.6875</v>
      </c>
      <c r="G1261" s="6">
        <v>-2.0625</v>
      </c>
      <c r="H1261" s="6">
        <v>-1.625</v>
      </c>
      <c r="I1261" s="6">
        <v>1.0625</v>
      </c>
      <c r="J1261" s="6">
        <v>-1.5</v>
      </c>
      <c r="K1261" s="6">
        <v>14.6875</v>
      </c>
      <c r="L1261" s="6">
        <v>15.375</v>
      </c>
      <c r="M1261" s="6">
        <v>-6.25E-2</v>
      </c>
      <c r="N1261" s="6">
        <v>-0.1875</v>
      </c>
      <c r="O1261" s="6">
        <v>359.9375</v>
      </c>
      <c r="P1261" s="6">
        <v>-2.5</v>
      </c>
      <c r="Q1261" s="6">
        <v>10.0625</v>
      </c>
      <c r="R1261" s="6">
        <v>-1.26393818855286</v>
      </c>
      <c r="S1261" s="6">
        <v>39.831085205078097</v>
      </c>
      <c r="T1261" s="6">
        <v>3.7343323230743401E-2</v>
      </c>
      <c r="U1261" s="6">
        <v>0.30770525336265597</v>
      </c>
      <c r="V1261" s="6">
        <v>-2.2530481815338099</v>
      </c>
      <c r="W1261" s="6">
        <v>-18.8548583984375</v>
      </c>
    </row>
    <row r="1262" spans="1:23" ht="18.95" customHeight="1">
      <c r="A1262" s="4">
        <v>1258</v>
      </c>
      <c r="B1262" s="4">
        <v>27059</v>
      </c>
      <c r="C1262" s="4">
        <v>1</v>
      </c>
      <c r="D1262" s="6">
        <v>0</v>
      </c>
      <c r="E1262" s="6">
        <v>0</v>
      </c>
      <c r="F1262" s="6">
        <v>-41.3125</v>
      </c>
      <c r="G1262" s="6">
        <v>-0.75</v>
      </c>
      <c r="H1262" s="6">
        <v>-0.5</v>
      </c>
      <c r="I1262" s="6">
        <v>1.0625</v>
      </c>
      <c r="J1262" s="6">
        <v>-1.5</v>
      </c>
      <c r="K1262" s="6">
        <v>16.4375</v>
      </c>
      <c r="L1262" s="6">
        <v>21.125</v>
      </c>
      <c r="M1262" s="6">
        <v>-0.125</v>
      </c>
      <c r="N1262" s="6">
        <v>-0.375</v>
      </c>
      <c r="O1262" s="6">
        <v>359.9375</v>
      </c>
      <c r="P1262" s="6">
        <v>-2.5</v>
      </c>
      <c r="Q1262" s="6">
        <v>9.5625</v>
      </c>
      <c r="R1262" s="6">
        <v>-1.8440909385681199</v>
      </c>
      <c r="S1262" s="6">
        <v>36.701316833496101</v>
      </c>
      <c r="T1262" s="6">
        <v>-1.0008245706558201</v>
      </c>
      <c r="U1262" s="6">
        <v>0.25678709149360701</v>
      </c>
      <c r="V1262" s="6">
        <v>-1.18448710441589</v>
      </c>
      <c r="W1262" s="6">
        <v>-18.8783264160156</v>
      </c>
    </row>
    <row r="1263" spans="1:23" ht="18.95" customHeight="1">
      <c r="A1263" s="4">
        <v>1259</v>
      </c>
      <c r="B1263" s="4">
        <v>27079</v>
      </c>
      <c r="C1263" s="4">
        <v>1</v>
      </c>
      <c r="D1263" s="6">
        <v>0</v>
      </c>
      <c r="E1263" s="6">
        <v>0</v>
      </c>
      <c r="F1263" s="6">
        <v>-39.6875</v>
      </c>
      <c r="G1263" s="6">
        <v>-1.625</v>
      </c>
      <c r="H1263" s="6">
        <v>-1.3125</v>
      </c>
      <c r="I1263" s="6">
        <v>1.0625</v>
      </c>
      <c r="J1263" s="6">
        <v>-1.4375</v>
      </c>
      <c r="K1263" s="6">
        <v>17.1875</v>
      </c>
      <c r="L1263" s="6">
        <v>25.8125</v>
      </c>
      <c r="M1263" s="6">
        <v>-0.5</v>
      </c>
      <c r="N1263" s="6">
        <v>0.1875</v>
      </c>
      <c r="O1263" s="6">
        <v>359.9375</v>
      </c>
      <c r="P1263" s="6">
        <v>-2.5</v>
      </c>
      <c r="Q1263" s="6">
        <v>9.0625</v>
      </c>
      <c r="R1263" s="6">
        <v>-4.25641536712646E-2</v>
      </c>
      <c r="S1263" s="6">
        <v>33.937957763671903</v>
      </c>
      <c r="T1263" s="6">
        <v>0.37322115898132302</v>
      </c>
      <c r="U1263" s="6">
        <v>1.08431577682495E-2</v>
      </c>
      <c r="V1263" s="6">
        <v>-0.76844668388366699</v>
      </c>
      <c r="W1263" s="6">
        <v>-18.878005981445298</v>
      </c>
    </row>
    <row r="1264" spans="1:23" ht="18.95" customHeight="1">
      <c r="A1264" s="4">
        <v>1260</v>
      </c>
      <c r="B1264" s="4">
        <v>27099</v>
      </c>
      <c r="C1264" s="4">
        <v>1</v>
      </c>
      <c r="D1264" s="6">
        <v>0</v>
      </c>
      <c r="E1264" s="6">
        <v>0</v>
      </c>
      <c r="F1264" s="6">
        <v>-37.1875</v>
      </c>
      <c r="G1264" s="6">
        <v>-1.125</v>
      </c>
      <c r="H1264" s="6">
        <v>-0.8125</v>
      </c>
      <c r="I1264" s="6">
        <v>1.0625</v>
      </c>
      <c r="J1264" s="6">
        <v>-1.4375</v>
      </c>
      <c r="K1264" s="6">
        <v>17.625</v>
      </c>
      <c r="L1264" s="6">
        <v>28.6875</v>
      </c>
      <c r="M1264" s="6">
        <v>-0.125</v>
      </c>
      <c r="N1264" s="6">
        <v>-6.25E-2</v>
      </c>
      <c r="O1264" s="6">
        <v>0</v>
      </c>
      <c r="P1264" s="6">
        <v>-2.5</v>
      </c>
      <c r="Q1264" s="6">
        <v>8.5625</v>
      </c>
      <c r="R1264" s="6">
        <v>-1.01966333389282</v>
      </c>
      <c r="S1264" s="6">
        <v>32.594444274902301</v>
      </c>
      <c r="T1264" s="6">
        <v>-0.90922152996063199</v>
      </c>
      <c r="U1264" s="6">
        <v>0.23012161254882799</v>
      </c>
      <c r="V1264" s="6">
        <v>-0.25464874505996699</v>
      </c>
      <c r="W1264" s="6">
        <v>-18.876977920532202</v>
      </c>
    </row>
    <row r="1265" spans="1:23" ht="18.95" customHeight="1">
      <c r="A1265" s="4">
        <v>1261</v>
      </c>
      <c r="B1265" s="4">
        <v>27121</v>
      </c>
      <c r="C1265" s="4">
        <v>1</v>
      </c>
      <c r="D1265" s="6">
        <v>0</v>
      </c>
      <c r="E1265" s="6">
        <v>0</v>
      </c>
      <c r="F1265" s="6">
        <v>-34.0625</v>
      </c>
      <c r="G1265" s="6">
        <v>-0.75</v>
      </c>
      <c r="H1265" s="6">
        <v>-0.5</v>
      </c>
      <c r="I1265" s="6">
        <v>1.0625</v>
      </c>
      <c r="J1265" s="6">
        <v>-1.4375</v>
      </c>
      <c r="K1265" s="6">
        <v>18.75</v>
      </c>
      <c r="L1265" s="6">
        <v>32.375</v>
      </c>
      <c r="M1265" s="6">
        <v>-0.375</v>
      </c>
      <c r="N1265" s="6">
        <v>0</v>
      </c>
      <c r="O1265" s="6">
        <v>0</v>
      </c>
      <c r="P1265" s="6">
        <v>-2.5</v>
      </c>
      <c r="Q1265" s="6">
        <v>8</v>
      </c>
      <c r="R1265" s="6">
        <v>-0.54638099670410201</v>
      </c>
      <c r="S1265" s="6">
        <v>29.708946228027301</v>
      </c>
      <c r="T1265" s="6">
        <v>-0.25273302197456399</v>
      </c>
      <c r="U1265" s="6">
        <v>0.179281800985336</v>
      </c>
      <c r="V1265" s="6">
        <v>7.6866291463375105E-2</v>
      </c>
      <c r="W1265" s="6">
        <v>-18.887323379516602</v>
      </c>
    </row>
    <row r="1266" spans="1:23" ht="18.95" customHeight="1">
      <c r="A1266" s="4">
        <v>1262</v>
      </c>
      <c r="B1266" s="4">
        <v>27141</v>
      </c>
      <c r="C1266" s="4">
        <v>1</v>
      </c>
      <c r="D1266" s="6">
        <v>0</v>
      </c>
      <c r="E1266" s="6">
        <v>0</v>
      </c>
      <c r="F1266" s="6">
        <v>-31.9375</v>
      </c>
      <c r="G1266" s="6">
        <v>-0.9375</v>
      </c>
      <c r="H1266" s="6">
        <v>-1</v>
      </c>
      <c r="I1266" s="6">
        <v>1.0625</v>
      </c>
      <c r="J1266" s="6">
        <v>-1.4375</v>
      </c>
      <c r="K1266" s="6">
        <v>19.4375</v>
      </c>
      <c r="L1266" s="6">
        <v>34.8125</v>
      </c>
      <c r="M1266" s="6">
        <v>-0.25</v>
      </c>
      <c r="N1266" s="6">
        <v>6.25E-2</v>
      </c>
      <c r="O1266" s="6">
        <v>0</v>
      </c>
      <c r="P1266" s="6">
        <v>-2.5</v>
      </c>
      <c r="Q1266" s="6">
        <v>7.3125</v>
      </c>
      <c r="R1266" s="6">
        <v>-0.98912906646728505</v>
      </c>
      <c r="S1266" s="6">
        <v>28.4417724609375</v>
      </c>
      <c r="T1266" s="6">
        <v>-0.176397144794464</v>
      </c>
      <c r="U1266" s="6">
        <v>0.15003675222396901</v>
      </c>
      <c r="V1266" s="6">
        <v>0.46889638900756803</v>
      </c>
      <c r="W1266" s="6">
        <v>-18.8903694152832</v>
      </c>
    </row>
    <row r="1267" spans="1:23" ht="18.95" customHeight="1">
      <c r="A1267" s="4">
        <v>1263</v>
      </c>
      <c r="B1267" s="4">
        <v>27163</v>
      </c>
      <c r="C1267" s="4">
        <v>1</v>
      </c>
      <c r="D1267" s="6">
        <v>0</v>
      </c>
      <c r="E1267" s="6">
        <v>0</v>
      </c>
      <c r="F1267" s="6">
        <v>-30.5625</v>
      </c>
      <c r="G1267" s="6">
        <v>-0.625</v>
      </c>
      <c r="H1267" s="6">
        <v>-0.5625</v>
      </c>
      <c r="I1267" s="6">
        <v>1.0625</v>
      </c>
      <c r="J1267" s="6">
        <v>-1.4375</v>
      </c>
      <c r="K1267" s="6">
        <v>20.0625</v>
      </c>
      <c r="L1267" s="6">
        <v>38.8125</v>
      </c>
      <c r="M1267" s="6">
        <v>-0.5</v>
      </c>
      <c r="N1267" s="6">
        <v>0.1875</v>
      </c>
      <c r="O1267" s="6">
        <v>0</v>
      </c>
      <c r="P1267" s="6">
        <v>-2.5</v>
      </c>
      <c r="Q1267" s="6">
        <v>6.625</v>
      </c>
      <c r="R1267" s="6">
        <v>-0.607449531555176</v>
      </c>
      <c r="S1267" s="6">
        <v>26.8539848327637</v>
      </c>
      <c r="T1267" s="6">
        <v>3.7343323230743401E-2</v>
      </c>
      <c r="U1267" s="6">
        <v>0.155927538871765</v>
      </c>
      <c r="V1267" s="6">
        <v>0.74742215871810902</v>
      </c>
      <c r="W1267" s="6">
        <v>-18.8941345214844</v>
      </c>
    </row>
    <row r="1268" spans="1:23" ht="18.95" customHeight="1">
      <c r="A1268" s="4">
        <v>1264</v>
      </c>
      <c r="B1268" s="4">
        <v>27185</v>
      </c>
      <c r="C1268" s="4">
        <v>1</v>
      </c>
      <c r="D1268" s="6">
        <v>0</v>
      </c>
      <c r="E1268" s="6">
        <v>0</v>
      </c>
      <c r="F1268" s="6">
        <v>-28.75</v>
      </c>
      <c r="G1268" s="6">
        <v>-0.6875</v>
      </c>
      <c r="H1268" s="6">
        <v>-0.5625</v>
      </c>
      <c r="I1268" s="6">
        <v>1.0625</v>
      </c>
      <c r="J1268" s="6">
        <v>-1.4375</v>
      </c>
      <c r="K1268" s="6">
        <v>20.6875</v>
      </c>
      <c r="L1268" s="6">
        <v>40.9375</v>
      </c>
      <c r="M1268" s="6">
        <v>-0.3125</v>
      </c>
      <c r="N1268" s="6">
        <v>-0.1875</v>
      </c>
      <c r="O1268" s="6">
        <v>6.25E-2</v>
      </c>
      <c r="P1268" s="6">
        <v>-2.5625</v>
      </c>
      <c r="Q1268" s="6">
        <v>5.875</v>
      </c>
      <c r="R1268" s="6">
        <v>-0.69905257225036599</v>
      </c>
      <c r="S1268" s="6">
        <v>24.884519577026399</v>
      </c>
      <c r="T1268" s="6">
        <v>-0.46647346019744901</v>
      </c>
      <c r="U1268" s="6">
        <v>0.121503695845604</v>
      </c>
      <c r="V1268" s="6">
        <v>0.89860051870346103</v>
      </c>
      <c r="W1268" s="6">
        <v>-18.900302886962901</v>
      </c>
    </row>
    <row r="1269" spans="1:23" ht="18.95" customHeight="1">
      <c r="A1269" s="4">
        <v>1265</v>
      </c>
      <c r="B1269" s="4">
        <v>27205</v>
      </c>
      <c r="C1269" s="4">
        <v>1</v>
      </c>
      <c r="D1269" s="6">
        <v>0</v>
      </c>
      <c r="E1269" s="6">
        <v>0</v>
      </c>
      <c r="F1269" s="6">
        <v>-26.9375</v>
      </c>
      <c r="G1269" s="6">
        <v>-0.8125</v>
      </c>
      <c r="H1269" s="6">
        <v>-0.8125</v>
      </c>
      <c r="I1269" s="6">
        <v>1.0625</v>
      </c>
      <c r="J1269" s="6">
        <v>-1.375</v>
      </c>
      <c r="K1269" s="6">
        <v>21.25</v>
      </c>
      <c r="L1269" s="6">
        <v>44.1875</v>
      </c>
      <c r="M1269" s="6">
        <v>-0.5625</v>
      </c>
      <c r="N1269" s="6">
        <v>0.25</v>
      </c>
      <c r="O1269" s="6">
        <v>6.25E-2</v>
      </c>
      <c r="P1269" s="6">
        <v>-2.5625</v>
      </c>
      <c r="Q1269" s="6">
        <v>5</v>
      </c>
      <c r="R1269" s="6">
        <v>-0.31737327575683599</v>
      </c>
      <c r="S1269" s="6">
        <v>23.4799404144287</v>
      </c>
      <c r="T1269" s="6">
        <v>0.41902267932891801</v>
      </c>
      <c r="U1269" s="6">
        <v>9.27381440997124E-2</v>
      </c>
      <c r="V1269" s="6">
        <v>1.10434281826019</v>
      </c>
      <c r="W1269" s="6">
        <v>-18.8957633972168</v>
      </c>
    </row>
    <row r="1270" spans="1:23" ht="18.95" customHeight="1">
      <c r="A1270" s="4">
        <v>1266</v>
      </c>
      <c r="B1270" s="4">
        <v>27226</v>
      </c>
      <c r="C1270" s="4">
        <v>1</v>
      </c>
      <c r="D1270" s="6">
        <v>0</v>
      </c>
      <c r="E1270" s="6">
        <v>0</v>
      </c>
      <c r="F1270" s="6">
        <v>-25.125</v>
      </c>
      <c r="G1270" s="6">
        <v>-0.1875</v>
      </c>
      <c r="H1270" s="6">
        <v>-0.5</v>
      </c>
      <c r="I1270" s="6">
        <v>1.0625</v>
      </c>
      <c r="J1270" s="6">
        <v>-1.375</v>
      </c>
      <c r="K1270" s="6">
        <v>21.8125</v>
      </c>
      <c r="L1270" s="6">
        <v>45.1875</v>
      </c>
      <c r="M1270" s="6">
        <v>-0.25</v>
      </c>
      <c r="N1270" s="6">
        <v>0</v>
      </c>
      <c r="O1270" s="6">
        <v>6.25E-2</v>
      </c>
      <c r="P1270" s="6">
        <v>-2.5625</v>
      </c>
      <c r="Q1270" s="6">
        <v>3.6875</v>
      </c>
      <c r="R1270" s="6">
        <v>-1.1570680141448999</v>
      </c>
      <c r="S1270" s="6">
        <v>22.289100646972699</v>
      </c>
      <c r="T1270" s="6">
        <v>-0.55807650089263905</v>
      </c>
      <c r="U1270" s="6">
        <v>0.18500433862209301</v>
      </c>
      <c r="V1270" s="6">
        <v>1.26439368724823</v>
      </c>
      <c r="W1270" s="6">
        <v>-18.900682449340799</v>
      </c>
    </row>
    <row r="1271" spans="1:23" ht="18.95" customHeight="1">
      <c r="A1271" s="4">
        <v>1267</v>
      </c>
      <c r="B1271" s="4">
        <v>27246</v>
      </c>
      <c r="C1271" s="4">
        <v>1</v>
      </c>
      <c r="D1271" s="6">
        <v>0</v>
      </c>
      <c r="E1271" s="6">
        <v>0</v>
      </c>
      <c r="F1271" s="6">
        <v>-23.75</v>
      </c>
      <c r="G1271" s="6">
        <v>-0.625</v>
      </c>
      <c r="H1271" s="6">
        <v>-0.8125</v>
      </c>
      <c r="I1271" s="6">
        <v>1.0625</v>
      </c>
      <c r="J1271" s="6">
        <v>-1.375</v>
      </c>
      <c r="K1271" s="6">
        <v>22.25</v>
      </c>
      <c r="L1271" s="6">
        <v>48.125</v>
      </c>
      <c r="M1271" s="6">
        <v>-0.5</v>
      </c>
      <c r="N1271" s="6">
        <v>0.125</v>
      </c>
      <c r="O1271" s="6">
        <v>0.125</v>
      </c>
      <c r="P1271" s="6">
        <v>-2.5</v>
      </c>
      <c r="Q1271" s="6">
        <v>2.75</v>
      </c>
      <c r="R1271" s="6">
        <v>1.85046195983887E-2</v>
      </c>
      <c r="S1271" s="6">
        <v>21.082992553710898</v>
      </c>
      <c r="T1271" s="6">
        <v>9.8412036895751995E-2</v>
      </c>
      <c r="U1271" s="6">
        <v>-4.3791882693767499E-2</v>
      </c>
      <c r="V1271" s="6">
        <v>1.3241493701934799</v>
      </c>
      <c r="W1271" s="6">
        <v>-18.906385421752901</v>
      </c>
    </row>
    <row r="1272" spans="1:23" ht="18.95" customHeight="1">
      <c r="A1272" s="4">
        <v>1268</v>
      </c>
      <c r="B1272" s="4">
        <v>27267</v>
      </c>
      <c r="C1272" s="4">
        <v>1</v>
      </c>
      <c r="D1272" s="6">
        <v>0</v>
      </c>
      <c r="E1272" s="6">
        <v>0</v>
      </c>
      <c r="F1272" s="6">
        <v>-21.875</v>
      </c>
      <c r="G1272" s="6">
        <v>-1</v>
      </c>
      <c r="H1272" s="6">
        <v>-0.8125</v>
      </c>
      <c r="I1272" s="6">
        <v>1.0625</v>
      </c>
      <c r="J1272" s="6">
        <v>-1.375</v>
      </c>
      <c r="K1272" s="6">
        <v>22.75</v>
      </c>
      <c r="L1272" s="6">
        <v>50.5</v>
      </c>
      <c r="M1272" s="6">
        <v>-0.375</v>
      </c>
      <c r="N1272" s="6">
        <v>-6.25E-2</v>
      </c>
      <c r="O1272" s="6">
        <v>0.125</v>
      </c>
      <c r="P1272" s="6">
        <v>-2.5</v>
      </c>
      <c r="Q1272" s="6">
        <v>1.75</v>
      </c>
      <c r="R1272" s="6">
        <v>-0.50057935714721702</v>
      </c>
      <c r="S1272" s="6">
        <v>19.678413391113299</v>
      </c>
      <c r="T1272" s="6">
        <v>0.25108379125595098</v>
      </c>
      <c r="U1272" s="6">
        <v>2.5151403620839102E-2</v>
      </c>
      <c r="V1272" s="6">
        <v>1.4839575290679901</v>
      </c>
      <c r="W1272" s="6">
        <v>-18.902685165405298</v>
      </c>
    </row>
    <row r="1273" spans="1:23" ht="18.95" customHeight="1">
      <c r="A1273" s="4">
        <v>1269</v>
      </c>
      <c r="B1273" s="4">
        <v>27288</v>
      </c>
      <c r="C1273" s="4">
        <v>1</v>
      </c>
      <c r="D1273" s="6">
        <v>0</v>
      </c>
      <c r="E1273" s="6">
        <v>0</v>
      </c>
      <c r="F1273" s="6">
        <v>-20.875</v>
      </c>
      <c r="G1273" s="6">
        <v>0.1875</v>
      </c>
      <c r="H1273" s="6">
        <v>-0.1875</v>
      </c>
      <c r="I1273" s="6">
        <v>1.0625</v>
      </c>
      <c r="J1273" s="6">
        <v>-1.375</v>
      </c>
      <c r="K1273" s="6">
        <v>23.1875</v>
      </c>
      <c r="L1273" s="6">
        <v>51.9375</v>
      </c>
      <c r="M1273" s="6">
        <v>-0.5</v>
      </c>
      <c r="N1273" s="6">
        <v>0</v>
      </c>
      <c r="O1273" s="6">
        <v>0.125</v>
      </c>
      <c r="P1273" s="6">
        <v>-2.5</v>
      </c>
      <c r="Q1273" s="6">
        <v>0.75</v>
      </c>
      <c r="R1273" s="6">
        <v>-1.64561748504639</v>
      </c>
      <c r="S1273" s="6">
        <v>18.334901809692401</v>
      </c>
      <c r="T1273" s="6">
        <v>-0.14586275815963701</v>
      </c>
      <c r="U1273" s="6">
        <v>6.0258708894252798E-2</v>
      </c>
      <c r="V1273" s="6">
        <v>1.4083067178726201</v>
      </c>
      <c r="W1273" s="6">
        <v>-18.910596847534201</v>
      </c>
    </row>
    <row r="1274" spans="1:23" ht="18.95" customHeight="1">
      <c r="A1274" s="4">
        <v>1270</v>
      </c>
      <c r="B1274" s="4">
        <v>27308</v>
      </c>
      <c r="C1274" s="4">
        <v>1</v>
      </c>
      <c r="D1274" s="6">
        <v>0</v>
      </c>
      <c r="E1274" s="6">
        <v>0</v>
      </c>
      <c r="F1274" s="6">
        <v>-18.9375</v>
      </c>
      <c r="G1274" s="6">
        <v>-0.5625</v>
      </c>
      <c r="H1274" s="6">
        <v>-0.625</v>
      </c>
      <c r="I1274" s="6">
        <v>1.0625</v>
      </c>
      <c r="J1274" s="6">
        <v>-1.375</v>
      </c>
      <c r="K1274" s="6">
        <v>23.5625</v>
      </c>
      <c r="L1274" s="6">
        <v>52.5625</v>
      </c>
      <c r="M1274" s="6">
        <v>-0.6875</v>
      </c>
      <c r="N1274" s="6">
        <v>-6.25E-2</v>
      </c>
      <c r="O1274" s="6">
        <v>0.1875</v>
      </c>
      <c r="P1274" s="6">
        <v>-2.5</v>
      </c>
      <c r="Q1274" s="6">
        <v>-0.1875</v>
      </c>
      <c r="R1274" s="6">
        <v>3.0261380672454798</v>
      </c>
      <c r="S1274" s="6">
        <v>18.136428833007798</v>
      </c>
      <c r="T1274" s="6">
        <v>0.144213557243347</v>
      </c>
      <c r="U1274" s="6">
        <v>-0.31554695963859603</v>
      </c>
      <c r="V1274" s="6">
        <v>1.57022392749786</v>
      </c>
      <c r="W1274" s="6">
        <v>-18.914096832275401</v>
      </c>
    </row>
    <row r="1275" spans="1:23" ht="18.95" customHeight="1">
      <c r="A1275" s="4">
        <v>1271</v>
      </c>
      <c r="B1275" s="4">
        <v>27328</v>
      </c>
      <c r="C1275" s="4">
        <v>1</v>
      </c>
      <c r="D1275" s="6">
        <v>0</v>
      </c>
      <c r="E1275" s="6">
        <v>0</v>
      </c>
      <c r="F1275" s="6">
        <v>-17.1875</v>
      </c>
      <c r="G1275" s="6">
        <v>-0.625</v>
      </c>
      <c r="H1275" s="6">
        <v>-0.5</v>
      </c>
      <c r="I1275" s="6">
        <v>1.0625</v>
      </c>
      <c r="J1275" s="6">
        <v>-1.3125</v>
      </c>
      <c r="K1275" s="6">
        <v>23.9375</v>
      </c>
      <c r="L1275" s="6">
        <v>54.5625</v>
      </c>
      <c r="M1275" s="6">
        <v>-0.4375</v>
      </c>
      <c r="N1275" s="6">
        <v>0.1875</v>
      </c>
      <c r="O1275" s="6">
        <v>0.1875</v>
      </c>
      <c r="P1275" s="6">
        <v>-2.5</v>
      </c>
      <c r="Q1275" s="6">
        <v>-1.25</v>
      </c>
      <c r="R1275" s="6">
        <v>-0.14943432807922399</v>
      </c>
      <c r="S1275" s="6">
        <v>15.8768863677979</v>
      </c>
      <c r="T1275" s="6">
        <v>8.3144843578338595E-2</v>
      </c>
      <c r="U1275" s="6">
        <v>-0.23707696795463601</v>
      </c>
      <c r="V1275" s="6">
        <v>1.5110384225845299</v>
      </c>
      <c r="W1275" s="6">
        <v>-18.915328979492202</v>
      </c>
    </row>
    <row r="1276" spans="1:23" ht="18.95" customHeight="1">
      <c r="A1276" s="4">
        <v>1272</v>
      </c>
      <c r="B1276" s="4">
        <v>27350</v>
      </c>
      <c r="C1276" s="4">
        <v>1</v>
      </c>
      <c r="D1276" s="6">
        <v>0</v>
      </c>
      <c r="E1276" s="6">
        <v>0</v>
      </c>
      <c r="F1276" s="6">
        <v>-15.8125</v>
      </c>
      <c r="G1276" s="6">
        <v>-6.25E-2</v>
      </c>
      <c r="H1276" s="6">
        <v>-0.3125</v>
      </c>
      <c r="I1276" s="6">
        <v>1.0625</v>
      </c>
      <c r="J1276" s="6">
        <v>-1.375</v>
      </c>
      <c r="K1276" s="6">
        <v>24.25</v>
      </c>
      <c r="L1276" s="6">
        <v>54.6875</v>
      </c>
      <c r="M1276" s="6">
        <v>-0.5625</v>
      </c>
      <c r="N1276" s="6">
        <v>-0.25</v>
      </c>
      <c r="O1276" s="6">
        <v>0.25</v>
      </c>
      <c r="P1276" s="6">
        <v>-2.5</v>
      </c>
      <c r="Q1276" s="6">
        <v>-2.3125</v>
      </c>
      <c r="R1276" s="6">
        <v>-1.4318771362304701</v>
      </c>
      <c r="S1276" s="6">
        <v>14.4723062515259</v>
      </c>
      <c r="T1276" s="6">
        <v>-1.2298321723937999</v>
      </c>
      <c r="U1276" s="6">
        <v>-0.16319578886032099</v>
      </c>
      <c r="V1276" s="6">
        <v>1.7334507703781099</v>
      </c>
      <c r="W1276" s="6">
        <v>-18.931810379028299</v>
      </c>
    </row>
    <row r="1277" spans="1:23" ht="18.95" customHeight="1">
      <c r="A1277" s="4">
        <v>1273</v>
      </c>
      <c r="B1277" s="4">
        <v>27371</v>
      </c>
      <c r="C1277" s="4">
        <v>1</v>
      </c>
      <c r="D1277" s="6">
        <v>0</v>
      </c>
      <c r="E1277" s="6">
        <v>0</v>
      </c>
      <c r="F1277" s="6">
        <v>-14.875</v>
      </c>
      <c r="G1277" s="6">
        <v>-1.125</v>
      </c>
      <c r="H1277" s="6">
        <v>-1.4375</v>
      </c>
      <c r="I1277" s="6">
        <v>1.0625</v>
      </c>
      <c r="J1277" s="6">
        <v>-1.3125</v>
      </c>
      <c r="K1277" s="6">
        <v>24.75</v>
      </c>
      <c r="L1277" s="6">
        <v>57.3125</v>
      </c>
      <c r="M1277" s="6">
        <v>-0.625</v>
      </c>
      <c r="N1277" s="6">
        <v>0.375</v>
      </c>
      <c r="O1277" s="6">
        <v>0.25</v>
      </c>
      <c r="P1277" s="6">
        <v>-2.5</v>
      </c>
      <c r="Q1277" s="6">
        <v>-3.375</v>
      </c>
      <c r="R1277" s="6">
        <v>-8.8365554809570299E-2</v>
      </c>
      <c r="S1277" s="6">
        <v>13.418870925903301</v>
      </c>
      <c r="T1277" s="6">
        <v>-0.26800018548965499</v>
      </c>
      <c r="U1277" s="6">
        <v>-0.23522154986858401</v>
      </c>
      <c r="V1277" s="6">
        <v>1.5039621591568</v>
      </c>
      <c r="W1277" s="6">
        <v>-18.934047698974599</v>
      </c>
    </row>
    <row r="1278" spans="1:23" ht="18.95" customHeight="1">
      <c r="A1278" s="4">
        <v>1274</v>
      </c>
      <c r="B1278" s="4">
        <v>27393</v>
      </c>
      <c r="C1278" s="4">
        <v>1</v>
      </c>
      <c r="D1278" s="6">
        <v>0</v>
      </c>
      <c r="E1278" s="6">
        <v>0</v>
      </c>
      <c r="F1278" s="6">
        <v>-13.0625</v>
      </c>
      <c r="G1278" s="6">
        <v>0.3125</v>
      </c>
      <c r="H1278" s="6">
        <v>-0.125</v>
      </c>
      <c r="I1278" s="6">
        <v>1.0625</v>
      </c>
      <c r="J1278" s="6">
        <v>-1.3125</v>
      </c>
      <c r="K1278" s="6">
        <v>25</v>
      </c>
      <c r="L1278" s="6">
        <v>56.8125</v>
      </c>
      <c r="M1278" s="6">
        <v>-0.4375</v>
      </c>
      <c r="N1278" s="6">
        <v>-6.25E-2</v>
      </c>
      <c r="O1278" s="6">
        <v>0.25</v>
      </c>
      <c r="P1278" s="6">
        <v>-2.5</v>
      </c>
      <c r="Q1278" s="6">
        <v>-4.5</v>
      </c>
      <c r="R1278" s="6">
        <v>-0.79065585136413596</v>
      </c>
      <c r="S1278" s="6">
        <v>14.289099693298301</v>
      </c>
      <c r="T1278" s="6">
        <v>-0.57334369421005205</v>
      </c>
      <c r="U1278" s="6">
        <v>-8.3330959081649794E-2</v>
      </c>
      <c r="V1278" s="6">
        <v>1.7757203578948999</v>
      </c>
      <c r="W1278" s="6">
        <v>-18.9441833496094</v>
      </c>
    </row>
    <row r="1279" spans="1:23" ht="18.95" customHeight="1">
      <c r="A1279" s="4">
        <v>1275</v>
      </c>
      <c r="B1279" s="4">
        <v>27414</v>
      </c>
      <c r="C1279" s="4">
        <v>1</v>
      </c>
      <c r="D1279" s="6">
        <v>0</v>
      </c>
      <c r="E1279" s="6">
        <v>0</v>
      </c>
      <c r="F1279" s="6">
        <v>-12.125</v>
      </c>
      <c r="G1279" s="6">
        <v>-0.5625</v>
      </c>
      <c r="H1279" s="6">
        <v>-0.6875</v>
      </c>
      <c r="I1279" s="6">
        <v>1.0625</v>
      </c>
      <c r="J1279" s="6">
        <v>-1.3125</v>
      </c>
      <c r="K1279" s="6">
        <v>25.1875</v>
      </c>
      <c r="L1279" s="6">
        <v>59.375</v>
      </c>
      <c r="M1279" s="6">
        <v>-0.625</v>
      </c>
      <c r="N1279" s="6">
        <v>6.25E-2</v>
      </c>
      <c r="O1279" s="6">
        <v>0.3125</v>
      </c>
      <c r="P1279" s="6">
        <v>-2.5</v>
      </c>
      <c r="Q1279" s="6">
        <v>-5.625</v>
      </c>
      <c r="R1279" s="6">
        <v>-0.28683900833129899</v>
      </c>
      <c r="S1279" s="6">
        <v>10.869252204895</v>
      </c>
      <c r="T1279" s="6">
        <v>-0.14586275815963701</v>
      </c>
      <c r="U1279" s="6">
        <v>-0.17024883627891499</v>
      </c>
      <c r="V1279" s="6">
        <v>1.59417271614075</v>
      </c>
      <c r="W1279" s="6">
        <v>-18.9566745758057</v>
      </c>
    </row>
    <row r="1280" spans="1:23" ht="18.95" customHeight="1">
      <c r="A1280" s="4">
        <v>1276</v>
      </c>
      <c r="B1280" s="4">
        <v>27436</v>
      </c>
      <c r="C1280" s="4">
        <v>1</v>
      </c>
      <c r="D1280" s="6">
        <v>0</v>
      </c>
      <c r="E1280" s="6">
        <v>0</v>
      </c>
      <c r="F1280" s="6">
        <v>-11</v>
      </c>
      <c r="G1280" s="6">
        <v>-6.25E-2</v>
      </c>
      <c r="H1280" s="6">
        <v>-0.375</v>
      </c>
      <c r="I1280" s="6">
        <v>1.0625</v>
      </c>
      <c r="J1280" s="6">
        <v>-1.3125</v>
      </c>
      <c r="K1280" s="6">
        <v>25.4375</v>
      </c>
      <c r="L1280" s="6">
        <v>59.4375</v>
      </c>
      <c r="M1280" s="6">
        <v>-0.5625</v>
      </c>
      <c r="N1280" s="6">
        <v>-0.1875</v>
      </c>
      <c r="O1280" s="6">
        <v>0.3125</v>
      </c>
      <c r="P1280" s="6">
        <v>-2.5</v>
      </c>
      <c r="Q1280" s="6">
        <v>-6.8125</v>
      </c>
      <c r="R1280" s="6">
        <v>-0.48531222343444802</v>
      </c>
      <c r="S1280" s="6">
        <v>9.9074201583862305</v>
      </c>
      <c r="T1280" s="6">
        <v>-0.37487041950225802</v>
      </c>
      <c r="U1280" s="6">
        <v>-9.5500439405441298E-2</v>
      </c>
      <c r="V1280" s="6">
        <v>1.5898064374923699</v>
      </c>
      <c r="W1280" s="6">
        <v>-18.958318710327099</v>
      </c>
    </row>
    <row r="1281" spans="1:23" ht="18.95" customHeight="1">
      <c r="A1281" s="4">
        <v>1277</v>
      </c>
      <c r="B1281" s="4">
        <v>27467</v>
      </c>
      <c r="C1281" s="4">
        <v>1</v>
      </c>
      <c r="D1281" s="6">
        <v>0</v>
      </c>
      <c r="E1281" s="6">
        <v>0</v>
      </c>
      <c r="F1281" s="6">
        <v>-9.375</v>
      </c>
      <c r="G1281" s="6">
        <v>-0.3125</v>
      </c>
      <c r="H1281" s="6">
        <v>-0.5625</v>
      </c>
      <c r="I1281" s="6">
        <v>1.0625</v>
      </c>
      <c r="J1281" s="6">
        <v>-1.3125</v>
      </c>
      <c r="K1281" s="6">
        <v>25.6875</v>
      </c>
      <c r="L1281" s="6">
        <v>61.1875</v>
      </c>
      <c r="M1281" s="6">
        <v>-0.5</v>
      </c>
      <c r="N1281" s="6">
        <v>0.25</v>
      </c>
      <c r="O1281" s="6">
        <v>0.375</v>
      </c>
      <c r="P1281" s="6">
        <v>-2.5</v>
      </c>
      <c r="Q1281" s="6">
        <v>-9.125</v>
      </c>
      <c r="R1281" s="6">
        <v>-0.40897631645202598</v>
      </c>
      <c r="S1281" s="6">
        <v>8.44177150726318</v>
      </c>
      <c r="T1281" s="6">
        <v>-0.25273302197456399</v>
      </c>
      <c r="U1281" s="6">
        <v>-8.6920231580734295E-2</v>
      </c>
      <c r="V1281" s="6">
        <v>1.7664980888366699</v>
      </c>
      <c r="W1281" s="6">
        <v>-18.969060897827099</v>
      </c>
    </row>
    <row r="1282" spans="1:23" ht="18.95" customHeight="1">
      <c r="A1282" s="4">
        <v>1278</v>
      </c>
      <c r="B1282" s="4">
        <v>27487</v>
      </c>
      <c r="C1282" s="4">
        <v>1</v>
      </c>
      <c r="D1282" s="6">
        <v>0</v>
      </c>
      <c r="E1282" s="6">
        <v>0</v>
      </c>
      <c r="F1282" s="6">
        <v>-8.5</v>
      </c>
      <c r="G1282" s="6">
        <v>-0.8125</v>
      </c>
      <c r="H1282" s="6">
        <v>-0.6875</v>
      </c>
      <c r="I1282" s="6">
        <v>1.0625</v>
      </c>
      <c r="J1282" s="6">
        <v>-1.3125</v>
      </c>
      <c r="K1282" s="6">
        <v>25.875</v>
      </c>
      <c r="L1282" s="6">
        <v>60.625</v>
      </c>
      <c r="M1282" s="6">
        <v>-0.75</v>
      </c>
      <c r="N1282" s="6">
        <v>-0.125</v>
      </c>
      <c r="O1282" s="6">
        <v>0.375</v>
      </c>
      <c r="P1282" s="6">
        <v>-2.5</v>
      </c>
      <c r="Q1282" s="6">
        <v>-10.3125</v>
      </c>
      <c r="R1282" s="6">
        <v>0.186443567276001</v>
      </c>
      <c r="S1282" s="6">
        <v>7.22039747238159</v>
      </c>
      <c r="T1282" s="6">
        <v>-8.4794104099273696E-2</v>
      </c>
      <c r="U1282" s="6">
        <v>-0.19230273365974401</v>
      </c>
      <c r="V1282" s="6">
        <v>1.5837378501892101</v>
      </c>
      <c r="W1282" s="6">
        <v>-18.976001739501999</v>
      </c>
    </row>
    <row r="1283" spans="1:23" ht="18.95" customHeight="1">
      <c r="A1283" s="4">
        <v>1279</v>
      </c>
      <c r="B1283" s="4">
        <v>27507</v>
      </c>
      <c r="C1283" s="4">
        <v>1</v>
      </c>
      <c r="D1283" s="6">
        <v>0</v>
      </c>
      <c r="E1283" s="6">
        <v>0</v>
      </c>
      <c r="F1283" s="6">
        <v>-7.5625</v>
      </c>
      <c r="G1283" s="6">
        <v>-0.125</v>
      </c>
      <c r="H1283" s="6">
        <v>-0.1875</v>
      </c>
      <c r="I1283" s="6">
        <v>1.125</v>
      </c>
      <c r="J1283" s="6">
        <v>-1.3125</v>
      </c>
      <c r="K1283" s="6">
        <v>26</v>
      </c>
      <c r="L1283" s="6">
        <v>63.125</v>
      </c>
      <c r="M1283" s="6">
        <v>-0.5</v>
      </c>
      <c r="N1283" s="6">
        <v>-0.1875</v>
      </c>
      <c r="O1283" s="6">
        <v>0.4375</v>
      </c>
      <c r="P1283" s="6">
        <v>-2.5</v>
      </c>
      <c r="Q1283" s="6">
        <v>-11.5625</v>
      </c>
      <c r="R1283" s="6">
        <v>-0.24103736877441401</v>
      </c>
      <c r="S1283" s="6">
        <v>6.2432985305786097</v>
      </c>
      <c r="T1283" s="6">
        <v>-0.42067193984985402</v>
      </c>
      <c r="U1283" s="6">
        <v>-0.142263352870941</v>
      </c>
      <c r="V1283" s="6">
        <v>1.4647202491760301</v>
      </c>
      <c r="W1283" s="6">
        <v>-18.977643966674801</v>
      </c>
    </row>
    <row r="1284" spans="1:23" ht="18.95" customHeight="1">
      <c r="A1284" s="4">
        <v>1280</v>
      </c>
      <c r="B1284" s="4">
        <v>27528</v>
      </c>
      <c r="C1284" s="4">
        <v>1</v>
      </c>
      <c r="D1284" s="6">
        <v>0</v>
      </c>
      <c r="E1284" s="6">
        <v>0</v>
      </c>
      <c r="F1284" s="6">
        <v>-6.4375</v>
      </c>
      <c r="G1284" s="6">
        <v>0.125</v>
      </c>
      <c r="H1284" s="6">
        <v>0</v>
      </c>
      <c r="I1284" s="6">
        <v>1.125</v>
      </c>
      <c r="J1284" s="6">
        <v>-1.3125</v>
      </c>
      <c r="K1284" s="6">
        <v>26.125</v>
      </c>
      <c r="L1284" s="6">
        <v>62.8125</v>
      </c>
      <c r="M1284" s="6">
        <v>-0.875</v>
      </c>
      <c r="N1284" s="6">
        <v>-0.1875</v>
      </c>
      <c r="O1284" s="6">
        <v>0.4375</v>
      </c>
      <c r="P1284" s="6">
        <v>-2.5</v>
      </c>
      <c r="Q1284" s="6">
        <v>-12.75</v>
      </c>
      <c r="R1284" s="6">
        <v>-0.22577023506164601</v>
      </c>
      <c r="S1284" s="6">
        <v>5.4341378211975098</v>
      </c>
      <c r="T1284" s="6">
        <v>-0.832885682582855</v>
      </c>
      <c r="U1284" s="6">
        <v>-0.14967787265777599</v>
      </c>
      <c r="V1284" s="6">
        <v>1.3650273084640501</v>
      </c>
      <c r="W1284" s="6">
        <v>-19.0004768371582</v>
      </c>
    </row>
    <row r="1285" spans="1:23" ht="18.95" customHeight="1">
      <c r="A1285" s="4">
        <v>1281</v>
      </c>
      <c r="B1285" s="4">
        <v>27550</v>
      </c>
      <c r="C1285" s="4">
        <v>1</v>
      </c>
      <c r="D1285" s="6">
        <v>0</v>
      </c>
      <c r="E1285" s="6">
        <v>0</v>
      </c>
      <c r="F1285" s="6">
        <v>-5.5</v>
      </c>
      <c r="G1285" s="6">
        <v>-0.625</v>
      </c>
      <c r="H1285" s="6">
        <v>-1.125</v>
      </c>
      <c r="I1285" s="6">
        <v>1.125</v>
      </c>
      <c r="J1285" s="6">
        <v>-1.3125</v>
      </c>
      <c r="K1285" s="6">
        <v>26.25</v>
      </c>
      <c r="L1285" s="6">
        <v>64.0625</v>
      </c>
      <c r="M1285" s="6">
        <v>-0.6875</v>
      </c>
      <c r="N1285" s="6">
        <v>6.25E-2</v>
      </c>
      <c r="O1285" s="6">
        <v>0.5</v>
      </c>
      <c r="P1285" s="6">
        <v>-2.4375</v>
      </c>
      <c r="Q1285" s="6">
        <v>-14</v>
      </c>
      <c r="R1285" s="6">
        <v>6.4306020736694294E-2</v>
      </c>
      <c r="S1285" s="6">
        <v>4.18222951889038</v>
      </c>
      <c r="T1285" s="6">
        <v>-0.54280936717987105</v>
      </c>
      <c r="U1285" s="6">
        <v>-0.13091799616813701</v>
      </c>
      <c r="V1285" s="6">
        <v>1.0967274904251101</v>
      </c>
      <c r="W1285" s="6">
        <v>-19.000341415405298</v>
      </c>
    </row>
    <row r="1286" spans="1:23" ht="18.95" customHeight="1">
      <c r="A1286" s="4">
        <v>1282</v>
      </c>
      <c r="B1286" s="4">
        <v>27570</v>
      </c>
      <c r="C1286" s="4">
        <v>1</v>
      </c>
      <c r="D1286" s="6">
        <v>0</v>
      </c>
      <c r="E1286" s="6">
        <v>0</v>
      </c>
      <c r="F1286" s="6">
        <v>-4.4375</v>
      </c>
      <c r="G1286" s="6">
        <v>-0.125</v>
      </c>
      <c r="H1286" s="6">
        <v>-0.1875</v>
      </c>
      <c r="I1286" s="6">
        <v>1.125</v>
      </c>
      <c r="J1286" s="6">
        <v>-1.3125</v>
      </c>
      <c r="K1286" s="6">
        <v>26.3125</v>
      </c>
      <c r="L1286" s="6">
        <v>63.5625</v>
      </c>
      <c r="M1286" s="6">
        <v>-0.5625</v>
      </c>
      <c r="N1286" s="6">
        <v>0.1875</v>
      </c>
      <c r="O1286" s="6">
        <v>0.5</v>
      </c>
      <c r="P1286" s="6">
        <v>-2.4375</v>
      </c>
      <c r="Q1286" s="6">
        <v>-15.25</v>
      </c>
      <c r="R1286" s="6">
        <v>-0.17996859550476099</v>
      </c>
      <c r="S1286" s="6">
        <v>3.3272678852081299</v>
      </c>
      <c r="T1286" s="6">
        <v>-1.0924277305603001</v>
      </c>
      <c r="U1286" s="6">
        <v>-5.0174277275800698E-2</v>
      </c>
      <c r="V1286" s="6">
        <v>1.05921459197998</v>
      </c>
      <c r="W1286" s="6">
        <v>-19.014144897460898</v>
      </c>
    </row>
    <row r="1287" spans="1:23" ht="18.95" customHeight="1">
      <c r="A1287" s="4">
        <v>1283</v>
      </c>
      <c r="B1287" s="4">
        <v>27591</v>
      </c>
      <c r="C1287" s="4">
        <v>1</v>
      </c>
      <c r="D1287" s="6">
        <v>0</v>
      </c>
      <c r="E1287" s="6">
        <v>0</v>
      </c>
      <c r="F1287" s="6">
        <v>-3.5625</v>
      </c>
      <c r="G1287" s="6">
        <v>6.25E-2</v>
      </c>
      <c r="H1287" s="6">
        <v>-0.5</v>
      </c>
      <c r="I1287" s="6">
        <v>1.125</v>
      </c>
      <c r="J1287" s="6">
        <v>-1.3125</v>
      </c>
      <c r="K1287" s="6">
        <v>26.4375</v>
      </c>
      <c r="L1287" s="6">
        <v>65.25</v>
      </c>
      <c r="M1287" s="6">
        <v>-0.75</v>
      </c>
      <c r="N1287" s="6">
        <v>6.25E-2</v>
      </c>
      <c r="O1287" s="6">
        <v>0.5625</v>
      </c>
      <c r="P1287" s="6">
        <v>-2.4375</v>
      </c>
      <c r="Q1287" s="6">
        <v>-16.5</v>
      </c>
      <c r="R1287" s="6">
        <v>7.9573392868042006E-2</v>
      </c>
      <c r="S1287" s="6">
        <v>1.78528308868408</v>
      </c>
      <c r="T1287" s="6">
        <v>-0.48174065351486201</v>
      </c>
      <c r="U1287" s="6">
        <v>-7.4466109275817899E-2</v>
      </c>
      <c r="V1287" s="6">
        <v>0.83833032846450795</v>
      </c>
      <c r="W1287" s="6">
        <v>-19.030315399169901</v>
      </c>
    </row>
    <row r="1288" spans="1:23" ht="18.95" customHeight="1">
      <c r="A1288" s="4">
        <v>1284</v>
      </c>
      <c r="B1288" s="4">
        <v>27612</v>
      </c>
      <c r="C1288" s="4">
        <v>1</v>
      </c>
      <c r="D1288" s="6">
        <v>0</v>
      </c>
      <c r="E1288" s="6">
        <v>0</v>
      </c>
      <c r="F1288" s="6">
        <v>-2.4375</v>
      </c>
      <c r="G1288" s="6">
        <v>-0.5</v>
      </c>
      <c r="H1288" s="6">
        <v>-0.625</v>
      </c>
      <c r="I1288" s="6">
        <v>1.125</v>
      </c>
      <c r="J1288" s="6">
        <v>-1.3125</v>
      </c>
      <c r="K1288" s="6">
        <v>26.4375</v>
      </c>
      <c r="L1288" s="6">
        <v>64.5</v>
      </c>
      <c r="M1288" s="6">
        <v>-0.75</v>
      </c>
      <c r="N1288" s="6">
        <v>-6.25E-2</v>
      </c>
      <c r="O1288" s="6">
        <v>0.5625</v>
      </c>
      <c r="P1288" s="6">
        <v>-2.4375</v>
      </c>
      <c r="Q1288" s="6">
        <v>-17.75</v>
      </c>
      <c r="R1288" s="6">
        <v>-1.2029886245727499E-2</v>
      </c>
      <c r="S1288" s="6">
        <v>1.06772577762604</v>
      </c>
      <c r="T1288" s="6">
        <v>-0.40540477633476302</v>
      </c>
      <c r="U1288" s="6">
        <v>-7.1060553193092305E-2</v>
      </c>
      <c r="V1288" s="6">
        <v>0.66343891620635997</v>
      </c>
      <c r="W1288" s="6">
        <v>-19.042173385620099</v>
      </c>
    </row>
    <row r="1289" spans="1:23" ht="18.95" customHeight="1">
      <c r="A1289" s="4">
        <v>1285</v>
      </c>
      <c r="B1289" s="4">
        <v>27632</v>
      </c>
      <c r="C1289" s="4">
        <v>1</v>
      </c>
      <c r="D1289" s="6">
        <v>0</v>
      </c>
      <c r="E1289" s="6">
        <v>0</v>
      </c>
      <c r="F1289" s="6">
        <v>-1.5625</v>
      </c>
      <c r="G1289" s="6">
        <v>-0.1875</v>
      </c>
      <c r="H1289" s="6">
        <v>-0.625</v>
      </c>
      <c r="I1289" s="6">
        <v>1.125</v>
      </c>
      <c r="J1289" s="6">
        <v>-1.3125</v>
      </c>
      <c r="K1289" s="6">
        <v>26.4375</v>
      </c>
      <c r="L1289" s="6">
        <v>65.25</v>
      </c>
      <c r="M1289" s="6">
        <v>-0.75</v>
      </c>
      <c r="N1289" s="6">
        <v>0.125</v>
      </c>
      <c r="O1289" s="6">
        <v>0.625</v>
      </c>
      <c r="P1289" s="6">
        <v>-2.4375</v>
      </c>
      <c r="Q1289" s="6">
        <v>-19</v>
      </c>
      <c r="R1289" s="6">
        <v>7.9573392868042006E-2</v>
      </c>
      <c r="S1289" s="6">
        <v>6.0092210769653299E-2</v>
      </c>
      <c r="T1289" s="6">
        <v>-0.100061237812042</v>
      </c>
      <c r="U1289" s="6">
        <v>-3.31807173788548E-2</v>
      </c>
      <c r="V1289" s="6">
        <v>0.336106687784195</v>
      </c>
      <c r="W1289" s="6">
        <v>-19.047456741333001</v>
      </c>
    </row>
    <row r="1290" spans="1:23" ht="18.95" customHeight="1">
      <c r="A1290" s="4">
        <v>1286</v>
      </c>
      <c r="B1290" s="4">
        <v>27652</v>
      </c>
      <c r="C1290" s="4">
        <v>1</v>
      </c>
      <c r="D1290" s="6">
        <v>0</v>
      </c>
      <c r="E1290" s="6">
        <v>0</v>
      </c>
      <c r="F1290" s="6">
        <v>-0.25</v>
      </c>
      <c r="G1290" s="6">
        <v>0.1875</v>
      </c>
      <c r="H1290" s="6">
        <v>0</v>
      </c>
      <c r="I1290" s="6">
        <v>1.125</v>
      </c>
      <c r="J1290" s="6">
        <v>-1.3125</v>
      </c>
      <c r="K1290" s="6">
        <v>26.4375</v>
      </c>
      <c r="L1290" s="6">
        <v>63.4375</v>
      </c>
      <c r="M1290" s="6">
        <v>-0.625</v>
      </c>
      <c r="N1290" s="6">
        <v>0.125</v>
      </c>
      <c r="O1290" s="6">
        <v>0.625</v>
      </c>
      <c r="P1290" s="6">
        <v>-2.4375</v>
      </c>
      <c r="Q1290" s="6">
        <v>-20.25</v>
      </c>
      <c r="R1290" s="6">
        <v>-0.39370918273925798</v>
      </c>
      <c r="S1290" s="6">
        <v>-1.0086100101470901</v>
      </c>
      <c r="T1290" s="6">
        <v>-0.46647346019744901</v>
      </c>
      <c r="U1290" s="6">
        <v>-2.6929508894681899E-2</v>
      </c>
      <c r="V1290" s="6">
        <v>0.29730474948883101</v>
      </c>
      <c r="W1290" s="6">
        <v>-19.0568027496338</v>
      </c>
    </row>
    <row r="1291" spans="1:23" ht="18.95" customHeight="1">
      <c r="A1291" s="4">
        <v>1287</v>
      </c>
      <c r="B1291" s="4">
        <v>27672</v>
      </c>
      <c r="C1291" s="4">
        <v>1</v>
      </c>
      <c r="D1291" s="6">
        <v>0</v>
      </c>
      <c r="E1291" s="6">
        <v>0</v>
      </c>
      <c r="F1291" s="6">
        <v>0.6875</v>
      </c>
      <c r="G1291" s="6">
        <v>-6.25E-2</v>
      </c>
      <c r="H1291" s="6">
        <v>-0.5</v>
      </c>
      <c r="I1291" s="6">
        <v>1.125</v>
      </c>
      <c r="J1291" s="6">
        <v>-1.25</v>
      </c>
      <c r="K1291" s="6">
        <v>26.375</v>
      </c>
      <c r="L1291" s="6">
        <v>64.1875</v>
      </c>
      <c r="M1291" s="6">
        <v>-0.75</v>
      </c>
      <c r="N1291" s="6">
        <v>0.1875</v>
      </c>
      <c r="O1291" s="6">
        <v>0.6875</v>
      </c>
      <c r="P1291" s="6">
        <v>-2.375</v>
      </c>
      <c r="Q1291" s="6">
        <v>-21.4375</v>
      </c>
      <c r="R1291" s="6">
        <v>0.94980227947235096</v>
      </c>
      <c r="S1291" s="6">
        <v>-2.18418264389038</v>
      </c>
      <c r="T1291" s="6">
        <v>9.8412036895751995E-2</v>
      </c>
      <c r="U1291" s="6">
        <v>-0.13337463140487699</v>
      </c>
      <c r="V1291" s="6">
        <v>-4.9583684653043698E-2</v>
      </c>
      <c r="W1291" s="6">
        <v>-19.061750411987301</v>
      </c>
    </row>
    <row r="1292" spans="1:23" ht="18.95" customHeight="1">
      <c r="A1292" s="4">
        <v>1288</v>
      </c>
      <c r="B1292" s="4">
        <v>27692</v>
      </c>
      <c r="C1292" s="4">
        <v>1</v>
      </c>
      <c r="D1292" s="6">
        <v>0</v>
      </c>
      <c r="E1292" s="6">
        <v>0</v>
      </c>
      <c r="F1292" s="6">
        <v>1.5625</v>
      </c>
      <c r="G1292" s="6">
        <v>0.1875</v>
      </c>
      <c r="H1292" s="6">
        <v>-0.25</v>
      </c>
      <c r="I1292" s="6">
        <v>1.125</v>
      </c>
      <c r="J1292" s="6">
        <v>-1.25</v>
      </c>
      <c r="K1292" s="6">
        <v>26.3125</v>
      </c>
      <c r="L1292" s="6">
        <v>63.125</v>
      </c>
      <c r="M1292" s="6">
        <v>-0.625</v>
      </c>
      <c r="N1292" s="6">
        <v>-0.1875</v>
      </c>
      <c r="O1292" s="6">
        <v>0.6875</v>
      </c>
      <c r="P1292" s="6">
        <v>-2.375</v>
      </c>
      <c r="Q1292" s="6">
        <v>-22.6875</v>
      </c>
      <c r="R1292" s="6">
        <v>-0.24103736877441401</v>
      </c>
      <c r="S1292" s="6">
        <v>-2.90174007415771</v>
      </c>
      <c r="T1292" s="6">
        <v>-0.90922152996063199</v>
      </c>
      <c r="U1292" s="6">
        <v>1.85147412121296E-2</v>
      </c>
      <c r="V1292" s="6">
        <v>-0.16879361867904699</v>
      </c>
      <c r="W1292" s="6">
        <v>-19.061323165893601</v>
      </c>
    </row>
    <row r="1293" spans="1:23" ht="18.95" customHeight="1">
      <c r="A1293" s="4">
        <v>1289</v>
      </c>
      <c r="B1293" s="4">
        <v>27713</v>
      </c>
      <c r="C1293" s="4">
        <v>1</v>
      </c>
      <c r="D1293" s="6">
        <v>0</v>
      </c>
      <c r="E1293" s="6">
        <v>0</v>
      </c>
      <c r="F1293" s="6">
        <v>2.8125</v>
      </c>
      <c r="G1293" s="6">
        <v>0.1875</v>
      </c>
      <c r="H1293" s="6">
        <v>0.125</v>
      </c>
      <c r="I1293" s="6">
        <v>1.125</v>
      </c>
      <c r="J1293" s="6">
        <v>-1.3125</v>
      </c>
      <c r="K1293" s="6">
        <v>26.125</v>
      </c>
      <c r="L1293" s="6">
        <v>62.75</v>
      </c>
      <c r="M1293" s="6">
        <v>-0.75</v>
      </c>
      <c r="N1293" s="6">
        <v>6.25E-2</v>
      </c>
      <c r="O1293" s="6">
        <v>0.6875</v>
      </c>
      <c r="P1293" s="6">
        <v>-2.375</v>
      </c>
      <c r="Q1293" s="6">
        <v>-23.9375</v>
      </c>
      <c r="R1293" s="6">
        <v>0.32384800910949701</v>
      </c>
      <c r="S1293" s="6">
        <v>-4.2757854461669904</v>
      </c>
      <c r="T1293" s="6">
        <v>0.20528227090835599</v>
      </c>
      <c r="U1293" s="6">
        <v>-5.4701171815395397E-2</v>
      </c>
      <c r="V1293" s="6">
        <v>-0.52533191442489602</v>
      </c>
      <c r="W1293" s="6">
        <v>-19.069629669189499</v>
      </c>
    </row>
    <row r="1294" spans="1:23" ht="18.95" customHeight="1">
      <c r="A1294" s="4">
        <v>1290</v>
      </c>
      <c r="B1294" s="4">
        <v>27733</v>
      </c>
      <c r="C1294" s="4">
        <v>1</v>
      </c>
      <c r="D1294" s="6">
        <v>0</v>
      </c>
      <c r="E1294" s="6">
        <v>0</v>
      </c>
      <c r="F1294" s="6">
        <v>3.875</v>
      </c>
      <c r="G1294" s="6">
        <v>-0.125</v>
      </c>
      <c r="H1294" s="6">
        <v>-0.5</v>
      </c>
      <c r="I1294" s="6">
        <v>1.125</v>
      </c>
      <c r="J1294" s="6">
        <v>-1.3125</v>
      </c>
      <c r="K1294" s="6">
        <v>26</v>
      </c>
      <c r="L1294" s="6">
        <v>61.5625</v>
      </c>
      <c r="M1294" s="6">
        <v>-0.6875</v>
      </c>
      <c r="N1294" s="6">
        <v>0</v>
      </c>
      <c r="O1294" s="6">
        <v>0.75</v>
      </c>
      <c r="P1294" s="6">
        <v>-2.375</v>
      </c>
      <c r="Q1294" s="6">
        <v>-25.125</v>
      </c>
      <c r="R1294" s="6">
        <v>-0.118900060653687</v>
      </c>
      <c r="S1294" s="6">
        <v>-5.3597550392150897</v>
      </c>
      <c r="T1294" s="6">
        <v>-0.69548112154007002</v>
      </c>
      <c r="U1294" s="6">
        <v>-5.6634247303008999E-2</v>
      </c>
      <c r="V1294" s="6">
        <v>-0.77578020095825195</v>
      </c>
      <c r="W1294" s="6">
        <v>-19.078617095947301</v>
      </c>
    </row>
    <row r="1295" spans="1:23" ht="18.95" customHeight="1">
      <c r="A1295" s="4">
        <v>1291</v>
      </c>
      <c r="B1295" s="4">
        <v>27753</v>
      </c>
      <c r="C1295" s="4">
        <v>1</v>
      </c>
      <c r="D1295" s="6">
        <v>0</v>
      </c>
      <c r="E1295" s="6">
        <v>0</v>
      </c>
      <c r="F1295" s="6">
        <v>4.8125</v>
      </c>
      <c r="G1295" s="6">
        <v>0.1875</v>
      </c>
      <c r="H1295" s="6">
        <v>-0.25</v>
      </c>
      <c r="I1295" s="6">
        <v>1.125</v>
      </c>
      <c r="J1295" s="6">
        <v>-1.3125</v>
      </c>
      <c r="K1295" s="6">
        <v>26</v>
      </c>
      <c r="L1295" s="6">
        <v>60</v>
      </c>
      <c r="M1295" s="6">
        <v>-0.6875</v>
      </c>
      <c r="N1295" s="6">
        <v>-0.125</v>
      </c>
      <c r="O1295" s="6">
        <v>0.75</v>
      </c>
      <c r="P1295" s="6">
        <v>-2.375</v>
      </c>
      <c r="Q1295" s="6">
        <v>-26.25</v>
      </c>
      <c r="R1295" s="6">
        <v>0.110107660293579</v>
      </c>
      <c r="S1295" s="6">
        <v>-6.41319036483765</v>
      </c>
      <c r="T1295" s="6">
        <v>-0.95502305030822798</v>
      </c>
      <c r="U1295" s="6">
        <v>2.4880409240722701E-2</v>
      </c>
      <c r="V1295" s="6">
        <v>-0.98167032003402699</v>
      </c>
      <c r="W1295" s="6">
        <v>-19.0898761749268</v>
      </c>
    </row>
    <row r="1296" spans="1:23" ht="18.95" customHeight="1">
      <c r="A1296" s="4">
        <v>1292</v>
      </c>
      <c r="B1296" s="4">
        <v>27776</v>
      </c>
      <c r="C1296" s="4">
        <v>1</v>
      </c>
      <c r="D1296" s="6">
        <v>0</v>
      </c>
      <c r="E1296" s="6">
        <v>0</v>
      </c>
      <c r="F1296" s="6">
        <v>6.4375</v>
      </c>
      <c r="G1296" s="6">
        <v>-6.25E-2</v>
      </c>
      <c r="H1296" s="6">
        <v>-0.5625</v>
      </c>
      <c r="I1296" s="6">
        <v>1.125</v>
      </c>
      <c r="J1296" s="6">
        <v>-1.3125</v>
      </c>
      <c r="K1296" s="6">
        <v>25.75</v>
      </c>
      <c r="L1296" s="6">
        <v>59.25</v>
      </c>
      <c r="M1296" s="6">
        <v>-0.75</v>
      </c>
      <c r="N1296" s="6">
        <v>0.1875</v>
      </c>
      <c r="O1296" s="6">
        <v>0.8125</v>
      </c>
      <c r="P1296" s="6">
        <v>-2.3125</v>
      </c>
      <c r="Q1296" s="6">
        <v>-27.4375</v>
      </c>
      <c r="R1296" s="6">
        <v>0.26277947425842302</v>
      </c>
      <c r="S1296" s="6">
        <v>-7.3444881439209002</v>
      </c>
      <c r="T1296" s="6">
        <v>-0.28326734900474498</v>
      </c>
      <c r="U1296" s="6">
        <v>6.10945634543896E-2</v>
      </c>
      <c r="V1296" s="6">
        <v>-1.2743272781372099</v>
      </c>
      <c r="W1296" s="6">
        <v>-19.097599029541001</v>
      </c>
    </row>
    <row r="1297" spans="1:23" ht="18.95" customHeight="1">
      <c r="A1297" s="4">
        <v>1293</v>
      </c>
      <c r="B1297" s="4">
        <v>27796</v>
      </c>
      <c r="C1297" s="4">
        <v>1</v>
      </c>
      <c r="D1297" s="6">
        <v>0</v>
      </c>
      <c r="E1297" s="6">
        <v>0</v>
      </c>
      <c r="F1297" s="6">
        <v>7.5625</v>
      </c>
      <c r="G1297" s="6">
        <v>0.125</v>
      </c>
      <c r="H1297" s="6">
        <v>-0.25</v>
      </c>
      <c r="I1297" s="6">
        <v>1.125</v>
      </c>
      <c r="J1297" s="6">
        <v>-1.3125</v>
      </c>
      <c r="K1297" s="6">
        <v>25.5625</v>
      </c>
      <c r="L1297" s="6">
        <v>57.5625</v>
      </c>
      <c r="M1297" s="6">
        <v>-0.5625</v>
      </c>
      <c r="N1297" s="6">
        <v>-6.25E-2</v>
      </c>
      <c r="O1297" s="6">
        <v>0.875</v>
      </c>
      <c r="P1297" s="6">
        <v>-2.3125</v>
      </c>
      <c r="Q1297" s="6">
        <v>-29.125</v>
      </c>
      <c r="R1297" s="6">
        <v>0.400183916091919</v>
      </c>
      <c r="S1297" s="6">
        <v>-8.5811290740966797</v>
      </c>
      <c r="T1297" s="6">
        <v>-0.68021392822265603</v>
      </c>
      <c r="U1297" s="6">
        <v>4.45103049278259E-2</v>
      </c>
      <c r="V1297" s="6">
        <v>-1.46985900402069</v>
      </c>
      <c r="W1297" s="6">
        <v>-19.1093654632568</v>
      </c>
    </row>
    <row r="1298" spans="1:23" ht="18.95" customHeight="1">
      <c r="A1298" s="4">
        <v>1294</v>
      </c>
      <c r="B1298" s="4">
        <v>27817</v>
      </c>
      <c r="C1298" s="4">
        <v>1</v>
      </c>
      <c r="D1298" s="6">
        <v>0</v>
      </c>
      <c r="E1298" s="6">
        <v>0</v>
      </c>
      <c r="F1298" s="6">
        <v>8.75</v>
      </c>
      <c r="G1298" s="6">
        <v>0.125</v>
      </c>
      <c r="H1298" s="6">
        <v>-0.3125</v>
      </c>
      <c r="I1298" s="6">
        <v>1.125</v>
      </c>
      <c r="J1298" s="6">
        <v>-1.3125</v>
      </c>
      <c r="K1298" s="6">
        <v>25.375</v>
      </c>
      <c r="L1298" s="6">
        <v>57.5625</v>
      </c>
      <c r="M1298" s="6">
        <v>-0.5625</v>
      </c>
      <c r="N1298" s="6">
        <v>0</v>
      </c>
      <c r="O1298" s="6">
        <v>0.875</v>
      </c>
      <c r="P1298" s="6">
        <v>-2.3125</v>
      </c>
      <c r="Q1298" s="6">
        <v>-29.6875</v>
      </c>
      <c r="R1298" s="6">
        <v>0.216977834701538</v>
      </c>
      <c r="S1298" s="6">
        <v>-9.4666252136230504</v>
      </c>
      <c r="T1298" s="6">
        <v>-0.161129951477051</v>
      </c>
      <c r="U1298" s="6">
        <v>-4.06371243298054E-3</v>
      </c>
      <c r="V1298" s="6">
        <v>-1.81783258914948</v>
      </c>
      <c r="W1298" s="6">
        <v>-19.120824813842798</v>
      </c>
    </row>
    <row r="1299" spans="1:23" ht="18.95" customHeight="1">
      <c r="A1299" s="4">
        <v>1295</v>
      </c>
      <c r="B1299" s="4">
        <v>27837</v>
      </c>
      <c r="C1299" s="4">
        <v>1</v>
      </c>
      <c r="D1299" s="6">
        <v>0</v>
      </c>
      <c r="E1299" s="6">
        <v>0</v>
      </c>
      <c r="F1299" s="6">
        <v>9.875</v>
      </c>
      <c r="G1299" s="6">
        <v>0.3125</v>
      </c>
      <c r="H1299" s="6">
        <v>-0.1875</v>
      </c>
      <c r="I1299" s="6">
        <v>1.125</v>
      </c>
      <c r="J1299" s="6">
        <v>-1.3125</v>
      </c>
      <c r="K1299" s="6">
        <v>25.125</v>
      </c>
      <c r="L1299" s="6">
        <v>56.6875</v>
      </c>
      <c r="M1299" s="6">
        <v>-0.625</v>
      </c>
      <c r="N1299" s="6">
        <v>6.25E-2</v>
      </c>
      <c r="O1299" s="6">
        <v>0.875</v>
      </c>
      <c r="P1299" s="6">
        <v>-2.3125</v>
      </c>
      <c r="Q1299" s="6">
        <v>-31.3125</v>
      </c>
      <c r="R1299" s="6">
        <v>0.247512102127075</v>
      </c>
      <c r="S1299" s="6">
        <v>-10.8254041671753</v>
      </c>
      <c r="T1299" s="6">
        <v>-0.23746582865714999</v>
      </c>
      <c r="U1299" s="6">
        <v>5.07596768438816E-2</v>
      </c>
      <c r="V1299" s="6">
        <v>-1.99514389038086</v>
      </c>
      <c r="W1299" s="6">
        <v>-19.124467849731399</v>
      </c>
    </row>
    <row r="1300" spans="1:23" ht="18.95" customHeight="1">
      <c r="A1300" s="4">
        <v>1296</v>
      </c>
      <c r="B1300" s="4">
        <v>27868</v>
      </c>
      <c r="C1300" s="4">
        <v>1</v>
      </c>
      <c r="D1300" s="6">
        <v>0</v>
      </c>
      <c r="E1300" s="6">
        <v>0</v>
      </c>
      <c r="F1300" s="6">
        <v>11.625</v>
      </c>
      <c r="G1300" s="6">
        <v>0.375</v>
      </c>
      <c r="H1300" s="6">
        <v>-0.3125</v>
      </c>
      <c r="I1300" s="6">
        <v>1.125</v>
      </c>
      <c r="J1300" s="6">
        <v>-1.3125</v>
      </c>
      <c r="K1300" s="6">
        <v>24.75</v>
      </c>
      <c r="L1300" s="6">
        <v>56.4375</v>
      </c>
      <c r="M1300" s="6">
        <v>-0.6875</v>
      </c>
      <c r="N1300" s="6">
        <v>0.3125</v>
      </c>
      <c r="O1300" s="6">
        <v>0.9375</v>
      </c>
      <c r="P1300" s="6">
        <v>-2.3125</v>
      </c>
      <c r="Q1300" s="6">
        <v>-32.9375</v>
      </c>
      <c r="R1300" s="6">
        <v>0.15590906143188499</v>
      </c>
      <c r="S1300" s="6">
        <v>-13.2528848648071</v>
      </c>
      <c r="T1300" s="6">
        <v>-0.29853454232215898</v>
      </c>
      <c r="U1300" s="6">
        <v>8.4740996360778795E-2</v>
      </c>
      <c r="V1300" s="6">
        <v>-2.4028861522674601</v>
      </c>
      <c r="W1300" s="6">
        <v>-19.1338596343994</v>
      </c>
    </row>
    <row r="1301" spans="1:23" ht="18.95" customHeight="1">
      <c r="A1301" s="4">
        <v>1297</v>
      </c>
      <c r="B1301" s="4">
        <v>27890</v>
      </c>
      <c r="C1301" s="4">
        <v>1</v>
      </c>
      <c r="D1301" s="6">
        <v>0</v>
      </c>
      <c r="E1301" s="6">
        <v>0</v>
      </c>
      <c r="F1301" s="6">
        <v>13.25</v>
      </c>
      <c r="G1301" s="6">
        <v>0.4375</v>
      </c>
      <c r="H1301" s="6">
        <v>0.125</v>
      </c>
      <c r="I1301" s="6">
        <v>1.125</v>
      </c>
      <c r="J1301" s="6">
        <v>-1.3125</v>
      </c>
      <c r="K1301" s="6">
        <v>24.4375</v>
      </c>
      <c r="L1301" s="6">
        <v>54.625</v>
      </c>
      <c r="M1301" s="6">
        <v>-0.4375</v>
      </c>
      <c r="N1301" s="6">
        <v>-6.25E-2</v>
      </c>
      <c r="O1301" s="6">
        <v>0.9375</v>
      </c>
      <c r="P1301" s="6">
        <v>-2.3125</v>
      </c>
      <c r="Q1301" s="6">
        <v>-34</v>
      </c>
      <c r="R1301" s="6">
        <v>0.70552742481231701</v>
      </c>
      <c r="S1301" s="6">
        <v>-14.3979234695435</v>
      </c>
      <c r="T1301" s="6">
        <v>0.144213557243347</v>
      </c>
      <c r="U1301" s="6">
        <v>-4.3926425278186798E-3</v>
      </c>
      <c r="V1301" s="6">
        <v>-2.8156790733337398</v>
      </c>
      <c r="W1301" s="6">
        <v>-19.1410102844238</v>
      </c>
    </row>
    <row r="1302" spans="1:23" ht="18.95" customHeight="1">
      <c r="A1302" s="4">
        <v>1298</v>
      </c>
      <c r="B1302" s="4">
        <v>27912</v>
      </c>
      <c r="C1302" s="4">
        <v>1</v>
      </c>
      <c r="D1302" s="6">
        <v>0</v>
      </c>
      <c r="E1302" s="6">
        <v>0</v>
      </c>
      <c r="F1302" s="6">
        <v>14.4375</v>
      </c>
      <c r="G1302" s="6">
        <v>0.25</v>
      </c>
      <c r="H1302" s="6">
        <v>-0.125</v>
      </c>
      <c r="I1302" s="6">
        <v>1.125</v>
      </c>
      <c r="J1302" s="6">
        <v>-1.3125</v>
      </c>
      <c r="K1302" s="6">
        <v>24.0625</v>
      </c>
      <c r="L1302" s="6">
        <v>53.0625</v>
      </c>
      <c r="M1302" s="6">
        <v>-0.8125</v>
      </c>
      <c r="N1302" s="6">
        <v>-6.25E-2</v>
      </c>
      <c r="O1302" s="6">
        <v>1</v>
      </c>
      <c r="P1302" s="6">
        <v>-2.3125</v>
      </c>
      <c r="Q1302" s="6">
        <v>-35.0625</v>
      </c>
      <c r="R1302" s="6">
        <v>0.47651982307434099</v>
      </c>
      <c r="S1302" s="6">
        <v>-15.802503585815399</v>
      </c>
      <c r="T1302" s="6">
        <v>-0.57334369421005205</v>
      </c>
      <c r="U1302" s="6">
        <v>6.0859180986881298E-2</v>
      </c>
      <c r="V1302" s="6">
        <v>-3.1498396396636998</v>
      </c>
      <c r="W1302" s="6">
        <v>-19.145587921142599</v>
      </c>
    </row>
    <row r="1303" spans="1:23" ht="18.95" customHeight="1">
      <c r="A1303" s="4">
        <v>1299</v>
      </c>
      <c r="B1303" s="4">
        <v>27933</v>
      </c>
      <c r="C1303" s="4">
        <v>1</v>
      </c>
      <c r="D1303" s="6">
        <v>0</v>
      </c>
      <c r="E1303" s="6">
        <v>0</v>
      </c>
      <c r="F1303" s="6">
        <v>15.625</v>
      </c>
      <c r="G1303" s="6">
        <v>0.375</v>
      </c>
      <c r="H1303" s="6">
        <v>0.3125</v>
      </c>
      <c r="I1303" s="6">
        <v>1.125</v>
      </c>
      <c r="J1303" s="6">
        <v>-1.3125</v>
      </c>
      <c r="K1303" s="6">
        <v>23.75</v>
      </c>
      <c r="L1303" s="6">
        <v>51.375</v>
      </c>
      <c r="M1303" s="6">
        <v>-0.375</v>
      </c>
      <c r="N1303" s="6">
        <v>0</v>
      </c>
      <c r="O1303" s="6">
        <v>1</v>
      </c>
      <c r="P1303" s="6">
        <v>-2.3125</v>
      </c>
      <c r="Q1303" s="6">
        <v>-36.0625</v>
      </c>
      <c r="R1303" s="6">
        <v>0.29331374168396002</v>
      </c>
      <c r="S1303" s="6">
        <v>-17.115480422973601</v>
      </c>
      <c r="T1303" s="6">
        <v>-0.35960325598716703</v>
      </c>
      <c r="U1303" s="6">
        <v>7.8108102083206205E-2</v>
      </c>
      <c r="V1303" s="6">
        <v>-3.50607490539551</v>
      </c>
      <c r="W1303" s="6">
        <v>-19.152368545532202</v>
      </c>
    </row>
    <row r="1304" spans="1:23" ht="18.95" customHeight="1">
      <c r="A1304" s="4">
        <v>1300</v>
      </c>
      <c r="B1304" s="4">
        <v>27954</v>
      </c>
      <c r="C1304" s="4">
        <v>1</v>
      </c>
      <c r="D1304" s="6">
        <v>0</v>
      </c>
      <c r="E1304" s="6">
        <v>0</v>
      </c>
      <c r="F1304" s="6">
        <v>17.25</v>
      </c>
      <c r="G1304" s="6">
        <v>0.4375</v>
      </c>
      <c r="H1304" s="6">
        <v>0</v>
      </c>
      <c r="I1304" s="6">
        <v>1.125</v>
      </c>
      <c r="J1304" s="6">
        <v>-1.3125</v>
      </c>
      <c r="K1304" s="6">
        <v>23.375</v>
      </c>
      <c r="L1304" s="6">
        <v>51.125</v>
      </c>
      <c r="M1304" s="6">
        <v>-0.5625</v>
      </c>
      <c r="N1304" s="6">
        <v>0.25</v>
      </c>
      <c r="O1304" s="6">
        <v>1.0625</v>
      </c>
      <c r="P1304" s="6">
        <v>-2.3125</v>
      </c>
      <c r="Q1304" s="6">
        <v>-37</v>
      </c>
      <c r="R1304" s="6">
        <v>0.98033666610717796</v>
      </c>
      <c r="S1304" s="6">
        <v>-18.8559379577637</v>
      </c>
      <c r="T1304" s="6">
        <v>0.144213557243347</v>
      </c>
      <c r="U1304" s="6">
        <v>0.140398144721985</v>
      </c>
      <c r="V1304" s="6">
        <v>-3.8866500854492201</v>
      </c>
      <c r="W1304" s="6">
        <v>-19.151645660400401</v>
      </c>
    </row>
    <row r="1305" spans="1:23" ht="18.95" customHeight="1">
      <c r="A1305" s="4">
        <v>1301</v>
      </c>
      <c r="B1305" s="4">
        <v>27975</v>
      </c>
      <c r="C1305" s="4">
        <v>1</v>
      </c>
      <c r="D1305" s="6">
        <v>0</v>
      </c>
      <c r="E1305" s="6">
        <v>0</v>
      </c>
      <c r="F1305" s="6">
        <v>18.6875</v>
      </c>
      <c r="G1305" s="6">
        <v>0.75</v>
      </c>
      <c r="H1305" s="6">
        <v>0.3125</v>
      </c>
      <c r="I1305" s="6">
        <v>1.1875</v>
      </c>
      <c r="J1305" s="6">
        <v>-1.3125</v>
      </c>
      <c r="K1305" s="6">
        <v>22.8125</v>
      </c>
      <c r="L1305" s="6">
        <v>49.125</v>
      </c>
      <c r="M1305" s="6">
        <v>-0.5625</v>
      </c>
      <c r="N1305" s="6">
        <v>-6.25E-2</v>
      </c>
      <c r="O1305" s="6">
        <v>1.0625</v>
      </c>
      <c r="P1305" s="6">
        <v>-2.3125</v>
      </c>
      <c r="Q1305" s="6">
        <v>-38</v>
      </c>
      <c r="R1305" s="6">
        <v>0.82766485214233398</v>
      </c>
      <c r="S1305" s="6">
        <v>-20.306320190429702</v>
      </c>
      <c r="T1305" s="6">
        <v>-0.28326734900474498</v>
      </c>
      <c r="U1305" s="6">
        <v>0.16796016693115201</v>
      </c>
      <c r="V1305" s="6">
        <v>-4.3174905776977504</v>
      </c>
      <c r="W1305" s="6">
        <v>-19.158311843872099</v>
      </c>
    </row>
    <row r="1306" spans="1:23" ht="18.95" customHeight="1">
      <c r="A1306" s="4">
        <v>1302</v>
      </c>
      <c r="B1306" s="4">
        <v>27997</v>
      </c>
      <c r="C1306" s="4">
        <v>1</v>
      </c>
      <c r="D1306" s="6">
        <v>0</v>
      </c>
      <c r="E1306" s="6">
        <v>0</v>
      </c>
      <c r="F1306" s="6">
        <v>20.25</v>
      </c>
      <c r="G1306" s="6">
        <v>0.625</v>
      </c>
      <c r="H1306" s="6">
        <v>-0.1875</v>
      </c>
      <c r="I1306" s="6">
        <v>1.1875</v>
      </c>
      <c r="J1306" s="6">
        <v>-1.3125</v>
      </c>
      <c r="K1306" s="6">
        <v>22.375</v>
      </c>
      <c r="L1306" s="6">
        <v>48.0625</v>
      </c>
      <c r="M1306" s="6">
        <v>-0.5</v>
      </c>
      <c r="N1306" s="6">
        <v>6.25E-2</v>
      </c>
      <c r="O1306" s="6">
        <v>1.0625</v>
      </c>
      <c r="P1306" s="6">
        <v>-2.25</v>
      </c>
      <c r="Q1306" s="6">
        <v>-39.375</v>
      </c>
      <c r="R1306" s="6">
        <v>0.98033666610717796</v>
      </c>
      <c r="S1306" s="6">
        <v>-22.077312469482401</v>
      </c>
      <c r="T1306" s="6">
        <v>-0.115328431129456</v>
      </c>
      <c r="U1306" s="6">
        <v>0.22565303742885601</v>
      </c>
      <c r="V1306" s="6">
        <v>-4.7704958915710396</v>
      </c>
      <c r="W1306" s="6">
        <v>-19.1529941558838</v>
      </c>
    </row>
    <row r="1307" spans="1:23" ht="18.95" customHeight="1">
      <c r="A1307" s="4">
        <v>1303</v>
      </c>
      <c r="B1307" s="4">
        <v>28017</v>
      </c>
      <c r="C1307" s="4">
        <v>1</v>
      </c>
      <c r="D1307" s="6">
        <v>0</v>
      </c>
      <c r="E1307" s="6">
        <v>0</v>
      </c>
      <c r="F1307" s="6">
        <v>22.5625</v>
      </c>
      <c r="G1307" s="6">
        <v>0.625</v>
      </c>
      <c r="H1307" s="6">
        <v>0.1875</v>
      </c>
      <c r="I1307" s="6">
        <v>1.1875</v>
      </c>
      <c r="J1307" s="6">
        <v>-1.3125</v>
      </c>
      <c r="K1307" s="6">
        <v>21.9375</v>
      </c>
      <c r="L1307" s="6">
        <v>45.6875</v>
      </c>
      <c r="M1307" s="6">
        <v>-0.75</v>
      </c>
      <c r="N1307" s="6">
        <v>0.1875</v>
      </c>
      <c r="O1307" s="6">
        <v>1.125</v>
      </c>
      <c r="P1307" s="6">
        <v>-2.25</v>
      </c>
      <c r="Q1307" s="6">
        <v>-39.8125</v>
      </c>
      <c r="R1307" s="6">
        <v>0.82766485214233398</v>
      </c>
      <c r="S1307" s="6">
        <v>-23.329219818115199</v>
      </c>
      <c r="T1307" s="6">
        <v>-0.61914521455764804</v>
      </c>
      <c r="U1307" s="6">
        <v>0.171927064657211</v>
      </c>
      <c r="V1307" s="6">
        <v>-5.2384595870971697</v>
      </c>
      <c r="W1307" s="6">
        <v>-19.159948348998999</v>
      </c>
    </row>
    <row r="1308" spans="1:23" ht="18.95" customHeight="1">
      <c r="A1308" s="4">
        <v>1304</v>
      </c>
      <c r="B1308" s="4">
        <v>28037</v>
      </c>
      <c r="C1308" s="4">
        <v>1</v>
      </c>
      <c r="D1308" s="6">
        <v>0</v>
      </c>
      <c r="E1308" s="6">
        <v>0</v>
      </c>
      <c r="F1308" s="6">
        <v>24.0625</v>
      </c>
      <c r="G1308" s="6">
        <v>0.8125</v>
      </c>
      <c r="H1308" s="6">
        <v>6.25E-2</v>
      </c>
      <c r="I1308" s="6">
        <v>1.1875</v>
      </c>
      <c r="J1308" s="6">
        <v>-1.375</v>
      </c>
      <c r="K1308" s="6">
        <v>21.4375</v>
      </c>
      <c r="L1308" s="6">
        <v>45.25</v>
      </c>
      <c r="M1308" s="6">
        <v>-0.5</v>
      </c>
      <c r="N1308" s="6">
        <v>0.1875</v>
      </c>
      <c r="O1308" s="6">
        <v>1.125</v>
      </c>
      <c r="P1308" s="6">
        <v>-2.25</v>
      </c>
      <c r="Q1308" s="6">
        <v>-41.125</v>
      </c>
      <c r="R1308" s="6">
        <v>0.94980227947235096</v>
      </c>
      <c r="S1308" s="6">
        <v>-25.527694702148398</v>
      </c>
      <c r="T1308" s="6">
        <v>2.2076129913330099E-2</v>
      </c>
      <c r="U1308" s="6">
        <v>0.255292057991028</v>
      </c>
      <c r="V1308" s="6">
        <v>-5.6789183616638201</v>
      </c>
      <c r="W1308" s="6">
        <v>-19.157087326049801</v>
      </c>
    </row>
    <row r="1309" spans="1:23" ht="18.95" customHeight="1">
      <c r="A1309" s="4">
        <v>1305</v>
      </c>
      <c r="B1309" s="4">
        <v>28057</v>
      </c>
      <c r="C1309" s="4">
        <v>1</v>
      </c>
      <c r="D1309" s="6">
        <v>0</v>
      </c>
      <c r="E1309" s="6">
        <v>0</v>
      </c>
      <c r="F1309" s="6">
        <v>25.8125</v>
      </c>
      <c r="G1309" s="6">
        <v>0.75</v>
      </c>
      <c r="H1309" s="6">
        <v>0.375</v>
      </c>
      <c r="I1309" s="6">
        <v>1.1875</v>
      </c>
      <c r="J1309" s="6">
        <v>-1.375</v>
      </c>
      <c r="K1309" s="6">
        <v>20.875</v>
      </c>
      <c r="L1309" s="6">
        <v>41.8125</v>
      </c>
      <c r="M1309" s="6">
        <v>-0.375</v>
      </c>
      <c r="N1309" s="6">
        <v>-0.125</v>
      </c>
      <c r="O1309" s="6">
        <v>1.125</v>
      </c>
      <c r="P1309" s="6">
        <v>-2.25</v>
      </c>
      <c r="Q1309" s="6">
        <v>-41.5</v>
      </c>
      <c r="R1309" s="6">
        <v>1.7131609916687001</v>
      </c>
      <c r="S1309" s="6">
        <v>-26.565862655639599</v>
      </c>
      <c r="T1309" s="6">
        <v>-0.23746582865714999</v>
      </c>
      <c r="U1309" s="6">
        <v>0.13891893625259399</v>
      </c>
      <c r="V1309" s="6">
        <v>-6.1707701683044398</v>
      </c>
      <c r="W1309" s="6">
        <v>-19.168491363525401</v>
      </c>
    </row>
    <row r="1310" spans="1:23" ht="18.95" customHeight="1">
      <c r="A1310" s="4">
        <v>1306</v>
      </c>
      <c r="B1310" s="4">
        <v>28077</v>
      </c>
      <c r="C1310" s="4">
        <v>1</v>
      </c>
      <c r="D1310" s="6">
        <v>0</v>
      </c>
      <c r="E1310" s="6">
        <v>0</v>
      </c>
      <c r="F1310" s="6">
        <v>26.4375</v>
      </c>
      <c r="G1310" s="6">
        <v>0.4375</v>
      </c>
      <c r="H1310" s="6">
        <v>-0.25</v>
      </c>
      <c r="I1310" s="6">
        <v>1.1875</v>
      </c>
      <c r="J1310" s="6">
        <v>-1.375</v>
      </c>
      <c r="K1310" s="6">
        <v>20.375</v>
      </c>
      <c r="L1310" s="6">
        <v>41.375</v>
      </c>
      <c r="M1310" s="6">
        <v>-0.5625</v>
      </c>
      <c r="N1310" s="6">
        <v>0.125</v>
      </c>
      <c r="O1310" s="6">
        <v>1.1875</v>
      </c>
      <c r="P1310" s="6">
        <v>-2.25</v>
      </c>
      <c r="Q1310" s="6">
        <v>-42.6875</v>
      </c>
      <c r="R1310" s="6">
        <v>0.91926789283752397</v>
      </c>
      <c r="S1310" s="6">
        <v>-27.405555725097699</v>
      </c>
      <c r="T1310" s="6">
        <v>-0.26800018548965499</v>
      </c>
      <c r="U1310" s="6">
        <v>0.28178638219833402</v>
      </c>
      <c r="V1310" s="6">
        <v>-6.6238465309143102</v>
      </c>
      <c r="W1310" s="6">
        <v>-19.1614475250244</v>
      </c>
    </row>
    <row r="1311" spans="1:23" ht="18.95" customHeight="1">
      <c r="A1311" s="4">
        <v>1307</v>
      </c>
      <c r="B1311" s="4">
        <v>28097</v>
      </c>
      <c r="C1311" s="4">
        <v>1</v>
      </c>
      <c r="D1311" s="6">
        <v>0</v>
      </c>
      <c r="E1311" s="6">
        <v>0</v>
      </c>
      <c r="F1311" s="6">
        <v>28.375</v>
      </c>
      <c r="G1311" s="6">
        <v>0.75</v>
      </c>
      <c r="H1311" s="6">
        <v>0.3125</v>
      </c>
      <c r="I1311" s="6">
        <v>1.1875</v>
      </c>
      <c r="J1311" s="6">
        <v>-1.375</v>
      </c>
      <c r="K1311" s="6">
        <v>19.8125</v>
      </c>
      <c r="L1311" s="6">
        <v>37.5625</v>
      </c>
      <c r="M1311" s="6">
        <v>-0.375</v>
      </c>
      <c r="N1311" s="6">
        <v>0</v>
      </c>
      <c r="O1311" s="6">
        <v>1.1875</v>
      </c>
      <c r="P1311" s="6">
        <v>-2.25</v>
      </c>
      <c r="Q1311" s="6">
        <v>-43.4375</v>
      </c>
      <c r="R1311" s="6">
        <v>1.1330083608627299</v>
      </c>
      <c r="S1311" s="6">
        <v>-29.451358795166001</v>
      </c>
      <c r="T1311" s="6">
        <v>-0.115328431129456</v>
      </c>
      <c r="U1311" s="6">
        <v>0.20446246862411499</v>
      </c>
      <c r="V1311" s="6">
        <v>-7.1782455444335902</v>
      </c>
      <c r="W1311" s="6">
        <v>-19.1754264831543</v>
      </c>
    </row>
    <row r="1312" spans="1:23" ht="18.95" customHeight="1">
      <c r="A1312" s="4">
        <v>1308</v>
      </c>
      <c r="B1312" s="4">
        <v>28118</v>
      </c>
      <c r="C1312" s="4">
        <v>1</v>
      </c>
      <c r="D1312" s="6">
        <v>0</v>
      </c>
      <c r="E1312" s="6">
        <v>0</v>
      </c>
      <c r="F1312" s="6">
        <v>29.8125</v>
      </c>
      <c r="G1312" s="6">
        <v>0.625</v>
      </c>
      <c r="H1312" s="6">
        <v>-6.25E-2</v>
      </c>
      <c r="I1312" s="6">
        <v>1.1875</v>
      </c>
      <c r="J1312" s="6">
        <v>-1.375</v>
      </c>
      <c r="K1312" s="6">
        <v>19.25</v>
      </c>
      <c r="L1312" s="6">
        <v>36.6875</v>
      </c>
      <c r="M1312" s="6">
        <v>-0.4375</v>
      </c>
      <c r="N1312" s="6">
        <v>0</v>
      </c>
      <c r="O1312" s="6">
        <v>1.1875</v>
      </c>
      <c r="P1312" s="6">
        <v>-2.25</v>
      </c>
      <c r="Q1312" s="6">
        <v>-44.1875</v>
      </c>
      <c r="R1312" s="6">
        <v>1.48415338993073</v>
      </c>
      <c r="S1312" s="6">
        <v>-30.229984283447301</v>
      </c>
      <c r="T1312" s="6">
        <v>-0.13059562444686901</v>
      </c>
      <c r="U1312" s="6">
        <v>0.25823166966438299</v>
      </c>
      <c r="V1312" s="6">
        <v>-7.6936058998107901</v>
      </c>
      <c r="W1312" s="6">
        <v>-19.168359756469702</v>
      </c>
    </row>
    <row r="1313" spans="1:23" ht="18.95" customHeight="1">
      <c r="A1313" s="4">
        <v>1309</v>
      </c>
      <c r="B1313" s="4">
        <v>28140</v>
      </c>
      <c r="C1313" s="4">
        <v>1</v>
      </c>
      <c r="D1313" s="6">
        <v>0</v>
      </c>
      <c r="E1313" s="6">
        <v>0</v>
      </c>
      <c r="F1313" s="6">
        <v>30.875</v>
      </c>
      <c r="G1313" s="6">
        <v>1.125</v>
      </c>
      <c r="H1313" s="6">
        <v>0.5</v>
      </c>
      <c r="I1313" s="6">
        <v>1.1875</v>
      </c>
      <c r="J1313" s="6">
        <v>-1.4375</v>
      </c>
      <c r="K1313" s="6">
        <v>18.625</v>
      </c>
      <c r="L1313" s="6">
        <v>32.5625</v>
      </c>
      <c r="M1313" s="6">
        <v>-0.25</v>
      </c>
      <c r="N1313" s="6">
        <v>0</v>
      </c>
      <c r="O1313" s="6">
        <v>1.1875</v>
      </c>
      <c r="P1313" s="6">
        <v>-2.25</v>
      </c>
      <c r="Q1313" s="6">
        <v>-44.8125</v>
      </c>
      <c r="R1313" s="6">
        <v>0.84293210506439198</v>
      </c>
      <c r="S1313" s="6">
        <v>-31.695634841918899</v>
      </c>
      <c r="T1313" s="6">
        <v>-0.176397144794464</v>
      </c>
      <c r="U1313" s="6">
        <v>0.336984694004059</v>
      </c>
      <c r="V1313" s="6">
        <v>-8.2990598678588903</v>
      </c>
      <c r="W1313" s="6">
        <v>-19.173887252807599</v>
      </c>
    </row>
    <row r="1314" spans="1:23" ht="18.95" customHeight="1">
      <c r="A1314" s="4">
        <v>1310</v>
      </c>
      <c r="B1314" s="4">
        <v>28162</v>
      </c>
      <c r="C1314" s="4">
        <v>1</v>
      </c>
      <c r="D1314" s="6">
        <v>0</v>
      </c>
      <c r="E1314" s="6">
        <v>0</v>
      </c>
      <c r="F1314" s="6">
        <v>32.375</v>
      </c>
      <c r="G1314" s="6">
        <v>0.375</v>
      </c>
      <c r="H1314" s="6">
        <v>-0.25</v>
      </c>
      <c r="I1314" s="6">
        <v>1.25</v>
      </c>
      <c r="J1314" s="6">
        <v>-1.4375</v>
      </c>
      <c r="K1314" s="6">
        <v>18.0625</v>
      </c>
      <c r="L1314" s="6">
        <v>30.75</v>
      </c>
      <c r="M1314" s="6">
        <v>-0.375</v>
      </c>
      <c r="N1314" s="6">
        <v>0</v>
      </c>
      <c r="O1314" s="6">
        <v>1.25</v>
      </c>
      <c r="P1314" s="6">
        <v>-2.25</v>
      </c>
      <c r="Q1314" s="6">
        <v>-45.4375</v>
      </c>
      <c r="R1314" s="6">
        <v>1.11774122714996</v>
      </c>
      <c r="S1314" s="6">
        <v>-32.794868469238303</v>
      </c>
      <c r="T1314" s="6">
        <v>-0.61914521455764804</v>
      </c>
      <c r="U1314" s="6">
        <v>0.34890478849411</v>
      </c>
      <c r="V1314" s="6">
        <v>-8.8879661560058594</v>
      </c>
      <c r="W1314" s="6">
        <v>-19.1745910644531</v>
      </c>
    </row>
    <row r="1315" spans="1:23" ht="18.95" customHeight="1">
      <c r="A1315" s="4">
        <v>1311</v>
      </c>
      <c r="B1315" s="4">
        <v>28184</v>
      </c>
      <c r="C1315" s="4">
        <v>1</v>
      </c>
      <c r="D1315" s="6">
        <v>0</v>
      </c>
      <c r="E1315" s="6">
        <v>0</v>
      </c>
      <c r="F1315" s="6">
        <v>33.375</v>
      </c>
      <c r="G1315" s="6">
        <v>1</v>
      </c>
      <c r="H1315" s="6">
        <v>0.5625</v>
      </c>
      <c r="I1315" s="6">
        <v>1.25</v>
      </c>
      <c r="J1315" s="6">
        <v>-1.4375</v>
      </c>
      <c r="K1315" s="6">
        <v>17.375</v>
      </c>
      <c r="L1315" s="6">
        <v>28</v>
      </c>
      <c r="M1315" s="6">
        <v>-0.125</v>
      </c>
      <c r="N1315" s="6">
        <v>0.125</v>
      </c>
      <c r="O1315" s="6">
        <v>1.25</v>
      </c>
      <c r="P1315" s="6">
        <v>-2.25</v>
      </c>
      <c r="Q1315" s="6">
        <v>-46.0625</v>
      </c>
      <c r="R1315" s="6">
        <v>1.17880988121033</v>
      </c>
      <c r="S1315" s="6">
        <v>-34.642196655273402</v>
      </c>
      <c r="T1315" s="6">
        <v>-0.13059562444686901</v>
      </c>
      <c r="U1315" s="6">
        <v>0.441943138837814</v>
      </c>
      <c r="V1315" s="6">
        <v>-9.5640735626220703</v>
      </c>
      <c r="W1315" s="6">
        <v>-19.178020477294901</v>
      </c>
    </row>
    <row r="1316" spans="1:23" ht="18.95" customHeight="1">
      <c r="A1316" s="4">
        <v>1312</v>
      </c>
      <c r="B1316" s="4">
        <v>28205</v>
      </c>
      <c r="C1316" s="4">
        <v>1</v>
      </c>
      <c r="D1316" s="6">
        <v>0</v>
      </c>
      <c r="E1316" s="6">
        <v>0</v>
      </c>
      <c r="F1316" s="6">
        <v>35.25</v>
      </c>
      <c r="G1316" s="6">
        <v>0.5625</v>
      </c>
      <c r="H1316" s="6">
        <v>0.1875</v>
      </c>
      <c r="I1316" s="6">
        <v>1.25</v>
      </c>
      <c r="J1316" s="6">
        <v>-1.4375</v>
      </c>
      <c r="K1316" s="6">
        <v>16.6875</v>
      </c>
      <c r="L1316" s="6">
        <v>26.75</v>
      </c>
      <c r="M1316" s="6">
        <v>-0.3125</v>
      </c>
      <c r="N1316" s="6">
        <v>0</v>
      </c>
      <c r="O1316" s="6">
        <v>1.25</v>
      </c>
      <c r="P1316" s="6">
        <v>-2.25</v>
      </c>
      <c r="Q1316" s="6">
        <v>-46.5625</v>
      </c>
      <c r="R1316" s="6">
        <v>1.7589626312255899</v>
      </c>
      <c r="S1316" s="6">
        <v>-36.504791259765597</v>
      </c>
      <c r="T1316" s="6">
        <v>-0.13059562444686901</v>
      </c>
      <c r="U1316" s="6">
        <v>0.45951455831527699</v>
      </c>
      <c r="V1316" s="6">
        <v>-10.159929275512701</v>
      </c>
      <c r="W1316" s="6">
        <v>-19.169807434081999</v>
      </c>
    </row>
    <row r="1317" spans="1:23" ht="18.95" customHeight="1">
      <c r="A1317" s="4">
        <v>1313</v>
      </c>
      <c r="B1317" s="4">
        <v>28226</v>
      </c>
      <c r="C1317" s="4">
        <v>1</v>
      </c>
      <c r="D1317" s="6">
        <v>0</v>
      </c>
      <c r="E1317" s="6">
        <v>0</v>
      </c>
      <c r="F1317" s="6">
        <v>36.3125</v>
      </c>
      <c r="G1317" s="6">
        <v>1.0625</v>
      </c>
      <c r="H1317" s="6">
        <v>0.3125</v>
      </c>
      <c r="I1317" s="6">
        <v>1.25</v>
      </c>
      <c r="J1317" s="6">
        <v>-1.5</v>
      </c>
      <c r="K1317" s="6">
        <v>15.625</v>
      </c>
      <c r="L1317" s="6">
        <v>24.0625</v>
      </c>
      <c r="M1317" s="6">
        <v>-0.25</v>
      </c>
      <c r="N1317" s="6">
        <v>0.1875</v>
      </c>
      <c r="O1317" s="6">
        <v>1.25</v>
      </c>
      <c r="P1317" s="6">
        <v>-2.25</v>
      </c>
      <c r="Q1317" s="6">
        <v>-47.3125</v>
      </c>
      <c r="R1317" s="6">
        <v>1.4994206428527801</v>
      </c>
      <c r="S1317" s="6">
        <v>-37.573493957519503</v>
      </c>
      <c r="T1317" s="6">
        <v>5.2610516548156697E-2</v>
      </c>
      <c r="U1317" s="6">
        <v>0.56663626432418801</v>
      </c>
      <c r="V1317" s="6">
        <v>-10.8021240234375</v>
      </c>
      <c r="W1317" s="6">
        <v>-19.169542312622099</v>
      </c>
    </row>
    <row r="1318" spans="1:23" ht="18.95" customHeight="1">
      <c r="A1318" s="4">
        <v>1314</v>
      </c>
      <c r="B1318" s="4">
        <v>28266</v>
      </c>
      <c r="C1318" s="4">
        <v>1</v>
      </c>
      <c r="D1318" s="6">
        <v>0</v>
      </c>
      <c r="E1318" s="6">
        <v>0</v>
      </c>
      <c r="F1318" s="6">
        <v>39.3125</v>
      </c>
      <c r="G1318" s="6">
        <v>0.75</v>
      </c>
      <c r="H1318" s="6">
        <v>0.1875</v>
      </c>
      <c r="I1318" s="6">
        <v>1.25</v>
      </c>
      <c r="J1318" s="6">
        <v>-1.5</v>
      </c>
      <c r="K1318" s="6">
        <v>14.0625</v>
      </c>
      <c r="L1318" s="6">
        <v>19.9375</v>
      </c>
      <c r="M1318" s="6">
        <v>-0.3125</v>
      </c>
      <c r="N1318" s="6">
        <v>6.25E-2</v>
      </c>
      <c r="O1318" s="6">
        <v>1.25</v>
      </c>
      <c r="P1318" s="6">
        <v>-2.1875</v>
      </c>
      <c r="Q1318" s="6">
        <v>-48</v>
      </c>
      <c r="R1318" s="6">
        <v>1.69789385795593</v>
      </c>
      <c r="S1318" s="6">
        <v>-40.428459167480497</v>
      </c>
      <c r="T1318" s="6">
        <v>6.7877650260925307E-2</v>
      </c>
      <c r="U1318" s="6">
        <v>0.55004167556762695</v>
      </c>
      <c r="V1318" s="6">
        <v>-12.362273216247599</v>
      </c>
      <c r="W1318" s="6">
        <v>-19.167903900146499</v>
      </c>
    </row>
    <row r="1319" spans="1:23" ht="18.95" customHeight="1">
      <c r="A1319" s="4">
        <v>1315</v>
      </c>
      <c r="B1319" s="4">
        <v>28287</v>
      </c>
      <c r="C1319" s="4">
        <v>1</v>
      </c>
      <c r="D1319" s="6">
        <v>0</v>
      </c>
      <c r="E1319" s="6">
        <v>0</v>
      </c>
      <c r="F1319" s="6">
        <v>40.125</v>
      </c>
      <c r="G1319" s="6">
        <v>0.9375</v>
      </c>
      <c r="H1319" s="6">
        <v>0.5</v>
      </c>
      <c r="I1319" s="6">
        <v>1.25</v>
      </c>
      <c r="J1319" s="6">
        <v>-1.5</v>
      </c>
      <c r="K1319" s="6">
        <v>13.3125</v>
      </c>
      <c r="L1319" s="6">
        <v>18.0625</v>
      </c>
      <c r="M1319" s="6">
        <v>-0.125</v>
      </c>
      <c r="N1319" s="6">
        <v>-0.125</v>
      </c>
      <c r="O1319" s="6">
        <v>1.25</v>
      </c>
      <c r="P1319" s="6">
        <v>-2.1875</v>
      </c>
      <c r="Q1319" s="6">
        <v>-48.5625</v>
      </c>
      <c r="R1319" s="6">
        <v>2.0490388870239298</v>
      </c>
      <c r="S1319" s="6">
        <v>-41.466629028320298</v>
      </c>
      <c r="T1319" s="6">
        <v>0.15948075056076</v>
      </c>
      <c r="U1319" s="6">
        <v>0.52025043964385997</v>
      </c>
      <c r="V1319" s="6">
        <v>-13.1149339675903</v>
      </c>
      <c r="W1319" s="6">
        <v>-19.1750583648682</v>
      </c>
    </row>
    <row r="1320" spans="1:23" ht="18.95" customHeight="1">
      <c r="A1320" s="4">
        <v>1316</v>
      </c>
      <c r="B1320" s="4">
        <v>28308</v>
      </c>
      <c r="C1320" s="4">
        <v>1</v>
      </c>
      <c r="D1320" s="6">
        <v>0</v>
      </c>
      <c r="E1320" s="6">
        <v>0</v>
      </c>
      <c r="F1320" s="6">
        <v>42.1875</v>
      </c>
      <c r="G1320" s="6">
        <v>0.8125</v>
      </c>
      <c r="H1320" s="6">
        <v>0.1875</v>
      </c>
      <c r="I1320" s="6">
        <v>1.3125</v>
      </c>
      <c r="J1320" s="6">
        <v>-1.5625</v>
      </c>
      <c r="K1320" s="6">
        <v>12.5</v>
      </c>
      <c r="L1320" s="6">
        <v>16.25</v>
      </c>
      <c r="M1320" s="6">
        <v>-6.25E-2</v>
      </c>
      <c r="N1320" s="6">
        <v>-0.125</v>
      </c>
      <c r="O1320" s="6">
        <v>1.25</v>
      </c>
      <c r="P1320" s="6">
        <v>-2.1875</v>
      </c>
      <c r="Q1320" s="6">
        <v>-48.875</v>
      </c>
      <c r="R1320" s="6">
        <v>1.5604892969131501</v>
      </c>
      <c r="S1320" s="6">
        <v>-42.810134887695298</v>
      </c>
      <c r="T1320" s="6">
        <v>-0.22219866514205899</v>
      </c>
      <c r="U1320" s="6">
        <v>0.54911208152770996</v>
      </c>
      <c r="V1320" s="6">
        <v>-13.8221282958984</v>
      </c>
      <c r="W1320" s="6">
        <v>-19.1719455718994</v>
      </c>
    </row>
    <row r="1321" spans="1:23" ht="18.95" customHeight="1">
      <c r="A1321" s="4">
        <v>1317</v>
      </c>
      <c r="B1321" s="4">
        <v>28331</v>
      </c>
      <c r="C1321" s="4">
        <v>1</v>
      </c>
      <c r="D1321" s="6">
        <v>0</v>
      </c>
      <c r="E1321" s="6">
        <v>0</v>
      </c>
      <c r="F1321" s="6">
        <v>43.9375</v>
      </c>
      <c r="G1321" s="6">
        <v>0.875</v>
      </c>
      <c r="H1321" s="6">
        <v>0.5625</v>
      </c>
      <c r="I1321" s="6">
        <v>1.3125</v>
      </c>
      <c r="J1321" s="6">
        <v>-1.5625</v>
      </c>
      <c r="K1321" s="6">
        <v>11.625</v>
      </c>
      <c r="L1321" s="6">
        <v>13.1875</v>
      </c>
      <c r="M1321" s="6">
        <v>-0.375</v>
      </c>
      <c r="N1321" s="6">
        <v>-6.25E-2</v>
      </c>
      <c r="O1321" s="6">
        <v>1.25</v>
      </c>
      <c r="P1321" s="6">
        <v>-2.1875</v>
      </c>
      <c r="Q1321" s="6">
        <v>-49.125</v>
      </c>
      <c r="R1321" s="6">
        <v>1.5910236835479701</v>
      </c>
      <c r="S1321" s="6">
        <v>-43.481895446777301</v>
      </c>
      <c r="T1321" s="6">
        <v>-0.161129951477051</v>
      </c>
      <c r="U1321" s="6">
        <v>0.54693168401718095</v>
      </c>
      <c r="V1321" s="6">
        <v>-14.6921033859253</v>
      </c>
      <c r="W1321" s="6">
        <v>-19.179887771606399</v>
      </c>
    </row>
    <row r="1322" spans="1:23" ht="18.95" customHeight="1">
      <c r="A1322" s="4">
        <v>1318</v>
      </c>
      <c r="B1322" s="4">
        <v>28352</v>
      </c>
      <c r="C1322" s="4">
        <v>1</v>
      </c>
      <c r="D1322" s="6">
        <v>0</v>
      </c>
      <c r="E1322" s="6">
        <v>0</v>
      </c>
      <c r="F1322" s="6">
        <v>44.6875</v>
      </c>
      <c r="G1322" s="6">
        <v>0.875</v>
      </c>
      <c r="H1322" s="6">
        <v>0.3125</v>
      </c>
      <c r="I1322" s="6">
        <v>1.3125</v>
      </c>
      <c r="J1322" s="6">
        <v>-1.5625</v>
      </c>
      <c r="K1322" s="6">
        <v>10.75</v>
      </c>
      <c r="L1322" s="6">
        <v>10.6875</v>
      </c>
      <c r="M1322" s="6">
        <v>-0.1875</v>
      </c>
      <c r="N1322" s="6">
        <v>-6.25E-2</v>
      </c>
      <c r="O1322" s="6">
        <v>1.25</v>
      </c>
      <c r="P1322" s="6">
        <v>-2.1875</v>
      </c>
      <c r="Q1322" s="6">
        <v>-49.375</v>
      </c>
      <c r="R1322" s="6">
        <v>1.6673595905303999</v>
      </c>
      <c r="S1322" s="6">
        <v>-45.130744934082003</v>
      </c>
      <c r="T1322" s="6">
        <v>-8.4794104099273696E-2</v>
      </c>
      <c r="U1322" s="6">
        <v>0.584567070007324</v>
      </c>
      <c r="V1322" s="6">
        <v>-15.4634656906128</v>
      </c>
      <c r="W1322" s="6">
        <v>-19.179162979126001</v>
      </c>
    </row>
    <row r="1323" spans="1:23" ht="18.95" customHeight="1">
      <c r="A1323" s="4">
        <v>1319</v>
      </c>
      <c r="B1323" s="4">
        <v>28372</v>
      </c>
      <c r="C1323" s="4">
        <v>1</v>
      </c>
      <c r="D1323" s="6">
        <v>0</v>
      </c>
      <c r="E1323" s="6">
        <v>0</v>
      </c>
      <c r="F1323" s="6">
        <v>45.5625</v>
      </c>
      <c r="G1323" s="6">
        <v>0.9375</v>
      </c>
      <c r="H1323" s="6">
        <v>0.4375</v>
      </c>
      <c r="I1323" s="6">
        <v>1.3125</v>
      </c>
      <c r="J1323" s="6">
        <v>-1.625</v>
      </c>
      <c r="K1323" s="6">
        <v>9.875</v>
      </c>
      <c r="L1323" s="6">
        <v>8.875</v>
      </c>
      <c r="M1323" s="6">
        <v>-0.125</v>
      </c>
      <c r="N1323" s="6">
        <v>0.125</v>
      </c>
      <c r="O1323" s="6">
        <v>1.3125</v>
      </c>
      <c r="P1323" s="6">
        <v>-2.1875</v>
      </c>
      <c r="Q1323" s="6">
        <v>-49.5625</v>
      </c>
      <c r="R1323" s="6">
        <v>1.9116343259811399</v>
      </c>
      <c r="S1323" s="6">
        <v>-44.764335632324197</v>
      </c>
      <c r="T1323" s="6">
        <v>9.8412036895751995E-2</v>
      </c>
      <c r="U1323" s="6">
        <v>0.56633055210113503</v>
      </c>
      <c r="V1323" s="6">
        <v>-16.200923919677699</v>
      </c>
      <c r="W1323" s="6">
        <v>-19.185735702514599</v>
      </c>
    </row>
    <row r="1324" spans="1:23" ht="18.95" customHeight="1">
      <c r="A1324" s="4">
        <v>1320</v>
      </c>
      <c r="B1324" s="4">
        <v>28393</v>
      </c>
      <c r="C1324" s="4">
        <v>1</v>
      </c>
      <c r="D1324" s="6">
        <v>0</v>
      </c>
      <c r="E1324" s="6">
        <v>0</v>
      </c>
      <c r="F1324" s="6">
        <v>46.375</v>
      </c>
      <c r="G1324" s="6">
        <v>0.8125</v>
      </c>
      <c r="H1324" s="6">
        <v>0.25</v>
      </c>
      <c r="I1324" s="6">
        <v>1.375</v>
      </c>
      <c r="J1324" s="6">
        <v>-1.625</v>
      </c>
      <c r="K1324" s="6">
        <v>9</v>
      </c>
      <c r="L1324" s="6">
        <v>6.5625</v>
      </c>
      <c r="M1324" s="6">
        <v>-0.125</v>
      </c>
      <c r="N1324" s="6">
        <v>-6.25E-2</v>
      </c>
      <c r="O1324" s="6">
        <v>1.3125</v>
      </c>
      <c r="P1324" s="6">
        <v>-2.1875</v>
      </c>
      <c r="Q1324" s="6">
        <v>-49.75</v>
      </c>
      <c r="R1324" s="6">
        <v>2.1864435672760001</v>
      </c>
      <c r="S1324" s="6">
        <v>-46.733802795410199</v>
      </c>
      <c r="T1324" s="6">
        <v>-0.206931471824646</v>
      </c>
      <c r="U1324" s="6">
        <v>0.56443417072296098</v>
      </c>
      <c r="V1324" s="6">
        <v>-17.066602706909201</v>
      </c>
      <c r="W1324" s="6">
        <v>-19.190258026123001</v>
      </c>
    </row>
    <row r="1325" spans="1:23" ht="18.95" customHeight="1">
      <c r="A1325" s="4">
        <v>1321</v>
      </c>
      <c r="B1325" s="4">
        <v>28413</v>
      </c>
      <c r="C1325" s="4">
        <v>1</v>
      </c>
      <c r="D1325" s="6">
        <v>0</v>
      </c>
      <c r="E1325" s="6">
        <v>0</v>
      </c>
      <c r="F1325" s="6">
        <v>47.3125</v>
      </c>
      <c r="G1325" s="6">
        <v>1.1875</v>
      </c>
      <c r="H1325" s="6">
        <v>0.5</v>
      </c>
      <c r="I1325" s="6">
        <v>1.375</v>
      </c>
      <c r="J1325" s="6">
        <v>-1.625</v>
      </c>
      <c r="K1325" s="6">
        <v>8.0625</v>
      </c>
      <c r="L1325" s="6">
        <v>4.9375</v>
      </c>
      <c r="M1325" s="6">
        <v>-6.25E-2</v>
      </c>
      <c r="N1325" s="6">
        <v>6.25E-2</v>
      </c>
      <c r="O1325" s="6">
        <v>1.3125</v>
      </c>
      <c r="P1325" s="6">
        <v>-2.1875</v>
      </c>
      <c r="Q1325" s="6">
        <v>-49.875</v>
      </c>
      <c r="R1325" s="6">
        <v>2.11010766029358</v>
      </c>
      <c r="S1325" s="6">
        <v>-46.245254516601598</v>
      </c>
      <c r="T1325" s="6">
        <v>0.32741963863372803</v>
      </c>
      <c r="U1325" s="6">
        <v>0.59005153179168701</v>
      </c>
      <c r="V1325" s="6">
        <v>-17.913532257080099</v>
      </c>
      <c r="W1325" s="6">
        <v>-19.1893501281738</v>
      </c>
    </row>
    <row r="1326" spans="1:23" ht="18.95" customHeight="1">
      <c r="A1326" s="4">
        <v>1322</v>
      </c>
      <c r="B1326" s="4">
        <v>28435</v>
      </c>
      <c r="C1326" s="4">
        <v>1</v>
      </c>
      <c r="D1326" s="6">
        <v>0</v>
      </c>
      <c r="E1326" s="6">
        <v>0</v>
      </c>
      <c r="F1326" s="6">
        <v>48.125</v>
      </c>
      <c r="G1326" s="6">
        <v>1.1875</v>
      </c>
      <c r="H1326" s="6">
        <v>0.4375</v>
      </c>
      <c r="I1326" s="6">
        <v>1.375</v>
      </c>
      <c r="J1326" s="6">
        <v>-1.6875</v>
      </c>
      <c r="K1326" s="6">
        <v>7.125</v>
      </c>
      <c r="L1326" s="6">
        <v>2.6875</v>
      </c>
      <c r="M1326" s="6">
        <v>6.25E-2</v>
      </c>
      <c r="N1326" s="6">
        <v>-6.25E-2</v>
      </c>
      <c r="O1326" s="6">
        <v>1.3125</v>
      </c>
      <c r="P1326" s="6">
        <v>-2.1875</v>
      </c>
      <c r="Q1326" s="6">
        <v>-49.9375</v>
      </c>
      <c r="R1326" s="6">
        <v>1.9727029800414999</v>
      </c>
      <c r="S1326" s="6">
        <v>-47.298683166503899</v>
      </c>
      <c r="T1326" s="6">
        <v>-0.176397144794464</v>
      </c>
      <c r="U1326" s="6">
        <v>0.61181163787841797</v>
      </c>
      <c r="V1326" s="6">
        <v>-18.701107025146499</v>
      </c>
      <c r="W1326" s="6">
        <v>-19.190771102905298</v>
      </c>
    </row>
    <row r="1327" spans="1:23" ht="18.95" customHeight="1">
      <c r="A1327" s="4">
        <v>1323</v>
      </c>
      <c r="B1327" s="4">
        <v>28458</v>
      </c>
      <c r="C1327" s="4">
        <v>1</v>
      </c>
      <c r="D1327" s="6">
        <v>0</v>
      </c>
      <c r="E1327" s="6">
        <v>0</v>
      </c>
      <c r="F1327" s="6">
        <v>48</v>
      </c>
      <c r="G1327" s="6">
        <v>1.125</v>
      </c>
      <c r="H1327" s="6">
        <v>0.4375</v>
      </c>
      <c r="I1327" s="6">
        <v>1.375</v>
      </c>
      <c r="J1327" s="6">
        <v>-1.6875</v>
      </c>
      <c r="K1327" s="6">
        <v>6.25</v>
      </c>
      <c r="L1327" s="6">
        <v>0.8125</v>
      </c>
      <c r="M1327" s="6">
        <v>-6.25E-2</v>
      </c>
      <c r="N1327" s="6">
        <v>-6.25E-2</v>
      </c>
      <c r="O1327" s="6">
        <v>1.25</v>
      </c>
      <c r="P1327" s="6">
        <v>-2.1875</v>
      </c>
      <c r="Q1327" s="6">
        <v>-50</v>
      </c>
      <c r="R1327" s="6">
        <v>2.0337717533111599</v>
      </c>
      <c r="S1327" s="6">
        <v>-45.268150329589801</v>
      </c>
      <c r="T1327" s="6">
        <v>0.26635098457336398</v>
      </c>
      <c r="U1327" s="6">
        <v>0.59425890445709195</v>
      </c>
      <c r="V1327" s="6">
        <v>-19.6305541992188</v>
      </c>
      <c r="W1327" s="6">
        <v>-19.190475463867202</v>
      </c>
    </row>
    <row r="1328" spans="1:23" ht="18.95" customHeight="1">
      <c r="A1328" s="4">
        <v>1324</v>
      </c>
      <c r="B1328" s="4">
        <v>28478</v>
      </c>
      <c r="C1328" s="4">
        <v>1</v>
      </c>
      <c r="D1328" s="6">
        <v>0</v>
      </c>
      <c r="E1328" s="6">
        <v>0</v>
      </c>
      <c r="F1328" s="6">
        <v>48.3125</v>
      </c>
      <c r="G1328" s="6">
        <v>1.3125</v>
      </c>
      <c r="H1328" s="6">
        <v>0.625</v>
      </c>
      <c r="I1328" s="6">
        <v>1.375</v>
      </c>
      <c r="J1328" s="6">
        <v>-1.75</v>
      </c>
      <c r="K1328" s="6">
        <v>4.8125</v>
      </c>
      <c r="L1328" s="6">
        <v>-1.125</v>
      </c>
      <c r="M1328" s="6">
        <v>0.1875</v>
      </c>
      <c r="N1328" s="6">
        <v>0.125</v>
      </c>
      <c r="O1328" s="6">
        <v>1.25</v>
      </c>
      <c r="P1328" s="6">
        <v>-2.1875</v>
      </c>
      <c r="Q1328" s="6">
        <v>-49.9375</v>
      </c>
      <c r="R1328" s="6">
        <v>2.4001839160919198</v>
      </c>
      <c r="S1328" s="6">
        <v>-47.390289306640597</v>
      </c>
      <c r="T1328" s="6">
        <v>0.61749601364135698</v>
      </c>
      <c r="U1328" s="6">
        <v>0.608648121356964</v>
      </c>
      <c r="V1328" s="6">
        <v>-20.421291351318398</v>
      </c>
      <c r="W1328" s="6">
        <v>-19.184354782104499</v>
      </c>
    </row>
    <row r="1329" spans="1:23" ht="18.95" customHeight="1">
      <c r="A1329" s="4">
        <v>1325</v>
      </c>
      <c r="B1329" s="4">
        <v>28498</v>
      </c>
      <c r="C1329" s="4">
        <v>1</v>
      </c>
      <c r="D1329" s="6">
        <v>0</v>
      </c>
      <c r="E1329" s="6">
        <v>0</v>
      </c>
      <c r="F1329" s="6">
        <v>47.375</v>
      </c>
      <c r="G1329" s="6">
        <v>1.3125</v>
      </c>
      <c r="H1329" s="6">
        <v>0.75</v>
      </c>
      <c r="I1329" s="6">
        <v>1.375</v>
      </c>
      <c r="J1329" s="6">
        <v>-1.75</v>
      </c>
      <c r="K1329" s="6">
        <v>4.375</v>
      </c>
      <c r="L1329" s="6">
        <v>-2.125</v>
      </c>
      <c r="M1329" s="6">
        <v>0.25</v>
      </c>
      <c r="N1329" s="6">
        <v>0</v>
      </c>
      <c r="O1329" s="6">
        <v>1.25</v>
      </c>
      <c r="P1329" s="6">
        <v>-2.125</v>
      </c>
      <c r="Q1329" s="6">
        <v>-49.9375</v>
      </c>
      <c r="R1329" s="6">
        <v>2.64445877075195</v>
      </c>
      <c r="S1329" s="6">
        <v>-46.474258422851598</v>
      </c>
      <c r="T1329" s="6">
        <v>0.480091452598572</v>
      </c>
      <c r="U1329" s="6">
        <v>0.65564650297164895</v>
      </c>
      <c r="V1329" s="6">
        <v>-21.225631713867202</v>
      </c>
      <c r="W1329" s="6">
        <v>-19.171327590942401</v>
      </c>
    </row>
    <row r="1330" spans="1:23" ht="18.95" customHeight="1">
      <c r="A1330" s="4">
        <v>1326</v>
      </c>
      <c r="B1330" s="4">
        <v>28518</v>
      </c>
      <c r="C1330" s="4">
        <v>1</v>
      </c>
      <c r="D1330" s="6">
        <v>0</v>
      </c>
      <c r="E1330" s="6">
        <v>0</v>
      </c>
      <c r="F1330" s="6">
        <v>48.4375</v>
      </c>
      <c r="G1330" s="6">
        <v>1.625</v>
      </c>
      <c r="H1330" s="6">
        <v>0.875</v>
      </c>
      <c r="I1330" s="6">
        <v>1.375</v>
      </c>
      <c r="J1330" s="6">
        <v>-1.8125</v>
      </c>
      <c r="K1330" s="6">
        <v>2.9375</v>
      </c>
      <c r="L1330" s="6">
        <v>-5</v>
      </c>
      <c r="M1330" s="6">
        <v>0.3125</v>
      </c>
      <c r="N1330" s="6">
        <v>6.25E-2</v>
      </c>
      <c r="O1330" s="6">
        <v>1.25</v>
      </c>
      <c r="P1330" s="6">
        <v>-2.125</v>
      </c>
      <c r="Q1330" s="6">
        <v>-49.875</v>
      </c>
      <c r="R1330" s="6">
        <v>1.5299549102783201</v>
      </c>
      <c r="S1330" s="6">
        <v>-47.741432189941399</v>
      </c>
      <c r="T1330" s="6">
        <v>-0.23746582865714999</v>
      </c>
      <c r="U1330" s="6">
        <v>0.79995423555374101</v>
      </c>
      <c r="V1330" s="6">
        <v>-21.9994220733643</v>
      </c>
      <c r="W1330" s="6">
        <v>-19.173892974853501</v>
      </c>
    </row>
    <row r="1331" spans="1:23" ht="18.95" customHeight="1">
      <c r="A1331" s="4">
        <v>1327</v>
      </c>
      <c r="B1331" s="4">
        <v>28538</v>
      </c>
      <c r="C1331" s="4">
        <v>1</v>
      </c>
      <c r="D1331" s="6">
        <v>0</v>
      </c>
      <c r="E1331" s="6">
        <v>0</v>
      </c>
      <c r="F1331" s="6">
        <v>48.4375</v>
      </c>
      <c r="G1331" s="6">
        <v>1.1875</v>
      </c>
      <c r="H1331" s="6">
        <v>0.5</v>
      </c>
      <c r="I1331" s="6">
        <v>1.4375</v>
      </c>
      <c r="J1331" s="6">
        <v>-1.8125</v>
      </c>
      <c r="K1331" s="6">
        <v>2</v>
      </c>
      <c r="L1331" s="6">
        <v>-7.0625</v>
      </c>
      <c r="M1331" s="6">
        <v>0</v>
      </c>
      <c r="N1331" s="6">
        <v>6.25E-2</v>
      </c>
      <c r="O1331" s="6">
        <v>1.25</v>
      </c>
      <c r="P1331" s="6">
        <v>-2.125</v>
      </c>
      <c r="Q1331" s="6">
        <v>-49.75</v>
      </c>
      <c r="R1331" s="6">
        <v>2.1864435672760001</v>
      </c>
      <c r="S1331" s="6">
        <v>-47.039146423339801</v>
      </c>
      <c r="T1331" s="6">
        <v>0.23581659793853799</v>
      </c>
      <c r="U1331" s="6">
        <v>0.74723142385482799</v>
      </c>
      <c r="V1331" s="6">
        <v>-22.7664604187012</v>
      </c>
      <c r="W1331" s="6">
        <v>-19.1749477386475</v>
      </c>
    </row>
    <row r="1332" spans="1:23" ht="18.95" customHeight="1">
      <c r="A1332" s="4">
        <v>1328</v>
      </c>
      <c r="B1332" s="4">
        <v>28559</v>
      </c>
      <c r="C1332" s="4">
        <v>1</v>
      </c>
      <c r="D1332" s="6">
        <v>0</v>
      </c>
      <c r="E1332" s="6">
        <v>0</v>
      </c>
      <c r="F1332" s="6">
        <v>49.0625</v>
      </c>
      <c r="G1332" s="6">
        <v>1.25</v>
      </c>
      <c r="H1332" s="6">
        <v>0.4375</v>
      </c>
      <c r="I1332" s="6">
        <v>1.4375</v>
      </c>
      <c r="J1332" s="6">
        <v>-1.8125</v>
      </c>
      <c r="K1332" s="6">
        <v>1.5625</v>
      </c>
      <c r="L1332" s="6">
        <v>-8.5</v>
      </c>
      <c r="M1332" s="6">
        <v>0.3125</v>
      </c>
      <c r="N1332" s="6">
        <v>-0.125</v>
      </c>
      <c r="O1332" s="6">
        <v>1.25</v>
      </c>
      <c r="P1332" s="6">
        <v>-2.125</v>
      </c>
      <c r="Q1332" s="6">
        <v>-49.5625</v>
      </c>
      <c r="R1332" s="6">
        <v>2.29331374168396</v>
      </c>
      <c r="S1332" s="6">
        <v>-47.436088562011697</v>
      </c>
      <c r="T1332" s="6">
        <v>0.67856466770172097</v>
      </c>
      <c r="U1332" s="6">
        <v>0.86275857686996504</v>
      </c>
      <c r="V1332" s="6">
        <v>-23.556350708007798</v>
      </c>
      <c r="W1332" s="6">
        <v>-19.163894653320298</v>
      </c>
    </row>
    <row r="1333" spans="1:23" ht="18.95" customHeight="1">
      <c r="A1333" s="4">
        <v>1329</v>
      </c>
      <c r="B1333" s="4">
        <v>28581</v>
      </c>
      <c r="C1333" s="4">
        <v>1</v>
      </c>
      <c r="D1333" s="6">
        <v>0</v>
      </c>
      <c r="E1333" s="6">
        <v>0</v>
      </c>
      <c r="F1333" s="6">
        <v>49.1875</v>
      </c>
      <c r="G1333" s="6">
        <v>1.0625</v>
      </c>
      <c r="H1333" s="6">
        <v>0.5625</v>
      </c>
      <c r="I1333" s="6">
        <v>1.4375</v>
      </c>
      <c r="J1333" s="6">
        <v>-1.875</v>
      </c>
      <c r="K1333" s="6">
        <v>0.125</v>
      </c>
      <c r="L1333" s="6">
        <v>-10.1875</v>
      </c>
      <c r="M1333" s="6">
        <v>0</v>
      </c>
      <c r="N1333" s="6">
        <v>0.125</v>
      </c>
      <c r="O1333" s="6">
        <v>1.25</v>
      </c>
      <c r="P1333" s="6">
        <v>-2.125</v>
      </c>
      <c r="Q1333" s="6">
        <v>-49.4375</v>
      </c>
      <c r="R1333" s="6">
        <v>2.01850461959839</v>
      </c>
      <c r="S1333" s="6">
        <v>-46.749069213867202</v>
      </c>
      <c r="T1333" s="6">
        <v>0.28161811828613298</v>
      </c>
      <c r="U1333" s="6">
        <v>0.83646959066391002</v>
      </c>
      <c r="V1333" s="6">
        <v>-24.3737392425537</v>
      </c>
      <c r="W1333" s="6">
        <v>-19.1660041809082</v>
      </c>
    </row>
    <row r="1334" spans="1:23" ht="18.95" customHeight="1">
      <c r="A1334" s="4">
        <v>1330</v>
      </c>
      <c r="B1334" s="4">
        <v>28601</v>
      </c>
      <c r="C1334" s="4">
        <v>1</v>
      </c>
      <c r="D1334" s="6">
        <v>0</v>
      </c>
      <c r="E1334" s="6">
        <v>0</v>
      </c>
      <c r="F1334" s="6">
        <v>48.8125</v>
      </c>
      <c r="G1334" s="6">
        <v>1</v>
      </c>
      <c r="H1334" s="6">
        <v>0.75</v>
      </c>
      <c r="I1334" s="6">
        <v>1.4375</v>
      </c>
      <c r="J1334" s="6">
        <v>-1.875</v>
      </c>
      <c r="K1334" s="6">
        <v>-0.75</v>
      </c>
      <c r="L1334" s="6">
        <v>-11.8125</v>
      </c>
      <c r="M1334" s="6">
        <v>0.1875</v>
      </c>
      <c r="N1334" s="6">
        <v>-6.25E-2</v>
      </c>
      <c r="O1334" s="6">
        <v>1.25</v>
      </c>
      <c r="P1334" s="6">
        <v>-2.125</v>
      </c>
      <c r="Q1334" s="6">
        <v>-49.1875</v>
      </c>
      <c r="R1334" s="6">
        <v>2.0643060207366899</v>
      </c>
      <c r="S1334" s="6">
        <v>-46.657463073730497</v>
      </c>
      <c r="T1334" s="6">
        <v>0.32741963863372803</v>
      </c>
      <c r="U1334" s="6">
        <v>0.86838966608047496</v>
      </c>
      <c r="V1334" s="6">
        <v>-25.114830017089801</v>
      </c>
      <c r="W1334" s="6">
        <v>-19.1647834777832</v>
      </c>
    </row>
    <row r="1335" spans="1:23" ht="18.95" customHeight="1">
      <c r="A1335" s="4">
        <v>1331</v>
      </c>
      <c r="B1335" s="4">
        <v>28622</v>
      </c>
      <c r="C1335" s="4">
        <v>1</v>
      </c>
      <c r="D1335" s="6">
        <v>0</v>
      </c>
      <c r="E1335" s="6">
        <v>0</v>
      </c>
      <c r="F1335" s="6">
        <v>48</v>
      </c>
      <c r="G1335" s="6">
        <v>1.0625</v>
      </c>
      <c r="H1335" s="6">
        <v>0.625</v>
      </c>
      <c r="I1335" s="6">
        <v>1.4375</v>
      </c>
      <c r="J1335" s="6">
        <v>-1.9375</v>
      </c>
      <c r="K1335" s="6">
        <v>-1.6875</v>
      </c>
      <c r="L1335" s="6">
        <v>-13.375</v>
      </c>
      <c r="M1335" s="6">
        <v>0.1875</v>
      </c>
      <c r="N1335" s="6">
        <v>-0.125</v>
      </c>
      <c r="O1335" s="6">
        <v>1.25</v>
      </c>
      <c r="P1335" s="6">
        <v>-2.125</v>
      </c>
      <c r="Q1335" s="6">
        <v>-48.9375</v>
      </c>
      <c r="R1335" s="6">
        <v>1.5604892969131501</v>
      </c>
      <c r="S1335" s="6">
        <v>-46.1078491210938</v>
      </c>
      <c r="T1335" s="6">
        <v>-0.31380170583724998</v>
      </c>
      <c r="U1335" s="6">
        <v>0.88222187757492099</v>
      </c>
      <c r="V1335" s="6">
        <v>-25.9055786132812</v>
      </c>
      <c r="W1335" s="6">
        <v>-19.158084869384801</v>
      </c>
    </row>
    <row r="1336" spans="1:23" ht="18.95" customHeight="1">
      <c r="A1336" s="4">
        <v>1332</v>
      </c>
      <c r="B1336" s="4">
        <v>28642</v>
      </c>
      <c r="C1336" s="4">
        <v>1</v>
      </c>
      <c r="D1336" s="6">
        <v>0</v>
      </c>
      <c r="E1336" s="6">
        <v>0</v>
      </c>
      <c r="F1336" s="6">
        <v>47.1875</v>
      </c>
      <c r="G1336" s="6">
        <v>1.0625</v>
      </c>
      <c r="H1336" s="6">
        <v>0.6875</v>
      </c>
      <c r="I1336" s="6">
        <v>1.4375</v>
      </c>
      <c r="J1336" s="6">
        <v>-1.9375</v>
      </c>
      <c r="K1336" s="6">
        <v>-2.625</v>
      </c>
      <c r="L1336" s="6">
        <v>-15.125</v>
      </c>
      <c r="M1336" s="6">
        <v>0.4375</v>
      </c>
      <c r="N1336" s="6">
        <v>0</v>
      </c>
      <c r="O1336" s="6">
        <v>1.25</v>
      </c>
      <c r="P1336" s="6">
        <v>-2.125</v>
      </c>
      <c r="Q1336" s="6">
        <v>-48.6875</v>
      </c>
      <c r="R1336" s="6">
        <v>2.1711764335632302</v>
      </c>
      <c r="S1336" s="6">
        <v>-44.825401306152301</v>
      </c>
      <c r="T1336" s="6">
        <v>0.57169449329376198</v>
      </c>
      <c r="U1336" s="6">
        <v>0.96822428703308105</v>
      </c>
      <c r="V1336" s="6">
        <v>-26.535385131835898</v>
      </c>
      <c r="W1336" s="6">
        <v>-19.148475646972699</v>
      </c>
    </row>
    <row r="1337" spans="1:23" ht="18.95" customHeight="1">
      <c r="A1337" s="4">
        <v>1333</v>
      </c>
      <c r="B1337" s="4">
        <v>28672</v>
      </c>
      <c r="C1337" s="4">
        <v>1</v>
      </c>
      <c r="D1337" s="6">
        <v>0</v>
      </c>
      <c r="E1337" s="6">
        <v>0</v>
      </c>
      <c r="F1337" s="6">
        <v>46.0625</v>
      </c>
      <c r="G1337" s="6">
        <v>1</v>
      </c>
      <c r="H1337" s="6">
        <v>0.5</v>
      </c>
      <c r="I1337" s="6">
        <v>1.4375</v>
      </c>
      <c r="J1337" s="6">
        <v>-2</v>
      </c>
      <c r="K1337" s="6">
        <v>-3.9375</v>
      </c>
      <c r="L1337" s="6">
        <v>-16.9375</v>
      </c>
      <c r="M1337" s="6">
        <v>0.25</v>
      </c>
      <c r="N1337" s="6">
        <v>-6.25E-2</v>
      </c>
      <c r="O1337" s="6">
        <v>1.1875</v>
      </c>
      <c r="P1337" s="6">
        <v>-2.125</v>
      </c>
      <c r="Q1337" s="6">
        <v>-48.25</v>
      </c>
      <c r="R1337" s="6">
        <v>1.9116343259811399</v>
      </c>
      <c r="S1337" s="6">
        <v>-43.955177307128899</v>
      </c>
      <c r="T1337" s="6">
        <v>0.464824199676514</v>
      </c>
      <c r="U1337" s="6">
        <v>1.03209269046783</v>
      </c>
      <c r="V1337" s="6">
        <v>-27.768720626831101</v>
      </c>
      <c r="W1337" s="6">
        <v>-19.1378288269043</v>
      </c>
    </row>
    <row r="1338" spans="1:23" ht="18.95" customHeight="1">
      <c r="A1338" s="4">
        <v>1334</v>
      </c>
      <c r="B1338" s="4">
        <v>28693</v>
      </c>
      <c r="C1338" s="4">
        <v>1</v>
      </c>
      <c r="D1338" s="6">
        <v>0</v>
      </c>
      <c r="E1338" s="6">
        <v>0</v>
      </c>
      <c r="F1338" s="6">
        <v>45.25</v>
      </c>
      <c r="G1338" s="6">
        <v>1.1875</v>
      </c>
      <c r="H1338" s="6">
        <v>1</v>
      </c>
      <c r="I1338" s="6">
        <v>1.4375</v>
      </c>
      <c r="J1338" s="6">
        <v>-2</v>
      </c>
      <c r="K1338" s="6">
        <v>-4.8125</v>
      </c>
      <c r="L1338" s="6">
        <v>-18.375</v>
      </c>
      <c r="M1338" s="6">
        <v>0.1875</v>
      </c>
      <c r="N1338" s="6">
        <v>0.125</v>
      </c>
      <c r="O1338" s="6">
        <v>1.1875</v>
      </c>
      <c r="P1338" s="6">
        <v>-2.125</v>
      </c>
      <c r="Q1338" s="6">
        <v>-47.875</v>
      </c>
      <c r="R1338" s="6">
        <v>2.3696496486663801</v>
      </c>
      <c r="S1338" s="6">
        <v>-43.726165771484403</v>
      </c>
      <c r="T1338" s="6">
        <v>0.78543496131896995</v>
      </c>
      <c r="U1338" s="6">
        <v>1.04578745365143</v>
      </c>
      <c r="V1338" s="6">
        <v>-28.523206710815401</v>
      </c>
      <c r="W1338" s="6">
        <v>-19.1228542327881</v>
      </c>
    </row>
    <row r="1339" spans="1:23" ht="18.95" customHeight="1">
      <c r="A1339" s="4">
        <v>1335</v>
      </c>
      <c r="B1339" s="4">
        <v>28713</v>
      </c>
      <c r="C1339" s="4">
        <v>1</v>
      </c>
      <c r="D1339" s="6">
        <v>0</v>
      </c>
      <c r="E1339" s="6">
        <v>0</v>
      </c>
      <c r="F1339" s="6">
        <v>45</v>
      </c>
      <c r="G1339" s="6">
        <v>1.6875</v>
      </c>
      <c r="H1339" s="6">
        <v>1.3125</v>
      </c>
      <c r="I1339" s="6">
        <v>1.4375</v>
      </c>
      <c r="J1339" s="6">
        <v>-2</v>
      </c>
      <c r="K1339" s="6">
        <v>-5.6875</v>
      </c>
      <c r="L1339" s="6">
        <v>-19.8125</v>
      </c>
      <c r="M1339" s="6">
        <v>0.375</v>
      </c>
      <c r="N1339" s="6">
        <v>-6.25E-2</v>
      </c>
      <c r="O1339" s="6">
        <v>1.1875</v>
      </c>
      <c r="P1339" s="6">
        <v>-2.125</v>
      </c>
      <c r="Q1339" s="6">
        <v>-47.5</v>
      </c>
      <c r="R1339" s="6">
        <v>1.7894968986511199</v>
      </c>
      <c r="S1339" s="6">
        <v>-43.176551818847699</v>
      </c>
      <c r="T1339" s="6">
        <v>-0.14586275815963701</v>
      </c>
      <c r="U1339" s="6">
        <v>1.1146422624587999</v>
      </c>
      <c r="V1339" s="6">
        <v>-29.1473503112793</v>
      </c>
      <c r="W1339" s="6">
        <v>-19.117158889770501</v>
      </c>
    </row>
    <row r="1340" spans="1:23" ht="18.95" customHeight="1">
      <c r="A1340" s="4">
        <v>1336</v>
      </c>
      <c r="B1340" s="4">
        <v>28735</v>
      </c>
      <c r="C1340" s="4">
        <v>1</v>
      </c>
      <c r="D1340" s="6">
        <v>0</v>
      </c>
      <c r="E1340" s="6">
        <v>0</v>
      </c>
      <c r="F1340" s="6">
        <v>44.5</v>
      </c>
      <c r="G1340" s="6">
        <v>1.3125</v>
      </c>
      <c r="H1340" s="6">
        <v>0.75</v>
      </c>
      <c r="I1340" s="6">
        <v>1.4375</v>
      </c>
      <c r="J1340" s="6">
        <v>-2.0625</v>
      </c>
      <c r="K1340" s="6">
        <v>-6.5625</v>
      </c>
      <c r="L1340" s="6">
        <v>-21.5625</v>
      </c>
      <c r="M1340" s="6">
        <v>0.375</v>
      </c>
      <c r="N1340" s="6">
        <v>6.25E-2</v>
      </c>
      <c r="O1340" s="6">
        <v>1.1875</v>
      </c>
      <c r="P1340" s="6">
        <v>-2.125</v>
      </c>
      <c r="Q1340" s="6">
        <v>-47.125</v>
      </c>
      <c r="R1340" s="6">
        <v>2.0337717533111599</v>
      </c>
      <c r="S1340" s="6">
        <v>-42.703269958496101</v>
      </c>
      <c r="T1340" s="6">
        <v>0.464824199676514</v>
      </c>
      <c r="U1340" s="6">
        <v>1.1831856966018699</v>
      </c>
      <c r="V1340" s="6">
        <v>-29.839399337768601</v>
      </c>
      <c r="W1340" s="6">
        <v>-19.109504699706999</v>
      </c>
    </row>
    <row r="1341" spans="1:23" ht="18.95" customHeight="1">
      <c r="A1341" s="4">
        <v>1337</v>
      </c>
      <c r="B1341" s="4">
        <v>28756</v>
      </c>
      <c r="C1341" s="4">
        <v>1</v>
      </c>
      <c r="D1341" s="6">
        <v>0</v>
      </c>
      <c r="E1341" s="6">
        <v>0</v>
      </c>
      <c r="F1341" s="6">
        <v>43.9375</v>
      </c>
      <c r="G1341" s="6">
        <v>1.125</v>
      </c>
      <c r="H1341" s="6">
        <v>0.8125</v>
      </c>
      <c r="I1341" s="6">
        <v>1.4375</v>
      </c>
      <c r="J1341" s="6">
        <v>-2.0625</v>
      </c>
      <c r="K1341" s="6">
        <v>-7.4375</v>
      </c>
      <c r="L1341" s="6">
        <v>-22.9375</v>
      </c>
      <c r="M1341" s="6">
        <v>0.3125</v>
      </c>
      <c r="N1341" s="6">
        <v>0.125</v>
      </c>
      <c r="O1341" s="6">
        <v>1.1875</v>
      </c>
      <c r="P1341" s="6">
        <v>-2.125</v>
      </c>
      <c r="Q1341" s="6">
        <v>-46.6875</v>
      </c>
      <c r="R1341" s="6">
        <v>1.8810999393463099</v>
      </c>
      <c r="S1341" s="6">
        <v>-41.527694702148402</v>
      </c>
      <c r="T1341" s="6">
        <v>0.32741963863372803</v>
      </c>
      <c r="U1341" s="6">
        <v>1.1554918289184599</v>
      </c>
      <c r="V1341" s="6">
        <v>-30.5380554199219</v>
      </c>
      <c r="W1341" s="6">
        <v>-19.099967956543001</v>
      </c>
    </row>
    <row r="1342" spans="1:23" ht="18.95" customHeight="1">
      <c r="A1342" s="4">
        <v>1338</v>
      </c>
      <c r="B1342" s="4">
        <v>28778</v>
      </c>
      <c r="C1342" s="4">
        <v>1</v>
      </c>
      <c r="D1342" s="6">
        <v>0</v>
      </c>
      <c r="E1342" s="6">
        <v>0</v>
      </c>
      <c r="F1342" s="6">
        <v>43.125</v>
      </c>
      <c r="G1342" s="6">
        <v>1.5625</v>
      </c>
      <c r="H1342" s="6">
        <v>1.0625</v>
      </c>
      <c r="I1342" s="6">
        <v>1.375</v>
      </c>
      <c r="J1342" s="6">
        <v>-2.0625</v>
      </c>
      <c r="K1342" s="6">
        <v>-8.25</v>
      </c>
      <c r="L1342" s="6">
        <v>-25.125</v>
      </c>
      <c r="M1342" s="6">
        <v>0.4375</v>
      </c>
      <c r="N1342" s="6">
        <v>0</v>
      </c>
      <c r="O1342" s="6">
        <v>1.1875</v>
      </c>
      <c r="P1342" s="6">
        <v>-2.125</v>
      </c>
      <c r="Q1342" s="6">
        <v>-46</v>
      </c>
      <c r="R1342" s="6">
        <v>1.8200312852859499</v>
      </c>
      <c r="S1342" s="6">
        <v>-39.848304748535199</v>
      </c>
      <c r="T1342" s="6">
        <v>0.57169449329376198</v>
      </c>
      <c r="U1342" s="6">
        <v>1.22328925132751</v>
      </c>
      <c r="V1342" s="6">
        <v>-31.140031814575199</v>
      </c>
      <c r="W1342" s="6">
        <v>-19.0915203094482</v>
      </c>
    </row>
    <row r="1343" spans="1:23" ht="18.95" customHeight="1">
      <c r="A1343" s="4">
        <v>1339</v>
      </c>
      <c r="B1343" s="4">
        <v>28799</v>
      </c>
      <c r="C1343" s="4">
        <v>1</v>
      </c>
      <c r="D1343" s="6">
        <v>0</v>
      </c>
      <c r="E1343" s="6">
        <v>0</v>
      </c>
      <c r="F1343" s="6">
        <v>41.5</v>
      </c>
      <c r="G1343" s="6">
        <v>1.3125</v>
      </c>
      <c r="H1343" s="6">
        <v>0.625</v>
      </c>
      <c r="I1343" s="6">
        <v>1.375</v>
      </c>
      <c r="J1343" s="6">
        <v>-2.125</v>
      </c>
      <c r="K1343" s="6">
        <v>-9.0625</v>
      </c>
      <c r="L1343" s="6">
        <v>-25.75</v>
      </c>
      <c r="M1343" s="6">
        <v>0.375</v>
      </c>
      <c r="N1343" s="6">
        <v>0.1875</v>
      </c>
      <c r="O1343" s="6">
        <v>1.125</v>
      </c>
      <c r="P1343" s="6">
        <v>-2.125</v>
      </c>
      <c r="Q1343" s="6">
        <v>-45.5</v>
      </c>
      <c r="R1343" s="6">
        <v>1.9269015789032</v>
      </c>
      <c r="S1343" s="6">
        <v>-39.283416748046903</v>
      </c>
      <c r="T1343" s="6">
        <v>3.7343323230743401E-2</v>
      </c>
      <c r="U1343" s="6">
        <v>1.2108575105667101</v>
      </c>
      <c r="V1343" s="6">
        <v>-31.800022125244102</v>
      </c>
      <c r="W1343" s="6">
        <v>-19.087461471557599</v>
      </c>
    </row>
    <row r="1344" spans="1:23" ht="18.95" customHeight="1">
      <c r="A1344" s="4">
        <v>1340</v>
      </c>
      <c r="B1344" s="4">
        <v>28819</v>
      </c>
      <c r="C1344" s="4">
        <v>1</v>
      </c>
      <c r="D1344" s="6">
        <v>0</v>
      </c>
      <c r="E1344" s="6">
        <v>0</v>
      </c>
      <c r="F1344" s="6">
        <v>40.875</v>
      </c>
      <c r="G1344" s="6">
        <v>0.8125</v>
      </c>
      <c r="H1344" s="6">
        <v>0.625</v>
      </c>
      <c r="I1344" s="6">
        <v>1.375</v>
      </c>
      <c r="J1344" s="6">
        <v>-2.125</v>
      </c>
      <c r="K1344" s="6">
        <v>-9.875</v>
      </c>
      <c r="L1344" s="6">
        <v>-28.25</v>
      </c>
      <c r="M1344" s="6">
        <v>0.3125</v>
      </c>
      <c r="N1344" s="6">
        <v>0.1875</v>
      </c>
      <c r="O1344" s="6">
        <v>1.125</v>
      </c>
      <c r="P1344" s="6">
        <v>-2.125</v>
      </c>
      <c r="Q1344" s="6">
        <v>-45</v>
      </c>
      <c r="R1344" s="6">
        <v>1.7742297649383501</v>
      </c>
      <c r="S1344" s="6">
        <v>-37.436088562011697</v>
      </c>
      <c r="T1344" s="6">
        <v>0.464824199676514</v>
      </c>
      <c r="U1344" s="6">
        <v>1.2335836887359599</v>
      </c>
      <c r="V1344" s="6">
        <v>-32.310459136962898</v>
      </c>
      <c r="W1344" s="6">
        <v>-19.070020675659201</v>
      </c>
    </row>
    <row r="1345" spans="1:23" ht="18.95" customHeight="1">
      <c r="A1345" s="4">
        <v>1341</v>
      </c>
      <c r="B1345" s="4">
        <v>28839</v>
      </c>
      <c r="C1345" s="4">
        <v>1</v>
      </c>
      <c r="D1345" s="6">
        <v>0</v>
      </c>
      <c r="E1345" s="6">
        <v>0</v>
      </c>
      <c r="F1345" s="6">
        <v>39</v>
      </c>
      <c r="G1345" s="6">
        <v>1.5</v>
      </c>
      <c r="H1345" s="6">
        <v>1.1875</v>
      </c>
      <c r="I1345" s="6">
        <v>1.375</v>
      </c>
      <c r="J1345" s="6">
        <v>-2.125</v>
      </c>
      <c r="K1345" s="6">
        <v>-10.625</v>
      </c>
      <c r="L1345" s="6">
        <v>-29.3125</v>
      </c>
      <c r="M1345" s="6">
        <v>0.375</v>
      </c>
      <c r="N1345" s="6">
        <v>0.125</v>
      </c>
      <c r="O1345" s="6">
        <v>1.125</v>
      </c>
      <c r="P1345" s="6">
        <v>-2.125</v>
      </c>
      <c r="Q1345" s="6">
        <v>-44.4375</v>
      </c>
      <c r="R1345" s="6">
        <v>1.1635427474975599</v>
      </c>
      <c r="S1345" s="6">
        <v>-36.947540283203097</v>
      </c>
      <c r="T1345" s="6">
        <v>0.22054940462112399</v>
      </c>
      <c r="U1345" s="6">
        <v>1.33993196487427</v>
      </c>
      <c r="V1345" s="6">
        <v>-32.942913055419901</v>
      </c>
      <c r="W1345" s="6">
        <v>-19.0613803863525</v>
      </c>
    </row>
    <row r="1346" spans="1:23" ht="18.95" customHeight="1">
      <c r="A1346" s="4">
        <v>1342</v>
      </c>
      <c r="B1346" s="4">
        <v>28861</v>
      </c>
      <c r="C1346" s="4">
        <v>1</v>
      </c>
      <c r="D1346" s="6">
        <v>0</v>
      </c>
      <c r="E1346" s="6">
        <v>0</v>
      </c>
      <c r="F1346" s="6">
        <v>38.125</v>
      </c>
      <c r="G1346" s="6">
        <v>1</v>
      </c>
      <c r="H1346" s="6">
        <v>0.875</v>
      </c>
      <c r="I1346" s="6">
        <v>1.375</v>
      </c>
      <c r="J1346" s="6">
        <v>-2.1875</v>
      </c>
      <c r="K1346" s="6">
        <v>-11.375</v>
      </c>
      <c r="L1346" s="6">
        <v>-31.1875</v>
      </c>
      <c r="M1346" s="6">
        <v>0.375</v>
      </c>
      <c r="N1346" s="6">
        <v>-6.25E-2</v>
      </c>
      <c r="O1346" s="6">
        <v>1.125</v>
      </c>
      <c r="P1346" s="6">
        <v>-2.125</v>
      </c>
      <c r="Q1346" s="6">
        <v>-43.875</v>
      </c>
      <c r="R1346" s="6">
        <v>1.36201608181</v>
      </c>
      <c r="S1346" s="6">
        <v>-35.100212097167997</v>
      </c>
      <c r="T1346" s="6">
        <v>0.22054940462112399</v>
      </c>
      <c r="U1346" s="6">
        <v>1.2854408025741599</v>
      </c>
      <c r="V1346" s="6">
        <v>-33.448246002197301</v>
      </c>
      <c r="W1346" s="6">
        <v>-19.0604343414307</v>
      </c>
    </row>
    <row r="1347" spans="1:23" ht="18.95" customHeight="1">
      <c r="A1347" s="4">
        <v>1343</v>
      </c>
      <c r="B1347" s="4">
        <v>28882</v>
      </c>
      <c r="C1347" s="4">
        <v>1</v>
      </c>
      <c r="D1347" s="6">
        <v>0</v>
      </c>
      <c r="E1347" s="6">
        <v>0</v>
      </c>
      <c r="F1347" s="6">
        <v>35.625</v>
      </c>
      <c r="G1347" s="6">
        <v>0.6875</v>
      </c>
      <c r="H1347" s="6">
        <v>0.625</v>
      </c>
      <c r="I1347" s="6">
        <v>1.375</v>
      </c>
      <c r="J1347" s="6">
        <v>-2.1875</v>
      </c>
      <c r="K1347" s="6">
        <v>-12.4375</v>
      </c>
      <c r="L1347" s="6">
        <v>-32.375</v>
      </c>
      <c r="M1347" s="6">
        <v>0.625</v>
      </c>
      <c r="N1347" s="6">
        <v>0</v>
      </c>
      <c r="O1347" s="6">
        <v>1.0625</v>
      </c>
      <c r="P1347" s="6">
        <v>-2.125</v>
      </c>
      <c r="Q1347" s="6">
        <v>-43.25</v>
      </c>
      <c r="R1347" s="6">
        <v>1.6826267242431601</v>
      </c>
      <c r="S1347" s="6">
        <v>-33.741432189941399</v>
      </c>
      <c r="T1347" s="6">
        <v>0.70909905433654796</v>
      </c>
      <c r="U1347" s="6">
        <v>1.27226746082306</v>
      </c>
      <c r="V1347" s="6">
        <v>-34.048179626464801</v>
      </c>
      <c r="W1347" s="6">
        <v>-19.049665451049801</v>
      </c>
    </row>
    <row r="1348" spans="1:23" ht="18.95" customHeight="1">
      <c r="A1348" s="4">
        <v>1344</v>
      </c>
      <c r="B1348" s="4">
        <v>28903</v>
      </c>
      <c r="C1348" s="4">
        <v>1</v>
      </c>
      <c r="D1348" s="6">
        <v>0</v>
      </c>
      <c r="E1348" s="6">
        <v>0</v>
      </c>
      <c r="F1348" s="6">
        <v>35.0625</v>
      </c>
      <c r="G1348" s="6">
        <v>0.875</v>
      </c>
      <c r="H1348" s="6">
        <v>0.6875</v>
      </c>
      <c r="I1348" s="6">
        <v>1.375</v>
      </c>
      <c r="J1348" s="6">
        <v>-2.1875</v>
      </c>
      <c r="K1348" s="6">
        <v>-13.125</v>
      </c>
      <c r="L1348" s="6">
        <v>-34.1875</v>
      </c>
      <c r="M1348" s="6">
        <v>0.5</v>
      </c>
      <c r="N1348" s="6">
        <v>0</v>
      </c>
      <c r="O1348" s="6">
        <v>1.0625</v>
      </c>
      <c r="P1348" s="6">
        <v>-2.125</v>
      </c>
      <c r="Q1348" s="6">
        <v>-42.625</v>
      </c>
      <c r="R1348" s="6">
        <v>1.57575643062592</v>
      </c>
      <c r="S1348" s="6">
        <v>-31.665098190307599</v>
      </c>
      <c r="T1348" s="6">
        <v>0.55642724037170399</v>
      </c>
      <c r="U1348" s="6">
        <v>1.28209233283997</v>
      </c>
      <c r="V1348" s="6">
        <v>-34.406883239746101</v>
      </c>
      <c r="W1348" s="6">
        <v>-19.045932769775401</v>
      </c>
    </row>
    <row r="1349" spans="1:23" ht="18.95" customHeight="1">
      <c r="A1349" s="4">
        <v>1345</v>
      </c>
      <c r="B1349" s="4">
        <v>28924</v>
      </c>
      <c r="C1349" s="4">
        <v>1</v>
      </c>
      <c r="D1349" s="6">
        <v>0</v>
      </c>
      <c r="E1349" s="6">
        <v>0</v>
      </c>
      <c r="F1349" s="6">
        <v>32.6875</v>
      </c>
      <c r="G1349" s="6">
        <v>1</v>
      </c>
      <c r="H1349" s="6">
        <v>0.875</v>
      </c>
      <c r="I1349" s="6">
        <v>1.375</v>
      </c>
      <c r="J1349" s="6">
        <v>-2.1875</v>
      </c>
      <c r="K1349" s="6">
        <v>-13.75</v>
      </c>
      <c r="L1349" s="6">
        <v>-35.5</v>
      </c>
      <c r="M1349" s="6">
        <v>0.25</v>
      </c>
      <c r="N1349" s="6">
        <v>0.125</v>
      </c>
      <c r="O1349" s="6">
        <v>1.0625</v>
      </c>
      <c r="P1349" s="6">
        <v>-2.125</v>
      </c>
      <c r="Q1349" s="6">
        <v>-41.9375</v>
      </c>
      <c r="R1349" s="6">
        <v>1.1024740934371899</v>
      </c>
      <c r="S1349" s="6">
        <v>-30.6879997253418</v>
      </c>
      <c r="T1349" s="6">
        <v>-3.8992583751678501E-2</v>
      </c>
      <c r="U1349" s="6">
        <v>1.33411228656769</v>
      </c>
      <c r="V1349" s="6">
        <v>-34.928153991699197</v>
      </c>
      <c r="W1349" s="6">
        <v>-19.0427131652832</v>
      </c>
    </row>
    <row r="1350" spans="1:23" ht="18.95" customHeight="1">
      <c r="A1350" s="4">
        <v>1346</v>
      </c>
      <c r="B1350" s="4">
        <v>28945</v>
      </c>
      <c r="C1350" s="4">
        <v>1</v>
      </c>
      <c r="D1350" s="6">
        <v>0</v>
      </c>
      <c r="E1350" s="6">
        <v>0</v>
      </c>
      <c r="F1350" s="6">
        <v>31.5625</v>
      </c>
      <c r="G1350" s="6">
        <v>0.625</v>
      </c>
      <c r="H1350" s="6">
        <v>0.625</v>
      </c>
      <c r="I1350" s="6">
        <v>1.375</v>
      </c>
      <c r="J1350" s="6">
        <v>-2.25</v>
      </c>
      <c r="K1350" s="6">
        <v>-14.375</v>
      </c>
      <c r="L1350" s="6">
        <v>-37.5</v>
      </c>
      <c r="M1350" s="6">
        <v>0.5</v>
      </c>
      <c r="N1350" s="6">
        <v>0.1875</v>
      </c>
      <c r="O1350" s="6">
        <v>1.0625</v>
      </c>
      <c r="P1350" s="6">
        <v>-2.125</v>
      </c>
      <c r="Q1350" s="6">
        <v>-41.3125</v>
      </c>
      <c r="R1350" s="6">
        <v>1.60629081726074</v>
      </c>
      <c r="S1350" s="6">
        <v>-28.413190841674801</v>
      </c>
      <c r="T1350" s="6">
        <v>0.77016770839691195</v>
      </c>
      <c r="U1350" s="6">
        <v>1.31966996192932</v>
      </c>
      <c r="V1350" s="6">
        <v>-35.296043395996101</v>
      </c>
      <c r="W1350" s="6">
        <v>-19.033828735351602</v>
      </c>
    </row>
    <row r="1351" spans="1:23" ht="18.95" customHeight="1">
      <c r="A1351" s="4">
        <v>1347</v>
      </c>
      <c r="B1351" s="4">
        <v>28965</v>
      </c>
      <c r="C1351" s="4">
        <v>1</v>
      </c>
      <c r="D1351" s="6">
        <v>0</v>
      </c>
      <c r="E1351" s="6">
        <v>0</v>
      </c>
      <c r="F1351" s="6">
        <v>29.75</v>
      </c>
      <c r="G1351" s="6">
        <v>0.75</v>
      </c>
      <c r="H1351" s="6">
        <v>0.875</v>
      </c>
      <c r="I1351" s="6">
        <v>1.375</v>
      </c>
      <c r="J1351" s="6">
        <v>-2.25</v>
      </c>
      <c r="K1351" s="6">
        <v>-15</v>
      </c>
      <c r="L1351" s="6">
        <v>-39.1875</v>
      </c>
      <c r="M1351" s="6">
        <v>0.375</v>
      </c>
      <c r="N1351" s="6">
        <v>0.125</v>
      </c>
      <c r="O1351" s="6">
        <v>1</v>
      </c>
      <c r="P1351" s="6">
        <v>-2.125</v>
      </c>
      <c r="Q1351" s="6">
        <v>-40.5625</v>
      </c>
      <c r="R1351" s="6">
        <v>1.1024740934371899</v>
      </c>
      <c r="S1351" s="6">
        <v>-26.978075027465799</v>
      </c>
      <c r="T1351" s="6">
        <v>0.64803040027618397</v>
      </c>
      <c r="U1351" s="6">
        <v>1.3388048410415601</v>
      </c>
      <c r="V1351" s="6">
        <v>-35.744651794433601</v>
      </c>
      <c r="W1351" s="6">
        <v>-19.022871017456101</v>
      </c>
    </row>
    <row r="1352" spans="1:23" ht="18.95" customHeight="1">
      <c r="A1352" s="4">
        <v>1348</v>
      </c>
      <c r="B1352" s="4">
        <v>28985</v>
      </c>
      <c r="C1352" s="4">
        <v>1</v>
      </c>
      <c r="D1352" s="6">
        <v>0</v>
      </c>
      <c r="E1352" s="6">
        <v>0</v>
      </c>
      <c r="F1352" s="6">
        <v>27.8125</v>
      </c>
      <c r="G1352" s="6">
        <v>0.9375</v>
      </c>
      <c r="H1352" s="6">
        <v>0.75</v>
      </c>
      <c r="I1352" s="6">
        <v>1.375</v>
      </c>
      <c r="J1352" s="6">
        <v>-2.25</v>
      </c>
      <c r="K1352" s="6">
        <v>-15.5</v>
      </c>
      <c r="L1352" s="6">
        <v>-40.6875</v>
      </c>
      <c r="M1352" s="6">
        <v>0.5625</v>
      </c>
      <c r="N1352" s="6">
        <v>0.1875</v>
      </c>
      <c r="O1352" s="6">
        <v>1</v>
      </c>
      <c r="P1352" s="6">
        <v>-2.125</v>
      </c>
      <c r="Q1352" s="6">
        <v>-39.75</v>
      </c>
      <c r="R1352" s="6">
        <v>0.81239771842956499</v>
      </c>
      <c r="S1352" s="6">
        <v>-25.237617492675799</v>
      </c>
      <c r="T1352" s="6">
        <v>-0.14586275815963701</v>
      </c>
      <c r="U1352" s="6">
        <v>1.3316785097122199</v>
      </c>
      <c r="V1352" s="6">
        <v>-35.998100280761697</v>
      </c>
      <c r="W1352" s="6">
        <v>-19.022138595581101</v>
      </c>
    </row>
    <row r="1353" spans="1:23" ht="18.95" customHeight="1">
      <c r="A1353" s="4">
        <v>1349</v>
      </c>
      <c r="B1353" s="4">
        <v>29005</v>
      </c>
      <c r="C1353" s="4">
        <v>1</v>
      </c>
      <c r="D1353" s="6">
        <v>0</v>
      </c>
      <c r="E1353" s="6">
        <v>0</v>
      </c>
      <c r="F1353" s="6">
        <v>26.25</v>
      </c>
      <c r="G1353" s="6">
        <v>0.25</v>
      </c>
      <c r="H1353" s="6">
        <v>0.4375</v>
      </c>
      <c r="I1353" s="6">
        <v>1.375</v>
      </c>
      <c r="J1353" s="6">
        <v>-2.25</v>
      </c>
      <c r="K1353" s="6">
        <v>-16.0625</v>
      </c>
      <c r="L1353" s="6">
        <v>-43.4375</v>
      </c>
      <c r="M1353" s="6">
        <v>0.5</v>
      </c>
      <c r="N1353" s="6">
        <v>6.25E-2</v>
      </c>
      <c r="O1353" s="6">
        <v>1</v>
      </c>
      <c r="P1353" s="6">
        <v>-2.125</v>
      </c>
      <c r="Q1353" s="6">
        <v>-38.9375</v>
      </c>
      <c r="R1353" s="6">
        <v>0.26277947425842302</v>
      </c>
      <c r="S1353" s="6">
        <v>-22.7032661437988</v>
      </c>
      <c r="T1353" s="6">
        <v>-0.22219866514205899</v>
      </c>
      <c r="U1353" s="6">
        <v>1.41634345054626</v>
      </c>
      <c r="V1353" s="6">
        <v>-36.322189331054702</v>
      </c>
      <c r="W1353" s="6">
        <v>-19.0186653137207</v>
      </c>
    </row>
    <row r="1354" spans="1:23" ht="18.95" customHeight="1">
      <c r="A1354" s="4">
        <v>1350</v>
      </c>
      <c r="B1354" s="4">
        <v>29025</v>
      </c>
      <c r="C1354" s="4">
        <v>1</v>
      </c>
      <c r="D1354" s="6">
        <v>0</v>
      </c>
      <c r="E1354" s="6">
        <v>0</v>
      </c>
      <c r="F1354" s="6">
        <v>23.9375</v>
      </c>
      <c r="G1354" s="6">
        <v>0.4375</v>
      </c>
      <c r="H1354" s="6">
        <v>0.1875</v>
      </c>
      <c r="I1354" s="6">
        <v>1.375</v>
      </c>
      <c r="J1354" s="6">
        <v>-2.25</v>
      </c>
      <c r="K1354" s="6">
        <v>-16.5</v>
      </c>
      <c r="L1354" s="6">
        <v>-44.5625</v>
      </c>
      <c r="M1354" s="6">
        <v>0.625</v>
      </c>
      <c r="N1354" s="6">
        <v>0.1875</v>
      </c>
      <c r="O1354" s="6">
        <v>1</v>
      </c>
      <c r="P1354" s="6">
        <v>-2.125</v>
      </c>
      <c r="Q1354" s="6">
        <v>-38.0625</v>
      </c>
      <c r="R1354" s="6">
        <v>0.59865713119506803</v>
      </c>
      <c r="S1354" s="6">
        <v>-20.840671539306602</v>
      </c>
      <c r="T1354" s="6">
        <v>-3.8992583751678501E-2</v>
      </c>
      <c r="U1354" s="6">
        <v>1.38315689563751</v>
      </c>
      <c r="V1354" s="6">
        <v>-36.596866607666001</v>
      </c>
      <c r="W1354" s="6">
        <v>-19.0179328918457</v>
      </c>
    </row>
    <row r="1355" spans="1:23" ht="18.95" customHeight="1">
      <c r="A1355" s="4">
        <v>1351</v>
      </c>
      <c r="B1355" s="4">
        <v>29046</v>
      </c>
      <c r="C1355" s="4">
        <v>1</v>
      </c>
      <c r="D1355" s="6">
        <v>0</v>
      </c>
      <c r="E1355" s="6">
        <v>0</v>
      </c>
      <c r="F1355" s="6">
        <v>21.9375</v>
      </c>
      <c r="G1355" s="6">
        <v>0.1875</v>
      </c>
      <c r="H1355" s="6">
        <v>0.5</v>
      </c>
      <c r="I1355" s="6">
        <v>1.375</v>
      </c>
      <c r="J1355" s="6">
        <v>-2.25</v>
      </c>
      <c r="K1355" s="6">
        <v>-16.9375</v>
      </c>
      <c r="L1355" s="6">
        <v>-47.4375</v>
      </c>
      <c r="M1355" s="6">
        <v>0.4375</v>
      </c>
      <c r="N1355" s="6">
        <v>0</v>
      </c>
      <c r="O1355" s="6">
        <v>0.9375</v>
      </c>
      <c r="P1355" s="6">
        <v>-2.125</v>
      </c>
      <c r="Q1355" s="6">
        <v>-37.1875</v>
      </c>
      <c r="R1355" s="6">
        <v>1.3162144422531099</v>
      </c>
      <c r="S1355" s="6">
        <v>-18.062046051025401</v>
      </c>
      <c r="T1355" s="6">
        <v>0.75490057468414296</v>
      </c>
      <c r="U1355" s="6">
        <v>1.32429587841034</v>
      </c>
      <c r="V1355" s="6">
        <v>-36.785415649414098</v>
      </c>
      <c r="W1355" s="6">
        <v>-19.0011100769043</v>
      </c>
    </row>
    <row r="1356" spans="1:23" ht="18.95" customHeight="1">
      <c r="A1356" s="4">
        <v>1352</v>
      </c>
      <c r="B1356" s="4">
        <v>29078</v>
      </c>
      <c r="C1356" s="4">
        <v>1</v>
      </c>
      <c r="D1356" s="6">
        <v>0</v>
      </c>
      <c r="E1356" s="6">
        <v>0</v>
      </c>
      <c r="F1356" s="6">
        <v>17.8125</v>
      </c>
      <c r="G1356" s="6">
        <v>0.6875</v>
      </c>
      <c r="H1356" s="6">
        <v>0.6875</v>
      </c>
      <c r="I1356" s="6">
        <v>1.375</v>
      </c>
      <c r="J1356" s="6">
        <v>-2.25</v>
      </c>
      <c r="K1356" s="6">
        <v>-17.5</v>
      </c>
      <c r="L1356" s="6">
        <v>-50.25</v>
      </c>
      <c r="M1356" s="6">
        <v>0.4375</v>
      </c>
      <c r="N1356" s="6">
        <v>0.1875</v>
      </c>
      <c r="O1356" s="6">
        <v>0.9375</v>
      </c>
      <c r="P1356" s="6">
        <v>-2.125</v>
      </c>
      <c r="Q1356" s="6">
        <v>-35.3125</v>
      </c>
      <c r="R1356" s="6">
        <v>-0.103632926940918</v>
      </c>
      <c r="S1356" s="6">
        <v>-14.229984283447299</v>
      </c>
      <c r="T1356" s="6">
        <v>0.20528227090835599</v>
      </c>
      <c r="U1356" s="6">
        <v>1.3605397939682</v>
      </c>
      <c r="V1356" s="6">
        <v>-37.172042846679702</v>
      </c>
      <c r="W1356" s="6">
        <v>-18.995044708251999</v>
      </c>
    </row>
    <row r="1357" spans="1:23" ht="18.95" customHeight="1">
      <c r="A1357" s="4">
        <v>1353</v>
      </c>
      <c r="B1357" s="4">
        <v>29099</v>
      </c>
      <c r="C1357" s="4">
        <v>1</v>
      </c>
      <c r="D1357" s="6">
        <v>0</v>
      </c>
      <c r="E1357" s="6">
        <v>0</v>
      </c>
      <c r="F1357" s="6">
        <v>15.375</v>
      </c>
      <c r="G1357" s="6">
        <v>-0.25</v>
      </c>
      <c r="H1357" s="6">
        <v>0.1875</v>
      </c>
      <c r="I1357" s="6">
        <v>1.375</v>
      </c>
      <c r="J1357" s="6">
        <v>-2.25</v>
      </c>
      <c r="K1357" s="6">
        <v>-17.8125</v>
      </c>
      <c r="L1357" s="6">
        <v>-51.4375</v>
      </c>
      <c r="M1357" s="6">
        <v>0.4375</v>
      </c>
      <c r="N1357" s="6">
        <v>-0.125</v>
      </c>
      <c r="O1357" s="6">
        <v>0.875</v>
      </c>
      <c r="P1357" s="6">
        <v>-2.125</v>
      </c>
      <c r="Q1357" s="6">
        <v>-34.3125</v>
      </c>
      <c r="R1357" s="6">
        <v>0.30858087539672902</v>
      </c>
      <c r="S1357" s="6">
        <v>-11.3139533996582</v>
      </c>
      <c r="T1357" s="6">
        <v>0.69383192062377896</v>
      </c>
      <c r="U1357" s="6">
        <v>1.3322453498840301</v>
      </c>
      <c r="V1357" s="6">
        <v>-37.373264312744098</v>
      </c>
      <c r="W1357" s="6">
        <v>-18.988239288330099</v>
      </c>
    </row>
    <row r="1358" spans="1:23" ht="18.95" customHeight="1">
      <c r="A1358" s="4">
        <v>1354</v>
      </c>
      <c r="B1358" s="4">
        <v>29119</v>
      </c>
      <c r="C1358" s="4">
        <v>1</v>
      </c>
      <c r="D1358" s="6">
        <v>0</v>
      </c>
      <c r="E1358" s="6">
        <v>0</v>
      </c>
      <c r="F1358" s="6">
        <v>12.75</v>
      </c>
      <c r="G1358" s="6">
        <v>0.5</v>
      </c>
      <c r="H1358" s="6">
        <v>0.5</v>
      </c>
      <c r="I1358" s="6">
        <v>1.375</v>
      </c>
      <c r="J1358" s="6">
        <v>-2.25</v>
      </c>
      <c r="K1358" s="6">
        <v>-18.0625</v>
      </c>
      <c r="L1358" s="6">
        <v>-54.0625</v>
      </c>
      <c r="M1358" s="6">
        <v>0.625</v>
      </c>
      <c r="N1358" s="6">
        <v>0.1875</v>
      </c>
      <c r="O1358" s="6">
        <v>0.875</v>
      </c>
      <c r="P1358" s="6">
        <v>-2.125</v>
      </c>
      <c r="Q1358" s="6">
        <v>-33.3125</v>
      </c>
      <c r="R1358" s="6">
        <v>0.53758859634399403</v>
      </c>
      <c r="S1358" s="6">
        <v>-8.8559379577636701</v>
      </c>
      <c r="T1358" s="6">
        <v>0.25108379125595098</v>
      </c>
      <c r="U1358" s="6">
        <v>1.28813064098358</v>
      </c>
      <c r="V1358" s="6">
        <v>-37.408191680908203</v>
      </c>
      <c r="W1358" s="6">
        <v>-18.981224060058601</v>
      </c>
    </row>
    <row r="1359" spans="1:23" ht="18.95" customHeight="1">
      <c r="A1359" s="4">
        <v>1355</v>
      </c>
      <c r="B1359" s="4">
        <v>29140</v>
      </c>
      <c r="C1359" s="4">
        <v>1</v>
      </c>
      <c r="D1359" s="6">
        <v>0</v>
      </c>
      <c r="E1359" s="6">
        <v>0</v>
      </c>
      <c r="F1359" s="6">
        <v>10</v>
      </c>
      <c r="G1359" s="6">
        <v>0.125</v>
      </c>
      <c r="H1359" s="6">
        <v>0.375</v>
      </c>
      <c r="I1359" s="6">
        <v>1.375</v>
      </c>
      <c r="J1359" s="6">
        <v>-2.25</v>
      </c>
      <c r="K1359" s="6">
        <v>-18.25</v>
      </c>
      <c r="L1359" s="6">
        <v>-55.5</v>
      </c>
      <c r="M1359" s="6">
        <v>0.5625</v>
      </c>
      <c r="N1359" s="6">
        <v>0.25</v>
      </c>
      <c r="O1359" s="6">
        <v>0.8125</v>
      </c>
      <c r="P1359" s="6">
        <v>-2.125</v>
      </c>
      <c r="Q1359" s="6">
        <v>-32.1875</v>
      </c>
      <c r="R1359" s="6">
        <v>0.247512102127075</v>
      </c>
      <c r="S1359" s="6">
        <v>-5.55822849273682</v>
      </c>
      <c r="T1359" s="6">
        <v>0.20528227090835599</v>
      </c>
      <c r="U1359" s="6">
        <v>1.30882227420807</v>
      </c>
      <c r="V1359" s="6">
        <v>-37.418136596679702</v>
      </c>
      <c r="W1359" s="6">
        <v>-18.974739074706999</v>
      </c>
    </row>
    <row r="1360" spans="1:23" ht="18.95" customHeight="1">
      <c r="A1360" s="4">
        <v>1356</v>
      </c>
      <c r="B1360" s="4">
        <v>29161</v>
      </c>
      <c r="C1360" s="4">
        <v>1</v>
      </c>
      <c r="D1360" s="6">
        <v>0</v>
      </c>
      <c r="E1360" s="6">
        <v>0</v>
      </c>
      <c r="F1360" s="6">
        <v>6.875</v>
      </c>
      <c r="G1360" s="6">
        <v>0.375</v>
      </c>
      <c r="H1360" s="6">
        <v>0.6875</v>
      </c>
      <c r="I1360" s="6">
        <v>1.375</v>
      </c>
      <c r="J1360" s="6">
        <v>-2.25</v>
      </c>
      <c r="K1360" s="6">
        <v>-18.375</v>
      </c>
      <c r="L1360" s="6">
        <v>-56.625</v>
      </c>
      <c r="M1360" s="6">
        <v>0.5625</v>
      </c>
      <c r="N1360" s="6">
        <v>6.25E-2</v>
      </c>
      <c r="O1360" s="6">
        <v>0.8125</v>
      </c>
      <c r="P1360" s="6">
        <v>-2.125</v>
      </c>
      <c r="Q1360" s="6">
        <v>-31.125</v>
      </c>
      <c r="R1360" s="6">
        <v>-0.28683900833129899</v>
      </c>
      <c r="S1360" s="6">
        <v>-2.6574649810790998</v>
      </c>
      <c r="T1360" s="6">
        <v>0.28161811828613298</v>
      </c>
      <c r="U1360" s="6">
        <v>1.3009829521179199</v>
      </c>
      <c r="V1360" s="6">
        <v>-37.425445556640597</v>
      </c>
      <c r="W1360" s="6">
        <v>-18.977350234985401</v>
      </c>
    </row>
    <row r="1361" spans="1:23" ht="18.95" customHeight="1">
      <c r="A1361" s="4">
        <v>1357</v>
      </c>
      <c r="B1361" s="4">
        <v>29183</v>
      </c>
      <c r="C1361" s="4">
        <v>1</v>
      </c>
      <c r="D1361" s="6">
        <v>0</v>
      </c>
      <c r="E1361" s="6">
        <v>0</v>
      </c>
      <c r="F1361" s="6">
        <v>4.125</v>
      </c>
      <c r="G1361" s="6">
        <v>-0.3125</v>
      </c>
      <c r="H1361" s="6">
        <v>6.25E-2</v>
      </c>
      <c r="I1361" s="6">
        <v>1.375</v>
      </c>
      <c r="J1361" s="6">
        <v>-2.25</v>
      </c>
      <c r="K1361" s="6">
        <v>-18.5</v>
      </c>
      <c r="L1361" s="6">
        <v>-59.0625</v>
      </c>
      <c r="M1361" s="6">
        <v>0.5</v>
      </c>
      <c r="N1361" s="6">
        <v>6.25E-2</v>
      </c>
      <c r="O1361" s="6">
        <v>0.8125</v>
      </c>
      <c r="P1361" s="6">
        <v>-2.125</v>
      </c>
      <c r="Q1361" s="6">
        <v>-30</v>
      </c>
      <c r="R1361" s="6">
        <v>0.91926789283752397</v>
      </c>
      <c r="S1361" s="6">
        <v>0.54864186048507702</v>
      </c>
      <c r="T1361" s="6">
        <v>0.41902267932891801</v>
      </c>
      <c r="U1361" s="6">
        <v>1.1852525472641</v>
      </c>
      <c r="V1361" s="6">
        <v>-37.304763793945298</v>
      </c>
      <c r="W1361" s="6">
        <v>-18.964317321777301</v>
      </c>
    </row>
    <row r="1362" spans="1:23" ht="18.95" customHeight="1">
      <c r="A1362" s="4">
        <v>1358</v>
      </c>
      <c r="B1362" s="4">
        <v>29205</v>
      </c>
      <c r="C1362" s="4">
        <v>1</v>
      </c>
      <c r="D1362" s="6">
        <v>0</v>
      </c>
      <c r="E1362" s="6">
        <v>0</v>
      </c>
      <c r="F1362" s="6">
        <v>-0.5</v>
      </c>
      <c r="G1362" s="6">
        <v>0.8125</v>
      </c>
      <c r="H1362" s="6">
        <v>0.75</v>
      </c>
      <c r="I1362" s="6">
        <v>1.375</v>
      </c>
      <c r="J1362" s="6">
        <v>-2.25</v>
      </c>
      <c r="K1362" s="6">
        <v>-18.5</v>
      </c>
      <c r="L1362" s="6">
        <v>-59.9375</v>
      </c>
      <c r="M1362" s="6">
        <v>0.5625</v>
      </c>
      <c r="N1362" s="6">
        <v>0.3125</v>
      </c>
      <c r="O1362" s="6">
        <v>0.75</v>
      </c>
      <c r="P1362" s="6">
        <v>-2.125</v>
      </c>
      <c r="Q1362" s="6">
        <v>-28.8125</v>
      </c>
      <c r="R1362" s="6">
        <v>-0.68378543853759799</v>
      </c>
      <c r="S1362" s="6">
        <v>4.2127637863159197</v>
      </c>
      <c r="T1362" s="6">
        <v>-0.161129951477051</v>
      </c>
      <c r="U1362" s="6">
        <v>1.2957006692886399</v>
      </c>
      <c r="V1362" s="6">
        <v>-37.178939819335902</v>
      </c>
      <c r="W1362" s="6">
        <v>-18.960426330566399</v>
      </c>
    </row>
    <row r="1363" spans="1:23" ht="18.95" customHeight="1">
      <c r="A1363" s="4">
        <v>1359</v>
      </c>
      <c r="B1363" s="4">
        <v>29225</v>
      </c>
      <c r="C1363" s="4">
        <v>1</v>
      </c>
      <c r="D1363" s="6">
        <v>0</v>
      </c>
      <c r="E1363" s="6">
        <v>0</v>
      </c>
      <c r="F1363" s="6">
        <v>-1.9375</v>
      </c>
      <c r="G1363" s="6">
        <v>0.1875</v>
      </c>
      <c r="H1363" s="6">
        <v>0.375</v>
      </c>
      <c r="I1363" s="6">
        <v>1.375</v>
      </c>
      <c r="J1363" s="6">
        <v>-2.25</v>
      </c>
      <c r="K1363" s="6">
        <v>-18.4375</v>
      </c>
      <c r="L1363" s="6">
        <v>-62.5</v>
      </c>
      <c r="M1363" s="6">
        <v>0.625</v>
      </c>
      <c r="N1363" s="6">
        <v>-6.25E-2</v>
      </c>
      <c r="O1363" s="6">
        <v>0.75</v>
      </c>
      <c r="P1363" s="6">
        <v>-2.125</v>
      </c>
      <c r="Q1363" s="6">
        <v>-27.625</v>
      </c>
      <c r="R1363" s="6">
        <v>6.4306020736694294E-2</v>
      </c>
      <c r="S1363" s="6">
        <v>6.9913897514343297</v>
      </c>
      <c r="T1363" s="6">
        <v>0.44955706596374501</v>
      </c>
      <c r="U1363" s="6">
        <v>1.2087479829788199</v>
      </c>
      <c r="V1363" s="6">
        <v>-36.957729339599602</v>
      </c>
      <c r="W1363" s="6">
        <v>-18.959953308105501</v>
      </c>
    </row>
    <row r="1364" spans="1:23" ht="18.95" customHeight="1">
      <c r="A1364" s="4">
        <v>1360</v>
      </c>
      <c r="B1364" s="4">
        <v>29246</v>
      </c>
      <c r="C1364" s="4">
        <v>1</v>
      </c>
      <c r="D1364" s="6">
        <v>0</v>
      </c>
      <c r="E1364" s="6">
        <v>0</v>
      </c>
      <c r="F1364" s="6">
        <v>-6.5625</v>
      </c>
      <c r="G1364" s="6">
        <v>0</v>
      </c>
      <c r="H1364" s="6">
        <v>0.25</v>
      </c>
      <c r="I1364" s="6">
        <v>1.375</v>
      </c>
      <c r="J1364" s="6">
        <v>-2.25</v>
      </c>
      <c r="K1364" s="6">
        <v>-18.3125</v>
      </c>
      <c r="L1364" s="6">
        <v>-63.5</v>
      </c>
      <c r="M1364" s="6">
        <v>0.625</v>
      </c>
      <c r="N1364" s="6">
        <v>0.125</v>
      </c>
      <c r="O1364" s="6">
        <v>0.6875</v>
      </c>
      <c r="P1364" s="6">
        <v>-2.1875</v>
      </c>
      <c r="Q1364" s="6">
        <v>-26.4375</v>
      </c>
      <c r="R1364" s="6">
        <v>-0.103632926940918</v>
      </c>
      <c r="S1364" s="6">
        <v>10.5639085769653</v>
      </c>
      <c r="T1364" s="6">
        <v>0.15948075056076</v>
      </c>
      <c r="U1364" s="6">
        <v>1.25787973403931</v>
      </c>
      <c r="V1364" s="6">
        <v>-36.826377868652301</v>
      </c>
      <c r="W1364" s="6">
        <v>-18.950361251831101</v>
      </c>
    </row>
    <row r="1365" spans="1:23" ht="18.95" customHeight="1">
      <c r="A1365" s="4">
        <v>1361</v>
      </c>
      <c r="B1365" s="4">
        <v>29266</v>
      </c>
      <c r="C1365" s="4">
        <v>1</v>
      </c>
      <c r="D1365" s="6">
        <v>0</v>
      </c>
      <c r="E1365" s="6">
        <v>0</v>
      </c>
      <c r="F1365" s="6">
        <v>-10.0625</v>
      </c>
      <c r="G1365" s="6">
        <v>-0.125</v>
      </c>
      <c r="H1365" s="6">
        <v>0.1875</v>
      </c>
      <c r="I1365" s="6">
        <v>1.375</v>
      </c>
      <c r="J1365" s="6">
        <v>-2.25</v>
      </c>
      <c r="K1365" s="6">
        <v>-18.1875</v>
      </c>
      <c r="L1365" s="6">
        <v>-65.875</v>
      </c>
      <c r="M1365" s="6">
        <v>0.625</v>
      </c>
      <c r="N1365" s="6">
        <v>-6.25E-2</v>
      </c>
      <c r="O1365" s="6">
        <v>0.6875</v>
      </c>
      <c r="P1365" s="6">
        <v>-2.1875</v>
      </c>
      <c r="Q1365" s="6">
        <v>-25.125</v>
      </c>
      <c r="R1365" s="6">
        <v>-2.7297019958496101E-2</v>
      </c>
      <c r="S1365" s="6">
        <v>13.9990234375</v>
      </c>
      <c r="T1365" s="6">
        <v>0.34268689155578602</v>
      </c>
      <c r="U1365" s="6">
        <v>1.2291500568389899</v>
      </c>
      <c r="V1365" s="6">
        <v>-36.450855255127003</v>
      </c>
      <c r="W1365" s="6">
        <v>-18.945295333862301</v>
      </c>
    </row>
    <row r="1366" spans="1:23" ht="18.95" customHeight="1">
      <c r="A1366" s="4">
        <v>1362</v>
      </c>
      <c r="B1366" s="4">
        <v>29286</v>
      </c>
      <c r="C1366" s="4">
        <v>1</v>
      </c>
      <c r="D1366" s="6">
        <v>0</v>
      </c>
      <c r="E1366" s="6">
        <v>0</v>
      </c>
      <c r="F1366" s="6">
        <v>-13.5625</v>
      </c>
      <c r="G1366" s="6">
        <v>-0.1875</v>
      </c>
      <c r="H1366" s="6">
        <v>0.25</v>
      </c>
      <c r="I1366" s="6">
        <v>1.375</v>
      </c>
      <c r="J1366" s="6">
        <v>-2.25</v>
      </c>
      <c r="K1366" s="6">
        <v>-17.875</v>
      </c>
      <c r="L1366" s="6">
        <v>-67.875</v>
      </c>
      <c r="M1366" s="6">
        <v>0.625</v>
      </c>
      <c r="N1366" s="6">
        <v>0.1875</v>
      </c>
      <c r="O1366" s="6">
        <v>0.6875</v>
      </c>
      <c r="P1366" s="6">
        <v>-2.1875</v>
      </c>
      <c r="Q1366" s="6">
        <v>-23.8125</v>
      </c>
      <c r="R1366" s="6">
        <v>-1.01966333389282</v>
      </c>
      <c r="S1366" s="6">
        <v>17.464672088623001</v>
      </c>
      <c r="T1366" s="6">
        <v>-0.29853454232215898</v>
      </c>
      <c r="U1366" s="6">
        <v>1.2986648082733201</v>
      </c>
      <c r="V1366" s="6">
        <v>-36.203853607177699</v>
      </c>
      <c r="W1366" s="6">
        <v>-18.944364547729499</v>
      </c>
    </row>
    <row r="1367" spans="1:23" ht="18.95" customHeight="1">
      <c r="A1367" s="4">
        <v>1363</v>
      </c>
      <c r="B1367" s="4">
        <v>29307</v>
      </c>
      <c r="C1367" s="4">
        <v>1</v>
      </c>
      <c r="D1367" s="6">
        <v>0</v>
      </c>
      <c r="E1367" s="6">
        <v>0</v>
      </c>
      <c r="F1367" s="6">
        <v>-17.0625</v>
      </c>
      <c r="G1367" s="6">
        <v>-0.5625</v>
      </c>
      <c r="H1367" s="6">
        <v>0.1875</v>
      </c>
      <c r="I1367" s="6">
        <v>1.3125</v>
      </c>
      <c r="J1367" s="6">
        <v>-2.25</v>
      </c>
      <c r="K1367" s="6">
        <v>-17.625</v>
      </c>
      <c r="L1367" s="6">
        <v>-69.8125</v>
      </c>
      <c r="M1367" s="6">
        <v>0.5625</v>
      </c>
      <c r="N1367" s="6">
        <v>6.25E-2</v>
      </c>
      <c r="O1367" s="6">
        <v>0.625</v>
      </c>
      <c r="P1367" s="6">
        <v>-2.1875</v>
      </c>
      <c r="Q1367" s="6">
        <v>-22.5</v>
      </c>
      <c r="R1367" s="6">
        <v>-1.2029886245727499E-2</v>
      </c>
      <c r="S1367" s="6">
        <v>21.1440620422363</v>
      </c>
      <c r="T1367" s="6">
        <v>0.58696162700653098</v>
      </c>
      <c r="U1367" s="6">
        <v>1.16626453399658</v>
      </c>
      <c r="V1367" s="6">
        <v>-35.7666625976562</v>
      </c>
      <c r="W1367" s="6">
        <v>-18.935367584228501</v>
      </c>
    </row>
    <row r="1368" spans="1:23" ht="18.95" customHeight="1">
      <c r="A1368" s="4">
        <v>1364</v>
      </c>
      <c r="B1368" s="4">
        <v>29329</v>
      </c>
      <c r="C1368" s="4">
        <v>1</v>
      </c>
      <c r="D1368" s="6">
        <v>0</v>
      </c>
      <c r="E1368" s="6">
        <v>0</v>
      </c>
      <c r="F1368" s="6">
        <v>-20.6875</v>
      </c>
      <c r="G1368" s="6">
        <v>-0.5</v>
      </c>
      <c r="H1368" s="6">
        <v>0.375</v>
      </c>
      <c r="I1368" s="6">
        <v>1.3125</v>
      </c>
      <c r="J1368" s="6">
        <v>-2.25</v>
      </c>
      <c r="K1368" s="6">
        <v>-17.1875</v>
      </c>
      <c r="L1368" s="6">
        <v>-72</v>
      </c>
      <c r="M1368" s="6">
        <v>0.75</v>
      </c>
      <c r="N1368" s="6">
        <v>0.25</v>
      </c>
      <c r="O1368" s="6">
        <v>0.5625</v>
      </c>
      <c r="P1368" s="6">
        <v>-2.1875</v>
      </c>
      <c r="Q1368" s="6">
        <v>-20.4375</v>
      </c>
      <c r="R1368" s="6">
        <v>-0.21050310134887701</v>
      </c>
      <c r="S1368" s="6">
        <v>24.518108367919901</v>
      </c>
      <c r="T1368" s="6">
        <v>0.63276314735412598</v>
      </c>
      <c r="U1368" s="6">
        <v>1.1951333284378101</v>
      </c>
      <c r="V1368" s="6">
        <v>-35.277908325195298</v>
      </c>
      <c r="W1368" s="6">
        <v>-18.921079635620099</v>
      </c>
    </row>
    <row r="1369" spans="1:23" ht="18.95" customHeight="1">
      <c r="A1369" s="4">
        <v>1365</v>
      </c>
      <c r="B1369" s="4">
        <v>29349</v>
      </c>
      <c r="C1369" s="4">
        <v>1</v>
      </c>
      <c r="D1369" s="6">
        <v>0</v>
      </c>
      <c r="E1369" s="6">
        <v>0</v>
      </c>
      <c r="F1369" s="6">
        <v>-24.0625</v>
      </c>
      <c r="G1369" s="6">
        <v>-0.125</v>
      </c>
      <c r="H1369" s="6">
        <v>0.5</v>
      </c>
      <c r="I1369" s="6">
        <v>1.3125</v>
      </c>
      <c r="J1369" s="6">
        <v>-2.25</v>
      </c>
      <c r="K1369" s="6">
        <v>-16.75</v>
      </c>
      <c r="L1369" s="6">
        <v>-72.3125</v>
      </c>
      <c r="M1369" s="6">
        <v>0.75</v>
      </c>
      <c r="N1369" s="6">
        <v>0.125</v>
      </c>
      <c r="O1369" s="6">
        <v>0.5625</v>
      </c>
      <c r="P1369" s="6">
        <v>-2.1875</v>
      </c>
      <c r="Q1369" s="6">
        <v>-19</v>
      </c>
      <c r="R1369" s="6">
        <v>-1.79828929901123</v>
      </c>
      <c r="S1369" s="6">
        <v>28.655511856079102</v>
      </c>
      <c r="T1369" s="6">
        <v>-0.13059562444686901</v>
      </c>
      <c r="U1369" s="6">
        <v>1.2150682210922199</v>
      </c>
      <c r="V1369" s="6">
        <v>-34.755958557128899</v>
      </c>
      <c r="W1369" s="6">
        <v>-18.920408248901399</v>
      </c>
    </row>
    <row r="1370" spans="1:23" ht="18.95" customHeight="1">
      <c r="A1370" s="4">
        <v>1366</v>
      </c>
      <c r="B1370" s="4">
        <v>29369</v>
      </c>
      <c r="C1370" s="4">
        <v>1</v>
      </c>
      <c r="D1370" s="6">
        <v>0</v>
      </c>
      <c r="E1370" s="6">
        <v>0</v>
      </c>
      <c r="F1370" s="6">
        <v>-28.125</v>
      </c>
      <c r="G1370" s="6">
        <v>-1</v>
      </c>
      <c r="H1370" s="6">
        <v>-0.25</v>
      </c>
      <c r="I1370" s="6">
        <v>1.3125</v>
      </c>
      <c r="J1370" s="6">
        <v>-2.25</v>
      </c>
      <c r="K1370" s="6">
        <v>-16.25</v>
      </c>
      <c r="L1370" s="6">
        <v>-74.625</v>
      </c>
      <c r="M1370" s="6">
        <v>0.6875</v>
      </c>
      <c r="N1370" s="6">
        <v>-0.1875</v>
      </c>
      <c r="O1370" s="6">
        <v>0.5</v>
      </c>
      <c r="P1370" s="6">
        <v>-2.1875</v>
      </c>
      <c r="Q1370" s="6">
        <v>-17.5625</v>
      </c>
      <c r="R1370" s="6">
        <v>-1.32500696182251</v>
      </c>
      <c r="S1370" s="6">
        <v>31.907421112060501</v>
      </c>
      <c r="T1370" s="6">
        <v>5.2610516548156697E-2</v>
      </c>
      <c r="U1370" s="6">
        <v>1.27555584907532</v>
      </c>
      <c r="V1370" s="6">
        <v>-34.186267852783203</v>
      </c>
      <c r="W1370" s="6">
        <v>-18.913372039794901</v>
      </c>
    </row>
    <row r="1371" spans="1:23" ht="18.95" customHeight="1">
      <c r="A1371" s="4">
        <v>1367</v>
      </c>
      <c r="B1371" s="4">
        <v>29391</v>
      </c>
      <c r="C1371" s="4">
        <v>1</v>
      </c>
      <c r="D1371" s="6">
        <v>0</v>
      </c>
      <c r="E1371" s="6">
        <v>0</v>
      </c>
      <c r="F1371" s="6">
        <v>-31.4375</v>
      </c>
      <c r="G1371" s="6">
        <v>-0.3125</v>
      </c>
      <c r="H1371" s="6">
        <v>0.3125</v>
      </c>
      <c r="I1371" s="6">
        <v>1.3125</v>
      </c>
      <c r="J1371" s="6">
        <v>-2.25</v>
      </c>
      <c r="K1371" s="6">
        <v>-15.625</v>
      </c>
      <c r="L1371" s="6">
        <v>-76.25</v>
      </c>
      <c r="M1371" s="6">
        <v>0.9375</v>
      </c>
      <c r="N1371" s="6">
        <v>0.125</v>
      </c>
      <c r="O1371" s="6">
        <v>0.5</v>
      </c>
      <c r="P1371" s="6">
        <v>-2.25</v>
      </c>
      <c r="Q1371" s="6">
        <v>-16.0625</v>
      </c>
      <c r="R1371" s="6">
        <v>-1.5540146827697801</v>
      </c>
      <c r="S1371" s="6">
        <v>36.258567810058601</v>
      </c>
      <c r="T1371" s="6">
        <v>9.8412036895751995E-2</v>
      </c>
      <c r="U1371" s="6">
        <v>1.2960406541824301</v>
      </c>
      <c r="V1371" s="6">
        <v>-33.45849609375</v>
      </c>
      <c r="W1371" s="6">
        <v>-18.904125213623001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2" width="16" customWidth="1"/>
  </cols>
  <sheetData>
    <row r="1" spans="1:22" ht="18.95" customHeight="1">
      <c r="A1" s="2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3.950000000000003" customHeight="1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  <c r="Q5" s="3" t="s">
        <v>79</v>
      </c>
      <c r="R5" s="3" t="s">
        <v>80</v>
      </c>
      <c r="S5" s="3" t="s">
        <v>81</v>
      </c>
      <c r="T5" s="3" t="s">
        <v>82</v>
      </c>
      <c r="U5" s="3" t="s">
        <v>83</v>
      </c>
      <c r="V5" s="3" t="s">
        <v>84</v>
      </c>
    </row>
    <row r="6" spans="1:22" ht="18.95" customHeight="1">
      <c r="A6" s="1">
        <v>0</v>
      </c>
      <c r="B6" s="6">
        <v>0</v>
      </c>
      <c r="C6" s="6">
        <f>TimeStep!B6</f>
        <v>0</v>
      </c>
      <c r="D6" s="6">
        <v>1.52</v>
      </c>
      <c r="E6" s="6">
        <v>0</v>
      </c>
      <c r="F6" s="6">
        <v>4.5720000000000001</v>
      </c>
      <c r="G6" s="6">
        <v>0</v>
      </c>
      <c r="H6" s="6">
        <v>4.79</v>
      </c>
      <c r="I6" s="6">
        <v>1.6319999999999999</v>
      </c>
      <c r="J6" s="6">
        <v>2.548</v>
      </c>
      <c r="K6" s="6">
        <v>1.958</v>
      </c>
      <c r="L6" s="6">
        <v>2.0529999999999999</v>
      </c>
      <c r="M6" s="6">
        <v>3.5430000000000001</v>
      </c>
      <c r="N6" s="6">
        <v>-59.759500000000003</v>
      </c>
      <c r="O6" s="6">
        <v>-59.759500000000003</v>
      </c>
      <c r="P6" s="6">
        <f t="shared" ref="P6:P69" si="0">DEGREES(ATAN2(J6-D6,K6-E6))</f>
        <v>62.29938022114176</v>
      </c>
      <c r="Q6" s="6">
        <f t="shared" ref="Q6:Q69" si="1">DEGREES(ATAN2(L6-D6,M6-E6))</f>
        <v>81.444721644132969</v>
      </c>
      <c r="R6" s="6">
        <f t="shared" ref="R6:R69" si="2">DEGREES(ATAN2(H6-F6,I6-G6))</f>
        <v>82.391559285509004</v>
      </c>
      <c r="S6" s="6">
        <f>P6</f>
        <v>62.29938022114176</v>
      </c>
      <c r="T6" s="6">
        <f>Q6</f>
        <v>81.444721644132969</v>
      </c>
      <c r="U6" s="6">
        <f>R6</f>
        <v>82.391559285509004</v>
      </c>
      <c r="V6" s="6">
        <f t="shared" ref="V6:V69" si="3">C6-B6*1000</f>
        <v>0</v>
      </c>
    </row>
    <row r="7" spans="1:22" ht="18.95" customHeight="1">
      <c r="A7" s="1">
        <v>1</v>
      </c>
      <c r="B7" s="6">
        <v>8.3333333333333003E-3</v>
      </c>
      <c r="C7" s="6">
        <f>TimeStep!B7</f>
        <v>8.3333333333333339</v>
      </c>
      <c r="D7" s="6">
        <v>1.52</v>
      </c>
      <c r="E7" s="6">
        <v>2.7E-2</v>
      </c>
      <c r="F7" s="6">
        <v>4.5720000000000001</v>
      </c>
      <c r="G7" s="6">
        <v>0</v>
      </c>
      <c r="H7" s="6">
        <v>4.8040000000000003</v>
      </c>
      <c r="I7" s="6">
        <v>1.63</v>
      </c>
      <c r="J7" s="6">
        <v>2.5649999999999999</v>
      </c>
      <c r="K7" s="6">
        <v>1.976</v>
      </c>
      <c r="L7" s="6">
        <v>2.0840000000000001</v>
      </c>
      <c r="M7" s="6">
        <v>3.5649999999999999</v>
      </c>
      <c r="N7" s="6">
        <v>-59.931399999999996</v>
      </c>
      <c r="O7" s="6">
        <v>-58.327100000000002</v>
      </c>
      <c r="P7" s="6">
        <f t="shared" si="0"/>
        <v>61.801019062996922</v>
      </c>
      <c r="Q7" s="6">
        <f t="shared" si="1"/>
        <v>80.942569640687267</v>
      </c>
      <c r="R7" s="6">
        <f t="shared" si="2"/>
        <v>81.899426476512417</v>
      </c>
      <c r="S7" s="6">
        <f t="shared" ref="S7:S70" si="4">S6+MOD(P7-P6+180,360)-180</f>
        <v>61.801019062996943</v>
      </c>
      <c r="T7" s="6">
        <f t="shared" ref="T7:T70" si="5">T6+MOD(Q7-Q6+180,360)-180</f>
        <v>80.942569640687282</v>
      </c>
      <c r="U7" s="6">
        <f t="shared" ref="U7:U70" si="6">U6+MOD(R7-R6+180,360)-180</f>
        <v>81.899426476512417</v>
      </c>
      <c r="V7" s="6">
        <f t="shared" si="3"/>
        <v>3.3750779948604759E-14</v>
      </c>
    </row>
    <row r="8" spans="1:22" ht="18.95" customHeight="1">
      <c r="A8" s="1">
        <v>2</v>
      </c>
      <c r="B8" s="6">
        <v>1.6666666666666601E-2</v>
      </c>
      <c r="C8" s="6">
        <f>TimeStep!B8</f>
        <v>16.666666666666668</v>
      </c>
      <c r="D8" s="6">
        <v>1.5189999999999999</v>
      </c>
      <c r="E8" s="6">
        <v>5.2999999999999999E-2</v>
      </c>
      <c r="F8" s="6">
        <v>4.5720000000000001</v>
      </c>
      <c r="G8" s="6">
        <v>0</v>
      </c>
      <c r="H8" s="6">
        <v>4.8179999999999996</v>
      </c>
      <c r="I8" s="6">
        <v>1.6279999999999999</v>
      </c>
      <c r="J8" s="6">
        <v>2.581</v>
      </c>
      <c r="K8" s="6">
        <v>1.9930000000000001</v>
      </c>
      <c r="L8" s="6">
        <v>2.1139999999999999</v>
      </c>
      <c r="M8" s="6">
        <v>3.5859999999999999</v>
      </c>
      <c r="N8" s="6">
        <v>-59.988700000000001</v>
      </c>
      <c r="O8" s="6">
        <v>-56.8947</v>
      </c>
      <c r="P8" s="6">
        <f t="shared" si="0"/>
        <v>61.302703552242548</v>
      </c>
      <c r="Q8" s="6">
        <f t="shared" si="1"/>
        <v>80.440401519544039</v>
      </c>
      <c r="R8" s="6">
        <f t="shared" si="2"/>
        <v>81.407289310503231</v>
      </c>
      <c r="S8" s="6">
        <f t="shared" si="4"/>
        <v>61.302703552242576</v>
      </c>
      <c r="T8" s="6">
        <f t="shared" si="5"/>
        <v>80.440401519544025</v>
      </c>
      <c r="U8" s="6">
        <f t="shared" si="6"/>
        <v>81.407289310503245</v>
      </c>
      <c r="V8" s="6">
        <f t="shared" si="3"/>
        <v>6.7501559897209518E-14</v>
      </c>
    </row>
    <row r="9" spans="1:22" ht="18.95" customHeight="1">
      <c r="A9" s="1">
        <v>3</v>
      </c>
      <c r="B9" s="6">
        <v>2.5000000000000001E-2</v>
      </c>
      <c r="C9" s="6">
        <f>TimeStep!B9</f>
        <v>25</v>
      </c>
      <c r="D9" s="6">
        <v>1.518</v>
      </c>
      <c r="E9" s="6">
        <v>0.08</v>
      </c>
      <c r="F9" s="6">
        <v>4.5720000000000001</v>
      </c>
      <c r="G9" s="6">
        <v>0</v>
      </c>
      <c r="H9" s="6">
        <v>4.8310000000000004</v>
      </c>
      <c r="I9" s="6">
        <v>1.6259999999999999</v>
      </c>
      <c r="J9" s="6">
        <v>2.597</v>
      </c>
      <c r="K9" s="6">
        <v>2.0099999999999998</v>
      </c>
      <c r="L9" s="6">
        <v>2.1429999999999998</v>
      </c>
      <c r="M9" s="6">
        <v>3.6070000000000002</v>
      </c>
      <c r="N9" s="6">
        <v>-60.045999999999999</v>
      </c>
      <c r="O9" s="6">
        <v>-55.347700000000003</v>
      </c>
      <c r="P9" s="6">
        <f t="shared" si="0"/>
        <v>60.791869250998239</v>
      </c>
      <c r="Q9" s="6">
        <f t="shared" si="1"/>
        <v>79.951249524284464</v>
      </c>
      <c r="R9" s="6">
        <f t="shared" si="2"/>
        <v>80.949582440541917</v>
      </c>
      <c r="S9" s="6">
        <f t="shared" si="4"/>
        <v>60.791869250998275</v>
      </c>
      <c r="T9" s="6">
        <f t="shared" si="5"/>
        <v>79.951249524284435</v>
      </c>
      <c r="U9" s="6">
        <f t="shared" si="6"/>
        <v>80.949582440541917</v>
      </c>
      <c r="V9" s="6">
        <f t="shared" si="3"/>
        <v>0</v>
      </c>
    </row>
    <row r="10" spans="1:22" ht="18.95" customHeight="1">
      <c r="A10" s="1">
        <v>4</v>
      </c>
      <c r="B10" s="6">
        <v>3.3333333333333298E-2</v>
      </c>
      <c r="C10" s="6">
        <f>TimeStep!B10</f>
        <v>33.333333333333336</v>
      </c>
      <c r="D10" s="6">
        <v>1.516</v>
      </c>
      <c r="E10" s="6">
        <v>0.106</v>
      </c>
      <c r="F10" s="6">
        <v>4.5720000000000001</v>
      </c>
      <c r="G10" s="6">
        <v>0</v>
      </c>
      <c r="H10" s="6">
        <v>4.8440000000000003</v>
      </c>
      <c r="I10" s="6">
        <v>1.6240000000000001</v>
      </c>
      <c r="J10" s="6">
        <v>2.6120000000000001</v>
      </c>
      <c r="K10" s="6">
        <v>2.0270000000000001</v>
      </c>
      <c r="L10" s="6">
        <v>2.173</v>
      </c>
      <c r="M10" s="6">
        <v>3.6280000000000001</v>
      </c>
      <c r="N10" s="6">
        <v>-60.045999999999999</v>
      </c>
      <c r="O10" s="6">
        <v>-53.743400000000001</v>
      </c>
      <c r="P10" s="6">
        <f t="shared" si="0"/>
        <v>60.29367791175936</v>
      </c>
      <c r="Q10" s="6">
        <f t="shared" si="1"/>
        <v>79.433393627529583</v>
      </c>
      <c r="R10" s="6">
        <f t="shared" si="2"/>
        <v>80.49191439953907</v>
      </c>
      <c r="S10" s="6">
        <f t="shared" si="4"/>
        <v>60.293677911759403</v>
      </c>
      <c r="T10" s="6">
        <f t="shared" si="5"/>
        <v>79.43339362752954</v>
      </c>
      <c r="U10" s="6">
        <f t="shared" si="6"/>
        <v>80.491914399539041</v>
      </c>
      <c r="V10" s="6">
        <f t="shared" si="3"/>
        <v>0</v>
      </c>
    </row>
    <row r="11" spans="1:22" ht="18.95" customHeight="1">
      <c r="A11" s="1">
        <v>5</v>
      </c>
      <c r="B11" s="6">
        <v>4.1666666666666602E-2</v>
      </c>
      <c r="C11" s="6">
        <f>TimeStep!B11</f>
        <v>41.666666666666671</v>
      </c>
      <c r="D11" s="6">
        <v>1.514</v>
      </c>
      <c r="E11" s="6">
        <v>0.13200000000000001</v>
      </c>
      <c r="F11" s="6">
        <v>4.5720000000000001</v>
      </c>
      <c r="G11" s="6">
        <v>0</v>
      </c>
      <c r="H11" s="6">
        <v>4.8559999999999999</v>
      </c>
      <c r="I11" s="6">
        <v>1.6220000000000001</v>
      </c>
      <c r="J11" s="6">
        <v>2.6269999999999998</v>
      </c>
      <c r="K11" s="6">
        <v>2.044</v>
      </c>
      <c r="L11" s="6">
        <v>2.2010000000000001</v>
      </c>
      <c r="M11" s="6">
        <v>3.649</v>
      </c>
      <c r="N11" s="6">
        <v>-59.988700000000001</v>
      </c>
      <c r="O11" s="6">
        <v>-52.139200000000002</v>
      </c>
      <c r="P11" s="6">
        <f t="shared" si="0"/>
        <v>59.795760050804375</v>
      </c>
      <c r="Q11" s="6">
        <f t="shared" si="1"/>
        <v>78.947194407536003</v>
      </c>
      <c r="R11" s="6">
        <f t="shared" si="2"/>
        <v>80.068613399309967</v>
      </c>
      <c r="S11" s="6">
        <f t="shared" si="4"/>
        <v>59.795760050804404</v>
      </c>
      <c r="T11" s="6">
        <f t="shared" si="5"/>
        <v>78.94719440753596</v>
      </c>
      <c r="U11" s="6">
        <f t="shared" si="6"/>
        <v>80.068613399309925</v>
      </c>
      <c r="V11" s="6">
        <f t="shared" si="3"/>
        <v>7.1054273576010019E-14</v>
      </c>
    </row>
    <row r="12" spans="1:22" ht="18.95" customHeight="1">
      <c r="A12" s="1">
        <v>6</v>
      </c>
      <c r="B12" s="6">
        <v>0.05</v>
      </c>
      <c r="C12" s="6">
        <f>TimeStep!B12</f>
        <v>50</v>
      </c>
      <c r="D12" s="6">
        <v>1.512</v>
      </c>
      <c r="E12" s="6">
        <v>0.159</v>
      </c>
      <c r="F12" s="6">
        <v>4.5720000000000001</v>
      </c>
      <c r="G12" s="6">
        <v>0</v>
      </c>
      <c r="H12" s="6">
        <v>4.8680000000000003</v>
      </c>
      <c r="I12" s="6">
        <v>1.62</v>
      </c>
      <c r="J12" s="6">
        <v>2.641</v>
      </c>
      <c r="K12" s="6">
        <v>2.06</v>
      </c>
      <c r="L12" s="6">
        <v>2.2290000000000001</v>
      </c>
      <c r="M12" s="6">
        <v>3.669</v>
      </c>
      <c r="N12" s="6">
        <v>-59.874099999999999</v>
      </c>
      <c r="O12" s="6">
        <v>-50.477600000000002</v>
      </c>
      <c r="P12" s="6">
        <f t="shared" si="0"/>
        <v>59.294010516604601</v>
      </c>
      <c r="Q12" s="6">
        <f t="shared" si="1"/>
        <v>78.454825870676842</v>
      </c>
      <c r="R12" s="6">
        <f t="shared" si="2"/>
        <v>79.645363598502584</v>
      </c>
      <c r="S12" s="6">
        <f t="shared" si="4"/>
        <v>59.294010516604629</v>
      </c>
      <c r="T12" s="6">
        <f t="shared" si="5"/>
        <v>78.454825870676814</v>
      </c>
      <c r="U12" s="6">
        <f t="shared" si="6"/>
        <v>79.645363598502513</v>
      </c>
      <c r="V12" s="6">
        <f t="shared" si="3"/>
        <v>0</v>
      </c>
    </row>
    <row r="13" spans="1:22" ht="18.95" customHeight="1">
      <c r="A13" s="1">
        <v>7</v>
      </c>
      <c r="B13" s="6">
        <v>5.83333333333333E-2</v>
      </c>
      <c r="C13" s="6">
        <f>TimeStep!B13</f>
        <v>58.333333333333336</v>
      </c>
      <c r="D13" s="6">
        <v>1.5089999999999999</v>
      </c>
      <c r="E13" s="6">
        <v>0.185</v>
      </c>
      <c r="F13" s="6">
        <v>4.5720000000000001</v>
      </c>
      <c r="G13" s="6">
        <v>0</v>
      </c>
      <c r="H13" s="6">
        <v>4.88</v>
      </c>
      <c r="I13" s="6">
        <v>1.617</v>
      </c>
      <c r="J13" s="6">
        <v>2.6539999999999999</v>
      </c>
      <c r="K13" s="6">
        <v>2.077</v>
      </c>
      <c r="L13" s="6">
        <v>2.2570000000000001</v>
      </c>
      <c r="M13" s="6">
        <v>3.6890000000000001</v>
      </c>
      <c r="N13" s="6">
        <v>-59.702199999999998</v>
      </c>
      <c r="O13" s="6">
        <v>-48.758699999999997</v>
      </c>
      <c r="P13" s="6">
        <f t="shared" si="0"/>
        <v>58.818524996937022</v>
      </c>
      <c r="Q13" s="6">
        <f t="shared" si="1"/>
        <v>77.949917985679221</v>
      </c>
      <c r="R13" s="6">
        <f t="shared" si="2"/>
        <v>79.2157021324374</v>
      </c>
      <c r="S13" s="6">
        <f t="shared" si="4"/>
        <v>58.818524996937043</v>
      </c>
      <c r="T13" s="6">
        <f t="shared" si="5"/>
        <v>77.949917985679178</v>
      </c>
      <c r="U13" s="6">
        <f t="shared" si="6"/>
        <v>79.215702132437343</v>
      </c>
      <c r="V13" s="6">
        <f t="shared" si="3"/>
        <v>0</v>
      </c>
    </row>
    <row r="14" spans="1:22" ht="18.95" customHeight="1">
      <c r="A14" s="1">
        <v>8</v>
      </c>
      <c r="B14" s="6">
        <v>6.6666666666666596E-2</v>
      </c>
      <c r="C14" s="6">
        <f>TimeStep!B14</f>
        <v>66.666666666666671</v>
      </c>
      <c r="D14" s="6">
        <v>1.5049999999999999</v>
      </c>
      <c r="E14" s="6">
        <v>0.21199999999999999</v>
      </c>
      <c r="F14" s="6">
        <v>4.5720000000000001</v>
      </c>
      <c r="G14" s="6">
        <v>0</v>
      </c>
      <c r="H14" s="6">
        <v>4.891</v>
      </c>
      <c r="I14" s="6">
        <v>1.615</v>
      </c>
      <c r="J14" s="6">
        <v>2.6669999999999998</v>
      </c>
      <c r="K14" s="6">
        <v>2.093</v>
      </c>
      <c r="L14" s="6">
        <v>2.2839999999999998</v>
      </c>
      <c r="M14" s="6">
        <v>3.7090000000000001</v>
      </c>
      <c r="N14" s="6">
        <v>-59.530299999999997</v>
      </c>
      <c r="O14" s="6">
        <v>-47.0398</v>
      </c>
      <c r="P14" s="6">
        <f t="shared" si="0"/>
        <v>58.294031075030567</v>
      </c>
      <c r="Q14" s="6">
        <f t="shared" si="1"/>
        <v>77.44170398696059</v>
      </c>
      <c r="R14" s="6">
        <f t="shared" si="2"/>
        <v>78.826583301748073</v>
      </c>
      <c r="S14" s="6">
        <f t="shared" si="4"/>
        <v>58.294031075030574</v>
      </c>
      <c r="T14" s="6">
        <f t="shared" si="5"/>
        <v>77.441703986960533</v>
      </c>
      <c r="U14" s="6">
        <f t="shared" si="6"/>
        <v>78.82658330174803</v>
      </c>
      <c r="V14" s="6">
        <f t="shared" si="3"/>
        <v>0</v>
      </c>
    </row>
    <row r="15" spans="1:22" ht="18.95" customHeight="1">
      <c r="A15" s="1">
        <v>9</v>
      </c>
      <c r="B15" s="6">
        <v>7.4999999999999997E-2</v>
      </c>
      <c r="C15" s="6">
        <f>TimeStep!B15</f>
        <v>75</v>
      </c>
      <c r="D15" s="6">
        <v>1.5009999999999999</v>
      </c>
      <c r="E15" s="6">
        <v>0.23799999999999999</v>
      </c>
      <c r="F15" s="6">
        <v>4.5720000000000001</v>
      </c>
      <c r="G15" s="6">
        <v>0</v>
      </c>
      <c r="H15" s="6">
        <v>4.9020000000000001</v>
      </c>
      <c r="I15" s="6">
        <v>1.613</v>
      </c>
      <c r="J15" s="6">
        <v>2.6789999999999998</v>
      </c>
      <c r="K15" s="6">
        <v>2.109</v>
      </c>
      <c r="L15" s="6">
        <v>2.31</v>
      </c>
      <c r="M15" s="6">
        <v>3.7280000000000002</v>
      </c>
      <c r="N15" s="6">
        <v>-59.2438</v>
      </c>
      <c r="O15" s="6">
        <v>-45.2637</v>
      </c>
      <c r="P15" s="6">
        <f t="shared" si="0"/>
        <v>57.805078275988166</v>
      </c>
      <c r="Q15" s="6">
        <f t="shared" si="1"/>
        <v>76.949042835901821</v>
      </c>
      <c r="R15" s="6">
        <f t="shared" si="2"/>
        <v>78.437544581908867</v>
      </c>
      <c r="S15" s="6">
        <f t="shared" si="4"/>
        <v>57.805078275988166</v>
      </c>
      <c r="T15" s="6">
        <f t="shared" si="5"/>
        <v>76.949042835901764</v>
      </c>
      <c r="U15" s="6">
        <f t="shared" si="6"/>
        <v>78.43754458190881</v>
      </c>
      <c r="V15" s="6">
        <f t="shared" si="3"/>
        <v>0</v>
      </c>
    </row>
    <row r="16" spans="1:22" ht="18.95" customHeight="1">
      <c r="A16" s="1">
        <v>10</v>
      </c>
      <c r="B16" s="6">
        <v>8.3333333333333301E-2</v>
      </c>
      <c r="C16" s="6">
        <f>TimeStep!B16</f>
        <v>83.333333333333343</v>
      </c>
      <c r="D16" s="6">
        <v>1.4970000000000001</v>
      </c>
      <c r="E16" s="6">
        <v>0.26400000000000001</v>
      </c>
      <c r="F16" s="6">
        <v>4.5720000000000001</v>
      </c>
      <c r="G16" s="6">
        <v>0</v>
      </c>
      <c r="H16" s="6">
        <v>4.9130000000000003</v>
      </c>
      <c r="I16" s="6">
        <v>1.611</v>
      </c>
      <c r="J16" s="6">
        <v>2.6909999999999998</v>
      </c>
      <c r="K16" s="6">
        <v>2.125</v>
      </c>
      <c r="L16" s="6">
        <v>2.335</v>
      </c>
      <c r="M16" s="6">
        <v>3.7469999999999999</v>
      </c>
      <c r="N16" s="6">
        <v>-58.9574</v>
      </c>
      <c r="O16" s="6">
        <v>-43.487499999999997</v>
      </c>
      <c r="P16" s="6">
        <f t="shared" si="0"/>
        <v>57.316153081618481</v>
      </c>
      <c r="Q16" s="6">
        <f t="shared" si="1"/>
        <v>76.471918367705157</v>
      </c>
      <c r="R16" s="6">
        <f t="shared" si="2"/>
        <v>78.048621806431285</v>
      </c>
      <c r="S16" s="6">
        <f t="shared" si="4"/>
        <v>57.316153081618467</v>
      </c>
      <c r="T16" s="6">
        <f t="shared" si="5"/>
        <v>76.471918367705086</v>
      </c>
      <c r="U16" s="6">
        <f t="shared" si="6"/>
        <v>78.048621806431242</v>
      </c>
      <c r="V16" s="6">
        <f t="shared" si="3"/>
        <v>0</v>
      </c>
    </row>
    <row r="17" spans="1:22" ht="18.95" customHeight="1">
      <c r="A17" s="1">
        <v>11</v>
      </c>
      <c r="B17" s="6">
        <v>9.1666666666666605E-2</v>
      </c>
      <c r="C17" s="6">
        <f>TimeStep!B17</f>
        <v>91.666666666666671</v>
      </c>
      <c r="D17" s="6">
        <v>1.492</v>
      </c>
      <c r="E17" s="6">
        <v>0.28999999999999998</v>
      </c>
      <c r="F17" s="6">
        <v>4.5720000000000001</v>
      </c>
      <c r="G17" s="6">
        <v>0</v>
      </c>
      <c r="H17" s="6">
        <v>4.923</v>
      </c>
      <c r="I17" s="6">
        <v>1.609</v>
      </c>
      <c r="J17" s="6">
        <v>2.702</v>
      </c>
      <c r="K17" s="6">
        <v>2.141</v>
      </c>
      <c r="L17" s="6">
        <v>2.3610000000000002</v>
      </c>
      <c r="M17" s="6">
        <v>3.766</v>
      </c>
      <c r="N17" s="6">
        <v>-58.670900000000003</v>
      </c>
      <c r="O17" s="6">
        <v>-41.654000000000003</v>
      </c>
      <c r="P17" s="6">
        <f t="shared" si="0"/>
        <v>56.827326678431923</v>
      </c>
      <c r="Q17" s="6">
        <f t="shared" si="1"/>
        <v>75.963756532073518</v>
      </c>
      <c r="R17" s="6">
        <f t="shared" si="2"/>
        <v>77.693838274911158</v>
      </c>
      <c r="S17" s="6">
        <f t="shared" si="4"/>
        <v>56.827326678431916</v>
      </c>
      <c r="T17" s="6">
        <f t="shared" si="5"/>
        <v>75.963756532073432</v>
      </c>
      <c r="U17" s="6">
        <f t="shared" si="6"/>
        <v>77.693838274911116</v>
      </c>
      <c r="V17" s="6">
        <f t="shared" si="3"/>
        <v>0</v>
      </c>
    </row>
    <row r="18" spans="1:22" ht="18.95" customHeight="1">
      <c r="A18" s="1">
        <v>12</v>
      </c>
      <c r="B18" s="6">
        <v>9.9999999999999895E-2</v>
      </c>
      <c r="C18" s="6">
        <f>TimeStep!B18</f>
        <v>100</v>
      </c>
      <c r="D18" s="6">
        <v>1.4870000000000001</v>
      </c>
      <c r="E18" s="6">
        <v>0.316</v>
      </c>
      <c r="F18" s="6">
        <v>4.5720000000000001</v>
      </c>
      <c r="G18" s="6">
        <v>0</v>
      </c>
      <c r="H18" s="6">
        <v>4.9320000000000004</v>
      </c>
      <c r="I18" s="6">
        <v>1.607</v>
      </c>
      <c r="J18" s="6">
        <v>2.7130000000000001</v>
      </c>
      <c r="K18" s="6">
        <v>2.157</v>
      </c>
      <c r="L18" s="6">
        <v>2.3849999999999998</v>
      </c>
      <c r="M18" s="6">
        <v>3.7850000000000001</v>
      </c>
      <c r="N18" s="6">
        <v>-58.269799999999996</v>
      </c>
      <c r="O18" s="6">
        <v>-39.820599999999999</v>
      </c>
      <c r="P18" s="6">
        <f t="shared" si="0"/>
        <v>56.338670166663952</v>
      </c>
      <c r="Q18" s="6">
        <f t="shared" si="1"/>
        <v>75.486755174141223</v>
      </c>
      <c r="R18" s="6">
        <f t="shared" si="2"/>
        <v>77.373076713479563</v>
      </c>
      <c r="S18" s="6">
        <f t="shared" si="4"/>
        <v>56.338670166663945</v>
      </c>
      <c r="T18" s="6">
        <f t="shared" si="5"/>
        <v>75.486755174141138</v>
      </c>
      <c r="U18" s="6">
        <f t="shared" si="6"/>
        <v>77.37307671347952</v>
      </c>
      <c r="V18" s="6">
        <f t="shared" si="3"/>
        <v>0</v>
      </c>
    </row>
    <row r="19" spans="1:22" ht="18.95" customHeight="1">
      <c r="A19" s="1">
        <v>13</v>
      </c>
      <c r="B19" s="6">
        <v>0.1083333333333333</v>
      </c>
      <c r="C19" s="6">
        <f>TimeStep!B19</f>
        <v>108.33333333333334</v>
      </c>
      <c r="D19" s="6">
        <v>1.4810000000000001</v>
      </c>
      <c r="E19" s="6">
        <v>0.34200000000000003</v>
      </c>
      <c r="F19" s="6">
        <v>4.5720000000000001</v>
      </c>
      <c r="G19" s="6">
        <v>0</v>
      </c>
      <c r="H19" s="6">
        <v>4.9409999999999998</v>
      </c>
      <c r="I19" s="6">
        <v>1.605</v>
      </c>
      <c r="J19" s="6">
        <v>2.722</v>
      </c>
      <c r="K19" s="6">
        <v>2.1720000000000002</v>
      </c>
      <c r="L19" s="6">
        <v>2.4079999999999999</v>
      </c>
      <c r="M19" s="6">
        <v>3.8029999999999999</v>
      </c>
      <c r="N19" s="6">
        <v>-57.868699999999997</v>
      </c>
      <c r="O19" s="6">
        <v>-37.9298</v>
      </c>
      <c r="P19" s="6">
        <f t="shared" si="0"/>
        <v>55.857152874276835</v>
      </c>
      <c r="Q19" s="6">
        <f t="shared" si="1"/>
        <v>75.005748362211634</v>
      </c>
      <c r="R19" s="6">
        <f t="shared" si="2"/>
        <v>77.052321302044845</v>
      </c>
      <c r="S19" s="6">
        <f t="shared" si="4"/>
        <v>55.857152874276835</v>
      </c>
      <c r="T19" s="6">
        <f t="shared" si="5"/>
        <v>75.005748362211534</v>
      </c>
      <c r="U19" s="6">
        <f t="shared" si="6"/>
        <v>77.052321302044788</v>
      </c>
      <c r="V19" s="6">
        <f t="shared" si="3"/>
        <v>0</v>
      </c>
    </row>
    <row r="20" spans="1:22" ht="18.95" customHeight="1">
      <c r="A20" s="1">
        <v>14</v>
      </c>
      <c r="B20" s="6">
        <v>0.1166666666666666</v>
      </c>
      <c r="C20" s="6">
        <f>TimeStep!B20</f>
        <v>116.66666666666667</v>
      </c>
      <c r="D20" s="6">
        <v>1.4750000000000001</v>
      </c>
      <c r="E20" s="6">
        <v>0.36799999999999999</v>
      </c>
      <c r="F20" s="6">
        <v>4.5720000000000001</v>
      </c>
      <c r="G20" s="6">
        <v>0</v>
      </c>
      <c r="H20" s="6">
        <v>4.95</v>
      </c>
      <c r="I20" s="6">
        <v>1.603</v>
      </c>
      <c r="J20" s="6">
        <v>2.7309999999999999</v>
      </c>
      <c r="K20" s="6">
        <v>2.1880000000000002</v>
      </c>
      <c r="L20" s="6">
        <v>2.431</v>
      </c>
      <c r="M20" s="6">
        <v>3.8210000000000002</v>
      </c>
      <c r="N20" s="6">
        <v>-57.410400000000003</v>
      </c>
      <c r="O20" s="6">
        <v>-36.039000000000001</v>
      </c>
      <c r="P20" s="6">
        <f t="shared" si="0"/>
        <v>55.390059211529774</v>
      </c>
      <c r="Q20" s="6">
        <f t="shared" si="1"/>
        <v>74.524681226073938</v>
      </c>
      <c r="R20" s="6">
        <f t="shared" si="2"/>
        <v>76.731592143713556</v>
      </c>
      <c r="S20" s="6">
        <f t="shared" si="4"/>
        <v>55.390059211529774</v>
      </c>
      <c r="T20" s="6">
        <f t="shared" si="5"/>
        <v>74.524681226073824</v>
      </c>
      <c r="U20" s="6">
        <f t="shared" si="6"/>
        <v>76.731592143713499</v>
      </c>
      <c r="V20" s="6">
        <f t="shared" si="3"/>
        <v>0</v>
      </c>
    </row>
    <row r="21" spans="1:22" ht="18.95" customHeight="1">
      <c r="A21" s="1">
        <v>15</v>
      </c>
      <c r="B21" s="6">
        <v>0.1249999999999999</v>
      </c>
      <c r="C21" s="6">
        <f>TimeStep!B21</f>
        <v>125.00000000000001</v>
      </c>
      <c r="D21" s="6">
        <v>1.468</v>
      </c>
      <c r="E21" s="6">
        <v>0.39300000000000002</v>
      </c>
      <c r="F21" s="6">
        <v>4.5720000000000001</v>
      </c>
      <c r="G21" s="6">
        <v>0</v>
      </c>
      <c r="H21" s="6">
        <v>4.9580000000000002</v>
      </c>
      <c r="I21" s="6">
        <v>1.601</v>
      </c>
      <c r="J21" s="6">
        <v>2.74</v>
      </c>
      <c r="K21" s="6">
        <v>2.2029999999999998</v>
      </c>
      <c r="L21" s="6">
        <v>2.4529999999999998</v>
      </c>
      <c r="M21" s="6">
        <v>3.8380000000000001</v>
      </c>
      <c r="N21" s="6">
        <v>-56.951999999999998</v>
      </c>
      <c r="O21" s="6">
        <v>-34.091000000000001</v>
      </c>
      <c r="P21" s="6">
        <f t="shared" si="0"/>
        <v>54.901892343959553</v>
      </c>
      <c r="Q21" s="6">
        <f t="shared" si="1"/>
        <v>74.04362158444971</v>
      </c>
      <c r="R21" s="6">
        <f t="shared" si="2"/>
        <v>76.444726004740758</v>
      </c>
      <c r="S21" s="6">
        <f t="shared" si="4"/>
        <v>54.90189234395956</v>
      </c>
      <c r="T21" s="6">
        <f t="shared" si="5"/>
        <v>74.043621584449596</v>
      </c>
      <c r="U21" s="6">
        <f t="shared" si="6"/>
        <v>76.444726004740687</v>
      </c>
      <c r="V21" s="6">
        <f t="shared" si="3"/>
        <v>1.1368683772161603E-13</v>
      </c>
    </row>
    <row r="22" spans="1:22" ht="18.95" customHeight="1">
      <c r="A22" s="1">
        <v>16</v>
      </c>
      <c r="B22" s="6">
        <v>0.1333333333333333</v>
      </c>
      <c r="C22" s="6">
        <f>TimeStep!B22</f>
        <v>133.33333333333334</v>
      </c>
      <c r="D22" s="6">
        <v>1.4610000000000001</v>
      </c>
      <c r="E22" s="6">
        <v>0.41899999999999998</v>
      </c>
      <c r="F22" s="6">
        <v>4.5720000000000001</v>
      </c>
      <c r="G22" s="6">
        <v>0</v>
      </c>
      <c r="H22" s="6">
        <v>4.9660000000000002</v>
      </c>
      <c r="I22" s="6">
        <v>1.599</v>
      </c>
      <c r="J22" s="6">
        <v>2.7480000000000002</v>
      </c>
      <c r="K22" s="6">
        <v>2.218</v>
      </c>
      <c r="L22" s="6">
        <v>2.4740000000000002</v>
      </c>
      <c r="M22" s="6">
        <v>3.8559999999999999</v>
      </c>
      <c r="N22" s="6">
        <v>-56.436300000000003</v>
      </c>
      <c r="O22" s="6">
        <v>-32.200200000000002</v>
      </c>
      <c r="P22" s="6">
        <f t="shared" si="0"/>
        <v>54.420166397197384</v>
      </c>
      <c r="Q22" s="6">
        <f t="shared" si="1"/>
        <v>73.577973953276697</v>
      </c>
      <c r="R22" s="6">
        <f t="shared" si="2"/>
        <v>76.157835749844338</v>
      </c>
      <c r="S22" s="6">
        <f t="shared" si="4"/>
        <v>54.420166397197391</v>
      </c>
      <c r="T22" s="6">
        <f t="shared" si="5"/>
        <v>73.577973953276597</v>
      </c>
      <c r="U22" s="6">
        <f t="shared" si="6"/>
        <v>76.157835749844253</v>
      </c>
      <c r="V22" s="6">
        <f t="shared" si="3"/>
        <v>0</v>
      </c>
    </row>
    <row r="23" spans="1:22" ht="18.95" customHeight="1">
      <c r="A23" s="1">
        <v>17</v>
      </c>
      <c r="B23" s="6">
        <v>0.14166666666666661</v>
      </c>
      <c r="C23" s="6">
        <f>TimeStep!B23</f>
        <v>141.66666666666669</v>
      </c>
      <c r="D23" s="6">
        <v>1.454</v>
      </c>
      <c r="E23" s="6">
        <v>0.44400000000000001</v>
      </c>
      <c r="F23" s="6">
        <v>4.5720000000000001</v>
      </c>
      <c r="G23" s="6">
        <v>0</v>
      </c>
      <c r="H23" s="6">
        <v>4.9729999999999999</v>
      </c>
      <c r="I23" s="6">
        <v>1.597</v>
      </c>
      <c r="J23" s="6">
        <v>2.7549999999999999</v>
      </c>
      <c r="K23" s="6">
        <v>2.2330000000000001</v>
      </c>
      <c r="L23" s="6">
        <v>2.4950000000000001</v>
      </c>
      <c r="M23" s="6">
        <v>3.8730000000000002</v>
      </c>
      <c r="N23" s="6">
        <v>-55.920699999999997</v>
      </c>
      <c r="O23" s="6">
        <v>-30.252199999999998</v>
      </c>
      <c r="P23" s="6">
        <f t="shared" si="0"/>
        <v>53.974530951636254</v>
      </c>
      <c r="Q23" s="6">
        <f t="shared" si="1"/>
        <v>73.112389276022924</v>
      </c>
      <c r="R23" s="6">
        <f t="shared" si="2"/>
        <v>75.904680038560159</v>
      </c>
      <c r="S23" s="6">
        <f t="shared" si="4"/>
        <v>53.974530951636268</v>
      </c>
      <c r="T23" s="6">
        <f t="shared" si="5"/>
        <v>73.11238927602281</v>
      </c>
      <c r="U23" s="6">
        <f t="shared" si="6"/>
        <v>75.904680038560059</v>
      </c>
      <c r="V23" s="6">
        <f t="shared" si="3"/>
        <v>0</v>
      </c>
    </row>
    <row r="24" spans="1:22" ht="18.95" customHeight="1">
      <c r="A24" s="1">
        <v>18</v>
      </c>
      <c r="B24" s="6">
        <v>0.15</v>
      </c>
      <c r="C24" s="6">
        <f>TimeStep!B24</f>
        <v>150</v>
      </c>
      <c r="D24" s="6">
        <v>1.446</v>
      </c>
      <c r="E24" s="6">
        <v>0.47</v>
      </c>
      <c r="F24" s="6">
        <v>4.5720000000000001</v>
      </c>
      <c r="G24" s="6">
        <v>0</v>
      </c>
      <c r="H24" s="6">
        <v>4.9800000000000004</v>
      </c>
      <c r="I24" s="6">
        <v>1.595</v>
      </c>
      <c r="J24" s="6">
        <v>2.7610000000000001</v>
      </c>
      <c r="K24" s="6">
        <v>2.2469999999999999</v>
      </c>
      <c r="L24" s="6">
        <v>2.5150000000000001</v>
      </c>
      <c r="M24" s="6">
        <v>3.8889999999999998</v>
      </c>
      <c r="N24" s="6">
        <v>-55.347700000000003</v>
      </c>
      <c r="O24" s="6">
        <v>-28.3614</v>
      </c>
      <c r="P24" s="6">
        <f t="shared" si="0"/>
        <v>53.498142198067455</v>
      </c>
      <c r="Q24" s="6">
        <f t="shared" si="1"/>
        <v>72.637388009881718</v>
      </c>
      <c r="R24" s="6">
        <f t="shared" si="2"/>
        <v>75.651452046655166</v>
      </c>
      <c r="S24" s="6">
        <f t="shared" si="4"/>
        <v>53.498142198067455</v>
      </c>
      <c r="T24" s="6">
        <f t="shared" si="5"/>
        <v>72.637388009881619</v>
      </c>
      <c r="U24" s="6">
        <f t="shared" si="6"/>
        <v>75.651452046655066</v>
      </c>
      <c r="V24" s="6">
        <f t="shared" si="3"/>
        <v>0</v>
      </c>
    </row>
    <row r="25" spans="1:22" ht="18.95" customHeight="1">
      <c r="A25" s="1">
        <v>19</v>
      </c>
      <c r="B25" s="6">
        <v>0.1583333333333333</v>
      </c>
      <c r="C25" s="6">
        <f>TimeStep!B25</f>
        <v>158.33333333333334</v>
      </c>
      <c r="D25" s="6">
        <v>1.4370000000000001</v>
      </c>
      <c r="E25" s="6">
        <v>0.495</v>
      </c>
      <c r="F25" s="6">
        <v>4.5720000000000001</v>
      </c>
      <c r="G25" s="6">
        <v>0</v>
      </c>
      <c r="H25" s="6">
        <v>4.9859999999999998</v>
      </c>
      <c r="I25" s="6">
        <v>1.5940000000000001</v>
      </c>
      <c r="J25" s="6">
        <v>2.7669999999999999</v>
      </c>
      <c r="K25" s="6">
        <v>2.262</v>
      </c>
      <c r="L25" s="6">
        <v>2.5339999999999998</v>
      </c>
      <c r="M25" s="6">
        <v>3.9060000000000001</v>
      </c>
      <c r="N25" s="6">
        <v>-54.774799999999999</v>
      </c>
      <c r="O25" s="6">
        <v>-26.413399999999999</v>
      </c>
      <c r="P25" s="6">
        <f t="shared" si="0"/>
        <v>53.031656094483743</v>
      </c>
      <c r="Q25" s="6">
        <f t="shared" si="1"/>
        <v>72.171868164616043</v>
      </c>
      <c r="R25" s="6">
        <f t="shared" si="2"/>
        <v>75.440599005191032</v>
      </c>
      <c r="S25" s="6">
        <f t="shared" si="4"/>
        <v>53.031656094483736</v>
      </c>
      <c r="T25" s="6">
        <f t="shared" si="5"/>
        <v>72.171868164615944</v>
      </c>
      <c r="U25" s="6">
        <f t="shared" si="6"/>
        <v>75.440599005190933</v>
      </c>
      <c r="V25" s="6">
        <f t="shared" si="3"/>
        <v>0</v>
      </c>
    </row>
    <row r="26" spans="1:22" ht="18.95" customHeight="1">
      <c r="A26" s="1">
        <v>20</v>
      </c>
      <c r="B26" s="6">
        <v>0.1666666666666666</v>
      </c>
      <c r="C26" s="6">
        <f>TimeStep!B26</f>
        <v>166.66666666666669</v>
      </c>
      <c r="D26" s="6">
        <v>1.4279999999999999</v>
      </c>
      <c r="E26" s="6">
        <v>0.52</v>
      </c>
      <c r="F26" s="6">
        <v>4.5720000000000001</v>
      </c>
      <c r="G26" s="6">
        <v>0</v>
      </c>
      <c r="H26" s="6">
        <v>4.992</v>
      </c>
      <c r="I26" s="6">
        <v>1.5920000000000001</v>
      </c>
      <c r="J26" s="6">
        <v>2.7719999999999998</v>
      </c>
      <c r="K26" s="6">
        <v>2.2759999999999998</v>
      </c>
      <c r="L26" s="6">
        <v>2.552</v>
      </c>
      <c r="M26" s="6">
        <v>3.9220000000000002</v>
      </c>
      <c r="N26" s="6">
        <v>-54.144500000000001</v>
      </c>
      <c r="O26" s="6">
        <v>-24.465299999999999</v>
      </c>
      <c r="P26" s="6">
        <f t="shared" si="0"/>
        <v>52.570429111089148</v>
      </c>
      <c r="Q26" s="6">
        <f t="shared" si="1"/>
        <v>71.716760741806766</v>
      </c>
      <c r="R26" s="6">
        <f t="shared" si="2"/>
        <v>75.221012548584085</v>
      </c>
      <c r="S26" s="6">
        <f t="shared" si="4"/>
        <v>52.57042911108914</v>
      </c>
      <c r="T26" s="6">
        <f t="shared" si="5"/>
        <v>71.716760741806667</v>
      </c>
      <c r="U26" s="6">
        <f t="shared" si="6"/>
        <v>75.221012548583985</v>
      </c>
      <c r="V26" s="6">
        <f t="shared" si="3"/>
        <v>0</v>
      </c>
    </row>
    <row r="27" spans="1:22" ht="18.95" customHeight="1">
      <c r="A27" s="1">
        <v>21</v>
      </c>
      <c r="B27" s="6">
        <v>0.17499999999999999</v>
      </c>
      <c r="C27" s="6">
        <f>TimeStep!B27</f>
        <v>175</v>
      </c>
      <c r="D27" s="6">
        <v>1.419</v>
      </c>
      <c r="E27" s="6">
        <v>0.54500000000000004</v>
      </c>
      <c r="F27" s="6">
        <v>4.5720000000000001</v>
      </c>
      <c r="G27" s="6">
        <v>0</v>
      </c>
      <c r="H27" s="6">
        <v>4.9969999999999999</v>
      </c>
      <c r="I27" s="6">
        <v>1.591</v>
      </c>
      <c r="J27" s="6">
        <v>2.7770000000000001</v>
      </c>
      <c r="K27" s="6">
        <v>2.2909999999999999</v>
      </c>
      <c r="L27" s="6">
        <v>2.569</v>
      </c>
      <c r="M27" s="6">
        <v>3.9380000000000002</v>
      </c>
      <c r="N27" s="6">
        <v>-53.514299999999999</v>
      </c>
      <c r="O27" s="6">
        <v>-22.517199999999999</v>
      </c>
      <c r="P27" s="6">
        <f t="shared" si="0"/>
        <v>52.125016348901802</v>
      </c>
      <c r="Q27" s="6">
        <f t="shared" si="1"/>
        <v>71.276779319458129</v>
      </c>
      <c r="R27" s="6">
        <f t="shared" si="2"/>
        <v>75.043929837870692</v>
      </c>
      <c r="S27" s="6">
        <f t="shared" si="4"/>
        <v>52.125016348901795</v>
      </c>
      <c r="T27" s="6">
        <f t="shared" si="5"/>
        <v>71.276779319458029</v>
      </c>
      <c r="U27" s="6">
        <f t="shared" si="6"/>
        <v>75.043929837870593</v>
      </c>
      <c r="V27" s="6">
        <f t="shared" si="3"/>
        <v>0</v>
      </c>
    </row>
    <row r="28" spans="1:22" ht="18.95" customHeight="1">
      <c r="A28" s="1">
        <v>22</v>
      </c>
      <c r="B28" s="6">
        <v>0.18333333333333329</v>
      </c>
      <c r="C28" s="6">
        <f>TimeStep!B28</f>
        <v>183.33333333333334</v>
      </c>
      <c r="D28" s="6">
        <v>1.409</v>
      </c>
      <c r="E28" s="6">
        <v>0.56999999999999995</v>
      </c>
      <c r="F28" s="6">
        <v>4.5720000000000001</v>
      </c>
      <c r="G28" s="6">
        <v>0</v>
      </c>
      <c r="H28" s="6">
        <v>5.0019999999999998</v>
      </c>
      <c r="I28" s="6">
        <v>1.589</v>
      </c>
      <c r="J28" s="6">
        <v>2.78</v>
      </c>
      <c r="K28" s="6">
        <v>2.3050000000000002</v>
      </c>
      <c r="L28" s="6">
        <v>2.5859999999999999</v>
      </c>
      <c r="M28" s="6">
        <v>3.9540000000000002</v>
      </c>
      <c r="N28" s="6">
        <v>-52.884</v>
      </c>
      <c r="O28" s="6">
        <v>-20.569199999999999</v>
      </c>
      <c r="P28" s="6">
        <f t="shared" si="0"/>
        <v>51.684148434579747</v>
      </c>
      <c r="Q28" s="6">
        <f t="shared" si="1"/>
        <v>70.821648674394567</v>
      </c>
      <c r="R28" s="6">
        <f t="shared" si="2"/>
        <v>74.857830366996055</v>
      </c>
      <c r="S28" s="6">
        <f t="shared" si="4"/>
        <v>51.684148434579754</v>
      </c>
      <c r="T28" s="6">
        <f t="shared" si="5"/>
        <v>70.821648674394481</v>
      </c>
      <c r="U28" s="6">
        <f t="shared" si="6"/>
        <v>74.857830366995955</v>
      </c>
      <c r="V28" s="6">
        <f t="shared" si="3"/>
        <v>0</v>
      </c>
    </row>
    <row r="29" spans="1:22" ht="18.95" customHeight="1">
      <c r="A29" s="1">
        <v>23</v>
      </c>
      <c r="B29" s="6">
        <v>0.1916666666666666</v>
      </c>
      <c r="C29" s="6">
        <f>TimeStep!B29</f>
        <v>191.66666666666669</v>
      </c>
      <c r="D29" s="6">
        <v>1.399</v>
      </c>
      <c r="E29" s="6">
        <v>0.59399999999999997</v>
      </c>
      <c r="F29" s="6">
        <v>4.5720000000000001</v>
      </c>
      <c r="G29" s="6">
        <v>0</v>
      </c>
      <c r="H29" s="6">
        <v>5.0069999999999997</v>
      </c>
      <c r="I29" s="6">
        <v>1.5880000000000001</v>
      </c>
      <c r="J29" s="6">
        <v>2.7829999999999999</v>
      </c>
      <c r="K29" s="6">
        <v>2.319</v>
      </c>
      <c r="L29" s="6">
        <v>2.601</v>
      </c>
      <c r="M29" s="6">
        <v>3.9689999999999999</v>
      </c>
      <c r="N29" s="6">
        <v>-52.1965</v>
      </c>
      <c r="O29" s="6">
        <v>-18.621099999999998</v>
      </c>
      <c r="P29" s="6">
        <f t="shared" si="0"/>
        <v>51.259271272189643</v>
      </c>
      <c r="Q29" s="6">
        <f t="shared" si="1"/>
        <v>70.396737356480884</v>
      </c>
      <c r="R29" s="6">
        <f t="shared" si="2"/>
        <v>74.680788670941894</v>
      </c>
      <c r="S29" s="6">
        <f t="shared" si="4"/>
        <v>51.259271272189665</v>
      </c>
      <c r="T29" s="6">
        <f t="shared" si="5"/>
        <v>70.396737356480799</v>
      </c>
      <c r="U29" s="6">
        <f t="shared" si="6"/>
        <v>74.68078867094178</v>
      </c>
      <c r="V29" s="6">
        <f t="shared" si="3"/>
        <v>0</v>
      </c>
    </row>
    <row r="30" spans="1:22" ht="18.95" customHeight="1">
      <c r="A30" s="1">
        <v>24</v>
      </c>
      <c r="B30" s="6">
        <v>0.1999999999999999</v>
      </c>
      <c r="C30" s="6">
        <f>TimeStep!B30</f>
        <v>200</v>
      </c>
      <c r="D30" s="6">
        <v>1.389</v>
      </c>
      <c r="E30" s="6">
        <v>0.61799999999999999</v>
      </c>
      <c r="F30" s="6">
        <v>4.5720000000000001</v>
      </c>
      <c r="G30" s="6">
        <v>0</v>
      </c>
      <c r="H30" s="6">
        <v>5.0110000000000001</v>
      </c>
      <c r="I30" s="6">
        <v>1.587</v>
      </c>
      <c r="J30" s="6">
        <v>2.786</v>
      </c>
      <c r="K30" s="6">
        <v>2.3330000000000002</v>
      </c>
      <c r="L30" s="6">
        <v>2.6160000000000001</v>
      </c>
      <c r="M30" s="6">
        <v>3.984</v>
      </c>
      <c r="N30" s="6">
        <v>-51.508899999999997</v>
      </c>
      <c r="O30" s="6">
        <v>-16.730399999999999</v>
      </c>
      <c r="P30" s="6">
        <f t="shared" si="0"/>
        <v>50.834522997252151</v>
      </c>
      <c r="Q30" s="6">
        <f t="shared" si="1"/>
        <v>69.97180452084288</v>
      </c>
      <c r="R30" s="6">
        <f t="shared" si="2"/>
        <v>74.537355145392979</v>
      </c>
      <c r="S30" s="6">
        <f t="shared" si="4"/>
        <v>50.834522997252179</v>
      </c>
      <c r="T30" s="6">
        <f t="shared" si="5"/>
        <v>69.971804520842795</v>
      </c>
      <c r="U30" s="6">
        <f t="shared" si="6"/>
        <v>74.537355145392866</v>
      </c>
      <c r="V30" s="6">
        <f t="shared" si="3"/>
        <v>0</v>
      </c>
    </row>
    <row r="31" spans="1:22" ht="18.95" customHeight="1">
      <c r="A31" s="1">
        <v>25</v>
      </c>
      <c r="B31" s="6">
        <v>0.20833333333333329</v>
      </c>
      <c r="C31" s="6">
        <f>TimeStep!B31</f>
        <v>208.33333333333334</v>
      </c>
      <c r="D31" s="6">
        <v>1.3779999999999999</v>
      </c>
      <c r="E31" s="6">
        <v>0.64300000000000002</v>
      </c>
      <c r="F31" s="6">
        <v>4.5720000000000001</v>
      </c>
      <c r="G31" s="6">
        <v>0</v>
      </c>
      <c r="H31" s="6">
        <v>5.0149999999999997</v>
      </c>
      <c r="I31" s="6">
        <v>1.5860000000000001</v>
      </c>
      <c r="J31" s="6">
        <v>2.7869999999999999</v>
      </c>
      <c r="K31" s="6">
        <v>2.3460000000000001</v>
      </c>
      <c r="L31" s="6">
        <v>2.63</v>
      </c>
      <c r="M31" s="6">
        <v>3.9990000000000001</v>
      </c>
      <c r="N31" s="6">
        <v>-50.821399999999997</v>
      </c>
      <c r="O31" s="6">
        <v>-14.782299999999999</v>
      </c>
      <c r="P31" s="6">
        <f t="shared" si="0"/>
        <v>50.396886649953004</v>
      </c>
      <c r="Q31" s="6">
        <f t="shared" si="1"/>
        <v>69.541307337843833</v>
      </c>
      <c r="R31" s="6">
        <f t="shared" si="2"/>
        <v>74.393939499638364</v>
      </c>
      <c r="S31" s="6">
        <f t="shared" si="4"/>
        <v>50.396886649953046</v>
      </c>
      <c r="T31" s="6">
        <f t="shared" si="5"/>
        <v>69.541307337843762</v>
      </c>
      <c r="U31" s="6">
        <f t="shared" si="6"/>
        <v>74.393939499638265</v>
      </c>
      <c r="V31" s="6">
        <f t="shared" si="3"/>
        <v>0</v>
      </c>
    </row>
    <row r="32" spans="1:22" ht="18.95" customHeight="1">
      <c r="A32" s="1">
        <v>26</v>
      </c>
      <c r="B32" s="6">
        <v>0.21666666666666659</v>
      </c>
      <c r="C32" s="6">
        <f>TimeStep!B32</f>
        <v>216.66666666666669</v>
      </c>
      <c r="D32" s="6">
        <v>1.3660000000000001</v>
      </c>
      <c r="E32" s="6">
        <v>0.66700000000000004</v>
      </c>
      <c r="F32" s="6">
        <v>4.5720000000000001</v>
      </c>
      <c r="G32" s="6">
        <v>0</v>
      </c>
      <c r="H32" s="6">
        <v>5.0179999999999998</v>
      </c>
      <c r="I32" s="6">
        <v>1.585</v>
      </c>
      <c r="J32" s="6">
        <v>2.7890000000000001</v>
      </c>
      <c r="K32" s="6">
        <v>2.36</v>
      </c>
      <c r="L32" s="6">
        <v>2.6429999999999998</v>
      </c>
      <c r="M32" s="6">
        <v>4.0140000000000002</v>
      </c>
      <c r="N32" s="6">
        <v>-50.133800000000001</v>
      </c>
      <c r="O32" s="6">
        <v>-12.8916</v>
      </c>
      <c r="P32" s="6">
        <f t="shared" si="0"/>
        <v>49.952284115127192</v>
      </c>
      <c r="Q32" s="6">
        <f t="shared" si="1"/>
        <v>69.116361349054046</v>
      </c>
      <c r="R32" s="6">
        <f t="shared" si="2"/>
        <v>74.284034541824965</v>
      </c>
      <c r="S32" s="6">
        <f t="shared" si="4"/>
        <v>49.952284115127242</v>
      </c>
      <c r="T32" s="6">
        <f t="shared" si="5"/>
        <v>69.116361349053989</v>
      </c>
      <c r="U32" s="6">
        <f t="shared" si="6"/>
        <v>74.284034541824866</v>
      </c>
      <c r="V32" s="6">
        <f t="shared" si="3"/>
        <v>0</v>
      </c>
    </row>
    <row r="33" spans="1:22" ht="18.95" customHeight="1">
      <c r="A33" s="1">
        <v>27</v>
      </c>
      <c r="B33" s="6">
        <v>0.22499999999999989</v>
      </c>
      <c r="C33" s="6">
        <f>TimeStep!B33</f>
        <v>225.00000000000003</v>
      </c>
      <c r="D33" s="6">
        <v>1.3540000000000001</v>
      </c>
      <c r="E33" s="6">
        <v>0.69</v>
      </c>
      <c r="F33" s="6">
        <v>4.5720000000000001</v>
      </c>
      <c r="G33" s="6">
        <v>0</v>
      </c>
      <c r="H33" s="6">
        <v>5.0209999999999999</v>
      </c>
      <c r="I33" s="6">
        <v>1.5840000000000001</v>
      </c>
      <c r="J33" s="6">
        <v>2.7890000000000001</v>
      </c>
      <c r="K33" s="6">
        <v>2.3730000000000002</v>
      </c>
      <c r="L33" s="6">
        <v>2.6560000000000001</v>
      </c>
      <c r="M33" s="6">
        <v>4.0279999999999996</v>
      </c>
      <c r="N33" s="6">
        <v>-49.389000000000003</v>
      </c>
      <c r="O33" s="6">
        <v>-11.0008</v>
      </c>
      <c r="P33" s="6">
        <f t="shared" si="0"/>
        <v>49.547627402754912</v>
      </c>
      <c r="Q33" s="6">
        <f t="shared" si="1"/>
        <v>68.69153467903044</v>
      </c>
      <c r="R33" s="6">
        <f t="shared" si="2"/>
        <v>74.174109556332155</v>
      </c>
      <c r="S33" s="6">
        <f t="shared" si="4"/>
        <v>49.547627402754955</v>
      </c>
      <c r="T33" s="6">
        <f t="shared" si="5"/>
        <v>68.691534679030383</v>
      </c>
      <c r="U33" s="6">
        <f t="shared" si="6"/>
        <v>74.17410955633207</v>
      </c>
      <c r="V33" s="6">
        <f t="shared" si="3"/>
        <v>0</v>
      </c>
    </row>
    <row r="34" spans="1:22" ht="18.95" customHeight="1">
      <c r="A34" s="1">
        <v>28</v>
      </c>
      <c r="B34" s="6">
        <v>0.23333333333333331</v>
      </c>
      <c r="C34" s="6">
        <f>TimeStep!B34</f>
        <v>233.33333333333334</v>
      </c>
      <c r="D34" s="6">
        <v>1.3420000000000001</v>
      </c>
      <c r="E34" s="6">
        <v>0.71399999999999997</v>
      </c>
      <c r="F34" s="6">
        <v>4.5720000000000001</v>
      </c>
      <c r="G34" s="6">
        <v>0</v>
      </c>
      <c r="H34" s="6">
        <v>5.0229999999999997</v>
      </c>
      <c r="I34" s="6">
        <v>1.5840000000000001</v>
      </c>
      <c r="J34" s="6">
        <v>2.7890000000000001</v>
      </c>
      <c r="K34" s="6">
        <v>2.3860000000000001</v>
      </c>
      <c r="L34" s="6">
        <v>2.6669999999999998</v>
      </c>
      <c r="M34" s="6">
        <v>4.0430000000000001</v>
      </c>
      <c r="N34" s="6">
        <v>-48.644100000000002</v>
      </c>
      <c r="O34" s="6">
        <v>-9.1672999999999991</v>
      </c>
      <c r="P34" s="6">
        <f t="shared" si="0"/>
        <v>49.126084503871731</v>
      </c>
      <c r="Q34" s="6">
        <f t="shared" si="1"/>
        <v>68.296582681587566</v>
      </c>
      <c r="R34" s="6">
        <f t="shared" si="2"/>
        <v>74.107169019662663</v>
      </c>
      <c r="S34" s="6">
        <f t="shared" si="4"/>
        <v>49.126084503871766</v>
      </c>
      <c r="T34" s="6">
        <f t="shared" si="5"/>
        <v>68.296582681587495</v>
      </c>
      <c r="U34" s="6">
        <f t="shared" si="6"/>
        <v>74.107169019662564</v>
      </c>
      <c r="V34" s="6">
        <f t="shared" si="3"/>
        <v>0</v>
      </c>
    </row>
    <row r="35" spans="1:22" ht="18.95" customHeight="1">
      <c r="A35" s="1">
        <v>29</v>
      </c>
      <c r="B35" s="6">
        <v>0.24166666666666661</v>
      </c>
      <c r="C35" s="6">
        <f>TimeStep!B35</f>
        <v>241.66666666666669</v>
      </c>
      <c r="D35" s="6">
        <v>1.329</v>
      </c>
      <c r="E35" s="6">
        <v>0.73699999999999999</v>
      </c>
      <c r="F35" s="6">
        <v>4.5720000000000001</v>
      </c>
      <c r="G35" s="6">
        <v>0</v>
      </c>
      <c r="H35" s="6">
        <v>5.0250000000000004</v>
      </c>
      <c r="I35" s="6">
        <v>1.583</v>
      </c>
      <c r="J35" s="6">
        <v>2.7879999999999998</v>
      </c>
      <c r="K35" s="6">
        <v>2.4</v>
      </c>
      <c r="L35" s="6">
        <v>2.6779999999999999</v>
      </c>
      <c r="M35" s="6">
        <v>4.0570000000000004</v>
      </c>
      <c r="N35" s="6">
        <v>-47.899299999999997</v>
      </c>
      <c r="O35" s="6">
        <v>-7.2766000000000002</v>
      </c>
      <c r="P35" s="6">
        <f t="shared" si="0"/>
        <v>48.738547848019735</v>
      </c>
      <c r="Q35" s="6">
        <f t="shared" si="1"/>
        <v>67.886848494631337</v>
      </c>
      <c r="R35" s="6">
        <f t="shared" si="2"/>
        <v>74.030704968272858</v>
      </c>
      <c r="S35" s="6">
        <f t="shared" si="4"/>
        <v>48.738547848019778</v>
      </c>
      <c r="T35" s="6">
        <f t="shared" si="5"/>
        <v>67.886848494631266</v>
      </c>
      <c r="U35" s="6">
        <f t="shared" si="6"/>
        <v>74.030704968272772</v>
      </c>
      <c r="V35" s="6">
        <f t="shared" si="3"/>
        <v>0</v>
      </c>
    </row>
    <row r="36" spans="1:22" ht="18.95" customHeight="1">
      <c r="A36" s="1">
        <v>30</v>
      </c>
      <c r="B36" s="6">
        <v>0.24999999999999989</v>
      </c>
      <c r="C36" s="6">
        <f>TimeStep!B36</f>
        <v>250.00000000000003</v>
      </c>
      <c r="D36" s="6">
        <v>1.3160000000000001</v>
      </c>
      <c r="E36" s="6">
        <v>0.76</v>
      </c>
      <c r="F36" s="6">
        <v>4.5720000000000001</v>
      </c>
      <c r="G36" s="6">
        <v>0</v>
      </c>
      <c r="H36" s="6">
        <v>5.0259999999999998</v>
      </c>
      <c r="I36" s="6">
        <v>1.583</v>
      </c>
      <c r="J36" s="6">
        <v>2.786</v>
      </c>
      <c r="K36" s="6">
        <v>2.4129999999999998</v>
      </c>
      <c r="L36" s="6">
        <v>2.6880000000000002</v>
      </c>
      <c r="M36" s="6">
        <v>4.07</v>
      </c>
      <c r="N36" s="6">
        <v>-47.154400000000003</v>
      </c>
      <c r="O36" s="6">
        <v>-5.4431000000000003</v>
      </c>
      <c r="P36" s="6">
        <f t="shared" si="0"/>
        <v>48.353554755434743</v>
      </c>
      <c r="Q36" s="6">
        <f t="shared" si="1"/>
        <v>67.485919325023133</v>
      </c>
      <c r="R36" s="6">
        <f t="shared" si="2"/>
        <v>73.997255769395508</v>
      </c>
      <c r="S36" s="6">
        <f t="shared" si="4"/>
        <v>48.3535547554348</v>
      </c>
      <c r="T36" s="6">
        <f t="shared" si="5"/>
        <v>67.485919325023048</v>
      </c>
      <c r="U36" s="6">
        <f t="shared" si="6"/>
        <v>73.997255769395423</v>
      </c>
      <c r="V36" s="6">
        <f t="shared" si="3"/>
        <v>0</v>
      </c>
    </row>
    <row r="37" spans="1:22" ht="18.95" customHeight="1">
      <c r="A37" s="1">
        <v>31</v>
      </c>
      <c r="B37" s="6">
        <v>0.2583333333333333</v>
      </c>
      <c r="C37" s="6">
        <f>TimeStep!B37</f>
        <v>258.33333333333337</v>
      </c>
      <c r="D37" s="6">
        <v>1.3029999999999999</v>
      </c>
      <c r="E37" s="6">
        <v>0.78300000000000003</v>
      </c>
      <c r="F37" s="6">
        <v>4.5720000000000001</v>
      </c>
      <c r="G37" s="6">
        <v>0</v>
      </c>
      <c r="H37" s="6">
        <v>5.0270000000000001</v>
      </c>
      <c r="I37" s="6">
        <v>1.5820000000000001</v>
      </c>
      <c r="J37" s="6">
        <v>2.7839999999999998</v>
      </c>
      <c r="K37" s="6">
        <v>2.4249999999999998</v>
      </c>
      <c r="L37" s="6">
        <v>2.6970000000000001</v>
      </c>
      <c r="M37" s="6">
        <v>4.0839999999999996</v>
      </c>
      <c r="N37" s="6">
        <v>-46.409599999999998</v>
      </c>
      <c r="O37" s="6">
        <v>-3.6669</v>
      </c>
      <c r="P37" s="6">
        <f t="shared" si="0"/>
        <v>47.951156382556491</v>
      </c>
      <c r="Q37" s="6">
        <f t="shared" si="1"/>
        <v>67.105847532616423</v>
      </c>
      <c r="R37" s="6">
        <f t="shared" si="2"/>
        <v>73.954202719052375</v>
      </c>
      <c r="S37" s="6">
        <f t="shared" si="4"/>
        <v>47.951156382556547</v>
      </c>
      <c r="T37" s="6">
        <f t="shared" si="5"/>
        <v>67.105847532616338</v>
      </c>
      <c r="U37" s="6">
        <f t="shared" si="6"/>
        <v>73.95420271905229</v>
      </c>
      <c r="V37" s="6">
        <f t="shared" si="3"/>
        <v>0</v>
      </c>
    </row>
    <row r="38" spans="1:22" ht="18.95" customHeight="1">
      <c r="A38" s="1">
        <v>32</v>
      </c>
      <c r="B38" s="6">
        <v>0.26666666666666661</v>
      </c>
      <c r="C38" s="6">
        <f>TimeStep!B38</f>
        <v>266.66666666666669</v>
      </c>
      <c r="D38" s="6">
        <v>1.2889999999999999</v>
      </c>
      <c r="E38" s="6">
        <v>0.80600000000000005</v>
      </c>
      <c r="F38" s="6">
        <v>4.5720000000000001</v>
      </c>
      <c r="G38" s="6">
        <v>0</v>
      </c>
      <c r="H38" s="6">
        <v>5.0279999999999996</v>
      </c>
      <c r="I38" s="6">
        <v>1.5820000000000001</v>
      </c>
      <c r="J38" s="6">
        <v>2.7810000000000001</v>
      </c>
      <c r="K38" s="6">
        <v>2.4380000000000002</v>
      </c>
      <c r="L38" s="6">
        <v>2.7050000000000001</v>
      </c>
      <c r="M38" s="6">
        <v>4.0970000000000004</v>
      </c>
      <c r="N38" s="6">
        <v>-45.664700000000003</v>
      </c>
      <c r="O38" s="6">
        <v>-1.8334999999999999</v>
      </c>
      <c r="P38" s="6">
        <f t="shared" si="0"/>
        <v>47.565955738604352</v>
      </c>
      <c r="Q38" s="6">
        <f t="shared" si="1"/>
        <v>66.7195134306711</v>
      </c>
      <c r="R38" s="6">
        <f t="shared" si="2"/>
        <v>73.920758036329289</v>
      </c>
      <c r="S38" s="6">
        <f t="shared" si="4"/>
        <v>47.565955738604401</v>
      </c>
      <c r="T38" s="6">
        <f t="shared" si="5"/>
        <v>66.719513430671014</v>
      </c>
      <c r="U38" s="6">
        <f t="shared" si="6"/>
        <v>73.920758036329204</v>
      </c>
      <c r="V38" s="6">
        <f t="shared" si="3"/>
        <v>0</v>
      </c>
    </row>
    <row r="39" spans="1:22" ht="18.95" customHeight="1">
      <c r="A39" s="1">
        <v>33</v>
      </c>
      <c r="B39" s="6">
        <v>0.27500000000000002</v>
      </c>
      <c r="C39" s="6">
        <f>TimeStep!B39</f>
        <v>275</v>
      </c>
      <c r="D39" s="6">
        <v>1.2749999999999999</v>
      </c>
      <c r="E39" s="6">
        <v>0.82799999999999996</v>
      </c>
      <c r="F39" s="6">
        <v>4.5720000000000001</v>
      </c>
      <c r="G39" s="6">
        <v>0</v>
      </c>
      <c r="H39" s="6">
        <v>5.0279999999999996</v>
      </c>
      <c r="I39" s="6">
        <v>1.5820000000000001</v>
      </c>
      <c r="J39" s="6">
        <v>2.7770000000000001</v>
      </c>
      <c r="K39" s="6">
        <v>2.4510000000000001</v>
      </c>
      <c r="L39" s="6">
        <v>2.7120000000000002</v>
      </c>
      <c r="M39" s="6">
        <v>4.1100000000000003</v>
      </c>
      <c r="N39" s="6">
        <v>-44.919899999999998</v>
      </c>
      <c r="O39" s="6">
        <v>-5.7299999999999997E-2</v>
      </c>
      <c r="P39" s="6">
        <f t="shared" si="0"/>
        <v>47.217384895897894</v>
      </c>
      <c r="Q39" s="6">
        <f t="shared" si="1"/>
        <v>66.354139809373123</v>
      </c>
      <c r="R39" s="6">
        <f t="shared" si="2"/>
        <v>73.920758036329289</v>
      </c>
      <c r="S39" s="6">
        <f t="shared" si="4"/>
        <v>47.217384895897936</v>
      </c>
      <c r="T39" s="6">
        <f t="shared" si="5"/>
        <v>66.354139809373038</v>
      </c>
      <c r="U39" s="6">
        <f t="shared" si="6"/>
        <v>73.920758036329204</v>
      </c>
      <c r="V39" s="6">
        <f t="shared" si="3"/>
        <v>0</v>
      </c>
    </row>
    <row r="40" spans="1:22" ht="18.95" customHeight="1">
      <c r="A40" s="1">
        <v>34</v>
      </c>
      <c r="B40" s="6">
        <v>0.28333333333333338</v>
      </c>
      <c r="C40" s="6">
        <f>TimeStep!B40</f>
        <v>283.33333333333337</v>
      </c>
      <c r="D40" s="6">
        <v>1.26</v>
      </c>
      <c r="E40" s="6">
        <v>0.85</v>
      </c>
      <c r="F40" s="6">
        <v>4.5720000000000001</v>
      </c>
      <c r="G40" s="6">
        <v>0</v>
      </c>
      <c r="H40" s="6">
        <v>5.0279999999999996</v>
      </c>
      <c r="I40" s="6">
        <v>1.5820000000000001</v>
      </c>
      <c r="J40" s="6">
        <v>2.7730000000000001</v>
      </c>
      <c r="K40" s="6">
        <v>2.4630000000000001</v>
      </c>
      <c r="L40" s="6">
        <v>2.7189999999999999</v>
      </c>
      <c r="M40" s="6">
        <v>4.1230000000000002</v>
      </c>
      <c r="N40" s="6">
        <v>-44.174999999999997</v>
      </c>
      <c r="O40" s="6">
        <v>1.6616</v>
      </c>
      <c r="P40" s="6">
        <f t="shared" si="0"/>
        <v>46.832253584638103</v>
      </c>
      <c r="Q40" s="6">
        <f t="shared" si="1"/>
        <v>65.974197209892438</v>
      </c>
      <c r="R40" s="6">
        <f t="shared" si="2"/>
        <v>73.920758036329289</v>
      </c>
      <c r="S40" s="6">
        <f t="shared" si="4"/>
        <v>46.832253584638153</v>
      </c>
      <c r="T40" s="6">
        <f t="shared" si="5"/>
        <v>65.974197209892367</v>
      </c>
      <c r="U40" s="6">
        <f t="shared" si="6"/>
        <v>73.920758036329204</v>
      </c>
      <c r="V40" s="6">
        <f t="shared" si="3"/>
        <v>0</v>
      </c>
    </row>
    <row r="41" spans="1:22" ht="18.95" customHeight="1">
      <c r="A41" s="1">
        <v>35</v>
      </c>
      <c r="B41" s="6">
        <v>0.29166666666666669</v>
      </c>
      <c r="C41" s="6">
        <f>TimeStep!B41</f>
        <v>291.66666666666669</v>
      </c>
      <c r="D41" s="6">
        <v>1.2450000000000001</v>
      </c>
      <c r="E41" s="6">
        <v>0.872</v>
      </c>
      <c r="F41" s="6">
        <v>4.5720000000000001</v>
      </c>
      <c r="G41" s="6">
        <v>0</v>
      </c>
      <c r="H41" s="6">
        <v>5.0270000000000001</v>
      </c>
      <c r="I41" s="6">
        <v>1.5820000000000001</v>
      </c>
      <c r="J41" s="6">
        <v>2.7690000000000001</v>
      </c>
      <c r="K41" s="6">
        <v>2.4750000000000001</v>
      </c>
      <c r="L41" s="6">
        <v>2.7250000000000001</v>
      </c>
      <c r="M41" s="6">
        <v>4.1349999999999998</v>
      </c>
      <c r="N41" s="6">
        <v>-43.430199999999999</v>
      </c>
      <c r="O41" s="6">
        <v>3.3805000000000001</v>
      </c>
      <c r="P41" s="6">
        <f t="shared" si="0"/>
        <v>46.447203053667579</v>
      </c>
      <c r="Q41" s="6">
        <f t="shared" si="1"/>
        <v>65.60236568354</v>
      </c>
      <c r="R41" s="6">
        <f t="shared" si="2"/>
        <v>73.954202719052375</v>
      </c>
      <c r="S41" s="6">
        <f t="shared" si="4"/>
        <v>46.447203053667636</v>
      </c>
      <c r="T41" s="6">
        <f t="shared" si="5"/>
        <v>65.602365683539944</v>
      </c>
      <c r="U41" s="6">
        <f t="shared" si="6"/>
        <v>73.95420271905229</v>
      </c>
      <c r="V41" s="6">
        <f t="shared" si="3"/>
        <v>0</v>
      </c>
    </row>
    <row r="42" spans="1:22" ht="18.95" customHeight="1">
      <c r="A42" s="1">
        <v>36</v>
      </c>
      <c r="B42" s="6">
        <v>0.3000000000000001</v>
      </c>
      <c r="C42" s="6">
        <f>TimeStep!B42</f>
        <v>300</v>
      </c>
      <c r="D42" s="6">
        <v>1.23</v>
      </c>
      <c r="E42" s="6">
        <v>0.89400000000000002</v>
      </c>
      <c r="F42" s="6">
        <v>4.5720000000000001</v>
      </c>
      <c r="G42" s="6">
        <v>0</v>
      </c>
      <c r="H42" s="6">
        <v>5.0270000000000001</v>
      </c>
      <c r="I42" s="6">
        <v>1.583</v>
      </c>
      <c r="J42" s="6">
        <v>2.7629999999999999</v>
      </c>
      <c r="K42" s="6">
        <v>2.4870000000000001</v>
      </c>
      <c r="L42" s="6">
        <v>2.73</v>
      </c>
      <c r="M42" s="6">
        <v>4.1470000000000002</v>
      </c>
      <c r="N42" s="6">
        <v>-42.628100000000003</v>
      </c>
      <c r="O42" s="6">
        <v>5.0419999999999998</v>
      </c>
      <c r="P42" s="6">
        <f t="shared" si="0"/>
        <v>46.099592035821566</v>
      </c>
      <c r="Q42" s="6">
        <f t="shared" si="1"/>
        <v>65.244967524304883</v>
      </c>
      <c r="R42" s="6">
        <f t="shared" si="2"/>
        <v>73.963817767688539</v>
      </c>
      <c r="S42" s="6">
        <f t="shared" si="4"/>
        <v>46.099592035821615</v>
      </c>
      <c r="T42" s="6">
        <f t="shared" si="5"/>
        <v>65.244967524304826</v>
      </c>
      <c r="U42" s="6">
        <f t="shared" si="6"/>
        <v>73.963817767688454</v>
      </c>
      <c r="V42" s="6">
        <f t="shared" si="3"/>
        <v>0</v>
      </c>
    </row>
    <row r="43" spans="1:22" ht="18.95" customHeight="1">
      <c r="A43" s="1">
        <v>37</v>
      </c>
      <c r="B43" s="6">
        <v>0.3083333333333334</v>
      </c>
      <c r="C43" s="6">
        <f>TimeStep!B43</f>
        <v>308.33333333333337</v>
      </c>
      <c r="D43" s="6">
        <v>1.214</v>
      </c>
      <c r="E43" s="6">
        <v>0.91500000000000004</v>
      </c>
      <c r="F43" s="6">
        <v>4.5720000000000001</v>
      </c>
      <c r="G43" s="6">
        <v>0</v>
      </c>
      <c r="H43" s="6">
        <v>5.0250000000000004</v>
      </c>
      <c r="I43" s="6">
        <v>1.583</v>
      </c>
      <c r="J43" s="6">
        <v>2.7570000000000001</v>
      </c>
      <c r="K43" s="6">
        <v>2.4990000000000001</v>
      </c>
      <c r="L43" s="6">
        <v>2.734</v>
      </c>
      <c r="M43" s="6">
        <v>4.1589999999999998</v>
      </c>
      <c r="N43" s="6">
        <v>-41.883200000000002</v>
      </c>
      <c r="O43" s="6">
        <v>6.7609000000000004</v>
      </c>
      <c r="P43" s="6">
        <f t="shared" si="0"/>
        <v>45.751196788539822</v>
      </c>
      <c r="Q43" s="6">
        <f t="shared" si="1"/>
        <v>64.89421600780156</v>
      </c>
      <c r="R43" s="6">
        <f t="shared" si="2"/>
        <v>74.030704968272858</v>
      </c>
      <c r="S43" s="6">
        <f t="shared" si="4"/>
        <v>45.751196788539858</v>
      </c>
      <c r="T43" s="6">
        <f t="shared" si="5"/>
        <v>64.894216007801504</v>
      </c>
      <c r="U43" s="6">
        <f t="shared" si="6"/>
        <v>74.030704968272772</v>
      </c>
      <c r="V43" s="6">
        <f t="shared" si="3"/>
        <v>0</v>
      </c>
    </row>
    <row r="44" spans="1:22" ht="18.95" customHeight="1">
      <c r="A44" s="1">
        <v>38</v>
      </c>
      <c r="B44" s="6">
        <v>0.31666666666666682</v>
      </c>
      <c r="C44" s="6">
        <f>TimeStep!B44</f>
        <v>316.66666666666669</v>
      </c>
      <c r="D44" s="6">
        <v>1.198</v>
      </c>
      <c r="E44" s="6">
        <v>0.93600000000000005</v>
      </c>
      <c r="F44" s="6">
        <v>4.5720000000000001</v>
      </c>
      <c r="G44" s="6">
        <v>0</v>
      </c>
      <c r="H44" s="6">
        <v>5.024</v>
      </c>
      <c r="I44" s="6">
        <v>1.583</v>
      </c>
      <c r="J44" s="6">
        <v>2.75</v>
      </c>
      <c r="K44" s="6">
        <v>2.5110000000000001</v>
      </c>
      <c r="L44" s="6">
        <v>2.7370000000000001</v>
      </c>
      <c r="M44" s="6">
        <v>4.1710000000000003</v>
      </c>
      <c r="N44" s="6">
        <v>-41.138399999999997</v>
      </c>
      <c r="O44" s="6">
        <v>8.3651999999999997</v>
      </c>
      <c r="P44" s="6">
        <f t="shared" si="0"/>
        <v>45.421419624255869</v>
      </c>
      <c r="Q44" s="6">
        <f t="shared" si="1"/>
        <v>64.557971098739941</v>
      </c>
      <c r="R44" s="6">
        <f t="shared" si="2"/>
        <v>74.064165347134093</v>
      </c>
      <c r="S44" s="6">
        <f t="shared" si="4"/>
        <v>45.421419624255918</v>
      </c>
      <c r="T44" s="6">
        <f t="shared" si="5"/>
        <v>64.55797109873987</v>
      </c>
      <c r="U44" s="6">
        <f t="shared" si="6"/>
        <v>74.064165347134008</v>
      </c>
      <c r="V44" s="6">
        <f t="shared" si="3"/>
        <v>0</v>
      </c>
    </row>
    <row r="45" spans="1:22" ht="18.95" customHeight="1">
      <c r="A45" s="1">
        <v>39</v>
      </c>
      <c r="B45" s="6">
        <v>0.32500000000000018</v>
      </c>
      <c r="C45" s="6">
        <f>TimeStep!B45</f>
        <v>325</v>
      </c>
      <c r="D45" s="6">
        <v>1.181</v>
      </c>
      <c r="E45" s="6">
        <v>0.95699999999999996</v>
      </c>
      <c r="F45" s="6">
        <v>4.5720000000000001</v>
      </c>
      <c r="G45" s="6">
        <v>0</v>
      </c>
      <c r="H45" s="6">
        <v>5.0209999999999999</v>
      </c>
      <c r="I45" s="6">
        <v>1.5840000000000001</v>
      </c>
      <c r="J45" s="6">
        <v>2.7429999999999999</v>
      </c>
      <c r="K45" s="6">
        <v>2.5219999999999998</v>
      </c>
      <c r="L45" s="6">
        <v>2.74</v>
      </c>
      <c r="M45" s="6">
        <v>4.1829999999999998</v>
      </c>
      <c r="N45" s="6">
        <v>-40.393500000000003</v>
      </c>
      <c r="O45" s="6">
        <v>9.9695</v>
      </c>
      <c r="P45" s="6">
        <f t="shared" si="0"/>
        <v>45.05496875145603</v>
      </c>
      <c r="Q45" s="6">
        <f t="shared" si="1"/>
        <v>64.207332962520638</v>
      </c>
      <c r="R45" s="6">
        <f t="shared" si="2"/>
        <v>74.174109556332155</v>
      </c>
      <c r="S45" s="6">
        <f t="shared" si="4"/>
        <v>45.054968751456073</v>
      </c>
      <c r="T45" s="6">
        <f t="shared" si="5"/>
        <v>64.207332962520582</v>
      </c>
      <c r="U45" s="6">
        <f t="shared" si="6"/>
        <v>74.17410955633207</v>
      </c>
      <c r="V45" s="6">
        <f t="shared" si="3"/>
        <v>0</v>
      </c>
    </row>
    <row r="46" spans="1:22" ht="18.95" customHeight="1">
      <c r="A46" s="1">
        <v>40</v>
      </c>
      <c r="B46" s="6">
        <v>0.33333333333333348</v>
      </c>
      <c r="C46" s="6">
        <f>TimeStep!B46</f>
        <v>333.33333333333337</v>
      </c>
      <c r="D46" s="6">
        <v>1.1639999999999999</v>
      </c>
      <c r="E46" s="6">
        <v>0.97699999999999998</v>
      </c>
      <c r="F46" s="6">
        <v>4.5720000000000001</v>
      </c>
      <c r="G46" s="6">
        <v>0</v>
      </c>
      <c r="H46" s="6">
        <v>5.0190000000000001</v>
      </c>
      <c r="I46" s="6">
        <v>1.585</v>
      </c>
      <c r="J46" s="6">
        <v>2.7349999999999999</v>
      </c>
      <c r="K46" s="6">
        <v>2.5339999999999998</v>
      </c>
      <c r="L46" s="6">
        <v>2.742</v>
      </c>
      <c r="M46" s="6">
        <v>4.194</v>
      </c>
      <c r="N46" s="6">
        <v>-39.648699999999998</v>
      </c>
      <c r="O46" s="6">
        <v>11.573700000000001</v>
      </c>
      <c r="P46" s="6">
        <f t="shared" si="0"/>
        <v>44.743562801436518</v>
      </c>
      <c r="Q46" s="6">
        <f t="shared" si="1"/>
        <v>63.871166374187808</v>
      </c>
      <c r="R46" s="6">
        <f t="shared" si="2"/>
        <v>74.250543527085114</v>
      </c>
      <c r="S46" s="6">
        <f t="shared" si="4"/>
        <v>44.743562801436553</v>
      </c>
      <c r="T46" s="6">
        <f t="shared" si="5"/>
        <v>63.871166374187737</v>
      </c>
      <c r="U46" s="6">
        <f t="shared" si="6"/>
        <v>74.250543527085028</v>
      </c>
      <c r="V46" s="6">
        <f t="shared" si="3"/>
        <v>0</v>
      </c>
    </row>
    <row r="47" spans="1:22" ht="18.95" customHeight="1">
      <c r="A47" s="1">
        <v>41</v>
      </c>
      <c r="B47" s="6">
        <v>0.3416666666666669</v>
      </c>
      <c r="C47" s="6">
        <f>TimeStep!B47</f>
        <v>341.66666666666669</v>
      </c>
      <c r="D47" s="6">
        <v>1.147</v>
      </c>
      <c r="E47" s="6">
        <v>0.998</v>
      </c>
      <c r="F47" s="6">
        <v>4.5720000000000001</v>
      </c>
      <c r="G47" s="6">
        <v>0</v>
      </c>
      <c r="H47" s="6">
        <v>5.016</v>
      </c>
      <c r="I47" s="6">
        <v>1.5860000000000001</v>
      </c>
      <c r="J47" s="6">
        <v>2.7269999999999999</v>
      </c>
      <c r="K47" s="6">
        <v>2.5449999999999999</v>
      </c>
      <c r="L47" s="6">
        <v>2.7429999999999999</v>
      </c>
      <c r="M47" s="6">
        <v>4.2050000000000001</v>
      </c>
      <c r="N47" s="6">
        <v>-38.903799999999997</v>
      </c>
      <c r="O47" s="6">
        <v>13.120699999999999</v>
      </c>
      <c r="P47" s="6">
        <f t="shared" si="0"/>
        <v>44.39536599403543</v>
      </c>
      <c r="Q47" s="6">
        <f t="shared" si="1"/>
        <v>63.54224416475212</v>
      </c>
      <c r="R47" s="6">
        <f t="shared" si="2"/>
        <v>74.360433545573045</v>
      </c>
      <c r="S47" s="6">
        <f t="shared" si="4"/>
        <v>44.395365994035473</v>
      </c>
      <c r="T47" s="6">
        <f t="shared" si="5"/>
        <v>63.542244164752049</v>
      </c>
      <c r="U47" s="6">
        <f t="shared" si="6"/>
        <v>74.36043354557296</v>
      </c>
      <c r="V47" s="6">
        <f t="shared" si="3"/>
        <v>0</v>
      </c>
    </row>
    <row r="48" spans="1:22" ht="18.95" customHeight="1">
      <c r="A48" s="1">
        <v>42</v>
      </c>
      <c r="B48" s="6">
        <v>0.3500000000000002</v>
      </c>
      <c r="C48" s="6">
        <f>TimeStep!B48</f>
        <v>350</v>
      </c>
      <c r="D48" s="6">
        <v>1.129</v>
      </c>
      <c r="E48" s="6">
        <v>1.0169999999999999</v>
      </c>
      <c r="F48" s="6">
        <v>4.5720000000000001</v>
      </c>
      <c r="G48" s="6">
        <v>0</v>
      </c>
      <c r="H48" s="6">
        <v>5.0129999999999999</v>
      </c>
      <c r="I48" s="6">
        <v>1.5860000000000001</v>
      </c>
      <c r="J48" s="6">
        <v>2.718</v>
      </c>
      <c r="K48" s="6">
        <v>2.556</v>
      </c>
      <c r="L48" s="6">
        <v>2.7429999999999999</v>
      </c>
      <c r="M48" s="6">
        <v>4.2160000000000002</v>
      </c>
      <c r="N48" s="6">
        <v>-38.158999999999999</v>
      </c>
      <c r="O48" s="6">
        <v>14.6677</v>
      </c>
      <c r="P48" s="6">
        <f t="shared" si="0"/>
        <v>44.084224737930874</v>
      </c>
      <c r="Q48" s="6">
        <f t="shared" si="1"/>
        <v>63.227563607037659</v>
      </c>
      <c r="R48" s="6">
        <f t="shared" si="2"/>
        <v>74.460984238645054</v>
      </c>
      <c r="S48" s="6">
        <f t="shared" si="4"/>
        <v>44.084224737930924</v>
      </c>
      <c r="T48" s="6">
        <f t="shared" si="5"/>
        <v>63.227563607037581</v>
      </c>
      <c r="U48" s="6">
        <f t="shared" si="6"/>
        <v>74.460984238644983</v>
      </c>
      <c r="V48" s="6">
        <f t="shared" si="3"/>
        <v>0</v>
      </c>
    </row>
    <row r="49" spans="1:22" ht="18.95" customHeight="1">
      <c r="A49" s="1">
        <v>43</v>
      </c>
      <c r="B49" s="6">
        <v>0.35833333333333361</v>
      </c>
      <c r="C49" s="6">
        <f>TimeStep!B49</f>
        <v>358.33333333333337</v>
      </c>
      <c r="D49" s="6">
        <v>1.111</v>
      </c>
      <c r="E49" s="6">
        <v>1.0369999999999999</v>
      </c>
      <c r="F49" s="6">
        <v>4.5720000000000001</v>
      </c>
      <c r="G49" s="6">
        <v>0</v>
      </c>
      <c r="H49" s="6">
        <v>5.0090000000000003</v>
      </c>
      <c r="I49" s="6">
        <v>1.587</v>
      </c>
      <c r="J49" s="6">
        <v>2.7090000000000001</v>
      </c>
      <c r="K49" s="6">
        <v>2.5670000000000002</v>
      </c>
      <c r="L49" s="6">
        <v>2.7429999999999999</v>
      </c>
      <c r="M49" s="6">
        <v>4.2270000000000003</v>
      </c>
      <c r="N49" s="6">
        <v>-37.414099999999998</v>
      </c>
      <c r="O49" s="6">
        <v>16.157399999999999</v>
      </c>
      <c r="P49" s="6">
        <f t="shared" si="0"/>
        <v>43.754635733231659</v>
      </c>
      <c r="Q49" s="6">
        <f t="shared" si="1"/>
        <v>62.905771697738622</v>
      </c>
      <c r="R49" s="6">
        <f t="shared" si="2"/>
        <v>74.6044507460049</v>
      </c>
      <c r="S49" s="6">
        <f t="shared" si="4"/>
        <v>43.754635733231709</v>
      </c>
      <c r="T49" s="6">
        <f t="shared" si="5"/>
        <v>62.905771697738544</v>
      </c>
      <c r="U49" s="6">
        <f t="shared" si="6"/>
        <v>74.604450746004829</v>
      </c>
      <c r="V49" s="6">
        <f t="shared" si="3"/>
        <v>0</v>
      </c>
    </row>
    <row r="50" spans="1:22" ht="18.95" customHeight="1">
      <c r="A50" s="1">
        <v>44</v>
      </c>
      <c r="B50" s="6">
        <v>0.36666666666666697</v>
      </c>
      <c r="C50" s="6">
        <f>TimeStep!B50</f>
        <v>366.66666666666669</v>
      </c>
      <c r="D50" s="6">
        <v>1.093</v>
      </c>
      <c r="E50" s="6">
        <v>1.056</v>
      </c>
      <c r="F50" s="6">
        <v>4.5720000000000001</v>
      </c>
      <c r="G50" s="6">
        <v>0</v>
      </c>
      <c r="H50" s="6">
        <v>5.0049999999999999</v>
      </c>
      <c r="I50" s="6">
        <v>1.589</v>
      </c>
      <c r="J50" s="6">
        <v>2.698</v>
      </c>
      <c r="K50" s="6">
        <v>2.577</v>
      </c>
      <c r="L50" s="6">
        <v>2.742</v>
      </c>
      <c r="M50" s="6">
        <v>4.2370000000000001</v>
      </c>
      <c r="N50" s="6">
        <v>-36.726599999999998</v>
      </c>
      <c r="O50" s="6">
        <v>17.5898</v>
      </c>
      <c r="P50" s="6">
        <f t="shared" si="0"/>
        <v>43.460752535699008</v>
      </c>
      <c r="Q50" s="6">
        <f t="shared" si="1"/>
        <v>62.598208137677396</v>
      </c>
      <c r="R50" s="6">
        <f t="shared" si="2"/>
        <v>74.757086170442392</v>
      </c>
      <c r="S50" s="6">
        <f t="shared" si="4"/>
        <v>43.460752535699072</v>
      </c>
      <c r="T50" s="6">
        <f t="shared" si="5"/>
        <v>62.598208137677318</v>
      </c>
      <c r="U50" s="6">
        <f t="shared" si="6"/>
        <v>74.757086170442335</v>
      </c>
      <c r="V50" s="6">
        <f t="shared" si="3"/>
        <v>0</v>
      </c>
    </row>
    <row r="51" spans="1:22" ht="18.95" customHeight="1">
      <c r="A51" s="1">
        <v>45</v>
      </c>
      <c r="B51" s="6">
        <v>0.37500000000000028</v>
      </c>
      <c r="C51" s="6">
        <f>TimeStep!B51</f>
        <v>375</v>
      </c>
      <c r="D51" s="6">
        <v>1.075</v>
      </c>
      <c r="E51" s="6">
        <v>1.075</v>
      </c>
      <c r="F51" s="6">
        <v>4.5720000000000001</v>
      </c>
      <c r="G51" s="6">
        <v>0</v>
      </c>
      <c r="H51" s="6">
        <v>5.0010000000000003</v>
      </c>
      <c r="I51" s="6">
        <v>1.59</v>
      </c>
      <c r="J51" s="6">
        <v>2.6880000000000002</v>
      </c>
      <c r="K51" s="6">
        <v>2.5880000000000001</v>
      </c>
      <c r="L51" s="6">
        <v>2.74</v>
      </c>
      <c r="M51" s="6">
        <v>4.2469999999999999</v>
      </c>
      <c r="N51" s="6">
        <v>-35.981699999999996</v>
      </c>
      <c r="O51" s="6">
        <v>19.022200000000002</v>
      </c>
      <c r="P51" s="6">
        <f t="shared" si="0"/>
        <v>43.167746415361897</v>
      </c>
      <c r="Q51" s="6">
        <f t="shared" si="1"/>
        <v>62.304775388385401</v>
      </c>
      <c r="R51" s="6">
        <f t="shared" si="2"/>
        <v>74.900501341126997</v>
      </c>
      <c r="S51" s="6">
        <f t="shared" si="4"/>
        <v>43.167746415361961</v>
      </c>
      <c r="T51" s="6">
        <f t="shared" si="5"/>
        <v>62.304775388385337</v>
      </c>
      <c r="U51" s="6">
        <f t="shared" si="6"/>
        <v>74.900501341126926</v>
      </c>
      <c r="V51" s="6">
        <f t="shared" si="3"/>
        <v>0</v>
      </c>
    </row>
    <row r="52" spans="1:22" ht="18.95" customHeight="1">
      <c r="A52" s="1">
        <v>46</v>
      </c>
      <c r="B52" s="6">
        <v>0.38333333333333369</v>
      </c>
      <c r="C52" s="6">
        <f>TimeStep!B52</f>
        <v>383.33333333333337</v>
      </c>
      <c r="D52" s="6">
        <v>1.056</v>
      </c>
      <c r="E52" s="6">
        <v>1.0940000000000001</v>
      </c>
      <c r="F52" s="6">
        <v>4.5720000000000001</v>
      </c>
      <c r="G52" s="6">
        <v>0</v>
      </c>
      <c r="H52" s="6">
        <v>4.9960000000000004</v>
      </c>
      <c r="I52" s="6">
        <v>1.591</v>
      </c>
      <c r="J52" s="6">
        <v>2.677</v>
      </c>
      <c r="K52" s="6">
        <v>2.5979999999999999</v>
      </c>
      <c r="L52" s="6">
        <v>2.738</v>
      </c>
      <c r="M52" s="6">
        <v>4.2569999999999997</v>
      </c>
      <c r="N52" s="6">
        <v>-35.294199999999996</v>
      </c>
      <c r="O52" s="6">
        <v>20.454599999999999</v>
      </c>
      <c r="P52" s="6">
        <f t="shared" si="0"/>
        <v>42.855847498638745</v>
      </c>
      <c r="Q52" s="6">
        <f t="shared" si="1"/>
        <v>61.997132374130928</v>
      </c>
      <c r="R52" s="6">
        <f t="shared" si="2"/>
        <v>75.07754894666904</v>
      </c>
      <c r="S52" s="6">
        <f t="shared" si="4"/>
        <v>42.855847498638809</v>
      </c>
      <c r="T52" s="6">
        <f t="shared" si="5"/>
        <v>61.997132374130871</v>
      </c>
      <c r="U52" s="6">
        <f t="shared" si="6"/>
        <v>75.077548946668969</v>
      </c>
      <c r="V52" s="6">
        <f t="shared" si="3"/>
        <v>0</v>
      </c>
    </row>
    <row r="53" spans="1:22" ht="18.95" customHeight="1">
      <c r="A53" s="1">
        <v>47</v>
      </c>
      <c r="B53" s="6">
        <v>0.391666666666667</v>
      </c>
      <c r="C53" s="6">
        <f>TimeStep!B53</f>
        <v>391.66666666666669</v>
      </c>
      <c r="D53" s="6">
        <v>1.036</v>
      </c>
      <c r="E53" s="6">
        <v>1.1120000000000001</v>
      </c>
      <c r="F53" s="6">
        <v>4.5720000000000001</v>
      </c>
      <c r="G53" s="6">
        <v>0</v>
      </c>
      <c r="H53" s="6">
        <v>4.992</v>
      </c>
      <c r="I53" s="6">
        <v>1.5920000000000001</v>
      </c>
      <c r="J53" s="6">
        <v>2.665</v>
      </c>
      <c r="K53" s="6">
        <v>2.6080000000000001</v>
      </c>
      <c r="L53" s="6">
        <v>2.734</v>
      </c>
      <c r="M53" s="6">
        <v>4.2670000000000003</v>
      </c>
      <c r="N53" s="6">
        <v>-34.549399999999999</v>
      </c>
      <c r="O53" s="6">
        <v>21.829699999999999</v>
      </c>
      <c r="P53" s="6">
        <f t="shared" si="0"/>
        <v>42.562962359482391</v>
      </c>
      <c r="Q53" s="6">
        <f t="shared" si="1"/>
        <v>61.711158064839175</v>
      </c>
      <c r="R53" s="6">
        <f t="shared" si="2"/>
        <v>75.221012548584085</v>
      </c>
      <c r="S53" s="6">
        <f t="shared" si="4"/>
        <v>42.562962359482469</v>
      </c>
      <c r="T53" s="6">
        <f t="shared" si="5"/>
        <v>61.711158064839111</v>
      </c>
      <c r="U53" s="6">
        <f t="shared" si="6"/>
        <v>75.221012548584014</v>
      </c>
      <c r="V53" s="6">
        <f t="shared" si="3"/>
        <v>0</v>
      </c>
    </row>
    <row r="54" spans="1:22" ht="18.95" customHeight="1">
      <c r="A54" s="1">
        <v>48</v>
      </c>
      <c r="B54" s="6">
        <v>0.40000000000000041</v>
      </c>
      <c r="C54" s="6">
        <f>TimeStep!B54</f>
        <v>400</v>
      </c>
      <c r="D54" s="6">
        <v>1.0169999999999999</v>
      </c>
      <c r="E54" s="6">
        <v>1.1299999999999999</v>
      </c>
      <c r="F54" s="6">
        <v>4.5720000000000001</v>
      </c>
      <c r="G54" s="6">
        <v>0</v>
      </c>
      <c r="H54" s="6">
        <v>4.9859999999999998</v>
      </c>
      <c r="I54" s="6">
        <v>1.5940000000000001</v>
      </c>
      <c r="J54" s="6">
        <v>2.653</v>
      </c>
      <c r="K54" s="6">
        <v>2.6179999999999999</v>
      </c>
      <c r="L54" s="6">
        <v>2.7309999999999999</v>
      </c>
      <c r="M54" s="6">
        <v>4.2759999999999998</v>
      </c>
      <c r="N54" s="6">
        <v>-33.861800000000002</v>
      </c>
      <c r="O54" s="6">
        <v>23.147500000000001</v>
      </c>
      <c r="P54" s="6">
        <f t="shared" si="0"/>
        <v>42.287631280916024</v>
      </c>
      <c r="Q54" s="6">
        <f t="shared" si="1"/>
        <v>61.417620241550253</v>
      </c>
      <c r="R54" s="6">
        <f t="shared" si="2"/>
        <v>75.440599005191032</v>
      </c>
      <c r="S54" s="6">
        <f t="shared" si="4"/>
        <v>42.287631280916116</v>
      </c>
      <c r="T54" s="6">
        <f t="shared" si="5"/>
        <v>61.417620241550196</v>
      </c>
      <c r="U54" s="6">
        <f t="shared" si="6"/>
        <v>75.440599005190961</v>
      </c>
      <c r="V54" s="6">
        <f t="shared" si="3"/>
        <v>0</v>
      </c>
    </row>
    <row r="55" spans="1:22" ht="18.95" customHeight="1">
      <c r="A55" s="1">
        <v>49</v>
      </c>
      <c r="B55" s="6">
        <v>0.40833333333333371</v>
      </c>
      <c r="C55" s="6">
        <f>TimeStep!B55</f>
        <v>408.33333333333337</v>
      </c>
      <c r="D55" s="6">
        <v>0.997</v>
      </c>
      <c r="E55" s="6">
        <v>1.147</v>
      </c>
      <c r="F55" s="6">
        <v>4.5720000000000001</v>
      </c>
      <c r="G55" s="6">
        <v>0</v>
      </c>
      <c r="H55" s="6">
        <v>4.9809999999999999</v>
      </c>
      <c r="I55" s="6">
        <v>1.595</v>
      </c>
      <c r="J55" s="6">
        <v>2.64</v>
      </c>
      <c r="K55" s="6">
        <v>2.6269999999999998</v>
      </c>
      <c r="L55" s="6">
        <v>2.726</v>
      </c>
      <c r="M55" s="6">
        <v>4.2859999999999996</v>
      </c>
      <c r="N55" s="6">
        <v>-33.174300000000002</v>
      </c>
      <c r="O55" s="6">
        <v>24.465299999999999</v>
      </c>
      <c r="P55" s="6">
        <f t="shared" si="0"/>
        <v>42.012249305438885</v>
      </c>
      <c r="Q55" s="6">
        <f t="shared" si="1"/>
        <v>61.153483517426977</v>
      </c>
      <c r="R55" s="6">
        <f t="shared" si="2"/>
        <v>75.617741153995624</v>
      </c>
      <c r="S55" s="6">
        <f t="shared" si="4"/>
        <v>42.012249305438985</v>
      </c>
      <c r="T55" s="6">
        <f t="shared" si="5"/>
        <v>61.153483517426935</v>
      </c>
      <c r="U55" s="6">
        <f t="shared" si="6"/>
        <v>75.617741153995553</v>
      </c>
      <c r="V55" s="6">
        <f t="shared" si="3"/>
        <v>0</v>
      </c>
    </row>
    <row r="56" spans="1:22" ht="18.95" customHeight="1">
      <c r="A56" s="1">
        <v>50</v>
      </c>
      <c r="B56" s="6">
        <v>0.41666666666666707</v>
      </c>
      <c r="C56" s="6">
        <f>TimeStep!B56</f>
        <v>416.66666666666669</v>
      </c>
      <c r="D56" s="6">
        <v>0.97699999999999998</v>
      </c>
      <c r="E56" s="6">
        <v>1.165</v>
      </c>
      <c r="F56" s="6">
        <v>4.5720000000000001</v>
      </c>
      <c r="G56" s="6">
        <v>0</v>
      </c>
      <c r="H56" s="6">
        <v>4.9749999999999996</v>
      </c>
      <c r="I56" s="6">
        <v>1.5960000000000001</v>
      </c>
      <c r="J56" s="6">
        <v>2.6269999999999998</v>
      </c>
      <c r="K56" s="6">
        <v>2.637</v>
      </c>
      <c r="L56" s="6">
        <v>2.7210000000000001</v>
      </c>
      <c r="M56" s="6">
        <v>4.2939999999999996</v>
      </c>
      <c r="N56" s="6">
        <v>-32.486699999999999</v>
      </c>
      <c r="O56" s="6">
        <v>25.783100000000001</v>
      </c>
      <c r="P56" s="6">
        <f t="shared" si="0"/>
        <v>41.736829144928222</v>
      </c>
      <c r="Q56" s="6">
        <f t="shared" si="1"/>
        <v>60.866165866687737</v>
      </c>
      <c r="R56" s="6">
        <f t="shared" si="2"/>
        <v>75.828684957895064</v>
      </c>
      <c r="S56" s="6">
        <f t="shared" si="4"/>
        <v>41.736829144928322</v>
      </c>
      <c r="T56" s="6">
        <f t="shared" si="5"/>
        <v>60.866165866687709</v>
      </c>
      <c r="U56" s="6">
        <f t="shared" si="6"/>
        <v>75.828684957895007</v>
      </c>
      <c r="V56" s="6">
        <f t="shared" si="3"/>
        <v>0</v>
      </c>
    </row>
    <row r="57" spans="1:22" ht="18.95" customHeight="1">
      <c r="A57" s="1">
        <v>51</v>
      </c>
      <c r="B57" s="6">
        <v>0.42500000000000049</v>
      </c>
      <c r="C57" s="6">
        <f>TimeStep!B57</f>
        <v>425.00000000000006</v>
      </c>
      <c r="D57" s="6">
        <v>0.95599999999999996</v>
      </c>
      <c r="E57" s="6">
        <v>1.1819999999999999</v>
      </c>
      <c r="F57" s="6">
        <v>4.5720000000000001</v>
      </c>
      <c r="G57" s="6">
        <v>0</v>
      </c>
      <c r="H57" s="6">
        <v>4.9690000000000003</v>
      </c>
      <c r="I57" s="6">
        <v>1.5980000000000001</v>
      </c>
      <c r="J57" s="6">
        <v>2.6139999999999999</v>
      </c>
      <c r="K57" s="6">
        <v>2.6459999999999999</v>
      </c>
      <c r="L57" s="6">
        <v>2.7149999999999999</v>
      </c>
      <c r="M57" s="6">
        <v>4.3029999999999999</v>
      </c>
      <c r="N57" s="6">
        <v>-31.799199999999999</v>
      </c>
      <c r="O57" s="6">
        <v>27.043600000000001</v>
      </c>
      <c r="P57" s="6">
        <f t="shared" si="0"/>
        <v>41.444232050778211</v>
      </c>
      <c r="Q57" s="6">
        <f t="shared" si="1"/>
        <v>60.594330828723592</v>
      </c>
      <c r="R57" s="6">
        <f t="shared" si="2"/>
        <v>76.048151491678766</v>
      </c>
      <c r="S57" s="6">
        <f t="shared" si="4"/>
        <v>41.444232050778311</v>
      </c>
      <c r="T57" s="6">
        <f t="shared" si="5"/>
        <v>60.594330828723571</v>
      </c>
      <c r="U57" s="6">
        <f t="shared" si="6"/>
        <v>76.048151491678709</v>
      </c>
      <c r="V57" s="6">
        <f t="shared" si="3"/>
        <v>-4.5474735088646412E-13</v>
      </c>
    </row>
    <row r="58" spans="1:22" ht="18.95" customHeight="1">
      <c r="A58" s="1">
        <v>52</v>
      </c>
      <c r="B58" s="6">
        <v>0.43333333333333379</v>
      </c>
      <c r="C58" s="6">
        <f>TimeStep!B58</f>
        <v>433.33333333333337</v>
      </c>
      <c r="D58" s="6">
        <v>0.93600000000000005</v>
      </c>
      <c r="E58" s="6">
        <v>1.198</v>
      </c>
      <c r="F58" s="6">
        <v>4.5720000000000001</v>
      </c>
      <c r="G58" s="6">
        <v>0</v>
      </c>
      <c r="H58" s="6">
        <v>4.9619999999999997</v>
      </c>
      <c r="I58" s="6">
        <v>1.6</v>
      </c>
      <c r="J58" s="6">
        <v>2.6</v>
      </c>
      <c r="K58" s="6">
        <v>2.6549999999999998</v>
      </c>
      <c r="L58" s="6">
        <v>2.7080000000000002</v>
      </c>
      <c r="M58" s="6">
        <v>4.3120000000000003</v>
      </c>
      <c r="N58" s="6">
        <v>-31.168900000000001</v>
      </c>
      <c r="O58" s="6">
        <v>28.2468</v>
      </c>
      <c r="P58" s="6">
        <f t="shared" si="0"/>
        <v>41.205420985471221</v>
      </c>
      <c r="Q58" s="6">
        <f t="shared" si="1"/>
        <v>60.35826130903687</v>
      </c>
      <c r="R58" s="6">
        <f t="shared" si="2"/>
        <v>76.301282992915546</v>
      </c>
      <c r="S58" s="6">
        <f t="shared" si="4"/>
        <v>41.205420985471306</v>
      </c>
      <c r="T58" s="6">
        <f t="shared" si="5"/>
        <v>60.358261309036834</v>
      </c>
      <c r="U58" s="6">
        <f t="shared" si="6"/>
        <v>76.301282992915503</v>
      </c>
      <c r="V58" s="6">
        <f t="shared" si="3"/>
        <v>0</v>
      </c>
    </row>
    <row r="59" spans="1:22" ht="18.95" customHeight="1">
      <c r="A59" s="1">
        <v>53</v>
      </c>
      <c r="B59" s="6">
        <v>0.44166666666666721</v>
      </c>
      <c r="C59" s="6">
        <f>TimeStep!B59</f>
        <v>441.66666666666669</v>
      </c>
      <c r="D59" s="6">
        <v>0.91500000000000004</v>
      </c>
      <c r="E59" s="6">
        <v>1.214</v>
      </c>
      <c r="F59" s="6">
        <v>4.5720000000000001</v>
      </c>
      <c r="G59" s="6">
        <v>0</v>
      </c>
      <c r="H59" s="6">
        <v>4.9560000000000004</v>
      </c>
      <c r="I59" s="6">
        <v>1.601</v>
      </c>
      <c r="J59" s="6">
        <v>2.585</v>
      </c>
      <c r="K59" s="6">
        <v>2.6629999999999998</v>
      </c>
      <c r="L59" s="6">
        <v>2.7010000000000001</v>
      </c>
      <c r="M59" s="6">
        <v>4.32</v>
      </c>
      <c r="N59" s="6">
        <v>-30.481400000000001</v>
      </c>
      <c r="O59" s="6">
        <v>29.45</v>
      </c>
      <c r="P59" s="6">
        <f t="shared" si="0"/>
        <v>40.947021457610106</v>
      </c>
      <c r="Q59" s="6">
        <f t="shared" si="1"/>
        <v>60.100405002993618</v>
      </c>
      <c r="R59" s="6">
        <f t="shared" si="2"/>
        <v>76.512388212146988</v>
      </c>
      <c r="S59" s="6">
        <f t="shared" si="4"/>
        <v>40.947021457610191</v>
      </c>
      <c r="T59" s="6">
        <f t="shared" si="5"/>
        <v>60.100405002993568</v>
      </c>
      <c r="U59" s="6">
        <f t="shared" si="6"/>
        <v>76.512388212146959</v>
      </c>
      <c r="V59" s="6">
        <f t="shared" si="3"/>
        <v>-5.1159076974727213E-13</v>
      </c>
    </row>
    <row r="60" spans="1:22" ht="18.95" customHeight="1">
      <c r="A60" s="1">
        <v>54</v>
      </c>
      <c r="B60" s="6">
        <v>0.45000000000000051</v>
      </c>
      <c r="C60" s="6">
        <f>TimeStep!B60</f>
        <v>450.00000000000006</v>
      </c>
      <c r="D60" s="6">
        <v>0.89300000000000002</v>
      </c>
      <c r="E60" s="6">
        <v>1.23</v>
      </c>
      <c r="F60" s="6">
        <v>4.5720000000000001</v>
      </c>
      <c r="G60" s="6">
        <v>0</v>
      </c>
      <c r="H60" s="6">
        <v>4.9489999999999998</v>
      </c>
      <c r="I60" s="6">
        <v>1.603</v>
      </c>
      <c r="J60" s="6">
        <v>2.57</v>
      </c>
      <c r="K60" s="6">
        <v>2.6720000000000002</v>
      </c>
      <c r="L60" s="6">
        <v>2.694</v>
      </c>
      <c r="M60" s="6">
        <v>4.3280000000000003</v>
      </c>
      <c r="N60" s="6">
        <v>-29.851099999999999</v>
      </c>
      <c r="O60" s="6">
        <v>30.5959</v>
      </c>
      <c r="P60" s="6">
        <f t="shared" si="0"/>
        <v>40.69120997231996</v>
      </c>
      <c r="Q60" s="6">
        <f t="shared" si="1"/>
        <v>59.82873015385303</v>
      </c>
      <c r="R60" s="6">
        <f t="shared" si="2"/>
        <v>76.765456903823051</v>
      </c>
      <c r="S60" s="6">
        <f t="shared" si="4"/>
        <v>40.691209972320053</v>
      </c>
      <c r="T60" s="6">
        <f t="shared" si="5"/>
        <v>59.828730153852973</v>
      </c>
      <c r="U60" s="6">
        <f t="shared" si="6"/>
        <v>76.765456903823008</v>
      </c>
      <c r="V60" s="6">
        <f t="shared" si="3"/>
        <v>-4.5474735088646412E-13</v>
      </c>
    </row>
    <row r="61" spans="1:22" ht="18.95" customHeight="1">
      <c r="A61" s="1">
        <v>55</v>
      </c>
      <c r="B61" s="6">
        <v>0.45833333333333393</v>
      </c>
      <c r="C61" s="6">
        <f>TimeStep!B61</f>
        <v>458.33333333333337</v>
      </c>
      <c r="D61" s="6">
        <v>0.872</v>
      </c>
      <c r="E61" s="6">
        <v>1.2450000000000001</v>
      </c>
      <c r="F61" s="6">
        <v>4.5720000000000001</v>
      </c>
      <c r="G61" s="6">
        <v>0</v>
      </c>
      <c r="H61" s="6">
        <v>4.9409999999999998</v>
      </c>
      <c r="I61" s="6">
        <v>1.605</v>
      </c>
      <c r="J61" s="6">
        <v>2.5550000000000002</v>
      </c>
      <c r="K61" s="6">
        <v>2.68</v>
      </c>
      <c r="L61" s="6">
        <v>2.6850000000000001</v>
      </c>
      <c r="M61" s="6">
        <v>4.335</v>
      </c>
      <c r="N61" s="6">
        <v>-29.220800000000001</v>
      </c>
      <c r="O61" s="6">
        <v>31.741900000000001</v>
      </c>
      <c r="P61" s="6">
        <f t="shared" si="0"/>
        <v>40.452372597245095</v>
      </c>
      <c r="Q61" s="6">
        <f t="shared" si="1"/>
        <v>59.598513454380509</v>
      </c>
      <c r="R61" s="6">
        <f t="shared" si="2"/>
        <v>77.052321302044845</v>
      </c>
      <c r="S61" s="6">
        <f t="shared" si="4"/>
        <v>40.452372597245187</v>
      </c>
      <c r="T61" s="6">
        <f t="shared" si="5"/>
        <v>59.598513454380452</v>
      </c>
      <c r="U61" s="6">
        <f t="shared" si="6"/>
        <v>77.052321302044788</v>
      </c>
      <c r="V61" s="6">
        <f t="shared" si="3"/>
        <v>-5.6843418860808015E-13</v>
      </c>
    </row>
    <row r="62" spans="1:22" ht="18.95" customHeight="1">
      <c r="A62" s="1">
        <v>56</v>
      </c>
      <c r="B62" s="6">
        <v>0.46666666666666728</v>
      </c>
      <c r="C62" s="6">
        <f>TimeStep!B62</f>
        <v>466.66666666666669</v>
      </c>
      <c r="D62" s="6">
        <v>0.85</v>
      </c>
      <c r="E62" s="6">
        <v>1.26</v>
      </c>
      <c r="F62" s="6">
        <v>4.5720000000000001</v>
      </c>
      <c r="G62" s="6">
        <v>0</v>
      </c>
      <c r="H62" s="6">
        <v>4.9340000000000002</v>
      </c>
      <c r="I62" s="6">
        <v>1.6060000000000001</v>
      </c>
      <c r="J62" s="6">
        <v>2.5390000000000001</v>
      </c>
      <c r="K62" s="6">
        <v>2.6880000000000002</v>
      </c>
      <c r="L62" s="6">
        <v>2.6760000000000002</v>
      </c>
      <c r="M62" s="6">
        <v>4.343</v>
      </c>
      <c r="N62" s="6">
        <v>-28.590599999999998</v>
      </c>
      <c r="O62" s="6">
        <v>32.887799999999999</v>
      </c>
      <c r="P62" s="6">
        <f t="shared" si="0"/>
        <v>40.213540397492054</v>
      </c>
      <c r="Q62" s="6">
        <f t="shared" si="1"/>
        <v>59.362578797180284</v>
      </c>
      <c r="R62" s="6">
        <f t="shared" si="2"/>
        <v>77.297546369899607</v>
      </c>
      <c r="S62" s="6">
        <f t="shared" si="4"/>
        <v>40.213540397492153</v>
      </c>
      <c r="T62" s="6">
        <f t="shared" si="5"/>
        <v>59.36257879718022</v>
      </c>
      <c r="U62" s="6">
        <f t="shared" si="6"/>
        <v>77.297546369899578</v>
      </c>
      <c r="V62" s="6">
        <f t="shared" si="3"/>
        <v>-6.2527760746888816E-13</v>
      </c>
    </row>
    <row r="63" spans="1:22" ht="18.95" customHeight="1">
      <c r="A63" s="1">
        <v>57</v>
      </c>
      <c r="B63" s="6">
        <v>0.47500000000000059</v>
      </c>
      <c r="C63" s="6">
        <f>TimeStep!B63</f>
        <v>475.00000000000006</v>
      </c>
      <c r="D63" s="6">
        <v>0.82799999999999996</v>
      </c>
      <c r="E63" s="6">
        <v>1.2749999999999999</v>
      </c>
      <c r="F63" s="6">
        <v>4.5720000000000001</v>
      </c>
      <c r="G63" s="6">
        <v>0</v>
      </c>
      <c r="H63" s="6">
        <v>4.9260000000000002</v>
      </c>
      <c r="I63" s="6">
        <v>1.6080000000000001</v>
      </c>
      <c r="J63" s="6">
        <v>2.5219999999999998</v>
      </c>
      <c r="K63" s="6">
        <v>2.6960000000000002</v>
      </c>
      <c r="L63" s="6">
        <v>2.6669999999999998</v>
      </c>
      <c r="M63" s="6">
        <v>4.3499999999999996</v>
      </c>
      <c r="N63" s="6">
        <v>-27.9603</v>
      </c>
      <c r="O63" s="6">
        <v>33.976399999999998</v>
      </c>
      <c r="P63" s="6">
        <f t="shared" si="0"/>
        <v>39.991369482788627</v>
      </c>
      <c r="Q63" s="6">
        <f t="shared" si="1"/>
        <v>59.118517649621474</v>
      </c>
      <c r="R63" s="6">
        <f t="shared" si="2"/>
        <v>77.584424909267199</v>
      </c>
      <c r="S63" s="6">
        <f t="shared" si="4"/>
        <v>39.991369482788713</v>
      </c>
      <c r="T63" s="6">
        <f t="shared" si="5"/>
        <v>59.118517649621424</v>
      </c>
      <c r="U63" s="6">
        <f t="shared" si="6"/>
        <v>77.58442490926717</v>
      </c>
      <c r="V63" s="6">
        <f t="shared" si="3"/>
        <v>-5.1159076974727213E-13</v>
      </c>
    </row>
    <row r="64" spans="1:22" ht="18.95" customHeight="1">
      <c r="A64" s="1">
        <v>58</v>
      </c>
      <c r="B64" s="6">
        <v>0.483333333333334</v>
      </c>
      <c r="C64" s="6">
        <f>TimeStep!B64</f>
        <v>483.33333333333337</v>
      </c>
      <c r="D64" s="6">
        <v>0.80500000000000005</v>
      </c>
      <c r="E64" s="6">
        <v>1.2889999999999999</v>
      </c>
      <c r="F64" s="6">
        <v>4.5720000000000001</v>
      </c>
      <c r="G64" s="6">
        <v>0</v>
      </c>
      <c r="H64" s="6">
        <v>4.9180000000000001</v>
      </c>
      <c r="I64" s="6">
        <v>1.61</v>
      </c>
      <c r="J64" s="6">
        <v>2.5059999999999998</v>
      </c>
      <c r="K64" s="6">
        <v>2.7029999999999998</v>
      </c>
      <c r="L64" s="6">
        <v>2.657</v>
      </c>
      <c r="M64" s="6">
        <v>4.3570000000000002</v>
      </c>
      <c r="N64" s="6">
        <v>-27.330100000000002</v>
      </c>
      <c r="O64" s="6">
        <v>35.0077</v>
      </c>
      <c r="P64" s="6">
        <f t="shared" si="0"/>
        <v>39.735924717111232</v>
      </c>
      <c r="Q64" s="6">
        <f t="shared" si="1"/>
        <v>58.882694656125778</v>
      </c>
      <c r="R64" s="6">
        <f t="shared" si="2"/>
        <v>77.871222190995638</v>
      </c>
      <c r="S64" s="6">
        <f t="shared" si="4"/>
        <v>39.735924717111317</v>
      </c>
      <c r="T64" s="6">
        <f t="shared" si="5"/>
        <v>58.882694656125722</v>
      </c>
      <c r="U64" s="6">
        <f t="shared" si="6"/>
        <v>77.871222190995582</v>
      </c>
      <c r="V64" s="6">
        <f t="shared" si="3"/>
        <v>-6.2527760746888816E-13</v>
      </c>
    </row>
    <row r="65" spans="1:22" ht="18.95" customHeight="1">
      <c r="A65" s="1">
        <v>59</v>
      </c>
      <c r="B65" s="6">
        <v>0.49166666666666731</v>
      </c>
      <c r="C65" s="6">
        <f>TimeStep!B65</f>
        <v>491.66666666666669</v>
      </c>
      <c r="D65" s="6">
        <v>0.78300000000000003</v>
      </c>
      <c r="E65" s="6">
        <v>1.3029999999999999</v>
      </c>
      <c r="F65" s="6">
        <v>4.5720000000000001</v>
      </c>
      <c r="G65" s="6">
        <v>0</v>
      </c>
      <c r="H65" s="6">
        <v>4.91</v>
      </c>
      <c r="I65" s="6">
        <v>1.6120000000000001</v>
      </c>
      <c r="J65" s="6">
        <v>2.4889999999999999</v>
      </c>
      <c r="K65" s="6">
        <v>2.71</v>
      </c>
      <c r="L65" s="6">
        <v>2.6459999999999999</v>
      </c>
      <c r="M65" s="6">
        <v>4.3630000000000004</v>
      </c>
      <c r="N65" s="6">
        <v>-26.757100000000001</v>
      </c>
      <c r="O65" s="6">
        <v>36.039000000000001</v>
      </c>
      <c r="P65" s="6">
        <f t="shared" si="0"/>
        <v>39.51363750620208</v>
      </c>
      <c r="Q65" s="6">
        <f t="shared" si="1"/>
        <v>58.6659613793178</v>
      </c>
      <c r="R65" s="6">
        <f t="shared" si="2"/>
        <v>78.157923884672229</v>
      </c>
      <c r="S65" s="6">
        <f t="shared" si="4"/>
        <v>39.513637506202173</v>
      </c>
      <c r="T65" s="6">
        <f t="shared" si="5"/>
        <v>58.665961379317736</v>
      </c>
      <c r="U65" s="6">
        <f t="shared" si="6"/>
        <v>78.157923884672186</v>
      </c>
      <c r="V65" s="6">
        <f t="shared" si="3"/>
        <v>-6.2527760746888816E-13</v>
      </c>
    </row>
    <row r="66" spans="1:22" ht="18.95" customHeight="1">
      <c r="A66" s="1">
        <v>60</v>
      </c>
      <c r="B66" s="6">
        <v>0.50000000000000067</v>
      </c>
      <c r="C66" s="6">
        <f>TimeStep!B66</f>
        <v>500.00000000000006</v>
      </c>
      <c r="D66" s="6">
        <v>0.76</v>
      </c>
      <c r="E66" s="6">
        <v>1.3169999999999999</v>
      </c>
      <c r="F66" s="6">
        <v>4.5720000000000001</v>
      </c>
      <c r="G66" s="6">
        <v>0</v>
      </c>
      <c r="H66" s="6">
        <v>4.9009999999999998</v>
      </c>
      <c r="I66" s="6">
        <v>1.613</v>
      </c>
      <c r="J66" s="6">
        <v>2.4710000000000001</v>
      </c>
      <c r="K66" s="6">
        <v>2.7170000000000001</v>
      </c>
      <c r="L66" s="6">
        <v>2.6349999999999998</v>
      </c>
      <c r="M66" s="6">
        <v>4.3689999999999998</v>
      </c>
      <c r="N66" s="6">
        <v>-26.126899999999999</v>
      </c>
      <c r="O66" s="6">
        <v>37.070399999999999</v>
      </c>
      <c r="P66" s="6">
        <f t="shared" si="0"/>
        <v>39.291230349324259</v>
      </c>
      <c r="Q66" s="6">
        <f t="shared" si="1"/>
        <v>58.435462244930505</v>
      </c>
      <c r="R66" s="6">
        <f t="shared" si="2"/>
        <v>78.471642929548707</v>
      </c>
      <c r="S66" s="6">
        <f t="shared" si="4"/>
        <v>39.291230349324366</v>
      </c>
      <c r="T66" s="6">
        <f t="shared" si="5"/>
        <v>58.435462244930449</v>
      </c>
      <c r="U66" s="6">
        <f t="shared" si="6"/>
        <v>78.471642929548693</v>
      </c>
      <c r="V66" s="6">
        <f t="shared" si="3"/>
        <v>-6.2527760746888816E-13</v>
      </c>
    </row>
    <row r="67" spans="1:22" ht="18.95" customHeight="1">
      <c r="A67" s="1">
        <v>61</v>
      </c>
      <c r="B67" s="6">
        <v>0.50833333333333397</v>
      </c>
      <c r="C67" s="6">
        <f>TimeStep!B67</f>
        <v>508.33333333333337</v>
      </c>
      <c r="D67" s="6">
        <v>0.73699999999999999</v>
      </c>
      <c r="E67" s="6">
        <v>1.33</v>
      </c>
      <c r="F67" s="6">
        <v>4.5720000000000001</v>
      </c>
      <c r="G67" s="6">
        <v>0</v>
      </c>
      <c r="H67" s="6">
        <v>4.8920000000000003</v>
      </c>
      <c r="I67" s="6">
        <v>1.615</v>
      </c>
      <c r="J67" s="6">
        <v>2.4529999999999998</v>
      </c>
      <c r="K67" s="6">
        <v>2.7240000000000002</v>
      </c>
      <c r="L67" s="6">
        <v>2.6230000000000002</v>
      </c>
      <c r="M67" s="6">
        <v>4.375</v>
      </c>
      <c r="N67" s="6">
        <v>-25.553899999999999</v>
      </c>
      <c r="O67" s="6">
        <v>38.044400000000003</v>
      </c>
      <c r="P67" s="6">
        <f t="shared" si="0"/>
        <v>39.088830514702366</v>
      </c>
      <c r="Q67" s="6">
        <f t="shared" si="1"/>
        <v>58.226918620327517</v>
      </c>
      <c r="R67" s="6">
        <f t="shared" si="2"/>
        <v>78.79244224641964</v>
      </c>
      <c r="S67" s="6">
        <f t="shared" si="4"/>
        <v>39.088830514702465</v>
      </c>
      <c r="T67" s="6">
        <f t="shared" si="5"/>
        <v>58.226918620327467</v>
      </c>
      <c r="U67" s="6">
        <f t="shared" si="6"/>
        <v>78.792442246419625</v>
      </c>
      <c r="V67" s="6">
        <f t="shared" si="3"/>
        <v>-6.2527760746888816E-13</v>
      </c>
    </row>
    <row r="68" spans="1:22" ht="18.95" customHeight="1">
      <c r="A68" s="1">
        <v>62</v>
      </c>
      <c r="B68" s="6">
        <v>0.51666666666666727</v>
      </c>
      <c r="C68" s="6">
        <f>TimeStep!B68</f>
        <v>516.66666666666674</v>
      </c>
      <c r="D68" s="6">
        <v>0.71299999999999997</v>
      </c>
      <c r="E68" s="6">
        <v>1.3420000000000001</v>
      </c>
      <c r="F68" s="6">
        <v>4.5720000000000001</v>
      </c>
      <c r="G68" s="6">
        <v>0</v>
      </c>
      <c r="H68" s="6">
        <v>4.883</v>
      </c>
      <c r="I68" s="6">
        <v>1.617</v>
      </c>
      <c r="J68" s="6">
        <v>2.4350000000000001</v>
      </c>
      <c r="K68" s="6">
        <v>2.73</v>
      </c>
      <c r="L68" s="6">
        <v>2.6110000000000002</v>
      </c>
      <c r="M68" s="6">
        <v>4.3810000000000002</v>
      </c>
      <c r="N68" s="6">
        <v>-24.981000000000002</v>
      </c>
      <c r="O68" s="6">
        <v>38.961100000000002</v>
      </c>
      <c r="P68" s="6">
        <f t="shared" si="0"/>
        <v>38.870185824020488</v>
      </c>
      <c r="Q68" s="6">
        <f t="shared" si="1"/>
        <v>58.013262243439954</v>
      </c>
      <c r="R68" s="6">
        <f t="shared" si="2"/>
        <v>79.113158731530618</v>
      </c>
      <c r="S68" s="6">
        <f t="shared" si="4"/>
        <v>38.870185824020581</v>
      </c>
      <c r="T68" s="6">
        <f t="shared" si="5"/>
        <v>58.013262243439897</v>
      </c>
      <c r="U68" s="6">
        <f t="shared" si="6"/>
        <v>79.113158731530575</v>
      </c>
      <c r="V68" s="6">
        <f t="shared" si="3"/>
        <v>0</v>
      </c>
    </row>
    <row r="69" spans="1:22" ht="18.95" customHeight="1">
      <c r="A69" s="1">
        <v>63</v>
      </c>
      <c r="B69" s="6">
        <v>0.52500000000000058</v>
      </c>
      <c r="C69" s="6">
        <f>TimeStep!B69</f>
        <v>525</v>
      </c>
      <c r="D69" s="6">
        <v>0.69</v>
      </c>
      <c r="E69" s="6">
        <v>1.355</v>
      </c>
      <c r="F69" s="6">
        <v>4.5720000000000001</v>
      </c>
      <c r="G69" s="6">
        <v>0</v>
      </c>
      <c r="H69" s="6">
        <v>4.8739999999999997</v>
      </c>
      <c r="I69" s="6">
        <v>1.619</v>
      </c>
      <c r="J69" s="6">
        <v>2.4169999999999998</v>
      </c>
      <c r="K69" s="6">
        <v>2.7360000000000002</v>
      </c>
      <c r="L69" s="6">
        <v>2.5990000000000002</v>
      </c>
      <c r="M69" s="6">
        <v>4.3860000000000001</v>
      </c>
      <c r="N69" s="6">
        <v>-24.408000000000001</v>
      </c>
      <c r="O69" s="6">
        <v>39.877899999999997</v>
      </c>
      <c r="P69" s="6">
        <f t="shared" si="0"/>
        <v>38.64766846060418</v>
      </c>
      <c r="Q69" s="6">
        <f t="shared" si="1"/>
        <v>57.796244956998883</v>
      </c>
      <c r="R69" s="6">
        <f t="shared" si="2"/>
        <v>79.433772328196085</v>
      </c>
      <c r="S69" s="6">
        <f t="shared" si="4"/>
        <v>38.64766846060428</v>
      </c>
      <c r="T69" s="6">
        <f t="shared" si="5"/>
        <v>57.796244956998834</v>
      </c>
      <c r="U69" s="6">
        <f t="shared" si="6"/>
        <v>79.433772328196028</v>
      </c>
      <c r="V69" s="6">
        <f t="shared" si="3"/>
        <v>0</v>
      </c>
    </row>
    <row r="70" spans="1:22" ht="18.95" customHeight="1">
      <c r="A70" s="1">
        <v>64</v>
      </c>
      <c r="B70" s="6">
        <v>0.53333333333333388</v>
      </c>
      <c r="C70" s="6">
        <f>TimeStep!B70</f>
        <v>533.33333333333337</v>
      </c>
      <c r="D70" s="6">
        <v>0.66600000000000004</v>
      </c>
      <c r="E70" s="6">
        <v>1.3660000000000001</v>
      </c>
      <c r="F70" s="6">
        <v>4.5720000000000001</v>
      </c>
      <c r="G70" s="6">
        <v>0</v>
      </c>
      <c r="H70" s="6">
        <v>4.8650000000000002</v>
      </c>
      <c r="I70" s="6">
        <v>1.62</v>
      </c>
      <c r="J70" s="6">
        <v>2.3980000000000001</v>
      </c>
      <c r="K70" s="6">
        <v>2.742</v>
      </c>
      <c r="L70" s="6">
        <v>2.5859999999999999</v>
      </c>
      <c r="M70" s="6">
        <v>4.3920000000000003</v>
      </c>
      <c r="N70" s="6">
        <v>-23.835000000000001</v>
      </c>
      <c r="O70" s="6">
        <v>40.794600000000003</v>
      </c>
      <c r="P70" s="6">
        <f t="shared" ref="P70:P133" si="7">DEGREES(ATAN2(J70-D70,K70-E70))</f>
        <v>38.465640865744874</v>
      </c>
      <c r="Q70" s="6">
        <f t="shared" ref="Q70:Q133" si="8">DEGREES(ATAN2(L70-D70,M70-E70))</f>
        <v>57.604832539974574</v>
      </c>
      <c r="R70" s="6">
        <f t="shared" ref="R70:R133" si="9">DEGREES(ATAN2(H70-F70,I70-G70))</f>
        <v>79.748072577998869</v>
      </c>
      <c r="S70" s="6">
        <f t="shared" si="4"/>
        <v>38.465640865744973</v>
      </c>
      <c r="T70" s="6">
        <f t="shared" si="5"/>
        <v>57.604832539974524</v>
      </c>
      <c r="U70" s="6">
        <f t="shared" si="6"/>
        <v>79.748072577998812</v>
      </c>
      <c r="V70" s="6">
        <f t="shared" ref="V70:V133" si="10">C70-B70*1000</f>
        <v>0</v>
      </c>
    </row>
    <row r="71" spans="1:22" ht="18.95" customHeight="1">
      <c r="A71" s="1">
        <v>65</v>
      </c>
      <c r="B71" s="6">
        <v>0.54166666666666718</v>
      </c>
      <c r="C71" s="6">
        <f>TimeStep!B71</f>
        <v>541.66666666666674</v>
      </c>
      <c r="D71" s="6">
        <v>0.64200000000000002</v>
      </c>
      <c r="E71" s="6">
        <v>1.3779999999999999</v>
      </c>
      <c r="F71" s="6">
        <v>4.5720000000000001</v>
      </c>
      <c r="G71" s="6">
        <v>0</v>
      </c>
      <c r="H71" s="6">
        <v>4.8550000000000004</v>
      </c>
      <c r="I71" s="6">
        <v>1.6220000000000001</v>
      </c>
      <c r="J71" s="6">
        <v>2.379</v>
      </c>
      <c r="K71" s="6">
        <v>2.7469999999999999</v>
      </c>
      <c r="L71" s="6">
        <v>2.5720000000000001</v>
      </c>
      <c r="M71" s="6">
        <v>4.3959999999999999</v>
      </c>
      <c r="N71" s="6">
        <v>-23.2621</v>
      </c>
      <c r="O71" s="6">
        <v>41.654000000000003</v>
      </c>
      <c r="P71" s="6">
        <f t="shared" si="7"/>
        <v>38.243074886161679</v>
      </c>
      <c r="Q71" s="6">
        <f t="shared" si="8"/>
        <v>57.401233177549813</v>
      </c>
      <c r="R71" s="6">
        <f t="shared" si="9"/>
        <v>80.102890407192362</v>
      </c>
      <c r="S71" s="6">
        <f t="shared" ref="S71:S134" si="11">S70+MOD(P71-P70+180,360)-180</f>
        <v>38.243074886161793</v>
      </c>
      <c r="T71" s="6">
        <f t="shared" ref="T71:T134" si="12">T70+MOD(Q71-Q70+180,360)-180</f>
        <v>57.401233177549756</v>
      </c>
      <c r="U71" s="6">
        <f t="shared" ref="U71:U134" si="13">U70+MOD(R71-R70+180,360)-180</f>
        <v>80.102890407192319</v>
      </c>
      <c r="V71" s="6">
        <f t="shared" si="10"/>
        <v>0</v>
      </c>
    </row>
    <row r="72" spans="1:22" ht="18.95" customHeight="1">
      <c r="A72" s="1">
        <v>66</v>
      </c>
      <c r="B72" s="6">
        <v>0.55000000000000049</v>
      </c>
      <c r="C72" s="6">
        <f>TimeStep!B72</f>
        <v>550</v>
      </c>
      <c r="D72" s="6">
        <v>0.61799999999999999</v>
      </c>
      <c r="E72" s="6">
        <v>1.389</v>
      </c>
      <c r="F72" s="6">
        <v>4.5720000000000001</v>
      </c>
      <c r="G72" s="6">
        <v>0</v>
      </c>
      <c r="H72" s="6">
        <v>4.8449999999999998</v>
      </c>
      <c r="I72" s="6">
        <v>1.6240000000000001</v>
      </c>
      <c r="J72" s="6">
        <v>2.359</v>
      </c>
      <c r="K72" s="6">
        <v>2.7519999999999998</v>
      </c>
      <c r="L72" s="6">
        <v>2.5579999999999998</v>
      </c>
      <c r="M72" s="6">
        <v>4.4009999999999998</v>
      </c>
      <c r="N72" s="6">
        <v>-22.6891</v>
      </c>
      <c r="O72" s="6">
        <v>42.513500000000001</v>
      </c>
      <c r="P72" s="6">
        <f t="shared" si="7"/>
        <v>38.056802253840857</v>
      </c>
      <c r="Q72" s="6">
        <f t="shared" si="8"/>
        <v>57.214807608294301</v>
      </c>
      <c r="R72" s="6">
        <f t="shared" si="9"/>
        <v>80.457599885326132</v>
      </c>
      <c r="S72" s="6">
        <f t="shared" si="11"/>
        <v>38.056802253840971</v>
      </c>
      <c r="T72" s="6">
        <f t="shared" si="12"/>
        <v>57.214807608294251</v>
      </c>
      <c r="U72" s="6">
        <f t="shared" si="13"/>
        <v>80.45759988532609</v>
      </c>
      <c r="V72" s="6">
        <f t="shared" si="10"/>
        <v>0</v>
      </c>
    </row>
    <row r="73" spans="1:22" ht="18.95" customHeight="1">
      <c r="A73" s="1">
        <v>67</v>
      </c>
      <c r="B73" s="6">
        <v>0.55833333333333379</v>
      </c>
      <c r="C73" s="6">
        <f>TimeStep!B73</f>
        <v>558.33333333333337</v>
      </c>
      <c r="D73" s="6">
        <v>0.59399999999999997</v>
      </c>
      <c r="E73" s="6">
        <v>1.399</v>
      </c>
      <c r="F73" s="6">
        <v>4.5720000000000001</v>
      </c>
      <c r="G73" s="6">
        <v>0</v>
      </c>
      <c r="H73" s="6">
        <v>4.835</v>
      </c>
      <c r="I73" s="6">
        <v>1.625</v>
      </c>
      <c r="J73" s="6">
        <v>2.339</v>
      </c>
      <c r="K73" s="6">
        <v>2.7570000000000001</v>
      </c>
      <c r="L73" s="6">
        <v>2.544</v>
      </c>
      <c r="M73" s="6">
        <v>4.4050000000000002</v>
      </c>
      <c r="N73" s="6">
        <v>-22.173500000000001</v>
      </c>
      <c r="O73" s="6">
        <v>43.315600000000003</v>
      </c>
      <c r="P73" s="6">
        <f t="shared" si="7"/>
        <v>37.890892200790205</v>
      </c>
      <c r="Q73" s="6">
        <f t="shared" si="8"/>
        <v>57.028420610359277</v>
      </c>
      <c r="R73" s="6">
        <f t="shared" si="9"/>
        <v>80.806616357848583</v>
      </c>
      <c r="S73" s="6">
        <f t="shared" si="11"/>
        <v>37.890892200790319</v>
      </c>
      <c r="T73" s="6">
        <f t="shared" si="12"/>
        <v>57.028420610359234</v>
      </c>
      <c r="U73" s="6">
        <f t="shared" si="13"/>
        <v>80.806616357848554</v>
      </c>
      <c r="V73" s="6">
        <f t="shared" si="10"/>
        <v>0</v>
      </c>
    </row>
    <row r="74" spans="1:22" ht="18.95" customHeight="1">
      <c r="A74" s="1">
        <v>68</v>
      </c>
      <c r="B74" s="6">
        <v>0.5666666666666671</v>
      </c>
      <c r="C74" s="6">
        <f>TimeStep!B74</f>
        <v>566.66666666666674</v>
      </c>
      <c r="D74" s="6">
        <v>0.56899999999999995</v>
      </c>
      <c r="E74" s="6">
        <v>1.409</v>
      </c>
      <c r="F74" s="6">
        <v>4.5720000000000001</v>
      </c>
      <c r="G74" s="6">
        <v>0</v>
      </c>
      <c r="H74" s="6">
        <v>4.8250000000000002</v>
      </c>
      <c r="I74" s="6">
        <v>1.627</v>
      </c>
      <c r="J74" s="6">
        <v>2.319</v>
      </c>
      <c r="K74" s="6">
        <v>2.762</v>
      </c>
      <c r="L74" s="6">
        <v>2.5289999999999999</v>
      </c>
      <c r="M74" s="6">
        <v>4.4089999999999998</v>
      </c>
      <c r="N74" s="6">
        <v>-21.657800000000002</v>
      </c>
      <c r="O74" s="6">
        <v>44.117800000000003</v>
      </c>
      <c r="P74" s="6">
        <f t="shared" si="7"/>
        <v>37.709146443039593</v>
      </c>
      <c r="Q74" s="6">
        <f t="shared" si="8"/>
        <v>56.842076115327771</v>
      </c>
      <c r="R74" s="6">
        <f t="shared" si="9"/>
        <v>81.161241785230601</v>
      </c>
      <c r="S74" s="6">
        <f t="shared" si="11"/>
        <v>37.709146443039714</v>
      </c>
      <c r="T74" s="6">
        <f t="shared" si="12"/>
        <v>56.842076115327728</v>
      </c>
      <c r="U74" s="6">
        <f t="shared" si="13"/>
        <v>81.161241785230573</v>
      </c>
      <c r="V74" s="6">
        <f t="shared" si="10"/>
        <v>0</v>
      </c>
    </row>
    <row r="75" spans="1:22" ht="18.95" customHeight="1">
      <c r="A75" s="1">
        <v>69</v>
      </c>
      <c r="B75" s="6">
        <v>0.5750000000000004</v>
      </c>
      <c r="C75" s="6">
        <f>TimeStep!B75</f>
        <v>575</v>
      </c>
      <c r="D75" s="6">
        <v>0.54500000000000004</v>
      </c>
      <c r="E75" s="6">
        <v>1.419</v>
      </c>
      <c r="F75" s="6">
        <v>4.5720000000000001</v>
      </c>
      <c r="G75" s="6">
        <v>0</v>
      </c>
      <c r="H75" s="6">
        <v>4.8140000000000001</v>
      </c>
      <c r="I75" s="6">
        <v>1.629</v>
      </c>
      <c r="J75" s="6">
        <v>2.298</v>
      </c>
      <c r="K75" s="6">
        <v>2.766</v>
      </c>
      <c r="L75" s="6">
        <v>2.5129999999999999</v>
      </c>
      <c r="M75" s="6">
        <v>4.4130000000000003</v>
      </c>
      <c r="N75" s="6">
        <v>-21.084800000000001</v>
      </c>
      <c r="O75" s="6">
        <v>44.919899999999998</v>
      </c>
      <c r="P75" s="6">
        <f t="shared" si="7"/>
        <v>37.538568594339246</v>
      </c>
      <c r="Q75" s="6">
        <f t="shared" si="8"/>
        <v>56.682496156217525</v>
      </c>
      <c r="R75" s="6">
        <f t="shared" si="9"/>
        <v>81.550087685241948</v>
      </c>
      <c r="S75" s="6">
        <f t="shared" si="11"/>
        <v>37.538568594339353</v>
      </c>
      <c r="T75" s="6">
        <f t="shared" si="12"/>
        <v>56.682496156217468</v>
      </c>
      <c r="U75" s="6">
        <f t="shared" si="13"/>
        <v>81.55008768524192</v>
      </c>
      <c r="V75" s="6">
        <f t="shared" si="10"/>
        <v>0</v>
      </c>
    </row>
    <row r="76" spans="1:22" ht="18.95" customHeight="1">
      <c r="A76" s="1">
        <v>70</v>
      </c>
      <c r="B76" s="6">
        <v>0.5833333333333337</v>
      </c>
      <c r="C76" s="6">
        <f>TimeStep!B76</f>
        <v>583.33333333333337</v>
      </c>
      <c r="D76" s="6">
        <v>0.52</v>
      </c>
      <c r="E76" s="6">
        <v>1.4279999999999999</v>
      </c>
      <c r="F76" s="6">
        <v>4.5720000000000001</v>
      </c>
      <c r="G76" s="6">
        <v>0</v>
      </c>
      <c r="H76" s="6">
        <v>4.8029999999999999</v>
      </c>
      <c r="I76" s="6">
        <v>1.63</v>
      </c>
      <c r="J76" s="6">
        <v>2.278</v>
      </c>
      <c r="K76" s="6">
        <v>2.77</v>
      </c>
      <c r="L76" s="6">
        <v>2.4969999999999999</v>
      </c>
      <c r="M76" s="6">
        <v>4.4160000000000004</v>
      </c>
      <c r="N76" s="6">
        <v>-20.569199999999999</v>
      </c>
      <c r="O76" s="6">
        <v>45.664700000000003</v>
      </c>
      <c r="P76" s="6">
        <f t="shared" si="7"/>
        <v>37.356936310379929</v>
      </c>
      <c r="Q76" s="6">
        <f t="shared" si="8"/>
        <v>56.509522166621856</v>
      </c>
      <c r="R76" s="6">
        <f t="shared" si="9"/>
        <v>81.933882254042189</v>
      </c>
      <c r="S76" s="6">
        <f t="shared" si="11"/>
        <v>37.356936310380036</v>
      </c>
      <c r="T76" s="6">
        <f t="shared" si="12"/>
        <v>56.509522166621792</v>
      </c>
      <c r="U76" s="6">
        <f t="shared" si="13"/>
        <v>81.933882254042146</v>
      </c>
      <c r="V76" s="6">
        <f t="shared" si="10"/>
        <v>0</v>
      </c>
    </row>
    <row r="77" spans="1:22" ht="18.95" customHeight="1">
      <c r="A77" s="1">
        <v>71</v>
      </c>
      <c r="B77" s="6">
        <v>0.59166666666666701</v>
      </c>
      <c r="C77" s="6">
        <f>TimeStep!B77</f>
        <v>591.66666666666674</v>
      </c>
      <c r="D77" s="6">
        <v>0.495</v>
      </c>
      <c r="E77" s="6">
        <v>1.4370000000000001</v>
      </c>
      <c r="F77" s="6">
        <v>4.5720000000000001</v>
      </c>
      <c r="G77" s="6">
        <v>0</v>
      </c>
      <c r="H77" s="6">
        <v>4.7919999999999998</v>
      </c>
      <c r="I77" s="6">
        <v>1.6319999999999999</v>
      </c>
      <c r="J77" s="6">
        <v>2.2570000000000001</v>
      </c>
      <c r="K77" s="6">
        <v>2.774</v>
      </c>
      <c r="L77" s="6">
        <v>2.4809999999999999</v>
      </c>
      <c r="M77" s="6">
        <v>4.4189999999999996</v>
      </c>
      <c r="N77" s="6">
        <v>-20.0535</v>
      </c>
      <c r="O77" s="6">
        <v>46.409599999999998</v>
      </c>
      <c r="P77" s="6">
        <f t="shared" si="7"/>
        <v>37.191111237780397</v>
      </c>
      <c r="Q77" s="6">
        <f t="shared" si="8"/>
        <v>56.336544538763796</v>
      </c>
      <c r="R77" s="6">
        <f t="shared" si="9"/>
        <v>82.322585899963855</v>
      </c>
      <c r="S77" s="6">
        <f t="shared" si="11"/>
        <v>37.19111123778049</v>
      </c>
      <c r="T77" s="6">
        <f t="shared" si="12"/>
        <v>56.336544538763718</v>
      </c>
      <c r="U77" s="6">
        <f t="shared" si="13"/>
        <v>82.322585899963826</v>
      </c>
      <c r="V77" s="6">
        <f t="shared" si="10"/>
        <v>0</v>
      </c>
    </row>
    <row r="78" spans="1:22" ht="18.95" customHeight="1">
      <c r="A78" s="1">
        <v>72</v>
      </c>
      <c r="B78" s="6">
        <v>0.60000000000000031</v>
      </c>
      <c r="C78" s="6">
        <f>TimeStep!B78</f>
        <v>600</v>
      </c>
      <c r="D78" s="6">
        <v>0.47</v>
      </c>
      <c r="E78" s="6">
        <v>1.446</v>
      </c>
      <c r="F78" s="6">
        <v>4.5720000000000001</v>
      </c>
      <c r="G78" s="6">
        <v>0</v>
      </c>
      <c r="H78" s="6">
        <v>4.7809999999999997</v>
      </c>
      <c r="I78" s="6">
        <v>1.633</v>
      </c>
      <c r="J78" s="6">
        <v>2.2349999999999999</v>
      </c>
      <c r="K78" s="6">
        <v>2.7770000000000001</v>
      </c>
      <c r="L78" s="6">
        <v>2.4649999999999999</v>
      </c>
      <c r="M78" s="6">
        <v>4.4219999999999997</v>
      </c>
      <c r="N78" s="6">
        <v>-19.5379</v>
      </c>
      <c r="O78" s="6">
        <v>47.097099999999998</v>
      </c>
      <c r="P78" s="6">
        <f t="shared" si="7"/>
        <v>37.020225501916961</v>
      </c>
      <c r="Q78" s="6">
        <f t="shared" si="8"/>
        <v>56.163566425792524</v>
      </c>
      <c r="R78" s="6">
        <f t="shared" si="9"/>
        <v>82.706632187950333</v>
      </c>
      <c r="S78" s="6">
        <f t="shared" si="11"/>
        <v>37.020225501917054</v>
      </c>
      <c r="T78" s="6">
        <f t="shared" si="12"/>
        <v>56.163566425792453</v>
      </c>
      <c r="U78" s="6">
        <f t="shared" si="13"/>
        <v>82.706632187950277</v>
      </c>
      <c r="V78" s="6">
        <f t="shared" si="10"/>
        <v>0</v>
      </c>
    </row>
    <row r="79" spans="1:22" ht="18.95" customHeight="1">
      <c r="A79" s="1">
        <v>73</v>
      </c>
      <c r="B79" s="6">
        <v>0.60833333333333361</v>
      </c>
      <c r="C79" s="6">
        <f>TimeStep!B79</f>
        <v>608.33333333333337</v>
      </c>
      <c r="D79" s="6">
        <v>0.44400000000000001</v>
      </c>
      <c r="E79" s="6">
        <v>1.454</v>
      </c>
      <c r="F79" s="6">
        <v>4.5720000000000001</v>
      </c>
      <c r="G79" s="6">
        <v>0</v>
      </c>
      <c r="H79" s="6">
        <v>4.7699999999999996</v>
      </c>
      <c r="I79" s="6">
        <v>1.635</v>
      </c>
      <c r="J79" s="6">
        <v>2.214</v>
      </c>
      <c r="K79" s="6">
        <v>2.78</v>
      </c>
      <c r="L79" s="6">
        <v>2.448</v>
      </c>
      <c r="M79" s="6">
        <v>4.4240000000000004</v>
      </c>
      <c r="N79" s="6">
        <v>-19.079499999999999</v>
      </c>
      <c r="O79" s="6">
        <v>47.784700000000001</v>
      </c>
      <c r="P79" s="6">
        <f t="shared" si="7"/>
        <v>36.838809325773319</v>
      </c>
      <c r="Q79" s="6">
        <f t="shared" si="8"/>
        <v>55.99059098091027</v>
      </c>
      <c r="R79" s="6">
        <f t="shared" si="9"/>
        <v>83.095052214558962</v>
      </c>
      <c r="S79" s="6">
        <f t="shared" si="11"/>
        <v>36.838809325773411</v>
      </c>
      <c r="T79" s="6">
        <f t="shared" si="12"/>
        <v>55.990590980910213</v>
      </c>
      <c r="U79" s="6">
        <f t="shared" si="13"/>
        <v>83.095052214558905</v>
      </c>
      <c r="V79" s="6">
        <f t="shared" si="10"/>
        <v>0</v>
      </c>
    </row>
    <row r="80" spans="1:22" ht="18.95" customHeight="1">
      <c r="A80" s="1">
        <v>74</v>
      </c>
      <c r="B80" s="6">
        <v>0.61666666666666692</v>
      </c>
      <c r="C80" s="6">
        <f>TimeStep!B80</f>
        <v>616.66666666666674</v>
      </c>
      <c r="D80" s="6">
        <v>0.41899999999999998</v>
      </c>
      <c r="E80" s="6">
        <v>1.4610000000000001</v>
      </c>
      <c r="F80" s="6">
        <v>4.5720000000000001</v>
      </c>
      <c r="G80" s="6">
        <v>0</v>
      </c>
      <c r="H80" s="6">
        <v>4.7590000000000003</v>
      </c>
      <c r="I80" s="6">
        <v>1.6359999999999999</v>
      </c>
      <c r="J80" s="6">
        <v>2.1920000000000002</v>
      </c>
      <c r="K80" s="6">
        <v>2.7829999999999999</v>
      </c>
      <c r="L80" s="6">
        <v>2.4300000000000002</v>
      </c>
      <c r="M80" s="6">
        <v>4.4260000000000002</v>
      </c>
      <c r="N80" s="6">
        <v>-18.563800000000001</v>
      </c>
      <c r="O80" s="6">
        <v>48.414900000000003</v>
      </c>
      <c r="P80" s="6">
        <f t="shared" si="7"/>
        <v>36.709275063828734</v>
      </c>
      <c r="Q80" s="6">
        <f t="shared" si="8"/>
        <v>55.85306631205664</v>
      </c>
      <c r="R80" s="6">
        <f t="shared" si="9"/>
        <v>83.479210526313153</v>
      </c>
      <c r="S80" s="6">
        <f t="shared" si="11"/>
        <v>36.709275063828841</v>
      </c>
      <c r="T80" s="6">
        <f t="shared" si="12"/>
        <v>55.853066312056569</v>
      </c>
      <c r="U80" s="6">
        <f t="shared" si="13"/>
        <v>83.479210526313068</v>
      </c>
      <c r="V80" s="6">
        <f t="shared" si="10"/>
        <v>0</v>
      </c>
    </row>
    <row r="81" spans="1:22" ht="18.95" customHeight="1">
      <c r="A81" s="1">
        <v>75</v>
      </c>
      <c r="B81" s="6">
        <v>0.62500000000000022</v>
      </c>
      <c r="C81" s="6">
        <f>TimeStep!B81</f>
        <v>625</v>
      </c>
      <c r="D81" s="6">
        <v>0.39300000000000002</v>
      </c>
      <c r="E81" s="6">
        <v>1.468</v>
      </c>
      <c r="F81" s="6">
        <v>4.5720000000000001</v>
      </c>
      <c r="G81" s="6">
        <v>0</v>
      </c>
      <c r="H81" s="6">
        <v>4.7469999999999999</v>
      </c>
      <c r="I81" s="6">
        <v>1.637</v>
      </c>
      <c r="J81" s="6">
        <v>2.17</v>
      </c>
      <c r="K81" s="6">
        <v>2.7850000000000001</v>
      </c>
      <c r="L81" s="6">
        <v>2.4129999999999998</v>
      </c>
      <c r="M81" s="6">
        <v>4.4279999999999999</v>
      </c>
      <c r="N81" s="6">
        <v>-18.048200000000001</v>
      </c>
      <c r="O81" s="6">
        <v>49.102499999999999</v>
      </c>
      <c r="P81" s="6">
        <f t="shared" si="7"/>
        <v>36.543503300717212</v>
      </c>
      <c r="Q81" s="6">
        <f t="shared" si="8"/>
        <v>55.689104671855418</v>
      </c>
      <c r="R81" s="6">
        <f t="shared" si="9"/>
        <v>83.898090911029954</v>
      </c>
      <c r="S81" s="6">
        <f t="shared" si="11"/>
        <v>36.543503300717305</v>
      </c>
      <c r="T81" s="6">
        <f t="shared" si="12"/>
        <v>55.689104671855347</v>
      </c>
      <c r="U81" s="6">
        <f t="shared" si="13"/>
        <v>83.89809091102984</v>
      </c>
      <c r="V81" s="6">
        <f t="shared" si="10"/>
        <v>0</v>
      </c>
    </row>
    <row r="82" spans="1:22" ht="18.95" customHeight="1">
      <c r="A82" s="1">
        <v>76</v>
      </c>
      <c r="B82" s="6">
        <v>0.63333333333333353</v>
      </c>
      <c r="C82" s="6">
        <f>TimeStep!B82</f>
        <v>633.33333333333337</v>
      </c>
      <c r="D82" s="6">
        <v>0.36799999999999999</v>
      </c>
      <c r="E82" s="6">
        <v>1.4750000000000001</v>
      </c>
      <c r="F82" s="6">
        <v>4.5720000000000001</v>
      </c>
      <c r="G82" s="6">
        <v>0</v>
      </c>
      <c r="H82" s="6">
        <v>4.7350000000000003</v>
      </c>
      <c r="I82" s="6">
        <v>1.6379999999999999</v>
      </c>
      <c r="J82" s="6">
        <v>2.1480000000000001</v>
      </c>
      <c r="K82" s="6">
        <v>2.7869999999999999</v>
      </c>
      <c r="L82" s="6">
        <v>2.395</v>
      </c>
      <c r="M82" s="6">
        <v>4.4290000000000003</v>
      </c>
      <c r="N82" s="6">
        <v>-17.5898</v>
      </c>
      <c r="O82" s="6">
        <v>49.675400000000003</v>
      </c>
      <c r="P82" s="6">
        <f t="shared" si="7"/>
        <v>36.393134797220767</v>
      </c>
      <c r="Q82" s="6">
        <f t="shared" si="8"/>
        <v>55.542544958294499</v>
      </c>
      <c r="R82" s="6">
        <f t="shared" si="9"/>
        <v>84.317114424633814</v>
      </c>
      <c r="S82" s="6">
        <f t="shared" si="11"/>
        <v>36.393134797220853</v>
      </c>
      <c r="T82" s="6">
        <f t="shared" si="12"/>
        <v>55.542544958294428</v>
      </c>
      <c r="U82" s="6">
        <f t="shared" si="13"/>
        <v>84.317114424633701</v>
      </c>
      <c r="V82" s="6">
        <f t="shared" si="10"/>
        <v>0</v>
      </c>
    </row>
    <row r="83" spans="1:22" ht="18.95" customHeight="1">
      <c r="A83" s="1">
        <v>77</v>
      </c>
      <c r="B83" s="6">
        <v>0.64166666666666683</v>
      </c>
      <c r="C83" s="6">
        <f>TimeStep!B83</f>
        <v>641.66666666666674</v>
      </c>
      <c r="D83" s="6">
        <v>0.34200000000000003</v>
      </c>
      <c r="E83" s="6">
        <v>1.4810000000000001</v>
      </c>
      <c r="F83" s="6">
        <v>4.5720000000000001</v>
      </c>
      <c r="G83" s="6">
        <v>0</v>
      </c>
      <c r="H83" s="6">
        <v>4.7229999999999999</v>
      </c>
      <c r="I83" s="6">
        <v>1.64</v>
      </c>
      <c r="J83" s="6">
        <v>2.125</v>
      </c>
      <c r="K83" s="6">
        <v>2.7890000000000001</v>
      </c>
      <c r="L83" s="6">
        <v>2.3759999999999999</v>
      </c>
      <c r="M83" s="6">
        <v>4.43</v>
      </c>
      <c r="N83" s="6">
        <v>-17.131399999999999</v>
      </c>
      <c r="O83" s="6">
        <v>50.305700000000002</v>
      </c>
      <c r="P83" s="6">
        <f t="shared" si="7"/>
        <v>36.263588313690626</v>
      </c>
      <c r="Q83" s="6">
        <f t="shared" si="8"/>
        <v>55.404987287507538</v>
      </c>
      <c r="R83" s="6">
        <f t="shared" si="9"/>
        <v>84.739427898637743</v>
      </c>
      <c r="S83" s="6">
        <f t="shared" si="11"/>
        <v>36.263588313690718</v>
      </c>
      <c r="T83" s="6">
        <f t="shared" si="12"/>
        <v>55.404987287507453</v>
      </c>
      <c r="U83" s="6">
        <f t="shared" si="13"/>
        <v>84.739427898637643</v>
      </c>
      <c r="V83" s="6">
        <f t="shared" si="10"/>
        <v>0</v>
      </c>
    </row>
    <row r="84" spans="1:22" ht="18.95" customHeight="1">
      <c r="A84" s="1">
        <v>78</v>
      </c>
      <c r="B84" s="6">
        <v>0.65000000000000013</v>
      </c>
      <c r="C84" s="6">
        <f>TimeStep!B84</f>
        <v>650</v>
      </c>
      <c r="D84" s="6">
        <v>0.316</v>
      </c>
      <c r="E84" s="6">
        <v>1.4870000000000001</v>
      </c>
      <c r="F84" s="6">
        <v>4.5720000000000001</v>
      </c>
      <c r="G84" s="6">
        <v>0</v>
      </c>
      <c r="H84" s="6">
        <v>4.7110000000000003</v>
      </c>
      <c r="I84" s="6">
        <v>1.641</v>
      </c>
      <c r="J84" s="6">
        <v>2.1019999999999999</v>
      </c>
      <c r="K84" s="6">
        <v>2.79</v>
      </c>
      <c r="L84" s="6">
        <v>2.3580000000000001</v>
      </c>
      <c r="M84" s="6">
        <v>4.431</v>
      </c>
      <c r="N84" s="6">
        <v>-16.6158</v>
      </c>
      <c r="O84" s="6">
        <v>50.878700000000002</v>
      </c>
      <c r="P84" s="6">
        <f t="shared" si="7"/>
        <v>36.11311692196265</v>
      </c>
      <c r="Q84" s="6">
        <f t="shared" si="8"/>
        <v>55.254276508805575</v>
      </c>
      <c r="R84" s="6">
        <f t="shared" si="9"/>
        <v>85.158349883527549</v>
      </c>
      <c r="S84" s="6">
        <f t="shared" si="11"/>
        <v>36.113116921962728</v>
      </c>
      <c r="T84" s="6">
        <f t="shared" si="12"/>
        <v>55.254276508805475</v>
      </c>
      <c r="U84" s="6">
        <f t="shared" si="13"/>
        <v>85.158349883527421</v>
      </c>
      <c r="V84" s="6">
        <f t="shared" si="10"/>
        <v>0</v>
      </c>
    </row>
    <row r="85" spans="1:22" ht="18.95" customHeight="1">
      <c r="A85" s="1">
        <v>79</v>
      </c>
      <c r="B85" s="6">
        <v>0.65833333333333344</v>
      </c>
      <c r="C85" s="6">
        <f>TimeStep!B85</f>
        <v>658.33333333333337</v>
      </c>
      <c r="D85" s="6">
        <v>0.28999999999999998</v>
      </c>
      <c r="E85" s="6">
        <v>1.492</v>
      </c>
      <c r="F85" s="6">
        <v>4.5720000000000001</v>
      </c>
      <c r="G85" s="6">
        <v>0</v>
      </c>
      <c r="H85" s="6">
        <v>4.6989999999999998</v>
      </c>
      <c r="I85" s="6">
        <v>1.6419999999999999</v>
      </c>
      <c r="J85" s="6">
        <v>2.08</v>
      </c>
      <c r="K85" s="6">
        <v>2.7909999999999999</v>
      </c>
      <c r="L85" s="6">
        <v>2.339</v>
      </c>
      <c r="M85" s="6">
        <v>4.431</v>
      </c>
      <c r="N85" s="6">
        <v>-16.157399999999999</v>
      </c>
      <c r="O85" s="6">
        <v>51.451599999999999</v>
      </c>
      <c r="P85" s="6">
        <f t="shared" si="7"/>
        <v>35.968329154794347</v>
      </c>
      <c r="Q85" s="6">
        <f t="shared" si="8"/>
        <v>55.116720203193971</v>
      </c>
      <c r="R85" s="6">
        <f t="shared" si="9"/>
        <v>85.577280208948878</v>
      </c>
      <c r="S85" s="6">
        <f t="shared" si="11"/>
        <v>35.968329154794418</v>
      </c>
      <c r="T85" s="6">
        <f t="shared" si="12"/>
        <v>55.116720203193864</v>
      </c>
      <c r="U85" s="6">
        <f t="shared" si="13"/>
        <v>85.577280208948764</v>
      </c>
      <c r="V85" s="6">
        <f t="shared" si="10"/>
        <v>0</v>
      </c>
    </row>
    <row r="86" spans="1:22" ht="18.95" customHeight="1">
      <c r="A86" s="1">
        <v>80</v>
      </c>
      <c r="B86" s="6">
        <v>0.66666666666666674</v>
      </c>
      <c r="C86" s="6">
        <f>TimeStep!B86</f>
        <v>666.66666666666674</v>
      </c>
      <c r="D86" s="6">
        <v>0.26400000000000001</v>
      </c>
      <c r="E86" s="6">
        <v>1.4970000000000001</v>
      </c>
      <c r="F86" s="6">
        <v>4.5720000000000001</v>
      </c>
      <c r="G86" s="6">
        <v>0</v>
      </c>
      <c r="H86" s="6">
        <v>4.6859999999999999</v>
      </c>
      <c r="I86" s="6">
        <v>1.643</v>
      </c>
      <c r="J86" s="6">
        <v>2.056</v>
      </c>
      <c r="K86" s="6">
        <v>2.7919999999999998</v>
      </c>
      <c r="L86" s="6">
        <v>2.319</v>
      </c>
      <c r="M86" s="6">
        <v>4.431</v>
      </c>
      <c r="N86" s="6">
        <v>-15.699</v>
      </c>
      <c r="O86" s="6">
        <v>51.967300000000002</v>
      </c>
      <c r="P86" s="6">
        <f t="shared" si="7"/>
        <v>35.853992831067039</v>
      </c>
      <c r="Q86" s="6">
        <f t="shared" si="8"/>
        <v>54.992255402655864</v>
      </c>
      <c r="R86" s="6">
        <f t="shared" si="9"/>
        <v>86.030878198667921</v>
      </c>
      <c r="S86" s="6">
        <f t="shared" si="11"/>
        <v>35.853992831067103</v>
      </c>
      <c r="T86" s="6">
        <f t="shared" si="12"/>
        <v>54.992255402655758</v>
      </c>
      <c r="U86" s="6">
        <f t="shared" si="13"/>
        <v>86.030878198667779</v>
      </c>
      <c r="V86" s="6">
        <f t="shared" si="10"/>
        <v>0</v>
      </c>
    </row>
    <row r="87" spans="1:22" ht="18.95" customHeight="1">
      <c r="A87" s="1">
        <v>81</v>
      </c>
      <c r="B87" s="6">
        <v>0.67500000000000004</v>
      </c>
      <c r="C87" s="6">
        <f>TimeStep!B87</f>
        <v>675</v>
      </c>
      <c r="D87" s="6">
        <v>0.23799999999999999</v>
      </c>
      <c r="E87" s="6">
        <v>1.5009999999999999</v>
      </c>
      <c r="F87" s="6">
        <v>4.5720000000000001</v>
      </c>
      <c r="G87" s="6">
        <v>0</v>
      </c>
      <c r="H87" s="6">
        <v>4.6740000000000004</v>
      </c>
      <c r="I87" s="6">
        <v>1.643</v>
      </c>
      <c r="J87" s="6">
        <v>2.0329999999999999</v>
      </c>
      <c r="K87" s="6">
        <v>2.7919999999999998</v>
      </c>
      <c r="L87" s="6">
        <v>2.2999999999999998</v>
      </c>
      <c r="M87" s="6">
        <v>4.431</v>
      </c>
      <c r="N87" s="6">
        <v>-15.2407</v>
      </c>
      <c r="O87" s="6">
        <v>52.482900000000001</v>
      </c>
      <c r="P87" s="6">
        <f t="shared" si="7"/>
        <v>35.724445707207032</v>
      </c>
      <c r="Q87" s="6">
        <f t="shared" si="8"/>
        <v>54.863869442087108</v>
      </c>
      <c r="R87" s="6">
        <f t="shared" si="9"/>
        <v>86.447547911404428</v>
      </c>
      <c r="S87" s="6">
        <f t="shared" si="11"/>
        <v>35.72444570720711</v>
      </c>
      <c r="T87" s="6">
        <f t="shared" si="12"/>
        <v>54.863869442087008</v>
      </c>
      <c r="U87" s="6">
        <f t="shared" si="13"/>
        <v>86.447547911404286</v>
      </c>
      <c r="V87" s="6">
        <f t="shared" si="10"/>
        <v>0</v>
      </c>
    </row>
    <row r="88" spans="1:22" ht="18.95" customHeight="1">
      <c r="A88" s="1">
        <v>82</v>
      </c>
      <c r="B88" s="6">
        <v>0.68333333333333335</v>
      </c>
      <c r="C88" s="6">
        <f>TimeStep!B88</f>
        <v>683.33333333333337</v>
      </c>
      <c r="D88" s="6">
        <v>0.21099999999999999</v>
      </c>
      <c r="E88" s="6">
        <v>1.5049999999999999</v>
      </c>
      <c r="F88" s="6">
        <v>4.5720000000000001</v>
      </c>
      <c r="G88" s="6">
        <v>0</v>
      </c>
      <c r="H88" s="6">
        <v>4.6609999999999996</v>
      </c>
      <c r="I88" s="6">
        <v>1.6439999999999999</v>
      </c>
      <c r="J88" s="6">
        <v>2.0099999999999998</v>
      </c>
      <c r="K88" s="6">
        <v>2.7919999999999998</v>
      </c>
      <c r="L88" s="6">
        <v>2.2799999999999998</v>
      </c>
      <c r="M88" s="6">
        <v>4.431</v>
      </c>
      <c r="N88" s="6">
        <v>-14.782299999999999</v>
      </c>
      <c r="O88" s="6">
        <v>52.998600000000003</v>
      </c>
      <c r="P88" s="6">
        <f t="shared" si="7"/>
        <v>35.579833602802623</v>
      </c>
      <c r="Q88" s="6">
        <f t="shared" si="8"/>
        <v>54.735537757692832</v>
      </c>
      <c r="R88" s="6">
        <f t="shared" si="9"/>
        <v>86.901246027616622</v>
      </c>
      <c r="S88" s="6">
        <f t="shared" si="11"/>
        <v>35.579833602802694</v>
      </c>
      <c r="T88" s="6">
        <f t="shared" si="12"/>
        <v>54.735537757692725</v>
      </c>
      <c r="U88" s="6">
        <f t="shared" si="13"/>
        <v>86.90124602761648</v>
      </c>
      <c r="V88" s="6">
        <f t="shared" si="10"/>
        <v>0</v>
      </c>
    </row>
    <row r="89" spans="1:22" ht="18.95" customHeight="1">
      <c r="A89" s="1">
        <v>83</v>
      </c>
      <c r="B89" s="6">
        <v>0.69166666666666665</v>
      </c>
      <c r="C89" s="6">
        <f>TimeStep!B89</f>
        <v>691.66666666666674</v>
      </c>
      <c r="D89" s="6">
        <v>0.185</v>
      </c>
      <c r="E89" s="6">
        <v>1.5089999999999999</v>
      </c>
      <c r="F89" s="6">
        <v>4.5720000000000001</v>
      </c>
      <c r="G89" s="6">
        <v>0</v>
      </c>
      <c r="H89" s="6">
        <v>4.649</v>
      </c>
      <c r="I89" s="6">
        <v>1.645</v>
      </c>
      <c r="J89" s="6">
        <v>1.986</v>
      </c>
      <c r="K89" s="6">
        <v>2.7919999999999998</v>
      </c>
      <c r="L89" s="6">
        <v>2.2599999999999998</v>
      </c>
      <c r="M89" s="6">
        <v>4.43</v>
      </c>
      <c r="N89" s="6">
        <v>-14.3812</v>
      </c>
      <c r="O89" s="6">
        <v>53.457000000000001</v>
      </c>
      <c r="P89" s="6">
        <f t="shared" si="7"/>
        <v>35.465387918215001</v>
      </c>
      <c r="Q89" s="6">
        <f t="shared" si="8"/>
        <v>54.611035856325699</v>
      </c>
      <c r="R89" s="6">
        <f t="shared" si="9"/>
        <v>87.320026059892058</v>
      </c>
      <c r="S89" s="6">
        <f t="shared" si="11"/>
        <v>35.465387918215072</v>
      </c>
      <c r="T89" s="6">
        <f t="shared" si="12"/>
        <v>54.6110358563256</v>
      </c>
      <c r="U89" s="6">
        <f t="shared" si="13"/>
        <v>87.320026059891916</v>
      </c>
      <c r="V89" s="6">
        <f t="shared" si="10"/>
        <v>0</v>
      </c>
    </row>
    <row r="90" spans="1:22" ht="18.95" customHeight="1">
      <c r="A90" s="1">
        <v>84</v>
      </c>
      <c r="B90" s="6">
        <v>0.7</v>
      </c>
      <c r="C90" s="6">
        <f>TimeStep!B90</f>
        <v>700</v>
      </c>
      <c r="D90" s="6">
        <v>0.159</v>
      </c>
      <c r="E90" s="6">
        <v>1.512</v>
      </c>
      <c r="F90" s="6">
        <v>4.5720000000000001</v>
      </c>
      <c r="G90" s="6">
        <v>0</v>
      </c>
      <c r="H90" s="6">
        <v>4.6360000000000001</v>
      </c>
      <c r="I90" s="6">
        <v>1.645</v>
      </c>
      <c r="J90" s="6">
        <v>1.9630000000000001</v>
      </c>
      <c r="K90" s="6">
        <v>2.7909999999999999</v>
      </c>
      <c r="L90" s="6">
        <v>2.2400000000000002</v>
      </c>
      <c r="M90" s="6">
        <v>4.4279999999999999</v>
      </c>
      <c r="N90" s="6">
        <v>-13.9229</v>
      </c>
      <c r="O90" s="6">
        <v>53.915300000000002</v>
      </c>
      <c r="P90" s="6">
        <f t="shared" si="7"/>
        <v>35.33587989710108</v>
      </c>
      <c r="Q90" s="6">
        <f t="shared" si="8"/>
        <v>54.486492149599663</v>
      </c>
      <c r="R90" s="6">
        <f t="shared" si="9"/>
        <v>87.771986986962986</v>
      </c>
      <c r="S90" s="6">
        <f t="shared" si="11"/>
        <v>35.335879897101165</v>
      </c>
      <c r="T90" s="6">
        <f t="shared" si="12"/>
        <v>54.48649214959957</v>
      </c>
      <c r="U90" s="6">
        <f t="shared" si="13"/>
        <v>87.771986986962816</v>
      </c>
      <c r="V90" s="6">
        <f t="shared" si="10"/>
        <v>0</v>
      </c>
    </row>
    <row r="91" spans="1:22" ht="18.95" customHeight="1">
      <c r="A91" s="1">
        <v>85</v>
      </c>
      <c r="B91" s="6">
        <v>0.70833333333333326</v>
      </c>
      <c r="C91" s="6">
        <f>TimeStep!B91</f>
        <v>708.33333333333337</v>
      </c>
      <c r="D91" s="6">
        <v>0.13200000000000001</v>
      </c>
      <c r="E91" s="6">
        <v>1.514</v>
      </c>
      <c r="F91" s="6">
        <v>4.5720000000000001</v>
      </c>
      <c r="G91" s="6">
        <v>0</v>
      </c>
      <c r="H91" s="6">
        <v>4.6230000000000002</v>
      </c>
      <c r="I91" s="6">
        <v>1.6459999999999999</v>
      </c>
      <c r="J91" s="6">
        <v>1.9390000000000001</v>
      </c>
      <c r="K91" s="6">
        <v>2.79</v>
      </c>
      <c r="L91" s="6">
        <v>2.2189999999999999</v>
      </c>
      <c r="M91" s="6">
        <v>4.4269999999999996</v>
      </c>
      <c r="N91" s="6">
        <v>-13.464499999999999</v>
      </c>
      <c r="O91" s="6">
        <v>54.373699999999999</v>
      </c>
      <c r="P91" s="6">
        <f t="shared" si="7"/>
        <v>35.227550740813122</v>
      </c>
      <c r="Q91" s="6">
        <f t="shared" si="8"/>
        <v>54.380540186793738</v>
      </c>
      <c r="R91" s="6">
        <f t="shared" si="9"/>
        <v>88.225303641594223</v>
      </c>
      <c r="S91" s="6">
        <f t="shared" si="11"/>
        <v>35.2275507408132</v>
      </c>
      <c r="T91" s="6">
        <f t="shared" si="12"/>
        <v>54.380540186793638</v>
      </c>
      <c r="U91" s="6">
        <f t="shared" si="13"/>
        <v>88.225303641594053</v>
      </c>
      <c r="V91" s="6">
        <f t="shared" si="10"/>
        <v>0</v>
      </c>
    </row>
    <row r="92" spans="1:22" ht="18.95" customHeight="1">
      <c r="A92" s="1">
        <v>86</v>
      </c>
      <c r="B92" s="6">
        <v>0.71666666666666656</v>
      </c>
      <c r="C92" s="6">
        <f>TimeStep!B92</f>
        <v>716.66666666666674</v>
      </c>
      <c r="D92" s="6">
        <v>0.106</v>
      </c>
      <c r="E92" s="6">
        <v>1.516</v>
      </c>
      <c r="F92" s="6">
        <v>4.5720000000000001</v>
      </c>
      <c r="G92" s="6">
        <v>0</v>
      </c>
      <c r="H92" s="6">
        <v>4.6100000000000003</v>
      </c>
      <c r="I92" s="6">
        <v>1.6459999999999999</v>
      </c>
      <c r="J92" s="6">
        <v>1.915</v>
      </c>
      <c r="K92" s="6">
        <v>2.7890000000000001</v>
      </c>
      <c r="L92" s="6">
        <v>2.198</v>
      </c>
      <c r="M92" s="6">
        <v>4.4249999999999998</v>
      </c>
      <c r="N92" s="6">
        <v>-13.0634</v>
      </c>
      <c r="O92" s="6">
        <v>54.774799999999999</v>
      </c>
      <c r="P92" s="6">
        <f t="shared" si="7"/>
        <v>35.134193056915635</v>
      </c>
      <c r="Q92" s="6">
        <f t="shared" si="8"/>
        <v>54.278295258461554</v>
      </c>
      <c r="R92" s="6">
        <f t="shared" si="9"/>
        <v>88.677489100993327</v>
      </c>
      <c r="S92" s="6">
        <f t="shared" si="11"/>
        <v>35.134193056915706</v>
      </c>
      <c r="T92" s="6">
        <f t="shared" si="12"/>
        <v>54.278295258461441</v>
      </c>
      <c r="U92" s="6">
        <f t="shared" si="13"/>
        <v>88.677489100993171</v>
      </c>
      <c r="V92" s="6">
        <f t="shared" si="10"/>
        <v>0</v>
      </c>
    </row>
    <row r="93" spans="1:22" ht="18.95" customHeight="1">
      <c r="A93" s="1">
        <v>87</v>
      </c>
      <c r="B93" s="6">
        <v>0.72499999999999987</v>
      </c>
      <c r="C93" s="6">
        <f>TimeStep!B93</f>
        <v>725</v>
      </c>
      <c r="D93" s="6">
        <v>7.9000000000000001E-2</v>
      </c>
      <c r="E93" s="6">
        <v>1.518</v>
      </c>
      <c r="F93" s="6">
        <v>4.5720000000000001</v>
      </c>
      <c r="G93" s="6">
        <v>0</v>
      </c>
      <c r="H93" s="6">
        <v>4.5970000000000004</v>
      </c>
      <c r="I93" s="6">
        <v>1.6459999999999999</v>
      </c>
      <c r="J93" s="6">
        <v>1.891</v>
      </c>
      <c r="K93" s="6">
        <v>2.7869999999999999</v>
      </c>
      <c r="L93" s="6">
        <v>2.177</v>
      </c>
      <c r="M93" s="6">
        <v>4.423</v>
      </c>
      <c r="N93" s="6">
        <v>-12.6051</v>
      </c>
      <c r="O93" s="6">
        <v>55.2331</v>
      </c>
      <c r="P93" s="6">
        <f t="shared" si="7"/>
        <v>35.004751179243065</v>
      </c>
      <c r="Q93" s="6">
        <f t="shared" si="8"/>
        <v>54.16306716762999</v>
      </c>
      <c r="R93" s="6">
        <f t="shared" si="9"/>
        <v>89.129839393170045</v>
      </c>
      <c r="S93" s="6">
        <f t="shared" si="11"/>
        <v>35.004751179243129</v>
      </c>
      <c r="T93" s="6">
        <f t="shared" si="12"/>
        <v>54.163067167629862</v>
      </c>
      <c r="U93" s="6">
        <f t="shared" si="13"/>
        <v>89.129839393169902</v>
      </c>
      <c r="V93" s="6">
        <f t="shared" si="10"/>
        <v>0</v>
      </c>
    </row>
    <row r="94" spans="1:22" ht="18.95" customHeight="1">
      <c r="A94" s="1">
        <v>88</v>
      </c>
      <c r="B94" s="6">
        <v>0.73333333333333317</v>
      </c>
      <c r="C94" s="6">
        <f>TimeStep!B94</f>
        <v>733.33333333333337</v>
      </c>
      <c r="D94" s="6">
        <v>5.2999999999999999E-2</v>
      </c>
      <c r="E94" s="6">
        <v>1.5189999999999999</v>
      </c>
      <c r="F94" s="6">
        <v>4.5720000000000001</v>
      </c>
      <c r="G94" s="6">
        <v>0</v>
      </c>
      <c r="H94" s="6">
        <v>4.5839999999999996</v>
      </c>
      <c r="I94" s="6">
        <v>1.647</v>
      </c>
      <c r="J94" s="6">
        <v>1.8660000000000001</v>
      </c>
      <c r="K94" s="6">
        <v>2.7850000000000001</v>
      </c>
      <c r="L94" s="6">
        <v>2.1560000000000001</v>
      </c>
      <c r="M94" s="6">
        <v>4.42</v>
      </c>
      <c r="N94" s="6">
        <v>-12.204000000000001</v>
      </c>
      <c r="O94" s="6">
        <v>55.576900000000002</v>
      </c>
      <c r="P94" s="6">
        <f t="shared" si="7"/>
        <v>34.926216687000853</v>
      </c>
      <c r="Q94" s="6">
        <f t="shared" si="8"/>
        <v>54.060801028995414</v>
      </c>
      <c r="R94" s="6">
        <f t="shared" si="9"/>
        <v>89.582551798262671</v>
      </c>
      <c r="S94" s="6">
        <f t="shared" si="11"/>
        <v>34.926216687000903</v>
      </c>
      <c r="T94" s="6">
        <f t="shared" si="12"/>
        <v>54.060801028995286</v>
      </c>
      <c r="U94" s="6">
        <f t="shared" si="13"/>
        <v>89.582551798262557</v>
      </c>
      <c r="V94" s="6">
        <f t="shared" si="10"/>
        <v>0</v>
      </c>
    </row>
    <row r="95" spans="1:22" ht="18.95" customHeight="1">
      <c r="A95" s="1">
        <v>89</v>
      </c>
      <c r="B95" s="6">
        <v>0.74166666666666647</v>
      </c>
      <c r="C95" s="6">
        <f>TimeStep!B95</f>
        <v>741.66666666666674</v>
      </c>
      <c r="D95" s="6">
        <v>2.5999999999999999E-2</v>
      </c>
      <c r="E95" s="6">
        <v>1.52</v>
      </c>
      <c r="F95" s="6">
        <v>4.5720000000000001</v>
      </c>
      <c r="G95" s="6">
        <v>0</v>
      </c>
      <c r="H95" s="6">
        <v>4.57</v>
      </c>
      <c r="I95" s="6">
        <v>1.647</v>
      </c>
      <c r="J95" s="6">
        <v>1.8420000000000001</v>
      </c>
      <c r="K95" s="6">
        <v>2.782</v>
      </c>
      <c r="L95" s="6">
        <v>2.1339999999999999</v>
      </c>
      <c r="M95" s="6">
        <v>4.4169999999999998</v>
      </c>
      <c r="N95" s="6">
        <v>-11.802899999999999</v>
      </c>
      <c r="O95" s="6">
        <v>55.978000000000002</v>
      </c>
      <c r="P95" s="6">
        <f t="shared" si="7"/>
        <v>34.796747496997597</v>
      </c>
      <c r="Q95" s="6">
        <f t="shared" si="8"/>
        <v>53.958517539764351</v>
      </c>
      <c r="R95" s="6">
        <f t="shared" si="9"/>
        <v>90.069575897207542</v>
      </c>
      <c r="S95" s="6">
        <f t="shared" si="11"/>
        <v>34.796747496997654</v>
      </c>
      <c r="T95" s="6">
        <f t="shared" si="12"/>
        <v>53.958517539764216</v>
      </c>
      <c r="U95" s="6">
        <f t="shared" si="13"/>
        <v>90.069575897207415</v>
      </c>
      <c r="V95" s="6">
        <f t="shared" si="10"/>
        <v>0</v>
      </c>
    </row>
    <row r="96" spans="1:22" ht="18.95" customHeight="1">
      <c r="A96" s="1">
        <v>90</v>
      </c>
      <c r="B96" s="6">
        <v>0.74999999999999978</v>
      </c>
      <c r="C96" s="6">
        <f>TimeStep!B96</f>
        <v>750</v>
      </c>
      <c r="D96" s="6">
        <v>0</v>
      </c>
      <c r="E96" s="6">
        <v>1.52</v>
      </c>
      <c r="F96" s="6">
        <v>4.5720000000000001</v>
      </c>
      <c r="G96" s="6">
        <v>0</v>
      </c>
      <c r="H96" s="6">
        <v>4.5570000000000004</v>
      </c>
      <c r="I96" s="6">
        <v>1.6459999999999999</v>
      </c>
      <c r="J96" s="6">
        <v>1.8180000000000001</v>
      </c>
      <c r="K96" s="6">
        <v>2.78</v>
      </c>
      <c r="L96" s="6">
        <v>2.113</v>
      </c>
      <c r="M96" s="6">
        <v>4.4139999999999997</v>
      </c>
      <c r="N96" s="6">
        <v>-11.3446</v>
      </c>
      <c r="O96" s="6">
        <v>56.321800000000003</v>
      </c>
      <c r="P96" s="6">
        <f t="shared" si="7"/>
        <v>34.724641835121865</v>
      </c>
      <c r="Q96" s="6">
        <f t="shared" si="8"/>
        <v>53.865648284294927</v>
      </c>
      <c r="R96" s="6">
        <f t="shared" si="9"/>
        <v>90.522122055120548</v>
      </c>
      <c r="S96" s="6">
        <f t="shared" si="11"/>
        <v>34.724641835121929</v>
      </c>
      <c r="T96" s="6">
        <f t="shared" si="12"/>
        <v>53.865648284294792</v>
      </c>
      <c r="U96" s="6">
        <f t="shared" si="13"/>
        <v>90.522122055120406</v>
      </c>
      <c r="V96" s="6">
        <f t="shared" si="10"/>
        <v>0</v>
      </c>
    </row>
    <row r="97" spans="1:22" ht="18.95" customHeight="1">
      <c r="A97" s="1">
        <v>91</v>
      </c>
      <c r="B97" s="6">
        <v>0.75833333333333308</v>
      </c>
      <c r="C97" s="6">
        <f>TimeStep!B97</f>
        <v>758.33333333333337</v>
      </c>
      <c r="D97" s="6">
        <v>-2.7E-2</v>
      </c>
      <c r="E97" s="6">
        <v>1.52</v>
      </c>
      <c r="F97" s="6">
        <v>4.5720000000000001</v>
      </c>
      <c r="G97" s="6">
        <v>0</v>
      </c>
      <c r="H97" s="6">
        <v>4.5430000000000001</v>
      </c>
      <c r="I97" s="6">
        <v>1.6459999999999999</v>
      </c>
      <c r="J97" s="6">
        <v>1.7929999999999999</v>
      </c>
      <c r="K97" s="6">
        <v>2.7759999999999998</v>
      </c>
      <c r="L97" s="6">
        <v>2.0910000000000002</v>
      </c>
      <c r="M97" s="6">
        <v>4.41</v>
      </c>
      <c r="N97" s="6">
        <v>-10.9435</v>
      </c>
      <c r="O97" s="6">
        <v>56.665500000000002</v>
      </c>
      <c r="P97" s="6">
        <f t="shared" si="7"/>
        <v>34.60994078847024</v>
      </c>
      <c r="Q97" s="6">
        <f t="shared" si="8"/>
        <v>53.763355810086495</v>
      </c>
      <c r="R97" s="6">
        <f t="shared" si="9"/>
        <v>91.00935948615313</v>
      </c>
      <c r="S97" s="6">
        <f t="shared" si="11"/>
        <v>34.609940788470311</v>
      </c>
      <c r="T97" s="6">
        <f t="shared" si="12"/>
        <v>53.763355810086352</v>
      </c>
      <c r="U97" s="6">
        <f t="shared" si="13"/>
        <v>91.009359486153016</v>
      </c>
      <c r="V97" s="6">
        <f t="shared" si="10"/>
        <v>0</v>
      </c>
    </row>
    <row r="98" spans="1:22" ht="18.95" customHeight="1">
      <c r="A98" s="1">
        <v>92</v>
      </c>
      <c r="B98" s="6">
        <v>0.76666666666666639</v>
      </c>
      <c r="C98" s="6">
        <f>TimeStep!B98</f>
        <v>766.66666666666674</v>
      </c>
      <c r="D98" s="6">
        <v>-5.2999999999999999E-2</v>
      </c>
      <c r="E98" s="6">
        <v>1.5189999999999999</v>
      </c>
      <c r="F98" s="6">
        <v>4.5720000000000001</v>
      </c>
      <c r="G98" s="6">
        <v>0</v>
      </c>
      <c r="H98" s="6">
        <v>4.53</v>
      </c>
      <c r="I98" s="6">
        <v>1.6459999999999999</v>
      </c>
      <c r="J98" s="6">
        <v>1.7689999999999999</v>
      </c>
      <c r="K98" s="6">
        <v>2.7730000000000001</v>
      </c>
      <c r="L98" s="6">
        <v>2.069</v>
      </c>
      <c r="M98" s="6">
        <v>4.4059999999999997</v>
      </c>
      <c r="N98" s="6">
        <v>-10.542400000000001</v>
      </c>
      <c r="O98" s="6">
        <v>57.009300000000003</v>
      </c>
      <c r="P98" s="6">
        <f t="shared" si="7"/>
        <v>34.537873964220971</v>
      </c>
      <c r="Q98" s="6">
        <f t="shared" si="8"/>
        <v>53.683404895655094</v>
      </c>
      <c r="R98" s="6">
        <f t="shared" si="9"/>
        <v>91.461665054728698</v>
      </c>
      <c r="S98" s="6">
        <f t="shared" si="11"/>
        <v>34.537873964221035</v>
      </c>
      <c r="T98" s="6">
        <f t="shared" si="12"/>
        <v>53.683404895654945</v>
      </c>
      <c r="U98" s="6">
        <f t="shared" si="13"/>
        <v>91.461665054728599</v>
      </c>
      <c r="V98" s="6">
        <f t="shared" si="10"/>
        <v>0</v>
      </c>
    </row>
    <row r="99" spans="1:22" ht="18.95" customHeight="1">
      <c r="A99" s="1">
        <v>93</v>
      </c>
      <c r="B99" s="6">
        <v>0.77499999999999969</v>
      </c>
      <c r="C99" s="6">
        <f>TimeStep!B99</f>
        <v>775</v>
      </c>
      <c r="D99" s="6">
        <v>-0.08</v>
      </c>
      <c r="E99" s="6">
        <v>1.518</v>
      </c>
      <c r="F99" s="6">
        <v>4.5720000000000001</v>
      </c>
      <c r="G99" s="6">
        <v>0</v>
      </c>
      <c r="H99" s="6">
        <v>4.516</v>
      </c>
      <c r="I99" s="6">
        <v>1.6459999999999999</v>
      </c>
      <c r="J99" s="6">
        <v>1.744</v>
      </c>
      <c r="K99" s="6">
        <v>2.7690000000000001</v>
      </c>
      <c r="L99" s="6">
        <v>2.0470000000000002</v>
      </c>
      <c r="M99" s="6">
        <v>4.4020000000000001</v>
      </c>
      <c r="N99" s="6">
        <v>-10.141400000000001</v>
      </c>
      <c r="O99" s="6">
        <v>57.2958</v>
      </c>
      <c r="P99" s="6">
        <f t="shared" si="7"/>
        <v>34.444483023263238</v>
      </c>
      <c r="Q99" s="6">
        <f t="shared" si="8"/>
        <v>53.59058204437251</v>
      </c>
      <c r="R99" s="6">
        <f t="shared" si="9"/>
        <v>91.948558052308087</v>
      </c>
      <c r="S99" s="6">
        <f t="shared" si="11"/>
        <v>34.444483023263302</v>
      </c>
      <c r="T99" s="6">
        <f t="shared" si="12"/>
        <v>53.590582044372354</v>
      </c>
      <c r="U99" s="6">
        <f t="shared" si="13"/>
        <v>91.948558052307988</v>
      </c>
      <c r="V99" s="6">
        <f t="shared" si="10"/>
        <v>0</v>
      </c>
    </row>
    <row r="100" spans="1:22" ht="18.95" customHeight="1">
      <c r="A100" s="1">
        <v>94</v>
      </c>
      <c r="B100" s="6">
        <v>0.78333333333333299</v>
      </c>
      <c r="C100" s="6">
        <f>TimeStep!B100</f>
        <v>783.33333333333337</v>
      </c>
      <c r="D100" s="6">
        <v>-0.106</v>
      </c>
      <c r="E100" s="6">
        <v>1.516</v>
      </c>
      <c r="F100" s="6">
        <v>4.5720000000000001</v>
      </c>
      <c r="G100" s="6">
        <v>0</v>
      </c>
      <c r="H100" s="6">
        <v>4.5019999999999998</v>
      </c>
      <c r="I100" s="6">
        <v>1.645</v>
      </c>
      <c r="J100" s="6">
        <v>1.7190000000000001</v>
      </c>
      <c r="K100" s="6">
        <v>2.7650000000000001</v>
      </c>
      <c r="L100" s="6">
        <v>2.0249999999999999</v>
      </c>
      <c r="M100" s="6">
        <v>4.3970000000000002</v>
      </c>
      <c r="N100" s="6">
        <v>-9.7402999999999995</v>
      </c>
      <c r="O100" s="6">
        <v>57.582299999999996</v>
      </c>
      <c r="P100" s="6">
        <f t="shared" si="7"/>
        <v>34.387097054837305</v>
      </c>
      <c r="Q100" s="6">
        <f t="shared" si="8"/>
        <v>53.510640251594722</v>
      </c>
      <c r="R100" s="6">
        <f t="shared" si="9"/>
        <v>92.436648246810137</v>
      </c>
      <c r="S100" s="6">
        <f t="shared" si="11"/>
        <v>34.387097054837369</v>
      </c>
      <c r="T100" s="6">
        <f t="shared" si="12"/>
        <v>53.510640251594566</v>
      </c>
      <c r="U100" s="6">
        <f t="shared" si="13"/>
        <v>92.436648246810023</v>
      </c>
      <c r="V100" s="6">
        <f t="shared" si="10"/>
        <v>0</v>
      </c>
    </row>
    <row r="101" spans="1:22" ht="18.95" customHeight="1">
      <c r="A101" s="1">
        <v>95</v>
      </c>
      <c r="B101" s="6">
        <v>0.7916666666666663</v>
      </c>
      <c r="C101" s="6">
        <f>TimeStep!B101</f>
        <v>791.66666666666674</v>
      </c>
      <c r="D101" s="6">
        <v>-0.13200000000000001</v>
      </c>
      <c r="E101" s="6">
        <v>1.514</v>
      </c>
      <c r="F101" s="6">
        <v>4.5720000000000001</v>
      </c>
      <c r="G101" s="6">
        <v>0</v>
      </c>
      <c r="H101" s="6">
        <v>4.4880000000000004</v>
      </c>
      <c r="I101" s="6">
        <v>1.6439999999999999</v>
      </c>
      <c r="J101" s="6">
        <v>1.6950000000000001</v>
      </c>
      <c r="K101" s="6">
        <v>2.76</v>
      </c>
      <c r="L101" s="6">
        <v>2.0019999999999998</v>
      </c>
      <c r="M101" s="6">
        <v>4.3920000000000003</v>
      </c>
      <c r="N101" s="6">
        <v>-9.3391999999999999</v>
      </c>
      <c r="O101" s="6">
        <v>57.868699999999997</v>
      </c>
      <c r="P101" s="6">
        <f t="shared" si="7"/>
        <v>34.293688173029594</v>
      </c>
      <c r="Q101" s="6">
        <f t="shared" si="8"/>
        <v>53.443540468455502</v>
      </c>
      <c r="R101" s="6">
        <f t="shared" si="9"/>
        <v>92.924977949156357</v>
      </c>
      <c r="S101" s="6">
        <f t="shared" si="11"/>
        <v>34.293688173029665</v>
      </c>
      <c r="T101" s="6">
        <f t="shared" si="12"/>
        <v>53.443540468455353</v>
      </c>
      <c r="U101" s="6">
        <f t="shared" si="13"/>
        <v>92.924977949156244</v>
      </c>
      <c r="V101" s="6">
        <f t="shared" si="10"/>
        <v>0</v>
      </c>
    </row>
    <row r="102" spans="1:22" ht="18.95" customHeight="1">
      <c r="A102" s="1">
        <v>96</v>
      </c>
      <c r="B102" s="6">
        <v>0.7999999999999996</v>
      </c>
      <c r="C102" s="6">
        <f>TimeStep!B102</f>
        <v>800</v>
      </c>
      <c r="D102" s="6">
        <v>-0.159</v>
      </c>
      <c r="E102" s="6">
        <v>1.512</v>
      </c>
      <c r="F102" s="6">
        <v>4.5720000000000001</v>
      </c>
      <c r="G102" s="6">
        <v>0</v>
      </c>
      <c r="H102" s="6">
        <v>4.4749999999999996</v>
      </c>
      <c r="I102" s="6">
        <v>1.6439999999999999</v>
      </c>
      <c r="J102" s="6">
        <v>1.67</v>
      </c>
      <c r="K102" s="6">
        <v>2.7549999999999999</v>
      </c>
      <c r="L102" s="6">
        <v>1.98</v>
      </c>
      <c r="M102" s="6">
        <v>4.3869999999999996</v>
      </c>
      <c r="N102" s="6">
        <v>-8.9381000000000004</v>
      </c>
      <c r="O102" s="6">
        <v>58.097900000000003</v>
      </c>
      <c r="P102" s="6">
        <f t="shared" si="7"/>
        <v>34.200276082324976</v>
      </c>
      <c r="Q102" s="6">
        <f t="shared" si="8"/>
        <v>53.350752532331406</v>
      </c>
      <c r="R102" s="6">
        <f t="shared" si="9"/>
        <v>93.376675635600606</v>
      </c>
      <c r="S102" s="6">
        <f t="shared" si="11"/>
        <v>34.200276082325047</v>
      </c>
      <c r="T102" s="6">
        <f t="shared" si="12"/>
        <v>53.350752532331256</v>
      </c>
      <c r="U102" s="6">
        <f t="shared" si="13"/>
        <v>93.376675635600463</v>
      </c>
      <c r="V102" s="6">
        <f t="shared" si="10"/>
        <v>0</v>
      </c>
    </row>
    <row r="103" spans="1:22" ht="18.95" customHeight="1">
      <c r="A103" s="1">
        <v>97</v>
      </c>
      <c r="B103" s="6">
        <v>0.8083333333333329</v>
      </c>
      <c r="C103" s="6">
        <f>TimeStep!B103</f>
        <v>808.33333333333337</v>
      </c>
      <c r="D103" s="6">
        <v>-0.185</v>
      </c>
      <c r="E103" s="6">
        <v>1.5089999999999999</v>
      </c>
      <c r="F103" s="6">
        <v>4.5720000000000001</v>
      </c>
      <c r="G103" s="6">
        <v>0</v>
      </c>
      <c r="H103" s="6">
        <v>4.46</v>
      </c>
      <c r="I103" s="6">
        <v>1.643</v>
      </c>
      <c r="J103" s="6">
        <v>1.645</v>
      </c>
      <c r="K103" s="6">
        <v>2.75</v>
      </c>
      <c r="L103" s="6">
        <v>1.9570000000000001</v>
      </c>
      <c r="M103" s="6">
        <v>4.3810000000000002</v>
      </c>
      <c r="N103" s="6">
        <v>-8.5371000000000006</v>
      </c>
      <c r="O103" s="6">
        <v>58.327100000000002</v>
      </c>
      <c r="P103" s="6">
        <f t="shared" si="7"/>
        <v>34.142847125723172</v>
      </c>
      <c r="Q103" s="6">
        <f t="shared" si="8"/>
        <v>53.283624227267964</v>
      </c>
      <c r="R103" s="6">
        <f t="shared" si="9"/>
        <v>93.899704848573592</v>
      </c>
      <c r="S103" s="6">
        <f t="shared" si="11"/>
        <v>34.14284712572325</v>
      </c>
      <c r="T103" s="6">
        <f t="shared" si="12"/>
        <v>53.283624227267808</v>
      </c>
      <c r="U103" s="6">
        <f t="shared" si="13"/>
        <v>93.899704848573435</v>
      </c>
      <c r="V103" s="6">
        <f t="shared" si="10"/>
        <v>0</v>
      </c>
    </row>
    <row r="104" spans="1:22" ht="18.95" customHeight="1">
      <c r="A104" s="1">
        <v>98</v>
      </c>
      <c r="B104" s="6">
        <v>0.81666666666666621</v>
      </c>
      <c r="C104" s="6">
        <f>TimeStep!B104</f>
        <v>816.66666666666674</v>
      </c>
      <c r="D104" s="6">
        <v>-0.21199999999999999</v>
      </c>
      <c r="E104" s="6">
        <v>1.5049999999999999</v>
      </c>
      <c r="F104" s="6">
        <v>4.5720000000000001</v>
      </c>
      <c r="G104" s="6">
        <v>0</v>
      </c>
      <c r="H104" s="6">
        <v>4.4470000000000001</v>
      </c>
      <c r="I104" s="6">
        <v>1.6419999999999999</v>
      </c>
      <c r="J104" s="6">
        <v>1.62</v>
      </c>
      <c r="K104" s="6">
        <v>2.7440000000000002</v>
      </c>
      <c r="L104" s="6">
        <v>1.9339999999999999</v>
      </c>
      <c r="M104" s="6">
        <v>4.375</v>
      </c>
      <c r="N104" s="6">
        <v>-8.1359999999999992</v>
      </c>
      <c r="O104" s="6">
        <v>58.5563</v>
      </c>
      <c r="P104" s="6">
        <f t="shared" si="7"/>
        <v>34.070884129689439</v>
      </c>
      <c r="Q104" s="6">
        <f t="shared" si="8"/>
        <v>53.213241611985957</v>
      </c>
      <c r="R104" s="6">
        <f t="shared" si="9"/>
        <v>94.353340535090297</v>
      </c>
      <c r="S104" s="6">
        <f t="shared" si="11"/>
        <v>34.070884129689517</v>
      </c>
      <c r="T104" s="6">
        <f t="shared" si="12"/>
        <v>53.213241611985808</v>
      </c>
      <c r="U104" s="6">
        <f t="shared" si="13"/>
        <v>94.353340535090126</v>
      </c>
      <c r="V104" s="6">
        <f t="shared" si="10"/>
        <v>0</v>
      </c>
    </row>
    <row r="105" spans="1:22" ht="18.95" customHeight="1">
      <c r="A105" s="1">
        <v>99</v>
      </c>
      <c r="B105" s="6">
        <v>0.82499999999999951</v>
      </c>
      <c r="C105" s="6">
        <f>TimeStep!B105</f>
        <v>825.00000000000011</v>
      </c>
      <c r="D105" s="6">
        <v>-0.23799999999999999</v>
      </c>
      <c r="E105" s="6">
        <v>1.5009999999999999</v>
      </c>
      <c r="F105" s="6">
        <v>4.5720000000000001</v>
      </c>
      <c r="G105" s="6">
        <v>0</v>
      </c>
      <c r="H105" s="6">
        <v>4.4329999999999998</v>
      </c>
      <c r="I105" s="6">
        <v>1.641</v>
      </c>
      <c r="J105" s="6">
        <v>1.5960000000000001</v>
      </c>
      <c r="K105" s="6">
        <v>2.738</v>
      </c>
      <c r="L105" s="6">
        <v>1.911</v>
      </c>
      <c r="M105" s="6">
        <v>4.3680000000000003</v>
      </c>
      <c r="N105" s="6">
        <v>-7.7348999999999997</v>
      </c>
      <c r="O105" s="6">
        <v>58.785499999999999</v>
      </c>
      <c r="P105" s="6">
        <f t="shared" si="7"/>
        <v>33.998956022764673</v>
      </c>
      <c r="Q105" s="6">
        <f t="shared" si="8"/>
        <v>53.146093361140466</v>
      </c>
      <c r="R105" s="6">
        <f t="shared" si="9"/>
        <v>94.841650116472451</v>
      </c>
      <c r="S105" s="6">
        <f t="shared" si="11"/>
        <v>33.998956022764759</v>
      </c>
      <c r="T105" s="6">
        <f t="shared" si="12"/>
        <v>53.146093361140316</v>
      </c>
      <c r="U105" s="6">
        <f t="shared" si="13"/>
        <v>94.841650116472294</v>
      </c>
      <c r="V105" s="6">
        <f t="shared" si="10"/>
        <v>0</v>
      </c>
    </row>
    <row r="106" spans="1:22" ht="18.95" customHeight="1">
      <c r="A106" s="1">
        <v>100</v>
      </c>
      <c r="B106" s="6">
        <v>0.83333333333333282</v>
      </c>
      <c r="C106" s="6">
        <f>TimeStep!B106</f>
        <v>833.33333333333337</v>
      </c>
      <c r="D106" s="6">
        <v>-0.26400000000000001</v>
      </c>
      <c r="E106" s="6">
        <v>1.4970000000000001</v>
      </c>
      <c r="F106" s="6">
        <v>4.5720000000000001</v>
      </c>
      <c r="G106" s="6">
        <v>0</v>
      </c>
      <c r="H106" s="6">
        <v>4.4189999999999996</v>
      </c>
      <c r="I106" s="6">
        <v>1.639</v>
      </c>
      <c r="J106" s="6">
        <v>1.571</v>
      </c>
      <c r="K106" s="6">
        <v>2.7320000000000002</v>
      </c>
      <c r="L106" s="6">
        <v>1.8879999999999999</v>
      </c>
      <c r="M106" s="6">
        <v>4.3620000000000001</v>
      </c>
      <c r="N106" s="6">
        <v>-7.3338999999999999</v>
      </c>
      <c r="O106" s="6">
        <v>58.9574</v>
      </c>
      <c r="P106" s="6">
        <f t="shared" si="7"/>
        <v>33.9415207433088</v>
      </c>
      <c r="Q106" s="6">
        <f t="shared" si="8"/>
        <v>53.088528062855026</v>
      </c>
      <c r="R106" s="6">
        <f t="shared" si="9"/>
        <v>95.33308303694696</v>
      </c>
      <c r="S106" s="6">
        <f t="shared" si="11"/>
        <v>33.941520743308871</v>
      </c>
      <c r="T106" s="6">
        <f t="shared" si="12"/>
        <v>53.088528062854863</v>
      </c>
      <c r="U106" s="6">
        <f t="shared" si="13"/>
        <v>95.333083036946789</v>
      </c>
      <c r="V106" s="6">
        <f t="shared" si="10"/>
        <v>0</v>
      </c>
    </row>
    <row r="107" spans="1:22" ht="18.95" customHeight="1">
      <c r="A107" s="1">
        <v>101</v>
      </c>
      <c r="B107" s="6">
        <v>0.84166666666666612</v>
      </c>
      <c r="C107" s="6">
        <f>TimeStep!B107</f>
        <v>841.66666666666674</v>
      </c>
      <c r="D107" s="6">
        <v>-0.28999999999999998</v>
      </c>
      <c r="E107" s="6">
        <v>1.492</v>
      </c>
      <c r="F107" s="6">
        <v>4.5720000000000001</v>
      </c>
      <c r="G107" s="6">
        <v>0</v>
      </c>
      <c r="H107" s="6">
        <v>4.4039999999999999</v>
      </c>
      <c r="I107" s="6">
        <v>1.6379999999999999</v>
      </c>
      <c r="J107" s="6">
        <v>1.546</v>
      </c>
      <c r="K107" s="6">
        <v>2.7250000000000001</v>
      </c>
      <c r="L107" s="6">
        <v>1.865</v>
      </c>
      <c r="M107" s="6">
        <v>4.3550000000000004</v>
      </c>
      <c r="N107" s="6">
        <v>-6.9328000000000003</v>
      </c>
      <c r="O107" s="6">
        <v>59.129199999999997</v>
      </c>
      <c r="P107" s="6">
        <f t="shared" si="7"/>
        <v>33.884070552668426</v>
      </c>
      <c r="Q107" s="6">
        <f t="shared" si="8"/>
        <v>53.030969274257977</v>
      </c>
      <c r="R107" s="6">
        <f t="shared" si="9"/>
        <v>95.856013585428954</v>
      </c>
      <c r="S107" s="6">
        <f t="shared" si="11"/>
        <v>33.884070552668504</v>
      </c>
      <c r="T107" s="6">
        <f t="shared" si="12"/>
        <v>53.030969274257814</v>
      </c>
      <c r="U107" s="6">
        <f t="shared" si="13"/>
        <v>95.856013585428798</v>
      </c>
      <c r="V107" s="6">
        <f t="shared" si="10"/>
        <v>0</v>
      </c>
    </row>
    <row r="108" spans="1:22" ht="18.95" customHeight="1">
      <c r="A108" s="1">
        <v>102</v>
      </c>
      <c r="B108" s="6">
        <v>0.84999999999999942</v>
      </c>
      <c r="C108" s="6">
        <f>TimeStep!B108</f>
        <v>850.00000000000011</v>
      </c>
      <c r="D108" s="6">
        <v>-0.316</v>
      </c>
      <c r="E108" s="6">
        <v>1.4870000000000001</v>
      </c>
      <c r="F108" s="6">
        <v>4.5720000000000001</v>
      </c>
      <c r="G108" s="6">
        <v>0</v>
      </c>
      <c r="H108" s="6">
        <v>4.3899999999999997</v>
      </c>
      <c r="I108" s="6">
        <v>1.6359999999999999</v>
      </c>
      <c r="J108" s="6">
        <v>1.5209999999999999</v>
      </c>
      <c r="K108" s="6">
        <v>2.718</v>
      </c>
      <c r="L108" s="6">
        <v>1.8420000000000001</v>
      </c>
      <c r="M108" s="6">
        <v>4.3470000000000004</v>
      </c>
      <c r="N108" s="6">
        <v>-6.5316999999999998</v>
      </c>
      <c r="O108" s="6">
        <v>59.301099999999998</v>
      </c>
      <c r="P108" s="6">
        <f t="shared" si="7"/>
        <v>33.82660556060128</v>
      </c>
      <c r="Q108" s="6">
        <f t="shared" si="8"/>
        <v>52.963787060718786</v>
      </c>
      <c r="R108" s="6">
        <f t="shared" si="9"/>
        <v>96.347879358840189</v>
      </c>
      <c r="S108" s="6">
        <f t="shared" si="11"/>
        <v>33.826605560601365</v>
      </c>
      <c r="T108" s="6">
        <f t="shared" si="12"/>
        <v>52.96378706071863</v>
      </c>
      <c r="U108" s="6">
        <f t="shared" si="13"/>
        <v>96.347879358840032</v>
      </c>
      <c r="V108" s="6">
        <f t="shared" si="10"/>
        <v>0</v>
      </c>
    </row>
    <row r="109" spans="1:22" ht="18.95" customHeight="1">
      <c r="A109" s="1">
        <v>103</v>
      </c>
      <c r="B109" s="6">
        <v>0.85833333333333273</v>
      </c>
      <c r="C109" s="6">
        <f>TimeStep!B109</f>
        <v>858.33333333333337</v>
      </c>
      <c r="D109" s="6">
        <v>-0.34200000000000003</v>
      </c>
      <c r="E109" s="6">
        <v>1.4810000000000001</v>
      </c>
      <c r="F109" s="6">
        <v>4.5720000000000001</v>
      </c>
      <c r="G109" s="6">
        <v>0</v>
      </c>
      <c r="H109" s="6">
        <v>4.3760000000000003</v>
      </c>
      <c r="I109" s="6">
        <v>1.635</v>
      </c>
      <c r="J109" s="6">
        <v>1.496</v>
      </c>
      <c r="K109" s="6">
        <v>2.71</v>
      </c>
      <c r="L109" s="6">
        <v>1.8180000000000001</v>
      </c>
      <c r="M109" s="6">
        <v>4.3390000000000004</v>
      </c>
      <c r="N109" s="6">
        <v>-6.1306000000000003</v>
      </c>
      <c r="O109" s="6">
        <v>59.472999999999999</v>
      </c>
      <c r="P109" s="6">
        <f t="shared" si="7"/>
        <v>33.769125877040786</v>
      </c>
      <c r="Q109" s="6">
        <f t="shared" si="8"/>
        <v>52.918986658853441</v>
      </c>
      <c r="R109" s="6">
        <f t="shared" si="9"/>
        <v>96.835864146630485</v>
      </c>
      <c r="S109" s="6">
        <f t="shared" si="11"/>
        <v>33.769125877040864</v>
      </c>
      <c r="T109" s="6">
        <f t="shared" si="12"/>
        <v>52.918986658853271</v>
      </c>
      <c r="U109" s="6">
        <f t="shared" si="13"/>
        <v>96.835864146630342</v>
      </c>
      <c r="V109" s="6">
        <f t="shared" si="10"/>
        <v>0</v>
      </c>
    </row>
    <row r="110" spans="1:22" ht="18.95" customHeight="1">
      <c r="A110" s="1">
        <v>104</v>
      </c>
      <c r="B110" s="6">
        <v>0.86666666666666603</v>
      </c>
      <c r="C110" s="6">
        <f>TimeStep!B110</f>
        <v>866.66666666666674</v>
      </c>
      <c r="D110" s="6">
        <v>-0.36799999999999999</v>
      </c>
      <c r="E110" s="6">
        <v>1.4750000000000001</v>
      </c>
      <c r="F110" s="6">
        <v>4.5720000000000001</v>
      </c>
      <c r="G110" s="6">
        <v>0</v>
      </c>
      <c r="H110" s="6">
        <v>4.3620000000000001</v>
      </c>
      <c r="I110" s="6">
        <v>1.633</v>
      </c>
      <c r="J110" s="6">
        <v>1.472</v>
      </c>
      <c r="K110" s="6">
        <v>2.7029999999999998</v>
      </c>
      <c r="L110" s="6">
        <v>1.7949999999999999</v>
      </c>
      <c r="M110" s="6">
        <v>4.3310000000000004</v>
      </c>
      <c r="N110" s="6">
        <v>-5.7869000000000002</v>
      </c>
      <c r="O110" s="6">
        <v>59.587600000000002</v>
      </c>
      <c r="P110" s="6">
        <f t="shared" si="7"/>
        <v>33.718801615603482</v>
      </c>
      <c r="Q110" s="6">
        <f t="shared" si="8"/>
        <v>52.861425404361107</v>
      </c>
      <c r="R110" s="6">
        <f t="shared" si="9"/>
        <v>97.327885897161806</v>
      </c>
      <c r="S110" s="6">
        <f t="shared" si="11"/>
        <v>33.718801615603553</v>
      </c>
      <c r="T110" s="6">
        <f t="shared" si="12"/>
        <v>52.861425404360944</v>
      </c>
      <c r="U110" s="6">
        <f t="shared" si="13"/>
        <v>97.32788589716165</v>
      </c>
      <c r="V110" s="6">
        <f t="shared" si="10"/>
        <v>0</v>
      </c>
    </row>
    <row r="111" spans="1:22" ht="18.95" customHeight="1">
      <c r="A111" s="1">
        <v>105</v>
      </c>
      <c r="B111" s="6">
        <v>0.87499999999999933</v>
      </c>
      <c r="C111" s="6">
        <f>TimeStep!B111</f>
        <v>875.00000000000011</v>
      </c>
      <c r="D111" s="6">
        <v>-0.39300000000000002</v>
      </c>
      <c r="E111" s="6">
        <v>1.468</v>
      </c>
      <c r="F111" s="6">
        <v>4.5720000000000001</v>
      </c>
      <c r="G111" s="6">
        <v>0</v>
      </c>
      <c r="H111" s="6">
        <v>4.3479999999999999</v>
      </c>
      <c r="I111" s="6">
        <v>1.631</v>
      </c>
      <c r="J111" s="6">
        <v>1.4470000000000001</v>
      </c>
      <c r="K111" s="6">
        <v>2.6949999999999998</v>
      </c>
      <c r="L111" s="6">
        <v>1.772</v>
      </c>
      <c r="M111" s="6">
        <v>4.3230000000000004</v>
      </c>
      <c r="N111" s="6">
        <v>-5.3857999999999997</v>
      </c>
      <c r="O111" s="6">
        <v>59.702199999999998</v>
      </c>
      <c r="P111" s="6">
        <f t="shared" si="7"/>
        <v>33.697252850686674</v>
      </c>
      <c r="Q111" s="6">
        <f t="shared" si="8"/>
        <v>52.826276061394324</v>
      </c>
      <c r="R111" s="6">
        <f t="shared" si="9"/>
        <v>97.820025997364283</v>
      </c>
      <c r="S111" s="6">
        <f t="shared" si="11"/>
        <v>33.697252850686738</v>
      </c>
      <c r="T111" s="6">
        <f t="shared" si="12"/>
        <v>52.826276061394168</v>
      </c>
      <c r="U111" s="6">
        <f t="shared" si="13"/>
        <v>97.820025997364155</v>
      </c>
      <c r="V111" s="6">
        <f t="shared" si="10"/>
        <v>0</v>
      </c>
    </row>
    <row r="112" spans="1:22" ht="18.95" customHeight="1">
      <c r="A112" s="1">
        <v>106</v>
      </c>
      <c r="B112" s="6">
        <v>0.88333333333333264</v>
      </c>
      <c r="C112" s="6">
        <f>TimeStep!B112</f>
        <v>883.33333333333337</v>
      </c>
      <c r="D112" s="6">
        <v>-0.41899999999999998</v>
      </c>
      <c r="E112" s="6">
        <v>1.4610000000000001</v>
      </c>
      <c r="F112" s="6">
        <v>4.5720000000000001</v>
      </c>
      <c r="G112" s="6">
        <v>0</v>
      </c>
      <c r="H112" s="6">
        <v>4.3339999999999996</v>
      </c>
      <c r="I112" s="6">
        <v>1.629</v>
      </c>
      <c r="J112" s="6">
        <v>1.4219999999999999</v>
      </c>
      <c r="K112" s="6">
        <v>2.6859999999999999</v>
      </c>
      <c r="L112" s="6">
        <v>1.748</v>
      </c>
      <c r="M112" s="6">
        <v>4.3140000000000001</v>
      </c>
      <c r="N112" s="6">
        <v>-4.9847000000000001</v>
      </c>
      <c r="O112" s="6">
        <v>59.816800000000001</v>
      </c>
      <c r="P112" s="6">
        <f t="shared" si="7"/>
        <v>33.639763957242714</v>
      </c>
      <c r="Q112" s="6">
        <f t="shared" si="8"/>
        <v>52.78146377389627</v>
      </c>
      <c r="R112" s="6">
        <f t="shared" si="9"/>
        <v>98.312211855334141</v>
      </c>
      <c r="S112" s="6">
        <f t="shared" si="11"/>
        <v>33.639763957242764</v>
      </c>
      <c r="T112" s="6">
        <f t="shared" si="12"/>
        <v>52.781463773896121</v>
      </c>
      <c r="U112" s="6">
        <f t="shared" si="13"/>
        <v>98.312211855333999</v>
      </c>
      <c r="V112" s="6">
        <f t="shared" si="10"/>
        <v>0</v>
      </c>
    </row>
    <row r="113" spans="1:22" ht="18.95" customHeight="1">
      <c r="A113" s="1">
        <v>107</v>
      </c>
      <c r="B113" s="6">
        <v>0.89166666666666594</v>
      </c>
      <c r="C113" s="6">
        <f>TimeStep!B113</f>
        <v>891.66666666666674</v>
      </c>
      <c r="D113" s="6">
        <v>-0.44400000000000001</v>
      </c>
      <c r="E113" s="6">
        <v>1.454</v>
      </c>
      <c r="F113" s="6">
        <v>4.5720000000000001</v>
      </c>
      <c r="G113" s="6">
        <v>0</v>
      </c>
      <c r="H113" s="6">
        <v>4.32</v>
      </c>
      <c r="I113" s="6">
        <v>1.627</v>
      </c>
      <c r="J113" s="6">
        <v>1.3979999999999999</v>
      </c>
      <c r="K113" s="6">
        <v>2.677</v>
      </c>
      <c r="L113" s="6">
        <v>1.7250000000000001</v>
      </c>
      <c r="M113" s="6">
        <v>4.3049999999999997</v>
      </c>
      <c r="N113" s="6">
        <v>-4.5837000000000003</v>
      </c>
      <c r="O113" s="6">
        <v>59.874099999999999</v>
      </c>
      <c r="P113" s="6">
        <f t="shared" si="7"/>
        <v>33.582260742430016</v>
      </c>
      <c r="Q113" s="6">
        <f t="shared" si="8"/>
        <v>52.736641905312077</v>
      </c>
      <c r="R113" s="6">
        <f t="shared" si="9"/>
        <v>98.804370838663459</v>
      </c>
      <c r="S113" s="6">
        <f t="shared" si="11"/>
        <v>33.582260742430066</v>
      </c>
      <c r="T113" s="6">
        <f t="shared" si="12"/>
        <v>52.736641905311927</v>
      </c>
      <c r="U113" s="6">
        <f t="shared" si="13"/>
        <v>98.804370838663317</v>
      </c>
      <c r="V113" s="6">
        <f t="shared" si="10"/>
        <v>0</v>
      </c>
    </row>
    <row r="114" spans="1:22" ht="18.95" customHeight="1">
      <c r="A114" s="1">
        <v>108</v>
      </c>
      <c r="B114" s="6">
        <v>0.89999999999999925</v>
      </c>
      <c r="C114" s="6">
        <f>TimeStep!B114</f>
        <v>900.00000000000011</v>
      </c>
      <c r="D114" s="6">
        <v>-0.47</v>
      </c>
      <c r="E114" s="6">
        <v>1.446</v>
      </c>
      <c r="F114" s="6">
        <v>4.5720000000000001</v>
      </c>
      <c r="G114" s="6">
        <v>0</v>
      </c>
      <c r="H114" s="6">
        <v>4.3049999999999997</v>
      </c>
      <c r="I114" s="6">
        <v>1.625</v>
      </c>
      <c r="J114" s="6">
        <v>1.373</v>
      </c>
      <c r="K114" s="6">
        <v>2.6680000000000001</v>
      </c>
      <c r="L114" s="6">
        <v>1.7010000000000001</v>
      </c>
      <c r="M114" s="6">
        <v>4.2960000000000003</v>
      </c>
      <c r="N114" s="6">
        <v>-4.1825999999999999</v>
      </c>
      <c r="O114" s="6">
        <v>59.988700000000001</v>
      </c>
      <c r="P114" s="6">
        <f t="shared" si="7"/>
        <v>33.546343308401696</v>
      </c>
      <c r="Q114" s="6">
        <f t="shared" si="8"/>
        <v>52.70150350149833</v>
      </c>
      <c r="R114" s="6">
        <f t="shared" si="9"/>
        <v>99.330765792635503</v>
      </c>
      <c r="S114" s="6">
        <f t="shared" si="11"/>
        <v>33.546343308401759</v>
      </c>
      <c r="T114" s="6">
        <f t="shared" si="12"/>
        <v>52.701503501498195</v>
      </c>
      <c r="U114" s="6">
        <f t="shared" si="13"/>
        <v>99.330765792635361</v>
      </c>
      <c r="V114" s="6">
        <f t="shared" si="10"/>
        <v>9.0949470177292824E-13</v>
      </c>
    </row>
    <row r="115" spans="1:22" ht="18.95" customHeight="1">
      <c r="A115" s="1">
        <v>109</v>
      </c>
      <c r="B115" s="6">
        <v>0.90833333333333244</v>
      </c>
      <c r="C115" s="6">
        <f>TimeStep!B115</f>
        <v>908.33333333333337</v>
      </c>
      <c r="D115" s="6">
        <v>-0.495</v>
      </c>
      <c r="E115" s="6">
        <v>1.4370000000000001</v>
      </c>
      <c r="F115" s="6">
        <v>4.5720000000000001</v>
      </c>
      <c r="G115" s="6">
        <v>0</v>
      </c>
      <c r="H115" s="6">
        <v>4.2910000000000004</v>
      </c>
      <c r="I115" s="6">
        <v>1.6220000000000001</v>
      </c>
      <c r="J115" s="6">
        <v>1.349</v>
      </c>
      <c r="K115" s="6">
        <v>2.6589999999999998</v>
      </c>
      <c r="L115" s="6">
        <v>1.6779999999999999</v>
      </c>
      <c r="M115" s="6">
        <v>4.2859999999999996</v>
      </c>
      <c r="N115" s="6">
        <v>-3.8388</v>
      </c>
      <c r="O115" s="6">
        <v>60.045999999999999</v>
      </c>
      <c r="P115" s="6">
        <f t="shared" si="7"/>
        <v>33.53203042058577</v>
      </c>
      <c r="Q115" s="6">
        <f t="shared" si="8"/>
        <v>52.666373265563948</v>
      </c>
      <c r="R115" s="6">
        <f t="shared" si="9"/>
        <v>99.828534127946</v>
      </c>
      <c r="S115" s="6">
        <f t="shared" si="11"/>
        <v>33.532030420585841</v>
      </c>
      <c r="T115" s="6">
        <f t="shared" si="12"/>
        <v>52.666373265563806</v>
      </c>
      <c r="U115" s="6">
        <f t="shared" si="13"/>
        <v>99.828534127945886</v>
      </c>
      <c r="V115" s="6">
        <f t="shared" si="10"/>
        <v>9.0949470177292824E-13</v>
      </c>
    </row>
    <row r="116" spans="1:22" ht="18.95" customHeight="1">
      <c r="A116" s="1">
        <v>110</v>
      </c>
      <c r="B116" s="6">
        <v>0.91666666666666596</v>
      </c>
      <c r="C116" s="6">
        <f>TimeStep!B116</f>
        <v>916.66666666666674</v>
      </c>
      <c r="D116" s="6">
        <v>-0.52</v>
      </c>
      <c r="E116" s="6">
        <v>1.4279999999999999</v>
      </c>
      <c r="F116" s="6">
        <v>4.5720000000000001</v>
      </c>
      <c r="G116" s="6">
        <v>0</v>
      </c>
      <c r="H116" s="6">
        <v>4.2770000000000001</v>
      </c>
      <c r="I116" s="6">
        <v>1.62</v>
      </c>
      <c r="J116" s="6">
        <v>1.3240000000000001</v>
      </c>
      <c r="K116" s="6">
        <v>2.649</v>
      </c>
      <c r="L116" s="6">
        <v>1.6539999999999999</v>
      </c>
      <c r="M116" s="6">
        <v>4.2759999999999998</v>
      </c>
      <c r="N116" s="6">
        <v>-3.4377</v>
      </c>
      <c r="O116" s="6">
        <v>60.045999999999999</v>
      </c>
      <c r="P116" s="6">
        <f t="shared" si="7"/>
        <v>33.510434995925102</v>
      </c>
      <c r="Q116" s="6">
        <f t="shared" si="8"/>
        <v>52.643960258885699</v>
      </c>
      <c r="R116" s="6">
        <f t="shared" si="9"/>
        <v>100.32040751659447</v>
      </c>
      <c r="S116" s="6">
        <f t="shared" si="11"/>
        <v>33.510434995925181</v>
      </c>
      <c r="T116" s="6">
        <f t="shared" si="12"/>
        <v>52.643960258885556</v>
      </c>
      <c r="U116" s="6">
        <f t="shared" si="13"/>
        <v>100.32040751659434</v>
      </c>
      <c r="V116" s="6">
        <f t="shared" si="10"/>
        <v>0</v>
      </c>
    </row>
    <row r="117" spans="1:22" ht="18.95" customHeight="1">
      <c r="A117" s="1">
        <v>111</v>
      </c>
      <c r="B117" s="6">
        <v>0.92499999999999916</v>
      </c>
      <c r="C117" s="6">
        <f>TimeStep!B117</f>
        <v>925.00000000000011</v>
      </c>
      <c r="D117" s="6">
        <v>-0.54500000000000004</v>
      </c>
      <c r="E117" s="6">
        <v>1.419</v>
      </c>
      <c r="F117" s="6">
        <v>4.5720000000000001</v>
      </c>
      <c r="G117" s="6">
        <v>0</v>
      </c>
      <c r="H117" s="6">
        <v>4.2629999999999999</v>
      </c>
      <c r="I117" s="6">
        <v>1.617</v>
      </c>
      <c r="J117" s="6">
        <v>1.3</v>
      </c>
      <c r="K117" s="6">
        <v>2.6389999999999998</v>
      </c>
      <c r="L117" s="6">
        <v>1.631</v>
      </c>
      <c r="M117" s="6">
        <v>4.266</v>
      </c>
      <c r="N117" s="6">
        <v>-3.0367000000000002</v>
      </c>
      <c r="O117" s="6">
        <v>60.103299999999997</v>
      </c>
      <c r="P117" s="6">
        <f t="shared" si="7"/>
        <v>33.474535829723024</v>
      </c>
      <c r="Q117" s="6">
        <f t="shared" si="8"/>
        <v>52.608838992210487</v>
      </c>
      <c r="R117" s="6">
        <f t="shared" si="9"/>
        <v>100.81848680362855</v>
      </c>
      <c r="S117" s="6">
        <f t="shared" si="11"/>
        <v>33.474535829723095</v>
      </c>
      <c r="T117" s="6">
        <f t="shared" si="12"/>
        <v>52.608838992210337</v>
      </c>
      <c r="U117" s="6">
        <f t="shared" si="13"/>
        <v>100.81848680362839</v>
      </c>
      <c r="V117" s="6">
        <f t="shared" si="10"/>
        <v>9.0949470177292824E-13</v>
      </c>
    </row>
    <row r="118" spans="1:22" ht="18.95" customHeight="1">
      <c r="A118" s="1">
        <v>112</v>
      </c>
      <c r="B118" s="6">
        <v>0.93333333333333235</v>
      </c>
      <c r="C118" s="6">
        <f>TimeStep!B118</f>
        <v>933.33333333333337</v>
      </c>
      <c r="D118" s="6">
        <v>-0.56899999999999995</v>
      </c>
      <c r="E118" s="6">
        <v>1.409</v>
      </c>
      <c r="F118" s="6">
        <v>4.5720000000000001</v>
      </c>
      <c r="G118" s="6">
        <v>0</v>
      </c>
      <c r="H118" s="6">
        <v>4.2489999999999997</v>
      </c>
      <c r="I118" s="6">
        <v>1.615</v>
      </c>
      <c r="J118" s="6">
        <v>1.276</v>
      </c>
      <c r="K118" s="6">
        <v>2.6280000000000001</v>
      </c>
      <c r="L118" s="6">
        <v>1.607</v>
      </c>
      <c r="M118" s="6">
        <v>4.2549999999999999</v>
      </c>
      <c r="N118" s="6">
        <v>-2.6356000000000002</v>
      </c>
      <c r="O118" s="6">
        <v>60.103299999999997</v>
      </c>
      <c r="P118" s="6">
        <f t="shared" si="7"/>
        <v>33.452923423743741</v>
      </c>
      <c r="Q118" s="6">
        <f t="shared" si="8"/>
        <v>52.599127191160598</v>
      </c>
      <c r="R118" s="6">
        <f t="shared" si="9"/>
        <v>101.30993247402021</v>
      </c>
      <c r="S118" s="6">
        <f t="shared" si="11"/>
        <v>33.452923423743812</v>
      </c>
      <c r="T118" s="6">
        <f t="shared" si="12"/>
        <v>52.599127191160449</v>
      </c>
      <c r="U118" s="6">
        <f t="shared" si="13"/>
        <v>101.30993247402006</v>
      </c>
      <c r="V118" s="6">
        <f t="shared" si="10"/>
        <v>1.0231815394945443E-12</v>
      </c>
    </row>
    <row r="119" spans="1:22" ht="18.95" customHeight="1">
      <c r="A119" s="1">
        <v>113</v>
      </c>
      <c r="B119" s="6">
        <v>0.94166666666666576</v>
      </c>
      <c r="C119" s="6">
        <f>TimeStep!B119</f>
        <v>941.66666666666674</v>
      </c>
      <c r="D119" s="6">
        <v>-0.59399999999999997</v>
      </c>
      <c r="E119" s="6">
        <v>1.399</v>
      </c>
      <c r="F119" s="6">
        <v>4.5720000000000001</v>
      </c>
      <c r="G119" s="6">
        <v>0</v>
      </c>
      <c r="H119" s="6">
        <v>4.2350000000000003</v>
      </c>
      <c r="I119" s="6">
        <v>1.6120000000000001</v>
      </c>
      <c r="J119" s="6">
        <v>1.252</v>
      </c>
      <c r="K119" s="6">
        <v>2.617</v>
      </c>
      <c r="L119" s="6">
        <v>1.5840000000000001</v>
      </c>
      <c r="M119" s="6">
        <v>4.2439999999999998</v>
      </c>
      <c r="N119" s="6">
        <v>-2.2345000000000002</v>
      </c>
      <c r="O119" s="6">
        <v>60.103299999999997</v>
      </c>
      <c r="P119" s="6">
        <f t="shared" si="7"/>
        <v>33.417027252577604</v>
      </c>
      <c r="Q119" s="6">
        <f t="shared" si="8"/>
        <v>52.564007513452957</v>
      </c>
      <c r="R119" s="6">
        <f t="shared" si="9"/>
        <v>101.80802542842054</v>
      </c>
      <c r="S119" s="6">
        <f t="shared" si="11"/>
        <v>33.417027252577668</v>
      </c>
      <c r="T119" s="6">
        <f t="shared" si="12"/>
        <v>52.564007513452793</v>
      </c>
      <c r="U119" s="6">
        <f t="shared" si="13"/>
        <v>101.80802542842036</v>
      </c>
      <c r="V119" s="6">
        <f t="shared" si="10"/>
        <v>1.0231815394945443E-12</v>
      </c>
    </row>
    <row r="120" spans="1:22" ht="18.95" customHeight="1">
      <c r="A120" s="1">
        <v>114</v>
      </c>
      <c r="B120" s="6">
        <v>0.94999999999999918</v>
      </c>
      <c r="C120" s="6">
        <f>TimeStep!B120</f>
        <v>950.00000000000011</v>
      </c>
      <c r="D120" s="6">
        <v>-0.61799999999999999</v>
      </c>
      <c r="E120" s="6">
        <v>1.389</v>
      </c>
      <c r="F120" s="6">
        <v>4.5720000000000001</v>
      </c>
      <c r="G120" s="6">
        <v>0</v>
      </c>
      <c r="H120" s="6">
        <v>4.2210000000000001</v>
      </c>
      <c r="I120" s="6">
        <v>1.609</v>
      </c>
      <c r="J120" s="6">
        <v>1.228</v>
      </c>
      <c r="K120" s="6">
        <v>2.6059999999999999</v>
      </c>
      <c r="L120" s="6">
        <v>1.56</v>
      </c>
      <c r="M120" s="6">
        <v>4.2329999999999997</v>
      </c>
      <c r="N120" s="6">
        <v>-1.8908</v>
      </c>
      <c r="O120" s="6">
        <v>60.103299999999997</v>
      </c>
      <c r="P120" s="6">
        <f t="shared" si="7"/>
        <v>33.395397901225635</v>
      </c>
      <c r="Q120" s="6">
        <f t="shared" si="8"/>
        <v>52.554284760910996</v>
      </c>
      <c r="R120" s="6">
        <f t="shared" si="9"/>
        <v>102.30616172508884</v>
      </c>
      <c r="S120" s="6">
        <f t="shared" si="11"/>
        <v>33.395397901225692</v>
      </c>
      <c r="T120" s="6">
        <f t="shared" si="12"/>
        <v>52.554284760910832</v>
      </c>
      <c r="U120" s="6">
        <f t="shared" si="13"/>
        <v>102.30616172508866</v>
      </c>
      <c r="V120" s="6">
        <f t="shared" si="10"/>
        <v>9.0949470177292824E-13</v>
      </c>
    </row>
    <row r="121" spans="1:22" ht="18.95" customHeight="1">
      <c r="A121" s="1">
        <v>115</v>
      </c>
      <c r="B121" s="6">
        <v>0.95833333333333237</v>
      </c>
      <c r="C121" s="6">
        <f>TimeStep!B121</f>
        <v>958.33333333333337</v>
      </c>
      <c r="D121" s="6">
        <v>-0.64200000000000002</v>
      </c>
      <c r="E121" s="6">
        <v>1.3779999999999999</v>
      </c>
      <c r="F121" s="6">
        <v>4.5720000000000001</v>
      </c>
      <c r="G121" s="6">
        <v>0</v>
      </c>
      <c r="H121" s="6">
        <v>4.2069999999999999</v>
      </c>
      <c r="I121" s="6">
        <v>1.605</v>
      </c>
      <c r="J121" s="6">
        <v>1.204</v>
      </c>
      <c r="K121" s="6">
        <v>2.5950000000000002</v>
      </c>
      <c r="L121" s="6">
        <v>1.5369999999999999</v>
      </c>
      <c r="M121" s="6">
        <v>4.2210000000000001</v>
      </c>
      <c r="N121" s="6">
        <v>-1.4897</v>
      </c>
      <c r="O121" s="6">
        <v>60.045999999999999</v>
      </c>
      <c r="P121" s="6">
        <f t="shared" si="7"/>
        <v>33.39539790122565</v>
      </c>
      <c r="Q121" s="6">
        <f t="shared" si="8"/>
        <v>52.53186005109297</v>
      </c>
      <c r="R121" s="6">
        <f t="shared" si="9"/>
        <v>102.81198059055494</v>
      </c>
      <c r="S121" s="6">
        <f t="shared" si="11"/>
        <v>33.395397901225692</v>
      </c>
      <c r="T121" s="6">
        <f t="shared" si="12"/>
        <v>52.531860051092792</v>
      </c>
      <c r="U121" s="6">
        <f t="shared" si="13"/>
        <v>102.81198059055475</v>
      </c>
      <c r="V121" s="6">
        <f t="shared" si="10"/>
        <v>1.0231815394945443E-12</v>
      </c>
    </row>
    <row r="122" spans="1:22" ht="18.95" customHeight="1">
      <c r="A122" s="1">
        <v>116</v>
      </c>
      <c r="B122" s="6">
        <v>0.96666666666666556</v>
      </c>
      <c r="C122" s="6">
        <f>TimeStep!B122</f>
        <v>966.66666666666674</v>
      </c>
      <c r="D122" s="6">
        <v>-0.66600000000000004</v>
      </c>
      <c r="E122" s="6">
        <v>1.3660000000000001</v>
      </c>
      <c r="F122" s="6">
        <v>4.5720000000000001</v>
      </c>
      <c r="G122" s="6">
        <v>0</v>
      </c>
      <c r="H122" s="6">
        <v>4.1920000000000002</v>
      </c>
      <c r="I122" s="6">
        <v>1.6020000000000001</v>
      </c>
      <c r="J122" s="6">
        <v>1.18</v>
      </c>
      <c r="K122" s="6">
        <v>2.5830000000000002</v>
      </c>
      <c r="L122" s="6">
        <v>1.5129999999999999</v>
      </c>
      <c r="M122" s="6">
        <v>4.21</v>
      </c>
      <c r="N122" s="6">
        <v>-1.0886</v>
      </c>
      <c r="O122" s="6">
        <v>60.045999999999999</v>
      </c>
      <c r="P122" s="6">
        <f t="shared" si="7"/>
        <v>33.395397901225643</v>
      </c>
      <c r="Q122" s="6">
        <f t="shared" si="8"/>
        <v>52.541588276544154</v>
      </c>
      <c r="R122" s="6">
        <f t="shared" si="9"/>
        <v>103.34413601335424</v>
      </c>
      <c r="S122" s="6">
        <f t="shared" si="11"/>
        <v>33.395397901225692</v>
      </c>
      <c r="T122" s="6">
        <f t="shared" si="12"/>
        <v>52.541588276543962</v>
      </c>
      <c r="U122" s="6">
        <f t="shared" si="13"/>
        <v>103.34413601335405</v>
      </c>
      <c r="V122" s="6">
        <f t="shared" si="10"/>
        <v>1.1368683772161603E-12</v>
      </c>
    </row>
    <row r="123" spans="1:22" ht="18.95" customHeight="1">
      <c r="A123" s="1">
        <v>117</v>
      </c>
      <c r="B123" s="6">
        <v>0.97499999999999898</v>
      </c>
      <c r="C123" s="6">
        <f>TimeStep!B123</f>
        <v>975.00000000000011</v>
      </c>
      <c r="D123" s="6">
        <v>-0.69</v>
      </c>
      <c r="E123" s="6">
        <v>1.3540000000000001</v>
      </c>
      <c r="F123" s="6">
        <v>4.5720000000000001</v>
      </c>
      <c r="G123" s="6">
        <v>0</v>
      </c>
      <c r="H123" s="6">
        <v>4.1790000000000003</v>
      </c>
      <c r="I123" s="6">
        <v>1.599</v>
      </c>
      <c r="J123" s="6">
        <v>1.157</v>
      </c>
      <c r="K123" s="6">
        <v>2.5710000000000002</v>
      </c>
      <c r="L123" s="6">
        <v>1.49</v>
      </c>
      <c r="M123" s="6">
        <v>4.1970000000000001</v>
      </c>
      <c r="N123" s="6">
        <v>-0.6875</v>
      </c>
      <c r="O123" s="6">
        <v>59.988700000000001</v>
      </c>
      <c r="P123" s="6">
        <f t="shared" si="7"/>
        <v>33.381140297845612</v>
      </c>
      <c r="Q123" s="6">
        <f t="shared" si="8"/>
        <v>52.519166716617967</v>
      </c>
      <c r="R123" s="6">
        <f t="shared" si="9"/>
        <v>103.80837811355048</v>
      </c>
      <c r="S123" s="6">
        <f t="shared" si="11"/>
        <v>33.381140297845661</v>
      </c>
      <c r="T123" s="6">
        <f t="shared" si="12"/>
        <v>52.519166716617775</v>
      </c>
      <c r="U123" s="6">
        <f t="shared" si="13"/>
        <v>103.80837811355025</v>
      </c>
      <c r="V123" s="6">
        <f t="shared" si="10"/>
        <v>1.1368683772161603E-12</v>
      </c>
    </row>
    <row r="124" spans="1:22" ht="18.95" customHeight="1">
      <c r="A124" s="1">
        <v>118</v>
      </c>
      <c r="B124" s="6">
        <v>0.98333333333333239</v>
      </c>
      <c r="C124" s="6">
        <f>TimeStep!B124</f>
        <v>983.33333333333337</v>
      </c>
      <c r="D124" s="6">
        <v>-0.71399999999999997</v>
      </c>
      <c r="E124" s="6">
        <v>1.3420000000000001</v>
      </c>
      <c r="F124" s="6">
        <v>4.5720000000000001</v>
      </c>
      <c r="G124" s="6">
        <v>0</v>
      </c>
      <c r="H124" s="6">
        <v>4.165</v>
      </c>
      <c r="I124" s="6">
        <v>1.595</v>
      </c>
      <c r="J124" s="6">
        <v>1.133</v>
      </c>
      <c r="K124" s="6">
        <v>2.5579999999999998</v>
      </c>
      <c r="L124" s="6">
        <v>1.4670000000000001</v>
      </c>
      <c r="M124" s="6">
        <v>4.1849999999999996</v>
      </c>
      <c r="N124" s="6">
        <v>-0.28649999999999998</v>
      </c>
      <c r="O124" s="6">
        <v>59.874099999999999</v>
      </c>
      <c r="P124" s="6">
        <f t="shared" si="7"/>
        <v>33.359504799960526</v>
      </c>
      <c r="Q124" s="6">
        <f t="shared" si="8"/>
        <v>52.506477693270902</v>
      </c>
      <c r="R124" s="6">
        <f t="shared" si="9"/>
        <v>104.31482691040488</v>
      </c>
      <c r="S124" s="6">
        <f t="shared" si="11"/>
        <v>33.359504799960575</v>
      </c>
      <c r="T124" s="6">
        <f t="shared" si="12"/>
        <v>52.50647769327071</v>
      </c>
      <c r="U124" s="6">
        <f t="shared" si="13"/>
        <v>104.31482691040463</v>
      </c>
      <c r="V124" s="6">
        <f t="shared" si="10"/>
        <v>1.0231815394945443E-12</v>
      </c>
    </row>
    <row r="125" spans="1:22" ht="18.95" customHeight="1">
      <c r="A125" s="1">
        <v>119</v>
      </c>
      <c r="B125" s="6">
        <v>0.99166666666666559</v>
      </c>
      <c r="C125" s="6">
        <f>TimeStep!B125</f>
        <v>991.66666666666674</v>
      </c>
      <c r="D125" s="6">
        <v>-0.73699999999999999</v>
      </c>
      <c r="E125" s="6">
        <v>1.329</v>
      </c>
      <c r="F125" s="6">
        <v>4.5720000000000001</v>
      </c>
      <c r="G125" s="6">
        <v>0</v>
      </c>
      <c r="H125" s="6">
        <v>4.1509999999999998</v>
      </c>
      <c r="I125" s="6">
        <v>1.5920000000000001</v>
      </c>
      <c r="J125" s="6">
        <v>1.1100000000000001</v>
      </c>
      <c r="K125" s="6">
        <v>2.5459999999999998</v>
      </c>
      <c r="L125" s="6">
        <v>1.4430000000000001</v>
      </c>
      <c r="M125" s="6">
        <v>4.1719999999999997</v>
      </c>
      <c r="N125" s="6">
        <v>0.11459999999999999</v>
      </c>
      <c r="O125" s="6">
        <v>59.816800000000001</v>
      </c>
      <c r="P125" s="6">
        <f t="shared" si="7"/>
        <v>33.381140297845604</v>
      </c>
      <c r="Q125" s="6">
        <f t="shared" si="8"/>
        <v>52.519166716617967</v>
      </c>
      <c r="R125" s="6">
        <f t="shared" si="9"/>
        <v>104.81263013528894</v>
      </c>
      <c r="S125" s="6">
        <f t="shared" si="11"/>
        <v>33.381140297845661</v>
      </c>
      <c r="T125" s="6">
        <f t="shared" si="12"/>
        <v>52.519166716617775</v>
      </c>
      <c r="U125" s="6">
        <f t="shared" si="13"/>
        <v>104.81263013528871</v>
      </c>
      <c r="V125" s="6">
        <f t="shared" si="10"/>
        <v>1.1368683772161603E-12</v>
      </c>
    </row>
    <row r="126" spans="1:22" ht="18.95" customHeight="1">
      <c r="A126" s="1">
        <v>120</v>
      </c>
      <c r="B126" s="6">
        <v>0.99999999999999878</v>
      </c>
      <c r="C126" s="6">
        <f>TimeStep!B126</f>
        <v>1000.0000000000001</v>
      </c>
      <c r="D126" s="6">
        <v>-0.76</v>
      </c>
      <c r="E126" s="6">
        <v>1.3160000000000001</v>
      </c>
      <c r="F126" s="6">
        <v>4.5720000000000001</v>
      </c>
      <c r="G126" s="6">
        <v>0</v>
      </c>
      <c r="H126" s="6">
        <v>4.1369999999999996</v>
      </c>
      <c r="I126" s="6">
        <v>1.5880000000000001</v>
      </c>
      <c r="J126" s="6">
        <v>1.087</v>
      </c>
      <c r="K126" s="6">
        <v>2.5329999999999999</v>
      </c>
      <c r="L126" s="6">
        <v>1.42</v>
      </c>
      <c r="M126" s="6">
        <v>4.1589999999999998</v>
      </c>
      <c r="N126" s="6">
        <v>0.51570000000000005</v>
      </c>
      <c r="O126" s="6">
        <v>59.702199999999998</v>
      </c>
      <c r="P126" s="6">
        <f t="shared" si="7"/>
        <v>33.381140297845604</v>
      </c>
      <c r="Q126" s="6">
        <f t="shared" si="8"/>
        <v>52.519166716617967</v>
      </c>
      <c r="R126" s="6">
        <f t="shared" si="9"/>
        <v>105.31921132905812</v>
      </c>
      <c r="S126" s="6">
        <f t="shared" si="11"/>
        <v>33.381140297845661</v>
      </c>
      <c r="T126" s="6">
        <f t="shared" si="12"/>
        <v>52.519166716617775</v>
      </c>
      <c r="U126" s="6">
        <f t="shared" si="13"/>
        <v>105.31921132905791</v>
      </c>
      <c r="V126" s="6">
        <f t="shared" si="10"/>
        <v>1.3642420526593924E-12</v>
      </c>
    </row>
    <row r="127" spans="1:22" ht="18.95" customHeight="1">
      <c r="A127" s="1">
        <v>121</v>
      </c>
      <c r="B127" s="6">
        <v>1.0083333333333322</v>
      </c>
      <c r="C127" s="6">
        <f>TimeStep!B127</f>
        <v>1008.3333333333334</v>
      </c>
      <c r="D127" s="6">
        <v>-0.78300000000000003</v>
      </c>
      <c r="E127" s="6">
        <v>1.3029999999999999</v>
      </c>
      <c r="F127" s="6">
        <v>4.5720000000000001</v>
      </c>
      <c r="G127" s="6">
        <v>0</v>
      </c>
      <c r="H127" s="6">
        <v>4.1230000000000002</v>
      </c>
      <c r="I127" s="6">
        <v>1.5840000000000001</v>
      </c>
      <c r="J127" s="6">
        <v>1.0640000000000001</v>
      </c>
      <c r="K127" s="6">
        <v>2.5190000000000001</v>
      </c>
      <c r="L127" s="6">
        <v>1.397</v>
      </c>
      <c r="M127" s="6">
        <v>4.1459999999999999</v>
      </c>
      <c r="N127" s="6">
        <v>0.91669999999999996</v>
      </c>
      <c r="O127" s="6">
        <v>59.587600000000002</v>
      </c>
      <c r="P127" s="6">
        <f t="shared" si="7"/>
        <v>33.35950479996054</v>
      </c>
      <c r="Q127" s="6">
        <f t="shared" si="8"/>
        <v>52.519166716617967</v>
      </c>
      <c r="R127" s="6">
        <f t="shared" si="9"/>
        <v>105.82589044366784</v>
      </c>
      <c r="S127" s="6">
        <f t="shared" si="11"/>
        <v>33.359504799960604</v>
      </c>
      <c r="T127" s="6">
        <f t="shared" si="12"/>
        <v>52.519166716617775</v>
      </c>
      <c r="U127" s="6">
        <f t="shared" si="13"/>
        <v>105.82589044366762</v>
      </c>
      <c r="V127" s="6">
        <f t="shared" si="10"/>
        <v>1.1368683772161603E-12</v>
      </c>
    </row>
    <row r="128" spans="1:22" ht="18.95" customHeight="1">
      <c r="A128" s="1">
        <v>122</v>
      </c>
      <c r="B128" s="6">
        <v>1.0166666666666655</v>
      </c>
      <c r="C128" s="6">
        <f>TimeStep!B128</f>
        <v>1016.6666666666667</v>
      </c>
      <c r="D128" s="6">
        <v>-0.80600000000000005</v>
      </c>
      <c r="E128" s="6">
        <v>1.2889999999999999</v>
      </c>
      <c r="F128" s="6">
        <v>4.5720000000000001</v>
      </c>
      <c r="G128" s="6">
        <v>0</v>
      </c>
      <c r="H128" s="6">
        <v>4.1100000000000003</v>
      </c>
      <c r="I128" s="6">
        <v>1.58</v>
      </c>
      <c r="J128" s="6">
        <v>1.0409999999999999</v>
      </c>
      <c r="K128" s="6">
        <v>2.5059999999999998</v>
      </c>
      <c r="L128" s="6">
        <v>1.3740000000000001</v>
      </c>
      <c r="M128" s="6">
        <v>4.133</v>
      </c>
      <c r="N128" s="6">
        <v>1.3178000000000001</v>
      </c>
      <c r="O128" s="6">
        <v>59.472999999999999</v>
      </c>
      <c r="P128" s="6">
        <f t="shared" si="7"/>
        <v>33.381140297845604</v>
      </c>
      <c r="Q128" s="6">
        <f t="shared" si="8"/>
        <v>52.528896101951482</v>
      </c>
      <c r="R128" s="6">
        <f t="shared" si="9"/>
        <v>106.29918710562018</v>
      </c>
      <c r="S128" s="6">
        <f t="shared" si="11"/>
        <v>33.381140297845661</v>
      </c>
      <c r="T128" s="6">
        <f t="shared" si="12"/>
        <v>52.52889610195129</v>
      </c>
      <c r="U128" s="6">
        <f t="shared" si="13"/>
        <v>106.29918710561992</v>
      </c>
      <c r="V128" s="6">
        <f t="shared" si="10"/>
        <v>1.2505552149377763E-12</v>
      </c>
    </row>
    <row r="129" spans="1:22" ht="18.95" customHeight="1">
      <c r="A129" s="1">
        <v>123</v>
      </c>
      <c r="B129" s="6">
        <v>1.0249999999999988</v>
      </c>
      <c r="C129" s="6">
        <f>TimeStep!B129</f>
        <v>1025</v>
      </c>
      <c r="D129" s="6">
        <v>-0.82799999999999996</v>
      </c>
      <c r="E129" s="6">
        <v>1.2749999999999999</v>
      </c>
      <c r="F129" s="6">
        <v>4.5720000000000001</v>
      </c>
      <c r="G129" s="6">
        <v>0</v>
      </c>
      <c r="H129" s="6">
        <v>4.0960000000000001</v>
      </c>
      <c r="I129" s="6">
        <v>1.5760000000000001</v>
      </c>
      <c r="J129" s="6">
        <v>1.018</v>
      </c>
      <c r="K129" s="6">
        <v>2.492</v>
      </c>
      <c r="L129" s="6">
        <v>1.351</v>
      </c>
      <c r="M129" s="6">
        <v>4.1189999999999998</v>
      </c>
      <c r="N129" s="6">
        <v>1.7189000000000001</v>
      </c>
      <c r="O129" s="6">
        <v>59.358400000000003</v>
      </c>
      <c r="P129" s="6">
        <f t="shared" si="7"/>
        <v>33.395397901225643</v>
      </c>
      <c r="Q129" s="6">
        <f t="shared" si="8"/>
        <v>52.541588276544154</v>
      </c>
      <c r="R129" s="6">
        <f t="shared" si="9"/>
        <v>106.8059153316233</v>
      </c>
      <c r="S129" s="6">
        <f t="shared" si="11"/>
        <v>33.395397901225692</v>
      </c>
      <c r="T129" s="6">
        <f t="shared" si="12"/>
        <v>52.541588276543962</v>
      </c>
      <c r="U129" s="6">
        <f t="shared" si="13"/>
        <v>106.80591533162305</v>
      </c>
      <c r="V129" s="6">
        <f t="shared" si="10"/>
        <v>0</v>
      </c>
    </row>
    <row r="130" spans="1:22" ht="18.95" customHeight="1">
      <c r="A130" s="1">
        <v>124</v>
      </c>
      <c r="B130" s="6">
        <v>1.0333333333333321</v>
      </c>
      <c r="C130" s="6">
        <f>TimeStep!B130</f>
        <v>1033.3333333333335</v>
      </c>
      <c r="D130" s="6">
        <v>-0.85</v>
      </c>
      <c r="E130" s="6">
        <v>1.26</v>
      </c>
      <c r="F130" s="6">
        <v>4.5720000000000001</v>
      </c>
      <c r="G130" s="6">
        <v>0</v>
      </c>
      <c r="H130" s="6">
        <v>4.0819999999999999</v>
      </c>
      <c r="I130" s="6">
        <v>1.5720000000000001</v>
      </c>
      <c r="J130" s="6">
        <v>0.996</v>
      </c>
      <c r="K130" s="6">
        <v>2.4780000000000002</v>
      </c>
      <c r="L130" s="6">
        <v>1.3280000000000001</v>
      </c>
      <c r="M130" s="6">
        <v>4.1050000000000004</v>
      </c>
      <c r="N130" s="6">
        <v>2.1198999999999999</v>
      </c>
      <c r="O130" s="6">
        <v>59.186500000000002</v>
      </c>
      <c r="P130" s="6">
        <f t="shared" si="7"/>
        <v>33.417027252577611</v>
      </c>
      <c r="Q130" s="6">
        <f t="shared" si="8"/>
        <v>52.564007513452964</v>
      </c>
      <c r="R130" s="6">
        <f t="shared" si="9"/>
        <v>107.31250897110237</v>
      </c>
      <c r="S130" s="6">
        <f t="shared" si="11"/>
        <v>33.417027252577668</v>
      </c>
      <c r="T130" s="6">
        <f t="shared" si="12"/>
        <v>52.564007513452765</v>
      </c>
      <c r="U130" s="6">
        <f t="shared" si="13"/>
        <v>107.31250897110215</v>
      </c>
      <c r="V130" s="6">
        <f t="shared" si="10"/>
        <v>0</v>
      </c>
    </row>
    <row r="131" spans="1:22" ht="18.95" customHeight="1">
      <c r="A131" s="1">
        <v>125</v>
      </c>
      <c r="B131" s="6">
        <v>1.0416666666666654</v>
      </c>
      <c r="C131" s="6">
        <f>TimeStep!B131</f>
        <v>1041.6666666666667</v>
      </c>
      <c r="D131" s="6">
        <v>-0.872</v>
      </c>
      <c r="E131" s="6">
        <v>1.2450000000000001</v>
      </c>
      <c r="F131" s="6">
        <v>4.5720000000000001</v>
      </c>
      <c r="G131" s="6">
        <v>0</v>
      </c>
      <c r="H131" s="6">
        <v>4.069</v>
      </c>
      <c r="I131" s="6">
        <v>1.5680000000000001</v>
      </c>
      <c r="J131" s="6">
        <v>0.97299999999999998</v>
      </c>
      <c r="K131" s="6">
        <v>2.4630000000000001</v>
      </c>
      <c r="L131" s="6">
        <v>1.3049999999999999</v>
      </c>
      <c r="M131" s="6">
        <v>4.09</v>
      </c>
      <c r="N131" s="6">
        <v>2.5209999999999999</v>
      </c>
      <c r="O131" s="6">
        <v>59.014699999999998</v>
      </c>
      <c r="P131" s="6">
        <f t="shared" si="7"/>
        <v>33.431300239782843</v>
      </c>
      <c r="Q131" s="6">
        <f t="shared" si="8"/>
        <v>52.576707143101721</v>
      </c>
      <c r="R131" s="6">
        <f t="shared" si="9"/>
        <v>107.78576381597797</v>
      </c>
      <c r="S131" s="6">
        <f t="shared" si="11"/>
        <v>33.4313002397829</v>
      </c>
      <c r="T131" s="6">
        <f t="shared" si="12"/>
        <v>52.576707143101515</v>
      </c>
      <c r="U131" s="6">
        <f t="shared" si="13"/>
        <v>107.78576381597776</v>
      </c>
      <c r="V131" s="6">
        <f t="shared" si="10"/>
        <v>0</v>
      </c>
    </row>
    <row r="132" spans="1:22" ht="18.95" customHeight="1">
      <c r="A132" s="1">
        <v>126</v>
      </c>
      <c r="B132" s="6">
        <v>1.0499999999999987</v>
      </c>
      <c r="C132" s="6">
        <f>TimeStep!B132</f>
        <v>1050</v>
      </c>
      <c r="D132" s="6">
        <v>-0.89400000000000002</v>
      </c>
      <c r="E132" s="6">
        <v>1.23</v>
      </c>
      <c r="F132" s="6">
        <v>4.5720000000000001</v>
      </c>
      <c r="G132" s="6">
        <v>0</v>
      </c>
      <c r="H132" s="6">
        <v>4.0549999999999997</v>
      </c>
      <c r="I132" s="6">
        <v>1.5629999999999999</v>
      </c>
      <c r="J132" s="6">
        <v>0.95099999999999996</v>
      </c>
      <c r="K132" s="6">
        <v>2.4489999999999998</v>
      </c>
      <c r="L132" s="6">
        <v>1.282</v>
      </c>
      <c r="M132" s="6">
        <v>4.0759999999999996</v>
      </c>
      <c r="N132" s="6">
        <v>2.9220999999999999</v>
      </c>
      <c r="O132" s="6">
        <v>58.842799999999997</v>
      </c>
      <c r="P132" s="6">
        <f t="shared" si="7"/>
        <v>33.452923423743734</v>
      </c>
      <c r="Q132" s="6">
        <f t="shared" si="8"/>
        <v>52.599127191160591</v>
      </c>
      <c r="R132" s="6">
        <f t="shared" si="9"/>
        <v>108.30288041407248</v>
      </c>
      <c r="S132" s="6">
        <f t="shared" si="11"/>
        <v>33.452923423743783</v>
      </c>
      <c r="T132" s="6">
        <f t="shared" si="12"/>
        <v>52.599127191160392</v>
      </c>
      <c r="U132" s="6">
        <f t="shared" si="13"/>
        <v>108.30288041407226</v>
      </c>
      <c r="V132" s="6">
        <f t="shared" si="10"/>
        <v>0</v>
      </c>
    </row>
    <row r="133" spans="1:22" ht="18.95" customHeight="1">
      <c r="A133" s="1">
        <v>127</v>
      </c>
      <c r="B133" s="6">
        <v>1.058333333333332</v>
      </c>
      <c r="C133" s="6">
        <f>TimeStep!B133</f>
        <v>1058.3333333333335</v>
      </c>
      <c r="D133" s="6">
        <v>-0.91500000000000004</v>
      </c>
      <c r="E133" s="6">
        <v>1.214</v>
      </c>
      <c r="F133" s="6">
        <v>4.5720000000000001</v>
      </c>
      <c r="G133" s="6">
        <v>0</v>
      </c>
      <c r="H133" s="6">
        <v>4.0419999999999998</v>
      </c>
      <c r="I133" s="6">
        <v>1.5589999999999999</v>
      </c>
      <c r="J133" s="6">
        <v>0.93</v>
      </c>
      <c r="K133" s="6">
        <v>2.4340000000000002</v>
      </c>
      <c r="L133" s="6">
        <v>1.26</v>
      </c>
      <c r="M133" s="6">
        <v>4.0609999999999999</v>
      </c>
      <c r="N133" s="6">
        <v>3.3805000000000001</v>
      </c>
      <c r="O133" s="6">
        <v>58.613599999999998</v>
      </c>
      <c r="P133" s="6">
        <f t="shared" si="7"/>
        <v>33.474535829723024</v>
      </c>
      <c r="Q133" s="6">
        <f t="shared" si="8"/>
        <v>52.621544898587295</v>
      </c>
      <c r="R133" s="6">
        <f t="shared" si="9"/>
        <v>108.77605659711814</v>
      </c>
      <c r="S133" s="6">
        <f t="shared" si="11"/>
        <v>33.474535829723067</v>
      </c>
      <c r="T133" s="6">
        <f t="shared" si="12"/>
        <v>52.621544898587103</v>
      </c>
      <c r="U133" s="6">
        <f t="shared" si="13"/>
        <v>108.77605659711793</v>
      </c>
      <c r="V133" s="6">
        <f t="shared" si="10"/>
        <v>0</v>
      </c>
    </row>
    <row r="134" spans="1:22" ht="18.95" customHeight="1">
      <c r="A134" s="1">
        <v>128</v>
      </c>
      <c r="B134" s="6">
        <v>1.0666666666666651</v>
      </c>
      <c r="C134" s="6">
        <f>TimeStep!B134</f>
        <v>1066.6666666666667</v>
      </c>
      <c r="D134" s="6">
        <v>-0.93600000000000005</v>
      </c>
      <c r="E134" s="6">
        <v>1.198</v>
      </c>
      <c r="F134" s="6">
        <v>4.5720000000000001</v>
      </c>
      <c r="G134" s="6">
        <v>0</v>
      </c>
      <c r="H134" s="6">
        <v>4.0289999999999999</v>
      </c>
      <c r="I134" s="6">
        <v>1.554</v>
      </c>
      <c r="J134" s="6">
        <v>0.90800000000000003</v>
      </c>
      <c r="K134" s="6">
        <v>2.419</v>
      </c>
      <c r="L134" s="6">
        <v>1.2370000000000001</v>
      </c>
      <c r="M134" s="6">
        <v>4.0460000000000003</v>
      </c>
      <c r="N134" s="6">
        <v>3.7814999999999999</v>
      </c>
      <c r="O134" s="6">
        <v>58.441699999999997</v>
      </c>
      <c r="P134" s="6">
        <f t="shared" ref="P134:P197" si="14">DEGREES(ATAN2(J134-D134,K134-E134))</f>
        <v>33.510434995925102</v>
      </c>
      <c r="Q134" s="6">
        <f t="shared" ref="Q134:Q197" si="15">DEGREES(ATAN2(L134-D134,M134-E134))</f>
        <v>52.656673601965288</v>
      </c>
      <c r="R134" s="6">
        <f t="shared" ref="R134:R197" si="16">DEGREES(ATAN2(H134-F134,I134-G134))</f>
        <v>109.2604792933641</v>
      </c>
      <c r="S134" s="6">
        <f t="shared" si="11"/>
        <v>33.510434995925152</v>
      </c>
      <c r="T134" s="6">
        <f t="shared" si="12"/>
        <v>52.65667360196511</v>
      </c>
      <c r="U134" s="6">
        <f t="shared" si="13"/>
        <v>109.26047929336391</v>
      </c>
      <c r="V134" s="6">
        <f t="shared" ref="V134:V197" si="17">C134-B134*1000</f>
        <v>0</v>
      </c>
    </row>
    <row r="135" spans="1:22" ht="18.95" customHeight="1">
      <c r="A135" s="1">
        <v>129</v>
      </c>
      <c r="B135" s="6">
        <v>1.0749999999999986</v>
      </c>
      <c r="C135" s="6">
        <f>TimeStep!B135</f>
        <v>1075</v>
      </c>
      <c r="D135" s="6">
        <v>-0.95699999999999996</v>
      </c>
      <c r="E135" s="6">
        <v>1.181</v>
      </c>
      <c r="F135" s="6">
        <v>4.5720000000000001</v>
      </c>
      <c r="G135" s="6">
        <v>0</v>
      </c>
      <c r="H135" s="6">
        <v>4.016</v>
      </c>
      <c r="I135" s="6">
        <v>1.55</v>
      </c>
      <c r="J135" s="6">
        <v>0.88600000000000001</v>
      </c>
      <c r="K135" s="6">
        <v>2.403</v>
      </c>
      <c r="L135" s="6">
        <v>1.2150000000000001</v>
      </c>
      <c r="M135" s="6">
        <v>4.0309999999999997</v>
      </c>
      <c r="N135" s="6">
        <v>4.1825999999999999</v>
      </c>
      <c r="O135" s="6">
        <v>58.212499999999999</v>
      </c>
      <c r="P135" s="6">
        <f t="shared" si="14"/>
        <v>33.546343308401688</v>
      </c>
      <c r="Q135" s="6">
        <f t="shared" si="15"/>
        <v>52.688783912134433</v>
      </c>
      <c r="R135" s="6">
        <f t="shared" si="16"/>
        <v>109.73340147843066</v>
      </c>
      <c r="S135" s="6">
        <f t="shared" ref="S135:S198" si="18">S134+MOD(P135-P134+180,360)-180</f>
        <v>33.546343308401731</v>
      </c>
      <c r="T135" s="6">
        <f t="shared" ref="T135:T198" si="19">T134+MOD(Q135-Q134+180,360)-180</f>
        <v>52.688783912134255</v>
      </c>
      <c r="U135" s="6">
        <f t="shared" ref="U135:U198" si="20">U134+MOD(R135-R134+180,360)-180</f>
        <v>109.73340147843049</v>
      </c>
      <c r="V135" s="6">
        <f t="shared" si="17"/>
        <v>0</v>
      </c>
    </row>
    <row r="136" spans="1:22" ht="18.95" customHeight="1">
      <c r="A136" s="1">
        <v>130</v>
      </c>
      <c r="B136" s="6">
        <v>1.0833333333333319</v>
      </c>
      <c r="C136" s="6">
        <f>TimeStep!B136</f>
        <v>1083.3333333333335</v>
      </c>
      <c r="D136" s="6">
        <v>-0.97699999999999998</v>
      </c>
      <c r="E136" s="6">
        <v>1.1639999999999999</v>
      </c>
      <c r="F136" s="6">
        <v>4.5720000000000001</v>
      </c>
      <c r="G136" s="6">
        <v>0</v>
      </c>
      <c r="H136" s="6">
        <v>4.0030000000000001</v>
      </c>
      <c r="I136" s="6">
        <v>1.5449999999999999</v>
      </c>
      <c r="J136" s="6">
        <v>0.86499999999999999</v>
      </c>
      <c r="K136" s="6">
        <v>2.387</v>
      </c>
      <c r="L136" s="6">
        <v>1.1930000000000001</v>
      </c>
      <c r="M136" s="6">
        <v>4.0149999999999997</v>
      </c>
      <c r="N136" s="6">
        <v>4.641</v>
      </c>
      <c r="O136" s="6">
        <v>57.9833</v>
      </c>
      <c r="P136" s="6">
        <f t="shared" si="14"/>
        <v>33.582260742430016</v>
      </c>
      <c r="Q136" s="6">
        <f t="shared" si="15"/>
        <v>52.723914897686939</v>
      </c>
      <c r="R136" s="6">
        <f t="shared" si="16"/>
        <v>110.21798490009385</v>
      </c>
      <c r="S136" s="6">
        <f t="shared" si="18"/>
        <v>33.582260742430066</v>
      </c>
      <c r="T136" s="6">
        <f t="shared" si="19"/>
        <v>52.723914897686768</v>
      </c>
      <c r="U136" s="6">
        <f t="shared" si="20"/>
        <v>110.21798490009371</v>
      </c>
      <c r="V136" s="6">
        <f t="shared" si="17"/>
        <v>0</v>
      </c>
    </row>
    <row r="137" spans="1:22" ht="18.95" customHeight="1">
      <c r="A137" s="1">
        <v>131</v>
      </c>
      <c r="B137" s="6">
        <v>1.0916666666666652</v>
      </c>
      <c r="C137" s="6">
        <f>TimeStep!B137</f>
        <v>1091.6666666666667</v>
      </c>
      <c r="D137" s="6">
        <v>-0.997</v>
      </c>
      <c r="E137" s="6">
        <v>1.147</v>
      </c>
      <c r="F137" s="6">
        <v>4.5720000000000001</v>
      </c>
      <c r="G137" s="6">
        <v>0</v>
      </c>
      <c r="H137" s="6">
        <v>3.9889999999999999</v>
      </c>
      <c r="I137" s="6">
        <v>1.54</v>
      </c>
      <c r="J137" s="6">
        <v>0.84399999999999997</v>
      </c>
      <c r="K137" s="6">
        <v>2.371</v>
      </c>
      <c r="L137" s="6">
        <v>1.17</v>
      </c>
      <c r="M137" s="6">
        <v>4</v>
      </c>
      <c r="N137" s="6">
        <v>5.0419999999999998</v>
      </c>
      <c r="O137" s="6">
        <v>57.696800000000003</v>
      </c>
      <c r="P137" s="6">
        <f t="shared" si="14"/>
        <v>33.6181872732461</v>
      </c>
      <c r="Q137" s="6">
        <f t="shared" si="15"/>
        <v>52.78146377389627</v>
      </c>
      <c r="R137" s="6">
        <f t="shared" si="16"/>
        <v>110.73523393799697</v>
      </c>
      <c r="S137" s="6">
        <f t="shared" si="18"/>
        <v>33.61818727324615</v>
      </c>
      <c r="T137" s="6">
        <f t="shared" si="19"/>
        <v>52.781463773896093</v>
      </c>
      <c r="U137" s="6">
        <f t="shared" si="20"/>
        <v>110.73523393799684</v>
      </c>
      <c r="V137" s="6">
        <f t="shared" si="17"/>
        <v>0</v>
      </c>
    </row>
    <row r="138" spans="1:22" ht="18.95" customHeight="1">
      <c r="A138" s="1">
        <v>132</v>
      </c>
      <c r="B138" s="6">
        <v>1.0999999999999983</v>
      </c>
      <c r="C138" s="6">
        <f>TimeStep!B138</f>
        <v>1100</v>
      </c>
      <c r="D138" s="6">
        <v>-1.0169999999999999</v>
      </c>
      <c r="E138" s="6">
        <v>1.129</v>
      </c>
      <c r="F138" s="6">
        <v>4.5720000000000001</v>
      </c>
      <c r="G138" s="6">
        <v>0</v>
      </c>
      <c r="H138" s="6">
        <v>3.9769999999999999</v>
      </c>
      <c r="I138" s="6">
        <v>1.5349999999999999</v>
      </c>
      <c r="J138" s="6">
        <v>0.82299999999999995</v>
      </c>
      <c r="K138" s="6">
        <v>2.355</v>
      </c>
      <c r="L138" s="6">
        <v>1.1479999999999999</v>
      </c>
      <c r="M138" s="6">
        <v>3.984</v>
      </c>
      <c r="N138" s="6">
        <v>5.5004</v>
      </c>
      <c r="O138" s="6">
        <v>57.467700000000001</v>
      </c>
      <c r="P138" s="6">
        <f t="shared" si="14"/>
        <v>33.675693271511399</v>
      </c>
      <c r="Q138" s="6">
        <f t="shared" si="15"/>
        <v>52.826276061394324</v>
      </c>
      <c r="R138" s="6">
        <f t="shared" si="16"/>
        <v>111.18743422319071</v>
      </c>
      <c r="S138" s="6">
        <f t="shared" si="18"/>
        <v>33.675693271511449</v>
      </c>
      <c r="T138" s="6">
        <f t="shared" si="19"/>
        <v>52.82627606139414</v>
      </c>
      <c r="U138" s="6">
        <f t="shared" si="20"/>
        <v>111.18743422319056</v>
      </c>
      <c r="V138" s="6">
        <f t="shared" si="17"/>
        <v>0</v>
      </c>
    </row>
    <row r="139" spans="1:22" ht="18.95" customHeight="1">
      <c r="A139" s="1">
        <v>133</v>
      </c>
      <c r="B139" s="6">
        <v>1.1083333333333318</v>
      </c>
      <c r="C139" s="6">
        <f>TimeStep!B139</f>
        <v>1108.3333333333335</v>
      </c>
      <c r="D139" s="6">
        <v>-1.0369999999999999</v>
      </c>
      <c r="E139" s="6">
        <v>1.111</v>
      </c>
      <c r="F139" s="6">
        <v>4.5720000000000001</v>
      </c>
      <c r="G139" s="6">
        <v>0</v>
      </c>
      <c r="H139" s="6">
        <v>3.964</v>
      </c>
      <c r="I139" s="6">
        <v>1.53</v>
      </c>
      <c r="J139" s="6">
        <v>0.80300000000000005</v>
      </c>
      <c r="K139" s="6">
        <v>2.339</v>
      </c>
      <c r="L139" s="6">
        <v>1.1259999999999999</v>
      </c>
      <c r="M139" s="6">
        <v>3.968</v>
      </c>
      <c r="N139" s="6">
        <v>5.9015000000000004</v>
      </c>
      <c r="O139" s="6">
        <v>57.181199999999997</v>
      </c>
      <c r="P139" s="6">
        <f t="shared" si="14"/>
        <v>33.718801615603489</v>
      </c>
      <c r="Q139" s="6">
        <f t="shared" si="15"/>
        <v>52.87107871607094</v>
      </c>
      <c r="R139" s="6">
        <f t="shared" si="16"/>
        <v>111.67216138726117</v>
      </c>
      <c r="S139" s="6">
        <f t="shared" si="18"/>
        <v>33.718801615603553</v>
      </c>
      <c r="T139" s="6">
        <f t="shared" si="19"/>
        <v>52.87107871607077</v>
      </c>
      <c r="U139" s="6">
        <f t="shared" si="20"/>
        <v>111.67216138726104</v>
      </c>
      <c r="V139" s="6">
        <f t="shared" si="17"/>
        <v>0</v>
      </c>
    </row>
    <row r="140" spans="1:22" ht="18.95" customHeight="1">
      <c r="A140" s="1">
        <v>134</v>
      </c>
      <c r="B140" s="6">
        <v>1.1166666666666651</v>
      </c>
      <c r="C140" s="6">
        <f>TimeStep!B140</f>
        <v>1116.6666666666667</v>
      </c>
      <c r="D140" s="6">
        <v>-1.056</v>
      </c>
      <c r="E140" s="6">
        <v>1.093</v>
      </c>
      <c r="F140" s="6">
        <v>4.5720000000000001</v>
      </c>
      <c r="G140" s="6">
        <v>0</v>
      </c>
      <c r="H140" s="6">
        <v>3.9510000000000001</v>
      </c>
      <c r="I140" s="6">
        <v>1.5249999999999999</v>
      </c>
      <c r="J140" s="6">
        <v>0.78200000000000003</v>
      </c>
      <c r="K140" s="6">
        <v>2.3220000000000001</v>
      </c>
      <c r="L140" s="6">
        <v>1.105</v>
      </c>
      <c r="M140" s="6">
        <v>3.9510000000000001</v>
      </c>
      <c r="N140" s="6">
        <v>6.3597999999999999</v>
      </c>
      <c r="O140" s="6">
        <v>56.837400000000002</v>
      </c>
      <c r="P140" s="6">
        <f t="shared" si="14"/>
        <v>33.769125877040793</v>
      </c>
      <c r="Q140" s="6">
        <f t="shared" si="15"/>
        <v>52.906229389868173</v>
      </c>
      <c r="R140" s="6">
        <f t="shared" si="16"/>
        <v>112.15679771909821</v>
      </c>
      <c r="S140" s="6">
        <f t="shared" si="18"/>
        <v>33.769125877040864</v>
      </c>
      <c r="T140" s="6">
        <f t="shared" si="19"/>
        <v>52.906229389868002</v>
      </c>
      <c r="U140" s="6">
        <f t="shared" si="20"/>
        <v>112.15679771909811</v>
      </c>
      <c r="V140" s="6">
        <f t="shared" si="17"/>
        <v>0</v>
      </c>
    </row>
    <row r="141" spans="1:22" ht="18.95" customHeight="1">
      <c r="A141" s="1">
        <v>135</v>
      </c>
      <c r="B141" s="6">
        <v>1.1249999999999984</v>
      </c>
      <c r="C141" s="6">
        <f>TimeStep!B141</f>
        <v>1125</v>
      </c>
      <c r="D141" s="6">
        <v>-1.075</v>
      </c>
      <c r="E141" s="6">
        <v>1.075</v>
      </c>
      <c r="F141" s="6">
        <v>4.5720000000000001</v>
      </c>
      <c r="G141" s="6">
        <v>0</v>
      </c>
      <c r="H141" s="6">
        <v>3.9390000000000001</v>
      </c>
      <c r="I141" s="6">
        <v>1.52</v>
      </c>
      <c r="J141" s="6">
        <v>0.76200000000000001</v>
      </c>
      <c r="K141" s="6">
        <v>2.3050000000000002</v>
      </c>
      <c r="L141" s="6">
        <v>1.083</v>
      </c>
      <c r="M141" s="6">
        <v>3.9350000000000001</v>
      </c>
      <c r="N141" s="6">
        <v>6.8182</v>
      </c>
      <c r="O141" s="6">
        <v>56.550899999999999</v>
      </c>
      <c r="P141" s="6">
        <f t="shared" si="14"/>
        <v>33.805075836228461</v>
      </c>
      <c r="Q141" s="6">
        <f t="shared" si="15"/>
        <v>52.963787060718786</v>
      </c>
      <c r="R141" s="6">
        <f t="shared" si="16"/>
        <v>112.60915795830043</v>
      </c>
      <c r="S141" s="6">
        <f t="shared" si="18"/>
        <v>33.805075836228525</v>
      </c>
      <c r="T141" s="6">
        <f t="shared" si="19"/>
        <v>52.963787060718602</v>
      </c>
      <c r="U141" s="6">
        <f t="shared" si="20"/>
        <v>112.60915795830033</v>
      </c>
      <c r="V141" s="6">
        <f t="shared" si="17"/>
        <v>0</v>
      </c>
    </row>
    <row r="142" spans="1:22" ht="18.95" customHeight="1">
      <c r="A142" s="1">
        <v>136</v>
      </c>
      <c r="B142" s="6">
        <v>1.1333333333333315</v>
      </c>
      <c r="C142" s="6">
        <f>TimeStep!B142</f>
        <v>1133.3333333333335</v>
      </c>
      <c r="D142" s="6">
        <v>-1.0940000000000001</v>
      </c>
      <c r="E142" s="6">
        <v>1.056</v>
      </c>
      <c r="F142" s="6">
        <v>4.5720000000000001</v>
      </c>
      <c r="G142" s="6">
        <v>0</v>
      </c>
      <c r="H142" s="6">
        <v>3.9260000000000002</v>
      </c>
      <c r="I142" s="6">
        <v>1.5149999999999999</v>
      </c>
      <c r="J142" s="6">
        <v>0.74199999999999999</v>
      </c>
      <c r="K142" s="6">
        <v>2.2879999999999998</v>
      </c>
      <c r="L142" s="6">
        <v>1.0609999999999999</v>
      </c>
      <c r="M142" s="6">
        <v>3.9180000000000001</v>
      </c>
      <c r="N142" s="6">
        <v>7.2766000000000002</v>
      </c>
      <c r="O142" s="6">
        <v>56.2072</v>
      </c>
      <c r="P142" s="6">
        <f t="shared" si="14"/>
        <v>33.86255806210761</v>
      </c>
      <c r="Q142" s="6">
        <f t="shared" si="15"/>
        <v>53.021351493659914</v>
      </c>
      <c r="R142" s="6">
        <f t="shared" si="16"/>
        <v>113.09352781319386</v>
      </c>
      <c r="S142" s="6">
        <f t="shared" si="18"/>
        <v>33.862558062107667</v>
      </c>
      <c r="T142" s="6">
        <f t="shared" si="19"/>
        <v>53.021351493659722</v>
      </c>
      <c r="U142" s="6">
        <f t="shared" si="20"/>
        <v>113.09352781319376</v>
      </c>
      <c r="V142" s="6">
        <f t="shared" si="17"/>
        <v>2.0463630789890885E-12</v>
      </c>
    </row>
    <row r="143" spans="1:22" ht="18.95" customHeight="1">
      <c r="A143" s="1">
        <v>137</v>
      </c>
      <c r="B143" s="6">
        <v>1.1416666666666651</v>
      </c>
      <c r="C143" s="6">
        <f>TimeStep!B143</f>
        <v>1141.6666666666667</v>
      </c>
      <c r="D143" s="6">
        <v>-1.1120000000000001</v>
      </c>
      <c r="E143" s="6">
        <v>1.036</v>
      </c>
      <c r="F143" s="6">
        <v>4.5720000000000001</v>
      </c>
      <c r="G143" s="6">
        <v>0</v>
      </c>
      <c r="H143" s="6">
        <v>3.9140000000000001</v>
      </c>
      <c r="I143" s="6">
        <v>1.5089999999999999</v>
      </c>
      <c r="J143" s="6">
        <v>0.72299999999999998</v>
      </c>
      <c r="K143" s="6">
        <v>2.2709999999999999</v>
      </c>
      <c r="L143" s="6">
        <v>1.04</v>
      </c>
      <c r="M143" s="6">
        <v>3.9009999999999998</v>
      </c>
      <c r="N143" s="6">
        <v>7.6776</v>
      </c>
      <c r="O143" s="6">
        <v>55.920699999999997</v>
      </c>
      <c r="P143" s="6">
        <f t="shared" si="14"/>
        <v>33.941520743308793</v>
      </c>
      <c r="Q143" s="6">
        <f t="shared" si="15"/>
        <v>53.088528062855026</v>
      </c>
      <c r="R143" s="6">
        <f t="shared" si="16"/>
        <v>113.55962638135988</v>
      </c>
      <c r="S143" s="6">
        <f t="shared" si="18"/>
        <v>33.941520743308843</v>
      </c>
      <c r="T143" s="6">
        <f t="shared" si="19"/>
        <v>53.088528062854834</v>
      </c>
      <c r="U143" s="6">
        <f t="shared" si="20"/>
        <v>113.55962638135975</v>
      </c>
      <c r="V143" s="6">
        <f t="shared" si="17"/>
        <v>0</v>
      </c>
    </row>
    <row r="144" spans="1:22" ht="18.95" customHeight="1">
      <c r="A144" s="1">
        <v>138</v>
      </c>
      <c r="B144" s="6">
        <v>1.1499999999999984</v>
      </c>
      <c r="C144" s="6">
        <f>TimeStep!B144</f>
        <v>1150</v>
      </c>
      <c r="D144" s="6">
        <v>-1.1299999999999999</v>
      </c>
      <c r="E144" s="6">
        <v>1.0169999999999999</v>
      </c>
      <c r="F144" s="6">
        <v>4.5720000000000001</v>
      </c>
      <c r="G144" s="6">
        <v>0</v>
      </c>
      <c r="H144" s="6">
        <v>3.9020000000000001</v>
      </c>
      <c r="I144" s="6">
        <v>1.504</v>
      </c>
      <c r="J144" s="6">
        <v>0.70299999999999996</v>
      </c>
      <c r="K144" s="6">
        <v>2.254</v>
      </c>
      <c r="L144" s="6">
        <v>1.0189999999999999</v>
      </c>
      <c r="M144" s="6">
        <v>3.8839999999999999</v>
      </c>
      <c r="N144" s="6">
        <v>8.1359999999999992</v>
      </c>
      <c r="O144" s="6">
        <v>55.576900000000002</v>
      </c>
      <c r="P144" s="6">
        <f t="shared" si="14"/>
        <v>34.013444260083759</v>
      </c>
      <c r="Q144" s="6">
        <f t="shared" si="15"/>
        <v>53.146093361140466</v>
      </c>
      <c r="R144" s="6">
        <f t="shared" si="16"/>
        <v>114.01195497814795</v>
      </c>
      <c r="S144" s="6">
        <f t="shared" si="18"/>
        <v>34.013444260083816</v>
      </c>
      <c r="T144" s="6">
        <f t="shared" si="19"/>
        <v>53.146093361140288</v>
      </c>
      <c r="U144" s="6">
        <f t="shared" si="20"/>
        <v>114.01195497814786</v>
      </c>
      <c r="V144" s="6">
        <f t="shared" si="17"/>
        <v>0</v>
      </c>
    </row>
    <row r="145" spans="1:22" ht="18.95" customHeight="1">
      <c r="A145" s="1">
        <v>139</v>
      </c>
      <c r="B145" s="6">
        <v>1.1583333333333317</v>
      </c>
      <c r="C145" s="6">
        <f>TimeStep!B145</f>
        <v>1158.3333333333335</v>
      </c>
      <c r="D145" s="6">
        <v>-1.147</v>
      </c>
      <c r="E145" s="6">
        <v>0.997</v>
      </c>
      <c r="F145" s="6">
        <v>4.5720000000000001</v>
      </c>
      <c r="G145" s="6">
        <v>0</v>
      </c>
      <c r="H145" s="6">
        <v>3.89</v>
      </c>
      <c r="I145" s="6">
        <v>1.498</v>
      </c>
      <c r="J145" s="6">
        <v>0.68400000000000005</v>
      </c>
      <c r="K145" s="6">
        <v>2.2360000000000002</v>
      </c>
      <c r="L145" s="6">
        <v>0.998</v>
      </c>
      <c r="M145" s="6">
        <v>3.867</v>
      </c>
      <c r="N145" s="6">
        <v>8.5944000000000003</v>
      </c>
      <c r="O145" s="6">
        <v>55.175800000000002</v>
      </c>
      <c r="P145" s="6">
        <f t="shared" si="14"/>
        <v>34.08540284950822</v>
      </c>
      <c r="Q145" s="6">
        <f t="shared" si="15"/>
        <v>53.226048308870311</v>
      </c>
      <c r="R145" s="6">
        <f t="shared" si="16"/>
        <v>114.47852584189678</v>
      </c>
      <c r="S145" s="6">
        <f t="shared" si="18"/>
        <v>34.085402849508284</v>
      </c>
      <c r="T145" s="6">
        <f t="shared" si="19"/>
        <v>53.226048308870133</v>
      </c>
      <c r="U145" s="6">
        <f t="shared" si="20"/>
        <v>114.47852584189667</v>
      </c>
      <c r="V145" s="6">
        <f t="shared" si="17"/>
        <v>1.8189894035458565E-12</v>
      </c>
    </row>
    <row r="146" spans="1:22" ht="18.95" customHeight="1">
      <c r="A146" s="1">
        <v>140</v>
      </c>
      <c r="B146" s="6">
        <v>1.166666666666665</v>
      </c>
      <c r="C146" s="6">
        <f>TimeStep!B146</f>
        <v>1166.6666666666667</v>
      </c>
      <c r="D146" s="6">
        <v>-1.165</v>
      </c>
      <c r="E146" s="6">
        <v>0.97699999999999998</v>
      </c>
      <c r="F146" s="6">
        <v>4.5720000000000001</v>
      </c>
      <c r="G146" s="6">
        <v>0</v>
      </c>
      <c r="H146" s="6">
        <v>3.8780000000000001</v>
      </c>
      <c r="I146" s="6">
        <v>1.4930000000000001</v>
      </c>
      <c r="J146" s="6">
        <v>0.66600000000000004</v>
      </c>
      <c r="K146" s="6">
        <v>2.218</v>
      </c>
      <c r="L146" s="6">
        <v>0.97699999999999998</v>
      </c>
      <c r="M146" s="6">
        <v>3.8490000000000002</v>
      </c>
      <c r="N146" s="6">
        <v>9.0526999999999997</v>
      </c>
      <c r="O146" s="6">
        <v>54.832099999999997</v>
      </c>
      <c r="P146" s="6">
        <f t="shared" si="14"/>
        <v>34.12830882914011</v>
      </c>
      <c r="Q146" s="6">
        <f t="shared" si="15"/>
        <v>53.283624227267964</v>
      </c>
      <c r="R146" s="6">
        <f t="shared" si="16"/>
        <v>114.93069653876154</v>
      </c>
      <c r="S146" s="6">
        <f t="shared" si="18"/>
        <v>34.128308829140167</v>
      </c>
      <c r="T146" s="6">
        <f t="shared" si="19"/>
        <v>53.283624227267779</v>
      </c>
      <c r="U146" s="6">
        <f t="shared" si="20"/>
        <v>114.93069653876142</v>
      </c>
      <c r="V146" s="6">
        <f t="shared" si="17"/>
        <v>1.8189894035458565E-12</v>
      </c>
    </row>
    <row r="147" spans="1:22" ht="18.95" customHeight="1">
      <c r="A147" s="1">
        <v>141</v>
      </c>
      <c r="B147" s="6">
        <v>1.1749999999999985</v>
      </c>
      <c r="C147" s="6">
        <f>TimeStep!B147</f>
        <v>1175</v>
      </c>
      <c r="D147" s="6">
        <v>-1.181</v>
      </c>
      <c r="E147" s="6">
        <v>0.95599999999999996</v>
      </c>
      <c r="F147" s="6">
        <v>4.5720000000000001</v>
      </c>
      <c r="G147" s="6">
        <v>0</v>
      </c>
      <c r="H147" s="6">
        <v>3.8660000000000001</v>
      </c>
      <c r="I147" s="6">
        <v>1.4870000000000001</v>
      </c>
      <c r="J147" s="6">
        <v>0.64700000000000002</v>
      </c>
      <c r="K147" s="6">
        <v>2.2000000000000002</v>
      </c>
      <c r="L147" s="6">
        <v>0.95599999999999996</v>
      </c>
      <c r="M147" s="6">
        <v>3.8319999999999999</v>
      </c>
      <c r="N147" s="6">
        <v>9.5111000000000008</v>
      </c>
      <c r="O147" s="6">
        <v>54.430999999999997</v>
      </c>
      <c r="P147" s="6">
        <f t="shared" si="14"/>
        <v>34.236272660339978</v>
      </c>
      <c r="Q147" s="6">
        <f t="shared" si="15"/>
        <v>53.385956771898009</v>
      </c>
      <c r="R147" s="6">
        <f t="shared" si="16"/>
        <v>115.39749991368171</v>
      </c>
      <c r="S147" s="6">
        <f t="shared" si="18"/>
        <v>34.236272660340035</v>
      </c>
      <c r="T147" s="6">
        <f t="shared" si="19"/>
        <v>53.38595677189781</v>
      </c>
      <c r="U147" s="6">
        <f t="shared" si="20"/>
        <v>115.3974999136816</v>
      </c>
      <c r="V147" s="6">
        <f t="shared" si="17"/>
        <v>0</v>
      </c>
    </row>
    <row r="148" spans="1:22" ht="18.95" customHeight="1">
      <c r="A148" s="1">
        <v>142</v>
      </c>
      <c r="B148" s="6">
        <v>1.1833333333333316</v>
      </c>
      <c r="C148" s="6">
        <f>TimeStep!B148</f>
        <v>1183.3333333333335</v>
      </c>
      <c r="D148" s="6">
        <v>-1.198</v>
      </c>
      <c r="E148" s="6">
        <v>0.93600000000000005</v>
      </c>
      <c r="F148" s="6">
        <v>4.5720000000000001</v>
      </c>
      <c r="G148" s="6">
        <v>0</v>
      </c>
      <c r="H148" s="6">
        <v>3.8540000000000001</v>
      </c>
      <c r="I148" s="6">
        <v>1.482</v>
      </c>
      <c r="J148" s="6">
        <v>0.629</v>
      </c>
      <c r="K148" s="6">
        <v>2.1819999999999999</v>
      </c>
      <c r="L148" s="6">
        <v>0.93500000000000005</v>
      </c>
      <c r="M148" s="6">
        <v>3.8140000000000001</v>
      </c>
      <c r="N148" s="6">
        <v>10.0268</v>
      </c>
      <c r="O148" s="6">
        <v>54.029899999999998</v>
      </c>
      <c r="P148" s="6">
        <f t="shared" si="14"/>
        <v>34.293688173029601</v>
      </c>
      <c r="Q148" s="6">
        <f t="shared" si="15"/>
        <v>53.45638823066173</v>
      </c>
      <c r="R148" s="6">
        <f t="shared" si="16"/>
        <v>115.84928019706999</v>
      </c>
      <c r="S148" s="6">
        <f t="shared" si="18"/>
        <v>34.293688173029665</v>
      </c>
      <c r="T148" s="6">
        <f t="shared" si="19"/>
        <v>53.456388230661531</v>
      </c>
      <c r="U148" s="6">
        <f t="shared" si="20"/>
        <v>115.8492801970699</v>
      </c>
      <c r="V148" s="6">
        <f t="shared" si="17"/>
        <v>1.8189894035458565E-12</v>
      </c>
    </row>
    <row r="149" spans="1:22" ht="18.95" customHeight="1">
      <c r="A149" s="1">
        <v>143</v>
      </c>
      <c r="B149" s="6">
        <v>1.1916666666666649</v>
      </c>
      <c r="C149" s="6">
        <f>TimeStep!B149</f>
        <v>1191.6666666666667</v>
      </c>
      <c r="D149" s="6">
        <v>-1.214</v>
      </c>
      <c r="E149" s="6">
        <v>0.91500000000000004</v>
      </c>
      <c r="F149" s="6">
        <v>4.5720000000000001</v>
      </c>
      <c r="G149" s="6">
        <v>0</v>
      </c>
      <c r="H149" s="6">
        <v>3.8420000000000001</v>
      </c>
      <c r="I149" s="6">
        <v>1.476</v>
      </c>
      <c r="J149" s="6">
        <v>0.61099999999999999</v>
      </c>
      <c r="K149" s="6">
        <v>2.1640000000000001</v>
      </c>
      <c r="L149" s="6">
        <v>0.91500000000000004</v>
      </c>
      <c r="M149" s="6">
        <v>3.7959999999999998</v>
      </c>
      <c r="N149" s="6">
        <v>10.485099999999999</v>
      </c>
      <c r="O149" s="6">
        <v>53.571599999999997</v>
      </c>
      <c r="P149" s="6">
        <f t="shared" si="14"/>
        <v>34.387097054837305</v>
      </c>
      <c r="Q149" s="6">
        <f t="shared" si="15"/>
        <v>53.536357842646183</v>
      </c>
      <c r="R149" s="6">
        <f t="shared" si="16"/>
        <v>116.31607597283129</v>
      </c>
      <c r="S149" s="6">
        <f t="shared" si="18"/>
        <v>34.387097054837369</v>
      </c>
      <c r="T149" s="6">
        <f t="shared" si="19"/>
        <v>53.53635784264597</v>
      </c>
      <c r="U149" s="6">
        <f t="shared" si="20"/>
        <v>116.31607597283119</v>
      </c>
      <c r="V149" s="6">
        <f t="shared" si="17"/>
        <v>1.8189894035458565E-12</v>
      </c>
    </row>
    <row r="150" spans="1:22" ht="18.95" customHeight="1">
      <c r="A150" s="1">
        <v>144</v>
      </c>
      <c r="B150" s="6">
        <v>1.1999999999999982</v>
      </c>
      <c r="C150" s="6">
        <f>TimeStep!B150</f>
        <v>1200</v>
      </c>
      <c r="D150" s="6">
        <v>-1.23</v>
      </c>
      <c r="E150" s="6">
        <v>0.89300000000000002</v>
      </c>
      <c r="F150" s="6">
        <v>4.5720000000000001</v>
      </c>
      <c r="G150" s="6">
        <v>0</v>
      </c>
      <c r="H150" s="6">
        <v>3.831</v>
      </c>
      <c r="I150" s="6">
        <v>1.47</v>
      </c>
      <c r="J150" s="6">
        <v>0.59299999999999997</v>
      </c>
      <c r="K150" s="6">
        <v>2.145</v>
      </c>
      <c r="L150" s="6">
        <v>0.89500000000000002</v>
      </c>
      <c r="M150" s="6">
        <v>3.778</v>
      </c>
      <c r="N150" s="6">
        <v>10.9435</v>
      </c>
      <c r="O150" s="6">
        <v>53.170499999999997</v>
      </c>
      <c r="P150" s="6">
        <f t="shared" si="14"/>
        <v>34.480502231407364</v>
      </c>
      <c r="Q150" s="6">
        <f t="shared" si="15"/>
        <v>53.625811214775858</v>
      </c>
      <c r="R150" s="6">
        <f t="shared" si="16"/>
        <v>116.75183382269886</v>
      </c>
      <c r="S150" s="6">
        <f t="shared" si="18"/>
        <v>34.480502231407428</v>
      </c>
      <c r="T150" s="6">
        <f t="shared" si="19"/>
        <v>53.625811214775638</v>
      </c>
      <c r="U150" s="6">
        <f t="shared" si="20"/>
        <v>116.75183382269876</v>
      </c>
      <c r="V150" s="6">
        <f t="shared" si="17"/>
        <v>1.8189894035458565E-12</v>
      </c>
    </row>
    <row r="151" spans="1:22" ht="18.95" customHeight="1">
      <c r="A151" s="1">
        <v>145</v>
      </c>
      <c r="B151" s="6">
        <v>1.2083333333333317</v>
      </c>
      <c r="C151" s="6">
        <f>TimeStep!B151</f>
        <v>1208.3333333333335</v>
      </c>
      <c r="D151" s="6">
        <v>-1.2450000000000001</v>
      </c>
      <c r="E151" s="6">
        <v>0.872</v>
      </c>
      <c r="F151" s="6">
        <v>4.5720000000000001</v>
      </c>
      <c r="G151" s="6">
        <v>0</v>
      </c>
      <c r="H151" s="6">
        <v>3.82</v>
      </c>
      <c r="I151" s="6">
        <v>1.4650000000000001</v>
      </c>
      <c r="J151" s="6">
        <v>0.57599999999999996</v>
      </c>
      <c r="K151" s="6">
        <v>2.1269999999999998</v>
      </c>
      <c r="L151" s="6">
        <v>0.875</v>
      </c>
      <c r="M151" s="6">
        <v>3.76</v>
      </c>
      <c r="N151" s="6">
        <v>11.401899999999999</v>
      </c>
      <c r="O151" s="6">
        <v>52.7121</v>
      </c>
      <c r="P151" s="6">
        <f t="shared" si="14"/>
        <v>34.573903206517201</v>
      </c>
      <c r="Q151" s="6">
        <f t="shared" si="15"/>
        <v>53.718649285311876</v>
      </c>
      <c r="R151" s="6">
        <f t="shared" si="16"/>
        <v>117.17190936312274</v>
      </c>
      <c r="S151" s="6">
        <f t="shared" si="18"/>
        <v>34.573903206517258</v>
      </c>
      <c r="T151" s="6">
        <f t="shared" si="19"/>
        <v>53.718649285311642</v>
      </c>
      <c r="U151" s="6">
        <f t="shared" si="20"/>
        <v>117.17190936312261</v>
      </c>
      <c r="V151" s="6">
        <f t="shared" si="17"/>
        <v>1.8189894035458565E-12</v>
      </c>
    </row>
    <row r="152" spans="1:22" ht="18.95" customHeight="1">
      <c r="A152" s="1">
        <v>146</v>
      </c>
      <c r="B152" s="6">
        <v>1.2166666666666648</v>
      </c>
      <c r="C152" s="6">
        <f>TimeStep!B152</f>
        <v>1216.6666666666667</v>
      </c>
      <c r="D152" s="6">
        <v>-1.26</v>
      </c>
      <c r="E152" s="6">
        <v>0.85</v>
      </c>
      <c r="F152" s="6">
        <v>4.5720000000000001</v>
      </c>
      <c r="G152" s="6">
        <v>0</v>
      </c>
      <c r="H152" s="6">
        <v>3.8090000000000002</v>
      </c>
      <c r="I152" s="6">
        <v>1.4590000000000001</v>
      </c>
      <c r="J152" s="6">
        <v>0.55800000000000005</v>
      </c>
      <c r="K152" s="6">
        <v>2.1080000000000001</v>
      </c>
      <c r="L152" s="6">
        <v>0.85499999999999998</v>
      </c>
      <c r="M152" s="6">
        <v>3.742</v>
      </c>
      <c r="N152" s="6">
        <v>11.9175</v>
      </c>
      <c r="O152" s="6">
        <v>52.253799999999998</v>
      </c>
      <c r="P152" s="6">
        <f t="shared" si="14"/>
        <v>34.682040868798275</v>
      </c>
      <c r="Q152" s="6">
        <f t="shared" si="15"/>
        <v>53.820957520805528</v>
      </c>
      <c r="R152" s="6">
        <f t="shared" si="16"/>
        <v>117.6078094986278</v>
      </c>
      <c r="S152" s="6">
        <f t="shared" si="18"/>
        <v>34.682040868798339</v>
      </c>
      <c r="T152" s="6">
        <f t="shared" si="19"/>
        <v>53.82095752080528</v>
      </c>
      <c r="U152" s="6">
        <f t="shared" si="20"/>
        <v>117.60780949862766</v>
      </c>
      <c r="V152" s="6">
        <f t="shared" si="17"/>
        <v>2.0463630789890885E-12</v>
      </c>
    </row>
    <row r="153" spans="1:22" ht="18.95" customHeight="1">
      <c r="A153" s="1">
        <v>147</v>
      </c>
      <c r="B153" s="6">
        <v>1.2249999999999981</v>
      </c>
      <c r="C153" s="6">
        <f>TimeStep!B153</f>
        <v>1225</v>
      </c>
      <c r="D153" s="6">
        <v>-1.2749999999999999</v>
      </c>
      <c r="E153" s="6">
        <v>0.82799999999999996</v>
      </c>
      <c r="F153" s="6">
        <v>4.5720000000000001</v>
      </c>
      <c r="G153" s="6">
        <v>0</v>
      </c>
      <c r="H153" s="6">
        <v>3.798</v>
      </c>
      <c r="I153" s="6">
        <v>1.4530000000000001</v>
      </c>
      <c r="J153" s="6">
        <v>0.54100000000000004</v>
      </c>
      <c r="K153" s="6">
        <v>2.089</v>
      </c>
      <c r="L153" s="6">
        <v>0.83499999999999996</v>
      </c>
      <c r="M153" s="6">
        <v>3.7229999999999999</v>
      </c>
      <c r="N153" s="6">
        <v>12.3759</v>
      </c>
      <c r="O153" s="6">
        <v>51.795400000000001</v>
      </c>
      <c r="P153" s="6">
        <f t="shared" si="14"/>
        <v>34.775466239916042</v>
      </c>
      <c r="Q153" s="6">
        <f t="shared" si="15"/>
        <v>53.913831582159702</v>
      </c>
      <c r="R153" s="6">
        <f t="shared" si="16"/>
        <v>118.04382574150286</v>
      </c>
      <c r="S153" s="6">
        <f t="shared" si="18"/>
        <v>34.775466239916113</v>
      </c>
      <c r="T153" s="6">
        <f t="shared" si="19"/>
        <v>53.913831582159446</v>
      </c>
      <c r="U153" s="6">
        <f t="shared" si="20"/>
        <v>118.0438257415027</v>
      </c>
      <c r="V153" s="6">
        <f t="shared" si="17"/>
        <v>1.8189894035458565E-12</v>
      </c>
    </row>
    <row r="154" spans="1:22" ht="18.95" customHeight="1">
      <c r="A154" s="1">
        <v>148</v>
      </c>
      <c r="B154" s="6">
        <v>1.2333333333333314</v>
      </c>
      <c r="C154" s="6">
        <f>TimeStep!B154</f>
        <v>1233.3333333333335</v>
      </c>
      <c r="D154" s="6">
        <v>-1.2889999999999999</v>
      </c>
      <c r="E154" s="6">
        <v>0.80500000000000005</v>
      </c>
      <c r="F154" s="6">
        <v>4.5720000000000001</v>
      </c>
      <c r="G154" s="6">
        <v>0</v>
      </c>
      <c r="H154" s="6">
        <v>3.7869999999999999</v>
      </c>
      <c r="I154" s="6">
        <v>1.4470000000000001</v>
      </c>
      <c r="J154" s="6">
        <v>0.52500000000000002</v>
      </c>
      <c r="K154" s="6">
        <v>2.0699999999999998</v>
      </c>
      <c r="L154" s="6">
        <v>0.81499999999999995</v>
      </c>
      <c r="M154" s="6">
        <v>3.7050000000000001</v>
      </c>
      <c r="N154" s="6">
        <v>12.8916</v>
      </c>
      <c r="O154" s="6">
        <v>51.279699999999998</v>
      </c>
      <c r="P154" s="6">
        <f t="shared" si="14"/>
        <v>34.890142276045871</v>
      </c>
      <c r="Q154" s="6">
        <f t="shared" si="15"/>
        <v>54.038467586750642</v>
      </c>
      <c r="R154" s="6">
        <f t="shared" si="16"/>
        <v>118.47990762365497</v>
      </c>
      <c r="S154" s="6">
        <f t="shared" si="18"/>
        <v>34.890142276045935</v>
      </c>
      <c r="T154" s="6">
        <f t="shared" si="19"/>
        <v>54.038467586750386</v>
      </c>
      <c r="U154" s="6">
        <f t="shared" si="20"/>
        <v>118.47990762365481</v>
      </c>
      <c r="V154" s="6">
        <f t="shared" si="17"/>
        <v>2.0463630789890885E-12</v>
      </c>
    </row>
    <row r="155" spans="1:22" ht="18.95" customHeight="1">
      <c r="A155" s="1">
        <v>149</v>
      </c>
      <c r="B155" s="6">
        <v>1.2416666666666647</v>
      </c>
      <c r="C155" s="6">
        <f>TimeStep!B155</f>
        <v>1241.6666666666667</v>
      </c>
      <c r="D155" s="6">
        <v>-1.3029999999999999</v>
      </c>
      <c r="E155" s="6">
        <v>0.78300000000000003</v>
      </c>
      <c r="F155" s="6">
        <v>4.5720000000000001</v>
      </c>
      <c r="G155" s="6">
        <v>0</v>
      </c>
      <c r="H155" s="6">
        <v>3.7759999999999998</v>
      </c>
      <c r="I155" s="6">
        <v>1.4410000000000001</v>
      </c>
      <c r="J155" s="6">
        <v>0.50900000000000001</v>
      </c>
      <c r="K155" s="6">
        <v>2.0510000000000002</v>
      </c>
      <c r="L155" s="6">
        <v>0.79600000000000004</v>
      </c>
      <c r="M155" s="6">
        <v>3.6859999999999999</v>
      </c>
      <c r="N155" s="6">
        <v>13.4072</v>
      </c>
      <c r="O155" s="6">
        <v>50.764099999999999</v>
      </c>
      <c r="P155" s="6">
        <f t="shared" si="14"/>
        <v>34.983530677282367</v>
      </c>
      <c r="Q155" s="6">
        <f t="shared" si="15"/>
        <v>54.13137285280164</v>
      </c>
      <c r="R155" s="6">
        <f t="shared" si="16"/>
        <v>118.91600463138289</v>
      </c>
      <c r="S155" s="6">
        <f t="shared" si="18"/>
        <v>34.983530677282431</v>
      </c>
      <c r="T155" s="6">
        <f t="shared" si="19"/>
        <v>54.131372852801377</v>
      </c>
      <c r="U155" s="6">
        <f t="shared" si="20"/>
        <v>118.91600463138275</v>
      </c>
      <c r="V155" s="6">
        <f t="shared" si="17"/>
        <v>2.0463630789890885E-12</v>
      </c>
    </row>
    <row r="156" spans="1:22" ht="18.95" customHeight="1">
      <c r="A156" s="1">
        <v>150</v>
      </c>
      <c r="B156" s="6">
        <v>1.249999999999998</v>
      </c>
      <c r="C156" s="6">
        <f>TimeStep!B156</f>
        <v>1250</v>
      </c>
      <c r="D156" s="6">
        <v>-1.3169999999999999</v>
      </c>
      <c r="E156" s="6">
        <v>0.76</v>
      </c>
      <c r="F156" s="6">
        <v>4.5720000000000001</v>
      </c>
      <c r="G156" s="6">
        <v>0</v>
      </c>
      <c r="H156" s="6">
        <v>3.7650000000000001</v>
      </c>
      <c r="I156" s="6">
        <v>1.4350000000000001</v>
      </c>
      <c r="J156" s="6">
        <v>0.49299999999999999</v>
      </c>
      <c r="K156" s="6">
        <v>2.0310000000000001</v>
      </c>
      <c r="L156" s="6">
        <v>0.77700000000000002</v>
      </c>
      <c r="M156" s="6">
        <v>3.6669999999999998</v>
      </c>
      <c r="N156" s="6">
        <v>13.865600000000001</v>
      </c>
      <c r="O156" s="6">
        <v>50.248399999999997</v>
      </c>
      <c r="P156" s="6">
        <f t="shared" si="14"/>
        <v>35.076912205206028</v>
      </c>
      <c r="Q156" s="6">
        <f t="shared" si="15"/>
        <v>54.23365341726187</v>
      </c>
      <c r="R156" s="6">
        <f t="shared" si="16"/>
        <v>119.35206624047267</v>
      </c>
      <c r="S156" s="6">
        <f t="shared" si="18"/>
        <v>35.076912205206099</v>
      </c>
      <c r="T156" s="6">
        <f t="shared" si="19"/>
        <v>54.233653417261593</v>
      </c>
      <c r="U156" s="6">
        <f t="shared" si="20"/>
        <v>119.35206624047254</v>
      </c>
      <c r="V156" s="6">
        <f t="shared" si="17"/>
        <v>2.0463630789890885E-12</v>
      </c>
    </row>
    <row r="157" spans="1:22" ht="18.95" customHeight="1">
      <c r="A157" s="1">
        <v>151</v>
      </c>
      <c r="B157" s="6">
        <v>1.2583333333333313</v>
      </c>
      <c r="C157" s="6">
        <f>TimeStep!B157</f>
        <v>1258.3333333333335</v>
      </c>
      <c r="D157" s="6">
        <v>-1.33</v>
      </c>
      <c r="E157" s="6">
        <v>0.73699999999999999</v>
      </c>
      <c r="F157" s="6">
        <v>4.5720000000000001</v>
      </c>
      <c r="G157" s="6">
        <v>0</v>
      </c>
      <c r="H157" s="6">
        <v>3.7549999999999999</v>
      </c>
      <c r="I157" s="6">
        <v>1.43</v>
      </c>
      <c r="J157" s="6">
        <v>0.47699999999999998</v>
      </c>
      <c r="K157" s="6">
        <v>2.012</v>
      </c>
      <c r="L157" s="6">
        <v>0.75800000000000001</v>
      </c>
      <c r="M157" s="6">
        <v>3.649</v>
      </c>
      <c r="N157" s="6">
        <v>14.3812</v>
      </c>
      <c r="O157" s="6">
        <v>49.732700000000001</v>
      </c>
      <c r="P157" s="6">
        <f t="shared" si="14"/>
        <v>35.206387552841591</v>
      </c>
      <c r="Q157" s="6">
        <f t="shared" si="15"/>
        <v>54.358229289435045</v>
      </c>
      <c r="R157" s="6">
        <f t="shared" si="16"/>
        <v>119.74056620585887</v>
      </c>
      <c r="S157" s="6">
        <f t="shared" si="18"/>
        <v>35.206387552841647</v>
      </c>
      <c r="T157" s="6">
        <f t="shared" si="19"/>
        <v>54.358229289434775</v>
      </c>
      <c r="U157" s="6">
        <f t="shared" si="20"/>
        <v>119.74056620585873</v>
      </c>
      <c r="V157" s="6">
        <f t="shared" si="17"/>
        <v>2.2737367544323206E-12</v>
      </c>
    </row>
    <row r="158" spans="1:22" ht="18.95" customHeight="1">
      <c r="A158" s="1">
        <v>152</v>
      </c>
      <c r="B158" s="6">
        <v>1.2666666666666646</v>
      </c>
      <c r="C158" s="6">
        <f>TimeStep!B158</f>
        <v>1266.6666666666667</v>
      </c>
      <c r="D158" s="6">
        <v>-1.3420000000000001</v>
      </c>
      <c r="E158" s="6">
        <v>0.71299999999999997</v>
      </c>
      <c r="F158" s="6">
        <v>4.5720000000000001</v>
      </c>
      <c r="G158" s="6">
        <v>0</v>
      </c>
      <c r="H158" s="6">
        <v>3.7450000000000001</v>
      </c>
      <c r="I158" s="6">
        <v>1.4239999999999999</v>
      </c>
      <c r="J158" s="6">
        <v>0.46200000000000002</v>
      </c>
      <c r="K158" s="6">
        <v>1.9930000000000001</v>
      </c>
      <c r="L158" s="6">
        <v>0.73899999999999999</v>
      </c>
      <c r="M158" s="6">
        <v>3.63</v>
      </c>
      <c r="N158" s="6">
        <v>14.8969</v>
      </c>
      <c r="O158" s="6">
        <v>49.217100000000002</v>
      </c>
      <c r="P158" s="6">
        <f t="shared" si="14"/>
        <v>35.357010597469113</v>
      </c>
      <c r="Q158" s="6">
        <f t="shared" si="15"/>
        <v>54.495780679152176</v>
      </c>
      <c r="R158" s="6">
        <f t="shared" si="16"/>
        <v>120.14623865891728</v>
      </c>
      <c r="S158" s="6">
        <f t="shared" si="18"/>
        <v>35.357010597469184</v>
      </c>
      <c r="T158" s="6">
        <f t="shared" si="19"/>
        <v>54.49578067915192</v>
      </c>
      <c r="U158" s="6">
        <f t="shared" si="20"/>
        <v>120.14623865891713</v>
      </c>
      <c r="V158" s="6">
        <f t="shared" si="17"/>
        <v>2.0463630789890885E-12</v>
      </c>
    </row>
    <row r="159" spans="1:22" ht="18.95" customHeight="1">
      <c r="A159" s="1">
        <v>153</v>
      </c>
      <c r="B159" s="6">
        <v>1.2749999999999979</v>
      </c>
      <c r="C159" s="6">
        <f>TimeStep!B159</f>
        <v>1275</v>
      </c>
      <c r="D159" s="6">
        <v>-1.3540000000000001</v>
      </c>
      <c r="E159" s="6">
        <v>0.69</v>
      </c>
      <c r="F159" s="6">
        <v>4.5720000000000001</v>
      </c>
      <c r="G159" s="6">
        <v>0</v>
      </c>
      <c r="H159" s="6">
        <v>3.7349999999999999</v>
      </c>
      <c r="I159" s="6">
        <v>1.4179999999999999</v>
      </c>
      <c r="J159" s="6">
        <v>0.44700000000000001</v>
      </c>
      <c r="K159" s="6">
        <v>1.9730000000000001</v>
      </c>
      <c r="L159" s="6">
        <v>0.72</v>
      </c>
      <c r="M159" s="6">
        <v>3.6110000000000002</v>
      </c>
      <c r="N159" s="6">
        <v>15.412599999999999</v>
      </c>
      <c r="O159" s="6">
        <v>48.644100000000002</v>
      </c>
      <c r="P159" s="6">
        <f t="shared" si="14"/>
        <v>35.465387918215001</v>
      </c>
      <c r="Q159" s="6">
        <f t="shared" si="15"/>
        <v>54.624074473818666</v>
      </c>
      <c r="R159" s="6">
        <f t="shared" si="16"/>
        <v>120.55199309859918</v>
      </c>
      <c r="S159" s="6">
        <f t="shared" si="18"/>
        <v>35.465387918215072</v>
      </c>
      <c r="T159" s="6">
        <f t="shared" si="19"/>
        <v>54.624074473818411</v>
      </c>
      <c r="U159" s="6">
        <f t="shared" si="20"/>
        <v>120.55199309859904</v>
      </c>
      <c r="V159" s="6">
        <f t="shared" si="17"/>
        <v>2.0463630789890885E-12</v>
      </c>
    </row>
    <row r="160" spans="1:22" ht="18.95" customHeight="1">
      <c r="A160" s="1">
        <v>154</v>
      </c>
      <c r="B160" s="6">
        <v>1.2833333333333312</v>
      </c>
      <c r="C160" s="6">
        <f>TimeStep!B160</f>
        <v>1283.3333333333335</v>
      </c>
      <c r="D160" s="6">
        <v>-1.3660000000000001</v>
      </c>
      <c r="E160" s="6">
        <v>0.66600000000000004</v>
      </c>
      <c r="F160" s="6">
        <v>4.5720000000000001</v>
      </c>
      <c r="G160" s="6">
        <v>0</v>
      </c>
      <c r="H160" s="6">
        <v>3.7250000000000001</v>
      </c>
      <c r="I160" s="6">
        <v>1.4119999999999999</v>
      </c>
      <c r="J160" s="6">
        <v>0.432</v>
      </c>
      <c r="K160" s="6">
        <v>1.9530000000000001</v>
      </c>
      <c r="L160" s="6">
        <v>0.70199999999999996</v>
      </c>
      <c r="M160" s="6">
        <v>3.5920000000000001</v>
      </c>
      <c r="N160" s="6">
        <v>15.9282</v>
      </c>
      <c r="O160" s="6">
        <v>48.071199999999997</v>
      </c>
      <c r="P160" s="6">
        <f t="shared" si="14"/>
        <v>35.594910295453502</v>
      </c>
      <c r="Q160" s="6">
        <f t="shared" si="15"/>
        <v>54.74859424168536</v>
      </c>
      <c r="R160" s="6">
        <f t="shared" si="16"/>
        <v>120.9577888433634</v>
      </c>
      <c r="S160" s="6">
        <f t="shared" si="18"/>
        <v>35.594910295453587</v>
      </c>
      <c r="T160" s="6">
        <f t="shared" si="19"/>
        <v>54.748594241685112</v>
      </c>
      <c r="U160" s="6">
        <f t="shared" si="20"/>
        <v>120.95778884336323</v>
      </c>
      <c r="V160" s="6">
        <f t="shared" si="17"/>
        <v>2.2737367544323206E-12</v>
      </c>
    </row>
    <row r="161" spans="1:22" ht="18.95" customHeight="1">
      <c r="A161" s="1">
        <v>155</v>
      </c>
      <c r="B161" s="6">
        <v>1.2916666666666643</v>
      </c>
      <c r="C161" s="6">
        <f>TimeStep!B161</f>
        <v>1291.6666666666667</v>
      </c>
      <c r="D161" s="6">
        <v>-1.3779999999999999</v>
      </c>
      <c r="E161" s="6">
        <v>0.64200000000000002</v>
      </c>
      <c r="F161" s="6">
        <v>4.5720000000000001</v>
      </c>
      <c r="G161" s="6">
        <v>0</v>
      </c>
      <c r="H161" s="6">
        <v>3.7149999999999999</v>
      </c>
      <c r="I161" s="6">
        <v>1.4059999999999999</v>
      </c>
      <c r="J161" s="6">
        <v>0.41699999999999998</v>
      </c>
      <c r="K161" s="6">
        <v>1.9339999999999999</v>
      </c>
      <c r="L161" s="6">
        <v>0.68300000000000005</v>
      </c>
      <c r="M161" s="6">
        <v>3.573</v>
      </c>
      <c r="N161" s="6">
        <v>16.443899999999999</v>
      </c>
      <c r="O161" s="6">
        <v>47.498199999999997</v>
      </c>
      <c r="P161" s="6">
        <f t="shared" si="14"/>
        <v>35.745477605510175</v>
      </c>
      <c r="Q161" s="6">
        <f t="shared" si="15"/>
        <v>54.886149326921831</v>
      </c>
      <c r="R161" s="6">
        <f t="shared" si="16"/>
        <v>121.36358518681386</v>
      </c>
      <c r="S161" s="6">
        <f t="shared" si="18"/>
        <v>35.745477605510246</v>
      </c>
      <c r="T161" s="6">
        <f t="shared" si="19"/>
        <v>54.886149326921583</v>
      </c>
      <c r="U161" s="6">
        <f t="shared" si="20"/>
        <v>121.36358518681368</v>
      </c>
      <c r="V161" s="6">
        <f t="shared" si="17"/>
        <v>2.5011104298755527E-12</v>
      </c>
    </row>
    <row r="162" spans="1:22" ht="18.95" customHeight="1">
      <c r="A162" s="1">
        <v>156</v>
      </c>
      <c r="B162" s="6">
        <v>1.2999999999999978</v>
      </c>
      <c r="C162" s="6">
        <f>TimeStep!B162</f>
        <v>1300</v>
      </c>
      <c r="D162" s="6">
        <v>-1.389</v>
      </c>
      <c r="E162" s="6">
        <v>0.61799999999999999</v>
      </c>
      <c r="F162" s="6">
        <v>4.5720000000000001</v>
      </c>
      <c r="G162" s="6">
        <v>0</v>
      </c>
      <c r="H162" s="6">
        <v>3.7050000000000001</v>
      </c>
      <c r="I162" s="6">
        <v>1.4</v>
      </c>
      <c r="J162" s="6">
        <v>0.40300000000000002</v>
      </c>
      <c r="K162" s="6">
        <v>1.9139999999999999</v>
      </c>
      <c r="L162" s="6">
        <v>0.66500000000000004</v>
      </c>
      <c r="M162" s="6">
        <v>3.5539999999999998</v>
      </c>
      <c r="N162" s="6">
        <v>16.959599999999998</v>
      </c>
      <c r="O162" s="6">
        <v>46.925199999999997</v>
      </c>
      <c r="P162" s="6">
        <f t="shared" si="14"/>
        <v>35.874991352064022</v>
      </c>
      <c r="Q162" s="6">
        <f t="shared" si="15"/>
        <v>55.023699526552349</v>
      </c>
      <c r="R162" s="6">
        <f t="shared" si="16"/>
        <v>121.769341422194</v>
      </c>
      <c r="S162" s="6">
        <f t="shared" si="18"/>
        <v>35.874991352064086</v>
      </c>
      <c r="T162" s="6">
        <f t="shared" si="19"/>
        <v>55.023699526552093</v>
      </c>
      <c r="U162" s="6">
        <f t="shared" si="20"/>
        <v>121.7693414221938</v>
      </c>
      <c r="V162" s="6">
        <f t="shared" si="17"/>
        <v>2.2737367544323206E-12</v>
      </c>
    </row>
    <row r="163" spans="1:22" ht="18.95" customHeight="1">
      <c r="A163" s="1">
        <v>157</v>
      </c>
      <c r="B163" s="6">
        <v>1.3083333333333311</v>
      </c>
      <c r="C163" s="6">
        <f>TimeStep!B163</f>
        <v>1308.3333333333335</v>
      </c>
      <c r="D163" s="6">
        <v>-1.399</v>
      </c>
      <c r="E163" s="6">
        <v>0.59399999999999997</v>
      </c>
      <c r="F163" s="6">
        <v>4.5720000000000001</v>
      </c>
      <c r="G163" s="6">
        <v>0</v>
      </c>
      <c r="H163" s="6">
        <v>3.6960000000000002</v>
      </c>
      <c r="I163" s="6">
        <v>1.3939999999999999</v>
      </c>
      <c r="J163" s="6">
        <v>0.38900000000000001</v>
      </c>
      <c r="K163" s="6">
        <v>1.8939999999999999</v>
      </c>
      <c r="L163" s="6">
        <v>0.64700000000000002</v>
      </c>
      <c r="M163" s="6">
        <v>3.5350000000000001</v>
      </c>
      <c r="N163" s="6">
        <v>17.475200000000001</v>
      </c>
      <c r="O163" s="6">
        <v>46.3523</v>
      </c>
      <c r="P163" s="6">
        <f t="shared" si="14"/>
        <v>36.019751224777004</v>
      </c>
      <c r="Q163" s="6">
        <f t="shared" si="15"/>
        <v>55.174369254075287</v>
      </c>
      <c r="R163" s="6">
        <f t="shared" si="16"/>
        <v>122.14556060168617</v>
      </c>
      <c r="S163" s="6">
        <f t="shared" si="18"/>
        <v>36.019751224777082</v>
      </c>
      <c r="T163" s="6">
        <f t="shared" si="19"/>
        <v>55.174369254075032</v>
      </c>
      <c r="U163" s="6">
        <f t="shared" si="20"/>
        <v>122.14556060168599</v>
      </c>
      <c r="V163" s="6">
        <f t="shared" si="17"/>
        <v>2.2737367544323206E-12</v>
      </c>
    </row>
    <row r="164" spans="1:22" ht="18.95" customHeight="1">
      <c r="A164" s="1">
        <v>158</v>
      </c>
      <c r="B164" s="6">
        <v>1.3166666666666644</v>
      </c>
      <c r="C164" s="6">
        <f>TimeStep!B164</f>
        <v>1316.6666666666667</v>
      </c>
      <c r="D164" s="6">
        <v>-1.409</v>
      </c>
      <c r="E164" s="6">
        <v>0.56899999999999995</v>
      </c>
      <c r="F164" s="6">
        <v>4.5720000000000001</v>
      </c>
      <c r="G164" s="6">
        <v>0</v>
      </c>
      <c r="H164" s="6">
        <v>3.6869999999999998</v>
      </c>
      <c r="I164" s="6">
        <v>1.3879999999999999</v>
      </c>
      <c r="J164" s="6">
        <v>0.376</v>
      </c>
      <c r="K164" s="6">
        <v>1.8740000000000001</v>
      </c>
      <c r="L164" s="6">
        <v>0.63</v>
      </c>
      <c r="M164" s="6">
        <v>3.5150000000000001</v>
      </c>
      <c r="N164" s="6">
        <v>17.9909</v>
      </c>
      <c r="O164" s="6">
        <v>45.722000000000001</v>
      </c>
      <c r="P164" s="6">
        <f t="shared" si="14"/>
        <v>36.170255332090939</v>
      </c>
      <c r="Q164" s="6">
        <f t="shared" si="15"/>
        <v>55.311926389939401</v>
      </c>
      <c r="R164" s="6">
        <f t="shared" si="16"/>
        <v>122.52191304406941</v>
      </c>
      <c r="S164" s="6">
        <f t="shared" si="18"/>
        <v>36.170255332091017</v>
      </c>
      <c r="T164" s="6">
        <f t="shared" si="19"/>
        <v>55.311926389939146</v>
      </c>
      <c r="U164" s="6">
        <f t="shared" si="20"/>
        <v>122.52191304406921</v>
      </c>
      <c r="V164" s="6">
        <f t="shared" si="17"/>
        <v>2.2737367544323206E-12</v>
      </c>
    </row>
    <row r="165" spans="1:22" ht="18.95" customHeight="1">
      <c r="A165" s="1">
        <v>159</v>
      </c>
      <c r="B165" s="6">
        <v>1.3249999999999975</v>
      </c>
      <c r="C165" s="6">
        <f>TimeStep!B165</f>
        <v>1325</v>
      </c>
      <c r="D165" s="6">
        <v>-1.419</v>
      </c>
      <c r="E165" s="6">
        <v>0.54500000000000004</v>
      </c>
      <c r="F165" s="6">
        <v>4.5720000000000001</v>
      </c>
      <c r="G165" s="6">
        <v>0</v>
      </c>
      <c r="H165" s="6">
        <v>3.677</v>
      </c>
      <c r="I165" s="6">
        <v>1.3819999999999999</v>
      </c>
      <c r="J165" s="6">
        <v>0.36299999999999999</v>
      </c>
      <c r="K165" s="6">
        <v>1.8540000000000001</v>
      </c>
      <c r="L165" s="6">
        <v>0.61199999999999999</v>
      </c>
      <c r="M165" s="6">
        <v>3.496</v>
      </c>
      <c r="N165" s="6">
        <v>18.563800000000001</v>
      </c>
      <c r="O165" s="6">
        <v>45.091799999999999</v>
      </c>
      <c r="P165" s="6">
        <f t="shared" si="14"/>
        <v>36.299809200845132</v>
      </c>
      <c r="Q165" s="6">
        <f t="shared" si="15"/>
        <v>55.462646670112846</v>
      </c>
      <c r="R165" s="6">
        <f t="shared" si="16"/>
        <v>122.92758447780115</v>
      </c>
      <c r="S165" s="6">
        <f t="shared" si="18"/>
        <v>36.299809200845203</v>
      </c>
      <c r="T165" s="6">
        <f t="shared" si="19"/>
        <v>55.462646670112605</v>
      </c>
      <c r="U165" s="6">
        <f t="shared" si="20"/>
        <v>122.92758447780096</v>
      </c>
      <c r="V165" s="6">
        <f t="shared" si="17"/>
        <v>2.5011104298755527E-12</v>
      </c>
    </row>
    <row r="166" spans="1:22" ht="18.95" customHeight="1">
      <c r="A166" s="1">
        <v>160</v>
      </c>
      <c r="B166" s="6">
        <v>1.333333333333331</v>
      </c>
      <c r="C166" s="6">
        <f>TimeStep!B166</f>
        <v>1333.3333333333335</v>
      </c>
      <c r="D166" s="6">
        <v>-1.4279999999999999</v>
      </c>
      <c r="E166" s="6">
        <v>0.52</v>
      </c>
      <c r="F166" s="6">
        <v>4.5720000000000001</v>
      </c>
      <c r="G166" s="6">
        <v>0</v>
      </c>
      <c r="H166" s="6">
        <v>3.6680000000000001</v>
      </c>
      <c r="I166" s="6">
        <v>1.3759999999999999</v>
      </c>
      <c r="J166" s="6">
        <v>0.35</v>
      </c>
      <c r="K166" s="6">
        <v>1.8340000000000001</v>
      </c>
      <c r="L166" s="6">
        <v>0.59499999999999997</v>
      </c>
      <c r="M166" s="6">
        <v>3.4769999999999999</v>
      </c>
      <c r="N166" s="6">
        <v>19.079499999999999</v>
      </c>
      <c r="O166" s="6">
        <v>44.461500000000001</v>
      </c>
      <c r="P166" s="6">
        <f t="shared" si="14"/>
        <v>36.465609910077383</v>
      </c>
      <c r="Q166" s="6">
        <f t="shared" si="15"/>
        <v>55.62243385957786</v>
      </c>
      <c r="R166" s="6">
        <f t="shared" si="16"/>
        <v>123.30398321123489</v>
      </c>
      <c r="S166" s="6">
        <f t="shared" si="18"/>
        <v>36.465609910077461</v>
      </c>
      <c r="T166" s="6">
        <f t="shared" si="19"/>
        <v>55.622433859577626</v>
      </c>
      <c r="U166" s="6">
        <f t="shared" si="20"/>
        <v>123.30398321123471</v>
      </c>
      <c r="V166" s="6">
        <f t="shared" si="17"/>
        <v>2.5011104298755527E-12</v>
      </c>
    </row>
    <row r="167" spans="1:22" ht="18.95" customHeight="1">
      <c r="A167" s="1">
        <v>161</v>
      </c>
      <c r="B167" s="6">
        <v>1.3416666666666643</v>
      </c>
      <c r="C167" s="6">
        <f>TimeStep!B167</f>
        <v>1341.6666666666667</v>
      </c>
      <c r="D167" s="6">
        <v>-1.4370000000000001</v>
      </c>
      <c r="E167" s="6">
        <v>0.495</v>
      </c>
      <c r="F167" s="6">
        <v>4.5720000000000001</v>
      </c>
      <c r="G167" s="6">
        <v>0</v>
      </c>
      <c r="H167" s="6">
        <v>3.66</v>
      </c>
      <c r="I167" s="6">
        <v>1.371</v>
      </c>
      <c r="J167" s="6">
        <v>0.33700000000000002</v>
      </c>
      <c r="K167" s="6">
        <v>1.8149999999999999</v>
      </c>
      <c r="L167" s="6">
        <v>0.57799999999999996</v>
      </c>
      <c r="M167" s="6">
        <v>3.4569999999999999</v>
      </c>
      <c r="N167" s="6">
        <v>19.595199999999998</v>
      </c>
      <c r="O167" s="6">
        <v>43.831299999999999</v>
      </c>
      <c r="P167" s="6">
        <f t="shared" si="14"/>
        <v>36.652241064459098</v>
      </c>
      <c r="Q167" s="6">
        <f t="shared" si="15"/>
        <v>55.773188395657364</v>
      </c>
      <c r="R167" s="6">
        <f t="shared" si="16"/>
        <v>123.6321637766043</v>
      </c>
      <c r="S167" s="6">
        <f t="shared" si="18"/>
        <v>36.652241064459162</v>
      </c>
      <c r="T167" s="6">
        <f t="shared" si="19"/>
        <v>55.773188395657115</v>
      </c>
      <c r="U167" s="6">
        <f t="shared" si="20"/>
        <v>123.6321637766041</v>
      </c>
      <c r="V167" s="6">
        <f t="shared" si="17"/>
        <v>2.5011104298755527E-12</v>
      </c>
    </row>
    <row r="168" spans="1:22" ht="18.95" customHeight="1">
      <c r="A168" s="1">
        <v>162</v>
      </c>
      <c r="B168" s="6">
        <v>1.3499999999999976</v>
      </c>
      <c r="C168" s="6">
        <f>TimeStep!B168</f>
        <v>1350</v>
      </c>
      <c r="D168" s="6">
        <v>-1.446</v>
      </c>
      <c r="E168" s="6">
        <v>0.47</v>
      </c>
      <c r="F168" s="6">
        <v>4.5720000000000001</v>
      </c>
      <c r="G168" s="6">
        <v>0</v>
      </c>
      <c r="H168" s="6">
        <v>3.6509999999999998</v>
      </c>
      <c r="I168" s="6">
        <v>1.365</v>
      </c>
      <c r="J168" s="6">
        <v>0.32500000000000001</v>
      </c>
      <c r="K168" s="6">
        <v>1.794</v>
      </c>
      <c r="L168" s="6">
        <v>0.56100000000000005</v>
      </c>
      <c r="M168" s="6">
        <v>3.4380000000000002</v>
      </c>
      <c r="N168" s="6">
        <v>20.168099999999999</v>
      </c>
      <c r="O168" s="6">
        <v>43.201000000000001</v>
      </c>
      <c r="P168" s="6">
        <f t="shared" si="14"/>
        <v>36.781798199019384</v>
      </c>
      <c r="Q168" s="6">
        <f t="shared" si="15"/>
        <v>55.932933637154029</v>
      </c>
      <c r="R168" s="6">
        <f t="shared" si="16"/>
        <v>124.00853497626753</v>
      </c>
      <c r="S168" s="6">
        <f t="shared" si="18"/>
        <v>36.781798199019448</v>
      </c>
      <c r="T168" s="6">
        <f t="shared" si="19"/>
        <v>55.932933637153781</v>
      </c>
      <c r="U168" s="6">
        <f t="shared" si="20"/>
        <v>124.00853497626736</v>
      </c>
      <c r="V168" s="6">
        <f t="shared" si="17"/>
        <v>2.2737367544323206E-12</v>
      </c>
    </row>
    <row r="169" spans="1:22" ht="18.95" customHeight="1">
      <c r="A169" s="1">
        <v>163</v>
      </c>
      <c r="B169" s="6">
        <v>1.358333333333331</v>
      </c>
      <c r="C169" s="6">
        <f>TimeStep!B169</f>
        <v>1358.3333333333335</v>
      </c>
      <c r="D169" s="6">
        <v>-1.454</v>
      </c>
      <c r="E169" s="6">
        <v>0.44400000000000001</v>
      </c>
      <c r="F169" s="6">
        <v>4.5720000000000001</v>
      </c>
      <c r="G169" s="6">
        <v>0</v>
      </c>
      <c r="H169" s="6">
        <v>3.6419999999999999</v>
      </c>
      <c r="I169" s="6">
        <v>1.359</v>
      </c>
      <c r="J169" s="6">
        <v>0.313</v>
      </c>
      <c r="K169" s="6">
        <v>1.774</v>
      </c>
      <c r="L169" s="6">
        <v>0.54400000000000004</v>
      </c>
      <c r="M169" s="6">
        <v>3.419</v>
      </c>
      <c r="N169" s="6">
        <v>20.683800000000002</v>
      </c>
      <c r="O169" s="6">
        <v>42.513500000000001</v>
      </c>
      <c r="P169" s="6">
        <f t="shared" si="14"/>
        <v>36.968343905516271</v>
      </c>
      <c r="Q169" s="6">
        <f t="shared" si="15"/>
        <v>56.114823383859004</v>
      </c>
      <c r="R169" s="6">
        <f t="shared" si="16"/>
        <v>124.38487869388472</v>
      </c>
      <c r="S169" s="6">
        <f t="shared" si="18"/>
        <v>36.968343905516321</v>
      </c>
      <c r="T169" s="6">
        <f t="shared" si="19"/>
        <v>56.114823383858749</v>
      </c>
      <c r="U169" s="6">
        <f t="shared" si="20"/>
        <v>124.38487869388456</v>
      </c>
      <c r="V169" s="6">
        <f t="shared" si="17"/>
        <v>2.5011104298755527E-12</v>
      </c>
    </row>
    <row r="170" spans="1:22" ht="18.95" customHeight="1">
      <c r="A170" s="1">
        <v>164</v>
      </c>
      <c r="B170" s="6">
        <v>1.3666666666666645</v>
      </c>
      <c r="C170" s="6">
        <f>TimeStep!B170</f>
        <v>1366.6666666666667</v>
      </c>
      <c r="D170" s="6">
        <v>-1.4610000000000001</v>
      </c>
      <c r="E170" s="6">
        <v>0.41899999999999998</v>
      </c>
      <c r="F170" s="6">
        <v>4.5720000000000001</v>
      </c>
      <c r="G170" s="6">
        <v>0</v>
      </c>
      <c r="H170" s="6">
        <v>3.6339999999999999</v>
      </c>
      <c r="I170" s="6">
        <v>1.353</v>
      </c>
      <c r="J170" s="6">
        <v>0.30199999999999999</v>
      </c>
      <c r="K170" s="6">
        <v>1.754</v>
      </c>
      <c r="L170" s="6">
        <v>0.52700000000000002</v>
      </c>
      <c r="M170" s="6">
        <v>3.399</v>
      </c>
      <c r="N170" s="6">
        <v>21.256699999999999</v>
      </c>
      <c r="O170" s="6">
        <v>41.825899999999997</v>
      </c>
      <c r="P170" s="6">
        <f t="shared" si="14"/>
        <v>37.134170417225377</v>
      </c>
      <c r="Q170" s="6">
        <f t="shared" si="15"/>
        <v>56.292188349622151</v>
      </c>
      <c r="R170" s="6">
        <f t="shared" si="16"/>
        <v>124.73257153719797</v>
      </c>
      <c r="S170" s="6">
        <f t="shared" si="18"/>
        <v>37.13417041722542</v>
      </c>
      <c r="T170" s="6">
        <f t="shared" si="19"/>
        <v>56.29218834962191</v>
      </c>
      <c r="U170" s="6">
        <f t="shared" si="20"/>
        <v>124.73257153719783</v>
      </c>
      <c r="V170" s="6">
        <f t="shared" si="17"/>
        <v>2.2737367544323206E-12</v>
      </c>
    </row>
    <row r="171" spans="1:22" ht="18.95" customHeight="1">
      <c r="A171" s="1">
        <v>165</v>
      </c>
      <c r="B171" s="6">
        <v>1.3749999999999976</v>
      </c>
      <c r="C171" s="6">
        <f>TimeStep!B171</f>
        <v>1375</v>
      </c>
      <c r="D171" s="6">
        <v>-1.468</v>
      </c>
      <c r="E171" s="6">
        <v>0.39300000000000002</v>
      </c>
      <c r="F171" s="6">
        <v>4.5720000000000001</v>
      </c>
      <c r="G171" s="6">
        <v>0</v>
      </c>
      <c r="H171" s="6">
        <v>3.6259999999999999</v>
      </c>
      <c r="I171" s="6">
        <v>1.3480000000000001</v>
      </c>
      <c r="J171" s="6">
        <v>0.28999999999999998</v>
      </c>
      <c r="K171" s="6">
        <v>1.734</v>
      </c>
      <c r="L171" s="6">
        <v>0.51100000000000001</v>
      </c>
      <c r="M171" s="6">
        <v>3.38</v>
      </c>
      <c r="N171" s="6">
        <v>21.772400000000001</v>
      </c>
      <c r="O171" s="6">
        <v>41.138399999999997</v>
      </c>
      <c r="P171" s="6">
        <f t="shared" si="14"/>
        <v>37.336338734736628</v>
      </c>
      <c r="Q171" s="6">
        <f t="shared" si="15"/>
        <v>56.474027066925288</v>
      </c>
      <c r="R171" s="6">
        <f t="shared" si="16"/>
        <v>125.06042623054294</v>
      </c>
      <c r="S171" s="6">
        <f t="shared" si="18"/>
        <v>37.336338734736671</v>
      </c>
      <c r="T171" s="6">
        <f t="shared" si="19"/>
        <v>56.474027066925061</v>
      </c>
      <c r="U171" s="6">
        <f t="shared" si="20"/>
        <v>125.06042623054282</v>
      </c>
      <c r="V171" s="6">
        <f t="shared" si="17"/>
        <v>2.5011104298755527E-12</v>
      </c>
    </row>
    <row r="172" spans="1:22" ht="18.95" customHeight="1">
      <c r="A172" s="1">
        <v>166</v>
      </c>
      <c r="B172" s="6">
        <v>1.3833333333333309</v>
      </c>
      <c r="C172" s="6">
        <f>TimeStep!B172</f>
        <v>1383.3333333333335</v>
      </c>
      <c r="D172" s="6">
        <v>-1.4750000000000001</v>
      </c>
      <c r="E172" s="6">
        <v>0.36799999999999999</v>
      </c>
      <c r="F172" s="6">
        <v>4.5720000000000001</v>
      </c>
      <c r="G172" s="6">
        <v>0</v>
      </c>
      <c r="H172" s="6">
        <v>3.6179999999999999</v>
      </c>
      <c r="I172" s="6">
        <v>1.3420000000000001</v>
      </c>
      <c r="J172" s="6">
        <v>0.27900000000000003</v>
      </c>
      <c r="K172" s="6">
        <v>1.714</v>
      </c>
      <c r="L172" s="6">
        <v>0.495</v>
      </c>
      <c r="M172" s="6">
        <v>3.3610000000000002</v>
      </c>
      <c r="N172" s="6">
        <v>22.345400000000001</v>
      </c>
      <c r="O172" s="6">
        <v>40.450800000000001</v>
      </c>
      <c r="P172" s="6">
        <f t="shared" si="14"/>
        <v>37.502229951074831</v>
      </c>
      <c r="Q172" s="6">
        <f t="shared" si="15"/>
        <v>56.64698867121718</v>
      </c>
      <c r="R172" s="6">
        <f t="shared" si="16"/>
        <v>125.40823259111532</v>
      </c>
      <c r="S172" s="6">
        <f t="shared" si="18"/>
        <v>37.502229951074867</v>
      </c>
      <c r="T172" s="6">
        <f t="shared" si="19"/>
        <v>56.646988671216945</v>
      </c>
      <c r="U172" s="6">
        <f t="shared" si="20"/>
        <v>125.40823259111517</v>
      </c>
      <c r="V172" s="6">
        <f t="shared" si="17"/>
        <v>2.7284841053187847E-12</v>
      </c>
    </row>
    <row r="173" spans="1:22" ht="18.95" customHeight="1">
      <c r="A173" s="1">
        <v>167</v>
      </c>
      <c r="B173" s="6">
        <v>1.3916666666666642</v>
      </c>
      <c r="C173" s="6">
        <f>TimeStep!B173</f>
        <v>1391.6666666666667</v>
      </c>
      <c r="D173" s="6">
        <v>-1.4810000000000001</v>
      </c>
      <c r="E173" s="6">
        <v>0.34200000000000003</v>
      </c>
      <c r="F173" s="6">
        <v>4.5720000000000001</v>
      </c>
      <c r="G173" s="6">
        <v>0</v>
      </c>
      <c r="H173" s="6">
        <v>3.61</v>
      </c>
      <c r="I173" s="6">
        <v>1.3360000000000001</v>
      </c>
      <c r="J173" s="6">
        <v>0.26900000000000002</v>
      </c>
      <c r="K173" s="6">
        <v>1.694</v>
      </c>
      <c r="L173" s="6">
        <v>0.47899999999999998</v>
      </c>
      <c r="M173" s="6">
        <v>3.3410000000000002</v>
      </c>
      <c r="N173" s="6">
        <v>22.861000000000001</v>
      </c>
      <c r="O173" s="6">
        <v>39.763300000000001</v>
      </c>
      <c r="P173" s="6">
        <f t="shared" si="14"/>
        <v>37.688649179915586</v>
      </c>
      <c r="Q173" s="6">
        <f t="shared" si="15"/>
        <v>56.83332907694561</v>
      </c>
      <c r="R173" s="6">
        <f t="shared" si="16"/>
        <v>125.75614672992707</v>
      </c>
      <c r="S173" s="6">
        <f t="shared" si="18"/>
        <v>37.688649179915615</v>
      </c>
      <c r="T173" s="6">
        <f t="shared" si="19"/>
        <v>56.833329076945375</v>
      </c>
      <c r="U173" s="6">
        <f t="shared" si="20"/>
        <v>125.75614672992691</v>
      </c>
      <c r="V173" s="6">
        <f t="shared" si="17"/>
        <v>2.5011104298755527E-12</v>
      </c>
    </row>
    <row r="174" spans="1:22" ht="18.95" customHeight="1">
      <c r="A174" s="1">
        <v>168</v>
      </c>
      <c r="B174" s="6">
        <v>1.3999999999999977</v>
      </c>
      <c r="C174" s="6">
        <f>TimeStep!B174</f>
        <v>1400</v>
      </c>
      <c r="D174" s="6">
        <v>-1.4870000000000001</v>
      </c>
      <c r="E174" s="6">
        <v>0.316</v>
      </c>
      <c r="F174" s="6">
        <v>4.5720000000000001</v>
      </c>
      <c r="G174" s="6">
        <v>0</v>
      </c>
      <c r="H174" s="6">
        <v>3.6030000000000002</v>
      </c>
      <c r="I174" s="6">
        <v>1.331</v>
      </c>
      <c r="J174" s="6">
        <v>0.25900000000000001</v>
      </c>
      <c r="K174" s="6">
        <v>1.6739999999999999</v>
      </c>
      <c r="L174" s="6">
        <v>0.46300000000000002</v>
      </c>
      <c r="M174" s="6">
        <v>3.3220000000000001</v>
      </c>
      <c r="N174" s="6">
        <v>23.434000000000001</v>
      </c>
      <c r="O174" s="6">
        <v>39.0184</v>
      </c>
      <c r="P174" s="6">
        <f t="shared" si="14"/>
        <v>37.874983651098198</v>
      </c>
      <c r="Q174" s="6">
        <f t="shared" si="15"/>
        <v>57.028420610359277</v>
      </c>
      <c r="R174" s="6">
        <f t="shared" si="16"/>
        <v>126.05551849848501</v>
      </c>
      <c r="S174" s="6">
        <f t="shared" si="18"/>
        <v>37.874983651098233</v>
      </c>
      <c r="T174" s="6">
        <f t="shared" si="19"/>
        <v>57.028420610359035</v>
      </c>
      <c r="U174" s="6">
        <f t="shared" si="20"/>
        <v>126.05551849848484</v>
      </c>
      <c r="V174" s="6">
        <f t="shared" si="17"/>
        <v>2.2737367544323206E-12</v>
      </c>
    </row>
    <row r="175" spans="1:22" ht="18.95" customHeight="1">
      <c r="A175" s="1">
        <v>169</v>
      </c>
      <c r="B175" s="6">
        <v>1.4083333333333308</v>
      </c>
      <c r="C175" s="6">
        <f>TimeStep!B175</f>
        <v>1408.3333333333335</v>
      </c>
      <c r="D175" s="6">
        <v>-1.492</v>
      </c>
      <c r="E175" s="6">
        <v>0.28999999999999998</v>
      </c>
      <c r="F175" s="6">
        <v>4.5720000000000001</v>
      </c>
      <c r="G175" s="6">
        <v>0</v>
      </c>
      <c r="H175" s="6">
        <v>3.5950000000000002</v>
      </c>
      <c r="I175" s="6">
        <v>1.325</v>
      </c>
      <c r="J175" s="6">
        <v>0.248</v>
      </c>
      <c r="K175" s="6">
        <v>1.6539999999999999</v>
      </c>
      <c r="L175" s="6">
        <v>0.44700000000000001</v>
      </c>
      <c r="M175" s="6">
        <v>3.3029999999999999</v>
      </c>
      <c r="N175" s="6">
        <v>23.9496</v>
      </c>
      <c r="O175" s="6">
        <v>38.3309</v>
      </c>
      <c r="P175" s="6">
        <f t="shared" si="14"/>
        <v>38.093182962517801</v>
      </c>
      <c r="Q175" s="6">
        <f t="shared" si="15"/>
        <v>57.236910338914917</v>
      </c>
      <c r="R175" s="6">
        <f t="shared" si="16"/>
        <v>126.40352266765876</v>
      </c>
      <c r="S175" s="6">
        <f t="shared" si="18"/>
        <v>38.09318296251783</v>
      </c>
      <c r="T175" s="6">
        <f t="shared" si="19"/>
        <v>57.236910338914669</v>
      </c>
      <c r="U175" s="6">
        <f t="shared" si="20"/>
        <v>126.40352266765859</v>
      </c>
      <c r="V175" s="6">
        <f t="shared" si="17"/>
        <v>2.7284841053187847E-12</v>
      </c>
    </row>
    <row r="176" spans="1:22" ht="18.95" customHeight="1">
      <c r="A176" s="1">
        <v>170</v>
      </c>
      <c r="B176" s="6">
        <v>1.4166666666666641</v>
      </c>
      <c r="C176" s="6">
        <f>TimeStep!B176</f>
        <v>1416.6666666666667</v>
      </c>
      <c r="D176" s="6">
        <v>-1.4970000000000001</v>
      </c>
      <c r="E176" s="6">
        <v>0.26400000000000001</v>
      </c>
      <c r="F176" s="6">
        <v>4.5720000000000001</v>
      </c>
      <c r="G176" s="6">
        <v>0</v>
      </c>
      <c r="H176" s="6">
        <v>3.5880000000000001</v>
      </c>
      <c r="I176" s="6">
        <v>1.32</v>
      </c>
      <c r="J176" s="6">
        <v>0.23899999999999999</v>
      </c>
      <c r="K176" s="6">
        <v>1.6339999999999999</v>
      </c>
      <c r="L176" s="6">
        <v>0.432</v>
      </c>
      <c r="M176" s="6">
        <v>3.2829999999999999</v>
      </c>
      <c r="N176" s="6">
        <v>24.522600000000001</v>
      </c>
      <c r="O176" s="6">
        <v>37.585999999999999</v>
      </c>
      <c r="P176" s="6">
        <f t="shared" si="14"/>
        <v>38.27946050257917</v>
      </c>
      <c r="Q176" s="6">
        <f t="shared" si="15"/>
        <v>57.423322363396714</v>
      </c>
      <c r="R176" s="6">
        <f t="shared" si="16"/>
        <v>126.70285503016314</v>
      </c>
      <c r="S176" s="6">
        <f t="shared" si="18"/>
        <v>38.279460502579212</v>
      </c>
      <c r="T176" s="6">
        <f t="shared" si="19"/>
        <v>57.423322363396466</v>
      </c>
      <c r="U176" s="6">
        <f t="shared" si="20"/>
        <v>126.70285503016294</v>
      </c>
      <c r="V176" s="6">
        <f t="shared" si="17"/>
        <v>2.7284841053187847E-12</v>
      </c>
    </row>
    <row r="177" spans="1:22" ht="18.95" customHeight="1">
      <c r="A177" s="1">
        <v>171</v>
      </c>
      <c r="B177" s="6">
        <v>1.4249999999999974</v>
      </c>
      <c r="C177" s="6">
        <f>TimeStep!B177</f>
        <v>1425</v>
      </c>
      <c r="D177" s="6">
        <v>-1.5009999999999999</v>
      </c>
      <c r="E177" s="6">
        <v>0.23799999999999999</v>
      </c>
      <c r="F177" s="6">
        <v>4.5720000000000001</v>
      </c>
      <c r="G177" s="6">
        <v>0</v>
      </c>
      <c r="H177" s="6">
        <v>3.581</v>
      </c>
      <c r="I177" s="6">
        <v>1.3149999999999999</v>
      </c>
      <c r="J177" s="6">
        <v>0.22900000000000001</v>
      </c>
      <c r="K177" s="6">
        <v>1.6140000000000001</v>
      </c>
      <c r="L177" s="6">
        <v>0.41599999999999998</v>
      </c>
      <c r="M177" s="6">
        <v>3.2639999999999998</v>
      </c>
      <c r="N177" s="6">
        <v>25.0383</v>
      </c>
      <c r="O177" s="6">
        <v>36.841200000000001</v>
      </c>
      <c r="P177" s="6">
        <f t="shared" si="14"/>
        <v>38.497887590020269</v>
      </c>
      <c r="Q177" s="6">
        <f t="shared" si="15"/>
        <v>57.645349654277815</v>
      </c>
      <c r="R177" s="6">
        <f t="shared" si="16"/>
        <v>127.00212379404481</v>
      </c>
      <c r="S177" s="6">
        <f t="shared" si="18"/>
        <v>38.497887590020326</v>
      </c>
      <c r="T177" s="6">
        <f t="shared" si="19"/>
        <v>57.645349654277567</v>
      </c>
      <c r="U177" s="6">
        <f t="shared" si="20"/>
        <v>127.00212379404462</v>
      </c>
      <c r="V177" s="6">
        <f t="shared" si="17"/>
        <v>2.7284841053187847E-12</v>
      </c>
    </row>
    <row r="178" spans="1:22" ht="18.95" customHeight="1">
      <c r="A178" s="1">
        <v>172</v>
      </c>
      <c r="B178" s="6">
        <v>1.4333333333333309</v>
      </c>
      <c r="C178" s="6">
        <f>TimeStep!B178</f>
        <v>1433.3333333333335</v>
      </c>
      <c r="D178" s="6">
        <v>-1.5049999999999999</v>
      </c>
      <c r="E178" s="6">
        <v>0.21099999999999999</v>
      </c>
      <c r="F178" s="6">
        <v>4.5720000000000001</v>
      </c>
      <c r="G178" s="6">
        <v>0</v>
      </c>
      <c r="H178" s="6">
        <v>3.5739999999999998</v>
      </c>
      <c r="I178" s="6">
        <v>1.3089999999999999</v>
      </c>
      <c r="J178" s="6">
        <v>0.22</v>
      </c>
      <c r="K178" s="6">
        <v>1.5940000000000001</v>
      </c>
      <c r="L178" s="6">
        <v>0.40100000000000002</v>
      </c>
      <c r="M178" s="6">
        <v>3.2450000000000001</v>
      </c>
      <c r="N178" s="6">
        <v>25.6112</v>
      </c>
      <c r="O178" s="6">
        <v>36.096299999999999</v>
      </c>
      <c r="P178" s="6">
        <f t="shared" si="14"/>
        <v>38.720515774827831</v>
      </c>
      <c r="Q178" s="6">
        <f t="shared" si="15"/>
        <v>57.862403820207064</v>
      </c>
      <c r="R178" s="6">
        <f t="shared" si="16"/>
        <v>127.3224065444407</v>
      </c>
      <c r="S178" s="6">
        <f t="shared" si="18"/>
        <v>38.720515774827874</v>
      </c>
      <c r="T178" s="6">
        <f t="shared" si="19"/>
        <v>57.862403820206822</v>
      </c>
      <c r="U178" s="6">
        <f t="shared" si="20"/>
        <v>127.32240654444053</v>
      </c>
      <c r="V178" s="6">
        <f t="shared" si="17"/>
        <v>2.5011104298755527E-12</v>
      </c>
    </row>
    <row r="179" spans="1:22" ht="18.95" customHeight="1">
      <c r="A179" s="1">
        <v>173</v>
      </c>
      <c r="B179" s="6">
        <v>1.441666666666664</v>
      </c>
      <c r="C179" s="6">
        <f>TimeStep!B179</f>
        <v>1441.6666666666667</v>
      </c>
      <c r="D179" s="6">
        <v>-1.5089999999999999</v>
      </c>
      <c r="E179" s="6">
        <v>0.185</v>
      </c>
      <c r="F179" s="6">
        <v>4.5720000000000001</v>
      </c>
      <c r="G179" s="6">
        <v>0</v>
      </c>
      <c r="H179" s="6">
        <v>3.5670000000000002</v>
      </c>
      <c r="I179" s="6">
        <v>1.304</v>
      </c>
      <c r="J179" s="6">
        <v>0.21199999999999999</v>
      </c>
      <c r="K179" s="6">
        <v>1.575</v>
      </c>
      <c r="L179" s="6">
        <v>0.38600000000000001</v>
      </c>
      <c r="M179" s="6">
        <v>3.226</v>
      </c>
      <c r="N179" s="6">
        <v>26.184200000000001</v>
      </c>
      <c r="O179" s="6">
        <v>35.351500000000001</v>
      </c>
      <c r="P179" s="6">
        <f t="shared" si="14"/>
        <v>38.926768655285407</v>
      </c>
      <c r="Q179" s="6">
        <f t="shared" si="15"/>
        <v>58.070891340181163</v>
      </c>
      <c r="R179" s="6">
        <f t="shared" si="16"/>
        <v>127.62163973190647</v>
      </c>
      <c r="S179" s="6">
        <f t="shared" si="18"/>
        <v>38.926768655285457</v>
      </c>
      <c r="T179" s="6">
        <f t="shared" si="19"/>
        <v>58.070891340180907</v>
      </c>
      <c r="U179" s="6">
        <f t="shared" si="20"/>
        <v>127.62163973190627</v>
      </c>
      <c r="V179" s="6">
        <f t="shared" si="17"/>
        <v>2.7284841053187847E-12</v>
      </c>
    </row>
    <row r="180" spans="1:22" ht="18.95" customHeight="1">
      <c r="A180" s="1">
        <v>174</v>
      </c>
      <c r="B180" s="6">
        <v>1.4499999999999973</v>
      </c>
      <c r="C180" s="6">
        <f>TimeStep!B180</f>
        <v>1450</v>
      </c>
      <c r="D180" s="6">
        <v>-1.512</v>
      </c>
      <c r="E180" s="6">
        <v>0.159</v>
      </c>
      <c r="F180" s="6">
        <v>4.5720000000000001</v>
      </c>
      <c r="G180" s="6">
        <v>0</v>
      </c>
      <c r="H180" s="6">
        <v>3.56</v>
      </c>
      <c r="I180" s="6">
        <v>1.2989999999999999</v>
      </c>
      <c r="J180" s="6">
        <v>0.20300000000000001</v>
      </c>
      <c r="K180" s="6">
        <v>1.5549999999999999</v>
      </c>
      <c r="L180" s="6">
        <v>0.372</v>
      </c>
      <c r="M180" s="6">
        <v>3.2069999999999999</v>
      </c>
      <c r="N180" s="6">
        <v>26.6998</v>
      </c>
      <c r="O180" s="6">
        <v>34.606699999999996</v>
      </c>
      <c r="P180" s="6">
        <f t="shared" si="14"/>
        <v>39.145388374837793</v>
      </c>
      <c r="Q180" s="6">
        <f t="shared" si="15"/>
        <v>58.279364505515773</v>
      </c>
      <c r="R180" s="6">
        <f t="shared" si="16"/>
        <v>127.92075923084988</v>
      </c>
      <c r="S180" s="6">
        <f t="shared" si="18"/>
        <v>39.145388374837836</v>
      </c>
      <c r="T180" s="6">
        <f t="shared" si="19"/>
        <v>58.279364505515531</v>
      </c>
      <c r="U180" s="6">
        <f t="shared" si="20"/>
        <v>127.92075923084968</v>
      </c>
      <c r="V180" s="6">
        <f t="shared" si="17"/>
        <v>2.7284841053187847E-12</v>
      </c>
    </row>
    <row r="181" spans="1:22" ht="18.95" customHeight="1">
      <c r="A181" s="1">
        <v>175</v>
      </c>
      <c r="B181" s="6">
        <v>1.4583333333333306</v>
      </c>
      <c r="C181" s="6">
        <f>TimeStep!B181</f>
        <v>1458.3333333333335</v>
      </c>
      <c r="D181" s="6">
        <v>-1.514</v>
      </c>
      <c r="E181" s="6">
        <v>0.13200000000000001</v>
      </c>
      <c r="F181" s="6">
        <v>4.5720000000000001</v>
      </c>
      <c r="G181" s="6">
        <v>0</v>
      </c>
      <c r="H181" s="6">
        <v>3.5539999999999998</v>
      </c>
      <c r="I181" s="6">
        <v>1.294</v>
      </c>
      <c r="J181" s="6">
        <v>0.19600000000000001</v>
      </c>
      <c r="K181" s="6">
        <v>1.5349999999999999</v>
      </c>
      <c r="L181" s="6">
        <v>0.35699999999999998</v>
      </c>
      <c r="M181" s="6">
        <v>3.1880000000000002</v>
      </c>
      <c r="N181" s="6">
        <v>27.2728</v>
      </c>
      <c r="O181" s="6">
        <v>33.804499999999997</v>
      </c>
      <c r="P181" s="6">
        <f t="shared" si="14"/>
        <v>39.36777683999798</v>
      </c>
      <c r="Q181" s="6">
        <f t="shared" si="15"/>
        <v>58.523438955493461</v>
      </c>
      <c r="R181" s="6">
        <f t="shared" si="16"/>
        <v>128.19240854485068</v>
      </c>
      <c r="S181" s="6">
        <f t="shared" si="18"/>
        <v>39.367776839998015</v>
      </c>
      <c r="T181" s="6">
        <f t="shared" si="19"/>
        <v>58.523438955493219</v>
      </c>
      <c r="U181" s="6">
        <f t="shared" si="20"/>
        <v>128.19240854485048</v>
      </c>
      <c r="V181" s="6">
        <f t="shared" si="17"/>
        <v>2.9558577807620168E-12</v>
      </c>
    </row>
    <row r="182" spans="1:22" ht="18.95" customHeight="1">
      <c r="A182" s="1">
        <v>176</v>
      </c>
      <c r="B182" s="6">
        <v>1.4666666666666639</v>
      </c>
      <c r="C182" s="6">
        <f>TimeStep!B182</f>
        <v>1466.6666666666667</v>
      </c>
      <c r="D182" s="6">
        <v>-1.516</v>
      </c>
      <c r="E182" s="6">
        <v>0.106</v>
      </c>
      <c r="F182" s="6">
        <v>4.5720000000000001</v>
      </c>
      <c r="G182" s="6">
        <v>0</v>
      </c>
      <c r="H182" s="6">
        <v>3.548</v>
      </c>
      <c r="I182" s="6">
        <v>1.2889999999999999</v>
      </c>
      <c r="J182" s="6">
        <v>0.188</v>
      </c>
      <c r="K182" s="6">
        <v>1.516</v>
      </c>
      <c r="L182" s="6">
        <v>0.34300000000000003</v>
      </c>
      <c r="M182" s="6">
        <v>3.169</v>
      </c>
      <c r="N182" s="6">
        <v>27.788499999999999</v>
      </c>
      <c r="O182" s="6">
        <v>33.059699999999999</v>
      </c>
      <c r="P182" s="6">
        <f t="shared" si="14"/>
        <v>39.60655911207806</v>
      </c>
      <c r="Q182" s="6">
        <f t="shared" si="15"/>
        <v>58.745543653899674</v>
      </c>
      <c r="R182" s="6">
        <f t="shared" si="16"/>
        <v>128.46413042057671</v>
      </c>
      <c r="S182" s="6">
        <f t="shared" si="18"/>
        <v>39.606559112078088</v>
      </c>
      <c r="T182" s="6">
        <f t="shared" si="19"/>
        <v>58.745543653899432</v>
      </c>
      <c r="U182" s="6">
        <f t="shared" si="20"/>
        <v>128.46413042057651</v>
      </c>
      <c r="V182" s="6">
        <f t="shared" si="17"/>
        <v>2.9558577807620168E-12</v>
      </c>
    </row>
    <row r="183" spans="1:22" ht="18.95" customHeight="1">
      <c r="A183" s="1">
        <v>177</v>
      </c>
      <c r="B183" s="6">
        <v>1.4749999999999972</v>
      </c>
      <c r="C183" s="6">
        <f>TimeStep!B183</f>
        <v>1475</v>
      </c>
      <c r="D183" s="6">
        <v>-1.518</v>
      </c>
      <c r="E183" s="6">
        <v>7.9000000000000001E-2</v>
      </c>
      <c r="F183" s="6">
        <v>4.5720000000000001</v>
      </c>
      <c r="G183" s="6">
        <v>0</v>
      </c>
      <c r="H183" s="6">
        <v>3.5409999999999999</v>
      </c>
      <c r="I183" s="6">
        <v>1.284</v>
      </c>
      <c r="J183" s="6">
        <v>0.18</v>
      </c>
      <c r="K183" s="6">
        <v>1.496</v>
      </c>
      <c r="L183" s="6">
        <v>0.32900000000000001</v>
      </c>
      <c r="M183" s="6">
        <v>3.15</v>
      </c>
      <c r="N183" s="6">
        <v>28.3614</v>
      </c>
      <c r="O183" s="6">
        <v>32.2575</v>
      </c>
      <c r="P183" s="6">
        <f t="shared" si="14"/>
        <v>39.845375946288421</v>
      </c>
      <c r="Q183" s="6">
        <f t="shared" si="15"/>
        <v>58.975920598307965</v>
      </c>
      <c r="R183" s="6">
        <f t="shared" si="16"/>
        <v>128.76305357203992</v>
      </c>
      <c r="S183" s="6">
        <f t="shared" si="18"/>
        <v>39.845375946288442</v>
      </c>
      <c r="T183" s="6">
        <f t="shared" si="19"/>
        <v>58.975920598307738</v>
      </c>
      <c r="U183" s="6">
        <f t="shared" si="20"/>
        <v>128.76305357203972</v>
      </c>
      <c r="V183" s="6">
        <f t="shared" si="17"/>
        <v>2.7284841053187847E-12</v>
      </c>
    </row>
    <row r="184" spans="1:22" ht="18.95" customHeight="1">
      <c r="A184" s="1">
        <v>178</v>
      </c>
      <c r="B184" s="6">
        <v>1.4833333333333305</v>
      </c>
      <c r="C184" s="6">
        <f>TimeStep!B184</f>
        <v>1483.3333333333335</v>
      </c>
      <c r="D184" s="6">
        <v>-1.5189999999999999</v>
      </c>
      <c r="E184" s="6">
        <v>5.2999999999999999E-2</v>
      </c>
      <c r="F184" s="6">
        <v>4.5720000000000001</v>
      </c>
      <c r="G184" s="6">
        <v>0</v>
      </c>
      <c r="H184" s="6">
        <v>3.5350000000000001</v>
      </c>
      <c r="I184" s="6">
        <v>1.2789999999999999</v>
      </c>
      <c r="J184" s="6">
        <v>0.17299999999999999</v>
      </c>
      <c r="K184" s="6">
        <v>1.4770000000000001</v>
      </c>
      <c r="L184" s="6">
        <v>0.315</v>
      </c>
      <c r="M184" s="6">
        <v>3.1309999999999998</v>
      </c>
      <c r="N184" s="6">
        <v>28.877099999999999</v>
      </c>
      <c r="O184" s="6">
        <v>31.512699999999999</v>
      </c>
      <c r="P184" s="6">
        <f t="shared" si="14"/>
        <v>40.084219050503272</v>
      </c>
      <c r="Q184" s="6">
        <f t="shared" si="15"/>
        <v>59.211761293813446</v>
      </c>
      <c r="R184" s="6">
        <f t="shared" si="16"/>
        <v>129.03478239271612</v>
      </c>
      <c r="S184" s="6">
        <f t="shared" si="18"/>
        <v>40.084219050503293</v>
      </c>
      <c r="T184" s="6">
        <f t="shared" si="19"/>
        <v>59.211761293813225</v>
      </c>
      <c r="U184" s="6">
        <f t="shared" si="20"/>
        <v>129.0347823927159</v>
      </c>
      <c r="V184" s="6">
        <f t="shared" si="17"/>
        <v>2.9558577807620168E-12</v>
      </c>
    </row>
    <row r="185" spans="1:22" ht="18.95" customHeight="1">
      <c r="A185" s="1">
        <v>179</v>
      </c>
      <c r="B185" s="6">
        <v>1.4916666666666638</v>
      </c>
      <c r="C185" s="6">
        <f>TimeStep!B185</f>
        <v>1491.6666666666667</v>
      </c>
      <c r="D185" s="6">
        <v>-1.52</v>
      </c>
      <c r="E185" s="6">
        <v>2.5999999999999999E-2</v>
      </c>
      <c r="F185" s="6">
        <v>4.5720000000000001</v>
      </c>
      <c r="G185" s="6">
        <v>0</v>
      </c>
      <c r="H185" s="6">
        <v>3.53</v>
      </c>
      <c r="I185" s="6">
        <v>1.2749999999999999</v>
      </c>
      <c r="J185" s="6">
        <v>0.16600000000000001</v>
      </c>
      <c r="K185" s="6">
        <v>1.4570000000000001</v>
      </c>
      <c r="L185" s="6">
        <v>0.30099999999999999</v>
      </c>
      <c r="M185" s="6">
        <v>3.1120000000000001</v>
      </c>
      <c r="N185" s="6">
        <v>29.392700000000001</v>
      </c>
      <c r="O185" s="6">
        <v>30.7105</v>
      </c>
      <c r="P185" s="6">
        <f t="shared" si="14"/>
        <v>40.323080127120704</v>
      </c>
      <c r="Q185" s="6">
        <f t="shared" si="15"/>
        <v>59.455814499789597</v>
      </c>
      <c r="R185" s="6">
        <f t="shared" si="16"/>
        <v>129.25757995752838</v>
      </c>
      <c r="S185" s="6">
        <f t="shared" si="18"/>
        <v>40.323080127120733</v>
      </c>
      <c r="T185" s="6">
        <f t="shared" si="19"/>
        <v>59.455814499789369</v>
      </c>
      <c r="U185" s="6">
        <f t="shared" si="20"/>
        <v>129.25757995752815</v>
      </c>
      <c r="V185" s="6">
        <f t="shared" si="17"/>
        <v>2.9558577807620168E-12</v>
      </c>
    </row>
    <row r="186" spans="1:22" ht="18.95" customHeight="1">
      <c r="A186" s="1">
        <v>180</v>
      </c>
      <c r="B186" s="6">
        <v>1.4999999999999971</v>
      </c>
      <c r="C186" s="6">
        <f>TimeStep!B186</f>
        <v>1500</v>
      </c>
      <c r="D186" s="6">
        <v>-1.52</v>
      </c>
      <c r="E186" s="6">
        <v>0</v>
      </c>
      <c r="F186" s="6">
        <v>4.5720000000000001</v>
      </c>
      <c r="G186" s="6">
        <v>0</v>
      </c>
      <c r="H186" s="6">
        <v>3.524</v>
      </c>
      <c r="I186" s="6">
        <v>1.27</v>
      </c>
      <c r="J186" s="6">
        <v>0.16</v>
      </c>
      <c r="K186" s="6">
        <v>1.4379999999999999</v>
      </c>
      <c r="L186" s="6">
        <v>0.28699999999999998</v>
      </c>
      <c r="M186" s="6">
        <v>3.0939999999999999</v>
      </c>
      <c r="N186" s="6">
        <v>29.965699999999998</v>
      </c>
      <c r="O186" s="6">
        <v>29.965699999999998</v>
      </c>
      <c r="P186" s="6">
        <f t="shared" si="14"/>
        <v>40.5619508747913</v>
      </c>
      <c r="Q186" s="6">
        <f t="shared" si="15"/>
        <v>59.713635558172257</v>
      </c>
      <c r="R186" s="6">
        <f t="shared" si="16"/>
        <v>129.52934163602296</v>
      </c>
      <c r="S186" s="6">
        <f t="shared" si="18"/>
        <v>40.561950874791336</v>
      </c>
      <c r="T186" s="6">
        <f t="shared" si="19"/>
        <v>59.71363555817203</v>
      </c>
      <c r="U186" s="6">
        <f t="shared" si="20"/>
        <v>129.52934163602276</v>
      </c>
      <c r="V186" s="6">
        <f t="shared" si="17"/>
        <v>2.9558577807620168E-12</v>
      </c>
    </row>
    <row r="187" spans="1:22" ht="18.95" customHeight="1">
      <c r="A187" s="1">
        <v>181</v>
      </c>
      <c r="B187" s="6">
        <v>1.5083333333333304</v>
      </c>
      <c r="C187" s="6">
        <f>TimeStep!B187</f>
        <v>1508.3333333333335</v>
      </c>
      <c r="D187" s="6">
        <v>-1.52</v>
      </c>
      <c r="E187" s="6">
        <v>-2.7E-2</v>
      </c>
      <c r="F187" s="6">
        <v>4.5720000000000001</v>
      </c>
      <c r="G187" s="6">
        <v>0</v>
      </c>
      <c r="H187" s="6">
        <v>3.5190000000000001</v>
      </c>
      <c r="I187" s="6">
        <v>1.266</v>
      </c>
      <c r="J187" s="6">
        <v>0.154</v>
      </c>
      <c r="K187" s="6">
        <v>1.419</v>
      </c>
      <c r="L187" s="6">
        <v>0.27400000000000002</v>
      </c>
      <c r="M187" s="6">
        <v>3.0750000000000002</v>
      </c>
      <c r="N187" s="6">
        <v>30.481400000000001</v>
      </c>
      <c r="O187" s="6">
        <v>29.163599999999999</v>
      </c>
      <c r="P187" s="6">
        <f t="shared" si="14"/>
        <v>40.820430126570194</v>
      </c>
      <c r="Q187" s="6">
        <f t="shared" si="15"/>
        <v>59.95763550128305</v>
      </c>
      <c r="R187" s="6">
        <f t="shared" si="16"/>
        <v>129.75211108490706</v>
      </c>
      <c r="S187" s="6">
        <f t="shared" si="18"/>
        <v>40.820430126570244</v>
      </c>
      <c r="T187" s="6">
        <f t="shared" si="19"/>
        <v>59.957635501282823</v>
      </c>
      <c r="U187" s="6">
        <f t="shared" si="20"/>
        <v>129.75211108490686</v>
      </c>
      <c r="V187" s="6">
        <f t="shared" si="17"/>
        <v>2.9558577807620168E-12</v>
      </c>
    </row>
    <row r="188" spans="1:22" ht="18.95" customHeight="1">
      <c r="A188" s="1">
        <v>182</v>
      </c>
      <c r="B188" s="6">
        <v>1.5166666666666635</v>
      </c>
      <c r="C188" s="6">
        <f>TimeStep!B188</f>
        <v>1516.6666666666667</v>
      </c>
      <c r="D188" s="6">
        <v>-1.5189999999999999</v>
      </c>
      <c r="E188" s="6">
        <v>-5.2999999999999999E-2</v>
      </c>
      <c r="F188" s="6">
        <v>4.5720000000000001</v>
      </c>
      <c r="G188" s="6">
        <v>0</v>
      </c>
      <c r="H188" s="6">
        <v>3.5129999999999999</v>
      </c>
      <c r="I188" s="6">
        <v>1.2609999999999999</v>
      </c>
      <c r="J188" s="6">
        <v>0.14799999999999999</v>
      </c>
      <c r="K188" s="6">
        <v>1.4</v>
      </c>
      <c r="L188" s="6">
        <v>0.26100000000000001</v>
      </c>
      <c r="M188" s="6">
        <v>3.056</v>
      </c>
      <c r="N188" s="6">
        <v>30.997</v>
      </c>
      <c r="O188" s="6">
        <v>28.3614</v>
      </c>
      <c r="P188" s="6">
        <f t="shared" si="14"/>
        <v>41.076242648647728</v>
      </c>
      <c r="Q188" s="6">
        <f t="shared" si="15"/>
        <v>60.207509438375055</v>
      </c>
      <c r="R188" s="6">
        <f t="shared" si="16"/>
        <v>130.02386512942167</v>
      </c>
      <c r="S188" s="6">
        <f t="shared" si="18"/>
        <v>41.076242648647764</v>
      </c>
      <c r="T188" s="6">
        <f t="shared" si="19"/>
        <v>60.207509438374814</v>
      </c>
      <c r="U188" s="6">
        <f t="shared" si="20"/>
        <v>130.02386512942144</v>
      </c>
      <c r="V188" s="6">
        <f t="shared" si="17"/>
        <v>3.1832314562052488E-12</v>
      </c>
    </row>
    <row r="189" spans="1:22" ht="18.95" customHeight="1">
      <c r="A189" s="1">
        <v>183</v>
      </c>
      <c r="B189" s="6">
        <v>1.524999999999997</v>
      </c>
      <c r="C189" s="6">
        <f>TimeStep!B189</f>
        <v>1525</v>
      </c>
      <c r="D189" s="6">
        <v>-1.518</v>
      </c>
      <c r="E189" s="6">
        <v>-0.08</v>
      </c>
      <c r="F189" s="6">
        <v>4.5720000000000001</v>
      </c>
      <c r="G189" s="6">
        <v>0</v>
      </c>
      <c r="H189" s="6">
        <v>3.508</v>
      </c>
      <c r="I189" s="6">
        <v>1.2569999999999999</v>
      </c>
      <c r="J189" s="6">
        <v>0.14299999999999999</v>
      </c>
      <c r="K189" s="6">
        <v>1.381</v>
      </c>
      <c r="L189" s="6">
        <v>0.248</v>
      </c>
      <c r="M189" s="6">
        <v>3.0379999999999998</v>
      </c>
      <c r="N189" s="6">
        <v>31.512699999999999</v>
      </c>
      <c r="O189" s="6">
        <v>27.5593</v>
      </c>
      <c r="P189" s="6">
        <f t="shared" si="14"/>
        <v>41.334555176792065</v>
      </c>
      <c r="Q189" s="6">
        <f t="shared" si="15"/>
        <v>60.473273957121414</v>
      </c>
      <c r="R189" s="6">
        <f t="shared" si="16"/>
        <v>130.24657328144463</v>
      </c>
      <c r="S189" s="6">
        <f t="shared" si="18"/>
        <v>41.334555176792094</v>
      </c>
      <c r="T189" s="6">
        <f t="shared" si="19"/>
        <v>60.473273957121165</v>
      </c>
      <c r="U189" s="6">
        <f t="shared" si="20"/>
        <v>130.2465732814444</v>
      </c>
      <c r="V189" s="6">
        <f t="shared" si="17"/>
        <v>2.9558577807620168E-12</v>
      </c>
    </row>
    <row r="190" spans="1:22" ht="18.95" customHeight="1">
      <c r="A190" s="1">
        <v>184</v>
      </c>
      <c r="B190" s="6">
        <v>1.5333333333333303</v>
      </c>
      <c r="C190" s="6">
        <f>TimeStep!B190</f>
        <v>1533.3333333333335</v>
      </c>
      <c r="D190" s="6">
        <v>-1.516</v>
      </c>
      <c r="E190" s="6">
        <v>-0.106</v>
      </c>
      <c r="F190" s="6">
        <v>4.5720000000000001</v>
      </c>
      <c r="G190" s="6">
        <v>0</v>
      </c>
      <c r="H190" s="6">
        <v>3.5030000000000001</v>
      </c>
      <c r="I190" s="6">
        <v>1.252</v>
      </c>
      <c r="J190" s="6">
        <v>0.13800000000000001</v>
      </c>
      <c r="K190" s="6">
        <v>1.3620000000000001</v>
      </c>
      <c r="L190" s="6">
        <v>0.23499999999999999</v>
      </c>
      <c r="M190" s="6">
        <v>3.02</v>
      </c>
      <c r="N190" s="6">
        <v>32.028300000000002</v>
      </c>
      <c r="O190" s="6">
        <v>26.757100000000001</v>
      </c>
      <c r="P190" s="6">
        <f t="shared" si="14"/>
        <v>41.590508342397825</v>
      </c>
      <c r="Q190" s="6">
        <f t="shared" si="15"/>
        <v>60.745034670502903</v>
      </c>
      <c r="R190" s="6">
        <f t="shared" si="16"/>
        <v>130.49182201462148</v>
      </c>
      <c r="S190" s="6">
        <f t="shared" si="18"/>
        <v>41.590508342397868</v>
      </c>
      <c r="T190" s="6">
        <f t="shared" si="19"/>
        <v>60.745034670502662</v>
      </c>
      <c r="U190" s="6">
        <f t="shared" si="20"/>
        <v>130.49182201462122</v>
      </c>
      <c r="V190" s="6">
        <f t="shared" si="17"/>
        <v>3.1832314562052488E-12</v>
      </c>
    </row>
    <row r="191" spans="1:22" ht="18.95" customHeight="1">
      <c r="A191" s="1">
        <v>185</v>
      </c>
      <c r="B191" s="6">
        <v>1.5416666666666636</v>
      </c>
      <c r="C191" s="6">
        <f>TimeStep!B191</f>
        <v>1541.6666666666667</v>
      </c>
      <c r="D191" s="6">
        <v>-1.514</v>
      </c>
      <c r="E191" s="6">
        <v>-0.13200000000000001</v>
      </c>
      <c r="F191" s="6">
        <v>4.5720000000000001</v>
      </c>
      <c r="G191" s="6">
        <v>0</v>
      </c>
      <c r="H191" s="6">
        <v>3.4990000000000001</v>
      </c>
      <c r="I191" s="6">
        <v>1.248</v>
      </c>
      <c r="J191" s="6">
        <v>0.13300000000000001</v>
      </c>
      <c r="K191" s="6">
        <v>1.343</v>
      </c>
      <c r="L191" s="6">
        <v>0.222</v>
      </c>
      <c r="M191" s="6">
        <v>3.0009999999999999</v>
      </c>
      <c r="N191" s="6">
        <v>32.543999999999997</v>
      </c>
      <c r="O191" s="6">
        <v>25.954999999999998</v>
      </c>
      <c r="P191" s="6">
        <f t="shared" si="14"/>
        <v>41.846597820841374</v>
      </c>
      <c r="Q191" s="6">
        <f t="shared" si="15"/>
        <v>61.009097557568246</v>
      </c>
      <c r="R191" s="6">
        <f t="shared" si="16"/>
        <v>130.68814069216307</v>
      </c>
      <c r="S191" s="6">
        <f t="shared" si="18"/>
        <v>41.846597820841424</v>
      </c>
      <c r="T191" s="6">
        <f t="shared" si="19"/>
        <v>61.009097557567998</v>
      </c>
      <c r="U191" s="6">
        <f t="shared" si="20"/>
        <v>130.68814069216285</v>
      </c>
      <c r="V191" s="6">
        <f t="shared" si="17"/>
        <v>3.1832314562052488E-12</v>
      </c>
    </row>
    <row r="192" spans="1:22" ht="18.95" customHeight="1">
      <c r="A192" s="1">
        <v>186</v>
      </c>
      <c r="B192" s="6">
        <v>1.5499999999999969</v>
      </c>
      <c r="C192" s="6">
        <f>TimeStep!B192</f>
        <v>1550</v>
      </c>
      <c r="D192" s="6">
        <v>-1.512</v>
      </c>
      <c r="E192" s="6">
        <v>-0.159</v>
      </c>
      <c r="F192" s="6">
        <v>4.5720000000000001</v>
      </c>
      <c r="G192" s="6">
        <v>0</v>
      </c>
      <c r="H192" s="6">
        <v>3.4940000000000002</v>
      </c>
      <c r="I192" s="6">
        <v>1.244</v>
      </c>
      <c r="J192" s="6">
        <v>0.128</v>
      </c>
      <c r="K192" s="6">
        <v>1.325</v>
      </c>
      <c r="L192" s="6">
        <v>0.21</v>
      </c>
      <c r="M192" s="6">
        <v>2.9830000000000001</v>
      </c>
      <c r="N192" s="6">
        <v>33.059699999999999</v>
      </c>
      <c r="O192" s="6">
        <v>25.152799999999999</v>
      </c>
      <c r="P192" s="6">
        <f t="shared" si="14"/>
        <v>42.141253741857803</v>
      </c>
      <c r="Q192" s="6">
        <f t="shared" si="15"/>
        <v>61.274678364769528</v>
      </c>
      <c r="R192" s="6">
        <f t="shared" si="16"/>
        <v>130.91087610247345</v>
      </c>
      <c r="S192" s="6">
        <f t="shared" si="18"/>
        <v>42.141253741857867</v>
      </c>
      <c r="T192" s="6">
        <f t="shared" si="19"/>
        <v>61.274678364769272</v>
      </c>
      <c r="U192" s="6">
        <f t="shared" si="20"/>
        <v>130.91087610247325</v>
      </c>
      <c r="V192" s="6">
        <f t="shared" si="17"/>
        <v>2.9558577807620168E-12</v>
      </c>
    </row>
    <row r="193" spans="1:22" ht="18.95" customHeight="1">
      <c r="A193" s="1">
        <v>187</v>
      </c>
      <c r="B193" s="6">
        <v>1.5583333333333302</v>
      </c>
      <c r="C193" s="6">
        <f>TimeStep!B193</f>
        <v>1558.3333333333335</v>
      </c>
      <c r="D193" s="6">
        <v>-1.5089999999999999</v>
      </c>
      <c r="E193" s="6">
        <v>-0.185</v>
      </c>
      <c r="F193" s="6">
        <v>4.5720000000000001</v>
      </c>
      <c r="G193" s="6">
        <v>0</v>
      </c>
      <c r="H193" s="6">
        <v>3.4889999999999999</v>
      </c>
      <c r="I193" s="6">
        <v>1.24</v>
      </c>
      <c r="J193" s="6">
        <v>0.124</v>
      </c>
      <c r="K193" s="6">
        <v>1.306</v>
      </c>
      <c r="L193" s="6">
        <v>0.19800000000000001</v>
      </c>
      <c r="M193" s="6">
        <v>2.9649999999999999</v>
      </c>
      <c r="N193" s="6">
        <v>33.575299999999999</v>
      </c>
      <c r="O193" s="6">
        <v>24.3507</v>
      </c>
      <c r="P193" s="6">
        <f t="shared" si="14"/>
        <v>42.397437797500196</v>
      </c>
      <c r="Q193" s="6">
        <f t="shared" si="15"/>
        <v>61.546525169752798</v>
      </c>
      <c r="R193" s="6">
        <f t="shared" si="16"/>
        <v>131.13354346084702</v>
      </c>
      <c r="S193" s="6">
        <f t="shared" si="18"/>
        <v>42.39743779750026</v>
      </c>
      <c r="T193" s="6">
        <f t="shared" si="19"/>
        <v>61.546525169752556</v>
      </c>
      <c r="U193" s="6">
        <f t="shared" si="20"/>
        <v>131.13354346084679</v>
      </c>
      <c r="V193" s="6">
        <f t="shared" si="17"/>
        <v>3.1832314562052488E-12</v>
      </c>
    </row>
    <row r="194" spans="1:22" ht="18.95" customHeight="1">
      <c r="A194" s="1">
        <v>188</v>
      </c>
      <c r="B194" s="6">
        <v>1.5666666666666635</v>
      </c>
      <c r="C194" s="6">
        <f>TimeStep!B194</f>
        <v>1566.6666666666667</v>
      </c>
      <c r="D194" s="6">
        <v>-1.5049999999999999</v>
      </c>
      <c r="E194" s="6">
        <v>-0.21199999999999999</v>
      </c>
      <c r="F194" s="6">
        <v>4.5720000000000001</v>
      </c>
      <c r="G194" s="6">
        <v>0</v>
      </c>
      <c r="H194" s="6">
        <v>3.4849999999999999</v>
      </c>
      <c r="I194" s="6">
        <v>1.2370000000000001</v>
      </c>
      <c r="J194" s="6">
        <v>0.12</v>
      </c>
      <c r="K194" s="6">
        <v>1.288</v>
      </c>
      <c r="L194" s="6">
        <v>0.186</v>
      </c>
      <c r="M194" s="6">
        <v>2.9470000000000001</v>
      </c>
      <c r="N194" s="6">
        <v>34.033700000000003</v>
      </c>
      <c r="O194" s="6">
        <v>23.5486</v>
      </c>
      <c r="P194" s="6">
        <f t="shared" si="14"/>
        <v>42.709389957361473</v>
      </c>
      <c r="Q194" s="6">
        <f t="shared" si="15"/>
        <v>61.840035787466583</v>
      </c>
      <c r="R194" s="6">
        <f t="shared" si="16"/>
        <v>131.3070300320299</v>
      </c>
      <c r="S194" s="6">
        <f t="shared" si="18"/>
        <v>42.709389957361537</v>
      </c>
      <c r="T194" s="6">
        <f t="shared" si="19"/>
        <v>61.840035787466348</v>
      </c>
      <c r="U194" s="6">
        <f t="shared" si="20"/>
        <v>131.30703003202967</v>
      </c>
      <c r="V194" s="6">
        <f t="shared" si="17"/>
        <v>3.1832314562052488E-12</v>
      </c>
    </row>
    <row r="195" spans="1:22" ht="18.95" customHeight="1">
      <c r="A195" s="1">
        <v>189</v>
      </c>
      <c r="B195" s="6">
        <v>1.5749999999999968</v>
      </c>
      <c r="C195" s="6">
        <f>TimeStep!B195</f>
        <v>1575</v>
      </c>
      <c r="D195" s="6">
        <v>-1.5009999999999999</v>
      </c>
      <c r="E195" s="6">
        <v>-0.23799999999999999</v>
      </c>
      <c r="F195" s="6">
        <v>4.5720000000000001</v>
      </c>
      <c r="G195" s="6">
        <v>0</v>
      </c>
      <c r="H195" s="6">
        <v>3.4809999999999999</v>
      </c>
      <c r="I195" s="6">
        <v>1.2330000000000001</v>
      </c>
      <c r="J195" s="6">
        <v>0.11700000000000001</v>
      </c>
      <c r="K195" s="6">
        <v>1.27</v>
      </c>
      <c r="L195" s="6">
        <v>0.17399999999999999</v>
      </c>
      <c r="M195" s="6">
        <v>2.9289999999999998</v>
      </c>
      <c r="N195" s="6">
        <v>34.549399999999999</v>
      </c>
      <c r="O195" s="6">
        <v>22.746400000000001</v>
      </c>
      <c r="P195" s="6">
        <f t="shared" si="14"/>
        <v>42.984665287506125</v>
      </c>
      <c r="Q195" s="6">
        <f t="shared" si="15"/>
        <v>62.126008444022439</v>
      </c>
      <c r="R195" s="6">
        <f t="shared" si="16"/>
        <v>131.50348608814386</v>
      </c>
      <c r="S195" s="6">
        <f t="shared" si="18"/>
        <v>42.984665287506203</v>
      </c>
      <c r="T195" s="6">
        <f t="shared" si="19"/>
        <v>62.126008444022204</v>
      </c>
      <c r="U195" s="6">
        <f t="shared" si="20"/>
        <v>131.50348608814363</v>
      </c>
      <c r="V195" s="6">
        <f t="shared" si="17"/>
        <v>3.1832314562052488E-12</v>
      </c>
    </row>
    <row r="196" spans="1:22" ht="18.95" customHeight="1">
      <c r="A196" s="1">
        <v>190</v>
      </c>
      <c r="B196" s="6">
        <v>1.5833333333333302</v>
      </c>
      <c r="C196" s="6">
        <f>TimeStep!B196</f>
        <v>1583.3333333333335</v>
      </c>
      <c r="D196" s="6">
        <v>-1.4970000000000001</v>
      </c>
      <c r="E196" s="6">
        <v>-0.26400000000000001</v>
      </c>
      <c r="F196" s="6">
        <v>4.5720000000000001</v>
      </c>
      <c r="G196" s="6">
        <v>0</v>
      </c>
      <c r="H196" s="6">
        <v>3.4769999999999999</v>
      </c>
      <c r="I196" s="6">
        <v>1.23</v>
      </c>
      <c r="J196" s="6">
        <v>0.113</v>
      </c>
      <c r="K196" s="6">
        <v>1.252</v>
      </c>
      <c r="L196" s="6">
        <v>0.16200000000000001</v>
      </c>
      <c r="M196" s="6">
        <v>2.9119999999999999</v>
      </c>
      <c r="N196" s="6">
        <v>35.0077</v>
      </c>
      <c r="O196" s="6">
        <v>21.944299999999998</v>
      </c>
      <c r="P196" s="6">
        <f t="shared" si="14"/>
        <v>43.277613300154137</v>
      </c>
      <c r="Q196" s="6">
        <f t="shared" si="15"/>
        <v>62.419451538340105</v>
      </c>
      <c r="R196" s="6">
        <f t="shared" si="16"/>
        <v>131.67687955486457</v>
      </c>
      <c r="S196" s="6">
        <f t="shared" si="18"/>
        <v>43.277613300154229</v>
      </c>
      <c r="T196" s="6">
        <f t="shared" si="19"/>
        <v>62.419451538339871</v>
      </c>
      <c r="U196" s="6">
        <f t="shared" si="20"/>
        <v>131.67687955486434</v>
      </c>
      <c r="V196" s="6">
        <f t="shared" si="17"/>
        <v>3.4106051316484809E-12</v>
      </c>
    </row>
    <row r="197" spans="1:22" ht="18.95" customHeight="1">
      <c r="A197" s="1">
        <v>191</v>
      </c>
      <c r="B197" s="6">
        <v>1.5916666666666637</v>
      </c>
      <c r="C197" s="6">
        <f>TimeStep!B197</f>
        <v>1591.6666666666667</v>
      </c>
      <c r="D197" s="6">
        <v>-1.492</v>
      </c>
      <c r="E197" s="6">
        <v>-0.28999999999999998</v>
      </c>
      <c r="F197" s="6">
        <v>4.5720000000000001</v>
      </c>
      <c r="G197" s="6">
        <v>0</v>
      </c>
      <c r="H197" s="6">
        <v>3.4729999999999999</v>
      </c>
      <c r="I197" s="6">
        <v>1.226</v>
      </c>
      <c r="J197" s="6">
        <v>0.11</v>
      </c>
      <c r="K197" s="6">
        <v>1.234</v>
      </c>
      <c r="L197" s="6">
        <v>0.151</v>
      </c>
      <c r="M197" s="6">
        <v>2.8940000000000001</v>
      </c>
      <c r="N197" s="6">
        <v>35.523400000000002</v>
      </c>
      <c r="O197" s="6">
        <v>21.142099999999999</v>
      </c>
      <c r="P197" s="6">
        <f t="shared" si="14"/>
        <v>43.570651419512004</v>
      </c>
      <c r="Q197" s="6">
        <f t="shared" si="15"/>
        <v>62.705470139961818</v>
      </c>
      <c r="R197" s="6">
        <f t="shared" si="16"/>
        <v>131.87340223971526</v>
      </c>
      <c r="S197" s="6">
        <f t="shared" si="18"/>
        <v>43.570651419512103</v>
      </c>
      <c r="T197" s="6">
        <f t="shared" si="19"/>
        <v>62.705470139961591</v>
      </c>
      <c r="U197" s="6">
        <f t="shared" si="20"/>
        <v>131.87340223971501</v>
      </c>
      <c r="V197" s="6">
        <f t="shared" si="17"/>
        <v>2.9558577807620168E-12</v>
      </c>
    </row>
    <row r="198" spans="1:22" ht="18.95" customHeight="1">
      <c r="A198" s="1">
        <v>192</v>
      </c>
      <c r="B198" s="6">
        <v>1.5999999999999968</v>
      </c>
      <c r="C198" s="6">
        <f>TimeStep!B198</f>
        <v>1600</v>
      </c>
      <c r="D198" s="6">
        <v>-1.4870000000000001</v>
      </c>
      <c r="E198" s="6">
        <v>-0.316</v>
      </c>
      <c r="F198" s="6">
        <v>4.5720000000000001</v>
      </c>
      <c r="G198" s="6">
        <v>0</v>
      </c>
      <c r="H198" s="6">
        <v>3.4689999999999999</v>
      </c>
      <c r="I198" s="6">
        <v>1.2230000000000001</v>
      </c>
      <c r="J198" s="6">
        <v>0.108</v>
      </c>
      <c r="K198" s="6">
        <v>1.216</v>
      </c>
      <c r="L198" s="6">
        <v>0.13900000000000001</v>
      </c>
      <c r="M198" s="6">
        <v>2.8769999999999998</v>
      </c>
      <c r="N198" s="6">
        <v>35.981699999999996</v>
      </c>
      <c r="O198" s="6">
        <v>20.34</v>
      </c>
      <c r="P198" s="6">
        <f t="shared" ref="P198:P261" si="21">DEGREES(ATAN2(J198-D198,K198-E198))</f>
        <v>43.84581201225739</v>
      </c>
      <c r="Q198" s="6">
        <f t="shared" ref="Q198:Q261" si="22">DEGREES(ATAN2(L198-D198,M198-E198))</f>
        <v>63.013032960661505</v>
      </c>
      <c r="R198" s="6">
        <f t="shared" ref="R198:R261" si="23">DEGREES(ATAN2(H198-F198,I198-G198))</f>
        <v>132.04668816740903</v>
      </c>
      <c r="S198" s="6">
        <f t="shared" si="18"/>
        <v>43.845812012257483</v>
      </c>
      <c r="T198" s="6">
        <f t="shared" si="19"/>
        <v>63.013032960661263</v>
      </c>
      <c r="U198" s="6">
        <f t="shared" si="20"/>
        <v>132.04668816740877</v>
      </c>
      <c r="V198" s="6">
        <f t="shared" ref="V198:V261" si="24">C198-B198*1000</f>
        <v>3.1832314562052488E-12</v>
      </c>
    </row>
    <row r="199" spans="1:22" ht="18.95" customHeight="1">
      <c r="A199" s="1">
        <v>193</v>
      </c>
      <c r="B199" s="6">
        <v>1.6083333333333301</v>
      </c>
      <c r="C199" s="6">
        <f>TimeStep!B199</f>
        <v>1608.3333333333335</v>
      </c>
      <c r="D199" s="6">
        <v>-1.4810000000000001</v>
      </c>
      <c r="E199" s="6">
        <v>-0.34200000000000003</v>
      </c>
      <c r="F199" s="6">
        <v>4.5720000000000001</v>
      </c>
      <c r="G199" s="6">
        <v>0</v>
      </c>
      <c r="H199" s="6">
        <v>3.4660000000000002</v>
      </c>
      <c r="I199" s="6">
        <v>1.22</v>
      </c>
      <c r="J199" s="6">
        <v>0.105</v>
      </c>
      <c r="K199" s="6">
        <v>1.1990000000000001</v>
      </c>
      <c r="L199" s="6">
        <v>0.128</v>
      </c>
      <c r="M199" s="6">
        <v>2.859</v>
      </c>
      <c r="N199" s="6">
        <v>36.440100000000001</v>
      </c>
      <c r="O199" s="6">
        <v>19.5379</v>
      </c>
      <c r="P199" s="6">
        <f t="shared" si="21"/>
        <v>44.175525386855689</v>
      </c>
      <c r="Q199" s="6">
        <f t="shared" si="22"/>
        <v>63.313362655198326</v>
      </c>
      <c r="R199" s="6">
        <f t="shared" si="23"/>
        <v>132.19411158571637</v>
      </c>
      <c r="S199" s="6">
        <f t="shared" ref="S199:S262" si="25">S198+MOD(P199-P198+180,360)-180</f>
        <v>44.175525386855782</v>
      </c>
      <c r="T199" s="6">
        <f t="shared" ref="T199:T262" si="26">T198+MOD(Q199-Q198+180,360)-180</f>
        <v>63.313362655198091</v>
      </c>
      <c r="U199" s="6">
        <f t="shared" ref="U199:U262" si="27">U198+MOD(R199-R198+180,360)-180</f>
        <v>132.19411158571609</v>
      </c>
      <c r="V199" s="6">
        <f t="shared" si="24"/>
        <v>3.4106051316484809E-12</v>
      </c>
    </row>
    <row r="200" spans="1:22" ht="18.95" customHeight="1">
      <c r="A200" s="1">
        <v>194</v>
      </c>
      <c r="B200" s="6">
        <v>1.6166666666666634</v>
      </c>
      <c r="C200" s="6">
        <f>TimeStep!B200</f>
        <v>1616.6666666666667</v>
      </c>
      <c r="D200" s="6">
        <v>-1.4750000000000001</v>
      </c>
      <c r="E200" s="6">
        <v>-0.36799999999999999</v>
      </c>
      <c r="F200" s="6">
        <v>4.5720000000000001</v>
      </c>
      <c r="G200" s="6">
        <v>0</v>
      </c>
      <c r="H200" s="6">
        <v>3.4630000000000001</v>
      </c>
      <c r="I200" s="6">
        <v>1.2170000000000001</v>
      </c>
      <c r="J200" s="6">
        <v>0.10299999999999999</v>
      </c>
      <c r="K200" s="6">
        <v>1.181</v>
      </c>
      <c r="L200" s="6">
        <v>0.11700000000000001</v>
      </c>
      <c r="M200" s="6">
        <v>2.8420000000000001</v>
      </c>
      <c r="N200" s="6">
        <v>36.898499999999999</v>
      </c>
      <c r="O200" s="6">
        <v>18.735700000000001</v>
      </c>
      <c r="P200" s="6">
        <f t="shared" si="21"/>
        <v>44.468650472701171</v>
      </c>
      <c r="Q200" s="6">
        <f t="shared" si="22"/>
        <v>63.620880555088959</v>
      </c>
      <c r="R200" s="6">
        <f t="shared" si="23"/>
        <v>132.34157219555399</v>
      </c>
      <c r="S200" s="6">
        <f t="shared" si="25"/>
        <v>44.468650472701256</v>
      </c>
      <c r="T200" s="6">
        <f t="shared" si="26"/>
        <v>63.620880555088718</v>
      </c>
      <c r="U200" s="6">
        <f t="shared" si="27"/>
        <v>132.34157219555368</v>
      </c>
      <c r="V200" s="6">
        <f t="shared" si="24"/>
        <v>3.4106051316484809E-12</v>
      </c>
    </row>
    <row r="201" spans="1:22" ht="18.95" customHeight="1">
      <c r="A201" s="1">
        <v>195</v>
      </c>
      <c r="B201" s="6">
        <v>1.6249999999999969</v>
      </c>
      <c r="C201" s="6">
        <f>TimeStep!B201</f>
        <v>1625.0000000000002</v>
      </c>
      <c r="D201" s="6">
        <v>-1.468</v>
      </c>
      <c r="E201" s="6">
        <v>-0.39300000000000002</v>
      </c>
      <c r="F201" s="6">
        <v>4.5720000000000001</v>
      </c>
      <c r="G201" s="6">
        <v>0</v>
      </c>
      <c r="H201" s="6">
        <v>3.4590000000000001</v>
      </c>
      <c r="I201" s="6">
        <v>1.2130000000000001</v>
      </c>
      <c r="J201" s="6">
        <v>0.10199999999999999</v>
      </c>
      <c r="K201" s="6">
        <v>1.1639999999999999</v>
      </c>
      <c r="L201" s="6">
        <v>0.107</v>
      </c>
      <c r="M201" s="6">
        <v>2.8250000000000002</v>
      </c>
      <c r="N201" s="6">
        <v>37.3568</v>
      </c>
      <c r="O201" s="6">
        <v>17.933599999999998</v>
      </c>
      <c r="P201" s="6">
        <f t="shared" si="21"/>
        <v>44.761803376224798</v>
      </c>
      <c r="Q201" s="6">
        <f t="shared" si="22"/>
        <v>63.921282543687397</v>
      </c>
      <c r="R201" s="6">
        <f t="shared" si="23"/>
        <v>132.53824084176983</v>
      </c>
      <c r="S201" s="6">
        <f t="shared" si="25"/>
        <v>44.76180337622489</v>
      </c>
      <c r="T201" s="6">
        <f t="shared" si="26"/>
        <v>63.921282543687141</v>
      </c>
      <c r="U201" s="6">
        <f t="shared" si="27"/>
        <v>132.53824084176949</v>
      </c>
      <c r="V201" s="6">
        <f t="shared" si="24"/>
        <v>3.4106051316484809E-12</v>
      </c>
    </row>
    <row r="202" spans="1:22" ht="18.95" customHeight="1">
      <c r="A202" s="1">
        <v>196</v>
      </c>
      <c r="B202" s="6">
        <v>1.63333333333333</v>
      </c>
      <c r="C202" s="6">
        <f>TimeStep!B202</f>
        <v>1633.3333333333335</v>
      </c>
      <c r="D202" s="6">
        <v>-1.4610000000000001</v>
      </c>
      <c r="E202" s="6">
        <v>-0.41899999999999998</v>
      </c>
      <c r="F202" s="6">
        <v>4.5720000000000001</v>
      </c>
      <c r="G202" s="6">
        <v>0</v>
      </c>
      <c r="H202" s="6">
        <v>3.456</v>
      </c>
      <c r="I202" s="6">
        <v>1.2110000000000001</v>
      </c>
      <c r="J202" s="6">
        <v>0.1</v>
      </c>
      <c r="K202" s="6">
        <v>1.147</v>
      </c>
      <c r="L202" s="6">
        <v>9.6000000000000002E-2</v>
      </c>
      <c r="M202" s="6">
        <v>2.8079999999999998</v>
      </c>
      <c r="N202" s="6">
        <v>37.757899999999999</v>
      </c>
      <c r="O202" s="6">
        <v>17.131399999999999</v>
      </c>
      <c r="P202" s="6">
        <f t="shared" si="21"/>
        <v>45.091614535790342</v>
      </c>
      <c r="Q202" s="6">
        <f t="shared" si="22"/>
        <v>64.243086850015047</v>
      </c>
      <c r="R202" s="6">
        <f t="shared" si="23"/>
        <v>132.66219248362603</v>
      </c>
      <c r="S202" s="6">
        <f t="shared" si="25"/>
        <v>45.091614535790427</v>
      </c>
      <c r="T202" s="6">
        <f t="shared" si="26"/>
        <v>64.243086850014777</v>
      </c>
      <c r="U202" s="6">
        <f t="shared" si="27"/>
        <v>132.66219248362569</v>
      </c>
      <c r="V202" s="6">
        <f t="shared" si="24"/>
        <v>3.4106051316484809E-12</v>
      </c>
    </row>
    <row r="203" spans="1:22" ht="18.95" customHeight="1">
      <c r="A203" s="1">
        <v>197</v>
      </c>
      <c r="B203" s="6">
        <v>1.6416666666666633</v>
      </c>
      <c r="C203" s="6">
        <f>TimeStep!B203</f>
        <v>1641.6666666666667</v>
      </c>
      <c r="D203" s="6">
        <v>-1.4530000000000001</v>
      </c>
      <c r="E203" s="6">
        <v>-0.44400000000000001</v>
      </c>
      <c r="F203" s="6">
        <v>4.5720000000000001</v>
      </c>
      <c r="G203" s="6">
        <v>0</v>
      </c>
      <c r="H203" s="6">
        <v>3.4529999999999998</v>
      </c>
      <c r="I203" s="6">
        <v>1.208</v>
      </c>
      <c r="J203" s="6">
        <v>9.9000000000000005E-2</v>
      </c>
      <c r="K203" s="6">
        <v>1.1299999999999999</v>
      </c>
      <c r="L203" s="6">
        <v>8.5999999999999993E-2</v>
      </c>
      <c r="M203" s="6">
        <v>2.7909999999999999</v>
      </c>
      <c r="N203" s="6">
        <v>38.216299999999997</v>
      </c>
      <c r="O203" s="6">
        <v>16.386600000000001</v>
      </c>
      <c r="P203" s="6">
        <f t="shared" si="21"/>
        <v>45.403226595961932</v>
      </c>
      <c r="Q203" s="6">
        <f t="shared" si="22"/>
        <v>64.557971098739941</v>
      </c>
      <c r="R203" s="6">
        <f t="shared" si="23"/>
        <v>132.80969483756152</v>
      </c>
      <c r="S203" s="6">
        <f t="shared" si="25"/>
        <v>45.403226595962025</v>
      </c>
      <c r="T203" s="6">
        <f t="shared" si="26"/>
        <v>64.557971098739671</v>
      </c>
      <c r="U203" s="6">
        <f t="shared" si="27"/>
        <v>132.80969483756121</v>
      </c>
      <c r="V203" s="6">
        <f t="shared" si="24"/>
        <v>3.4106051316484809E-12</v>
      </c>
    </row>
    <row r="204" spans="1:22" ht="18.95" customHeight="1">
      <c r="A204" s="1">
        <v>198</v>
      </c>
      <c r="B204" s="6">
        <v>1.6499999999999966</v>
      </c>
      <c r="C204" s="6">
        <f>TimeStep!B204</f>
        <v>1650.0000000000002</v>
      </c>
      <c r="D204" s="6">
        <v>-1.446</v>
      </c>
      <c r="E204" s="6">
        <v>-0.47</v>
      </c>
      <c r="F204" s="6">
        <v>4.5720000000000001</v>
      </c>
      <c r="G204" s="6">
        <v>0</v>
      </c>
      <c r="H204" s="6">
        <v>3.45</v>
      </c>
      <c r="I204" s="6">
        <v>1.2050000000000001</v>
      </c>
      <c r="J204" s="6">
        <v>9.8000000000000004E-2</v>
      </c>
      <c r="K204" s="6">
        <v>1.1140000000000001</v>
      </c>
      <c r="L204" s="6">
        <v>7.5999999999999998E-2</v>
      </c>
      <c r="M204" s="6">
        <v>2.774</v>
      </c>
      <c r="N204" s="6">
        <v>38.617400000000004</v>
      </c>
      <c r="O204" s="6">
        <v>15.5845</v>
      </c>
      <c r="P204" s="6">
        <f t="shared" si="21"/>
        <v>45.73264266886477</v>
      </c>
      <c r="Q204" s="6">
        <f t="shared" si="22"/>
        <v>64.865257864869108</v>
      </c>
      <c r="R204" s="6">
        <f t="shared" si="23"/>
        <v>132.95722624399369</v>
      </c>
      <c r="S204" s="6">
        <f t="shared" si="25"/>
        <v>45.732642668864855</v>
      </c>
      <c r="T204" s="6">
        <f t="shared" si="26"/>
        <v>64.865257864868823</v>
      </c>
      <c r="U204" s="6">
        <f t="shared" si="27"/>
        <v>132.95722624399338</v>
      </c>
      <c r="V204" s="6">
        <f t="shared" si="24"/>
        <v>3.637978807091713E-12</v>
      </c>
    </row>
    <row r="205" spans="1:22" ht="18.95" customHeight="1">
      <c r="A205" s="1">
        <v>199</v>
      </c>
      <c r="B205" s="6">
        <v>1.6583333333333301</v>
      </c>
      <c r="C205" s="6">
        <f>TimeStep!B205</f>
        <v>1658.3333333333335</v>
      </c>
      <c r="D205" s="6">
        <v>-1.4370000000000001</v>
      </c>
      <c r="E205" s="6">
        <v>-0.495</v>
      </c>
      <c r="F205" s="6">
        <v>4.5720000000000001</v>
      </c>
      <c r="G205" s="6">
        <v>0</v>
      </c>
      <c r="H205" s="6">
        <v>3.448</v>
      </c>
      <c r="I205" s="6">
        <v>1.2030000000000001</v>
      </c>
      <c r="J205" s="6">
        <v>9.8000000000000004E-2</v>
      </c>
      <c r="K205" s="6">
        <v>1.097</v>
      </c>
      <c r="L205" s="6">
        <v>6.6000000000000003E-2</v>
      </c>
      <c r="M205" s="6">
        <v>2.758</v>
      </c>
      <c r="N205" s="6">
        <v>39.0184</v>
      </c>
      <c r="O205" s="6">
        <v>14.782299999999999</v>
      </c>
      <c r="P205" s="6">
        <f t="shared" si="21"/>
        <v>46.044290945407994</v>
      </c>
      <c r="Q205" s="6">
        <f t="shared" si="22"/>
        <v>65.201408219782024</v>
      </c>
      <c r="R205" s="6">
        <f t="shared" si="23"/>
        <v>133.05559569320107</v>
      </c>
      <c r="S205" s="6">
        <f t="shared" si="25"/>
        <v>46.044290945408079</v>
      </c>
      <c r="T205" s="6">
        <f t="shared" si="26"/>
        <v>65.20140821978174</v>
      </c>
      <c r="U205" s="6">
        <f t="shared" si="27"/>
        <v>133.05559569320076</v>
      </c>
      <c r="V205" s="6">
        <f t="shared" si="24"/>
        <v>3.4106051316484809E-12</v>
      </c>
    </row>
    <row r="206" spans="1:22" ht="18.95" customHeight="1">
      <c r="A206" s="1">
        <v>200</v>
      </c>
      <c r="B206" s="6">
        <v>1.6666666666666632</v>
      </c>
      <c r="C206" s="6">
        <f>TimeStep!B206</f>
        <v>1666.6666666666667</v>
      </c>
      <c r="D206" s="6">
        <v>-1.4279999999999999</v>
      </c>
      <c r="E206" s="6">
        <v>-0.52</v>
      </c>
      <c r="F206" s="6">
        <v>4.5720000000000001</v>
      </c>
      <c r="G206" s="6">
        <v>0</v>
      </c>
      <c r="H206" s="6">
        <v>3.4449999999999998</v>
      </c>
      <c r="I206" s="6">
        <v>1.2</v>
      </c>
      <c r="J206" s="6">
        <v>9.7000000000000003E-2</v>
      </c>
      <c r="K206" s="6">
        <v>1.081</v>
      </c>
      <c r="L206" s="6">
        <v>5.6000000000000001E-2</v>
      </c>
      <c r="M206" s="6">
        <v>2.7410000000000001</v>
      </c>
      <c r="N206" s="6">
        <v>39.419499999999999</v>
      </c>
      <c r="O206" s="6">
        <v>14.0375</v>
      </c>
      <c r="P206" s="6">
        <f t="shared" si="21"/>
        <v>46.392713241438635</v>
      </c>
      <c r="Q206" s="6">
        <f t="shared" si="22"/>
        <v>65.530898659308804</v>
      </c>
      <c r="R206" s="6">
        <f t="shared" si="23"/>
        <v>133.20317118987953</v>
      </c>
      <c r="S206" s="6">
        <f t="shared" si="25"/>
        <v>46.392713241438713</v>
      </c>
      <c r="T206" s="6">
        <f t="shared" si="26"/>
        <v>65.530898659308519</v>
      </c>
      <c r="U206" s="6">
        <f t="shared" si="27"/>
        <v>133.20317118987919</v>
      </c>
      <c r="V206" s="6">
        <f t="shared" si="24"/>
        <v>3.637978807091713E-12</v>
      </c>
    </row>
    <row r="207" spans="1:22" ht="18.95" customHeight="1">
      <c r="A207" s="1">
        <v>201</v>
      </c>
      <c r="B207" s="6">
        <v>1.6749999999999965</v>
      </c>
      <c r="C207" s="6">
        <f>TimeStep!B207</f>
        <v>1675.0000000000002</v>
      </c>
      <c r="D207" s="6">
        <v>-1.419</v>
      </c>
      <c r="E207" s="6">
        <v>-0.54500000000000004</v>
      </c>
      <c r="F207" s="6">
        <v>4.5720000000000001</v>
      </c>
      <c r="G207" s="6">
        <v>0</v>
      </c>
      <c r="H207" s="6">
        <v>3.4430000000000001</v>
      </c>
      <c r="I207" s="6">
        <v>1.198</v>
      </c>
      <c r="J207" s="6">
        <v>9.8000000000000004E-2</v>
      </c>
      <c r="K207" s="6">
        <v>1.0649999999999999</v>
      </c>
      <c r="L207" s="6">
        <v>4.7E-2</v>
      </c>
      <c r="M207" s="6">
        <v>2.7250000000000001</v>
      </c>
      <c r="N207" s="6">
        <v>39.820599999999999</v>
      </c>
      <c r="O207" s="6">
        <v>13.235300000000001</v>
      </c>
      <c r="P207" s="6">
        <f t="shared" si="21"/>
        <v>46.703529664811953</v>
      </c>
      <c r="Q207" s="6">
        <f t="shared" si="22"/>
        <v>65.852445684299852</v>
      </c>
      <c r="R207" s="6">
        <f t="shared" si="23"/>
        <v>133.30156822620995</v>
      </c>
      <c r="S207" s="6">
        <f t="shared" si="25"/>
        <v>46.703529664812038</v>
      </c>
      <c r="T207" s="6">
        <f t="shared" si="26"/>
        <v>65.852445684299568</v>
      </c>
      <c r="U207" s="6">
        <f t="shared" si="27"/>
        <v>133.30156822620961</v>
      </c>
      <c r="V207" s="6">
        <f t="shared" si="24"/>
        <v>3.637978807091713E-12</v>
      </c>
    </row>
    <row r="208" spans="1:22" ht="18.95" customHeight="1">
      <c r="A208" s="1">
        <v>202</v>
      </c>
      <c r="B208" s="6">
        <v>1.6833333333333298</v>
      </c>
      <c r="C208" s="6">
        <f>TimeStep!B208</f>
        <v>1683.3333333333335</v>
      </c>
      <c r="D208" s="6">
        <v>-1.409</v>
      </c>
      <c r="E208" s="6">
        <v>-0.56899999999999995</v>
      </c>
      <c r="F208" s="6">
        <v>4.5720000000000001</v>
      </c>
      <c r="G208" s="6">
        <v>0</v>
      </c>
      <c r="H208" s="6">
        <v>3.4409999999999998</v>
      </c>
      <c r="I208" s="6">
        <v>1.196</v>
      </c>
      <c r="J208" s="6">
        <v>9.8000000000000004E-2</v>
      </c>
      <c r="K208" s="6">
        <v>1.0489999999999999</v>
      </c>
      <c r="L208" s="6">
        <v>3.6999999999999998E-2</v>
      </c>
      <c r="M208" s="6">
        <v>2.7080000000000002</v>
      </c>
      <c r="N208" s="6">
        <v>40.164299999999997</v>
      </c>
      <c r="O208" s="6">
        <v>12.433199999999999</v>
      </c>
      <c r="P208" s="6">
        <f t="shared" si="21"/>
        <v>47.034290841108998</v>
      </c>
      <c r="Q208" s="6">
        <f t="shared" si="22"/>
        <v>66.190182469350447</v>
      </c>
      <c r="R208" s="6">
        <f t="shared" si="23"/>
        <v>133.39997528485225</v>
      </c>
      <c r="S208" s="6">
        <f t="shared" si="25"/>
        <v>47.034290841109083</v>
      </c>
      <c r="T208" s="6">
        <f t="shared" si="26"/>
        <v>66.190182469350162</v>
      </c>
      <c r="U208" s="6">
        <f t="shared" si="27"/>
        <v>133.39997528485191</v>
      </c>
      <c r="V208" s="6">
        <f t="shared" si="24"/>
        <v>3.637978807091713E-12</v>
      </c>
    </row>
    <row r="209" spans="1:22" ht="18.95" customHeight="1">
      <c r="A209" s="1">
        <v>203</v>
      </c>
      <c r="B209" s="6">
        <v>1.6916666666666631</v>
      </c>
      <c r="C209" s="6">
        <f>TimeStep!B209</f>
        <v>1691.6666666666667</v>
      </c>
      <c r="D209" s="6">
        <v>-1.399</v>
      </c>
      <c r="E209" s="6">
        <v>-0.59399999999999997</v>
      </c>
      <c r="F209" s="6">
        <v>4.5720000000000001</v>
      </c>
      <c r="G209" s="6">
        <v>0</v>
      </c>
      <c r="H209" s="6">
        <v>3.4380000000000002</v>
      </c>
      <c r="I209" s="6">
        <v>1.194</v>
      </c>
      <c r="J209" s="6">
        <v>9.8000000000000004E-2</v>
      </c>
      <c r="K209" s="6">
        <v>1.0329999999999999</v>
      </c>
      <c r="L209" s="6">
        <v>2.8000000000000001E-2</v>
      </c>
      <c r="M209" s="6">
        <v>2.6920000000000002</v>
      </c>
      <c r="N209" s="6">
        <v>40.565399999999997</v>
      </c>
      <c r="O209" s="6">
        <v>11.6883</v>
      </c>
      <c r="P209" s="6">
        <f t="shared" si="21"/>
        <v>47.382892568217535</v>
      </c>
      <c r="Q209" s="6">
        <f t="shared" si="22"/>
        <v>66.526304496568955</v>
      </c>
      <c r="R209" s="6">
        <f t="shared" si="23"/>
        <v>133.52363149018692</v>
      </c>
      <c r="S209" s="6">
        <f t="shared" si="25"/>
        <v>47.382892568217613</v>
      </c>
      <c r="T209" s="6">
        <f t="shared" si="26"/>
        <v>66.526304496568656</v>
      </c>
      <c r="U209" s="6">
        <f t="shared" si="27"/>
        <v>133.52363149018657</v>
      </c>
      <c r="V209" s="6">
        <f t="shared" si="24"/>
        <v>3.637978807091713E-12</v>
      </c>
    </row>
    <row r="210" spans="1:22" ht="18.95" customHeight="1">
      <c r="A210" s="1">
        <v>204</v>
      </c>
      <c r="B210" s="6">
        <v>1.6999999999999964</v>
      </c>
      <c r="C210" s="6">
        <f>TimeStep!B210</f>
        <v>1700.0000000000002</v>
      </c>
      <c r="D210" s="6">
        <v>-1.3879999999999999</v>
      </c>
      <c r="E210" s="6">
        <v>-0.61799999999999999</v>
      </c>
      <c r="F210" s="6">
        <v>4.5720000000000001</v>
      </c>
      <c r="G210" s="6">
        <v>0</v>
      </c>
      <c r="H210" s="6">
        <v>3.4369999999999998</v>
      </c>
      <c r="I210" s="6">
        <v>1.1919999999999999</v>
      </c>
      <c r="J210" s="6">
        <v>9.9000000000000005E-2</v>
      </c>
      <c r="K210" s="6">
        <v>1.018</v>
      </c>
      <c r="L210" s="6">
        <v>1.9E-2</v>
      </c>
      <c r="M210" s="6">
        <v>2.6760000000000002</v>
      </c>
      <c r="N210" s="6">
        <v>40.909199999999998</v>
      </c>
      <c r="O210" s="6">
        <v>10.9435</v>
      </c>
      <c r="P210" s="6">
        <f t="shared" si="21"/>
        <v>47.731540937862391</v>
      </c>
      <c r="Q210" s="6">
        <f t="shared" si="22"/>
        <v>66.87072140400285</v>
      </c>
      <c r="R210" s="6">
        <f t="shared" si="23"/>
        <v>133.596817152195</v>
      </c>
      <c r="S210" s="6">
        <f t="shared" si="25"/>
        <v>47.731540937862462</v>
      </c>
      <c r="T210" s="6">
        <f t="shared" si="26"/>
        <v>66.870721404002552</v>
      </c>
      <c r="U210" s="6">
        <f t="shared" si="27"/>
        <v>133.59681715219466</v>
      </c>
      <c r="V210" s="6">
        <f t="shared" si="24"/>
        <v>3.865352482534945E-12</v>
      </c>
    </row>
    <row r="211" spans="1:22" ht="18.95" customHeight="1">
      <c r="A211" s="1">
        <v>205</v>
      </c>
      <c r="B211" s="6">
        <v>1.7083333333333297</v>
      </c>
      <c r="C211" s="6">
        <f>TimeStep!B211</f>
        <v>1708.3333333333335</v>
      </c>
      <c r="D211" s="6">
        <v>-1.377</v>
      </c>
      <c r="E211" s="6">
        <v>-0.64200000000000002</v>
      </c>
      <c r="F211" s="6">
        <v>4.5720000000000001</v>
      </c>
      <c r="G211" s="6">
        <v>0</v>
      </c>
      <c r="H211" s="6">
        <v>3.4350000000000001</v>
      </c>
      <c r="I211" s="6">
        <v>1.1910000000000001</v>
      </c>
      <c r="J211" s="6">
        <v>0.1</v>
      </c>
      <c r="K211" s="6">
        <v>1.0029999999999999</v>
      </c>
      <c r="L211" s="6">
        <v>1.0999999999999999E-2</v>
      </c>
      <c r="M211" s="6">
        <v>2.661</v>
      </c>
      <c r="N211" s="6">
        <v>41.253</v>
      </c>
      <c r="O211" s="6">
        <v>10.141400000000001</v>
      </c>
      <c r="P211" s="6">
        <f t="shared" si="21"/>
        <v>48.080210136645825</v>
      </c>
      <c r="Q211" s="6">
        <f t="shared" si="22"/>
        <v>67.206683483939685</v>
      </c>
      <c r="R211" s="6">
        <f t="shared" si="23"/>
        <v>133.6712124698256</v>
      </c>
      <c r="S211" s="6">
        <f t="shared" si="25"/>
        <v>48.080210136645888</v>
      </c>
      <c r="T211" s="6">
        <f t="shared" si="26"/>
        <v>67.206683483939401</v>
      </c>
      <c r="U211" s="6">
        <f t="shared" si="27"/>
        <v>133.67121246982526</v>
      </c>
      <c r="V211" s="6">
        <f t="shared" si="24"/>
        <v>3.865352482534945E-12</v>
      </c>
    </row>
    <row r="212" spans="1:22" ht="18.95" customHeight="1">
      <c r="A212" s="1">
        <v>206</v>
      </c>
      <c r="B212" s="6">
        <v>1.716666666666663</v>
      </c>
      <c r="C212" s="6">
        <f>TimeStep!B212</f>
        <v>1716.6666666666667</v>
      </c>
      <c r="D212" s="6">
        <v>-1.3660000000000001</v>
      </c>
      <c r="E212" s="6">
        <v>-0.66600000000000004</v>
      </c>
      <c r="F212" s="6">
        <v>4.5720000000000001</v>
      </c>
      <c r="G212" s="6">
        <v>0</v>
      </c>
      <c r="H212" s="6">
        <v>3.4329999999999998</v>
      </c>
      <c r="I212" s="6">
        <v>1.1890000000000001</v>
      </c>
      <c r="J212" s="6">
        <v>0.10199999999999999</v>
      </c>
      <c r="K212" s="6">
        <v>0.98699999999999999</v>
      </c>
      <c r="L212" s="6">
        <v>2E-3</v>
      </c>
      <c r="M212" s="6">
        <v>2.645</v>
      </c>
      <c r="N212" s="6">
        <v>41.596699999999998</v>
      </c>
      <c r="O212" s="6">
        <v>9.3964999999999996</v>
      </c>
      <c r="P212" s="6">
        <f t="shared" si="21"/>
        <v>48.392287991764121</v>
      </c>
      <c r="Q212" s="6">
        <f t="shared" si="22"/>
        <v>67.551141014863433</v>
      </c>
      <c r="R212" s="6">
        <f t="shared" si="23"/>
        <v>133.76960970875709</v>
      </c>
      <c r="S212" s="6">
        <f t="shared" si="25"/>
        <v>48.392287991764192</v>
      </c>
      <c r="T212" s="6">
        <f t="shared" si="26"/>
        <v>67.551141014863163</v>
      </c>
      <c r="U212" s="6">
        <f t="shared" si="27"/>
        <v>133.76960970875678</v>
      </c>
      <c r="V212" s="6">
        <f t="shared" si="24"/>
        <v>3.637978807091713E-12</v>
      </c>
    </row>
    <row r="213" spans="1:22" ht="18.95" customHeight="1">
      <c r="A213" s="1">
        <v>207</v>
      </c>
      <c r="B213" s="6">
        <v>1.7249999999999963</v>
      </c>
      <c r="C213" s="6">
        <f>TimeStep!B213</f>
        <v>1725.0000000000002</v>
      </c>
      <c r="D213" s="6">
        <v>-1.3540000000000001</v>
      </c>
      <c r="E213" s="6">
        <v>-0.69</v>
      </c>
      <c r="F213" s="6">
        <v>4.5720000000000001</v>
      </c>
      <c r="G213" s="6">
        <v>0</v>
      </c>
      <c r="H213" s="6">
        <v>3.431</v>
      </c>
      <c r="I213" s="6">
        <v>1.1870000000000001</v>
      </c>
      <c r="J213" s="6">
        <v>0.104</v>
      </c>
      <c r="K213" s="6">
        <v>0.97299999999999998</v>
      </c>
      <c r="L213" s="6">
        <v>-6.0000000000000001E-3</v>
      </c>
      <c r="M213" s="6">
        <v>2.629</v>
      </c>
      <c r="N213" s="6">
        <v>41.9405</v>
      </c>
      <c r="O213" s="6">
        <v>8.6516999999999999</v>
      </c>
      <c r="P213" s="6">
        <f t="shared" si="21"/>
        <v>48.758021984082575</v>
      </c>
      <c r="Q213" s="6">
        <f t="shared" si="22"/>
        <v>67.895645355315537</v>
      </c>
      <c r="R213" s="6">
        <f t="shared" si="23"/>
        <v>133.86801420693976</v>
      </c>
      <c r="S213" s="6">
        <f t="shared" si="25"/>
        <v>48.758021984082632</v>
      </c>
      <c r="T213" s="6">
        <f t="shared" si="26"/>
        <v>67.895645355315253</v>
      </c>
      <c r="U213" s="6">
        <f t="shared" si="27"/>
        <v>133.86801420693945</v>
      </c>
      <c r="V213" s="6">
        <f t="shared" si="24"/>
        <v>3.865352482534945E-12</v>
      </c>
    </row>
    <row r="214" spans="1:22" ht="18.95" customHeight="1">
      <c r="A214" s="1">
        <v>208</v>
      </c>
      <c r="B214" s="6">
        <v>1.7333333333333296</v>
      </c>
      <c r="C214" s="6">
        <f>TimeStep!B214</f>
        <v>1733.3333333333335</v>
      </c>
      <c r="D214" s="6">
        <v>-1.3420000000000001</v>
      </c>
      <c r="E214" s="6">
        <v>-0.71399999999999997</v>
      </c>
      <c r="F214" s="6">
        <v>4.5720000000000001</v>
      </c>
      <c r="G214" s="6">
        <v>0</v>
      </c>
      <c r="H214" s="6">
        <v>3.43</v>
      </c>
      <c r="I214" s="6">
        <v>1.1859999999999999</v>
      </c>
      <c r="J214" s="6">
        <v>0.106</v>
      </c>
      <c r="K214" s="6">
        <v>0.95799999999999996</v>
      </c>
      <c r="L214" s="6">
        <v>-1.4E-2</v>
      </c>
      <c r="M214" s="6">
        <v>2.6139999999999999</v>
      </c>
      <c r="N214" s="6">
        <v>42.226999999999997</v>
      </c>
      <c r="O214" s="6">
        <v>7.9067999999999996</v>
      </c>
      <c r="P214" s="6">
        <f t="shared" si="21"/>
        <v>49.106497165170424</v>
      </c>
      <c r="Q214" s="6">
        <f t="shared" si="22"/>
        <v>68.246099440996304</v>
      </c>
      <c r="R214" s="6">
        <f t="shared" si="23"/>
        <v>133.91721899707417</v>
      </c>
      <c r="S214" s="6">
        <f t="shared" si="25"/>
        <v>49.106497165170481</v>
      </c>
      <c r="T214" s="6">
        <f t="shared" si="26"/>
        <v>68.246099440996034</v>
      </c>
      <c r="U214" s="6">
        <f t="shared" si="27"/>
        <v>133.91721899707386</v>
      </c>
      <c r="V214" s="6">
        <f t="shared" si="24"/>
        <v>3.865352482534945E-12</v>
      </c>
    </row>
    <row r="215" spans="1:22" ht="18.95" customHeight="1">
      <c r="A215" s="1">
        <v>209</v>
      </c>
      <c r="B215" s="6">
        <v>1.7416666666666629</v>
      </c>
      <c r="C215" s="6">
        <f>TimeStep!B215</f>
        <v>1741.6666666666667</v>
      </c>
      <c r="D215" s="6">
        <v>-1.329</v>
      </c>
      <c r="E215" s="6">
        <v>-0.73699999999999999</v>
      </c>
      <c r="F215" s="6">
        <v>4.5720000000000001</v>
      </c>
      <c r="G215" s="6">
        <v>0</v>
      </c>
      <c r="H215" s="6">
        <v>3.4289999999999998</v>
      </c>
      <c r="I215" s="6">
        <v>1.1850000000000001</v>
      </c>
      <c r="J215" s="6">
        <v>0.108</v>
      </c>
      <c r="K215" s="6">
        <v>0.94399999999999995</v>
      </c>
      <c r="L215" s="6">
        <v>-2.1999999999999999E-2</v>
      </c>
      <c r="M215" s="6">
        <v>2.5990000000000002</v>
      </c>
      <c r="N215" s="6">
        <v>42.513500000000001</v>
      </c>
      <c r="O215" s="6">
        <v>7.1619999999999999</v>
      </c>
      <c r="P215" s="6">
        <f t="shared" si="21"/>
        <v>49.474578872214551</v>
      </c>
      <c r="Q215" s="6">
        <f t="shared" si="22"/>
        <v>68.605421128082043</v>
      </c>
      <c r="R215" s="6">
        <f t="shared" si="23"/>
        <v>133.96642538457971</v>
      </c>
      <c r="S215" s="6">
        <f t="shared" si="25"/>
        <v>49.474578872214607</v>
      </c>
      <c r="T215" s="6">
        <f t="shared" si="26"/>
        <v>68.605421128081787</v>
      </c>
      <c r="U215" s="6">
        <f t="shared" si="27"/>
        <v>133.9664253845794</v>
      </c>
      <c r="V215" s="6">
        <f t="shared" si="24"/>
        <v>3.865352482534945E-12</v>
      </c>
    </row>
    <row r="216" spans="1:22" ht="18.95" customHeight="1">
      <c r="A216" s="1">
        <v>210</v>
      </c>
      <c r="B216" s="6">
        <v>1.7499999999999962</v>
      </c>
      <c r="C216" s="6">
        <f>TimeStep!B216</f>
        <v>1750.0000000000002</v>
      </c>
      <c r="D216" s="6">
        <v>-1.3160000000000001</v>
      </c>
      <c r="E216" s="6">
        <v>-0.76</v>
      </c>
      <c r="F216" s="6">
        <v>4.5720000000000001</v>
      </c>
      <c r="G216" s="6">
        <v>0</v>
      </c>
      <c r="H216" s="6">
        <v>3.4279999999999999</v>
      </c>
      <c r="I216" s="6">
        <v>1.1839999999999999</v>
      </c>
      <c r="J216" s="6">
        <v>0.111</v>
      </c>
      <c r="K216" s="6">
        <v>0.92900000000000005</v>
      </c>
      <c r="L216" s="6">
        <v>-0.03</v>
      </c>
      <c r="M216" s="6">
        <v>2.5840000000000001</v>
      </c>
      <c r="N216" s="6">
        <v>42.799900000000001</v>
      </c>
      <c r="O216" s="6">
        <v>6.4170999999999996</v>
      </c>
      <c r="P216" s="6">
        <f t="shared" si="21"/>
        <v>49.806247563426695</v>
      </c>
      <c r="Q216" s="6">
        <f t="shared" si="22"/>
        <v>68.964785306568189</v>
      </c>
      <c r="R216" s="6">
        <f t="shared" si="23"/>
        <v>134.01563329694528</v>
      </c>
      <c r="S216" s="6">
        <f t="shared" si="25"/>
        <v>49.806247563426751</v>
      </c>
      <c r="T216" s="6">
        <f t="shared" si="26"/>
        <v>68.964785306567933</v>
      </c>
      <c r="U216" s="6">
        <f t="shared" si="27"/>
        <v>134.015633296945</v>
      </c>
      <c r="V216" s="6">
        <f t="shared" si="24"/>
        <v>4.0927261579781771E-12</v>
      </c>
    </row>
    <row r="217" spans="1:22" ht="18.95" customHeight="1">
      <c r="A217" s="1">
        <v>211</v>
      </c>
      <c r="B217" s="6">
        <v>1.7583333333333295</v>
      </c>
      <c r="C217" s="6">
        <f>TimeStep!B217</f>
        <v>1758.3333333333335</v>
      </c>
      <c r="D217" s="6">
        <v>-1.3029999999999999</v>
      </c>
      <c r="E217" s="6">
        <v>-0.78300000000000003</v>
      </c>
      <c r="F217" s="6">
        <v>4.5720000000000001</v>
      </c>
      <c r="G217" s="6">
        <v>0</v>
      </c>
      <c r="H217" s="6">
        <v>3.4260000000000002</v>
      </c>
      <c r="I217" s="6">
        <v>1.1830000000000001</v>
      </c>
      <c r="J217" s="6">
        <v>0.114</v>
      </c>
      <c r="K217" s="6">
        <v>0.91500000000000004</v>
      </c>
      <c r="L217" s="6">
        <v>-3.6999999999999998E-2</v>
      </c>
      <c r="M217" s="6">
        <v>2.569</v>
      </c>
      <c r="N217" s="6">
        <v>43.086399999999998</v>
      </c>
      <c r="O217" s="6">
        <v>5.6722999999999999</v>
      </c>
      <c r="P217" s="6">
        <f t="shared" si="21"/>
        <v>50.154624053711586</v>
      </c>
      <c r="Q217" s="6">
        <f t="shared" si="22"/>
        <v>69.309203081229057</v>
      </c>
      <c r="R217" s="6">
        <f t="shared" si="23"/>
        <v>134.0898387628759</v>
      </c>
      <c r="S217" s="6">
        <f t="shared" si="25"/>
        <v>50.154624053711643</v>
      </c>
      <c r="T217" s="6">
        <f t="shared" si="26"/>
        <v>69.309203081228816</v>
      </c>
      <c r="U217" s="6">
        <f t="shared" si="27"/>
        <v>134.08983876287562</v>
      </c>
      <c r="V217" s="6">
        <f t="shared" si="24"/>
        <v>3.865352482534945E-12</v>
      </c>
    </row>
    <row r="218" spans="1:22" ht="18.95" customHeight="1">
      <c r="A218" s="1">
        <v>212</v>
      </c>
      <c r="B218" s="6">
        <v>1.7666666666666628</v>
      </c>
      <c r="C218" s="6">
        <f>TimeStep!B218</f>
        <v>1766.6666666666667</v>
      </c>
      <c r="D218" s="6">
        <v>-1.2889999999999999</v>
      </c>
      <c r="E218" s="6">
        <v>-0.80600000000000005</v>
      </c>
      <c r="F218" s="6">
        <v>4.5720000000000001</v>
      </c>
      <c r="G218" s="6">
        <v>0</v>
      </c>
      <c r="H218" s="6">
        <v>3.4260000000000002</v>
      </c>
      <c r="I218" s="6">
        <v>1.1819999999999999</v>
      </c>
      <c r="J218" s="6">
        <v>0.11700000000000001</v>
      </c>
      <c r="K218" s="6">
        <v>0.90200000000000002</v>
      </c>
      <c r="L218" s="6">
        <v>-4.4999999999999998E-2</v>
      </c>
      <c r="M218" s="6">
        <v>2.5539999999999998</v>
      </c>
      <c r="N218" s="6">
        <v>43.372900000000001</v>
      </c>
      <c r="O218" s="6">
        <v>4.9273999999999996</v>
      </c>
      <c r="P218" s="6">
        <f t="shared" si="21"/>
        <v>50.539300368960873</v>
      </c>
      <c r="Q218" s="6">
        <f t="shared" si="22"/>
        <v>69.683528053538453</v>
      </c>
      <c r="R218" s="6">
        <f t="shared" si="23"/>
        <v>134.11405340614576</v>
      </c>
      <c r="S218" s="6">
        <f t="shared" si="25"/>
        <v>50.539300368960937</v>
      </c>
      <c r="T218" s="6">
        <f t="shared" si="26"/>
        <v>69.683528053538225</v>
      </c>
      <c r="U218" s="6">
        <f t="shared" si="27"/>
        <v>134.11405340614544</v>
      </c>
      <c r="V218" s="6">
        <f t="shared" si="24"/>
        <v>3.865352482534945E-12</v>
      </c>
    </row>
    <row r="219" spans="1:22" ht="18.95" customHeight="1">
      <c r="A219" s="1">
        <v>213</v>
      </c>
      <c r="B219" s="6">
        <v>1.7749999999999959</v>
      </c>
      <c r="C219" s="6">
        <f>TimeStep!B219</f>
        <v>1775.0000000000002</v>
      </c>
      <c r="D219" s="6">
        <v>-1.2749999999999999</v>
      </c>
      <c r="E219" s="6">
        <v>-0.82799999999999996</v>
      </c>
      <c r="F219" s="6">
        <v>4.5720000000000001</v>
      </c>
      <c r="G219" s="6">
        <v>0</v>
      </c>
      <c r="H219" s="6">
        <v>3.4249999999999998</v>
      </c>
      <c r="I219" s="6">
        <v>1.181</v>
      </c>
      <c r="J219" s="6">
        <v>0.12</v>
      </c>
      <c r="K219" s="6">
        <v>0.88800000000000001</v>
      </c>
      <c r="L219" s="6">
        <v>-5.1999999999999998E-2</v>
      </c>
      <c r="M219" s="6">
        <v>2.54</v>
      </c>
      <c r="N219" s="6">
        <v>43.6021</v>
      </c>
      <c r="O219" s="6">
        <v>4.2398999999999996</v>
      </c>
      <c r="P219" s="6">
        <f t="shared" si="21"/>
        <v>50.891060300928508</v>
      </c>
      <c r="Q219" s="6">
        <f t="shared" si="22"/>
        <v>70.042850076485209</v>
      </c>
      <c r="R219" s="6">
        <f t="shared" si="23"/>
        <v>134.16326545789371</v>
      </c>
      <c r="S219" s="6">
        <f t="shared" si="25"/>
        <v>50.891060300928586</v>
      </c>
      <c r="T219" s="6">
        <f t="shared" si="26"/>
        <v>70.042850076484967</v>
      </c>
      <c r="U219" s="6">
        <f t="shared" si="27"/>
        <v>134.16326545789343</v>
      </c>
      <c r="V219" s="6">
        <f t="shared" si="24"/>
        <v>4.3200998334214091E-12</v>
      </c>
    </row>
    <row r="220" spans="1:22" ht="18.95" customHeight="1">
      <c r="A220" s="1">
        <v>214</v>
      </c>
      <c r="B220" s="6">
        <v>1.7833333333333294</v>
      </c>
      <c r="C220" s="6">
        <f>TimeStep!B220</f>
        <v>1783.3333333333335</v>
      </c>
      <c r="D220" s="6">
        <v>-1.26</v>
      </c>
      <c r="E220" s="6">
        <v>-0.85</v>
      </c>
      <c r="F220" s="6">
        <v>4.5720000000000001</v>
      </c>
      <c r="G220" s="6">
        <v>0</v>
      </c>
      <c r="H220" s="6">
        <v>3.4239999999999999</v>
      </c>
      <c r="I220" s="6">
        <v>1.18</v>
      </c>
      <c r="J220" s="6">
        <v>0.124</v>
      </c>
      <c r="K220" s="6">
        <v>0.875</v>
      </c>
      <c r="L220" s="6">
        <v>-5.8000000000000003E-2</v>
      </c>
      <c r="M220" s="6">
        <v>2.5249999999999999</v>
      </c>
      <c r="N220" s="6">
        <v>43.888599999999997</v>
      </c>
      <c r="O220" s="6">
        <v>3.4950000000000001</v>
      </c>
      <c r="P220" s="6">
        <f t="shared" si="21"/>
        <v>51.259271272189643</v>
      </c>
      <c r="Q220" s="6">
        <f t="shared" si="22"/>
        <v>70.396737356480884</v>
      </c>
      <c r="R220" s="6">
        <f t="shared" si="23"/>
        <v>134.2124787443291</v>
      </c>
      <c r="S220" s="6">
        <f t="shared" si="25"/>
        <v>51.259271272189721</v>
      </c>
      <c r="T220" s="6">
        <f t="shared" si="26"/>
        <v>70.396737356480628</v>
      </c>
      <c r="U220" s="6">
        <f t="shared" si="27"/>
        <v>134.21247874432879</v>
      </c>
      <c r="V220" s="6">
        <f t="shared" si="24"/>
        <v>4.0927261579781771E-12</v>
      </c>
    </row>
    <row r="221" spans="1:22" ht="18.95" customHeight="1">
      <c r="A221" s="1">
        <v>215</v>
      </c>
      <c r="B221" s="6">
        <v>1.7916666666666627</v>
      </c>
      <c r="C221" s="6">
        <f>TimeStep!B221</f>
        <v>1791.6666666666667</v>
      </c>
      <c r="D221" s="6">
        <v>-1.2450000000000001</v>
      </c>
      <c r="E221" s="6">
        <v>-0.872</v>
      </c>
      <c r="F221" s="6">
        <v>4.5720000000000001</v>
      </c>
      <c r="G221" s="6">
        <v>0</v>
      </c>
      <c r="H221" s="6">
        <v>3.4239999999999999</v>
      </c>
      <c r="I221" s="6">
        <v>1.18</v>
      </c>
      <c r="J221" s="6">
        <v>0.128</v>
      </c>
      <c r="K221" s="6">
        <v>0.86199999999999999</v>
      </c>
      <c r="L221" s="6">
        <v>-6.5000000000000002E-2</v>
      </c>
      <c r="M221" s="6">
        <v>2.5110000000000001</v>
      </c>
      <c r="N221" s="6">
        <v>44.117800000000003</v>
      </c>
      <c r="O221" s="6">
        <v>2.8075000000000001</v>
      </c>
      <c r="P221" s="6">
        <f t="shared" si="21"/>
        <v>51.627436927647828</v>
      </c>
      <c r="Q221" s="6">
        <f t="shared" si="22"/>
        <v>70.771083343240448</v>
      </c>
      <c r="R221" s="6">
        <f t="shared" si="23"/>
        <v>134.2124787443291</v>
      </c>
      <c r="S221" s="6">
        <f t="shared" si="25"/>
        <v>51.627436927647921</v>
      </c>
      <c r="T221" s="6">
        <f t="shared" si="26"/>
        <v>70.771083343240207</v>
      </c>
      <c r="U221" s="6">
        <f t="shared" si="27"/>
        <v>134.21247874432879</v>
      </c>
      <c r="V221" s="6">
        <f t="shared" si="24"/>
        <v>4.0927261579781771E-12</v>
      </c>
    </row>
    <row r="222" spans="1:22" ht="18.95" customHeight="1">
      <c r="A222" s="1">
        <v>216</v>
      </c>
      <c r="B222" s="6">
        <v>1.799999999999996</v>
      </c>
      <c r="C222" s="6">
        <f>TimeStep!B222</f>
        <v>1800.0000000000002</v>
      </c>
      <c r="D222" s="6">
        <v>-1.2290000000000001</v>
      </c>
      <c r="E222" s="6">
        <v>-0.89400000000000002</v>
      </c>
      <c r="F222" s="6">
        <v>4.5720000000000001</v>
      </c>
      <c r="G222" s="6">
        <v>0</v>
      </c>
      <c r="H222" s="6">
        <v>3.423</v>
      </c>
      <c r="I222" s="6">
        <v>1.179</v>
      </c>
      <c r="J222" s="6">
        <v>0.13200000000000001</v>
      </c>
      <c r="K222" s="6">
        <v>0.84899999999999998</v>
      </c>
      <c r="L222" s="6">
        <v>-7.0999999999999994E-2</v>
      </c>
      <c r="M222" s="6">
        <v>2.4969999999999999</v>
      </c>
      <c r="N222" s="6">
        <v>44.2896</v>
      </c>
      <c r="O222" s="6">
        <v>2.0626000000000002</v>
      </c>
      <c r="P222" s="6">
        <f t="shared" si="21"/>
        <v>52.015942259335908</v>
      </c>
      <c r="Q222" s="6">
        <f t="shared" si="22"/>
        <v>71.145364949255566</v>
      </c>
      <c r="R222" s="6">
        <f t="shared" si="23"/>
        <v>134.26169319287987</v>
      </c>
      <c r="S222" s="6">
        <f t="shared" si="25"/>
        <v>52.015942259335986</v>
      </c>
      <c r="T222" s="6">
        <f t="shared" si="26"/>
        <v>71.145364949255338</v>
      </c>
      <c r="U222" s="6">
        <f t="shared" si="27"/>
        <v>134.26169319287953</v>
      </c>
      <c r="V222" s="6">
        <f t="shared" si="24"/>
        <v>4.0927261579781771E-12</v>
      </c>
    </row>
    <row r="223" spans="1:22" ht="18.95" customHeight="1">
      <c r="A223" s="1">
        <v>217</v>
      </c>
      <c r="B223" s="6">
        <v>1.8083333333333291</v>
      </c>
      <c r="C223" s="6">
        <f>TimeStep!B223</f>
        <v>1808.3333333333335</v>
      </c>
      <c r="D223" s="6">
        <v>-1.214</v>
      </c>
      <c r="E223" s="6">
        <v>-0.91500000000000004</v>
      </c>
      <c r="F223" s="6">
        <v>4.5720000000000001</v>
      </c>
      <c r="G223" s="6">
        <v>0</v>
      </c>
      <c r="H223" s="6">
        <v>3.423</v>
      </c>
      <c r="I223" s="6">
        <v>1.179</v>
      </c>
      <c r="J223" s="6">
        <v>0.13700000000000001</v>
      </c>
      <c r="K223" s="6">
        <v>0.83599999999999997</v>
      </c>
      <c r="L223" s="6">
        <v>-7.8E-2</v>
      </c>
      <c r="M223" s="6">
        <v>2.4830000000000001</v>
      </c>
      <c r="N223" s="6">
        <v>44.518799999999999</v>
      </c>
      <c r="O223" s="6">
        <v>1.3751</v>
      </c>
      <c r="P223" s="6">
        <f t="shared" si="21"/>
        <v>52.347690766828784</v>
      </c>
      <c r="Q223" s="6">
        <f t="shared" si="22"/>
        <v>71.514481217117535</v>
      </c>
      <c r="R223" s="6">
        <f t="shared" si="23"/>
        <v>134.26169319287987</v>
      </c>
      <c r="S223" s="6">
        <f t="shared" si="25"/>
        <v>52.347690766828862</v>
      </c>
      <c r="T223" s="6">
        <f t="shared" si="26"/>
        <v>71.514481217117293</v>
      </c>
      <c r="U223" s="6">
        <f t="shared" si="27"/>
        <v>134.26169319287953</v>
      </c>
      <c r="V223" s="6">
        <f t="shared" si="24"/>
        <v>4.3200998334214091E-12</v>
      </c>
    </row>
    <row r="224" spans="1:22" ht="18.95" customHeight="1">
      <c r="A224" s="1">
        <v>218</v>
      </c>
      <c r="B224" s="6">
        <v>1.8166666666666629</v>
      </c>
      <c r="C224" s="6">
        <f>TimeStep!B224</f>
        <v>1816.6666666666667</v>
      </c>
      <c r="D224" s="6">
        <v>-1.198</v>
      </c>
      <c r="E224" s="6">
        <v>-0.93600000000000005</v>
      </c>
      <c r="F224" s="6">
        <v>4.5720000000000001</v>
      </c>
      <c r="G224" s="6">
        <v>0</v>
      </c>
      <c r="H224" s="6">
        <v>3.423</v>
      </c>
      <c r="I224" s="6">
        <v>1.179</v>
      </c>
      <c r="J224" s="6">
        <v>0.14099999999999999</v>
      </c>
      <c r="K224" s="6">
        <v>0.82399999999999995</v>
      </c>
      <c r="L224" s="6">
        <v>-8.3000000000000004E-2</v>
      </c>
      <c r="M224" s="6">
        <v>2.4689999999999999</v>
      </c>
      <c r="N224" s="6">
        <v>44.6907</v>
      </c>
      <c r="O224" s="6">
        <v>0.6875</v>
      </c>
      <c r="P224" s="6">
        <f t="shared" si="21"/>
        <v>52.736287515622323</v>
      </c>
      <c r="Q224" s="6">
        <f t="shared" si="22"/>
        <v>71.868468179290474</v>
      </c>
      <c r="R224" s="6">
        <f t="shared" si="23"/>
        <v>134.26169319287987</v>
      </c>
      <c r="S224" s="6">
        <f t="shared" si="25"/>
        <v>52.736287515622394</v>
      </c>
      <c r="T224" s="6">
        <f t="shared" si="26"/>
        <v>71.868468179290232</v>
      </c>
      <c r="U224" s="6">
        <f t="shared" si="27"/>
        <v>134.26169319287953</v>
      </c>
      <c r="V224" s="6">
        <f t="shared" si="24"/>
        <v>3.865352482534945E-12</v>
      </c>
    </row>
    <row r="225" spans="1:22" ht="18.95" customHeight="1">
      <c r="A225" s="1">
        <v>219</v>
      </c>
      <c r="B225" s="6">
        <v>1.824999999999996</v>
      </c>
      <c r="C225" s="6">
        <f>TimeStep!B225</f>
        <v>1825.0000000000002</v>
      </c>
      <c r="D225" s="6">
        <v>-1.181</v>
      </c>
      <c r="E225" s="6">
        <v>-0.95699999999999996</v>
      </c>
      <c r="F225" s="6">
        <v>4.5720000000000001</v>
      </c>
      <c r="G225" s="6">
        <v>0</v>
      </c>
      <c r="H225" s="6">
        <v>3.423</v>
      </c>
      <c r="I225" s="6">
        <v>1.179</v>
      </c>
      <c r="J225" s="6">
        <v>0.14599999999999999</v>
      </c>
      <c r="K225" s="6">
        <v>0.81200000000000006</v>
      </c>
      <c r="L225" s="6">
        <v>-8.8999999999999996E-2</v>
      </c>
      <c r="M225" s="6">
        <v>2.456</v>
      </c>
      <c r="N225" s="6">
        <v>44.8626</v>
      </c>
      <c r="O225" s="6">
        <v>0</v>
      </c>
      <c r="P225" s="6">
        <f t="shared" si="21"/>
        <v>53.124920498376213</v>
      </c>
      <c r="Q225" s="6">
        <f t="shared" si="22"/>
        <v>72.257764912061688</v>
      </c>
      <c r="R225" s="6">
        <f t="shared" si="23"/>
        <v>134.26169319287987</v>
      </c>
      <c r="S225" s="6">
        <f t="shared" si="25"/>
        <v>53.124920498376298</v>
      </c>
      <c r="T225" s="6">
        <f t="shared" si="26"/>
        <v>72.257764912061447</v>
      </c>
      <c r="U225" s="6">
        <f t="shared" si="27"/>
        <v>134.26169319287953</v>
      </c>
      <c r="V225" s="6">
        <f t="shared" si="24"/>
        <v>4.3200998334214091E-12</v>
      </c>
    </row>
    <row r="226" spans="1:22" ht="18.95" customHeight="1">
      <c r="A226" s="1">
        <v>220</v>
      </c>
      <c r="B226" s="6">
        <v>1.8333333333333293</v>
      </c>
      <c r="C226" s="6">
        <f>TimeStep!B226</f>
        <v>1833.3333333333335</v>
      </c>
      <c r="D226" s="6">
        <v>-1.1639999999999999</v>
      </c>
      <c r="E226" s="6">
        <v>-0.97699999999999998</v>
      </c>
      <c r="F226" s="6">
        <v>4.5720000000000001</v>
      </c>
      <c r="G226" s="6">
        <v>0</v>
      </c>
      <c r="H226" s="6">
        <v>3.423</v>
      </c>
      <c r="I226" s="6">
        <v>1.179</v>
      </c>
      <c r="J226" s="6">
        <v>0.152</v>
      </c>
      <c r="K226" s="6">
        <v>0.8</v>
      </c>
      <c r="L226" s="6">
        <v>-9.5000000000000001E-2</v>
      </c>
      <c r="M226" s="6">
        <v>2.4420000000000002</v>
      </c>
      <c r="N226" s="6">
        <v>45.034500000000001</v>
      </c>
      <c r="O226" s="6">
        <v>-0.6875</v>
      </c>
      <c r="P226" s="6">
        <f t="shared" si="21"/>
        <v>53.477313844368062</v>
      </c>
      <c r="Q226" s="6">
        <f t="shared" si="22"/>
        <v>72.637388009881718</v>
      </c>
      <c r="R226" s="6">
        <f t="shared" si="23"/>
        <v>134.26169319287987</v>
      </c>
      <c r="S226" s="6">
        <f t="shared" si="25"/>
        <v>53.477313844368155</v>
      </c>
      <c r="T226" s="6">
        <f t="shared" si="26"/>
        <v>72.637388009881477</v>
      </c>
      <c r="U226" s="6">
        <f t="shared" si="27"/>
        <v>134.26169319287953</v>
      </c>
      <c r="V226" s="6">
        <f t="shared" si="24"/>
        <v>4.3200998334214091E-12</v>
      </c>
    </row>
    <row r="227" spans="1:22" ht="18.95" customHeight="1">
      <c r="A227" s="1">
        <v>221</v>
      </c>
      <c r="B227" s="6">
        <v>1.8416666666666623</v>
      </c>
      <c r="C227" s="6">
        <f>TimeStep!B227</f>
        <v>1841.6666666666667</v>
      </c>
      <c r="D227" s="6">
        <v>-1.147</v>
      </c>
      <c r="E227" s="6">
        <v>-0.997</v>
      </c>
      <c r="F227" s="6">
        <v>4.5720000000000001</v>
      </c>
      <c r="G227" s="6">
        <v>0</v>
      </c>
      <c r="H227" s="6">
        <v>3.423</v>
      </c>
      <c r="I227" s="6">
        <v>1.179</v>
      </c>
      <c r="J227" s="6">
        <v>0.157</v>
      </c>
      <c r="K227" s="6">
        <v>0.78900000000000003</v>
      </c>
      <c r="L227" s="6">
        <v>-0.1</v>
      </c>
      <c r="M227" s="6">
        <v>2.4289999999999998</v>
      </c>
      <c r="N227" s="6">
        <v>45.206400000000002</v>
      </c>
      <c r="O227" s="6">
        <v>-1.3751</v>
      </c>
      <c r="P227" s="6">
        <f t="shared" si="21"/>
        <v>53.865951970792516</v>
      </c>
      <c r="Q227" s="6">
        <f t="shared" si="22"/>
        <v>73.006627453070664</v>
      </c>
      <c r="R227" s="6">
        <f t="shared" si="23"/>
        <v>134.26169319287987</v>
      </c>
      <c r="S227" s="6">
        <f t="shared" si="25"/>
        <v>53.865951970792594</v>
      </c>
      <c r="T227" s="6">
        <f t="shared" si="26"/>
        <v>73.006627453070422</v>
      </c>
      <c r="U227" s="6">
        <f t="shared" si="27"/>
        <v>134.26169319287953</v>
      </c>
      <c r="V227" s="6">
        <f t="shared" si="24"/>
        <v>4.3200998334214091E-12</v>
      </c>
    </row>
    <row r="228" spans="1:22" ht="18.95" customHeight="1">
      <c r="A228" s="1">
        <v>222</v>
      </c>
      <c r="B228" s="6">
        <v>1.8499999999999961</v>
      </c>
      <c r="C228" s="6">
        <f>TimeStep!B228</f>
        <v>1850.0000000000002</v>
      </c>
      <c r="D228" s="6">
        <v>-1.129</v>
      </c>
      <c r="E228" s="6">
        <v>-1.0169999999999999</v>
      </c>
      <c r="F228" s="6">
        <v>4.5720000000000001</v>
      </c>
      <c r="G228" s="6">
        <v>0</v>
      </c>
      <c r="H228" s="6">
        <v>3.423</v>
      </c>
      <c r="I228" s="6">
        <v>1.179</v>
      </c>
      <c r="J228" s="6">
        <v>0.16300000000000001</v>
      </c>
      <c r="K228" s="6">
        <v>0.77700000000000002</v>
      </c>
      <c r="L228" s="6">
        <v>-0.105</v>
      </c>
      <c r="M228" s="6">
        <v>2.4159999999999999</v>
      </c>
      <c r="N228" s="6">
        <v>45.320999999999998</v>
      </c>
      <c r="O228" s="6">
        <v>-2.0626000000000002</v>
      </c>
      <c r="P228" s="6">
        <f t="shared" si="21"/>
        <v>54.239382556828104</v>
      </c>
      <c r="Q228" s="6">
        <f t="shared" si="22"/>
        <v>73.391137247941629</v>
      </c>
      <c r="R228" s="6">
        <f t="shared" si="23"/>
        <v>134.26169319287987</v>
      </c>
      <c r="S228" s="6">
        <f t="shared" si="25"/>
        <v>54.23938255682819</v>
      </c>
      <c r="T228" s="6">
        <f t="shared" si="26"/>
        <v>73.391137247941373</v>
      </c>
      <c r="U228" s="6">
        <f t="shared" si="27"/>
        <v>134.26169319287953</v>
      </c>
      <c r="V228" s="6">
        <f t="shared" si="24"/>
        <v>4.0927261579781771E-12</v>
      </c>
    </row>
    <row r="229" spans="1:22" ht="18.95" customHeight="1">
      <c r="A229" s="1">
        <v>223</v>
      </c>
      <c r="B229" s="6">
        <v>1.8583333333333287</v>
      </c>
      <c r="C229" s="6">
        <f>TimeStep!B229</f>
        <v>1858.3333333333335</v>
      </c>
      <c r="D229" s="6">
        <v>-1.111</v>
      </c>
      <c r="E229" s="6">
        <v>-1.0369999999999999</v>
      </c>
      <c r="F229" s="6">
        <v>4.5720000000000001</v>
      </c>
      <c r="G229" s="6">
        <v>0</v>
      </c>
      <c r="H229" s="6">
        <v>3.4239999999999999</v>
      </c>
      <c r="I229" s="6">
        <v>1.18</v>
      </c>
      <c r="J229" s="6">
        <v>0.16900000000000001</v>
      </c>
      <c r="K229" s="6">
        <v>0.76600000000000001</v>
      </c>
      <c r="L229" s="6">
        <v>-0.11</v>
      </c>
      <c r="M229" s="6">
        <v>2.403</v>
      </c>
      <c r="N229" s="6">
        <v>45.492800000000003</v>
      </c>
      <c r="O229" s="6">
        <v>-2.7502</v>
      </c>
      <c r="P229" s="6">
        <f t="shared" si="21"/>
        <v>54.627994837785913</v>
      </c>
      <c r="Q229" s="6">
        <f t="shared" si="22"/>
        <v>73.775618342975278</v>
      </c>
      <c r="R229" s="6">
        <f t="shared" si="23"/>
        <v>134.2124787443291</v>
      </c>
      <c r="S229" s="6">
        <f t="shared" si="25"/>
        <v>54.627994837785991</v>
      </c>
      <c r="T229" s="6">
        <f t="shared" si="26"/>
        <v>73.775618342975037</v>
      </c>
      <c r="U229" s="6">
        <f t="shared" si="27"/>
        <v>134.21247874432879</v>
      </c>
      <c r="V229" s="6">
        <f t="shared" si="24"/>
        <v>4.7748471843078732E-12</v>
      </c>
    </row>
    <row r="230" spans="1:22" ht="18.95" customHeight="1">
      <c r="A230" s="1">
        <v>224</v>
      </c>
      <c r="B230" s="6">
        <v>1.8666666666666625</v>
      </c>
      <c r="C230" s="6">
        <f>TimeStep!B230</f>
        <v>1866.6666666666667</v>
      </c>
      <c r="D230" s="6">
        <v>-1.093</v>
      </c>
      <c r="E230" s="6">
        <v>-1.056</v>
      </c>
      <c r="F230" s="6">
        <v>4.5720000000000001</v>
      </c>
      <c r="G230" s="6">
        <v>0</v>
      </c>
      <c r="H230" s="6">
        <v>3.4239999999999999</v>
      </c>
      <c r="I230" s="6">
        <v>1.18</v>
      </c>
      <c r="J230" s="6">
        <v>0.17499999999999999</v>
      </c>
      <c r="K230" s="6">
        <v>0.755</v>
      </c>
      <c r="L230" s="6">
        <v>-0.114</v>
      </c>
      <c r="M230" s="6">
        <v>2.39</v>
      </c>
      <c r="N230" s="6">
        <v>45.5501</v>
      </c>
      <c r="O230" s="6">
        <v>-3.4377</v>
      </c>
      <c r="P230" s="6">
        <f t="shared" si="21"/>
        <v>55.001610301039975</v>
      </c>
      <c r="Q230" s="6">
        <f t="shared" si="22"/>
        <v>74.140284073593136</v>
      </c>
      <c r="R230" s="6">
        <f t="shared" si="23"/>
        <v>134.2124787443291</v>
      </c>
      <c r="S230" s="6">
        <f t="shared" si="25"/>
        <v>55.001610301040046</v>
      </c>
      <c r="T230" s="6">
        <f t="shared" si="26"/>
        <v>74.140284073592881</v>
      </c>
      <c r="U230" s="6">
        <f t="shared" si="27"/>
        <v>134.21247874432879</v>
      </c>
      <c r="V230" s="6">
        <f t="shared" si="24"/>
        <v>4.3200998334214091E-12</v>
      </c>
    </row>
    <row r="231" spans="1:22" ht="18.95" customHeight="1">
      <c r="A231" s="1">
        <v>225</v>
      </c>
      <c r="B231" s="6">
        <v>1.874999999999996</v>
      </c>
      <c r="C231" s="6">
        <f>TimeStep!B231</f>
        <v>1875.0000000000002</v>
      </c>
      <c r="D231" s="6">
        <v>-1.0740000000000001</v>
      </c>
      <c r="E231" s="6">
        <v>-1.075</v>
      </c>
      <c r="F231" s="6">
        <v>4.5720000000000001</v>
      </c>
      <c r="G231" s="6">
        <v>0</v>
      </c>
      <c r="H231" s="6">
        <v>3.4249999999999998</v>
      </c>
      <c r="I231" s="6">
        <v>1.181</v>
      </c>
      <c r="J231" s="6">
        <v>0.182</v>
      </c>
      <c r="K231" s="6">
        <v>0.745</v>
      </c>
      <c r="L231" s="6">
        <v>-0.11799999999999999</v>
      </c>
      <c r="M231" s="6">
        <v>2.3780000000000001</v>
      </c>
      <c r="N231" s="6">
        <v>45.664700000000003</v>
      </c>
      <c r="O231" s="6">
        <v>-4.1253000000000002</v>
      </c>
      <c r="P231" s="6">
        <f t="shared" si="21"/>
        <v>55.39005921152976</v>
      </c>
      <c r="Q231" s="6">
        <f t="shared" si="22"/>
        <v>74.524681226073938</v>
      </c>
      <c r="R231" s="6">
        <f t="shared" si="23"/>
        <v>134.16326545789371</v>
      </c>
      <c r="S231" s="6">
        <f t="shared" si="25"/>
        <v>55.390059211529831</v>
      </c>
      <c r="T231" s="6">
        <f t="shared" si="26"/>
        <v>74.524681226073682</v>
      </c>
      <c r="U231" s="6">
        <f t="shared" si="27"/>
        <v>134.16326545789343</v>
      </c>
      <c r="V231" s="6">
        <f t="shared" si="24"/>
        <v>4.3200998334214091E-12</v>
      </c>
    </row>
    <row r="232" spans="1:22" ht="18.95" customHeight="1">
      <c r="A232" s="1">
        <v>226</v>
      </c>
      <c r="B232" s="6">
        <v>1.8833333333333291</v>
      </c>
      <c r="C232" s="6">
        <f>TimeStep!B232</f>
        <v>1883.3333333333335</v>
      </c>
      <c r="D232" s="6">
        <v>-1.056</v>
      </c>
      <c r="E232" s="6">
        <v>-1.0940000000000001</v>
      </c>
      <c r="F232" s="6">
        <v>4.5720000000000001</v>
      </c>
      <c r="G232" s="6">
        <v>0</v>
      </c>
      <c r="H232" s="6">
        <v>3.4249999999999998</v>
      </c>
      <c r="I232" s="6">
        <v>1.1819999999999999</v>
      </c>
      <c r="J232" s="6">
        <v>0.189</v>
      </c>
      <c r="K232" s="6">
        <v>0.73499999999999999</v>
      </c>
      <c r="L232" s="6">
        <v>-0.123</v>
      </c>
      <c r="M232" s="6">
        <v>2.3660000000000001</v>
      </c>
      <c r="N232" s="6">
        <v>45.779299999999999</v>
      </c>
      <c r="O232" s="6">
        <v>-4.7554999999999996</v>
      </c>
      <c r="P232" s="6">
        <f t="shared" si="21"/>
        <v>55.756887719490436</v>
      </c>
      <c r="Q232" s="6">
        <f t="shared" si="22"/>
        <v>74.908947668627121</v>
      </c>
      <c r="R232" s="6">
        <f t="shared" si="23"/>
        <v>134.13902905032413</v>
      </c>
      <c r="S232" s="6">
        <f t="shared" si="25"/>
        <v>55.756887719490521</v>
      </c>
      <c r="T232" s="6">
        <f t="shared" si="26"/>
        <v>74.908947668626865</v>
      </c>
      <c r="U232" s="6">
        <f t="shared" si="27"/>
        <v>134.13902905032387</v>
      </c>
      <c r="V232" s="6">
        <f t="shared" si="24"/>
        <v>4.3200998334214091E-12</v>
      </c>
    </row>
    <row r="233" spans="1:22" ht="18.95" customHeight="1">
      <c r="A233" s="1">
        <v>227</v>
      </c>
      <c r="B233" s="6">
        <v>1.8916666666666624</v>
      </c>
      <c r="C233" s="6">
        <f>TimeStep!B233</f>
        <v>1891.6666666666667</v>
      </c>
      <c r="D233" s="6">
        <v>-1.036</v>
      </c>
      <c r="E233" s="6">
        <v>-1.1120000000000001</v>
      </c>
      <c r="F233" s="6">
        <v>4.5720000000000001</v>
      </c>
      <c r="G233" s="6">
        <v>0</v>
      </c>
      <c r="H233" s="6">
        <v>3.4260000000000002</v>
      </c>
      <c r="I233" s="6">
        <v>1.1830000000000001</v>
      </c>
      <c r="J233" s="6">
        <v>0.19600000000000001</v>
      </c>
      <c r="K233" s="6">
        <v>0.72499999999999998</v>
      </c>
      <c r="L233" s="6">
        <v>-0.126</v>
      </c>
      <c r="M233" s="6">
        <v>2.3540000000000001</v>
      </c>
      <c r="N233" s="6">
        <v>45.836599999999997</v>
      </c>
      <c r="O233" s="6">
        <v>-5.4431000000000003</v>
      </c>
      <c r="P233" s="6">
        <f t="shared" si="21"/>
        <v>56.151875552161798</v>
      </c>
      <c r="Q233" s="6">
        <f t="shared" si="22"/>
        <v>75.288989730626682</v>
      </c>
      <c r="R233" s="6">
        <f t="shared" si="23"/>
        <v>134.0898387628759</v>
      </c>
      <c r="S233" s="6">
        <f t="shared" si="25"/>
        <v>56.151875552161869</v>
      </c>
      <c r="T233" s="6">
        <f t="shared" si="26"/>
        <v>75.28898973062644</v>
      </c>
      <c r="U233" s="6">
        <f t="shared" si="27"/>
        <v>134.08983876287562</v>
      </c>
      <c r="V233" s="6">
        <f t="shared" si="24"/>
        <v>4.3200998334214091E-12</v>
      </c>
    </row>
    <row r="234" spans="1:22" ht="18.95" customHeight="1">
      <c r="A234" s="1">
        <v>228</v>
      </c>
      <c r="B234" s="6">
        <v>1.8999999999999959</v>
      </c>
      <c r="C234" s="6">
        <f>TimeStep!B234</f>
        <v>1900.0000000000002</v>
      </c>
      <c r="D234" s="6">
        <v>-1.0169999999999999</v>
      </c>
      <c r="E234" s="6">
        <v>-1.1299999999999999</v>
      </c>
      <c r="F234" s="6">
        <v>4.5720000000000001</v>
      </c>
      <c r="G234" s="6">
        <v>0</v>
      </c>
      <c r="H234" s="6">
        <v>3.427</v>
      </c>
      <c r="I234" s="6">
        <v>1.1839999999999999</v>
      </c>
      <c r="J234" s="6">
        <v>0.20300000000000001</v>
      </c>
      <c r="K234" s="6">
        <v>0.71499999999999997</v>
      </c>
      <c r="L234" s="6">
        <v>-0.13</v>
      </c>
      <c r="M234" s="6">
        <v>2.3420000000000001</v>
      </c>
      <c r="N234" s="6">
        <v>45.893900000000002</v>
      </c>
      <c r="O234" s="6">
        <v>-6.0734000000000004</v>
      </c>
      <c r="P234" s="6">
        <f t="shared" si="21"/>
        <v>56.525464170276969</v>
      </c>
      <c r="Q234" s="6">
        <f t="shared" si="22"/>
        <v>75.669039724042634</v>
      </c>
      <c r="R234" s="6">
        <f t="shared" si="23"/>
        <v>134.04064981722331</v>
      </c>
      <c r="S234" s="6">
        <f t="shared" si="25"/>
        <v>56.525464170277047</v>
      </c>
      <c r="T234" s="6">
        <f t="shared" si="26"/>
        <v>75.669039724042392</v>
      </c>
      <c r="U234" s="6">
        <f t="shared" si="27"/>
        <v>134.04064981722303</v>
      </c>
      <c r="V234" s="6">
        <f t="shared" si="24"/>
        <v>4.3200998334214091E-12</v>
      </c>
    </row>
    <row r="235" spans="1:22" ht="18.95" customHeight="1">
      <c r="A235" s="1">
        <v>229</v>
      </c>
      <c r="B235" s="6">
        <v>1.908333333333329</v>
      </c>
      <c r="C235" s="6">
        <f>TimeStep!B235</f>
        <v>1908.3333333333335</v>
      </c>
      <c r="D235" s="6">
        <v>-0.997</v>
      </c>
      <c r="E235" s="6">
        <v>-1.147</v>
      </c>
      <c r="F235" s="6">
        <v>4.5720000000000001</v>
      </c>
      <c r="G235" s="6">
        <v>0</v>
      </c>
      <c r="H235" s="6">
        <v>3.4289999999999998</v>
      </c>
      <c r="I235" s="6">
        <v>1.1850000000000001</v>
      </c>
      <c r="J235" s="6">
        <v>0.21099999999999999</v>
      </c>
      <c r="K235" s="6">
        <v>0.70499999999999996</v>
      </c>
      <c r="L235" s="6">
        <v>-0.13300000000000001</v>
      </c>
      <c r="M235" s="6">
        <v>2.33</v>
      </c>
      <c r="N235" s="6">
        <v>45.9512</v>
      </c>
      <c r="O235" s="6">
        <v>-6.7035999999999998</v>
      </c>
      <c r="P235" s="6">
        <f t="shared" si="21"/>
        <v>56.884883365444551</v>
      </c>
      <c r="Q235" s="6">
        <f t="shared" si="22"/>
        <v>76.045208641417162</v>
      </c>
      <c r="R235" s="6">
        <f t="shared" si="23"/>
        <v>133.96642538457971</v>
      </c>
      <c r="S235" s="6">
        <f t="shared" si="25"/>
        <v>56.884883365444637</v>
      </c>
      <c r="T235" s="6">
        <f t="shared" si="26"/>
        <v>76.045208641416934</v>
      </c>
      <c r="U235" s="6">
        <f t="shared" si="27"/>
        <v>133.96642538457945</v>
      </c>
      <c r="V235" s="6">
        <f t="shared" si="24"/>
        <v>4.5474735088646412E-12</v>
      </c>
    </row>
    <row r="236" spans="1:22" ht="18.95" customHeight="1">
      <c r="A236" s="1">
        <v>230</v>
      </c>
      <c r="B236" s="6">
        <v>1.9166666666666623</v>
      </c>
      <c r="C236" s="6">
        <f>TimeStep!B236</f>
        <v>1916.6666666666667</v>
      </c>
      <c r="D236" s="6">
        <v>-0.97699999999999998</v>
      </c>
      <c r="E236" s="6">
        <v>-1.165</v>
      </c>
      <c r="F236" s="6">
        <v>4.5720000000000001</v>
      </c>
      <c r="G236" s="6">
        <v>0</v>
      </c>
      <c r="H236" s="6">
        <v>3.43</v>
      </c>
      <c r="I236" s="6">
        <v>1.1859999999999999</v>
      </c>
      <c r="J236" s="6">
        <v>0.218</v>
      </c>
      <c r="K236" s="6">
        <v>0.69599999999999995</v>
      </c>
      <c r="L236" s="6">
        <v>-0.13600000000000001</v>
      </c>
      <c r="M236" s="6">
        <v>2.3180000000000001</v>
      </c>
      <c r="N236" s="6">
        <v>45.9512</v>
      </c>
      <c r="O236" s="6">
        <v>-7.3912000000000004</v>
      </c>
      <c r="P236" s="6">
        <f t="shared" si="21"/>
        <v>57.294348552366436</v>
      </c>
      <c r="Q236" s="6">
        <f t="shared" si="22"/>
        <v>76.425277570278027</v>
      </c>
      <c r="R236" s="6">
        <f t="shared" si="23"/>
        <v>133.91721899707417</v>
      </c>
      <c r="S236" s="6">
        <f t="shared" si="25"/>
        <v>57.294348552366529</v>
      </c>
      <c r="T236" s="6">
        <f t="shared" si="26"/>
        <v>76.425277570277785</v>
      </c>
      <c r="U236" s="6">
        <f t="shared" si="27"/>
        <v>133.91721899707392</v>
      </c>
      <c r="V236" s="6">
        <f t="shared" si="24"/>
        <v>4.5474735088646412E-12</v>
      </c>
    </row>
    <row r="237" spans="1:22" ht="18.95" customHeight="1">
      <c r="A237" s="1">
        <v>231</v>
      </c>
      <c r="B237" s="6">
        <v>1.924999999999996</v>
      </c>
      <c r="C237" s="6">
        <f>TimeStep!B237</f>
        <v>1925.0000000000002</v>
      </c>
      <c r="D237" s="6">
        <v>-0.95599999999999996</v>
      </c>
      <c r="E237" s="6">
        <v>-1.181</v>
      </c>
      <c r="F237" s="6">
        <v>4.5720000000000001</v>
      </c>
      <c r="G237" s="6">
        <v>0</v>
      </c>
      <c r="H237" s="6">
        <v>3.431</v>
      </c>
      <c r="I237" s="6">
        <v>1.1870000000000001</v>
      </c>
      <c r="J237" s="6">
        <v>0.22600000000000001</v>
      </c>
      <c r="K237" s="6">
        <v>0.68700000000000006</v>
      </c>
      <c r="L237" s="6">
        <v>-0.13900000000000001</v>
      </c>
      <c r="M237" s="6">
        <v>2.3069999999999999</v>
      </c>
      <c r="N237" s="6">
        <v>46.008499999999998</v>
      </c>
      <c r="O237" s="6">
        <v>-8.0213999999999999</v>
      </c>
      <c r="P237" s="6">
        <f t="shared" si="21"/>
        <v>57.675913335672952</v>
      </c>
      <c r="Q237" s="6">
        <f t="shared" si="22"/>
        <v>76.817175131313746</v>
      </c>
      <c r="R237" s="6">
        <f t="shared" si="23"/>
        <v>133.86801420693976</v>
      </c>
      <c r="S237" s="6">
        <f t="shared" si="25"/>
        <v>57.675913335673044</v>
      </c>
      <c r="T237" s="6">
        <f t="shared" si="26"/>
        <v>76.817175131313491</v>
      </c>
      <c r="U237" s="6">
        <f t="shared" si="27"/>
        <v>133.86801420693951</v>
      </c>
      <c r="V237" s="6">
        <f t="shared" si="24"/>
        <v>4.0927261579781771E-12</v>
      </c>
    </row>
    <row r="238" spans="1:22" ht="18.95" customHeight="1">
      <c r="A238" s="1">
        <v>232</v>
      </c>
      <c r="B238" s="6">
        <v>1.9333333333333289</v>
      </c>
      <c r="C238" s="6">
        <f>TimeStep!B238</f>
        <v>1933.3333333333335</v>
      </c>
      <c r="D238" s="6">
        <v>-0.93500000000000005</v>
      </c>
      <c r="E238" s="6">
        <v>-1.198</v>
      </c>
      <c r="F238" s="6">
        <v>4.5720000000000001</v>
      </c>
      <c r="G238" s="6">
        <v>0</v>
      </c>
      <c r="H238" s="6">
        <v>3.4319999999999999</v>
      </c>
      <c r="I238" s="6">
        <v>1.1879999999999999</v>
      </c>
      <c r="J238" s="6">
        <v>0.23499999999999999</v>
      </c>
      <c r="K238" s="6">
        <v>0.67900000000000005</v>
      </c>
      <c r="L238" s="6">
        <v>-0.14199999999999999</v>
      </c>
      <c r="M238" s="6">
        <v>2.2959999999999998</v>
      </c>
      <c r="N238" s="6">
        <v>46.008499999999998</v>
      </c>
      <c r="O238" s="6">
        <v>-8.6516999999999999</v>
      </c>
      <c r="P238" s="6">
        <f t="shared" si="21"/>
        <v>58.063264055523774</v>
      </c>
      <c r="Q238" s="6">
        <f t="shared" si="22"/>
        <v>77.212745534776417</v>
      </c>
      <c r="R238" s="6">
        <f t="shared" si="23"/>
        <v>133.81881108667335</v>
      </c>
      <c r="S238" s="6">
        <f t="shared" si="25"/>
        <v>58.063264055523859</v>
      </c>
      <c r="T238" s="6">
        <f t="shared" si="26"/>
        <v>77.212745534776161</v>
      </c>
      <c r="U238" s="6">
        <f t="shared" si="27"/>
        <v>133.81881108667312</v>
      </c>
      <c r="V238" s="6">
        <f t="shared" si="24"/>
        <v>4.5474735088646412E-12</v>
      </c>
    </row>
    <row r="239" spans="1:22" ht="18.95" customHeight="1">
      <c r="A239" s="1">
        <v>233</v>
      </c>
      <c r="B239" s="6">
        <v>1.9416666666666624</v>
      </c>
      <c r="C239" s="6">
        <f>TimeStep!B239</f>
        <v>1941.6666666666667</v>
      </c>
      <c r="D239" s="6">
        <v>-0.91400000000000003</v>
      </c>
      <c r="E239" s="6">
        <v>-1.214</v>
      </c>
      <c r="F239" s="6">
        <v>4.5720000000000001</v>
      </c>
      <c r="G239" s="6">
        <v>0</v>
      </c>
      <c r="H239" s="6">
        <v>3.4340000000000002</v>
      </c>
      <c r="I239" s="6">
        <v>1.19</v>
      </c>
      <c r="J239" s="6">
        <v>0.24299999999999999</v>
      </c>
      <c r="K239" s="6">
        <v>0.67</v>
      </c>
      <c r="L239" s="6">
        <v>-0.14399999999999999</v>
      </c>
      <c r="M239" s="6">
        <v>2.2850000000000001</v>
      </c>
      <c r="N239" s="6">
        <v>46.008499999999998</v>
      </c>
      <c r="O239" s="6">
        <v>-9.2819000000000003</v>
      </c>
      <c r="P239" s="6">
        <f t="shared" si="21"/>
        <v>58.445128092299839</v>
      </c>
      <c r="Q239" s="6">
        <f t="shared" si="22"/>
        <v>77.589145350181369</v>
      </c>
      <c r="R239" s="6">
        <f t="shared" si="23"/>
        <v>133.72041014565758</v>
      </c>
      <c r="S239" s="6">
        <f t="shared" si="25"/>
        <v>58.44512809229991</v>
      </c>
      <c r="T239" s="6">
        <f t="shared" si="26"/>
        <v>77.589145350181127</v>
      </c>
      <c r="U239" s="6">
        <f t="shared" si="27"/>
        <v>133.72041014565735</v>
      </c>
      <c r="V239" s="6">
        <f t="shared" si="24"/>
        <v>4.3200998334214091E-12</v>
      </c>
    </row>
    <row r="240" spans="1:22" ht="18.95" customHeight="1">
      <c r="A240" s="1">
        <v>234</v>
      </c>
      <c r="B240" s="6">
        <v>1.9499999999999955</v>
      </c>
      <c r="C240" s="6">
        <f>TimeStep!B240</f>
        <v>1950.0000000000002</v>
      </c>
      <c r="D240" s="6">
        <v>-0.89300000000000002</v>
      </c>
      <c r="E240" s="6">
        <v>-1.23</v>
      </c>
      <c r="F240" s="6">
        <v>4.5720000000000001</v>
      </c>
      <c r="G240" s="6">
        <v>0</v>
      </c>
      <c r="H240" s="6">
        <v>3.4359999999999999</v>
      </c>
      <c r="I240" s="6">
        <v>1.1910000000000001</v>
      </c>
      <c r="J240" s="6">
        <v>0.252</v>
      </c>
      <c r="K240" s="6">
        <v>0.66200000000000003</v>
      </c>
      <c r="L240" s="6">
        <v>-0.14599999999999999</v>
      </c>
      <c r="M240" s="6">
        <v>2.274</v>
      </c>
      <c r="N240" s="6">
        <v>45.9512</v>
      </c>
      <c r="O240" s="6">
        <v>-9.9122000000000003</v>
      </c>
      <c r="P240" s="6">
        <f t="shared" si="21"/>
        <v>58.818524996937022</v>
      </c>
      <c r="Q240" s="6">
        <f t="shared" si="22"/>
        <v>77.96555777474984</v>
      </c>
      <c r="R240" s="6">
        <f t="shared" si="23"/>
        <v>133.64603297767636</v>
      </c>
      <c r="S240" s="6">
        <f t="shared" si="25"/>
        <v>58.8185249969371</v>
      </c>
      <c r="T240" s="6">
        <f t="shared" si="26"/>
        <v>77.965557774749584</v>
      </c>
      <c r="U240" s="6">
        <f t="shared" si="27"/>
        <v>133.6460329776761</v>
      </c>
      <c r="V240" s="6">
        <f t="shared" si="24"/>
        <v>4.7748471843078732E-12</v>
      </c>
    </row>
    <row r="241" spans="1:22" ht="18.95" customHeight="1">
      <c r="A241" s="1">
        <v>235</v>
      </c>
      <c r="B241" s="6">
        <v>1.9583333333333288</v>
      </c>
      <c r="C241" s="6">
        <f>TimeStep!B241</f>
        <v>1958.3333333333335</v>
      </c>
      <c r="D241" s="6">
        <v>-0.871</v>
      </c>
      <c r="E241" s="6">
        <v>-1.2450000000000001</v>
      </c>
      <c r="F241" s="6">
        <v>4.5720000000000001</v>
      </c>
      <c r="G241" s="6">
        <v>0</v>
      </c>
      <c r="H241" s="6">
        <v>3.4380000000000002</v>
      </c>
      <c r="I241" s="6">
        <v>1.1930000000000001</v>
      </c>
      <c r="J241" s="6">
        <v>0.26100000000000001</v>
      </c>
      <c r="K241" s="6">
        <v>0.65400000000000003</v>
      </c>
      <c r="L241" s="6">
        <v>-0.14799999999999999</v>
      </c>
      <c r="M241" s="6">
        <v>2.2639999999999998</v>
      </c>
      <c r="N241" s="6">
        <v>45.9512</v>
      </c>
      <c r="O241" s="6">
        <v>-10.542400000000001</v>
      </c>
      <c r="P241" s="6">
        <f t="shared" si="21"/>
        <v>59.200694481853553</v>
      </c>
      <c r="Q241" s="6">
        <f t="shared" si="22"/>
        <v>78.357612716005818</v>
      </c>
      <c r="R241" s="6">
        <f t="shared" si="23"/>
        <v>133.54760339769888</v>
      </c>
      <c r="S241" s="6">
        <f t="shared" si="25"/>
        <v>59.200694481853617</v>
      </c>
      <c r="T241" s="6">
        <f t="shared" si="26"/>
        <v>78.357612716005576</v>
      </c>
      <c r="U241" s="6">
        <f t="shared" si="27"/>
        <v>133.54760339769859</v>
      </c>
      <c r="V241" s="6">
        <f t="shared" si="24"/>
        <v>4.7748471843078732E-12</v>
      </c>
    </row>
    <row r="242" spans="1:22" ht="18.95" customHeight="1">
      <c r="A242" s="1">
        <v>236</v>
      </c>
      <c r="B242" s="6">
        <v>1.9666666666666619</v>
      </c>
      <c r="C242" s="6">
        <f>TimeStep!B242</f>
        <v>1966.6666666666667</v>
      </c>
      <c r="D242" s="6">
        <v>-0.85</v>
      </c>
      <c r="E242" s="6">
        <v>-1.26</v>
      </c>
      <c r="F242" s="6">
        <v>4.5720000000000001</v>
      </c>
      <c r="G242" s="6">
        <v>0</v>
      </c>
      <c r="H242" s="6">
        <v>3.4390000000000001</v>
      </c>
      <c r="I242" s="6">
        <v>1.1950000000000001</v>
      </c>
      <c r="J242" s="6">
        <v>0.27</v>
      </c>
      <c r="K242" s="6">
        <v>0.64700000000000002</v>
      </c>
      <c r="L242" s="6">
        <v>-0.15</v>
      </c>
      <c r="M242" s="6">
        <v>2.2530000000000001</v>
      </c>
      <c r="N242" s="6">
        <v>45.893900000000002</v>
      </c>
      <c r="O242" s="6">
        <v>-11.172700000000001</v>
      </c>
      <c r="P242" s="6">
        <f t="shared" si="21"/>
        <v>59.573861603256475</v>
      </c>
      <c r="Q242" s="6">
        <f t="shared" si="22"/>
        <v>78.7308474333379</v>
      </c>
      <c r="R242" s="6">
        <f t="shared" si="23"/>
        <v>133.47444208758805</v>
      </c>
      <c r="S242" s="6">
        <f t="shared" si="25"/>
        <v>59.573861603256546</v>
      </c>
      <c r="T242" s="6">
        <f t="shared" si="26"/>
        <v>78.730847433337658</v>
      </c>
      <c r="U242" s="6">
        <f t="shared" si="27"/>
        <v>133.47444208758776</v>
      </c>
      <c r="V242" s="6">
        <f t="shared" si="24"/>
        <v>4.7748471843078732E-12</v>
      </c>
    </row>
    <row r="243" spans="1:22" ht="18.95" customHeight="1">
      <c r="A243" s="1">
        <v>237</v>
      </c>
      <c r="B243" s="6">
        <v>1.9749999999999956</v>
      </c>
      <c r="C243" s="6">
        <f>TimeStep!B243</f>
        <v>1975.0000000000002</v>
      </c>
      <c r="D243" s="6">
        <v>-0.82699999999999996</v>
      </c>
      <c r="E243" s="6">
        <v>-1.2749999999999999</v>
      </c>
      <c r="F243" s="6">
        <v>4.5720000000000001</v>
      </c>
      <c r="G243" s="6">
        <v>0</v>
      </c>
      <c r="H243" s="6">
        <v>3.4409999999999998</v>
      </c>
      <c r="I243" s="6">
        <v>1.1970000000000001</v>
      </c>
      <c r="J243" s="6">
        <v>0.27900000000000003</v>
      </c>
      <c r="K243" s="6">
        <v>0.64</v>
      </c>
      <c r="L243" s="6">
        <v>-0.151</v>
      </c>
      <c r="M243" s="6">
        <v>2.2429999999999999</v>
      </c>
      <c r="N243" s="6">
        <v>45.779299999999999</v>
      </c>
      <c r="O243" s="6">
        <v>-11.802899999999999</v>
      </c>
      <c r="P243" s="6">
        <f t="shared" si="21"/>
        <v>59.991603037963266</v>
      </c>
      <c r="Q243" s="6">
        <f t="shared" si="22"/>
        <v>79.1229300652316</v>
      </c>
      <c r="R243" s="6">
        <f t="shared" si="23"/>
        <v>133.37607010250423</v>
      </c>
      <c r="S243" s="6">
        <f t="shared" si="25"/>
        <v>59.99160303796333</v>
      </c>
      <c r="T243" s="6">
        <f t="shared" si="26"/>
        <v>79.122930065231344</v>
      </c>
      <c r="U243" s="6">
        <f t="shared" si="27"/>
        <v>133.37607010250395</v>
      </c>
      <c r="V243" s="6">
        <f t="shared" si="24"/>
        <v>4.5474735088646412E-12</v>
      </c>
    </row>
    <row r="244" spans="1:22" ht="18.95" customHeight="1">
      <c r="A244" s="1">
        <v>238</v>
      </c>
      <c r="B244" s="6">
        <v>1.9833333333333287</v>
      </c>
      <c r="C244" s="6">
        <f>TimeStep!B244</f>
        <v>1983.3333333333335</v>
      </c>
      <c r="D244" s="6">
        <v>-0.80500000000000005</v>
      </c>
      <c r="E244" s="6">
        <v>-1.2889999999999999</v>
      </c>
      <c r="F244" s="6">
        <v>4.5720000000000001</v>
      </c>
      <c r="G244" s="6">
        <v>0</v>
      </c>
      <c r="H244" s="6">
        <v>3.4430000000000001</v>
      </c>
      <c r="I244" s="6">
        <v>1.1990000000000001</v>
      </c>
      <c r="J244" s="6">
        <v>0.28899999999999998</v>
      </c>
      <c r="K244" s="6">
        <v>0.63300000000000001</v>
      </c>
      <c r="L244" s="6">
        <v>-0.152</v>
      </c>
      <c r="M244" s="6">
        <v>2.234</v>
      </c>
      <c r="N244" s="6">
        <v>45.722000000000001</v>
      </c>
      <c r="O244" s="6">
        <v>-12.433199999999999</v>
      </c>
      <c r="P244" s="6">
        <f t="shared" si="21"/>
        <v>60.351522054900279</v>
      </c>
      <c r="Q244" s="6">
        <f t="shared" si="22"/>
        <v>79.499205275147034</v>
      </c>
      <c r="R244" s="6">
        <f t="shared" si="23"/>
        <v>133.27770769307537</v>
      </c>
      <c r="S244" s="6">
        <f t="shared" si="25"/>
        <v>60.351522054900329</v>
      </c>
      <c r="T244" s="6">
        <f t="shared" si="26"/>
        <v>79.499205275146778</v>
      </c>
      <c r="U244" s="6">
        <f t="shared" si="27"/>
        <v>133.27770769307506</v>
      </c>
      <c r="V244" s="6">
        <f t="shared" si="24"/>
        <v>4.7748471843078732E-12</v>
      </c>
    </row>
    <row r="245" spans="1:22" ht="18.95" customHeight="1">
      <c r="A245" s="1">
        <v>239</v>
      </c>
      <c r="B245" s="6">
        <v>1.991666666666662</v>
      </c>
      <c r="C245" s="6">
        <f>TimeStep!B245</f>
        <v>1991.6666666666667</v>
      </c>
      <c r="D245" s="6">
        <v>-0.78200000000000003</v>
      </c>
      <c r="E245" s="6">
        <v>-1.3029999999999999</v>
      </c>
      <c r="F245" s="6">
        <v>4.5720000000000001</v>
      </c>
      <c r="G245" s="6">
        <v>0</v>
      </c>
      <c r="H245" s="6">
        <v>3.4460000000000002</v>
      </c>
      <c r="I245" s="6">
        <v>1.2010000000000001</v>
      </c>
      <c r="J245" s="6">
        <v>0.29899999999999999</v>
      </c>
      <c r="K245" s="6">
        <v>0.626</v>
      </c>
      <c r="L245" s="6">
        <v>-0.153</v>
      </c>
      <c r="M245" s="6">
        <v>2.2240000000000002</v>
      </c>
      <c r="N245" s="6">
        <v>45.607399999999998</v>
      </c>
      <c r="O245" s="6">
        <v>-13.0634</v>
      </c>
      <c r="P245" s="6">
        <f t="shared" si="21"/>
        <v>60.733991893252799</v>
      </c>
      <c r="Q245" s="6">
        <f t="shared" si="22"/>
        <v>79.888260532769351</v>
      </c>
      <c r="R245" s="6">
        <f t="shared" si="23"/>
        <v>133.15397661096486</v>
      </c>
      <c r="S245" s="6">
        <f t="shared" si="25"/>
        <v>60.733991893252835</v>
      </c>
      <c r="T245" s="6">
        <f t="shared" si="26"/>
        <v>79.888260532769095</v>
      </c>
      <c r="U245" s="6">
        <f t="shared" si="27"/>
        <v>133.15397661096455</v>
      </c>
      <c r="V245" s="6">
        <f t="shared" si="24"/>
        <v>4.7748471843078732E-12</v>
      </c>
    </row>
    <row r="246" spans="1:22" ht="18.95" customHeight="1">
      <c r="A246" s="1">
        <v>240</v>
      </c>
      <c r="B246" s="6">
        <v>1.9999999999999956</v>
      </c>
      <c r="C246" s="6">
        <f>TimeStep!B246</f>
        <v>2000.0000000000002</v>
      </c>
      <c r="D246" s="6">
        <v>-0.76</v>
      </c>
      <c r="E246" s="6">
        <v>-1.3169999999999999</v>
      </c>
      <c r="F246" s="6">
        <v>4.5720000000000001</v>
      </c>
      <c r="G246" s="6">
        <v>0</v>
      </c>
      <c r="H246" s="6">
        <v>3.448</v>
      </c>
      <c r="I246" s="6">
        <v>1.2030000000000001</v>
      </c>
      <c r="J246" s="6">
        <v>0.309</v>
      </c>
      <c r="K246" s="6">
        <v>0.62</v>
      </c>
      <c r="L246" s="6">
        <v>-0.153</v>
      </c>
      <c r="M246" s="6">
        <v>2.2149999999999999</v>
      </c>
      <c r="N246" s="6">
        <v>45.5501</v>
      </c>
      <c r="O246" s="6">
        <v>-13.6937</v>
      </c>
      <c r="P246" s="6">
        <f t="shared" si="21"/>
        <v>61.10638107254745</v>
      </c>
      <c r="Q246" s="6">
        <f t="shared" si="22"/>
        <v>80.248559839173495</v>
      </c>
      <c r="R246" s="6">
        <f t="shared" si="23"/>
        <v>133.05559569320107</v>
      </c>
      <c r="S246" s="6">
        <f t="shared" si="25"/>
        <v>61.106381072547492</v>
      </c>
      <c r="T246" s="6">
        <f t="shared" si="26"/>
        <v>80.248559839173254</v>
      </c>
      <c r="U246" s="6">
        <f t="shared" si="27"/>
        <v>133.05559569320076</v>
      </c>
      <c r="V246" s="6">
        <f t="shared" si="24"/>
        <v>4.7748471843078732E-12</v>
      </c>
    </row>
    <row r="247" spans="1:22" ht="18.95" customHeight="1">
      <c r="A247" s="1">
        <v>241</v>
      </c>
      <c r="B247" s="6">
        <v>2.0083333333333289</v>
      </c>
      <c r="C247" s="6">
        <f>TimeStep!B247</f>
        <v>2008.3333333333335</v>
      </c>
      <c r="D247" s="6">
        <v>-0.73599999999999999</v>
      </c>
      <c r="E247" s="6">
        <v>-1.33</v>
      </c>
      <c r="F247" s="6">
        <v>4.5720000000000001</v>
      </c>
      <c r="G247" s="6">
        <v>0</v>
      </c>
      <c r="H247" s="6">
        <v>3.4510000000000001</v>
      </c>
      <c r="I247" s="6">
        <v>1.206</v>
      </c>
      <c r="J247" s="6">
        <v>0.31900000000000001</v>
      </c>
      <c r="K247" s="6">
        <v>0.61399999999999999</v>
      </c>
      <c r="L247" s="6">
        <v>-0.153</v>
      </c>
      <c r="M247" s="6">
        <v>2.206</v>
      </c>
      <c r="N247" s="6">
        <v>45.378300000000003</v>
      </c>
      <c r="O247" s="6">
        <v>-14.3239</v>
      </c>
      <c r="P247" s="6">
        <f t="shared" si="21"/>
        <v>61.511516443018209</v>
      </c>
      <c r="Q247" s="6">
        <f t="shared" si="22"/>
        <v>80.637555649497372</v>
      </c>
      <c r="R247" s="6">
        <f t="shared" si="23"/>
        <v>132.90804600067949</v>
      </c>
      <c r="S247" s="6">
        <f t="shared" si="25"/>
        <v>61.511516443018252</v>
      </c>
      <c r="T247" s="6">
        <f t="shared" si="26"/>
        <v>80.637555649497131</v>
      </c>
      <c r="U247" s="6">
        <f t="shared" si="27"/>
        <v>132.90804600067918</v>
      </c>
      <c r="V247" s="6">
        <f t="shared" si="24"/>
        <v>4.5474735088646412E-12</v>
      </c>
    </row>
    <row r="248" spans="1:22" ht="18.95" customHeight="1">
      <c r="A248" s="1">
        <v>242</v>
      </c>
      <c r="B248" s="6">
        <v>2.0166666666666622</v>
      </c>
      <c r="C248" s="6">
        <f>TimeStep!B248</f>
        <v>2016.6666666666667</v>
      </c>
      <c r="D248" s="6">
        <v>-0.71299999999999997</v>
      </c>
      <c r="E248" s="6">
        <v>-1.3420000000000001</v>
      </c>
      <c r="F248" s="6">
        <v>4.5720000000000001</v>
      </c>
      <c r="G248" s="6">
        <v>0</v>
      </c>
      <c r="H248" s="6">
        <v>3.4529999999999998</v>
      </c>
      <c r="I248" s="6">
        <v>1.208</v>
      </c>
      <c r="J248" s="6">
        <v>0.33</v>
      </c>
      <c r="K248" s="6">
        <v>0.60799999999999998</v>
      </c>
      <c r="L248" s="6">
        <v>-0.154</v>
      </c>
      <c r="M248" s="6">
        <v>2.1970000000000001</v>
      </c>
      <c r="N248" s="6">
        <v>45.2637</v>
      </c>
      <c r="O248" s="6">
        <v>-14.9542</v>
      </c>
      <c r="P248" s="6">
        <f t="shared" si="21"/>
        <v>61.858930076258495</v>
      </c>
      <c r="Q248" s="6">
        <f t="shared" si="22"/>
        <v>81.024047938662989</v>
      </c>
      <c r="R248" s="6">
        <f t="shared" si="23"/>
        <v>132.80969483756152</v>
      </c>
      <c r="S248" s="6">
        <f t="shared" si="25"/>
        <v>61.858930076258531</v>
      </c>
      <c r="T248" s="6">
        <f t="shared" si="26"/>
        <v>81.024047938662761</v>
      </c>
      <c r="U248" s="6">
        <f t="shared" si="27"/>
        <v>132.80969483756121</v>
      </c>
      <c r="V248" s="6">
        <f t="shared" si="24"/>
        <v>4.5474735088646412E-12</v>
      </c>
    </row>
    <row r="249" spans="1:22" ht="18.95" customHeight="1">
      <c r="A249" s="1">
        <v>243</v>
      </c>
      <c r="B249" s="6">
        <v>2.0249999999999955</v>
      </c>
      <c r="C249" s="6">
        <f>TimeStep!B249</f>
        <v>2025.0000000000002</v>
      </c>
      <c r="D249" s="6">
        <v>-0.69</v>
      </c>
      <c r="E249" s="6">
        <v>-1.3540000000000001</v>
      </c>
      <c r="F249" s="6">
        <v>4.5720000000000001</v>
      </c>
      <c r="G249" s="6">
        <v>0</v>
      </c>
      <c r="H249" s="6">
        <v>3.456</v>
      </c>
      <c r="I249" s="6">
        <v>1.21</v>
      </c>
      <c r="J249" s="6">
        <v>0.34</v>
      </c>
      <c r="K249" s="6">
        <v>0.60299999999999998</v>
      </c>
      <c r="L249" s="6">
        <v>-0.153</v>
      </c>
      <c r="M249" s="6">
        <v>2.1880000000000002</v>
      </c>
      <c r="N249" s="6">
        <v>45.091799999999999</v>
      </c>
      <c r="O249" s="6">
        <v>-15.527200000000001</v>
      </c>
      <c r="P249" s="6">
        <f t="shared" si="21"/>
        <v>62.24145939893998</v>
      </c>
      <c r="Q249" s="6">
        <f t="shared" si="22"/>
        <v>81.379080859058192</v>
      </c>
      <c r="R249" s="6">
        <f t="shared" si="23"/>
        <v>132.68578068206295</v>
      </c>
      <c r="S249" s="6">
        <f t="shared" si="25"/>
        <v>62.241459398940009</v>
      </c>
      <c r="T249" s="6">
        <f t="shared" si="26"/>
        <v>81.379080859057979</v>
      </c>
      <c r="U249" s="6">
        <f t="shared" si="27"/>
        <v>132.68578068206261</v>
      </c>
      <c r="V249" s="6">
        <f t="shared" si="24"/>
        <v>4.7748471843078732E-12</v>
      </c>
    </row>
    <row r="250" spans="1:22" ht="18.95" customHeight="1">
      <c r="A250" s="1">
        <v>244</v>
      </c>
      <c r="B250" s="6">
        <v>2.0333333333333288</v>
      </c>
      <c r="C250" s="6">
        <f>TimeStep!B250</f>
        <v>2033.3333333333335</v>
      </c>
      <c r="D250" s="6">
        <v>-0.66600000000000004</v>
      </c>
      <c r="E250" s="6">
        <v>-1.3660000000000001</v>
      </c>
      <c r="F250" s="6">
        <v>4.5720000000000001</v>
      </c>
      <c r="G250" s="6">
        <v>0</v>
      </c>
      <c r="H250" s="6">
        <v>3.4580000000000002</v>
      </c>
      <c r="I250" s="6">
        <v>1.2130000000000001</v>
      </c>
      <c r="J250" s="6">
        <v>0.35099999999999998</v>
      </c>
      <c r="K250" s="6">
        <v>0.59699999999999998</v>
      </c>
      <c r="L250" s="6">
        <v>-0.153</v>
      </c>
      <c r="M250" s="6">
        <v>2.1800000000000002</v>
      </c>
      <c r="N250" s="6">
        <v>44.977200000000003</v>
      </c>
      <c r="O250" s="6">
        <v>-16.157399999999999</v>
      </c>
      <c r="P250" s="6">
        <f t="shared" si="21"/>
        <v>62.612023349751368</v>
      </c>
      <c r="Q250" s="6">
        <f t="shared" si="22"/>
        <v>81.768129050356677</v>
      </c>
      <c r="R250" s="6">
        <f t="shared" si="23"/>
        <v>132.56387468235204</v>
      </c>
      <c r="S250" s="6">
        <f t="shared" si="25"/>
        <v>62.612023349751411</v>
      </c>
      <c r="T250" s="6">
        <f t="shared" si="26"/>
        <v>81.768129050356492</v>
      </c>
      <c r="U250" s="6">
        <f t="shared" si="27"/>
        <v>132.5638746823517</v>
      </c>
      <c r="V250" s="6">
        <f t="shared" si="24"/>
        <v>4.7748471843078732E-12</v>
      </c>
    </row>
    <row r="251" spans="1:22" ht="18.95" customHeight="1">
      <c r="A251" s="1">
        <v>245</v>
      </c>
      <c r="B251" s="6">
        <v>2.0416666666666621</v>
      </c>
      <c r="C251" s="6">
        <f>TimeStep!B251</f>
        <v>2041.6666666666667</v>
      </c>
      <c r="D251" s="6">
        <v>-0.64200000000000002</v>
      </c>
      <c r="E251" s="6">
        <v>-1.3779999999999999</v>
      </c>
      <c r="F251" s="6">
        <v>4.5720000000000001</v>
      </c>
      <c r="G251" s="6">
        <v>0</v>
      </c>
      <c r="H251" s="6">
        <v>3.4609999999999999</v>
      </c>
      <c r="I251" s="6">
        <v>1.216</v>
      </c>
      <c r="J251" s="6">
        <v>0.36199999999999999</v>
      </c>
      <c r="K251" s="6">
        <v>0.59299999999999997</v>
      </c>
      <c r="L251" s="6">
        <v>-0.152</v>
      </c>
      <c r="M251" s="6">
        <v>2.1720000000000002</v>
      </c>
      <c r="N251" s="6">
        <v>44.747999999999998</v>
      </c>
      <c r="O251" s="6">
        <v>-16.787700000000001</v>
      </c>
      <c r="P251" s="6">
        <f t="shared" si="21"/>
        <v>63.006338977047044</v>
      </c>
      <c r="Q251" s="6">
        <f t="shared" si="22"/>
        <v>82.141225275913342</v>
      </c>
      <c r="R251" s="6">
        <f t="shared" si="23"/>
        <v>132.41642507241914</v>
      </c>
      <c r="S251" s="6">
        <f t="shared" si="25"/>
        <v>63.006338977047079</v>
      </c>
      <c r="T251" s="6">
        <f t="shared" si="26"/>
        <v>82.141225275913143</v>
      </c>
      <c r="U251" s="6">
        <f t="shared" si="27"/>
        <v>132.4164250724188</v>
      </c>
      <c r="V251" s="6">
        <f t="shared" si="24"/>
        <v>4.7748471843078732E-12</v>
      </c>
    </row>
    <row r="252" spans="1:22" ht="18.95" customHeight="1">
      <c r="A252" s="1">
        <v>246</v>
      </c>
      <c r="B252" s="6">
        <v>2.0499999999999954</v>
      </c>
      <c r="C252" s="6">
        <f>TimeStep!B252</f>
        <v>2050</v>
      </c>
      <c r="D252" s="6">
        <v>-0.61799999999999999</v>
      </c>
      <c r="E252" s="6">
        <v>-1.389</v>
      </c>
      <c r="F252" s="6">
        <v>4.5720000000000001</v>
      </c>
      <c r="G252" s="6">
        <v>0</v>
      </c>
      <c r="H252" s="6">
        <v>3.464</v>
      </c>
      <c r="I252" s="6">
        <v>1.218</v>
      </c>
      <c r="J252" s="6">
        <v>0.373</v>
      </c>
      <c r="K252" s="6">
        <v>0.58799999999999997</v>
      </c>
      <c r="L252" s="6">
        <v>-0.151</v>
      </c>
      <c r="M252" s="6">
        <v>2.1640000000000001</v>
      </c>
      <c r="N252" s="6">
        <v>44.576099999999997</v>
      </c>
      <c r="O252" s="6">
        <v>-17.417899999999999</v>
      </c>
      <c r="P252" s="6">
        <f t="shared" si="21"/>
        <v>63.377015799679043</v>
      </c>
      <c r="Q252" s="6">
        <f t="shared" si="22"/>
        <v>82.512068299329073</v>
      </c>
      <c r="R252" s="6">
        <f t="shared" si="23"/>
        <v>132.29241464625161</v>
      </c>
      <c r="S252" s="6">
        <f t="shared" si="25"/>
        <v>63.377015799679072</v>
      </c>
      <c r="T252" s="6">
        <f t="shared" si="26"/>
        <v>82.51206829932886</v>
      </c>
      <c r="U252" s="6">
        <f t="shared" si="27"/>
        <v>132.29241464625125</v>
      </c>
      <c r="V252" s="6">
        <f t="shared" si="24"/>
        <v>4.5474735088646412E-12</v>
      </c>
    </row>
    <row r="253" spans="1:22" ht="18.95" customHeight="1">
      <c r="A253" s="1">
        <v>247</v>
      </c>
      <c r="B253" s="6">
        <v>2.0583333333333287</v>
      </c>
      <c r="C253" s="6">
        <f>TimeStep!B253</f>
        <v>2058.3333333333335</v>
      </c>
      <c r="D253" s="6">
        <v>-0.59399999999999997</v>
      </c>
      <c r="E253" s="6">
        <v>-1.399</v>
      </c>
      <c r="F253" s="6">
        <v>4.5720000000000001</v>
      </c>
      <c r="G253" s="6">
        <v>0</v>
      </c>
      <c r="H253" s="6">
        <v>3.468</v>
      </c>
      <c r="I253" s="6">
        <v>1.2210000000000001</v>
      </c>
      <c r="J253" s="6">
        <v>0.38500000000000001</v>
      </c>
      <c r="K253" s="6">
        <v>0.58399999999999996</v>
      </c>
      <c r="L253" s="6">
        <v>-0.15</v>
      </c>
      <c r="M253" s="6">
        <v>2.1560000000000001</v>
      </c>
      <c r="N253" s="6">
        <v>44.346899999999998</v>
      </c>
      <c r="O253" s="6">
        <v>-17.9909</v>
      </c>
      <c r="P253" s="6">
        <f t="shared" si="21"/>
        <v>63.724611570018155</v>
      </c>
      <c r="Q253" s="6">
        <f t="shared" si="22"/>
        <v>82.88093460449528</v>
      </c>
      <c r="R253" s="6">
        <f t="shared" si="23"/>
        <v>132.11915865266562</v>
      </c>
      <c r="S253" s="6">
        <f t="shared" si="25"/>
        <v>63.724611570018197</v>
      </c>
      <c r="T253" s="6">
        <f t="shared" si="26"/>
        <v>82.880934604495053</v>
      </c>
      <c r="U253" s="6">
        <f t="shared" si="27"/>
        <v>132.11915865266525</v>
      </c>
      <c r="V253" s="6">
        <f t="shared" si="24"/>
        <v>5.0022208597511053E-12</v>
      </c>
    </row>
    <row r="254" spans="1:22" ht="18.95" customHeight="1">
      <c r="A254" s="1">
        <v>248</v>
      </c>
      <c r="B254" s="6">
        <v>2.066666666666662</v>
      </c>
      <c r="C254" s="6">
        <f>TimeStep!B254</f>
        <v>2066.666666666667</v>
      </c>
      <c r="D254" s="6">
        <v>-0.56899999999999995</v>
      </c>
      <c r="E254" s="6">
        <v>-1.409</v>
      </c>
      <c r="F254" s="6">
        <v>4.5720000000000001</v>
      </c>
      <c r="G254" s="6">
        <v>0</v>
      </c>
      <c r="H254" s="6">
        <v>3.4710000000000001</v>
      </c>
      <c r="I254" s="6">
        <v>1.224</v>
      </c>
      <c r="J254" s="6">
        <v>0.39700000000000002</v>
      </c>
      <c r="K254" s="6">
        <v>0.57999999999999996</v>
      </c>
      <c r="L254" s="6">
        <v>-0.14799999999999999</v>
      </c>
      <c r="M254" s="6">
        <v>2.149</v>
      </c>
      <c r="N254" s="6">
        <v>44.117800000000003</v>
      </c>
      <c r="O254" s="6">
        <v>-18.621099999999998</v>
      </c>
      <c r="P254" s="6">
        <f t="shared" si="21"/>
        <v>64.095489830936117</v>
      </c>
      <c r="Q254" s="6">
        <f t="shared" si="22"/>
        <v>83.251858884095682</v>
      </c>
      <c r="R254" s="6">
        <f t="shared" si="23"/>
        <v>131.97169149402563</v>
      </c>
      <c r="S254" s="6">
        <f t="shared" si="25"/>
        <v>64.095489830936145</v>
      </c>
      <c r="T254" s="6">
        <f t="shared" si="26"/>
        <v>83.251858884095441</v>
      </c>
      <c r="U254" s="6">
        <f t="shared" si="27"/>
        <v>131.97169149402527</v>
      </c>
      <c r="V254" s="6">
        <f t="shared" si="24"/>
        <v>5.0022208597511053E-12</v>
      </c>
    </row>
    <row r="255" spans="1:22" ht="18.95" customHeight="1">
      <c r="A255" s="1">
        <v>249</v>
      </c>
      <c r="B255" s="6">
        <v>2.0749999999999957</v>
      </c>
      <c r="C255" s="6">
        <f>TimeStep!B255</f>
        <v>2075</v>
      </c>
      <c r="D255" s="6">
        <v>-0.54400000000000004</v>
      </c>
      <c r="E255" s="6">
        <v>-1.419</v>
      </c>
      <c r="F255" s="6">
        <v>4.5720000000000001</v>
      </c>
      <c r="G255" s="6">
        <v>0</v>
      </c>
      <c r="H255" s="6">
        <v>3.4740000000000002</v>
      </c>
      <c r="I255" s="6">
        <v>1.2270000000000001</v>
      </c>
      <c r="J255" s="6">
        <v>0.40899999999999997</v>
      </c>
      <c r="K255" s="6">
        <v>0.57599999999999996</v>
      </c>
      <c r="L255" s="6">
        <v>-0.14599999999999999</v>
      </c>
      <c r="M255" s="6">
        <v>2.1419999999999999</v>
      </c>
      <c r="N255" s="6">
        <v>43.888599999999997</v>
      </c>
      <c r="O255" s="6">
        <v>-19.2514</v>
      </c>
      <c r="P255" s="6">
        <f t="shared" si="21"/>
        <v>64.466462768881797</v>
      </c>
      <c r="Q255" s="6">
        <f t="shared" si="22"/>
        <v>83.622725898193565</v>
      </c>
      <c r="R255" s="6">
        <f t="shared" si="23"/>
        <v>131.82426448310977</v>
      </c>
      <c r="S255" s="6">
        <f t="shared" si="25"/>
        <v>64.466462768881826</v>
      </c>
      <c r="T255" s="6">
        <f t="shared" si="26"/>
        <v>83.622725898193323</v>
      </c>
      <c r="U255" s="6">
        <f t="shared" si="27"/>
        <v>131.8242644831094</v>
      </c>
      <c r="V255" s="6">
        <f t="shared" si="24"/>
        <v>4.0927261579781771E-12</v>
      </c>
    </row>
    <row r="256" spans="1:22" ht="18.95" customHeight="1">
      <c r="A256" s="1">
        <v>250</v>
      </c>
      <c r="B256" s="6">
        <v>2.0833333333333286</v>
      </c>
      <c r="C256" s="6">
        <f>TimeStep!B256</f>
        <v>2083.3333333333335</v>
      </c>
      <c r="D256" s="6">
        <v>-0.52</v>
      </c>
      <c r="E256" s="6">
        <v>-1.4279999999999999</v>
      </c>
      <c r="F256" s="6">
        <v>4.5720000000000001</v>
      </c>
      <c r="G256" s="6">
        <v>0</v>
      </c>
      <c r="H256" s="6">
        <v>3.4780000000000002</v>
      </c>
      <c r="I256" s="6">
        <v>1.23</v>
      </c>
      <c r="J256" s="6">
        <v>0.42099999999999999</v>
      </c>
      <c r="K256" s="6">
        <v>0.57299999999999995</v>
      </c>
      <c r="L256" s="6">
        <v>-0.14399999999999999</v>
      </c>
      <c r="M256" s="6">
        <v>2.1349999999999998</v>
      </c>
      <c r="N256" s="6">
        <v>43.659399999999998</v>
      </c>
      <c r="O256" s="6">
        <v>-19.824300000000001</v>
      </c>
      <c r="P256" s="6">
        <f t="shared" si="21"/>
        <v>64.814046737481149</v>
      </c>
      <c r="Q256" s="6">
        <f t="shared" si="22"/>
        <v>83.975926999780796</v>
      </c>
      <c r="R256" s="6">
        <f t="shared" si="23"/>
        <v>131.65088242337168</v>
      </c>
      <c r="S256" s="6">
        <f t="shared" si="25"/>
        <v>64.814046737481164</v>
      </c>
      <c r="T256" s="6">
        <f t="shared" si="26"/>
        <v>83.97592699978054</v>
      </c>
      <c r="U256" s="6">
        <f t="shared" si="27"/>
        <v>131.65088242337129</v>
      </c>
      <c r="V256" s="6">
        <f t="shared" si="24"/>
        <v>5.0022208597511053E-12</v>
      </c>
    </row>
    <row r="257" spans="1:22" ht="18.95" customHeight="1">
      <c r="A257" s="1">
        <v>251</v>
      </c>
      <c r="B257" s="6">
        <v>2.0916666666666619</v>
      </c>
      <c r="C257" s="6">
        <f>TimeStep!B257</f>
        <v>2091.666666666667</v>
      </c>
      <c r="D257" s="6">
        <v>-0.495</v>
      </c>
      <c r="E257" s="6">
        <v>-1.4370000000000001</v>
      </c>
      <c r="F257" s="6">
        <v>4.5720000000000001</v>
      </c>
      <c r="G257" s="6">
        <v>0</v>
      </c>
      <c r="H257" s="6">
        <v>3.4809999999999999</v>
      </c>
      <c r="I257" s="6">
        <v>1.2330000000000001</v>
      </c>
      <c r="J257" s="6">
        <v>0.433</v>
      </c>
      <c r="K257" s="6">
        <v>0.56999999999999995</v>
      </c>
      <c r="L257" s="6">
        <v>-0.14099999999999999</v>
      </c>
      <c r="M257" s="6">
        <v>2.1280000000000001</v>
      </c>
      <c r="N257" s="6">
        <v>43.372900000000001</v>
      </c>
      <c r="O257" s="6">
        <v>-20.454599999999999</v>
      </c>
      <c r="P257" s="6">
        <f t="shared" si="21"/>
        <v>65.185044309199881</v>
      </c>
      <c r="Q257" s="6">
        <f t="shared" si="22"/>
        <v>84.329191171399913</v>
      </c>
      <c r="R257" s="6">
        <f t="shared" si="23"/>
        <v>131.50348608814386</v>
      </c>
      <c r="S257" s="6">
        <f t="shared" si="25"/>
        <v>65.185044309199895</v>
      </c>
      <c r="T257" s="6">
        <f t="shared" si="26"/>
        <v>84.329191171399657</v>
      </c>
      <c r="U257" s="6">
        <f t="shared" si="27"/>
        <v>131.50348608814346</v>
      </c>
      <c r="V257" s="6">
        <f t="shared" si="24"/>
        <v>5.0022208597511053E-12</v>
      </c>
    </row>
    <row r="258" spans="1:22" ht="18.95" customHeight="1">
      <c r="A258" s="1">
        <v>252</v>
      </c>
      <c r="B258" s="6">
        <v>2.0999999999999952</v>
      </c>
      <c r="C258" s="6">
        <f>TimeStep!B258</f>
        <v>2100</v>
      </c>
      <c r="D258" s="6">
        <v>-0.47</v>
      </c>
      <c r="E258" s="6">
        <v>-1.446</v>
      </c>
      <c r="F258" s="6">
        <v>4.5720000000000001</v>
      </c>
      <c r="G258" s="6">
        <v>0</v>
      </c>
      <c r="H258" s="6">
        <v>3.4849999999999999</v>
      </c>
      <c r="I258" s="6">
        <v>1.2370000000000001</v>
      </c>
      <c r="J258" s="6">
        <v>0.44600000000000001</v>
      </c>
      <c r="K258" s="6">
        <v>0.56799999999999995</v>
      </c>
      <c r="L258" s="6">
        <v>-0.13900000000000001</v>
      </c>
      <c r="M258" s="6">
        <v>2.1219999999999999</v>
      </c>
      <c r="N258" s="6">
        <v>43.086399999999998</v>
      </c>
      <c r="O258" s="6">
        <v>-21.084800000000001</v>
      </c>
      <c r="P258" s="6">
        <f t="shared" si="21"/>
        <v>65.543186138588979</v>
      </c>
      <c r="Q258" s="6">
        <f t="shared" si="22"/>
        <v>84.699894163550368</v>
      </c>
      <c r="R258" s="6">
        <f t="shared" si="23"/>
        <v>131.3070300320299</v>
      </c>
      <c r="S258" s="6">
        <f t="shared" si="25"/>
        <v>65.543186138588993</v>
      </c>
      <c r="T258" s="6">
        <f t="shared" si="26"/>
        <v>84.699894163550084</v>
      </c>
      <c r="U258" s="6">
        <f t="shared" si="27"/>
        <v>131.3070300320295</v>
      </c>
      <c r="V258" s="6">
        <f t="shared" si="24"/>
        <v>5.0022208597511053E-12</v>
      </c>
    </row>
    <row r="259" spans="1:22" ht="18.95" customHeight="1">
      <c r="A259" s="1">
        <v>253</v>
      </c>
      <c r="B259" s="6">
        <v>2.1083333333333285</v>
      </c>
      <c r="C259" s="6">
        <f>TimeStep!B259</f>
        <v>2108.3333333333335</v>
      </c>
      <c r="D259" s="6">
        <v>-0.44400000000000001</v>
      </c>
      <c r="E259" s="6">
        <v>-1.454</v>
      </c>
      <c r="F259" s="6">
        <v>4.5720000000000001</v>
      </c>
      <c r="G259" s="6">
        <v>0</v>
      </c>
      <c r="H259" s="6">
        <v>3.4889999999999999</v>
      </c>
      <c r="I259" s="6">
        <v>1.24</v>
      </c>
      <c r="J259" s="6">
        <v>0.45800000000000002</v>
      </c>
      <c r="K259" s="6">
        <v>0.56499999999999995</v>
      </c>
      <c r="L259" s="6">
        <v>-0.13600000000000001</v>
      </c>
      <c r="M259" s="6">
        <v>2.1160000000000001</v>
      </c>
      <c r="N259" s="6">
        <v>42.799900000000001</v>
      </c>
      <c r="O259" s="6">
        <v>-21.657800000000002</v>
      </c>
      <c r="P259" s="6">
        <f t="shared" si="21"/>
        <v>65.927018360174657</v>
      </c>
      <c r="Q259" s="6">
        <f t="shared" si="22"/>
        <v>85.069044698027028</v>
      </c>
      <c r="R259" s="6">
        <f t="shared" si="23"/>
        <v>131.13354346084702</v>
      </c>
      <c r="S259" s="6">
        <f t="shared" si="25"/>
        <v>65.927018360174685</v>
      </c>
      <c r="T259" s="6">
        <f t="shared" si="26"/>
        <v>85.069044698026744</v>
      </c>
      <c r="U259" s="6">
        <f t="shared" si="27"/>
        <v>131.13354346084662</v>
      </c>
      <c r="V259" s="6">
        <f t="shared" si="24"/>
        <v>5.0022208597511053E-12</v>
      </c>
    </row>
    <row r="260" spans="1:22" ht="18.95" customHeight="1">
      <c r="A260" s="1">
        <v>254</v>
      </c>
      <c r="B260" s="6">
        <v>2.1166666666666618</v>
      </c>
      <c r="C260" s="6">
        <f>TimeStep!B260</f>
        <v>2116.666666666667</v>
      </c>
      <c r="D260" s="6">
        <v>-0.41899999999999998</v>
      </c>
      <c r="E260" s="6">
        <v>-1.4610000000000001</v>
      </c>
      <c r="F260" s="6">
        <v>4.5720000000000001</v>
      </c>
      <c r="G260" s="6">
        <v>0</v>
      </c>
      <c r="H260" s="6">
        <v>3.4929999999999999</v>
      </c>
      <c r="I260" s="6">
        <v>1.244</v>
      </c>
      <c r="J260" s="6">
        <v>0.47099999999999997</v>
      </c>
      <c r="K260" s="6">
        <v>0.56299999999999994</v>
      </c>
      <c r="L260" s="6">
        <v>-0.13200000000000001</v>
      </c>
      <c r="M260" s="6">
        <v>2.11</v>
      </c>
      <c r="N260" s="6">
        <v>42.513500000000001</v>
      </c>
      <c r="O260" s="6">
        <v>-22.2881</v>
      </c>
      <c r="P260" s="6">
        <f t="shared" si="21"/>
        <v>66.263788184709213</v>
      </c>
      <c r="Q260" s="6">
        <f t="shared" si="22"/>
        <v>85.405034981805642</v>
      </c>
      <c r="R260" s="6">
        <f t="shared" si="23"/>
        <v>130.93717041659863</v>
      </c>
      <c r="S260" s="6">
        <f t="shared" si="25"/>
        <v>66.263788184709227</v>
      </c>
      <c r="T260" s="6">
        <f t="shared" si="26"/>
        <v>85.405034981805329</v>
      </c>
      <c r="U260" s="6">
        <f t="shared" si="27"/>
        <v>130.93717041659824</v>
      </c>
      <c r="V260" s="6">
        <f t="shared" si="24"/>
        <v>5.0022208597511053E-12</v>
      </c>
    </row>
    <row r="261" spans="1:22" ht="18.95" customHeight="1">
      <c r="A261" s="1">
        <v>255</v>
      </c>
      <c r="B261" s="6">
        <v>2.1249999999999951</v>
      </c>
      <c r="C261" s="6">
        <f>TimeStep!B261</f>
        <v>2125</v>
      </c>
      <c r="D261" s="6">
        <v>-0.39300000000000002</v>
      </c>
      <c r="E261" s="6">
        <v>-1.468</v>
      </c>
      <c r="F261" s="6">
        <v>4.5720000000000001</v>
      </c>
      <c r="G261" s="6">
        <v>0</v>
      </c>
      <c r="H261" s="6">
        <v>3.4969999999999999</v>
      </c>
      <c r="I261" s="6">
        <v>1.2470000000000001</v>
      </c>
      <c r="J261" s="6">
        <v>0.48399999999999999</v>
      </c>
      <c r="K261" s="6">
        <v>0.56200000000000006</v>
      </c>
      <c r="L261" s="6">
        <v>-0.129</v>
      </c>
      <c r="M261" s="6">
        <v>2.105</v>
      </c>
      <c r="N261" s="6">
        <v>42.169699999999999</v>
      </c>
      <c r="O261" s="6">
        <v>-22.918299999999999</v>
      </c>
      <c r="P261" s="6">
        <f t="shared" si="21"/>
        <v>66.634704108177473</v>
      </c>
      <c r="Q261" s="6">
        <f t="shared" si="22"/>
        <v>85.7742375169382</v>
      </c>
      <c r="R261" s="6">
        <f t="shared" si="23"/>
        <v>130.76360520094119</v>
      </c>
      <c r="S261" s="6">
        <f t="shared" si="25"/>
        <v>66.634704108177488</v>
      </c>
      <c r="T261" s="6">
        <f t="shared" si="26"/>
        <v>85.774237516937887</v>
      </c>
      <c r="U261" s="6">
        <f t="shared" si="27"/>
        <v>130.76360520094079</v>
      </c>
      <c r="V261" s="6">
        <f t="shared" si="24"/>
        <v>5.0022208597511053E-12</v>
      </c>
    </row>
    <row r="262" spans="1:22" ht="18.95" customHeight="1">
      <c r="A262" s="1">
        <v>256</v>
      </c>
      <c r="B262" s="6">
        <v>2.1333333333333284</v>
      </c>
      <c r="C262" s="6">
        <f>TimeStep!B262</f>
        <v>2133.3333333333335</v>
      </c>
      <c r="D262" s="6">
        <v>-0.36799999999999999</v>
      </c>
      <c r="E262" s="6">
        <v>-1.4750000000000001</v>
      </c>
      <c r="F262" s="6">
        <v>4.5720000000000001</v>
      </c>
      <c r="G262" s="6">
        <v>0</v>
      </c>
      <c r="H262" s="6">
        <v>3.5009999999999999</v>
      </c>
      <c r="I262" s="6">
        <v>1.2509999999999999</v>
      </c>
      <c r="J262" s="6">
        <v>0.497</v>
      </c>
      <c r="K262" s="6">
        <v>0.56000000000000005</v>
      </c>
      <c r="L262" s="6">
        <v>-0.125</v>
      </c>
      <c r="M262" s="6">
        <v>2.1</v>
      </c>
      <c r="N262" s="6">
        <v>41.825899999999997</v>
      </c>
      <c r="O262" s="6">
        <v>-23.5486</v>
      </c>
      <c r="P262" s="6">
        <f t="shared" ref="P262:P325" si="28">DEGREES(ATAN2(J262-D262,K262-E262))</f>
        <v>66.971527096645403</v>
      </c>
      <c r="Q262" s="6">
        <f t="shared" ref="Q262:Q325" si="29">DEGREES(ATAN2(L262-D262,M262-E262))</f>
        <v>86.111470901426841</v>
      </c>
      <c r="R262" s="6">
        <f t="shared" ref="R262:R325" si="30">DEGREES(ATAN2(H262-F262,I262-G262))</f>
        <v>130.56733153131015</v>
      </c>
      <c r="S262" s="6">
        <f t="shared" si="25"/>
        <v>66.971527096645417</v>
      </c>
      <c r="T262" s="6">
        <f t="shared" si="26"/>
        <v>86.111470901426515</v>
      </c>
      <c r="U262" s="6">
        <f t="shared" si="27"/>
        <v>130.56733153130972</v>
      </c>
      <c r="V262" s="6">
        <f t="shared" ref="V262:V325" si="31">C262-B262*1000</f>
        <v>5.0022208597511053E-12</v>
      </c>
    </row>
    <row r="263" spans="1:22" ht="18.95" customHeight="1">
      <c r="A263" s="1">
        <v>257</v>
      </c>
      <c r="B263" s="6">
        <v>2.1416666666666617</v>
      </c>
      <c r="C263" s="6">
        <f>TimeStep!B263</f>
        <v>2141.666666666667</v>
      </c>
      <c r="D263" s="6">
        <v>-0.34200000000000003</v>
      </c>
      <c r="E263" s="6">
        <v>-1.4810000000000001</v>
      </c>
      <c r="F263" s="6">
        <v>4.5720000000000001</v>
      </c>
      <c r="G263" s="6">
        <v>0</v>
      </c>
      <c r="H263" s="6">
        <v>3.5049999999999999</v>
      </c>
      <c r="I263" s="6">
        <v>1.254</v>
      </c>
      <c r="J263" s="6">
        <v>0.51100000000000001</v>
      </c>
      <c r="K263" s="6">
        <v>0.55900000000000005</v>
      </c>
      <c r="L263" s="6">
        <v>-0.121</v>
      </c>
      <c r="M263" s="6">
        <v>2.0950000000000002</v>
      </c>
      <c r="N263" s="6">
        <v>41.424799999999998</v>
      </c>
      <c r="O263" s="6">
        <v>-24.178799999999999</v>
      </c>
      <c r="P263" s="6">
        <f t="shared" si="28"/>
        <v>67.308378329605745</v>
      </c>
      <c r="Q263" s="6">
        <f t="shared" si="29"/>
        <v>86.463567270457929</v>
      </c>
      <c r="R263" s="6">
        <f t="shared" si="30"/>
        <v>130.39370214935815</v>
      </c>
      <c r="S263" s="6">
        <f t="shared" ref="S263:S326" si="32">S262+MOD(P263-P262+180,360)-180</f>
        <v>67.308378329605745</v>
      </c>
      <c r="T263" s="6">
        <f t="shared" ref="T263:T326" si="33">T262+MOD(Q263-Q262+180,360)-180</f>
        <v>86.463567270457588</v>
      </c>
      <c r="U263" s="6">
        <f t="shared" ref="U263:U326" si="34">U262+MOD(R263-R262+180,360)-180</f>
        <v>130.39370214935775</v>
      </c>
      <c r="V263" s="6">
        <f t="shared" si="31"/>
        <v>5.4569682106375694E-12</v>
      </c>
    </row>
    <row r="264" spans="1:22" ht="18.95" customHeight="1">
      <c r="A264" s="1">
        <v>258</v>
      </c>
      <c r="B264" s="6">
        <v>2.149999999999995</v>
      </c>
      <c r="C264" s="6">
        <f>TimeStep!B264</f>
        <v>2150</v>
      </c>
      <c r="D264" s="6">
        <v>-0.316</v>
      </c>
      <c r="E264" s="6">
        <v>-1.4870000000000001</v>
      </c>
      <c r="F264" s="6">
        <v>4.5720000000000001</v>
      </c>
      <c r="G264" s="6">
        <v>0</v>
      </c>
      <c r="H264" s="6">
        <v>3.51</v>
      </c>
      <c r="I264" s="6">
        <v>1.258</v>
      </c>
      <c r="J264" s="6">
        <v>0.52500000000000002</v>
      </c>
      <c r="K264" s="6">
        <v>0.55900000000000005</v>
      </c>
      <c r="L264" s="6">
        <v>-0.11600000000000001</v>
      </c>
      <c r="M264" s="6">
        <v>2.0910000000000002</v>
      </c>
      <c r="N264" s="6">
        <v>41.081099999999999</v>
      </c>
      <c r="O264" s="6">
        <v>-24.751799999999999</v>
      </c>
      <c r="P264" s="6">
        <f t="shared" si="28"/>
        <v>67.655085738013213</v>
      </c>
      <c r="Q264" s="6">
        <f t="shared" si="29"/>
        <v>86.800658594448151</v>
      </c>
      <c r="R264" s="6">
        <f t="shared" si="30"/>
        <v>130.17096152841262</v>
      </c>
      <c r="S264" s="6">
        <f t="shared" si="32"/>
        <v>67.655085738013213</v>
      </c>
      <c r="T264" s="6">
        <f t="shared" si="33"/>
        <v>86.800658594447782</v>
      </c>
      <c r="U264" s="6">
        <f t="shared" si="34"/>
        <v>130.17096152841225</v>
      </c>
      <c r="V264" s="6">
        <f t="shared" si="31"/>
        <v>5.0022208597511053E-12</v>
      </c>
    </row>
    <row r="265" spans="1:22" ht="18.95" customHeight="1">
      <c r="A265" s="1">
        <v>259</v>
      </c>
      <c r="B265" s="6">
        <v>2.1583333333333283</v>
      </c>
      <c r="C265" s="6">
        <f>TimeStep!B265</f>
        <v>2158.3333333333335</v>
      </c>
      <c r="D265" s="6">
        <v>-0.28999999999999998</v>
      </c>
      <c r="E265" s="6">
        <v>-1.492</v>
      </c>
      <c r="F265" s="6">
        <v>4.5720000000000001</v>
      </c>
      <c r="G265" s="6">
        <v>0</v>
      </c>
      <c r="H265" s="6">
        <v>3.5150000000000001</v>
      </c>
      <c r="I265" s="6">
        <v>1.262</v>
      </c>
      <c r="J265" s="6">
        <v>0.53800000000000003</v>
      </c>
      <c r="K265" s="6">
        <v>0.55800000000000005</v>
      </c>
      <c r="L265" s="6">
        <v>-0.112</v>
      </c>
      <c r="M265" s="6">
        <v>2.0859999999999999</v>
      </c>
      <c r="N265" s="6">
        <v>40.68</v>
      </c>
      <c r="O265" s="6">
        <v>-25.382000000000001</v>
      </c>
      <c r="P265" s="6">
        <f t="shared" si="28"/>
        <v>68.006097438076523</v>
      </c>
      <c r="Q265" s="6">
        <f t="shared" si="29"/>
        <v>87.151971032072098</v>
      </c>
      <c r="R265" s="6">
        <f t="shared" si="30"/>
        <v>129.94817521130599</v>
      </c>
      <c r="S265" s="6">
        <f t="shared" si="32"/>
        <v>68.006097438076523</v>
      </c>
      <c r="T265" s="6">
        <f t="shared" si="33"/>
        <v>87.151971032071742</v>
      </c>
      <c r="U265" s="6">
        <f t="shared" si="34"/>
        <v>129.94817521130562</v>
      </c>
      <c r="V265" s="6">
        <f t="shared" si="31"/>
        <v>5.0022208597511053E-12</v>
      </c>
    </row>
    <row r="266" spans="1:22" ht="18.95" customHeight="1">
      <c r="A266" s="1">
        <v>260</v>
      </c>
      <c r="B266" s="6">
        <v>2.1666666666666616</v>
      </c>
      <c r="C266" s="6">
        <f>TimeStep!B266</f>
        <v>2166.666666666667</v>
      </c>
      <c r="D266" s="6">
        <v>-0.26400000000000001</v>
      </c>
      <c r="E266" s="6">
        <v>-1.4970000000000001</v>
      </c>
      <c r="F266" s="6">
        <v>4.5720000000000001</v>
      </c>
      <c r="G266" s="6">
        <v>0</v>
      </c>
      <c r="H266" s="6">
        <v>3.5190000000000001</v>
      </c>
      <c r="I266" s="6">
        <v>1.266</v>
      </c>
      <c r="J266" s="6">
        <v>0.55200000000000005</v>
      </c>
      <c r="K266" s="6">
        <v>0.55900000000000005</v>
      </c>
      <c r="L266" s="6">
        <v>-0.107</v>
      </c>
      <c r="M266" s="6">
        <v>2.0830000000000002</v>
      </c>
      <c r="N266" s="6">
        <v>40.2789</v>
      </c>
      <c r="O266" s="6">
        <v>-26.0123</v>
      </c>
      <c r="P266" s="6">
        <f t="shared" si="28"/>
        <v>68.3525076169052</v>
      </c>
      <c r="Q266" s="6">
        <f t="shared" si="29"/>
        <v>87.488916972890294</v>
      </c>
      <c r="R266" s="6">
        <f t="shared" si="30"/>
        <v>129.75211108490706</v>
      </c>
      <c r="S266" s="6">
        <f t="shared" si="32"/>
        <v>68.3525076169052</v>
      </c>
      <c r="T266" s="6">
        <f t="shared" si="33"/>
        <v>87.488916972889911</v>
      </c>
      <c r="U266" s="6">
        <f t="shared" si="34"/>
        <v>129.75211108490669</v>
      </c>
      <c r="V266" s="6">
        <f t="shared" si="31"/>
        <v>5.4569682106375694E-12</v>
      </c>
    </row>
    <row r="267" spans="1:22" ht="18.95" customHeight="1">
      <c r="A267" s="1">
        <v>261</v>
      </c>
      <c r="B267" s="6">
        <v>2.1749999999999949</v>
      </c>
      <c r="C267" s="6">
        <f>TimeStep!B267</f>
        <v>2175</v>
      </c>
      <c r="D267" s="6">
        <v>-0.23799999999999999</v>
      </c>
      <c r="E267" s="6">
        <v>-1.5009999999999999</v>
      </c>
      <c r="F267" s="6">
        <v>4.5720000000000001</v>
      </c>
      <c r="G267" s="6">
        <v>0</v>
      </c>
      <c r="H267" s="6">
        <v>3.524</v>
      </c>
      <c r="I267" s="6">
        <v>1.27</v>
      </c>
      <c r="J267" s="6">
        <v>0.56699999999999995</v>
      </c>
      <c r="K267" s="6">
        <v>0.55900000000000005</v>
      </c>
      <c r="L267" s="6">
        <v>-0.10100000000000001</v>
      </c>
      <c r="M267" s="6">
        <v>2.0790000000000002</v>
      </c>
      <c r="N267" s="6">
        <v>39.820599999999999</v>
      </c>
      <c r="O267" s="6">
        <v>-26.642499999999998</v>
      </c>
      <c r="P267" s="6">
        <f t="shared" si="28"/>
        <v>68.655600053545939</v>
      </c>
      <c r="Q267" s="6">
        <f t="shared" si="29"/>
        <v>87.808465528531215</v>
      </c>
      <c r="R267" s="6">
        <f t="shared" si="30"/>
        <v>129.52934163602296</v>
      </c>
      <c r="S267" s="6">
        <f t="shared" si="32"/>
        <v>68.655600053545925</v>
      </c>
      <c r="T267" s="6">
        <f t="shared" si="33"/>
        <v>87.80846552853086</v>
      </c>
      <c r="U267" s="6">
        <f t="shared" si="34"/>
        <v>129.52934163602259</v>
      </c>
      <c r="V267" s="6">
        <f t="shared" si="31"/>
        <v>5.0022208597511053E-12</v>
      </c>
    </row>
    <row r="268" spans="1:22" ht="18.95" customHeight="1">
      <c r="A268" s="1">
        <v>262</v>
      </c>
      <c r="B268" s="6">
        <v>2.1833333333333278</v>
      </c>
      <c r="C268" s="6">
        <f>TimeStep!B268</f>
        <v>2183.3333333333335</v>
      </c>
      <c r="D268" s="6">
        <v>-0.21099999999999999</v>
      </c>
      <c r="E268" s="6">
        <v>-1.5049999999999999</v>
      </c>
      <c r="F268" s="6">
        <v>4.5720000000000001</v>
      </c>
      <c r="G268" s="6">
        <v>0</v>
      </c>
      <c r="H268" s="6">
        <v>3.5289999999999999</v>
      </c>
      <c r="I268" s="6">
        <v>1.274</v>
      </c>
      <c r="J268" s="6">
        <v>0.58099999999999996</v>
      </c>
      <c r="K268" s="6">
        <v>0.55900000000000005</v>
      </c>
      <c r="L268" s="6">
        <v>-9.6000000000000002E-2</v>
      </c>
      <c r="M268" s="6">
        <v>2.0760000000000001</v>
      </c>
      <c r="N268" s="6">
        <v>39.419499999999999</v>
      </c>
      <c r="O268" s="6">
        <v>-27.2728</v>
      </c>
      <c r="P268" s="6">
        <f t="shared" si="28"/>
        <v>69.007146626885813</v>
      </c>
      <c r="Q268" s="6">
        <f t="shared" si="29"/>
        <v>88.160639220767052</v>
      </c>
      <c r="R268" s="6">
        <f t="shared" si="30"/>
        <v>129.30654589265416</v>
      </c>
      <c r="S268" s="6">
        <f t="shared" si="32"/>
        <v>69.007146626885799</v>
      </c>
      <c r="T268" s="6">
        <f t="shared" si="33"/>
        <v>88.160639220766711</v>
      </c>
      <c r="U268" s="6">
        <f t="shared" si="34"/>
        <v>129.30654589265379</v>
      </c>
      <c r="V268" s="6">
        <f t="shared" si="31"/>
        <v>5.9117155615240335E-12</v>
      </c>
    </row>
    <row r="269" spans="1:22" ht="18.95" customHeight="1">
      <c r="A269" s="1">
        <v>263</v>
      </c>
      <c r="B269" s="6">
        <v>2.1916666666666611</v>
      </c>
      <c r="C269" s="6">
        <f>TimeStep!B269</f>
        <v>2191.666666666667</v>
      </c>
      <c r="D269" s="6">
        <v>-0.185</v>
      </c>
      <c r="E269" s="6">
        <v>-1.5089999999999999</v>
      </c>
      <c r="F269" s="6">
        <v>4.5720000000000001</v>
      </c>
      <c r="G269" s="6">
        <v>0</v>
      </c>
      <c r="H269" s="6">
        <v>3.5339999999999998</v>
      </c>
      <c r="I269" s="6">
        <v>1.278</v>
      </c>
      <c r="J269" s="6">
        <v>0.59599999999999997</v>
      </c>
      <c r="K269" s="6">
        <v>0.56000000000000005</v>
      </c>
      <c r="L269" s="6">
        <v>-0.09</v>
      </c>
      <c r="M269" s="6">
        <v>2.073</v>
      </c>
      <c r="N269" s="6">
        <v>38.961100000000002</v>
      </c>
      <c r="O269" s="6">
        <v>-27.902999999999999</v>
      </c>
      <c r="P269" s="6">
        <f t="shared" si="28"/>
        <v>69.319629653495895</v>
      </c>
      <c r="Q269" s="6">
        <f t="shared" si="29"/>
        <v>88.480786324582695</v>
      </c>
      <c r="R269" s="6">
        <f t="shared" si="30"/>
        <v>129.08373058873681</v>
      </c>
      <c r="S269" s="6">
        <f t="shared" si="32"/>
        <v>69.319629653495895</v>
      </c>
      <c r="T269" s="6">
        <f t="shared" si="33"/>
        <v>88.480786324582368</v>
      </c>
      <c r="U269" s="6">
        <f t="shared" si="34"/>
        <v>129.08373058873644</v>
      </c>
      <c r="V269" s="6">
        <f t="shared" si="31"/>
        <v>5.9117155615240335E-12</v>
      </c>
    </row>
    <row r="270" spans="1:22" ht="18.95" customHeight="1">
      <c r="A270" s="1">
        <v>264</v>
      </c>
      <c r="B270" s="6">
        <v>2.1999999999999948</v>
      </c>
      <c r="C270" s="6">
        <f>TimeStep!B270</f>
        <v>2200</v>
      </c>
      <c r="D270" s="6">
        <v>-0.159</v>
      </c>
      <c r="E270" s="6">
        <v>-1.512</v>
      </c>
      <c r="F270" s="6">
        <v>4.5720000000000001</v>
      </c>
      <c r="G270" s="6">
        <v>0</v>
      </c>
      <c r="H270" s="6">
        <v>3.54</v>
      </c>
      <c r="I270" s="6">
        <v>1.2829999999999999</v>
      </c>
      <c r="J270" s="6">
        <v>0.61</v>
      </c>
      <c r="K270" s="6">
        <v>0.56200000000000006</v>
      </c>
      <c r="L270" s="6">
        <v>-8.4000000000000005E-2</v>
      </c>
      <c r="M270" s="6">
        <v>2.0699999999999998</v>
      </c>
      <c r="N270" s="6">
        <v>38.445500000000003</v>
      </c>
      <c r="O270" s="6">
        <v>-28.533300000000001</v>
      </c>
      <c r="P270" s="6">
        <f t="shared" si="28"/>
        <v>69.656171629206668</v>
      </c>
      <c r="Q270" s="6">
        <f t="shared" si="29"/>
        <v>88.800514889535876</v>
      </c>
      <c r="R270" s="6">
        <f t="shared" si="30"/>
        <v>128.81197348738195</v>
      </c>
      <c r="S270" s="6">
        <f t="shared" si="32"/>
        <v>69.656171629206654</v>
      </c>
      <c r="T270" s="6">
        <f t="shared" si="33"/>
        <v>88.800514889535521</v>
      </c>
      <c r="U270" s="6">
        <f t="shared" si="34"/>
        <v>128.81197348738158</v>
      </c>
      <c r="V270" s="6">
        <f t="shared" si="31"/>
        <v>5.0022208597511053E-12</v>
      </c>
    </row>
    <row r="271" spans="1:22" ht="18.95" customHeight="1">
      <c r="A271" s="1">
        <v>265</v>
      </c>
      <c r="B271" s="6">
        <v>2.2083333333333282</v>
      </c>
      <c r="C271" s="6">
        <f>TimeStep!B271</f>
        <v>2208.3333333333335</v>
      </c>
      <c r="D271" s="6">
        <v>-0.13200000000000001</v>
      </c>
      <c r="E271" s="6">
        <v>-1.514</v>
      </c>
      <c r="F271" s="6">
        <v>4.5720000000000001</v>
      </c>
      <c r="G271" s="6">
        <v>0</v>
      </c>
      <c r="H271" s="6">
        <v>3.5449999999999999</v>
      </c>
      <c r="I271" s="6">
        <v>1.2869999999999999</v>
      </c>
      <c r="J271" s="6">
        <v>0.625</v>
      </c>
      <c r="K271" s="6">
        <v>0.56399999999999995</v>
      </c>
      <c r="L271" s="6">
        <v>-7.6999999999999999E-2</v>
      </c>
      <c r="M271" s="6">
        <v>2.0680000000000001</v>
      </c>
      <c r="N271" s="6">
        <v>37.987099999999998</v>
      </c>
      <c r="O271" s="6">
        <v>-29.220800000000001</v>
      </c>
      <c r="P271" s="6">
        <f t="shared" si="28"/>
        <v>69.983692651533431</v>
      </c>
      <c r="Q271" s="6">
        <f t="shared" si="29"/>
        <v>89.120318185853264</v>
      </c>
      <c r="R271" s="6">
        <f t="shared" si="30"/>
        <v>128.58915997976754</v>
      </c>
      <c r="S271" s="6">
        <f t="shared" si="32"/>
        <v>69.983692651533431</v>
      </c>
      <c r="T271" s="6">
        <f t="shared" si="33"/>
        <v>89.120318185852909</v>
      </c>
      <c r="U271" s="6">
        <f t="shared" si="34"/>
        <v>128.58915997976715</v>
      </c>
      <c r="V271" s="6">
        <f t="shared" si="31"/>
        <v>5.4569682106375694E-12</v>
      </c>
    </row>
    <row r="272" spans="1:22" ht="18.95" customHeight="1">
      <c r="A272" s="1">
        <v>266</v>
      </c>
      <c r="B272" s="6">
        <v>2.216666666666661</v>
      </c>
      <c r="C272" s="6">
        <f>TimeStep!B272</f>
        <v>2216.666666666667</v>
      </c>
      <c r="D272" s="6">
        <v>-0.106</v>
      </c>
      <c r="E272" s="6">
        <v>-1.516</v>
      </c>
      <c r="F272" s="6">
        <v>4.5720000000000001</v>
      </c>
      <c r="G272" s="6">
        <v>0</v>
      </c>
      <c r="H272" s="6">
        <v>3.55</v>
      </c>
      <c r="I272" s="6">
        <v>1.2909999999999999</v>
      </c>
      <c r="J272" s="6">
        <v>0.64</v>
      </c>
      <c r="K272" s="6">
        <v>0.56599999999999995</v>
      </c>
      <c r="L272" s="6">
        <v>-7.0000000000000007E-2</v>
      </c>
      <c r="M272" s="6">
        <v>2.0659999999999998</v>
      </c>
      <c r="N272" s="6">
        <v>37.471400000000003</v>
      </c>
      <c r="O272" s="6">
        <v>-29.851099999999999</v>
      </c>
      <c r="P272" s="6">
        <f t="shared" si="28"/>
        <v>70.286924898421631</v>
      </c>
      <c r="Q272" s="6">
        <f t="shared" si="29"/>
        <v>89.424182406755023</v>
      </c>
      <c r="R272" s="6">
        <f t="shared" si="30"/>
        <v>128.36634860894975</v>
      </c>
      <c r="S272" s="6">
        <f t="shared" si="32"/>
        <v>70.286924898421631</v>
      </c>
      <c r="T272" s="6">
        <f t="shared" si="33"/>
        <v>89.424182406754653</v>
      </c>
      <c r="U272" s="6">
        <f t="shared" si="34"/>
        <v>128.36634860894935</v>
      </c>
      <c r="V272" s="6">
        <f t="shared" si="31"/>
        <v>5.9117155615240335E-12</v>
      </c>
    </row>
    <row r="273" spans="1:22" ht="18.95" customHeight="1">
      <c r="A273" s="1">
        <v>267</v>
      </c>
      <c r="B273" s="6">
        <v>2.2249999999999948</v>
      </c>
      <c r="C273" s="6">
        <f>TimeStep!B273</f>
        <v>2225</v>
      </c>
      <c r="D273" s="6">
        <v>-7.9000000000000001E-2</v>
      </c>
      <c r="E273" s="6">
        <v>-1.518</v>
      </c>
      <c r="F273" s="6">
        <v>4.5720000000000001</v>
      </c>
      <c r="G273" s="6">
        <v>0</v>
      </c>
      <c r="H273" s="6">
        <v>3.556</v>
      </c>
      <c r="I273" s="6">
        <v>1.296</v>
      </c>
      <c r="J273" s="6">
        <v>0.65500000000000003</v>
      </c>
      <c r="K273" s="6">
        <v>0.56799999999999995</v>
      </c>
      <c r="L273" s="6">
        <v>-6.3E-2</v>
      </c>
      <c r="M273" s="6">
        <v>2.0649999999999999</v>
      </c>
      <c r="N273" s="6">
        <v>36.955800000000004</v>
      </c>
      <c r="O273" s="6">
        <v>-30.481400000000001</v>
      </c>
      <c r="P273" s="6">
        <f t="shared" si="28"/>
        <v>70.614579102544241</v>
      </c>
      <c r="Q273" s="6">
        <f t="shared" si="29"/>
        <v>89.744145582257985</v>
      </c>
      <c r="R273" s="6">
        <f t="shared" si="30"/>
        <v>128.09469370140616</v>
      </c>
      <c r="S273" s="6">
        <f t="shared" si="32"/>
        <v>70.614579102544241</v>
      </c>
      <c r="T273" s="6">
        <f t="shared" si="33"/>
        <v>89.744145582257602</v>
      </c>
      <c r="U273" s="6">
        <f t="shared" si="34"/>
        <v>128.09469370140573</v>
      </c>
      <c r="V273" s="6">
        <f t="shared" si="31"/>
        <v>5.4569682106375694E-12</v>
      </c>
    </row>
    <row r="274" spans="1:22" ht="18.95" customHeight="1">
      <c r="A274" s="1">
        <v>268</v>
      </c>
      <c r="B274" s="6">
        <v>2.2333333333333281</v>
      </c>
      <c r="C274" s="6">
        <f>TimeStep!B274</f>
        <v>2233.3333333333335</v>
      </c>
      <c r="D274" s="6">
        <v>-5.2999999999999999E-2</v>
      </c>
      <c r="E274" s="6">
        <v>-1.5189999999999999</v>
      </c>
      <c r="F274" s="6">
        <v>4.5720000000000001</v>
      </c>
      <c r="G274" s="6">
        <v>0</v>
      </c>
      <c r="H274" s="6">
        <v>3.5619999999999998</v>
      </c>
      <c r="I274" s="6">
        <v>1.3</v>
      </c>
      <c r="J274" s="6">
        <v>0.67100000000000004</v>
      </c>
      <c r="K274" s="6">
        <v>0.57099999999999995</v>
      </c>
      <c r="L274" s="6">
        <v>-5.6000000000000001E-2</v>
      </c>
      <c r="M274" s="6">
        <v>2.0640000000000001</v>
      </c>
      <c r="N274" s="6">
        <v>36.382800000000003</v>
      </c>
      <c r="O274" s="6">
        <v>-31.111599999999999</v>
      </c>
      <c r="P274" s="6">
        <f t="shared" si="28"/>
        <v>70.893327032986321</v>
      </c>
      <c r="Q274" s="6">
        <f t="shared" si="29"/>
        <v>90.047973010988571</v>
      </c>
      <c r="R274" s="6">
        <f t="shared" si="30"/>
        <v>127.84445846511409</v>
      </c>
      <c r="S274" s="6">
        <f t="shared" si="32"/>
        <v>70.893327032986321</v>
      </c>
      <c r="T274" s="6">
        <f t="shared" si="33"/>
        <v>90.047973010988187</v>
      </c>
      <c r="U274" s="6">
        <f t="shared" si="34"/>
        <v>127.84445846511369</v>
      </c>
      <c r="V274" s="6">
        <f t="shared" si="31"/>
        <v>5.4569682106375694E-12</v>
      </c>
    </row>
    <row r="275" spans="1:22" ht="18.95" customHeight="1">
      <c r="A275" s="1">
        <v>269</v>
      </c>
      <c r="B275" s="6">
        <v>2.2416666666666614</v>
      </c>
      <c r="C275" s="6">
        <f>TimeStep!B275</f>
        <v>2241.666666666667</v>
      </c>
      <c r="D275" s="6">
        <v>-2.5999999999999999E-2</v>
      </c>
      <c r="E275" s="6">
        <v>-1.52</v>
      </c>
      <c r="F275" s="6">
        <v>4.5720000000000001</v>
      </c>
      <c r="G275" s="6">
        <v>0</v>
      </c>
      <c r="H275" s="6">
        <v>3.5680000000000001</v>
      </c>
      <c r="I275" s="6">
        <v>1.3049999999999999</v>
      </c>
      <c r="J275" s="6">
        <v>0.68600000000000005</v>
      </c>
      <c r="K275" s="6">
        <v>0.57399999999999995</v>
      </c>
      <c r="L275" s="6">
        <v>-4.8000000000000001E-2</v>
      </c>
      <c r="M275" s="6">
        <v>2.0630000000000002</v>
      </c>
      <c r="N275" s="6">
        <v>35.809899999999999</v>
      </c>
      <c r="O275" s="6">
        <v>-31.799199999999999</v>
      </c>
      <c r="P275" s="6">
        <f t="shared" si="28"/>
        <v>71.2209857190375</v>
      </c>
      <c r="Q275" s="6">
        <f t="shared" si="29"/>
        <v>90.351797741806806</v>
      </c>
      <c r="R275" s="6">
        <f t="shared" si="30"/>
        <v>127.5728353748307</v>
      </c>
      <c r="S275" s="6">
        <f t="shared" si="32"/>
        <v>71.220985719037486</v>
      </c>
      <c r="T275" s="6">
        <f t="shared" si="33"/>
        <v>90.351797741806422</v>
      </c>
      <c r="U275" s="6">
        <f t="shared" si="34"/>
        <v>127.57283537483033</v>
      </c>
      <c r="V275" s="6">
        <f t="shared" si="31"/>
        <v>5.4569682106375694E-12</v>
      </c>
    </row>
    <row r="276" spans="1:22" ht="18.95" customHeight="1">
      <c r="A276" s="1">
        <v>270</v>
      </c>
      <c r="B276" s="6">
        <v>2.2499999999999947</v>
      </c>
      <c r="C276" s="6">
        <f>TimeStep!B276</f>
        <v>2250</v>
      </c>
      <c r="D276" s="6">
        <v>0</v>
      </c>
      <c r="E276" s="6">
        <v>-1.52</v>
      </c>
      <c r="F276" s="6">
        <v>4.5720000000000001</v>
      </c>
      <c r="G276" s="6">
        <v>0</v>
      </c>
      <c r="H276" s="6">
        <v>3.5739999999999998</v>
      </c>
      <c r="I276" s="6">
        <v>1.31</v>
      </c>
      <c r="J276" s="6">
        <v>0.70199999999999996</v>
      </c>
      <c r="K276" s="6">
        <v>0.57699999999999996</v>
      </c>
      <c r="L276" s="6">
        <v>-0.04</v>
      </c>
      <c r="M276" s="6">
        <v>2.0630000000000002</v>
      </c>
      <c r="N276" s="6">
        <v>35.236899999999999</v>
      </c>
      <c r="O276" s="6">
        <v>-32.429400000000001</v>
      </c>
      <c r="P276" s="6">
        <f t="shared" si="28"/>
        <v>71.491311475818364</v>
      </c>
      <c r="Q276" s="6">
        <f t="shared" si="29"/>
        <v>90.639613724953662</v>
      </c>
      <c r="R276" s="6">
        <f t="shared" si="30"/>
        <v>127.30131265631397</v>
      </c>
      <c r="S276" s="6">
        <f t="shared" si="32"/>
        <v>71.49131147581835</v>
      </c>
      <c r="T276" s="6">
        <f t="shared" si="33"/>
        <v>90.639613724953279</v>
      </c>
      <c r="U276" s="6">
        <f t="shared" si="34"/>
        <v>127.3013126563136</v>
      </c>
      <c r="V276" s="6">
        <f t="shared" si="31"/>
        <v>5.4569682106375694E-12</v>
      </c>
    </row>
    <row r="277" spans="1:22" ht="18.95" customHeight="1">
      <c r="A277" s="1">
        <v>271</v>
      </c>
      <c r="B277" s="6">
        <v>2.258333333333328</v>
      </c>
      <c r="C277" s="6">
        <f>TimeStep!B277</f>
        <v>2258.3333333333335</v>
      </c>
      <c r="D277" s="6">
        <v>2.7E-2</v>
      </c>
      <c r="E277" s="6">
        <v>-1.52</v>
      </c>
      <c r="F277" s="6">
        <v>4.5720000000000001</v>
      </c>
      <c r="G277" s="6">
        <v>0</v>
      </c>
      <c r="H277" s="6">
        <v>3.58</v>
      </c>
      <c r="I277" s="6">
        <v>1.3140000000000001</v>
      </c>
      <c r="J277" s="6">
        <v>0.71799999999999997</v>
      </c>
      <c r="K277" s="6">
        <v>0.58099999999999996</v>
      </c>
      <c r="L277" s="6">
        <v>-3.2000000000000001E-2</v>
      </c>
      <c r="M277" s="6">
        <v>2.0630000000000002</v>
      </c>
      <c r="N277" s="6">
        <v>34.663899999999998</v>
      </c>
      <c r="O277" s="6">
        <v>-33.116999999999997</v>
      </c>
      <c r="P277" s="6">
        <f t="shared" si="28"/>
        <v>71.794429680880157</v>
      </c>
      <c r="Q277" s="6">
        <f t="shared" si="29"/>
        <v>90.943384176382864</v>
      </c>
      <c r="R277" s="6">
        <f t="shared" si="30"/>
        <v>127.05086039048525</v>
      </c>
      <c r="S277" s="6">
        <f t="shared" si="32"/>
        <v>71.794429680880143</v>
      </c>
      <c r="T277" s="6">
        <f t="shared" si="33"/>
        <v>90.943384176382494</v>
      </c>
      <c r="U277" s="6">
        <f t="shared" si="34"/>
        <v>127.0508603904849</v>
      </c>
      <c r="V277" s="6">
        <f t="shared" si="31"/>
        <v>5.4569682106375694E-12</v>
      </c>
    </row>
    <row r="278" spans="1:22" ht="18.95" customHeight="1">
      <c r="A278" s="1">
        <v>272</v>
      </c>
      <c r="B278" s="6">
        <v>2.2666666666666613</v>
      </c>
      <c r="C278" s="6">
        <f>TimeStep!B278</f>
        <v>2266.666666666667</v>
      </c>
      <c r="D278" s="6">
        <v>5.2999999999999999E-2</v>
      </c>
      <c r="E278" s="6">
        <v>-1.5189999999999999</v>
      </c>
      <c r="F278" s="6">
        <v>4.5720000000000001</v>
      </c>
      <c r="G278" s="6">
        <v>0</v>
      </c>
      <c r="H278" s="6">
        <v>3.5870000000000002</v>
      </c>
      <c r="I278" s="6">
        <v>1.319</v>
      </c>
      <c r="J278" s="6">
        <v>0.73399999999999999</v>
      </c>
      <c r="K278" s="6">
        <v>0.58499999999999996</v>
      </c>
      <c r="L278" s="6">
        <v>-2.3E-2</v>
      </c>
      <c r="M278" s="6">
        <v>2.0630000000000002</v>
      </c>
      <c r="N278" s="6">
        <v>34.033700000000003</v>
      </c>
      <c r="O278" s="6">
        <v>-33.747199999999999</v>
      </c>
      <c r="P278" s="6">
        <f t="shared" si="28"/>
        <v>72.064830085613551</v>
      </c>
      <c r="Q278" s="6">
        <f t="shared" si="29"/>
        <v>91.215473478945</v>
      </c>
      <c r="R278" s="6">
        <f t="shared" si="30"/>
        <v>126.75156125090443</v>
      </c>
      <c r="S278" s="6">
        <f t="shared" si="32"/>
        <v>72.064830085613522</v>
      </c>
      <c r="T278" s="6">
        <f t="shared" si="33"/>
        <v>91.215473478944659</v>
      </c>
      <c r="U278" s="6">
        <f t="shared" si="34"/>
        <v>126.75156125090405</v>
      </c>
      <c r="V278" s="6">
        <f t="shared" si="31"/>
        <v>5.9117155615240335E-12</v>
      </c>
    </row>
    <row r="279" spans="1:22" ht="18.95" customHeight="1">
      <c r="A279" s="1">
        <v>273</v>
      </c>
      <c r="B279" s="6">
        <v>2.2749999999999946</v>
      </c>
      <c r="C279" s="6">
        <f>TimeStep!B279</f>
        <v>2275</v>
      </c>
      <c r="D279" s="6">
        <v>0.08</v>
      </c>
      <c r="E279" s="6">
        <v>-1.518</v>
      </c>
      <c r="F279" s="6">
        <v>4.5720000000000001</v>
      </c>
      <c r="G279" s="6">
        <v>0</v>
      </c>
      <c r="H279" s="6">
        <v>3.593</v>
      </c>
      <c r="I279" s="6">
        <v>1.3240000000000001</v>
      </c>
      <c r="J279" s="6">
        <v>0.75</v>
      </c>
      <c r="K279" s="6">
        <v>0.59</v>
      </c>
      <c r="L279" s="6">
        <v>-1.4E-2</v>
      </c>
      <c r="M279" s="6">
        <v>2.0640000000000001</v>
      </c>
      <c r="N279" s="6">
        <v>33.403399999999998</v>
      </c>
      <c r="O279" s="6">
        <v>-34.434800000000003</v>
      </c>
      <c r="P279" s="6">
        <f t="shared" si="28"/>
        <v>72.367827694106836</v>
      </c>
      <c r="Q279" s="6">
        <f t="shared" si="29"/>
        <v>91.503229329040721</v>
      </c>
      <c r="R279" s="6">
        <f t="shared" si="30"/>
        <v>126.48018379039884</v>
      </c>
      <c r="S279" s="6">
        <f t="shared" si="32"/>
        <v>72.367827694106808</v>
      </c>
      <c r="T279" s="6">
        <f t="shared" si="33"/>
        <v>91.50322932904038</v>
      </c>
      <c r="U279" s="6">
        <f t="shared" si="34"/>
        <v>126.48018379039843</v>
      </c>
      <c r="V279" s="6">
        <f t="shared" si="31"/>
        <v>5.4569682106375694E-12</v>
      </c>
    </row>
    <row r="280" spans="1:22" ht="18.95" customHeight="1">
      <c r="A280" s="1">
        <v>274</v>
      </c>
      <c r="B280" s="6">
        <v>2.2833333333333279</v>
      </c>
      <c r="C280" s="6">
        <f>TimeStep!B280</f>
        <v>2283.3333333333335</v>
      </c>
      <c r="D280" s="6">
        <v>0.106</v>
      </c>
      <c r="E280" s="6">
        <v>-1.516</v>
      </c>
      <c r="F280" s="6">
        <v>4.5720000000000001</v>
      </c>
      <c r="G280" s="6">
        <v>0</v>
      </c>
      <c r="H280" s="6">
        <v>3.6</v>
      </c>
      <c r="I280" s="6">
        <v>1.329</v>
      </c>
      <c r="J280" s="6">
        <v>0.76600000000000001</v>
      </c>
      <c r="K280" s="6">
        <v>0.59399999999999997</v>
      </c>
      <c r="L280" s="6">
        <v>-5.0000000000000001E-3</v>
      </c>
      <c r="M280" s="6">
        <v>2.0649999999999999</v>
      </c>
      <c r="N280" s="6">
        <v>32.773200000000003</v>
      </c>
      <c r="O280" s="6">
        <v>-35.122300000000003</v>
      </c>
      <c r="P280" s="6">
        <f t="shared" si="28"/>
        <v>72.63051508901593</v>
      </c>
      <c r="Q280" s="6">
        <f t="shared" si="29"/>
        <v>91.775424696190782</v>
      </c>
      <c r="R280" s="6">
        <f t="shared" si="30"/>
        <v>126.18087812033453</v>
      </c>
      <c r="S280" s="6">
        <f t="shared" si="32"/>
        <v>72.630515089015915</v>
      </c>
      <c r="T280" s="6">
        <f t="shared" si="33"/>
        <v>91.775424696190441</v>
      </c>
      <c r="U280" s="6">
        <f t="shared" si="34"/>
        <v>126.18087812033411</v>
      </c>
      <c r="V280" s="6">
        <f t="shared" si="31"/>
        <v>5.4569682106375694E-12</v>
      </c>
    </row>
    <row r="281" spans="1:22" ht="18.95" customHeight="1">
      <c r="A281" s="1">
        <v>275</v>
      </c>
      <c r="B281" s="6">
        <v>2.2916666666666612</v>
      </c>
      <c r="C281" s="6">
        <f>TimeStep!B281</f>
        <v>2291.666666666667</v>
      </c>
      <c r="D281" s="6">
        <v>0.13300000000000001</v>
      </c>
      <c r="E281" s="6">
        <v>-1.514</v>
      </c>
      <c r="F281" s="6">
        <v>4.5720000000000001</v>
      </c>
      <c r="G281" s="6">
        <v>0</v>
      </c>
      <c r="H281" s="6">
        <v>3.6070000000000002</v>
      </c>
      <c r="I281" s="6">
        <v>1.3340000000000001</v>
      </c>
      <c r="J281" s="6">
        <v>0.78300000000000003</v>
      </c>
      <c r="K281" s="6">
        <v>0.6</v>
      </c>
      <c r="L281" s="6">
        <v>5.0000000000000001E-3</v>
      </c>
      <c r="M281" s="6">
        <v>2.0659999999999998</v>
      </c>
      <c r="N281" s="6">
        <v>32.085599999999999</v>
      </c>
      <c r="O281" s="6">
        <v>-35.752600000000001</v>
      </c>
      <c r="P281" s="6">
        <f t="shared" si="28"/>
        <v>72.908698950385158</v>
      </c>
      <c r="Q281" s="6">
        <f t="shared" si="29"/>
        <v>92.047691917050884</v>
      </c>
      <c r="R281" s="6">
        <f t="shared" si="30"/>
        <v>125.88153734065169</v>
      </c>
      <c r="S281" s="6">
        <f t="shared" si="32"/>
        <v>72.908698950385144</v>
      </c>
      <c r="T281" s="6">
        <f t="shared" si="33"/>
        <v>92.047691917050543</v>
      </c>
      <c r="U281" s="6">
        <f t="shared" si="34"/>
        <v>125.88153734065128</v>
      </c>
      <c r="V281" s="6">
        <f t="shared" si="31"/>
        <v>5.9117155615240335E-12</v>
      </c>
    </row>
    <row r="282" spans="1:22" ht="18.95" customHeight="1">
      <c r="A282" s="1">
        <v>276</v>
      </c>
      <c r="B282" s="6">
        <v>2.2999999999999945</v>
      </c>
      <c r="C282" s="6">
        <f>TimeStep!B282</f>
        <v>2300</v>
      </c>
      <c r="D282" s="6">
        <v>0.159</v>
      </c>
      <c r="E282" s="6">
        <v>-1.512</v>
      </c>
      <c r="F282" s="6">
        <v>4.5720000000000001</v>
      </c>
      <c r="G282" s="6">
        <v>0</v>
      </c>
      <c r="H282" s="6">
        <v>3.6139999999999999</v>
      </c>
      <c r="I282" s="6">
        <v>1.339</v>
      </c>
      <c r="J282" s="6">
        <v>0.79900000000000004</v>
      </c>
      <c r="K282" s="6">
        <v>0.60499999999999998</v>
      </c>
      <c r="L282" s="6">
        <v>1.4E-2</v>
      </c>
      <c r="M282" s="6">
        <v>2.0680000000000001</v>
      </c>
      <c r="N282" s="6">
        <v>31.398099999999999</v>
      </c>
      <c r="O282" s="6">
        <v>-36.440100000000001</v>
      </c>
      <c r="P282" s="6">
        <f t="shared" si="28"/>
        <v>73.179166810541062</v>
      </c>
      <c r="Q282" s="6">
        <f t="shared" si="29"/>
        <v>92.319371377476202</v>
      </c>
      <c r="R282" s="6">
        <f t="shared" si="30"/>
        <v>125.58217778829697</v>
      </c>
      <c r="S282" s="6">
        <f t="shared" si="32"/>
        <v>73.179166810541062</v>
      </c>
      <c r="T282" s="6">
        <f t="shared" si="33"/>
        <v>92.319371377475875</v>
      </c>
      <c r="U282" s="6">
        <f t="shared" si="34"/>
        <v>125.58217778829658</v>
      </c>
      <c r="V282" s="6">
        <f t="shared" si="31"/>
        <v>5.4569682106375694E-12</v>
      </c>
    </row>
    <row r="283" spans="1:22" ht="18.95" customHeight="1">
      <c r="A283" s="1">
        <v>277</v>
      </c>
      <c r="B283" s="6">
        <v>2.3083333333333278</v>
      </c>
      <c r="C283" s="6">
        <f>TimeStep!B283</f>
        <v>2308.3333333333335</v>
      </c>
      <c r="D283" s="6">
        <v>0.185</v>
      </c>
      <c r="E283" s="6">
        <v>-1.5089999999999999</v>
      </c>
      <c r="F283" s="6">
        <v>4.5720000000000001</v>
      </c>
      <c r="G283" s="6">
        <v>0</v>
      </c>
      <c r="H283" s="6">
        <v>3.621</v>
      </c>
      <c r="I283" s="6">
        <v>1.3440000000000001</v>
      </c>
      <c r="J283" s="6">
        <v>0.81599999999999995</v>
      </c>
      <c r="K283" s="6">
        <v>0.61099999999999999</v>
      </c>
      <c r="L283" s="6">
        <v>2.5000000000000001E-2</v>
      </c>
      <c r="M283" s="6">
        <v>2.0710000000000002</v>
      </c>
      <c r="N283" s="6">
        <v>30.7105</v>
      </c>
      <c r="O283" s="6">
        <v>-37.127699999999997</v>
      </c>
      <c r="P283" s="6">
        <f t="shared" si="28"/>
        <v>73.424810003179644</v>
      </c>
      <c r="Q283" s="6">
        <f t="shared" si="29"/>
        <v>92.559002317699424</v>
      </c>
      <c r="R283" s="6">
        <f t="shared" si="30"/>
        <v>125.28281580636562</v>
      </c>
      <c r="S283" s="6">
        <f t="shared" si="32"/>
        <v>73.42481000317963</v>
      </c>
      <c r="T283" s="6">
        <f t="shared" si="33"/>
        <v>92.559002317699083</v>
      </c>
      <c r="U283" s="6">
        <f t="shared" si="34"/>
        <v>125.28281580636519</v>
      </c>
      <c r="V283" s="6">
        <f t="shared" si="31"/>
        <v>5.9117155615240335E-12</v>
      </c>
    </row>
    <row r="284" spans="1:22" ht="18.95" customHeight="1">
      <c r="A284" s="1">
        <v>278</v>
      </c>
      <c r="B284" s="6">
        <v>2.3166666666666611</v>
      </c>
      <c r="C284" s="6">
        <f>TimeStep!B284</f>
        <v>2316.666666666667</v>
      </c>
      <c r="D284" s="6">
        <v>0.21199999999999999</v>
      </c>
      <c r="E284" s="6">
        <v>-1.5049999999999999</v>
      </c>
      <c r="F284" s="6">
        <v>4.5720000000000001</v>
      </c>
      <c r="G284" s="6">
        <v>0</v>
      </c>
      <c r="H284" s="6">
        <v>3.6280000000000001</v>
      </c>
      <c r="I284" s="6">
        <v>1.349</v>
      </c>
      <c r="J284" s="6">
        <v>0.83299999999999996</v>
      </c>
      <c r="K284" s="6">
        <v>0.61699999999999999</v>
      </c>
      <c r="L284" s="6">
        <v>3.5000000000000003E-2</v>
      </c>
      <c r="M284" s="6">
        <v>2.073</v>
      </c>
      <c r="N284" s="6">
        <v>29.965699999999998</v>
      </c>
      <c r="O284" s="6">
        <v>-37.815199999999997</v>
      </c>
      <c r="P284" s="6">
        <f t="shared" si="28"/>
        <v>73.687967373202483</v>
      </c>
      <c r="Q284" s="6">
        <f t="shared" si="29"/>
        <v>92.832054926853957</v>
      </c>
      <c r="R284" s="6">
        <f t="shared" si="30"/>
        <v>124.98346773874862</v>
      </c>
      <c r="S284" s="6">
        <f t="shared" si="32"/>
        <v>73.687967373202468</v>
      </c>
      <c r="T284" s="6">
        <f t="shared" si="33"/>
        <v>92.83205492685363</v>
      </c>
      <c r="U284" s="6">
        <f t="shared" si="34"/>
        <v>124.98346773874817</v>
      </c>
      <c r="V284" s="6">
        <f t="shared" si="31"/>
        <v>5.9117155615240335E-12</v>
      </c>
    </row>
    <row r="285" spans="1:22" ht="18.95" customHeight="1">
      <c r="A285" s="1">
        <v>279</v>
      </c>
      <c r="B285" s="6">
        <v>2.3249999999999944</v>
      </c>
      <c r="C285" s="6">
        <f>TimeStep!B285</f>
        <v>2325</v>
      </c>
      <c r="D285" s="6">
        <v>0.23799999999999999</v>
      </c>
      <c r="E285" s="6">
        <v>-1.5009999999999999</v>
      </c>
      <c r="F285" s="6">
        <v>4.5720000000000001</v>
      </c>
      <c r="G285" s="6">
        <v>0</v>
      </c>
      <c r="H285" s="6">
        <v>3.6360000000000001</v>
      </c>
      <c r="I285" s="6">
        <v>1.3540000000000001</v>
      </c>
      <c r="J285" s="6">
        <v>0.85</v>
      </c>
      <c r="K285" s="6">
        <v>0.624</v>
      </c>
      <c r="L285" s="6">
        <v>4.5999999999999999E-2</v>
      </c>
      <c r="M285" s="6">
        <v>2.0760000000000001</v>
      </c>
      <c r="N285" s="6">
        <v>29.220800000000001</v>
      </c>
      <c r="O285" s="6">
        <v>-38.560099999999998</v>
      </c>
      <c r="P285" s="6">
        <f t="shared" si="28"/>
        <v>73.933599464803336</v>
      </c>
      <c r="Q285" s="6">
        <f t="shared" si="29"/>
        <v>93.072474964734425</v>
      </c>
      <c r="R285" s="6">
        <f t="shared" si="30"/>
        <v>124.65552685534074</v>
      </c>
      <c r="S285" s="6">
        <f t="shared" si="32"/>
        <v>73.933599464803308</v>
      </c>
      <c r="T285" s="6">
        <f t="shared" si="33"/>
        <v>93.072474964734113</v>
      </c>
      <c r="U285" s="6">
        <f t="shared" si="34"/>
        <v>124.65552685534033</v>
      </c>
      <c r="V285" s="6">
        <f t="shared" si="31"/>
        <v>5.4569682106375694E-12</v>
      </c>
    </row>
    <row r="286" spans="1:22" ht="18.95" customHeight="1">
      <c r="A286" s="1">
        <v>280</v>
      </c>
      <c r="B286" s="6">
        <v>2.3333333333333282</v>
      </c>
      <c r="C286" s="6">
        <f>TimeStep!B286</f>
        <v>2333.3333333333335</v>
      </c>
      <c r="D286" s="6">
        <v>0.26400000000000001</v>
      </c>
      <c r="E286" s="6">
        <v>-1.4970000000000001</v>
      </c>
      <c r="F286" s="6">
        <v>4.5720000000000001</v>
      </c>
      <c r="G286" s="6">
        <v>0</v>
      </c>
      <c r="H286" s="6">
        <v>3.6429999999999998</v>
      </c>
      <c r="I286" s="6">
        <v>1.36</v>
      </c>
      <c r="J286" s="6">
        <v>0.86699999999999999</v>
      </c>
      <c r="K286" s="6">
        <v>0.63100000000000001</v>
      </c>
      <c r="L286" s="6">
        <v>5.7000000000000002E-2</v>
      </c>
      <c r="M286" s="6">
        <v>2.08</v>
      </c>
      <c r="N286" s="6">
        <v>28.475999999999999</v>
      </c>
      <c r="O286" s="6">
        <v>-39.247599999999998</v>
      </c>
      <c r="P286" s="6">
        <f t="shared" si="28"/>
        <v>74.17914447447906</v>
      </c>
      <c r="Q286" s="6">
        <f t="shared" si="29"/>
        <v>93.311997011095286</v>
      </c>
      <c r="R286" s="6">
        <f t="shared" si="30"/>
        <v>124.3365232906647</v>
      </c>
      <c r="S286" s="6">
        <f t="shared" si="32"/>
        <v>74.179144474479017</v>
      </c>
      <c r="T286" s="6">
        <f t="shared" si="33"/>
        <v>93.311997011094945</v>
      </c>
      <c r="U286" s="6">
        <f t="shared" si="34"/>
        <v>124.33652329066427</v>
      </c>
      <c r="V286" s="6">
        <f t="shared" si="31"/>
        <v>5.4569682106375694E-12</v>
      </c>
    </row>
    <row r="287" spans="1:22" ht="18.95" customHeight="1">
      <c r="A287" s="1">
        <v>281</v>
      </c>
      <c r="B287" s="6">
        <v>2.341666666666661</v>
      </c>
      <c r="C287" s="6">
        <f>TimeStep!B287</f>
        <v>2341.666666666667</v>
      </c>
      <c r="D287" s="6">
        <v>0.28999999999999998</v>
      </c>
      <c r="E287" s="6">
        <v>-1.492</v>
      </c>
      <c r="F287" s="6">
        <v>4.5720000000000001</v>
      </c>
      <c r="G287" s="6">
        <v>0</v>
      </c>
      <c r="H287" s="6">
        <v>3.6509999999999998</v>
      </c>
      <c r="I287" s="6">
        <v>1.365</v>
      </c>
      <c r="J287" s="6">
        <v>0.88500000000000001</v>
      </c>
      <c r="K287" s="6">
        <v>0.63800000000000001</v>
      </c>
      <c r="L287" s="6">
        <v>6.9000000000000006E-2</v>
      </c>
      <c r="M287" s="6">
        <v>2.0840000000000001</v>
      </c>
      <c r="N287" s="6">
        <v>27.6739</v>
      </c>
      <c r="O287" s="6">
        <v>-39.935200000000002</v>
      </c>
      <c r="P287" s="6">
        <f t="shared" si="28"/>
        <v>74.392680862038091</v>
      </c>
      <c r="Q287" s="6">
        <f t="shared" si="29"/>
        <v>93.536432729542071</v>
      </c>
      <c r="R287" s="6">
        <f t="shared" si="30"/>
        <v>124.00853497626753</v>
      </c>
      <c r="S287" s="6">
        <f t="shared" si="32"/>
        <v>74.392680862038048</v>
      </c>
      <c r="T287" s="6">
        <f t="shared" si="33"/>
        <v>93.53643272954173</v>
      </c>
      <c r="U287" s="6">
        <f t="shared" si="34"/>
        <v>124.00853497626713</v>
      </c>
      <c r="V287" s="6">
        <f t="shared" si="31"/>
        <v>5.9117155615240335E-12</v>
      </c>
    </row>
    <row r="288" spans="1:22" ht="18.95" customHeight="1">
      <c r="A288" s="1">
        <v>282</v>
      </c>
      <c r="B288" s="6">
        <v>2.3499999999999943</v>
      </c>
      <c r="C288" s="6">
        <f>TimeStep!B288</f>
        <v>2350</v>
      </c>
      <c r="D288" s="6">
        <v>0.316</v>
      </c>
      <c r="E288" s="6">
        <v>-1.4870000000000001</v>
      </c>
      <c r="F288" s="6">
        <v>4.5720000000000001</v>
      </c>
      <c r="G288" s="6">
        <v>0</v>
      </c>
      <c r="H288" s="6">
        <v>3.6589999999999998</v>
      </c>
      <c r="I288" s="6">
        <v>1.37</v>
      </c>
      <c r="J288" s="6">
        <v>0.90200000000000002</v>
      </c>
      <c r="K288" s="6">
        <v>0.64600000000000002</v>
      </c>
      <c r="L288" s="6">
        <v>0.08</v>
      </c>
      <c r="M288" s="6">
        <v>2.0880000000000001</v>
      </c>
      <c r="N288" s="6">
        <v>26.871700000000001</v>
      </c>
      <c r="O288" s="6">
        <v>-40.68</v>
      </c>
      <c r="P288" s="6">
        <f t="shared" si="28"/>
        <v>74.638109221295721</v>
      </c>
      <c r="Q288" s="6">
        <f t="shared" si="29"/>
        <v>93.77684284823934</v>
      </c>
      <c r="R288" s="6">
        <f t="shared" si="30"/>
        <v>123.68041527211</v>
      </c>
      <c r="S288" s="6">
        <f t="shared" si="32"/>
        <v>74.638109221295679</v>
      </c>
      <c r="T288" s="6">
        <f t="shared" si="33"/>
        <v>93.776842848238971</v>
      </c>
      <c r="U288" s="6">
        <f t="shared" si="34"/>
        <v>123.6804152721096</v>
      </c>
      <c r="V288" s="6">
        <f t="shared" si="31"/>
        <v>5.4569682106375694E-12</v>
      </c>
    </row>
    <row r="289" spans="1:22" ht="18.95" customHeight="1">
      <c r="A289" s="1">
        <v>283</v>
      </c>
      <c r="B289" s="6">
        <v>2.3583333333333281</v>
      </c>
      <c r="C289" s="6">
        <f>TimeStep!B289</f>
        <v>2358.3333333333335</v>
      </c>
      <c r="D289" s="6">
        <v>0.34200000000000003</v>
      </c>
      <c r="E289" s="6">
        <v>-1.4810000000000001</v>
      </c>
      <c r="F289" s="6">
        <v>4.5720000000000001</v>
      </c>
      <c r="G289" s="6">
        <v>0</v>
      </c>
      <c r="H289" s="6">
        <v>3.6680000000000001</v>
      </c>
      <c r="I289" s="6">
        <v>1.3759999999999999</v>
      </c>
      <c r="J289" s="6">
        <v>0.92</v>
      </c>
      <c r="K289" s="6">
        <v>0.65400000000000003</v>
      </c>
      <c r="L289" s="6">
        <v>9.2999999999999999E-2</v>
      </c>
      <c r="M289" s="6">
        <v>2.093</v>
      </c>
      <c r="N289" s="6">
        <v>26.0123</v>
      </c>
      <c r="O289" s="6">
        <v>-41.367600000000003</v>
      </c>
      <c r="P289" s="6">
        <f t="shared" si="28"/>
        <v>74.851661840159096</v>
      </c>
      <c r="Q289" s="6">
        <f t="shared" si="29"/>
        <v>93.985347843911569</v>
      </c>
      <c r="R289" s="6">
        <f t="shared" si="30"/>
        <v>123.30398321123489</v>
      </c>
      <c r="S289" s="6">
        <f t="shared" si="32"/>
        <v>74.851661840159068</v>
      </c>
      <c r="T289" s="6">
        <f t="shared" si="33"/>
        <v>93.9853478439112</v>
      </c>
      <c r="U289" s="6">
        <f t="shared" si="34"/>
        <v>123.30398321123448</v>
      </c>
      <c r="V289" s="6">
        <f t="shared" si="31"/>
        <v>5.4569682106375694E-12</v>
      </c>
    </row>
    <row r="290" spans="1:22" ht="18.95" customHeight="1">
      <c r="A290" s="1">
        <v>284</v>
      </c>
      <c r="B290" s="6">
        <v>2.3666666666666609</v>
      </c>
      <c r="C290" s="6">
        <f>TimeStep!B290</f>
        <v>2366.666666666667</v>
      </c>
      <c r="D290" s="6">
        <v>0.36799999999999999</v>
      </c>
      <c r="E290" s="6">
        <v>-1.4750000000000001</v>
      </c>
      <c r="F290" s="6">
        <v>4.5720000000000001</v>
      </c>
      <c r="G290" s="6">
        <v>0</v>
      </c>
      <c r="H290" s="6">
        <v>3.6760000000000002</v>
      </c>
      <c r="I290" s="6">
        <v>1.381</v>
      </c>
      <c r="J290" s="6">
        <v>0.93799999999999994</v>
      </c>
      <c r="K290" s="6">
        <v>0.66200000000000003</v>
      </c>
      <c r="L290" s="6">
        <v>0.105</v>
      </c>
      <c r="M290" s="6">
        <v>2.0979999999999999</v>
      </c>
      <c r="N290" s="6">
        <v>25.210100000000001</v>
      </c>
      <c r="O290" s="6">
        <v>-42.112400000000001</v>
      </c>
      <c r="P290" s="6">
        <f t="shared" si="28"/>
        <v>75.06524536565459</v>
      </c>
      <c r="Q290" s="6">
        <f t="shared" si="29"/>
        <v>94.209813462593686</v>
      </c>
      <c r="R290" s="6">
        <f t="shared" si="30"/>
        <v>122.97571740099316</v>
      </c>
      <c r="S290" s="6">
        <f t="shared" si="32"/>
        <v>75.065245365654562</v>
      </c>
      <c r="T290" s="6">
        <f t="shared" si="33"/>
        <v>94.209813462593331</v>
      </c>
      <c r="U290" s="6">
        <f t="shared" si="34"/>
        <v>122.97571740099272</v>
      </c>
      <c r="V290" s="6">
        <f t="shared" si="31"/>
        <v>5.9117155615240335E-12</v>
      </c>
    </row>
    <row r="291" spans="1:22" ht="18.95" customHeight="1">
      <c r="A291" s="1">
        <v>285</v>
      </c>
      <c r="B291" s="6">
        <v>2.3749999999999942</v>
      </c>
      <c r="C291" s="6">
        <f>TimeStep!B291</f>
        <v>2375</v>
      </c>
      <c r="D291" s="6">
        <v>0.39400000000000002</v>
      </c>
      <c r="E291" s="6">
        <v>-1.468</v>
      </c>
      <c r="F291" s="6">
        <v>4.5720000000000001</v>
      </c>
      <c r="G291" s="6">
        <v>0</v>
      </c>
      <c r="H291" s="6">
        <v>3.6850000000000001</v>
      </c>
      <c r="I291" s="6">
        <v>1.387</v>
      </c>
      <c r="J291" s="6">
        <v>0.95599999999999996</v>
      </c>
      <c r="K291" s="6">
        <v>0.67100000000000004</v>
      </c>
      <c r="L291" s="6">
        <v>0.11799999999999999</v>
      </c>
      <c r="M291" s="6">
        <v>2.1040000000000001</v>
      </c>
      <c r="N291" s="6">
        <v>24.3507</v>
      </c>
      <c r="O291" s="6">
        <v>-42.799900000000001</v>
      </c>
      <c r="P291" s="6">
        <f t="shared" si="28"/>
        <v>75.278853867449158</v>
      </c>
      <c r="Q291" s="6">
        <f t="shared" si="29"/>
        <v>94.418330557006954</v>
      </c>
      <c r="R291" s="6">
        <f t="shared" si="30"/>
        <v>122.59931084264535</v>
      </c>
      <c r="S291" s="6">
        <f t="shared" si="32"/>
        <v>75.278853867449129</v>
      </c>
      <c r="T291" s="6">
        <f t="shared" si="33"/>
        <v>94.418330557006584</v>
      </c>
      <c r="U291" s="6">
        <f t="shared" si="34"/>
        <v>122.59931084264491</v>
      </c>
      <c r="V291" s="6">
        <f t="shared" si="31"/>
        <v>5.9117155615240335E-12</v>
      </c>
    </row>
    <row r="292" spans="1:22" ht="18.95" customHeight="1">
      <c r="A292" s="1">
        <v>286</v>
      </c>
      <c r="B292" s="6">
        <v>2.3833333333333275</v>
      </c>
      <c r="C292" s="6">
        <f>TimeStep!B292</f>
        <v>2383.3333333333335</v>
      </c>
      <c r="D292" s="6">
        <v>0.41899999999999998</v>
      </c>
      <c r="E292" s="6">
        <v>-1.4610000000000001</v>
      </c>
      <c r="F292" s="6">
        <v>4.5720000000000001</v>
      </c>
      <c r="G292" s="6">
        <v>0</v>
      </c>
      <c r="H292" s="6">
        <v>3.6930000000000001</v>
      </c>
      <c r="I292" s="6">
        <v>1.3919999999999999</v>
      </c>
      <c r="J292" s="6">
        <v>0.97399999999999998</v>
      </c>
      <c r="K292" s="6">
        <v>0.68</v>
      </c>
      <c r="L292" s="6">
        <v>0.13100000000000001</v>
      </c>
      <c r="M292" s="6">
        <v>2.11</v>
      </c>
      <c r="N292" s="6">
        <v>23.434000000000001</v>
      </c>
      <c r="O292" s="6">
        <v>-43.544800000000002</v>
      </c>
      <c r="P292" s="6">
        <f t="shared" si="28"/>
        <v>75.46740239788474</v>
      </c>
      <c r="Q292" s="6">
        <f t="shared" si="29"/>
        <v>94.610906432577707</v>
      </c>
      <c r="R292" s="6">
        <f t="shared" si="30"/>
        <v>122.27099820856178</v>
      </c>
      <c r="S292" s="6">
        <f t="shared" si="32"/>
        <v>75.467402397884712</v>
      </c>
      <c r="T292" s="6">
        <f t="shared" si="33"/>
        <v>94.610906432577337</v>
      </c>
      <c r="U292" s="6">
        <f t="shared" si="34"/>
        <v>122.27099820856131</v>
      </c>
      <c r="V292" s="6">
        <f t="shared" si="31"/>
        <v>5.9117155615240335E-12</v>
      </c>
    </row>
    <row r="293" spans="1:22" ht="18.95" customHeight="1">
      <c r="A293" s="1">
        <v>287</v>
      </c>
      <c r="B293" s="6">
        <v>2.3916666666666608</v>
      </c>
      <c r="C293" s="6">
        <f>TimeStep!B293</f>
        <v>2391.666666666667</v>
      </c>
      <c r="D293" s="6">
        <v>0.44500000000000001</v>
      </c>
      <c r="E293" s="6">
        <v>-1.4530000000000001</v>
      </c>
      <c r="F293" s="6">
        <v>4.5720000000000001</v>
      </c>
      <c r="G293" s="6">
        <v>0</v>
      </c>
      <c r="H293" s="6">
        <v>3.702</v>
      </c>
      <c r="I293" s="6">
        <v>1.3979999999999999</v>
      </c>
      <c r="J293" s="6">
        <v>0.99199999999999999</v>
      </c>
      <c r="K293" s="6">
        <v>0.68899999999999995</v>
      </c>
      <c r="L293" s="6">
        <v>0.14499999999999999</v>
      </c>
      <c r="M293" s="6">
        <v>2.117</v>
      </c>
      <c r="N293" s="6">
        <v>22.517199999999999</v>
      </c>
      <c r="O293" s="6">
        <v>-44.2896</v>
      </c>
      <c r="P293" s="6">
        <f t="shared" si="28"/>
        <v>75.674608590985002</v>
      </c>
      <c r="Q293" s="6">
        <f t="shared" si="29"/>
        <v>94.803485759069076</v>
      </c>
      <c r="R293" s="6">
        <f t="shared" si="30"/>
        <v>121.89473100978128</v>
      </c>
      <c r="S293" s="6">
        <f t="shared" si="32"/>
        <v>75.674608590984974</v>
      </c>
      <c r="T293" s="6">
        <f t="shared" si="33"/>
        <v>94.803485759068735</v>
      </c>
      <c r="U293" s="6">
        <f t="shared" si="34"/>
        <v>121.8947310097808</v>
      </c>
      <c r="V293" s="6">
        <f t="shared" si="31"/>
        <v>5.9117155615240335E-12</v>
      </c>
    </row>
    <row r="294" spans="1:22" ht="18.95" customHeight="1">
      <c r="A294" s="1">
        <v>288</v>
      </c>
      <c r="B294" s="6">
        <v>2.3999999999999941</v>
      </c>
      <c r="C294" s="6">
        <f>TimeStep!B294</f>
        <v>2400</v>
      </c>
      <c r="D294" s="6">
        <v>0.47</v>
      </c>
      <c r="E294" s="6">
        <v>-1.446</v>
      </c>
      <c r="F294" s="6">
        <v>4.5720000000000001</v>
      </c>
      <c r="G294" s="6">
        <v>0</v>
      </c>
      <c r="H294" s="6">
        <v>3.7109999999999999</v>
      </c>
      <c r="I294" s="6">
        <v>1.4039999999999999</v>
      </c>
      <c r="J294" s="6">
        <v>1.0109999999999999</v>
      </c>
      <c r="K294" s="6">
        <v>0.69899999999999995</v>
      </c>
      <c r="L294" s="6">
        <v>0.158</v>
      </c>
      <c r="M294" s="6">
        <v>2.1240000000000001</v>
      </c>
      <c r="N294" s="6">
        <v>21.6005</v>
      </c>
      <c r="O294" s="6">
        <v>-45.034500000000001</v>
      </c>
      <c r="P294" s="6">
        <f t="shared" si="28"/>
        <v>75.844403584356471</v>
      </c>
      <c r="Q294" s="6">
        <f t="shared" si="29"/>
        <v>94.994671807621657</v>
      </c>
      <c r="R294" s="6">
        <f t="shared" si="30"/>
        <v>121.51861865004803</v>
      </c>
      <c r="S294" s="6">
        <f t="shared" si="32"/>
        <v>75.844403584356428</v>
      </c>
      <c r="T294" s="6">
        <f t="shared" si="33"/>
        <v>94.99467180762133</v>
      </c>
      <c r="U294" s="6">
        <f t="shared" si="34"/>
        <v>121.51861865004753</v>
      </c>
      <c r="V294" s="6">
        <f t="shared" si="31"/>
        <v>5.9117155615240335E-12</v>
      </c>
    </row>
    <row r="295" spans="1:22" ht="18.95" customHeight="1">
      <c r="A295" s="1">
        <v>289</v>
      </c>
      <c r="B295" s="6">
        <v>2.4083333333333274</v>
      </c>
      <c r="C295" s="6">
        <f>TimeStep!B295</f>
        <v>2408.3333333333335</v>
      </c>
      <c r="D295" s="6">
        <v>0.495</v>
      </c>
      <c r="E295" s="6">
        <v>-1.4370000000000001</v>
      </c>
      <c r="F295" s="6">
        <v>4.5720000000000001</v>
      </c>
      <c r="G295" s="6">
        <v>0</v>
      </c>
      <c r="H295" s="6">
        <v>3.72</v>
      </c>
      <c r="I295" s="6">
        <v>1.409</v>
      </c>
      <c r="J295" s="6">
        <v>1.0289999999999999</v>
      </c>
      <c r="K295" s="6">
        <v>0.70899999999999996</v>
      </c>
      <c r="L295" s="6">
        <v>0.17199999999999999</v>
      </c>
      <c r="M295" s="6">
        <v>2.1309999999999998</v>
      </c>
      <c r="N295" s="6">
        <v>20.683800000000002</v>
      </c>
      <c r="O295" s="6">
        <v>-45.779299999999999</v>
      </c>
      <c r="P295" s="6">
        <f t="shared" si="28"/>
        <v>76.02659460680583</v>
      </c>
      <c r="Q295" s="6">
        <f t="shared" si="29"/>
        <v>95.172710056769915</v>
      </c>
      <c r="R295" s="6">
        <f t="shared" si="30"/>
        <v>121.16068948470381</v>
      </c>
      <c r="S295" s="6">
        <f t="shared" si="32"/>
        <v>76.026594606805816</v>
      </c>
      <c r="T295" s="6">
        <f t="shared" si="33"/>
        <v>95.172710056769574</v>
      </c>
      <c r="U295" s="6">
        <f t="shared" si="34"/>
        <v>121.16068948470331</v>
      </c>
      <c r="V295" s="6">
        <f t="shared" si="31"/>
        <v>5.9117155615240335E-12</v>
      </c>
    </row>
    <row r="296" spans="1:22" ht="18.95" customHeight="1">
      <c r="A296" s="1">
        <v>290</v>
      </c>
      <c r="B296" s="6">
        <v>2.4166666666666607</v>
      </c>
      <c r="C296" s="6">
        <f>TimeStep!B296</f>
        <v>2416.666666666667</v>
      </c>
      <c r="D296" s="6">
        <v>0.52</v>
      </c>
      <c r="E296" s="6">
        <v>-1.4279999999999999</v>
      </c>
      <c r="F296" s="6">
        <v>4.5720000000000001</v>
      </c>
      <c r="G296" s="6">
        <v>0</v>
      </c>
      <c r="H296" s="6">
        <v>3.73</v>
      </c>
      <c r="I296" s="6">
        <v>1.415</v>
      </c>
      <c r="J296" s="6">
        <v>1.048</v>
      </c>
      <c r="K296" s="6">
        <v>0.71899999999999997</v>
      </c>
      <c r="L296" s="6">
        <v>0.187</v>
      </c>
      <c r="M296" s="6">
        <v>2.1389999999999998</v>
      </c>
      <c r="N296" s="6">
        <v>19.709700000000002</v>
      </c>
      <c r="O296" s="6">
        <v>-46.5242</v>
      </c>
      <c r="P296" s="6">
        <f t="shared" si="28"/>
        <v>76.183737053069663</v>
      </c>
      <c r="Q296" s="6">
        <f t="shared" si="29"/>
        <v>95.33343280062752</v>
      </c>
      <c r="R296" s="6">
        <f t="shared" si="30"/>
        <v>120.75488835170015</v>
      </c>
      <c r="S296" s="6">
        <f t="shared" si="32"/>
        <v>76.183737053069649</v>
      </c>
      <c r="T296" s="6">
        <f t="shared" si="33"/>
        <v>95.333432800627179</v>
      </c>
      <c r="U296" s="6">
        <f t="shared" si="34"/>
        <v>120.75488835169966</v>
      </c>
      <c r="V296" s="6">
        <f t="shared" si="31"/>
        <v>6.3664629124104977E-12</v>
      </c>
    </row>
    <row r="297" spans="1:22" ht="18.95" customHeight="1">
      <c r="A297" s="1">
        <v>291</v>
      </c>
      <c r="B297" s="6">
        <v>2.424999999999994</v>
      </c>
      <c r="C297" s="6">
        <f>TimeStep!B297</f>
        <v>2425</v>
      </c>
      <c r="D297" s="6">
        <v>0.54500000000000004</v>
      </c>
      <c r="E297" s="6">
        <v>-1.419</v>
      </c>
      <c r="F297" s="6">
        <v>4.5720000000000001</v>
      </c>
      <c r="G297" s="6">
        <v>0</v>
      </c>
      <c r="H297" s="6">
        <v>3.74</v>
      </c>
      <c r="I297" s="6">
        <v>1.421</v>
      </c>
      <c r="J297" s="6">
        <v>1.0669999999999999</v>
      </c>
      <c r="K297" s="6">
        <v>0.73</v>
      </c>
      <c r="L297" s="6">
        <v>0.20200000000000001</v>
      </c>
      <c r="M297" s="6">
        <v>2.1469999999999998</v>
      </c>
      <c r="N297" s="6">
        <v>18.735700000000001</v>
      </c>
      <c r="O297" s="6">
        <v>-47.268999999999998</v>
      </c>
      <c r="P297" s="6">
        <f t="shared" si="28"/>
        <v>76.347063223147813</v>
      </c>
      <c r="Q297" s="6">
        <f t="shared" si="29"/>
        <v>95.494161480385415</v>
      </c>
      <c r="R297" s="6">
        <f t="shared" si="30"/>
        <v>120.3491081721572</v>
      </c>
      <c r="S297" s="6">
        <f t="shared" si="32"/>
        <v>76.347063223147813</v>
      </c>
      <c r="T297" s="6">
        <f t="shared" si="33"/>
        <v>95.49416148038506</v>
      </c>
      <c r="U297" s="6">
        <f t="shared" si="34"/>
        <v>120.34910817215672</v>
      </c>
      <c r="V297" s="6">
        <f t="shared" si="31"/>
        <v>5.9117155615240335E-12</v>
      </c>
    </row>
    <row r="298" spans="1:22" ht="18.95" customHeight="1">
      <c r="A298" s="1">
        <v>292</v>
      </c>
      <c r="B298" s="6">
        <v>2.4333333333333278</v>
      </c>
      <c r="C298" s="6">
        <f>TimeStep!B298</f>
        <v>2433.3333333333335</v>
      </c>
      <c r="D298" s="6">
        <v>0.56999999999999995</v>
      </c>
      <c r="E298" s="6">
        <v>-1.409</v>
      </c>
      <c r="F298" s="6">
        <v>4.5720000000000001</v>
      </c>
      <c r="G298" s="6">
        <v>0</v>
      </c>
      <c r="H298" s="6">
        <v>3.75</v>
      </c>
      <c r="I298" s="6">
        <v>1.4259999999999999</v>
      </c>
      <c r="J298" s="6">
        <v>1.0860000000000001</v>
      </c>
      <c r="K298" s="6">
        <v>0.74099999999999999</v>
      </c>
      <c r="L298" s="6">
        <v>0.217</v>
      </c>
      <c r="M298" s="6">
        <v>2.1560000000000001</v>
      </c>
      <c r="N298" s="6">
        <v>17.7044</v>
      </c>
      <c r="O298" s="6">
        <v>-48.0139</v>
      </c>
      <c r="P298" s="6">
        <f t="shared" si="28"/>
        <v>76.504266719204182</v>
      </c>
      <c r="Q298" s="6">
        <f t="shared" si="29"/>
        <v>95.654893566596286</v>
      </c>
      <c r="R298" s="6">
        <f t="shared" si="30"/>
        <v>119.96076490045267</v>
      </c>
      <c r="S298" s="6">
        <f t="shared" si="32"/>
        <v>76.504266719204168</v>
      </c>
      <c r="T298" s="6">
        <f t="shared" si="33"/>
        <v>95.654893566595945</v>
      </c>
      <c r="U298" s="6">
        <f t="shared" si="34"/>
        <v>119.9607649004522</v>
      </c>
      <c r="V298" s="6">
        <f t="shared" si="31"/>
        <v>5.9117155615240335E-12</v>
      </c>
    </row>
    <row r="299" spans="1:22" ht="18.95" customHeight="1">
      <c r="A299" s="1">
        <v>293</v>
      </c>
      <c r="B299" s="6">
        <v>2.4416666666666607</v>
      </c>
      <c r="C299" s="6">
        <f>TimeStep!B299</f>
        <v>2441.666666666667</v>
      </c>
      <c r="D299" s="6">
        <v>0.59399999999999997</v>
      </c>
      <c r="E299" s="6">
        <v>-1.399</v>
      </c>
      <c r="F299" s="6">
        <v>4.5720000000000001</v>
      </c>
      <c r="G299" s="6">
        <v>0</v>
      </c>
      <c r="H299" s="6">
        <v>3.76</v>
      </c>
      <c r="I299" s="6">
        <v>1.4319999999999999</v>
      </c>
      <c r="J299" s="6">
        <v>1.105</v>
      </c>
      <c r="K299" s="6">
        <v>0.753</v>
      </c>
      <c r="L299" s="6">
        <v>0.23300000000000001</v>
      </c>
      <c r="M299" s="6">
        <v>2.1659999999999999</v>
      </c>
      <c r="N299" s="6">
        <v>16.673100000000002</v>
      </c>
      <c r="O299" s="6">
        <v>-48.816000000000003</v>
      </c>
      <c r="P299" s="6">
        <f t="shared" si="28"/>
        <v>76.642301865105864</v>
      </c>
      <c r="Q299" s="6">
        <f t="shared" si="29"/>
        <v>95.782190947503267</v>
      </c>
      <c r="R299" s="6">
        <f t="shared" si="30"/>
        <v>119.55493215117833</v>
      </c>
      <c r="S299" s="6">
        <f t="shared" si="32"/>
        <v>76.642301865105878</v>
      </c>
      <c r="T299" s="6">
        <f t="shared" si="33"/>
        <v>95.782190947502954</v>
      </c>
      <c r="U299" s="6">
        <f t="shared" si="34"/>
        <v>119.55493215117787</v>
      </c>
      <c r="V299" s="6">
        <f t="shared" si="31"/>
        <v>6.3664629124104977E-12</v>
      </c>
    </row>
    <row r="300" spans="1:22" ht="18.95" customHeight="1">
      <c r="A300" s="1">
        <v>294</v>
      </c>
      <c r="B300" s="6">
        <v>2.449999999999994</v>
      </c>
      <c r="C300" s="6">
        <f>TimeStep!B300</f>
        <v>2450</v>
      </c>
      <c r="D300" s="6">
        <v>0.61799999999999999</v>
      </c>
      <c r="E300" s="6">
        <v>-1.3879999999999999</v>
      </c>
      <c r="F300" s="6">
        <v>4.5720000000000001</v>
      </c>
      <c r="G300" s="6">
        <v>0</v>
      </c>
      <c r="H300" s="6">
        <v>3.77</v>
      </c>
      <c r="I300" s="6">
        <v>1.4379999999999999</v>
      </c>
      <c r="J300" s="6">
        <v>1.1240000000000001</v>
      </c>
      <c r="K300" s="6">
        <v>0.76400000000000001</v>
      </c>
      <c r="L300" s="6">
        <v>0.249</v>
      </c>
      <c r="M300" s="6">
        <v>2.1749999999999998</v>
      </c>
      <c r="N300" s="6">
        <v>15.6417</v>
      </c>
      <c r="O300" s="6">
        <v>-49.5608</v>
      </c>
      <c r="P300" s="6">
        <f t="shared" si="28"/>
        <v>76.76838431902101</v>
      </c>
      <c r="Q300" s="6">
        <f t="shared" si="29"/>
        <v>95.912724691447607</v>
      </c>
      <c r="R300" s="6">
        <f t="shared" si="30"/>
        <v>119.14924074180023</v>
      </c>
      <c r="S300" s="6">
        <f t="shared" si="32"/>
        <v>76.768384319021038</v>
      </c>
      <c r="T300" s="6">
        <f t="shared" si="33"/>
        <v>95.912724691447295</v>
      </c>
      <c r="U300" s="6">
        <f t="shared" si="34"/>
        <v>119.14924074179976</v>
      </c>
      <c r="V300" s="6">
        <f t="shared" si="31"/>
        <v>5.9117155615240335E-12</v>
      </c>
    </row>
    <row r="301" spans="1:22" ht="18.95" customHeight="1">
      <c r="A301" s="1">
        <v>295</v>
      </c>
      <c r="B301" s="6">
        <v>2.4583333333333277</v>
      </c>
      <c r="C301" s="6">
        <f>TimeStep!B301</f>
        <v>2458.3333333333335</v>
      </c>
      <c r="D301" s="6">
        <v>0.64300000000000002</v>
      </c>
      <c r="E301" s="6">
        <v>-1.377</v>
      </c>
      <c r="F301" s="6">
        <v>4.5720000000000001</v>
      </c>
      <c r="G301" s="6">
        <v>0</v>
      </c>
      <c r="H301" s="6">
        <v>3.78</v>
      </c>
      <c r="I301" s="6">
        <v>1.444</v>
      </c>
      <c r="J301" s="6">
        <v>1.1439999999999999</v>
      </c>
      <c r="K301" s="6">
        <v>0.77700000000000002</v>
      </c>
      <c r="L301" s="6">
        <v>0.26500000000000001</v>
      </c>
      <c r="M301" s="6">
        <v>2.1850000000000001</v>
      </c>
      <c r="N301" s="6">
        <v>14.6104</v>
      </c>
      <c r="O301" s="6">
        <v>-50.305700000000002</v>
      </c>
      <c r="P301" s="6">
        <f t="shared" si="28"/>
        <v>76.906346372123934</v>
      </c>
      <c r="Q301" s="6">
        <f t="shared" si="29"/>
        <v>96.057565948377317</v>
      </c>
      <c r="R301" s="6">
        <f t="shared" si="30"/>
        <v>118.74373125235458</v>
      </c>
      <c r="S301" s="6">
        <f t="shared" si="32"/>
        <v>76.906346372123949</v>
      </c>
      <c r="T301" s="6">
        <f t="shared" si="33"/>
        <v>96.057565948377032</v>
      </c>
      <c r="U301" s="6">
        <f t="shared" si="34"/>
        <v>118.74373125235411</v>
      </c>
      <c r="V301" s="6">
        <f t="shared" si="31"/>
        <v>5.9117155615240335E-12</v>
      </c>
    </row>
    <row r="302" spans="1:22" ht="18.95" customHeight="1">
      <c r="A302" s="1">
        <v>296</v>
      </c>
      <c r="B302" s="6">
        <v>2.466666666666661</v>
      </c>
      <c r="C302" s="6">
        <f>TimeStep!B302</f>
        <v>2466.666666666667</v>
      </c>
      <c r="D302" s="6">
        <v>0.66700000000000004</v>
      </c>
      <c r="E302" s="6">
        <v>-1.3660000000000001</v>
      </c>
      <c r="F302" s="6">
        <v>4.5720000000000001</v>
      </c>
      <c r="G302" s="6">
        <v>0</v>
      </c>
      <c r="H302" s="6">
        <v>3.7909999999999999</v>
      </c>
      <c r="I302" s="6">
        <v>1.45</v>
      </c>
      <c r="J302" s="6">
        <v>1.163</v>
      </c>
      <c r="K302" s="6">
        <v>0.78900000000000003</v>
      </c>
      <c r="L302" s="6">
        <v>0.28199999999999997</v>
      </c>
      <c r="M302" s="6">
        <v>2.1960000000000002</v>
      </c>
      <c r="N302" s="6">
        <v>13.521800000000001</v>
      </c>
      <c r="O302" s="6">
        <v>-51.107799999999997</v>
      </c>
      <c r="P302" s="6">
        <f t="shared" si="28"/>
        <v>77.038397753855904</v>
      </c>
      <c r="Q302" s="6">
        <f t="shared" si="29"/>
        <v>96.168885946436532</v>
      </c>
      <c r="R302" s="6">
        <f t="shared" si="30"/>
        <v>118.30782437388017</v>
      </c>
      <c r="S302" s="6">
        <f t="shared" si="32"/>
        <v>77.038397753855918</v>
      </c>
      <c r="T302" s="6">
        <f t="shared" si="33"/>
        <v>96.168885946436262</v>
      </c>
      <c r="U302" s="6">
        <f t="shared" si="34"/>
        <v>118.30782437387973</v>
      </c>
      <c r="V302" s="6">
        <f t="shared" si="31"/>
        <v>5.9117155615240335E-12</v>
      </c>
    </row>
    <row r="303" spans="1:22" ht="18.95" customHeight="1">
      <c r="A303" s="1">
        <v>297</v>
      </c>
      <c r="B303" s="6">
        <v>2.4749999999999939</v>
      </c>
      <c r="C303" s="6">
        <f>TimeStep!B303</f>
        <v>2475</v>
      </c>
      <c r="D303" s="6">
        <v>0.69</v>
      </c>
      <c r="E303" s="6">
        <v>-1.3540000000000001</v>
      </c>
      <c r="F303" s="6">
        <v>4.5720000000000001</v>
      </c>
      <c r="G303" s="6">
        <v>0</v>
      </c>
      <c r="H303" s="6">
        <v>3.802</v>
      </c>
      <c r="I303" s="6">
        <v>1.4550000000000001</v>
      </c>
      <c r="J303" s="6">
        <v>1.1830000000000001</v>
      </c>
      <c r="K303" s="6">
        <v>0.80200000000000005</v>
      </c>
      <c r="L303" s="6">
        <v>0.29899999999999999</v>
      </c>
      <c r="M303" s="6">
        <v>2.2069999999999999</v>
      </c>
      <c r="N303" s="6">
        <v>12.3759</v>
      </c>
      <c r="O303" s="6">
        <v>-51.852699999999999</v>
      </c>
      <c r="P303" s="6">
        <f t="shared" si="28"/>
        <v>77.119947429663227</v>
      </c>
      <c r="Q303" s="6">
        <f t="shared" si="29"/>
        <v>96.266011061724697</v>
      </c>
      <c r="R303" s="6">
        <f t="shared" si="30"/>
        <v>117.88822385282715</v>
      </c>
      <c r="S303" s="6">
        <f t="shared" si="32"/>
        <v>77.119947429663227</v>
      </c>
      <c r="T303" s="6">
        <f t="shared" si="33"/>
        <v>96.266011061724441</v>
      </c>
      <c r="U303" s="6">
        <f t="shared" si="34"/>
        <v>117.88822385282674</v>
      </c>
      <c r="V303" s="6">
        <f t="shared" si="31"/>
        <v>5.9117155615240335E-12</v>
      </c>
    </row>
    <row r="304" spans="1:22" ht="18.95" customHeight="1">
      <c r="A304" s="1">
        <v>298</v>
      </c>
      <c r="B304" s="6">
        <v>2.4833333333333272</v>
      </c>
      <c r="C304" s="6">
        <f>TimeStep!B304</f>
        <v>2483.3333333333335</v>
      </c>
      <c r="D304" s="6">
        <v>0.71399999999999997</v>
      </c>
      <c r="E304" s="6">
        <v>-1.3420000000000001</v>
      </c>
      <c r="F304" s="6">
        <v>4.5720000000000001</v>
      </c>
      <c r="G304" s="6">
        <v>0</v>
      </c>
      <c r="H304" s="6">
        <v>3.8130000000000002</v>
      </c>
      <c r="I304" s="6">
        <v>1.4610000000000001</v>
      </c>
      <c r="J304" s="6">
        <v>1.2030000000000001</v>
      </c>
      <c r="K304" s="6">
        <v>0.81499999999999995</v>
      </c>
      <c r="L304" s="6">
        <v>0.316</v>
      </c>
      <c r="M304" s="6">
        <v>2.2189999999999999</v>
      </c>
      <c r="N304" s="6">
        <v>11.2873</v>
      </c>
      <c r="O304" s="6">
        <v>-52.654800000000002</v>
      </c>
      <c r="P304" s="6">
        <f t="shared" si="28"/>
        <v>77.226736277362946</v>
      </c>
      <c r="Q304" s="6">
        <f t="shared" si="29"/>
        <v>96.377274101806435</v>
      </c>
      <c r="R304" s="6">
        <f t="shared" si="30"/>
        <v>117.45220098350504</v>
      </c>
      <c r="S304" s="6">
        <f t="shared" si="32"/>
        <v>77.226736277362932</v>
      </c>
      <c r="T304" s="6">
        <f t="shared" si="33"/>
        <v>96.377274101806165</v>
      </c>
      <c r="U304" s="6">
        <f t="shared" si="34"/>
        <v>117.45220098350461</v>
      </c>
      <c r="V304" s="6">
        <f t="shared" si="31"/>
        <v>6.3664629124104977E-12</v>
      </c>
    </row>
    <row r="305" spans="1:22" ht="18.95" customHeight="1">
      <c r="A305" s="1">
        <v>299</v>
      </c>
      <c r="B305" s="6">
        <v>2.4916666666666605</v>
      </c>
      <c r="C305" s="6">
        <f>TimeStep!B305</f>
        <v>2491.666666666667</v>
      </c>
      <c r="D305" s="6">
        <v>0.73699999999999999</v>
      </c>
      <c r="E305" s="6">
        <v>-1.329</v>
      </c>
      <c r="F305" s="6">
        <v>4.5720000000000001</v>
      </c>
      <c r="G305" s="6">
        <v>0</v>
      </c>
      <c r="H305" s="6">
        <v>3.8239999999999998</v>
      </c>
      <c r="I305" s="6">
        <v>1.4670000000000001</v>
      </c>
      <c r="J305" s="6">
        <v>1.2230000000000001</v>
      </c>
      <c r="K305" s="6">
        <v>0.82799999999999996</v>
      </c>
      <c r="L305" s="6">
        <v>0.33400000000000002</v>
      </c>
      <c r="M305" s="6">
        <v>2.2309999999999999</v>
      </c>
      <c r="N305" s="6">
        <v>10.141400000000001</v>
      </c>
      <c r="O305" s="6">
        <v>-53.457000000000001</v>
      </c>
      <c r="P305" s="6">
        <f t="shared" si="28"/>
        <v>77.302551778536582</v>
      </c>
      <c r="Q305" s="6">
        <f t="shared" si="29"/>
        <v>96.458516554651879</v>
      </c>
      <c r="R305" s="6">
        <f t="shared" si="30"/>
        <v>117.01631224420561</v>
      </c>
      <c r="S305" s="6">
        <f t="shared" si="32"/>
        <v>77.302551778536554</v>
      </c>
      <c r="T305" s="6">
        <f t="shared" si="33"/>
        <v>96.458516554651624</v>
      </c>
      <c r="U305" s="6">
        <f t="shared" si="34"/>
        <v>117.01631224420521</v>
      </c>
      <c r="V305" s="6">
        <f t="shared" si="31"/>
        <v>6.3664629124104977E-12</v>
      </c>
    </row>
    <row r="306" spans="1:22" ht="18.95" customHeight="1">
      <c r="A306" s="1">
        <v>300</v>
      </c>
      <c r="B306" s="6">
        <v>2.4999999999999938</v>
      </c>
      <c r="C306" s="6">
        <f>TimeStep!B306</f>
        <v>2500</v>
      </c>
      <c r="D306" s="6">
        <v>0.76</v>
      </c>
      <c r="E306" s="6">
        <v>-1.3160000000000001</v>
      </c>
      <c r="F306" s="6">
        <v>4.5720000000000001</v>
      </c>
      <c r="G306" s="6">
        <v>0</v>
      </c>
      <c r="H306" s="6">
        <v>3.8359999999999999</v>
      </c>
      <c r="I306" s="6">
        <v>1.4730000000000001</v>
      </c>
      <c r="J306" s="6">
        <v>1.2430000000000001</v>
      </c>
      <c r="K306" s="6">
        <v>0.84199999999999997</v>
      </c>
      <c r="L306" s="6">
        <v>0.35199999999999998</v>
      </c>
      <c r="M306" s="6">
        <v>2.2429999999999999</v>
      </c>
      <c r="N306" s="6">
        <v>8.9381000000000004</v>
      </c>
      <c r="O306" s="6">
        <v>-54.201799999999999</v>
      </c>
      <c r="P306" s="6">
        <f t="shared" si="28"/>
        <v>77.384073995963448</v>
      </c>
      <c r="Q306" s="6">
        <f t="shared" si="29"/>
        <v>96.539778567242294</v>
      </c>
      <c r="R306" s="6">
        <f t="shared" si="30"/>
        <v>116.54949012924955</v>
      </c>
      <c r="S306" s="6">
        <f t="shared" si="32"/>
        <v>77.384073995963433</v>
      </c>
      <c r="T306" s="6">
        <f t="shared" si="33"/>
        <v>96.539778567242024</v>
      </c>
      <c r="U306" s="6">
        <f t="shared" si="34"/>
        <v>116.54949012924914</v>
      </c>
      <c r="V306" s="6">
        <f t="shared" si="31"/>
        <v>6.3664629124104977E-12</v>
      </c>
    </row>
    <row r="307" spans="1:22" ht="18.95" customHeight="1">
      <c r="A307" s="1">
        <v>301</v>
      </c>
      <c r="B307" s="6">
        <v>2.5083333333333271</v>
      </c>
      <c r="C307" s="6">
        <f>TimeStep!B307</f>
        <v>2508.3333333333335</v>
      </c>
      <c r="D307" s="6">
        <v>0.78300000000000003</v>
      </c>
      <c r="E307" s="6">
        <v>-1.3029999999999999</v>
      </c>
      <c r="F307" s="6">
        <v>4.5720000000000001</v>
      </c>
      <c r="G307" s="6">
        <v>0</v>
      </c>
      <c r="H307" s="6">
        <v>3.847</v>
      </c>
      <c r="I307" s="6">
        <v>1.4790000000000001</v>
      </c>
      <c r="J307" s="6">
        <v>1.2629999999999999</v>
      </c>
      <c r="K307" s="6">
        <v>0.85599999999999998</v>
      </c>
      <c r="L307" s="6">
        <v>0.371</v>
      </c>
      <c r="M307" s="6">
        <v>2.2559999999999998</v>
      </c>
      <c r="N307" s="6">
        <v>7.7348999999999997</v>
      </c>
      <c r="O307" s="6">
        <v>-55.003900000000002</v>
      </c>
      <c r="P307" s="6">
        <f t="shared" si="28"/>
        <v>77.465572578295962</v>
      </c>
      <c r="Q307" s="6">
        <f t="shared" si="29"/>
        <v>96.603330516219174</v>
      </c>
      <c r="R307" s="6">
        <f t="shared" si="30"/>
        <v>116.1139126302907</v>
      </c>
      <c r="S307" s="6">
        <f t="shared" si="32"/>
        <v>77.465572578295962</v>
      </c>
      <c r="T307" s="6">
        <f t="shared" si="33"/>
        <v>96.603330516218875</v>
      </c>
      <c r="U307" s="6">
        <f t="shared" si="34"/>
        <v>116.11391263029032</v>
      </c>
      <c r="V307" s="6">
        <f t="shared" si="31"/>
        <v>6.3664629124104977E-12</v>
      </c>
    </row>
    <row r="308" spans="1:22" ht="18.95" customHeight="1">
      <c r="A308" s="1">
        <v>302</v>
      </c>
      <c r="B308" s="6">
        <v>2.5166666666666604</v>
      </c>
      <c r="C308" s="6">
        <f>TimeStep!B308</f>
        <v>2516.666666666667</v>
      </c>
      <c r="D308" s="6">
        <v>0.80600000000000005</v>
      </c>
      <c r="E308" s="6">
        <v>-1.2889999999999999</v>
      </c>
      <c r="F308" s="6">
        <v>4.5720000000000001</v>
      </c>
      <c r="G308" s="6">
        <v>0</v>
      </c>
      <c r="H308" s="6">
        <v>3.859</v>
      </c>
      <c r="I308" s="6">
        <v>1.484</v>
      </c>
      <c r="J308" s="6">
        <v>1.2829999999999999</v>
      </c>
      <c r="K308" s="6">
        <v>0.87</v>
      </c>
      <c r="L308" s="6">
        <v>0.39</v>
      </c>
      <c r="M308" s="6">
        <v>2.27</v>
      </c>
      <c r="N308" s="6">
        <v>6.5316999999999998</v>
      </c>
      <c r="O308" s="6">
        <v>-55.806100000000001</v>
      </c>
      <c r="P308" s="6">
        <f t="shared" si="28"/>
        <v>77.541459338663202</v>
      </c>
      <c r="Q308" s="6">
        <f t="shared" si="29"/>
        <v>96.666866148859853</v>
      </c>
      <c r="R308" s="6">
        <f t="shared" si="30"/>
        <v>115.66233989226367</v>
      </c>
      <c r="S308" s="6">
        <f t="shared" si="32"/>
        <v>77.54145933866323</v>
      </c>
      <c r="T308" s="6">
        <f t="shared" si="33"/>
        <v>96.666866148859526</v>
      </c>
      <c r="U308" s="6">
        <f t="shared" si="34"/>
        <v>115.66233989226328</v>
      </c>
      <c r="V308" s="6">
        <f t="shared" si="31"/>
        <v>6.3664629124104977E-12</v>
      </c>
    </row>
    <row r="309" spans="1:22" ht="18.95" customHeight="1">
      <c r="A309" s="1">
        <v>303</v>
      </c>
      <c r="B309" s="6">
        <v>2.5249999999999937</v>
      </c>
      <c r="C309" s="6">
        <f>TimeStep!B309</f>
        <v>2525</v>
      </c>
      <c r="D309" s="6">
        <v>0.82799999999999996</v>
      </c>
      <c r="E309" s="6">
        <v>-1.2749999999999999</v>
      </c>
      <c r="F309" s="6">
        <v>4.5720000000000001</v>
      </c>
      <c r="G309" s="6">
        <v>0</v>
      </c>
      <c r="H309" s="6">
        <v>3.8719999999999999</v>
      </c>
      <c r="I309" s="6">
        <v>1.49</v>
      </c>
      <c r="J309" s="6">
        <v>1.304</v>
      </c>
      <c r="K309" s="6">
        <v>0.88500000000000001</v>
      </c>
      <c r="L309" s="6">
        <v>0.40899999999999997</v>
      </c>
      <c r="M309" s="6">
        <v>2.2839999999999998</v>
      </c>
      <c r="N309" s="6">
        <v>5.3285</v>
      </c>
      <c r="O309" s="6">
        <v>-56.550899999999999</v>
      </c>
      <c r="P309" s="6">
        <f t="shared" si="28"/>
        <v>77.572342051521176</v>
      </c>
      <c r="Q309" s="6">
        <f t="shared" si="29"/>
        <v>96.71450707555384</v>
      </c>
      <c r="R309" s="6">
        <f t="shared" si="30"/>
        <v>115.16407497329428</v>
      </c>
      <c r="S309" s="6">
        <f t="shared" si="32"/>
        <v>77.572342051521218</v>
      </c>
      <c r="T309" s="6">
        <f t="shared" si="33"/>
        <v>96.714507075553513</v>
      </c>
      <c r="U309" s="6">
        <f t="shared" si="34"/>
        <v>115.16407497329385</v>
      </c>
      <c r="V309" s="6">
        <f t="shared" si="31"/>
        <v>6.3664629124104977E-12</v>
      </c>
    </row>
    <row r="310" spans="1:22" ht="18.95" customHeight="1">
      <c r="A310" s="1">
        <v>304</v>
      </c>
      <c r="B310" s="6">
        <v>2.533333333333327</v>
      </c>
      <c r="C310" s="6">
        <f>TimeStep!B310</f>
        <v>2533.3333333333335</v>
      </c>
      <c r="D310" s="6">
        <v>0.85</v>
      </c>
      <c r="E310" s="6">
        <v>-1.26</v>
      </c>
      <c r="F310" s="6">
        <v>4.5720000000000001</v>
      </c>
      <c r="G310" s="6">
        <v>0</v>
      </c>
      <c r="H310" s="6">
        <v>3.8839999999999999</v>
      </c>
      <c r="I310" s="6">
        <v>1.496</v>
      </c>
      <c r="J310" s="6">
        <v>1.325</v>
      </c>
      <c r="K310" s="6">
        <v>0.9</v>
      </c>
      <c r="L310" s="6">
        <v>0.42799999999999999</v>
      </c>
      <c r="M310" s="6">
        <v>2.298</v>
      </c>
      <c r="N310" s="6">
        <v>4.0679999999999996</v>
      </c>
      <c r="O310" s="6">
        <v>-57.353099999999998</v>
      </c>
      <c r="P310" s="6">
        <f t="shared" si="28"/>
        <v>77.597641819639577</v>
      </c>
      <c r="Q310" s="6">
        <f t="shared" si="29"/>
        <v>96.76402161488339</v>
      </c>
      <c r="R310" s="6">
        <f t="shared" si="30"/>
        <v>114.69737233764383</v>
      </c>
      <c r="S310" s="6">
        <f t="shared" si="32"/>
        <v>77.597641819639648</v>
      </c>
      <c r="T310" s="6">
        <f t="shared" si="33"/>
        <v>96.764021614883063</v>
      </c>
      <c r="U310" s="6">
        <f t="shared" si="34"/>
        <v>114.6973723376434</v>
      </c>
      <c r="V310" s="6">
        <f t="shared" si="31"/>
        <v>6.3664629124104977E-12</v>
      </c>
    </row>
    <row r="311" spans="1:22" ht="18.95" customHeight="1">
      <c r="A311" s="1">
        <v>305</v>
      </c>
      <c r="B311" s="6">
        <v>2.5416666666666603</v>
      </c>
      <c r="C311" s="6">
        <f>TimeStep!B311</f>
        <v>2541.666666666667</v>
      </c>
      <c r="D311" s="6">
        <v>0.872</v>
      </c>
      <c r="E311" s="6">
        <v>-1.2450000000000001</v>
      </c>
      <c r="F311" s="6">
        <v>4.5720000000000001</v>
      </c>
      <c r="G311" s="6">
        <v>0</v>
      </c>
      <c r="H311" s="6">
        <v>3.8969999999999998</v>
      </c>
      <c r="I311" s="6">
        <v>1.502</v>
      </c>
      <c r="J311" s="6">
        <v>1.345</v>
      </c>
      <c r="K311" s="6">
        <v>0.91500000000000004</v>
      </c>
      <c r="L311" s="6">
        <v>0.44900000000000001</v>
      </c>
      <c r="M311" s="6">
        <v>2.3130000000000002</v>
      </c>
      <c r="N311" s="6">
        <v>2.8075000000000001</v>
      </c>
      <c r="O311" s="6">
        <v>-58.155200000000001</v>
      </c>
      <c r="P311" s="6">
        <f t="shared" si="28"/>
        <v>77.648256090434444</v>
      </c>
      <c r="Q311" s="6">
        <f t="shared" si="29"/>
        <v>96.77990106983097</v>
      </c>
      <c r="R311" s="6">
        <f t="shared" si="30"/>
        <v>114.1991886532487</v>
      </c>
      <c r="S311" s="6">
        <f t="shared" si="32"/>
        <v>77.648256090434529</v>
      </c>
      <c r="T311" s="6">
        <f t="shared" si="33"/>
        <v>96.779901069830657</v>
      </c>
      <c r="U311" s="6">
        <f t="shared" si="34"/>
        <v>114.19918865324826</v>
      </c>
      <c r="V311" s="6">
        <f t="shared" si="31"/>
        <v>6.8212102632969618E-12</v>
      </c>
    </row>
    <row r="312" spans="1:22" ht="18.95" customHeight="1">
      <c r="A312" s="1">
        <v>306</v>
      </c>
      <c r="B312" s="6">
        <v>2.5499999999999936</v>
      </c>
      <c r="C312" s="6">
        <f>TimeStep!B312</f>
        <v>2550</v>
      </c>
      <c r="D312" s="6">
        <v>0.89400000000000002</v>
      </c>
      <c r="E312" s="6">
        <v>-1.2290000000000001</v>
      </c>
      <c r="F312" s="6">
        <v>4.5720000000000001</v>
      </c>
      <c r="G312" s="6">
        <v>0</v>
      </c>
      <c r="H312" s="6">
        <v>3.9089999999999998</v>
      </c>
      <c r="I312" s="6">
        <v>1.5069999999999999</v>
      </c>
      <c r="J312" s="6">
        <v>1.3660000000000001</v>
      </c>
      <c r="K312" s="6">
        <v>0.93100000000000005</v>
      </c>
      <c r="L312" s="6">
        <v>0.46899999999999997</v>
      </c>
      <c r="M312" s="6">
        <v>2.3279999999999998</v>
      </c>
      <c r="N312" s="6">
        <v>1.5469999999999999</v>
      </c>
      <c r="O312" s="6">
        <v>-58.900100000000002</v>
      </c>
      <c r="P312" s="6">
        <f t="shared" si="28"/>
        <v>77.673570576215056</v>
      </c>
      <c r="Q312" s="6">
        <f t="shared" si="29"/>
        <v>96.813553838028781</v>
      </c>
      <c r="R312" s="6">
        <f t="shared" si="30"/>
        <v>113.74694620166079</v>
      </c>
      <c r="S312" s="6">
        <f t="shared" si="32"/>
        <v>77.673570576215127</v>
      </c>
      <c r="T312" s="6">
        <f t="shared" si="33"/>
        <v>96.813553838028497</v>
      </c>
      <c r="U312" s="6">
        <f t="shared" si="34"/>
        <v>113.74694620166036</v>
      </c>
      <c r="V312" s="6">
        <f t="shared" si="31"/>
        <v>6.3664629124104977E-12</v>
      </c>
    </row>
    <row r="313" spans="1:22" ht="18.95" customHeight="1">
      <c r="A313" s="1">
        <v>307</v>
      </c>
      <c r="B313" s="6">
        <v>2.5583333333333269</v>
      </c>
      <c r="C313" s="6">
        <f>TimeStep!B313</f>
        <v>2558.3333333333335</v>
      </c>
      <c r="D313" s="6">
        <v>0.91500000000000004</v>
      </c>
      <c r="E313" s="6">
        <v>-1.214</v>
      </c>
      <c r="F313" s="6">
        <v>4.5720000000000001</v>
      </c>
      <c r="G313" s="6">
        <v>0</v>
      </c>
      <c r="H313" s="6">
        <v>3.9220000000000002</v>
      </c>
      <c r="I313" s="6">
        <v>1.5129999999999999</v>
      </c>
      <c r="J313" s="6">
        <v>1.387</v>
      </c>
      <c r="K313" s="6">
        <v>0.94699999999999995</v>
      </c>
      <c r="L313" s="6">
        <v>0.49</v>
      </c>
      <c r="M313" s="6">
        <v>2.3439999999999999</v>
      </c>
      <c r="N313" s="6">
        <v>0.22919999999999999</v>
      </c>
      <c r="O313" s="6">
        <v>-59.702199999999998</v>
      </c>
      <c r="P313" s="6">
        <f t="shared" si="28"/>
        <v>77.679100351194322</v>
      </c>
      <c r="Q313" s="6">
        <f t="shared" si="29"/>
        <v>96.811656838287647</v>
      </c>
      <c r="R313" s="6">
        <f t="shared" si="30"/>
        <v>113.24884594886201</v>
      </c>
      <c r="S313" s="6">
        <f t="shared" si="32"/>
        <v>77.679100351194393</v>
      </c>
      <c r="T313" s="6">
        <f t="shared" si="33"/>
        <v>96.811656838287377</v>
      </c>
      <c r="U313" s="6">
        <f t="shared" si="34"/>
        <v>113.24884594886157</v>
      </c>
      <c r="V313" s="6">
        <f t="shared" si="31"/>
        <v>6.3664629124104977E-12</v>
      </c>
    </row>
    <row r="314" spans="1:22" ht="18.95" customHeight="1">
      <c r="A314" s="1">
        <v>308</v>
      </c>
      <c r="B314" s="6">
        <v>2.5666666666666602</v>
      </c>
      <c r="C314" s="6">
        <f>TimeStep!B314</f>
        <v>2566.666666666667</v>
      </c>
      <c r="D314" s="6">
        <v>0.93600000000000005</v>
      </c>
      <c r="E314" s="6">
        <v>-1.198</v>
      </c>
      <c r="F314" s="6">
        <v>4.5720000000000001</v>
      </c>
      <c r="G314" s="6">
        <v>0</v>
      </c>
      <c r="H314" s="6">
        <v>3.9359999999999999</v>
      </c>
      <c r="I314" s="6">
        <v>1.5189999999999999</v>
      </c>
      <c r="J314" s="6">
        <v>1.409</v>
      </c>
      <c r="K314" s="6">
        <v>0.96299999999999997</v>
      </c>
      <c r="L314" s="6">
        <v>0.51100000000000001</v>
      </c>
      <c r="M314" s="6">
        <v>2.36</v>
      </c>
      <c r="N314" s="6">
        <v>-1.0886</v>
      </c>
      <c r="O314" s="6">
        <v>-60.447000000000003</v>
      </c>
      <c r="P314" s="6">
        <f t="shared" si="28"/>
        <v>77.653796510463039</v>
      </c>
      <c r="Q314" s="6">
        <f t="shared" si="29"/>
        <v>96.811656838287647</v>
      </c>
      <c r="R314" s="6">
        <f t="shared" si="30"/>
        <v>112.7188906268125</v>
      </c>
      <c r="S314" s="6">
        <f t="shared" si="32"/>
        <v>77.65379651046311</v>
      </c>
      <c r="T314" s="6">
        <f t="shared" si="33"/>
        <v>96.811656838287377</v>
      </c>
      <c r="U314" s="6">
        <f t="shared" si="34"/>
        <v>112.71889062681203</v>
      </c>
      <c r="V314" s="6">
        <f t="shared" si="31"/>
        <v>6.8212102632969618E-12</v>
      </c>
    </row>
    <row r="315" spans="1:22" ht="18.95" customHeight="1">
      <c r="A315" s="1">
        <v>309</v>
      </c>
      <c r="B315" s="6">
        <v>2.5749999999999931</v>
      </c>
      <c r="C315" s="6">
        <f>TimeStep!B315</f>
        <v>2575</v>
      </c>
      <c r="D315" s="6">
        <v>0.95699999999999996</v>
      </c>
      <c r="E315" s="6">
        <v>-1.181</v>
      </c>
      <c r="F315" s="6">
        <v>4.5720000000000001</v>
      </c>
      <c r="G315" s="6">
        <v>0</v>
      </c>
      <c r="H315" s="6">
        <v>3.9489999999999998</v>
      </c>
      <c r="I315" s="6">
        <v>1.524</v>
      </c>
      <c r="J315" s="6">
        <v>1.43</v>
      </c>
      <c r="K315" s="6">
        <v>0.97899999999999998</v>
      </c>
      <c r="L315" s="6">
        <v>0.53300000000000003</v>
      </c>
      <c r="M315" s="6">
        <v>2.3769999999999998</v>
      </c>
      <c r="N315" s="6">
        <v>-2.4064000000000001</v>
      </c>
      <c r="O315" s="6">
        <v>-61.249200000000002</v>
      </c>
      <c r="P315" s="6">
        <f t="shared" si="28"/>
        <v>77.648256090434444</v>
      </c>
      <c r="Q315" s="6">
        <f t="shared" si="29"/>
        <v>96.795779478410822</v>
      </c>
      <c r="R315" s="6">
        <f t="shared" si="30"/>
        <v>112.23438311083034</v>
      </c>
      <c r="S315" s="6">
        <f t="shared" si="32"/>
        <v>77.648256090434529</v>
      </c>
      <c r="T315" s="6">
        <f t="shared" si="33"/>
        <v>96.795779478410566</v>
      </c>
      <c r="U315" s="6">
        <f t="shared" si="34"/>
        <v>112.23438311082987</v>
      </c>
      <c r="V315" s="6">
        <f t="shared" si="31"/>
        <v>6.8212102632969618E-12</v>
      </c>
    </row>
    <row r="316" spans="1:22" ht="18.95" customHeight="1">
      <c r="A316" s="1">
        <v>310</v>
      </c>
      <c r="B316" s="6">
        <v>2.5833333333333268</v>
      </c>
      <c r="C316" s="6">
        <f>TimeStep!B316</f>
        <v>2583.3333333333335</v>
      </c>
      <c r="D316" s="6">
        <v>0.97699999999999998</v>
      </c>
      <c r="E316" s="6">
        <v>-1.1639999999999999</v>
      </c>
      <c r="F316" s="6">
        <v>4.5720000000000001</v>
      </c>
      <c r="G316" s="6">
        <v>0</v>
      </c>
      <c r="H316" s="6">
        <v>3.9630000000000001</v>
      </c>
      <c r="I316" s="6">
        <v>1.53</v>
      </c>
      <c r="J316" s="6">
        <v>1.4510000000000001</v>
      </c>
      <c r="K316" s="6">
        <v>0.996</v>
      </c>
      <c r="L316" s="6">
        <v>0.55500000000000005</v>
      </c>
      <c r="M316" s="6">
        <v>2.3940000000000001</v>
      </c>
      <c r="N316" s="6">
        <v>-3.7814999999999999</v>
      </c>
      <c r="O316" s="6">
        <v>-61.994</v>
      </c>
      <c r="P316" s="6">
        <f t="shared" si="28"/>
        <v>77.622946502091494</v>
      </c>
      <c r="Q316" s="6">
        <f t="shared" si="29"/>
        <v>96.76402161488339</v>
      </c>
      <c r="R316" s="6">
        <f t="shared" si="30"/>
        <v>111.70449520206489</v>
      </c>
      <c r="S316" s="6">
        <f t="shared" si="32"/>
        <v>77.622946502091565</v>
      </c>
      <c r="T316" s="6">
        <f t="shared" si="33"/>
        <v>96.76402161488312</v>
      </c>
      <c r="U316" s="6">
        <f t="shared" si="34"/>
        <v>111.70449520206444</v>
      </c>
      <c r="V316" s="6">
        <f t="shared" si="31"/>
        <v>6.8212102632969618E-12</v>
      </c>
    </row>
    <row r="317" spans="1:22" ht="18.95" customHeight="1">
      <c r="A317" s="1">
        <v>311</v>
      </c>
      <c r="B317" s="6">
        <v>2.5916666666666601</v>
      </c>
      <c r="C317" s="6">
        <f>TimeStep!B317</f>
        <v>2591.666666666667</v>
      </c>
      <c r="D317" s="6">
        <v>0.998</v>
      </c>
      <c r="E317" s="6">
        <v>-1.147</v>
      </c>
      <c r="F317" s="6">
        <v>4.5720000000000001</v>
      </c>
      <c r="G317" s="6">
        <v>0</v>
      </c>
      <c r="H317" s="6">
        <v>3.9769999999999999</v>
      </c>
      <c r="I317" s="6">
        <v>1.5349999999999999</v>
      </c>
      <c r="J317" s="6">
        <v>1.4730000000000001</v>
      </c>
      <c r="K317" s="6">
        <v>1.0129999999999999</v>
      </c>
      <c r="L317" s="6">
        <v>0.57699999999999996</v>
      </c>
      <c r="M317" s="6">
        <v>2.411</v>
      </c>
      <c r="N317" s="6">
        <v>-5.0993000000000004</v>
      </c>
      <c r="O317" s="6">
        <v>-62.738900000000001</v>
      </c>
      <c r="P317" s="6">
        <f t="shared" si="28"/>
        <v>77.597641819639577</v>
      </c>
      <c r="Q317" s="6">
        <f t="shared" si="29"/>
        <v>96.748141115904318</v>
      </c>
      <c r="R317" s="6">
        <f t="shared" si="30"/>
        <v>111.18743422319071</v>
      </c>
      <c r="S317" s="6">
        <f t="shared" si="32"/>
        <v>77.597641819639648</v>
      </c>
      <c r="T317" s="6">
        <f t="shared" si="33"/>
        <v>96.748141115904048</v>
      </c>
      <c r="U317" s="6">
        <f t="shared" si="34"/>
        <v>111.18743422319028</v>
      </c>
      <c r="V317" s="6">
        <f t="shared" si="31"/>
        <v>6.8212102632969618E-12</v>
      </c>
    </row>
    <row r="318" spans="1:22" ht="18.95" customHeight="1">
      <c r="A318" s="1">
        <v>312</v>
      </c>
      <c r="B318" s="6">
        <v>2.599999999999993</v>
      </c>
      <c r="C318" s="6">
        <f>TimeStep!B318</f>
        <v>2600</v>
      </c>
      <c r="D318" s="6">
        <v>1.0169999999999999</v>
      </c>
      <c r="E318" s="6">
        <v>-1.129</v>
      </c>
      <c r="F318" s="6">
        <v>4.5720000000000001</v>
      </c>
      <c r="G318" s="6">
        <v>0</v>
      </c>
      <c r="H318" s="6">
        <v>3.9910000000000001</v>
      </c>
      <c r="I318" s="6">
        <v>1.5409999999999999</v>
      </c>
      <c r="J318" s="6">
        <v>1.4950000000000001</v>
      </c>
      <c r="K318" s="6">
        <v>1.03</v>
      </c>
      <c r="L318" s="6">
        <v>0.6</v>
      </c>
      <c r="M318" s="6">
        <v>2.4289999999999998</v>
      </c>
      <c r="N318" s="6">
        <v>-6.4744000000000002</v>
      </c>
      <c r="O318" s="6">
        <v>-63.540999999999997</v>
      </c>
      <c r="P318" s="6">
        <f t="shared" si="28"/>
        <v>77.516158803037342</v>
      </c>
      <c r="Q318" s="6">
        <f t="shared" si="29"/>
        <v>96.684608726431449</v>
      </c>
      <c r="R318" s="6">
        <f t="shared" si="30"/>
        <v>110.65784274503496</v>
      </c>
      <c r="S318" s="6">
        <f t="shared" si="32"/>
        <v>77.516158803037399</v>
      </c>
      <c r="T318" s="6">
        <f t="shared" si="33"/>
        <v>96.684608726431179</v>
      </c>
      <c r="U318" s="6">
        <f t="shared" si="34"/>
        <v>110.65784274503454</v>
      </c>
      <c r="V318" s="6">
        <f t="shared" si="31"/>
        <v>6.8212102632969618E-12</v>
      </c>
    </row>
    <row r="319" spans="1:22" ht="18.95" customHeight="1">
      <c r="A319" s="1">
        <v>313</v>
      </c>
      <c r="B319" s="6">
        <v>2.6083333333333267</v>
      </c>
      <c r="C319" s="6">
        <f>TimeStep!B319</f>
        <v>2608.3333333333335</v>
      </c>
      <c r="D319" s="6">
        <v>1.0369999999999999</v>
      </c>
      <c r="E319" s="6">
        <v>-1.111</v>
      </c>
      <c r="F319" s="6">
        <v>4.5720000000000001</v>
      </c>
      <c r="G319" s="6">
        <v>0</v>
      </c>
      <c r="H319" s="6">
        <v>4.0049999999999999</v>
      </c>
      <c r="I319" s="6">
        <v>1.546</v>
      </c>
      <c r="J319" s="6">
        <v>1.516</v>
      </c>
      <c r="K319" s="6">
        <v>1.048</v>
      </c>
      <c r="L319" s="6">
        <v>0.624</v>
      </c>
      <c r="M319" s="6">
        <v>2.448</v>
      </c>
      <c r="N319" s="6">
        <v>-7.9067999999999996</v>
      </c>
      <c r="O319" s="6">
        <v>-64.2286</v>
      </c>
      <c r="P319" s="6">
        <f t="shared" si="28"/>
        <v>77.490863213445635</v>
      </c>
      <c r="Q319" s="6">
        <f t="shared" si="29"/>
        <v>96.619215959895897</v>
      </c>
      <c r="R319" s="6">
        <f t="shared" si="30"/>
        <v>110.1406591140077</v>
      </c>
      <c r="S319" s="6">
        <f t="shared" si="32"/>
        <v>77.490863213445664</v>
      </c>
      <c r="T319" s="6">
        <f t="shared" si="33"/>
        <v>96.619215959895655</v>
      </c>
      <c r="U319" s="6">
        <f t="shared" si="34"/>
        <v>110.14065911400729</v>
      </c>
      <c r="V319" s="6">
        <f t="shared" si="31"/>
        <v>6.8212102632969618E-12</v>
      </c>
    </row>
    <row r="320" spans="1:22" ht="18.95" customHeight="1">
      <c r="A320" s="1">
        <v>314</v>
      </c>
      <c r="B320" s="6">
        <v>2.61666666666666</v>
      </c>
      <c r="C320" s="6">
        <f>TimeStep!B320</f>
        <v>2616.666666666667</v>
      </c>
      <c r="D320" s="6">
        <v>1.056</v>
      </c>
      <c r="E320" s="6">
        <v>-1.093</v>
      </c>
      <c r="F320" s="6">
        <v>4.5720000000000001</v>
      </c>
      <c r="G320" s="6">
        <v>0</v>
      </c>
      <c r="H320" s="6">
        <v>4.0199999999999996</v>
      </c>
      <c r="I320" s="6">
        <v>1.5509999999999999</v>
      </c>
      <c r="J320" s="6">
        <v>1.538</v>
      </c>
      <c r="K320" s="6">
        <v>1.0649999999999999</v>
      </c>
      <c r="L320" s="6">
        <v>0.64700000000000002</v>
      </c>
      <c r="M320" s="6">
        <v>2.4660000000000002</v>
      </c>
      <c r="N320" s="6">
        <v>-9.2819000000000003</v>
      </c>
      <c r="O320" s="6">
        <v>-64.973399999999998</v>
      </c>
      <c r="P320" s="6">
        <f t="shared" si="28"/>
        <v>77.409360314984951</v>
      </c>
      <c r="Q320" s="6">
        <f t="shared" si="29"/>
        <v>96.555668075935742</v>
      </c>
      <c r="R320" s="6">
        <f t="shared" si="30"/>
        <v>109.59061471674197</v>
      </c>
      <c r="S320" s="6">
        <f t="shared" si="32"/>
        <v>77.409360314984951</v>
      </c>
      <c r="T320" s="6">
        <f t="shared" si="33"/>
        <v>96.5556680759355</v>
      </c>
      <c r="U320" s="6">
        <f t="shared" si="34"/>
        <v>109.59061471674158</v>
      </c>
      <c r="V320" s="6">
        <f t="shared" si="31"/>
        <v>6.8212102632969618E-12</v>
      </c>
    </row>
    <row r="321" spans="1:22" ht="18.95" customHeight="1">
      <c r="A321" s="1">
        <v>315</v>
      </c>
      <c r="B321" s="6">
        <v>2.6249999999999933</v>
      </c>
      <c r="C321" s="6">
        <f>TimeStep!B321</f>
        <v>2625</v>
      </c>
      <c r="D321" s="6">
        <v>1.075</v>
      </c>
      <c r="E321" s="6">
        <v>-1.0740000000000001</v>
      </c>
      <c r="F321" s="6">
        <v>4.5720000000000001</v>
      </c>
      <c r="G321" s="6">
        <v>0</v>
      </c>
      <c r="H321" s="6">
        <v>4.0350000000000001</v>
      </c>
      <c r="I321" s="6">
        <v>1.556</v>
      </c>
      <c r="J321" s="6">
        <v>1.56</v>
      </c>
      <c r="K321" s="6">
        <v>1.083</v>
      </c>
      <c r="L321" s="6">
        <v>0.67100000000000004</v>
      </c>
      <c r="M321" s="6">
        <v>2.4860000000000002</v>
      </c>
      <c r="N321" s="6">
        <v>-10.7143</v>
      </c>
      <c r="O321" s="6">
        <v>-65.718299999999999</v>
      </c>
      <c r="P321" s="6">
        <f t="shared" si="28"/>
        <v>77.327833675465342</v>
      </c>
      <c r="Q321" s="6">
        <f t="shared" si="29"/>
        <v>96.474406740307884</v>
      </c>
      <c r="R321" s="6">
        <f t="shared" si="30"/>
        <v>109.04035719844349</v>
      </c>
      <c r="S321" s="6">
        <f t="shared" si="32"/>
        <v>77.327833675465342</v>
      </c>
      <c r="T321" s="6">
        <f t="shared" si="33"/>
        <v>96.474406740307643</v>
      </c>
      <c r="U321" s="6">
        <f t="shared" si="34"/>
        <v>109.04035719844308</v>
      </c>
      <c r="V321" s="6">
        <f t="shared" si="31"/>
        <v>6.8212102632969618E-12</v>
      </c>
    </row>
    <row r="322" spans="1:22" ht="18.95" customHeight="1">
      <c r="A322" s="1">
        <v>316</v>
      </c>
      <c r="B322" s="6">
        <v>2.6333333333333262</v>
      </c>
      <c r="C322" s="6">
        <f>TimeStep!B322</f>
        <v>2633.3333333333335</v>
      </c>
      <c r="D322" s="6">
        <v>1.0940000000000001</v>
      </c>
      <c r="E322" s="6">
        <v>-1.056</v>
      </c>
      <c r="F322" s="6">
        <v>4.5720000000000001</v>
      </c>
      <c r="G322" s="6">
        <v>0</v>
      </c>
      <c r="H322" s="6">
        <v>4.0490000000000004</v>
      </c>
      <c r="I322" s="6">
        <v>1.5609999999999999</v>
      </c>
      <c r="J322" s="6">
        <v>1.583</v>
      </c>
      <c r="K322" s="6">
        <v>1.101</v>
      </c>
      <c r="L322" s="6">
        <v>0.69599999999999995</v>
      </c>
      <c r="M322" s="6">
        <v>2.5049999999999999</v>
      </c>
      <c r="N322" s="6">
        <v>-12.146699999999999</v>
      </c>
      <c r="O322" s="6">
        <v>-66.405799999999999</v>
      </c>
      <c r="P322" s="6">
        <f t="shared" si="28"/>
        <v>77.226736277362946</v>
      </c>
      <c r="Q322" s="6">
        <f t="shared" si="29"/>
        <v>96.377274101806435</v>
      </c>
      <c r="R322" s="6">
        <f t="shared" si="30"/>
        <v>108.5229945154514</v>
      </c>
      <c r="S322" s="6">
        <f t="shared" si="32"/>
        <v>77.226736277362932</v>
      </c>
      <c r="T322" s="6">
        <f t="shared" si="33"/>
        <v>96.377274101806165</v>
      </c>
      <c r="U322" s="6">
        <f t="shared" si="34"/>
        <v>108.52299451545099</v>
      </c>
      <c r="V322" s="6">
        <f t="shared" si="31"/>
        <v>7.2759576141834259E-12</v>
      </c>
    </row>
    <row r="323" spans="1:22" ht="18.95" customHeight="1">
      <c r="A323" s="1">
        <v>317</v>
      </c>
      <c r="B323" s="6">
        <v>2.6416666666666599</v>
      </c>
      <c r="C323" s="6">
        <f>TimeStep!B323</f>
        <v>2641.666666666667</v>
      </c>
      <c r="D323" s="6">
        <v>1.1120000000000001</v>
      </c>
      <c r="E323" s="6">
        <v>-1.036</v>
      </c>
      <c r="F323" s="6">
        <v>4.5720000000000001</v>
      </c>
      <c r="G323" s="6">
        <v>0</v>
      </c>
      <c r="H323" s="6">
        <v>4.0650000000000004</v>
      </c>
      <c r="I323" s="6">
        <v>1.5660000000000001</v>
      </c>
      <c r="J323" s="6">
        <v>1.605</v>
      </c>
      <c r="K323" s="6">
        <v>1.1200000000000001</v>
      </c>
      <c r="L323" s="6">
        <v>0.72099999999999997</v>
      </c>
      <c r="M323" s="6">
        <v>2.5249999999999999</v>
      </c>
      <c r="N323" s="6">
        <v>-13.5791</v>
      </c>
      <c r="O323" s="6">
        <v>-67.093400000000003</v>
      </c>
      <c r="P323" s="6">
        <f t="shared" si="28"/>
        <v>77.119947429663227</v>
      </c>
      <c r="Q323" s="6">
        <f t="shared" si="29"/>
        <v>96.266011061724697</v>
      </c>
      <c r="R323" s="6">
        <f t="shared" si="30"/>
        <v>107.93960860348592</v>
      </c>
      <c r="S323" s="6">
        <f t="shared" si="32"/>
        <v>77.119947429663227</v>
      </c>
      <c r="T323" s="6">
        <f t="shared" si="33"/>
        <v>96.266011061724441</v>
      </c>
      <c r="U323" s="6">
        <f t="shared" si="34"/>
        <v>107.93960860348551</v>
      </c>
      <c r="V323" s="6">
        <f t="shared" si="31"/>
        <v>6.8212102632969618E-12</v>
      </c>
    </row>
    <row r="324" spans="1:22" ht="18.95" customHeight="1">
      <c r="A324" s="1">
        <v>318</v>
      </c>
      <c r="B324" s="6">
        <v>2.6499999999999928</v>
      </c>
      <c r="C324" s="6">
        <f>TimeStep!B324</f>
        <v>2650</v>
      </c>
      <c r="D324" s="6">
        <v>1.1299999999999999</v>
      </c>
      <c r="E324" s="6">
        <v>-1.0169999999999999</v>
      </c>
      <c r="F324" s="6">
        <v>4.5720000000000001</v>
      </c>
      <c r="G324" s="6">
        <v>0</v>
      </c>
      <c r="H324" s="6">
        <v>4.08</v>
      </c>
      <c r="I324" s="6">
        <v>1.571</v>
      </c>
      <c r="J324" s="6">
        <v>1.627</v>
      </c>
      <c r="K324" s="6">
        <v>1.1379999999999999</v>
      </c>
      <c r="L324" s="6">
        <v>0.746</v>
      </c>
      <c r="M324" s="6">
        <v>2.5459999999999998</v>
      </c>
      <c r="N324" s="6">
        <v>-15.0115</v>
      </c>
      <c r="O324" s="6">
        <v>-67.780900000000003</v>
      </c>
      <c r="P324" s="6">
        <f t="shared" si="28"/>
        <v>77.013150547494078</v>
      </c>
      <c r="Q324" s="6">
        <f t="shared" si="29"/>
        <v>96.151272261441761</v>
      </c>
      <c r="R324" s="6">
        <f t="shared" si="30"/>
        <v>107.3893206258435</v>
      </c>
      <c r="S324" s="6">
        <f t="shared" si="32"/>
        <v>77.013150547494092</v>
      </c>
      <c r="T324" s="6">
        <f t="shared" si="33"/>
        <v>96.151272261441477</v>
      </c>
      <c r="U324" s="6">
        <f t="shared" si="34"/>
        <v>107.38932062584308</v>
      </c>
      <c r="V324" s="6">
        <f t="shared" si="31"/>
        <v>7.2759576141834259E-12</v>
      </c>
    </row>
    <row r="325" spans="1:22" ht="18.95" customHeight="1">
      <c r="A325" s="1">
        <v>319</v>
      </c>
      <c r="B325" s="6">
        <v>2.6583333333333266</v>
      </c>
      <c r="C325" s="6">
        <f>TimeStep!B325</f>
        <v>2658.3333333333335</v>
      </c>
      <c r="D325" s="6">
        <v>1.147</v>
      </c>
      <c r="E325" s="6">
        <v>-0.997</v>
      </c>
      <c r="F325" s="6">
        <v>4.5720000000000001</v>
      </c>
      <c r="G325" s="6">
        <v>0</v>
      </c>
      <c r="H325" s="6">
        <v>4.0960000000000001</v>
      </c>
      <c r="I325" s="6">
        <v>1.5760000000000001</v>
      </c>
      <c r="J325" s="6">
        <v>1.65</v>
      </c>
      <c r="K325" s="6">
        <v>1.157</v>
      </c>
      <c r="L325" s="6">
        <v>0.77200000000000002</v>
      </c>
      <c r="M325" s="6">
        <v>2.5659999999999998</v>
      </c>
      <c r="N325" s="6">
        <v>-16.443899999999999</v>
      </c>
      <c r="O325" s="6">
        <v>-68.468500000000006</v>
      </c>
      <c r="P325" s="6">
        <f t="shared" si="28"/>
        <v>76.85588759590847</v>
      </c>
      <c r="Q325" s="6">
        <f t="shared" si="29"/>
        <v>96.008168875087563</v>
      </c>
      <c r="R325" s="6">
        <f t="shared" si="30"/>
        <v>106.8059153316233</v>
      </c>
      <c r="S325" s="6">
        <f t="shared" si="32"/>
        <v>76.855887595908484</v>
      </c>
      <c r="T325" s="6">
        <f t="shared" si="33"/>
        <v>96.008168875087279</v>
      </c>
      <c r="U325" s="6">
        <f t="shared" si="34"/>
        <v>106.80591533162288</v>
      </c>
      <c r="V325" s="6">
        <f t="shared" si="31"/>
        <v>6.8212102632969618E-12</v>
      </c>
    </row>
    <row r="326" spans="1:22" ht="18.95" customHeight="1">
      <c r="A326" s="1">
        <v>320</v>
      </c>
      <c r="B326" s="6">
        <v>2.6666666666666599</v>
      </c>
      <c r="C326" s="6">
        <f>TimeStep!B326</f>
        <v>2666.666666666667</v>
      </c>
      <c r="D326" s="6">
        <v>1.165</v>
      </c>
      <c r="E326" s="6">
        <v>-0.97699999999999998</v>
      </c>
      <c r="F326" s="6">
        <v>4.5720000000000001</v>
      </c>
      <c r="G326" s="6">
        <v>0</v>
      </c>
      <c r="H326" s="6">
        <v>4.1120000000000001</v>
      </c>
      <c r="I326" s="6">
        <v>1.581</v>
      </c>
      <c r="J326" s="6">
        <v>1.6719999999999999</v>
      </c>
      <c r="K326" s="6">
        <v>1.1759999999999999</v>
      </c>
      <c r="L326" s="6">
        <v>0.79800000000000004</v>
      </c>
      <c r="M326" s="6">
        <v>2.5870000000000002</v>
      </c>
      <c r="N326" s="6">
        <v>-17.933599999999998</v>
      </c>
      <c r="O326" s="6">
        <v>-69.098699999999994</v>
      </c>
      <c r="P326" s="6">
        <f t="shared" ref="P326:P366" si="35">DEGREES(ATAN2(J326-D326,K326-E326))</f>
        <v>76.749097459008311</v>
      </c>
      <c r="Q326" s="6">
        <f t="shared" ref="Q326:Q366" si="36">DEGREES(ATAN2(L326-D326,M326-E326))</f>
        <v>95.879264092697582</v>
      </c>
      <c r="R326" s="6">
        <f t="shared" ref="R326:R366" si="37">DEGREES(ATAN2(H326-F326,I326-G326))</f>
        <v>106.22262367087623</v>
      </c>
      <c r="S326" s="6">
        <f t="shared" si="32"/>
        <v>76.74909745900834</v>
      </c>
      <c r="T326" s="6">
        <f t="shared" si="33"/>
        <v>95.879264092697326</v>
      </c>
      <c r="U326" s="6">
        <f t="shared" si="34"/>
        <v>106.22262367087581</v>
      </c>
      <c r="V326" s="6">
        <f t="shared" ref="V326:V366" si="38">C326-B326*1000</f>
        <v>7.2759576141834259E-12</v>
      </c>
    </row>
    <row r="327" spans="1:22" ht="18.95" customHeight="1">
      <c r="A327" s="1">
        <v>321</v>
      </c>
      <c r="B327" s="6">
        <v>2.6749999999999932</v>
      </c>
      <c r="C327" s="6">
        <f>TimeStep!B327</f>
        <v>2675</v>
      </c>
      <c r="D327" s="6">
        <v>1.1819999999999999</v>
      </c>
      <c r="E327" s="6">
        <v>-0.95599999999999996</v>
      </c>
      <c r="F327" s="6">
        <v>4.5720000000000001</v>
      </c>
      <c r="G327" s="6">
        <v>0</v>
      </c>
      <c r="H327" s="6">
        <v>4.1269999999999998</v>
      </c>
      <c r="I327" s="6">
        <v>1.585</v>
      </c>
      <c r="J327" s="6">
        <v>1.6950000000000001</v>
      </c>
      <c r="K327" s="6">
        <v>1.1950000000000001</v>
      </c>
      <c r="L327" s="6">
        <v>0.82499999999999996</v>
      </c>
      <c r="M327" s="6">
        <v>2.609</v>
      </c>
      <c r="N327" s="6">
        <v>-19.366</v>
      </c>
      <c r="O327" s="6">
        <v>-69.728999999999999</v>
      </c>
      <c r="P327" s="6">
        <f t="shared" si="35"/>
        <v>76.585897503866718</v>
      </c>
      <c r="Q327" s="6">
        <f t="shared" si="36"/>
        <v>95.718549337564184</v>
      </c>
      <c r="R327" s="6">
        <f t="shared" si="37"/>
        <v>105.68246342265334</v>
      </c>
      <c r="S327" s="6">
        <f t="shared" ref="S327:S366" si="39">S326+MOD(P327-P326+180,360)-180</f>
        <v>76.585897503866761</v>
      </c>
      <c r="T327" s="6">
        <f t="shared" ref="T327:T366" si="40">T326+MOD(Q327-Q326+180,360)-180</f>
        <v>95.7185493375639</v>
      </c>
      <c r="U327" s="6">
        <f t="shared" ref="U327:U366" si="41">U326+MOD(R327-R326+180,360)-180</f>
        <v>105.68246342265292</v>
      </c>
      <c r="V327" s="6">
        <f t="shared" si="38"/>
        <v>6.8212102632969618E-12</v>
      </c>
    </row>
    <row r="328" spans="1:22" ht="18.95" customHeight="1">
      <c r="A328" s="1">
        <v>322</v>
      </c>
      <c r="B328" s="6">
        <v>2.6833333333333265</v>
      </c>
      <c r="C328" s="6">
        <f>TimeStep!B328</f>
        <v>2683.3333333333335</v>
      </c>
      <c r="D328" s="6">
        <v>1.198</v>
      </c>
      <c r="E328" s="6">
        <v>-0.93500000000000005</v>
      </c>
      <c r="F328" s="6">
        <v>4.5720000000000001</v>
      </c>
      <c r="G328" s="6">
        <v>0</v>
      </c>
      <c r="H328" s="6">
        <v>4.1440000000000001</v>
      </c>
      <c r="I328" s="6">
        <v>1.59</v>
      </c>
      <c r="J328" s="6">
        <v>1.718</v>
      </c>
      <c r="K328" s="6">
        <v>1.214</v>
      </c>
      <c r="L328" s="6">
        <v>0.85099999999999998</v>
      </c>
      <c r="M328" s="6">
        <v>2.6309999999999998</v>
      </c>
      <c r="N328" s="6">
        <v>-20.855699999999999</v>
      </c>
      <c r="O328" s="6">
        <v>-70.301900000000003</v>
      </c>
      <c r="P328" s="6">
        <f t="shared" si="35"/>
        <v>76.39742626553155</v>
      </c>
      <c r="Q328" s="6">
        <f t="shared" si="36"/>
        <v>95.557834457231721</v>
      </c>
      <c r="R328" s="6">
        <f t="shared" si="37"/>
        <v>105.0659035429515</v>
      </c>
      <c r="S328" s="6">
        <f t="shared" si="39"/>
        <v>76.397426265531578</v>
      </c>
      <c r="T328" s="6">
        <f t="shared" si="40"/>
        <v>95.557834457231422</v>
      </c>
      <c r="U328" s="6">
        <f t="shared" si="41"/>
        <v>105.06590354295111</v>
      </c>
      <c r="V328" s="6">
        <f t="shared" si="38"/>
        <v>6.8212102632969618E-12</v>
      </c>
    </row>
    <row r="329" spans="1:22" ht="18.95" customHeight="1">
      <c r="A329" s="1">
        <v>323</v>
      </c>
      <c r="B329" s="6">
        <v>2.6916666666666602</v>
      </c>
      <c r="C329" s="6">
        <f>TimeStep!B329</f>
        <v>2691.666666666667</v>
      </c>
      <c r="D329" s="6">
        <v>1.214</v>
      </c>
      <c r="E329" s="6">
        <v>-0.91400000000000003</v>
      </c>
      <c r="F329" s="6">
        <v>4.5720000000000001</v>
      </c>
      <c r="G329" s="6">
        <v>0</v>
      </c>
      <c r="H329" s="6">
        <v>4.16</v>
      </c>
      <c r="I329" s="6">
        <v>1.5940000000000001</v>
      </c>
      <c r="J329" s="6">
        <v>1.7410000000000001</v>
      </c>
      <c r="K329" s="6">
        <v>1.2330000000000001</v>
      </c>
      <c r="L329" s="6">
        <v>0.879</v>
      </c>
      <c r="M329" s="6">
        <v>2.653</v>
      </c>
      <c r="N329" s="6">
        <v>-22.2881</v>
      </c>
      <c r="O329" s="6">
        <v>-70.932199999999995</v>
      </c>
      <c r="P329" s="6">
        <f t="shared" si="35"/>
        <v>76.208904284714379</v>
      </c>
      <c r="Q329" s="6">
        <f t="shared" si="36"/>
        <v>95.365279052884532</v>
      </c>
      <c r="R329" s="6">
        <f t="shared" si="37"/>
        <v>104.49203410263216</v>
      </c>
      <c r="S329" s="6">
        <f t="shared" si="39"/>
        <v>76.208904284714436</v>
      </c>
      <c r="T329" s="6">
        <f t="shared" si="40"/>
        <v>95.365279052884262</v>
      </c>
      <c r="U329" s="6">
        <f t="shared" si="41"/>
        <v>104.49203410263175</v>
      </c>
      <c r="V329" s="6">
        <f t="shared" si="38"/>
        <v>6.8212102632969618E-12</v>
      </c>
    </row>
    <row r="330" spans="1:22" ht="18.95" customHeight="1">
      <c r="A330" s="1">
        <v>324</v>
      </c>
      <c r="B330" s="6">
        <v>2.6999999999999931</v>
      </c>
      <c r="C330" s="6">
        <f>TimeStep!B330</f>
        <v>2700</v>
      </c>
      <c r="D330" s="6">
        <v>1.23</v>
      </c>
      <c r="E330" s="6">
        <v>-0.89300000000000002</v>
      </c>
      <c r="F330" s="6">
        <v>4.5720000000000001</v>
      </c>
      <c r="G330" s="6">
        <v>0</v>
      </c>
      <c r="H330" s="6">
        <v>4.1769999999999996</v>
      </c>
      <c r="I330" s="6">
        <v>1.5980000000000001</v>
      </c>
      <c r="J330" s="6">
        <v>1.764</v>
      </c>
      <c r="K330" s="6">
        <v>1.2529999999999999</v>
      </c>
      <c r="L330" s="6">
        <v>0.90700000000000003</v>
      </c>
      <c r="M330" s="6">
        <v>2.6749999999999998</v>
      </c>
      <c r="N330" s="6">
        <v>-23.777699999999999</v>
      </c>
      <c r="O330" s="6">
        <v>-71.447800000000001</v>
      </c>
      <c r="P330" s="6">
        <f t="shared" si="35"/>
        <v>76.02659460680583</v>
      </c>
      <c r="Q330" s="6">
        <f t="shared" si="36"/>
        <v>95.172710056769915</v>
      </c>
      <c r="R330" s="6">
        <f t="shared" si="37"/>
        <v>103.8842880217489</v>
      </c>
      <c r="S330" s="6">
        <f t="shared" si="39"/>
        <v>76.026594606805872</v>
      </c>
      <c r="T330" s="6">
        <f t="shared" si="40"/>
        <v>95.172710056769631</v>
      </c>
      <c r="U330" s="6">
        <f t="shared" si="41"/>
        <v>103.88428802174849</v>
      </c>
      <c r="V330" s="6">
        <f t="shared" si="38"/>
        <v>6.8212102632969618E-12</v>
      </c>
    </row>
    <row r="331" spans="1:22" ht="18.95" customHeight="1">
      <c r="A331" s="1">
        <v>325</v>
      </c>
      <c r="B331" s="6">
        <v>2.7083333333333264</v>
      </c>
      <c r="C331" s="6">
        <f>TimeStep!B331</f>
        <v>2708.3333333333335</v>
      </c>
      <c r="D331" s="6">
        <v>1.2450000000000001</v>
      </c>
      <c r="E331" s="6">
        <v>-0.871</v>
      </c>
      <c r="F331" s="6">
        <v>4.5720000000000001</v>
      </c>
      <c r="G331" s="6">
        <v>0</v>
      </c>
      <c r="H331" s="6">
        <v>4.1929999999999996</v>
      </c>
      <c r="I331" s="6">
        <v>1.6020000000000001</v>
      </c>
      <c r="J331" s="6">
        <v>1.7869999999999999</v>
      </c>
      <c r="K331" s="6">
        <v>1.2729999999999999</v>
      </c>
      <c r="L331" s="6">
        <v>0.93500000000000005</v>
      </c>
      <c r="M331" s="6">
        <v>2.698</v>
      </c>
      <c r="N331" s="6">
        <v>-25.210100000000001</v>
      </c>
      <c r="O331" s="6">
        <v>-71.963499999999996</v>
      </c>
      <c r="P331" s="6">
        <f t="shared" si="35"/>
        <v>75.812945440534477</v>
      </c>
      <c r="Q331" s="6">
        <f t="shared" si="36"/>
        <v>94.964198679255006</v>
      </c>
      <c r="R331" s="6">
        <f t="shared" si="37"/>
        <v>103.31027126448416</v>
      </c>
      <c r="S331" s="6">
        <f t="shared" si="39"/>
        <v>75.81294544053452</v>
      </c>
      <c r="T331" s="6">
        <f t="shared" si="40"/>
        <v>94.964198679254707</v>
      </c>
      <c r="U331" s="6">
        <f t="shared" si="41"/>
        <v>103.31027126448373</v>
      </c>
      <c r="V331" s="6">
        <f t="shared" si="38"/>
        <v>7.2759576141834259E-12</v>
      </c>
    </row>
    <row r="332" spans="1:22" ht="18.95" customHeight="1">
      <c r="A332" s="1">
        <v>326</v>
      </c>
      <c r="B332" s="6">
        <v>2.7166666666666601</v>
      </c>
      <c r="C332" s="6">
        <f>TimeStep!B332</f>
        <v>2716.666666666667</v>
      </c>
      <c r="D332" s="6">
        <v>1.26</v>
      </c>
      <c r="E332" s="6">
        <v>-0.85</v>
      </c>
      <c r="F332" s="6">
        <v>4.5720000000000001</v>
      </c>
      <c r="G332" s="6">
        <v>0</v>
      </c>
      <c r="H332" s="6">
        <v>4.21</v>
      </c>
      <c r="I332" s="6">
        <v>1.6060000000000001</v>
      </c>
      <c r="J332" s="6">
        <v>1.81</v>
      </c>
      <c r="K332" s="6">
        <v>1.292</v>
      </c>
      <c r="L332" s="6">
        <v>0.96299999999999997</v>
      </c>
      <c r="M332" s="6">
        <v>2.7210000000000001</v>
      </c>
      <c r="N332" s="6">
        <v>-26.6998</v>
      </c>
      <c r="O332" s="6">
        <v>-72.479200000000006</v>
      </c>
      <c r="P332" s="6">
        <f t="shared" si="35"/>
        <v>75.599300468093702</v>
      </c>
      <c r="Q332" s="6">
        <f t="shared" si="36"/>
        <v>94.754346679183087</v>
      </c>
      <c r="R332" s="6">
        <f t="shared" si="37"/>
        <v>102.70245363010039</v>
      </c>
      <c r="S332" s="6">
        <f t="shared" si="39"/>
        <v>75.599300468093759</v>
      </c>
      <c r="T332" s="6">
        <f t="shared" si="40"/>
        <v>94.754346679182788</v>
      </c>
      <c r="U332" s="6">
        <f t="shared" si="41"/>
        <v>102.70245363009997</v>
      </c>
      <c r="V332" s="6">
        <f t="shared" si="38"/>
        <v>6.8212102632969618E-12</v>
      </c>
    </row>
    <row r="333" spans="1:22" ht="18.95" customHeight="1">
      <c r="A333" s="1">
        <v>327</v>
      </c>
      <c r="B333" s="6">
        <v>2.724999999999993</v>
      </c>
      <c r="C333" s="6">
        <f>TimeStep!B333</f>
        <v>2725</v>
      </c>
      <c r="D333" s="6">
        <v>1.2749999999999999</v>
      </c>
      <c r="E333" s="6">
        <v>-0.82699999999999996</v>
      </c>
      <c r="F333" s="6">
        <v>4.5720000000000001</v>
      </c>
      <c r="G333" s="6">
        <v>0</v>
      </c>
      <c r="H333" s="6">
        <v>4.2270000000000003</v>
      </c>
      <c r="I333" s="6">
        <v>1.61</v>
      </c>
      <c r="J333" s="6">
        <v>1.833</v>
      </c>
      <c r="K333" s="6">
        <v>1.3120000000000001</v>
      </c>
      <c r="L333" s="6">
        <v>0.99199999999999999</v>
      </c>
      <c r="M333" s="6">
        <v>2.7440000000000002</v>
      </c>
      <c r="N333" s="6">
        <v>-28.132200000000001</v>
      </c>
      <c r="O333" s="6">
        <v>-72.9375</v>
      </c>
      <c r="P333" s="6">
        <f t="shared" si="35"/>
        <v>75.379126011368342</v>
      </c>
      <c r="Q333" s="6">
        <f t="shared" si="36"/>
        <v>94.53119225515124</v>
      </c>
      <c r="R333" s="6">
        <f t="shared" si="37"/>
        <v>102.09475707701209</v>
      </c>
      <c r="S333" s="6">
        <f t="shared" si="39"/>
        <v>75.379126011368385</v>
      </c>
      <c r="T333" s="6">
        <f t="shared" si="40"/>
        <v>94.531192255150927</v>
      </c>
      <c r="U333" s="6">
        <f t="shared" si="41"/>
        <v>102.09475707701165</v>
      </c>
      <c r="V333" s="6">
        <f t="shared" si="38"/>
        <v>6.8212102632969618E-12</v>
      </c>
    </row>
    <row r="334" spans="1:22" ht="18.95" customHeight="1">
      <c r="A334" s="1">
        <v>328</v>
      </c>
      <c r="B334" s="6">
        <v>2.7333333333333263</v>
      </c>
      <c r="C334" s="6">
        <f>TimeStep!B334</f>
        <v>2733.3333333333335</v>
      </c>
      <c r="D334" s="6">
        <v>1.2889999999999999</v>
      </c>
      <c r="E334" s="6">
        <v>-0.80500000000000005</v>
      </c>
      <c r="F334" s="6">
        <v>4.5720000000000001</v>
      </c>
      <c r="G334" s="6">
        <v>0</v>
      </c>
      <c r="H334" s="6">
        <v>4.2439999999999998</v>
      </c>
      <c r="I334" s="6">
        <v>1.6140000000000001</v>
      </c>
      <c r="J334" s="6">
        <v>1.8560000000000001</v>
      </c>
      <c r="K334" s="6">
        <v>1.3320000000000001</v>
      </c>
      <c r="L334" s="6">
        <v>1.0209999999999999</v>
      </c>
      <c r="M334" s="6">
        <v>2.7679999999999998</v>
      </c>
      <c r="N334" s="6">
        <v>-29.6219</v>
      </c>
      <c r="O334" s="6">
        <v>-73.395899999999997</v>
      </c>
      <c r="P334" s="6">
        <f t="shared" si="35"/>
        <v>75.140363179934667</v>
      </c>
      <c r="Q334" s="6">
        <f t="shared" si="36"/>
        <v>94.289551980258665</v>
      </c>
      <c r="R334" s="6">
        <f t="shared" si="37"/>
        <v>101.4873182215525</v>
      </c>
      <c r="S334" s="6">
        <f t="shared" si="39"/>
        <v>75.140363179934695</v>
      </c>
      <c r="T334" s="6">
        <f t="shared" si="40"/>
        <v>94.289551980258352</v>
      </c>
      <c r="U334" s="6">
        <f t="shared" si="41"/>
        <v>101.48731822155207</v>
      </c>
      <c r="V334" s="6">
        <f t="shared" si="38"/>
        <v>7.2759576141834259E-12</v>
      </c>
    </row>
    <row r="335" spans="1:22" ht="18.95" customHeight="1">
      <c r="A335" s="1">
        <v>329</v>
      </c>
      <c r="B335" s="6">
        <v>2.74166666666666</v>
      </c>
      <c r="C335" s="6">
        <f>TimeStep!B335</f>
        <v>2741.666666666667</v>
      </c>
      <c r="D335" s="6">
        <v>1.3029999999999999</v>
      </c>
      <c r="E335" s="6">
        <v>-0.78200000000000003</v>
      </c>
      <c r="F335" s="6">
        <v>4.5720000000000001</v>
      </c>
      <c r="G335" s="6">
        <v>0</v>
      </c>
      <c r="H335" s="6">
        <v>4.2619999999999996</v>
      </c>
      <c r="I335" s="6">
        <v>1.617</v>
      </c>
      <c r="J335" s="6">
        <v>1.88</v>
      </c>
      <c r="K335" s="6">
        <v>1.353</v>
      </c>
      <c r="L335" s="6">
        <v>1.0509999999999999</v>
      </c>
      <c r="M335" s="6">
        <v>2.7919999999999998</v>
      </c>
      <c r="N335" s="6">
        <v>-31.054300000000001</v>
      </c>
      <c r="O335" s="6">
        <v>-73.796999999999997</v>
      </c>
      <c r="P335" s="6">
        <f t="shared" si="35"/>
        <v>74.87666862845002</v>
      </c>
      <c r="Q335" s="6">
        <f t="shared" si="36"/>
        <v>94.03320656038963</v>
      </c>
      <c r="R335" s="6">
        <f t="shared" si="37"/>
        <v>100.85266794448285</v>
      </c>
      <c r="S335" s="6">
        <f t="shared" si="39"/>
        <v>74.876668628450034</v>
      </c>
      <c r="T335" s="6">
        <f t="shared" si="40"/>
        <v>94.033206560389317</v>
      </c>
      <c r="U335" s="6">
        <f t="shared" si="41"/>
        <v>100.85266794448239</v>
      </c>
      <c r="V335" s="6">
        <f t="shared" si="38"/>
        <v>6.8212102632969618E-12</v>
      </c>
    </row>
    <row r="336" spans="1:22" ht="18.95" customHeight="1">
      <c r="A336" s="1">
        <v>330</v>
      </c>
      <c r="B336" s="6">
        <v>2.7499999999999929</v>
      </c>
      <c r="C336" s="6">
        <f>TimeStep!B336</f>
        <v>2750</v>
      </c>
      <c r="D336" s="6">
        <v>1.3169999999999999</v>
      </c>
      <c r="E336" s="6">
        <v>-0.76</v>
      </c>
      <c r="F336" s="6">
        <v>4.5720000000000001</v>
      </c>
      <c r="G336" s="6">
        <v>0</v>
      </c>
      <c r="H336" s="6">
        <v>4.2789999999999999</v>
      </c>
      <c r="I336" s="6">
        <v>1.62</v>
      </c>
      <c r="J336" s="6">
        <v>1.903</v>
      </c>
      <c r="K336" s="6">
        <v>1.373</v>
      </c>
      <c r="L336" s="6">
        <v>1.081</v>
      </c>
      <c r="M336" s="6">
        <v>2.8159999999999998</v>
      </c>
      <c r="N336" s="6">
        <v>-32.486699999999999</v>
      </c>
      <c r="O336" s="6">
        <v>-74.140699999999995</v>
      </c>
      <c r="P336" s="6">
        <f t="shared" si="35"/>
        <v>74.638109221295721</v>
      </c>
      <c r="Q336" s="6">
        <f t="shared" si="36"/>
        <v>93.775789739712337</v>
      </c>
      <c r="R336" s="6">
        <f t="shared" si="37"/>
        <v>100.25192742200113</v>
      </c>
      <c r="S336" s="6">
        <f t="shared" si="39"/>
        <v>74.638109221295736</v>
      </c>
      <c r="T336" s="6">
        <f t="shared" si="40"/>
        <v>93.775789739712025</v>
      </c>
      <c r="U336" s="6">
        <f t="shared" si="41"/>
        <v>100.25192742200068</v>
      </c>
      <c r="V336" s="6">
        <f t="shared" si="38"/>
        <v>7.2759576141834259E-12</v>
      </c>
    </row>
    <row r="337" spans="1:22" ht="18.95" customHeight="1">
      <c r="A337" s="1">
        <v>331</v>
      </c>
      <c r="B337" s="6">
        <v>2.7583333333333262</v>
      </c>
      <c r="C337" s="6">
        <f>TimeStep!B337</f>
        <v>2758.3333333333335</v>
      </c>
      <c r="D337" s="6">
        <v>1.33</v>
      </c>
      <c r="E337" s="6">
        <v>-0.73599999999999999</v>
      </c>
      <c r="F337" s="6">
        <v>4.5720000000000001</v>
      </c>
      <c r="G337" s="6">
        <v>0</v>
      </c>
      <c r="H337" s="6">
        <v>4.2960000000000003</v>
      </c>
      <c r="I337" s="6">
        <v>1.623</v>
      </c>
      <c r="J337" s="6">
        <v>1.9259999999999999</v>
      </c>
      <c r="K337" s="6">
        <v>1.393</v>
      </c>
      <c r="L337" s="6">
        <v>1.111</v>
      </c>
      <c r="M337" s="6">
        <v>2.84</v>
      </c>
      <c r="N337" s="6">
        <v>-33.861800000000002</v>
      </c>
      <c r="O337" s="6">
        <v>-74.484499999999997</v>
      </c>
      <c r="P337" s="6">
        <f t="shared" si="35"/>
        <v>74.360748252242686</v>
      </c>
      <c r="Q337" s="6">
        <f t="shared" si="36"/>
        <v>93.504508938173302</v>
      </c>
      <c r="R337" s="6">
        <f t="shared" si="37"/>
        <v>99.651133260521348</v>
      </c>
      <c r="S337" s="6">
        <f t="shared" si="39"/>
        <v>74.360748252242701</v>
      </c>
      <c r="T337" s="6">
        <f t="shared" si="40"/>
        <v>93.504508938172989</v>
      </c>
      <c r="U337" s="6">
        <f t="shared" si="41"/>
        <v>99.651133260520908</v>
      </c>
      <c r="V337" s="6">
        <f t="shared" si="38"/>
        <v>7.2759576141834259E-12</v>
      </c>
    </row>
    <row r="338" spans="1:22" ht="18.95" customHeight="1">
      <c r="A338" s="1">
        <v>332</v>
      </c>
      <c r="B338" s="6">
        <v>2.7666666666666595</v>
      </c>
      <c r="C338" s="6">
        <f>TimeStep!B338</f>
        <v>2766.666666666667</v>
      </c>
      <c r="D338" s="6">
        <v>1.3420000000000001</v>
      </c>
      <c r="E338" s="6">
        <v>-0.71299999999999997</v>
      </c>
      <c r="F338" s="6">
        <v>4.5720000000000001</v>
      </c>
      <c r="G338" s="6">
        <v>0</v>
      </c>
      <c r="H338" s="6">
        <v>4.3140000000000001</v>
      </c>
      <c r="I338" s="6">
        <v>1.6259999999999999</v>
      </c>
      <c r="J338" s="6">
        <v>1.95</v>
      </c>
      <c r="K338" s="6">
        <v>1.413</v>
      </c>
      <c r="L338" s="6">
        <v>1.1419999999999999</v>
      </c>
      <c r="M338" s="6">
        <v>2.8639999999999999</v>
      </c>
      <c r="N338" s="6">
        <v>-35.294199999999996</v>
      </c>
      <c r="O338" s="6">
        <v>-74.771000000000001</v>
      </c>
      <c r="P338" s="6">
        <f t="shared" si="35"/>
        <v>74.040367354553879</v>
      </c>
      <c r="Q338" s="6">
        <f t="shared" si="36"/>
        <v>93.200233967030712</v>
      </c>
      <c r="R338" s="6">
        <f t="shared" si="37"/>
        <v>99.016048948010223</v>
      </c>
      <c r="S338" s="6">
        <f t="shared" si="39"/>
        <v>74.040367354553894</v>
      </c>
      <c r="T338" s="6">
        <f t="shared" si="40"/>
        <v>93.200233967030385</v>
      </c>
      <c r="U338" s="6">
        <f t="shared" si="41"/>
        <v>99.016048948009768</v>
      </c>
      <c r="V338" s="6">
        <f t="shared" si="38"/>
        <v>7.2759576141834259E-12</v>
      </c>
    </row>
    <row r="339" spans="1:22" ht="18.95" customHeight="1">
      <c r="A339" s="1">
        <v>333</v>
      </c>
      <c r="B339" s="6">
        <v>2.7749999999999928</v>
      </c>
      <c r="C339" s="6">
        <f>TimeStep!B339</f>
        <v>2775</v>
      </c>
      <c r="D339" s="6">
        <v>1.355</v>
      </c>
      <c r="E339" s="6">
        <v>-0.69</v>
      </c>
      <c r="F339" s="6">
        <v>4.5720000000000001</v>
      </c>
      <c r="G339" s="6">
        <v>0</v>
      </c>
      <c r="H339" s="6">
        <v>4.3319999999999999</v>
      </c>
      <c r="I339" s="6">
        <v>1.629</v>
      </c>
      <c r="J339" s="6">
        <v>1.9730000000000001</v>
      </c>
      <c r="K339" s="6">
        <v>1.4339999999999999</v>
      </c>
      <c r="L339" s="6">
        <v>1.173</v>
      </c>
      <c r="M339" s="6">
        <v>2.8889999999999998</v>
      </c>
      <c r="N339" s="6">
        <v>-36.6693</v>
      </c>
      <c r="O339" s="6">
        <v>-75.000200000000007</v>
      </c>
      <c r="P339" s="6">
        <f t="shared" si="35"/>
        <v>73.777093179126339</v>
      </c>
      <c r="Q339" s="6">
        <f t="shared" si="36"/>
        <v>92.911108463319621</v>
      </c>
      <c r="R339" s="6">
        <f t="shared" si="37"/>
        <v>98.381074274327119</v>
      </c>
      <c r="S339" s="6">
        <f t="shared" si="39"/>
        <v>73.777093179126354</v>
      </c>
      <c r="T339" s="6">
        <f t="shared" si="40"/>
        <v>92.911108463319295</v>
      </c>
      <c r="U339" s="6">
        <f t="shared" si="41"/>
        <v>98.381074274326693</v>
      </c>
      <c r="V339" s="6">
        <f t="shared" si="38"/>
        <v>7.2759576141834259E-12</v>
      </c>
    </row>
    <row r="340" spans="1:22" ht="18.95" customHeight="1">
      <c r="A340" s="1">
        <v>334</v>
      </c>
      <c r="B340" s="6">
        <v>2.7833333333333261</v>
      </c>
      <c r="C340" s="6">
        <f>TimeStep!B340</f>
        <v>2783.3333333333335</v>
      </c>
      <c r="D340" s="6">
        <v>1.3660000000000001</v>
      </c>
      <c r="E340" s="6">
        <v>-0.66600000000000004</v>
      </c>
      <c r="F340" s="6">
        <v>4.5720000000000001</v>
      </c>
      <c r="G340" s="6">
        <v>0</v>
      </c>
      <c r="H340" s="6">
        <v>4.3499999999999996</v>
      </c>
      <c r="I340" s="6">
        <v>1.631</v>
      </c>
      <c r="J340" s="6">
        <v>1.996</v>
      </c>
      <c r="K340" s="6">
        <v>1.454</v>
      </c>
      <c r="L340" s="6">
        <v>1.204</v>
      </c>
      <c r="M340" s="6">
        <v>2.9129999999999998</v>
      </c>
      <c r="N340" s="6">
        <v>-37.987099999999998</v>
      </c>
      <c r="O340" s="6">
        <v>-75.1721</v>
      </c>
      <c r="P340" s="6">
        <f t="shared" si="35"/>
        <v>73.449640089661585</v>
      </c>
      <c r="Q340" s="6">
        <f t="shared" si="36"/>
        <v>92.591669468883296</v>
      </c>
      <c r="R340" s="6">
        <f t="shared" si="37"/>
        <v>97.751056846782731</v>
      </c>
      <c r="S340" s="6">
        <f t="shared" si="39"/>
        <v>73.449640089661585</v>
      </c>
      <c r="T340" s="6">
        <f t="shared" si="40"/>
        <v>92.591669468882969</v>
      </c>
      <c r="U340" s="6">
        <f t="shared" si="41"/>
        <v>97.751056846782319</v>
      </c>
      <c r="V340" s="6">
        <f t="shared" si="38"/>
        <v>7.2759576141834259E-12</v>
      </c>
    </row>
    <row r="341" spans="1:22" ht="18.95" customHeight="1">
      <c r="A341" s="1">
        <v>335</v>
      </c>
      <c r="B341" s="6">
        <v>2.7916666666666594</v>
      </c>
      <c r="C341" s="6">
        <f>TimeStep!B341</f>
        <v>2791.666666666667</v>
      </c>
      <c r="D341" s="6">
        <v>1.3779999999999999</v>
      </c>
      <c r="E341" s="6">
        <v>-0.64200000000000002</v>
      </c>
      <c r="F341" s="6">
        <v>4.5720000000000001</v>
      </c>
      <c r="G341" s="6">
        <v>0</v>
      </c>
      <c r="H341" s="6">
        <v>4.367</v>
      </c>
      <c r="I341" s="6">
        <v>1.6339999999999999</v>
      </c>
      <c r="J341" s="6">
        <v>2.02</v>
      </c>
      <c r="K341" s="6">
        <v>1.474</v>
      </c>
      <c r="L341" s="6">
        <v>1.236</v>
      </c>
      <c r="M341" s="6">
        <v>2.9380000000000002</v>
      </c>
      <c r="N341" s="6">
        <v>-39.362200000000001</v>
      </c>
      <c r="O341" s="6">
        <v>-75.343999999999994</v>
      </c>
      <c r="P341" s="6">
        <f t="shared" si="35"/>
        <v>73.122063799022797</v>
      </c>
      <c r="Q341" s="6">
        <f t="shared" si="36"/>
        <v>92.271435176825392</v>
      </c>
      <c r="R341" s="6">
        <f t="shared" si="37"/>
        <v>97.150908843718128</v>
      </c>
      <c r="S341" s="6">
        <f t="shared" si="39"/>
        <v>73.122063799022811</v>
      </c>
      <c r="T341" s="6">
        <f t="shared" si="40"/>
        <v>92.271435176825094</v>
      </c>
      <c r="U341" s="6">
        <f t="shared" si="41"/>
        <v>97.15090884371773</v>
      </c>
      <c r="V341" s="6">
        <f t="shared" si="38"/>
        <v>7.73070496506989E-12</v>
      </c>
    </row>
    <row r="342" spans="1:22" ht="18.95" customHeight="1">
      <c r="A342" s="1">
        <v>336</v>
      </c>
      <c r="B342" s="6">
        <v>2.7999999999999927</v>
      </c>
      <c r="C342" s="6">
        <f>TimeStep!B342</f>
        <v>2800</v>
      </c>
      <c r="D342" s="6">
        <v>1.389</v>
      </c>
      <c r="E342" s="6">
        <v>-0.61799999999999999</v>
      </c>
      <c r="F342" s="6">
        <v>4.5720000000000001</v>
      </c>
      <c r="G342" s="6">
        <v>0</v>
      </c>
      <c r="H342" s="6">
        <v>4.3849999999999998</v>
      </c>
      <c r="I342" s="6">
        <v>1.6359999999999999</v>
      </c>
      <c r="J342" s="6">
        <v>2.0430000000000001</v>
      </c>
      <c r="K342" s="6">
        <v>1.4950000000000001</v>
      </c>
      <c r="L342" s="6">
        <v>1.2669999999999999</v>
      </c>
      <c r="M342" s="6">
        <v>2.9630000000000001</v>
      </c>
      <c r="N342" s="6">
        <v>-40.622700000000002</v>
      </c>
      <c r="O342" s="6">
        <v>-75.458500000000001</v>
      </c>
      <c r="P342" s="6">
        <f t="shared" si="35"/>
        <v>72.802047951737265</v>
      </c>
      <c r="Q342" s="6">
        <f t="shared" si="36"/>
        <v>91.951237803491523</v>
      </c>
      <c r="R342" s="6">
        <f t="shared" si="37"/>
        <v>96.520789473686847</v>
      </c>
      <c r="S342" s="6">
        <f t="shared" si="39"/>
        <v>72.802047951737279</v>
      </c>
      <c r="T342" s="6">
        <f t="shared" si="40"/>
        <v>91.95123780349121</v>
      </c>
      <c r="U342" s="6">
        <f t="shared" si="41"/>
        <v>96.520789473686477</v>
      </c>
      <c r="V342" s="6">
        <f t="shared" si="38"/>
        <v>7.2759576141834259E-12</v>
      </c>
    </row>
    <row r="343" spans="1:22" ht="18.95" customHeight="1">
      <c r="A343" s="1">
        <v>337</v>
      </c>
      <c r="B343" s="6">
        <v>2.808333333333326</v>
      </c>
      <c r="C343" s="6">
        <f>TimeStep!B343</f>
        <v>2808.3333333333335</v>
      </c>
      <c r="D343" s="6">
        <v>1.399</v>
      </c>
      <c r="E343" s="6">
        <v>-0.59399999999999997</v>
      </c>
      <c r="F343" s="6">
        <v>4.5720000000000001</v>
      </c>
      <c r="G343" s="6">
        <v>0</v>
      </c>
      <c r="H343" s="6">
        <v>4.4029999999999996</v>
      </c>
      <c r="I343" s="6">
        <v>1.6379999999999999</v>
      </c>
      <c r="J343" s="6">
        <v>2.0659999999999998</v>
      </c>
      <c r="K343" s="6">
        <v>1.5149999999999999</v>
      </c>
      <c r="L343" s="6">
        <v>1.2989999999999999</v>
      </c>
      <c r="M343" s="6">
        <v>2.988</v>
      </c>
      <c r="N343" s="6">
        <v>-41.9405</v>
      </c>
      <c r="O343" s="6">
        <v>-75.458500000000001</v>
      </c>
      <c r="P343" s="6">
        <f t="shared" si="35"/>
        <v>72.449731248646643</v>
      </c>
      <c r="Q343" s="6">
        <f t="shared" si="36"/>
        <v>91.599131809679449</v>
      </c>
      <c r="R343" s="6">
        <f t="shared" si="37"/>
        <v>95.890626416204114</v>
      </c>
      <c r="S343" s="6">
        <f t="shared" si="39"/>
        <v>72.449731248646657</v>
      </c>
      <c r="T343" s="6">
        <f t="shared" si="40"/>
        <v>91.599131809679136</v>
      </c>
      <c r="U343" s="6">
        <f t="shared" si="41"/>
        <v>95.890626416203759</v>
      </c>
      <c r="V343" s="6">
        <f t="shared" si="38"/>
        <v>7.2759576141834259E-12</v>
      </c>
    </row>
    <row r="344" spans="1:22" ht="18.95" customHeight="1">
      <c r="A344" s="1">
        <v>338</v>
      </c>
      <c r="B344" s="6">
        <v>2.8166666666666598</v>
      </c>
      <c r="C344" s="6">
        <f>TimeStep!B344</f>
        <v>2816.666666666667</v>
      </c>
      <c r="D344" s="6">
        <v>1.409</v>
      </c>
      <c r="E344" s="6">
        <v>-0.56899999999999995</v>
      </c>
      <c r="F344" s="6">
        <v>4.5720000000000001</v>
      </c>
      <c r="G344" s="6">
        <v>0</v>
      </c>
      <c r="H344" s="6">
        <v>4.4210000000000003</v>
      </c>
      <c r="I344" s="6">
        <v>1.64</v>
      </c>
      <c r="J344" s="6">
        <v>2.089</v>
      </c>
      <c r="K344" s="6">
        <v>1.5349999999999999</v>
      </c>
      <c r="L344" s="6">
        <v>1.3320000000000001</v>
      </c>
      <c r="M344" s="6">
        <v>3.0129999999999999</v>
      </c>
      <c r="N344" s="6">
        <v>-43.201000000000001</v>
      </c>
      <c r="O344" s="6">
        <v>-75.458500000000001</v>
      </c>
      <c r="P344" s="6">
        <f t="shared" si="35"/>
        <v>72.089483025605759</v>
      </c>
      <c r="Q344" s="6">
        <f t="shared" si="36"/>
        <v>91.23146165810499</v>
      </c>
      <c r="R344" s="6">
        <f t="shared" si="37"/>
        <v>95.260572101362257</v>
      </c>
      <c r="S344" s="6">
        <f t="shared" si="39"/>
        <v>72.089483025605773</v>
      </c>
      <c r="T344" s="6">
        <f t="shared" si="40"/>
        <v>91.231461658104649</v>
      </c>
      <c r="U344" s="6">
        <f t="shared" si="41"/>
        <v>95.260572101361902</v>
      </c>
      <c r="V344" s="6">
        <f t="shared" si="38"/>
        <v>7.2759576141834259E-12</v>
      </c>
    </row>
    <row r="345" spans="1:22" ht="18.95" customHeight="1">
      <c r="A345" s="1">
        <v>339</v>
      </c>
      <c r="B345" s="6">
        <v>2.8249999999999926</v>
      </c>
      <c r="C345" s="6">
        <f>TimeStep!B345</f>
        <v>2825</v>
      </c>
      <c r="D345" s="6">
        <v>1.419</v>
      </c>
      <c r="E345" s="6">
        <v>-0.54400000000000004</v>
      </c>
      <c r="F345" s="6">
        <v>4.5720000000000001</v>
      </c>
      <c r="G345" s="6">
        <v>0</v>
      </c>
      <c r="H345" s="6">
        <v>4.4390000000000001</v>
      </c>
      <c r="I345" s="6">
        <v>1.641</v>
      </c>
      <c r="J345" s="6">
        <v>2.1120000000000001</v>
      </c>
      <c r="K345" s="6">
        <v>1.556</v>
      </c>
      <c r="L345" s="6">
        <v>1.3640000000000001</v>
      </c>
      <c r="M345" s="6">
        <v>3.0379999999999998</v>
      </c>
      <c r="N345" s="6">
        <v>-44.404200000000003</v>
      </c>
      <c r="O345" s="6">
        <v>-75.401200000000003</v>
      </c>
      <c r="P345" s="6">
        <f t="shared" si="35"/>
        <v>71.737110057805864</v>
      </c>
      <c r="Q345" s="6">
        <f t="shared" si="36"/>
        <v>90.879681814146721</v>
      </c>
      <c r="R345" s="6">
        <f t="shared" si="37"/>
        <v>94.633588442299839</v>
      </c>
      <c r="S345" s="6">
        <f t="shared" si="39"/>
        <v>71.737110057805864</v>
      </c>
      <c r="T345" s="6">
        <f t="shared" si="40"/>
        <v>90.879681814146352</v>
      </c>
      <c r="U345" s="6">
        <f t="shared" si="41"/>
        <v>94.63358844229947</v>
      </c>
      <c r="V345" s="6">
        <f t="shared" si="38"/>
        <v>7.2759576141834259E-12</v>
      </c>
    </row>
    <row r="346" spans="1:22" ht="18.95" customHeight="1">
      <c r="A346" s="1">
        <v>340</v>
      </c>
      <c r="B346" s="6">
        <v>2.8333333333333259</v>
      </c>
      <c r="C346" s="6">
        <f>TimeStep!B346</f>
        <v>2833.3333333333335</v>
      </c>
      <c r="D346" s="6">
        <v>1.4279999999999999</v>
      </c>
      <c r="E346" s="6">
        <v>-0.52</v>
      </c>
      <c r="F346" s="6">
        <v>4.5720000000000001</v>
      </c>
      <c r="G346" s="6">
        <v>0</v>
      </c>
      <c r="H346" s="6">
        <v>4.4569999999999999</v>
      </c>
      <c r="I346" s="6">
        <v>1.643</v>
      </c>
      <c r="J346" s="6">
        <v>2.1349999999999998</v>
      </c>
      <c r="K346" s="6">
        <v>1.5760000000000001</v>
      </c>
      <c r="L346" s="6">
        <v>1.397</v>
      </c>
      <c r="M346" s="6">
        <v>3.0630000000000002</v>
      </c>
      <c r="N346" s="6">
        <v>-45.607399999999998</v>
      </c>
      <c r="O346" s="6">
        <v>-75.286699999999996</v>
      </c>
      <c r="P346" s="6">
        <f t="shared" si="35"/>
        <v>71.360277997799699</v>
      </c>
      <c r="Q346" s="6">
        <f t="shared" si="36"/>
        <v>90.495708860619871</v>
      </c>
      <c r="R346" s="6">
        <f t="shared" si="37"/>
        <v>94.003825914395762</v>
      </c>
      <c r="S346" s="6">
        <f t="shared" si="39"/>
        <v>71.360277997799699</v>
      </c>
      <c r="T346" s="6">
        <f t="shared" si="40"/>
        <v>90.495708860619516</v>
      </c>
      <c r="U346" s="6">
        <f t="shared" si="41"/>
        <v>94.003825914395406</v>
      </c>
      <c r="V346" s="6">
        <f t="shared" si="38"/>
        <v>7.73070496506989E-12</v>
      </c>
    </row>
    <row r="347" spans="1:22" ht="18.95" customHeight="1">
      <c r="A347" s="1">
        <v>341</v>
      </c>
      <c r="B347" s="6">
        <v>2.8416666666666592</v>
      </c>
      <c r="C347" s="6">
        <f>TimeStep!B347</f>
        <v>2841.666666666667</v>
      </c>
      <c r="D347" s="6">
        <v>1.4370000000000001</v>
      </c>
      <c r="E347" s="6">
        <v>-0.495</v>
      </c>
      <c r="F347" s="6">
        <v>4.5720000000000001</v>
      </c>
      <c r="G347" s="6">
        <v>0</v>
      </c>
      <c r="H347" s="6">
        <v>4.4749999999999996</v>
      </c>
      <c r="I347" s="6">
        <v>1.6439999999999999</v>
      </c>
      <c r="J347" s="6">
        <v>2.1579999999999999</v>
      </c>
      <c r="K347" s="6">
        <v>1.5960000000000001</v>
      </c>
      <c r="L347" s="6">
        <v>1.43</v>
      </c>
      <c r="M347" s="6">
        <v>3.0880000000000001</v>
      </c>
      <c r="N347" s="6">
        <v>-46.753399999999999</v>
      </c>
      <c r="O347" s="6">
        <v>-75.114800000000002</v>
      </c>
      <c r="P347" s="6">
        <f t="shared" si="35"/>
        <v>70.975238422622468</v>
      </c>
      <c r="Q347" s="6">
        <f t="shared" si="36"/>
        <v>90.11193690938336</v>
      </c>
      <c r="R347" s="6">
        <f t="shared" si="37"/>
        <v>93.376675635600606</v>
      </c>
      <c r="S347" s="6">
        <f t="shared" si="39"/>
        <v>70.975238422622454</v>
      </c>
      <c r="T347" s="6">
        <f t="shared" si="40"/>
        <v>90.111936909383019</v>
      </c>
      <c r="U347" s="6">
        <f t="shared" si="41"/>
        <v>93.376675635600236</v>
      </c>
      <c r="V347" s="6">
        <f t="shared" si="38"/>
        <v>7.73070496506989E-12</v>
      </c>
    </row>
    <row r="348" spans="1:22" ht="18.95" customHeight="1">
      <c r="A348" s="1">
        <v>342</v>
      </c>
      <c r="B348" s="6">
        <v>2.8499999999999925</v>
      </c>
      <c r="C348" s="6">
        <f>TimeStep!B348</f>
        <v>2850</v>
      </c>
      <c r="D348" s="6">
        <v>1.446</v>
      </c>
      <c r="E348" s="6">
        <v>-0.47</v>
      </c>
      <c r="F348" s="6">
        <v>4.5720000000000001</v>
      </c>
      <c r="G348" s="6">
        <v>0</v>
      </c>
      <c r="H348" s="6">
        <v>4.4930000000000003</v>
      </c>
      <c r="I348" s="6">
        <v>1.645</v>
      </c>
      <c r="J348" s="6">
        <v>2.181</v>
      </c>
      <c r="K348" s="6">
        <v>1.6160000000000001</v>
      </c>
      <c r="L348" s="6">
        <v>1.4630000000000001</v>
      </c>
      <c r="M348" s="6">
        <v>3.113</v>
      </c>
      <c r="N348" s="6">
        <v>-47.899299999999997</v>
      </c>
      <c r="O348" s="6">
        <v>-74.885599999999997</v>
      </c>
      <c r="P348" s="6">
        <f t="shared" si="35"/>
        <v>70.590142019198382</v>
      </c>
      <c r="Q348" s="6">
        <f t="shared" si="36"/>
        <v>89.728154914072306</v>
      </c>
      <c r="R348" s="6">
        <f t="shared" si="37"/>
        <v>92.749478186300777</v>
      </c>
      <c r="S348" s="6">
        <f t="shared" si="39"/>
        <v>70.590142019198368</v>
      </c>
      <c r="T348" s="6">
        <f t="shared" si="40"/>
        <v>89.728154914071979</v>
      </c>
      <c r="U348" s="6">
        <f t="shared" si="41"/>
        <v>92.749478186300394</v>
      </c>
      <c r="V348" s="6">
        <f t="shared" si="38"/>
        <v>7.2759576141834259E-12</v>
      </c>
    </row>
    <row r="349" spans="1:22" ht="18.95" customHeight="1">
      <c r="A349" s="1">
        <v>343</v>
      </c>
      <c r="B349" s="6">
        <v>2.8583333333333258</v>
      </c>
      <c r="C349" s="6">
        <f>TimeStep!B349</f>
        <v>2858.3333333333335</v>
      </c>
      <c r="D349" s="6">
        <v>1.454</v>
      </c>
      <c r="E349" s="6">
        <v>-0.44400000000000001</v>
      </c>
      <c r="F349" s="6">
        <v>4.5720000000000001</v>
      </c>
      <c r="G349" s="6">
        <v>0</v>
      </c>
      <c r="H349" s="6">
        <v>4.5110000000000001</v>
      </c>
      <c r="I349" s="6">
        <v>1.645</v>
      </c>
      <c r="J349" s="6">
        <v>2.2040000000000002</v>
      </c>
      <c r="K349" s="6">
        <v>1.6359999999999999</v>
      </c>
      <c r="L349" s="6">
        <v>1.496</v>
      </c>
      <c r="M349" s="6">
        <v>3.1379999999999999</v>
      </c>
      <c r="N349" s="6">
        <v>-48.930599999999998</v>
      </c>
      <c r="O349" s="6">
        <v>-74.599100000000007</v>
      </c>
      <c r="P349" s="6">
        <f t="shared" si="35"/>
        <v>70.17186622869221</v>
      </c>
      <c r="Q349" s="6">
        <f t="shared" si="36"/>
        <v>89.328220974788337</v>
      </c>
      <c r="R349" s="6">
        <f t="shared" si="37"/>
        <v>92.123672877436448</v>
      </c>
      <c r="S349" s="6">
        <f t="shared" si="39"/>
        <v>70.171866228692181</v>
      </c>
      <c r="T349" s="6">
        <f t="shared" si="40"/>
        <v>89.328220974787996</v>
      </c>
      <c r="U349" s="6">
        <f t="shared" si="41"/>
        <v>92.123672877436093</v>
      </c>
      <c r="V349" s="6">
        <f t="shared" si="38"/>
        <v>7.73070496506989E-12</v>
      </c>
    </row>
    <row r="350" spans="1:22" ht="18.95" customHeight="1">
      <c r="A350" s="1">
        <v>344</v>
      </c>
      <c r="B350" s="6">
        <v>2.8666666666666591</v>
      </c>
      <c r="C350" s="6">
        <f>TimeStep!B350</f>
        <v>2866.666666666667</v>
      </c>
      <c r="D350" s="6">
        <v>1.4610000000000001</v>
      </c>
      <c r="E350" s="6">
        <v>-0.41899999999999998</v>
      </c>
      <c r="F350" s="6">
        <v>4.5720000000000001</v>
      </c>
      <c r="G350" s="6">
        <v>0</v>
      </c>
      <c r="H350" s="6">
        <v>4.5289999999999999</v>
      </c>
      <c r="I350" s="6">
        <v>1.6459999999999999</v>
      </c>
      <c r="J350" s="6">
        <v>2.226</v>
      </c>
      <c r="K350" s="6">
        <v>1.6559999999999999</v>
      </c>
      <c r="L350" s="6">
        <v>1.5289999999999999</v>
      </c>
      <c r="M350" s="6">
        <v>3.1629999999999998</v>
      </c>
      <c r="N350" s="6">
        <v>-49.9619</v>
      </c>
      <c r="O350" s="6">
        <v>-74.255300000000005</v>
      </c>
      <c r="P350" s="6">
        <f t="shared" si="35"/>
        <v>69.762345620515561</v>
      </c>
      <c r="Q350" s="6">
        <f t="shared" si="36"/>
        <v>88.912438560984839</v>
      </c>
      <c r="R350" s="6">
        <f t="shared" si="37"/>
        <v>91.496450963105744</v>
      </c>
      <c r="S350" s="6">
        <f t="shared" si="39"/>
        <v>69.762345620515532</v>
      </c>
      <c r="T350" s="6">
        <f t="shared" si="40"/>
        <v>88.912438560984469</v>
      </c>
      <c r="U350" s="6">
        <f t="shared" si="41"/>
        <v>91.496450963105417</v>
      </c>
      <c r="V350" s="6">
        <f t="shared" si="38"/>
        <v>7.73070496506989E-12</v>
      </c>
    </row>
    <row r="351" spans="1:22" ht="18.95" customHeight="1">
      <c r="A351" s="1">
        <v>345</v>
      </c>
      <c r="B351" s="6">
        <v>2.8749999999999925</v>
      </c>
      <c r="C351" s="6">
        <f>TimeStep!B351</f>
        <v>2875</v>
      </c>
      <c r="D351" s="6">
        <v>1.468</v>
      </c>
      <c r="E351" s="6">
        <v>-0.39300000000000002</v>
      </c>
      <c r="F351" s="6">
        <v>4.5720000000000001</v>
      </c>
      <c r="G351" s="6">
        <v>0</v>
      </c>
      <c r="H351" s="6">
        <v>4.5469999999999997</v>
      </c>
      <c r="I351" s="6">
        <v>1.6459999999999999</v>
      </c>
      <c r="J351" s="6">
        <v>2.2480000000000002</v>
      </c>
      <c r="K351" s="6">
        <v>1.6759999999999999</v>
      </c>
      <c r="L351" s="6">
        <v>1.5629999999999999</v>
      </c>
      <c r="M351" s="6">
        <v>3.1880000000000002</v>
      </c>
      <c r="N351" s="6">
        <v>-50.993200000000002</v>
      </c>
      <c r="O351" s="6">
        <v>-73.796999999999997</v>
      </c>
      <c r="P351" s="6">
        <f t="shared" si="35"/>
        <v>69.343872269253097</v>
      </c>
      <c r="Q351" s="6">
        <f t="shared" si="36"/>
        <v>88.480362280625215</v>
      </c>
      <c r="R351" s="6">
        <f t="shared" si="37"/>
        <v>90.870160606829955</v>
      </c>
      <c r="S351" s="6">
        <f t="shared" si="39"/>
        <v>69.343872269253069</v>
      </c>
      <c r="T351" s="6">
        <f t="shared" si="40"/>
        <v>88.480362280624831</v>
      </c>
      <c r="U351" s="6">
        <f t="shared" si="41"/>
        <v>90.870160606829643</v>
      </c>
      <c r="V351" s="6">
        <f t="shared" si="38"/>
        <v>7.73070496506989E-12</v>
      </c>
    </row>
    <row r="352" spans="1:22" ht="18.95" customHeight="1">
      <c r="A352" s="1">
        <v>346</v>
      </c>
      <c r="B352" s="6">
        <v>2.8833333333333258</v>
      </c>
      <c r="C352" s="6">
        <f>TimeStep!B352</f>
        <v>2883.3333333333335</v>
      </c>
      <c r="D352" s="6">
        <v>1.4750000000000001</v>
      </c>
      <c r="E352" s="6">
        <v>-0.36799999999999999</v>
      </c>
      <c r="F352" s="6">
        <v>4.5720000000000001</v>
      </c>
      <c r="G352" s="6">
        <v>0</v>
      </c>
      <c r="H352" s="6">
        <v>4.5640000000000001</v>
      </c>
      <c r="I352" s="6">
        <v>1.647</v>
      </c>
      <c r="J352" s="6">
        <v>2.27</v>
      </c>
      <c r="K352" s="6">
        <v>1.696</v>
      </c>
      <c r="L352" s="6">
        <v>1.5960000000000001</v>
      </c>
      <c r="M352" s="6">
        <v>3.2130000000000001</v>
      </c>
      <c r="N352" s="6">
        <v>-51.91</v>
      </c>
      <c r="O352" s="6">
        <v>-73.3386</v>
      </c>
      <c r="P352" s="6">
        <f t="shared" si="35"/>
        <v>68.934591528388054</v>
      </c>
      <c r="Q352" s="6">
        <f t="shared" si="36"/>
        <v>88.064743737175064</v>
      </c>
      <c r="R352" s="6">
        <f t="shared" si="37"/>
        <v>90.278301536934464</v>
      </c>
      <c r="S352" s="6">
        <f t="shared" si="39"/>
        <v>68.93459152838804</v>
      </c>
      <c r="T352" s="6">
        <f t="shared" si="40"/>
        <v>88.064743737174695</v>
      </c>
      <c r="U352" s="6">
        <f t="shared" si="41"/>
        <v>90.278301536934123</v>
      </c>
      <c r="V352" s="6">
        <f t="shared" si="38"/>
        <v>7.73070496506989E-12</v>
      </c>
    </row>
    <row r="353" spans="1:22" ht="18.95" customHeight="1">
      <c r="A353" s="1">
        <v>347</v>
      </c>
      <c r="B353" s="6">
        <v>2.8916666666666591</v>
      </c>
      <c r="C353" s="6">
        <f>TimeStep!B353</f>
        <v>2891.666666666667</v>
      </c>
      <c r="D353" s="6">
        <v>1.4810000000000001</v>
      </c>
      <c r="E353" s="6">
        <v>-0.34200000000000003</v>
      </c>
      <c r="F353" s="6">
        <v>4.5720000000000001</v>
      </c>
      <c r="G353" s="6">
        <v>0</v>
      </c>
      <c r="H353" s="6">
        <v>4.5819999999999999</v>
      </c>
      <c r="I353" s="6">
        <v>1.647</v>
      </c>
      <c r="J353" s="6">
        <v>2.2919999999999998</v>
      </c>
      <c r="K353" s="6">
        <v>1.716</v>
      </c>
      <c r="L353" s="6">
        <v>1.63</v>
      </c>
      <c r="M353" s="6">
        <v>3.238</v>
      </c>
      <c r="N353" s="6">
        <v>-52.826700000000002</v>
      </c>
      <c r="O353" s="6">
        <v>-72.765600000000006</v>
      </c>
      <c r="P353" s="6">
        <f t="shared" si="35"/>
        <v>68.491993132860273</v>
      </c>
      <c r="Q353" s="6">
        <f t="shared" si="36"/>
        <v>87.616718753167262</v>
      </c>
      <c r="R353" s="6">
        <f t="shared" si="37"/>
        <v>89.652124617721043</v>
      </c>
      <c r="S353" s="6">
        <f t="shared" si="39"/>
        <v>68.491993132860244</v>
      </c>
      <c r="T353" s="6">
        <f t="shared" si="40"/>
        <v>87.616718753166879</v>
      </c>
      <c r="U353" s="6">
        <f t="shared" si="41"/>
        <v>89.652124617720688</v>
      </c>
      <c r="V353" s="6">
        <f t="shared" si="38"/>
        <v>7.73070496506989E-12</v>
      </c>
    </row>
    <row r="354" spans="1:22" ht="18.95" customHeight="1">
      <c r="A354" s="1">
        <v>348</v>
      </c>
      <c r="B354" s="6">
        <v>2.8999999999999924</v>
      </c>
      <c r="C354" s="6">
        <f>TimeStep!B354</f>
        <v>2900</v>
      </c>
      <c r="D354" s="6">
        <v>1.4870000000000001</v>
      </c>
      <c r="E354" s="6">
        <v>-0.316</v>
      </c>
      <c r="F354" s="6">
        <v>4.5720000000000001</v>
      </c>
      <c r="G354" s="6">
        <v>0</v>
      </c>
      <c r="H354" s="6">
        <v>4.5990000000000002</v>
      </c>
      <c r="I354" s="6">
        <v>1.6459999999999999</v>
      </c>
      <c r="J354" s="6">
        <v>2.3140000000000001</v>
      </c>
      <c r="K354" s="6">
        <v>1.7350000000000001</v>
      </c>
      <c r="L354" s="6">
        <v>1.663</v>
      </c>
      <c r="M354" s="6">
        <v>3.2629999999999999</v>
      </c>
      <c r="N354" s="6">
        <v>-53.686100000000003</v>
      </c>
      <c r="O354" s="6">
        <v>-72.192700000000002</v>
      </c>
      <c r="P354" s="6">
        <f t="shared" si="35"/>
        <v>68.039823540389165</v>
      </c>
      <c r="Q354" s="6">
        <f t="shared" si="36"/>
        <v>87.184705123259349</v>
      </c>
      <c r="R354" s="6">
        <f t="shared" si="37"/>
        <v>89.060238566680539</v>
      </c>
      <c r="S354" s="6">
        <f t="shared" si="39"/>
        <v>68.039823540389136</v>
      </c>
      <c r="T354" s="6">
        <f t="shared" si="40"/>
        <v>87.184705123258937</v>
      </c>
      <c r="U354" s="6">
        <f t="shared" si="41"/>
        <v>89.060238566680198</v>
      </c>
      <c r="V354" s="6">
        <f t="shared" si="38"/>
        <v>7.73070496506989E-12</v>
      </c>
    </row>
    <row r="355" spans="1:22" ht="18.95" customHeight="1">
      <c r="A355" s="1">
        <v>349</v>
      </c>
      <c r="B355" s="6">
        <v>2.9083333333333257</v>
      </c>
      <c r="C355" s="6">
        <f>TimeStep!B355</f>
        <v>2908.3333333333335</v>
      </c>
      <c r="D355" s="6">
        <v>1.492</v>
      </c>
      <c r="E355" s="6">
        <v>-0.28999999999999998</v>
      </c>
      <c r="F355" s="6">
        <v>4.5720000000000001</v>
      </c>
      <c r="G355" s="6">
        <v>0</v>
      </c>
      <c r="H355" s="6">
        <v>4.6159999999999997</v>
      </c>
      <c r="I355" s="6">
        <v>1.6459999999999999</v>
      </c>
      <c r="J355" s="6">
        <v>2.335</v>
      </c>
      <c r="K355" s="6">
        <v>1.7549999999999999</v>
      </c>
      <c r="L355" s="6">
        <v>1.6970000000000001</v>
      </c>
      <c r="M355" s="6">
        <v>3.2869999999999999</v>
      </c>
      <c r="N355" s="6">
        <v>-54.488300000000002</v>
      </c>
      <c r="O355" s="6">
        <v>-71.505099999999999</v>
      </c>
      <c r="P355" s="6">
        <f t="shared" si="35"/>
        <v>67.597321977871118</v>
      </c>
      <c r="Q355" s="6">
        <f t="shared" si="36"/>
        <v>86.719932749890248</v>
      </c>
      <c r="R355" s="6">
        <f t="shared" si="37"/>
        <v>88.468764231932184</v>
      </c>
      <c r="S355" s="6">
        <f t="shared" si="39"/>
        <v>67.597321977871104</v>
      </c>
      <c r="T355" s="6">
        <f t="shared" si="40"/>
        <v>86.719932749889836</v>
      </c>
      <c r="U355" s="6">
        <f t="shared" si="41"/>
        <v>88.468764231931857</v>
      </c>
      <c r="V355" s="6">
        <f t="shared" si="38"/>
        <v>7.73070496506989E-12</v>
      </c>
    </row>
    <row r="356" spans="1:22" ht="18.95" customHeight="1">
      <c r="A356" s="1">
        <v>350</v>
      </c>
      <c r="B356" s="6">
        <v>2.916666666666659</v>
      </c>
      <c r="C356" s="6">
        <f>TimeStep!B356</f>
        <v>2916.666666666667</v>
      </c>
      <c r="D356" s="6">
        <v>1.4970000000000001</v>
      </c>
      <c r="E356" s="6">
        <v>-0.26400000000000001</v>
      </c>
      <c r="F356" s="6">
        <v>4.5720000000000001</v>
      </c>
      <c r="G356" s="6">
        <v>0</v>
      </c>
      <c r="H356" s="6">
        <v>4.633</v>
      </c>
      <c r="I356" s="6">
        <v>1.645</v>
      </c>
      <c r="J356" s="6">
        <v>2.3570000000000002</v>
      </c>
      <c r="K356" s="6">
        <v>1.774</v>
      </c>
      <c r="L356" s="6">
        <v>1.73</v>
      </c>
      <c r="M356" s="6">
        <v>3.3119999999999998</v>
      </c>
      <c r="N356" s="6">
        <v>-55.2331</v>
      </c>
      <c r="O356" s="6">
        <v>-70.760300000000001</v>
      </c>
      <c r="P356" s="6">
        <f t="shared" si="35"/>
        <v>67.121114305175723</v>
      </c>
      <c r="Q356" s="6">
        <f t="shared" si="36"/>
        <v>86.27207137333528</v>
      </c>
      <c r="R356" s="6">
        <f t="shared" si="37"/>
        <v>87.876327122563552</v>
      </c>
      <c r="S356" s="6">
        <f t="shared" si="39"/>
        <v>67.121114305175695</v>
      </c>
      <c r="T356" s="6">
        <f t="shared" si="40"/>
        <v>86.272071373334882</v>
      </c>
      <c r="U356" s="6">
        <f t="shared" si="41"/>
        <v>87.876327122563225</v>
      </c>
      <c r="V356" s="6">
        <f t="shared" si="38"/>
        <v>8.1854523159563541E-12</v>
      </c>
    </row>
    <row r="357" spans="1:22" ht="18.95" customHeight="1">
      <c r="A357" s="1">
        <v>351</v>
      </c>
      <c r="B357" s="6">
        <v>2.9249999999999923</v>
      </c>
      <c r="C357" s="6">
        <f>TimeStep!B357</f>
        <v>2925</v>
      </c>
      <c r="D357" s="6">
        <v>1.5009999999999999</v>
      </c>
      <c r="E357" s="6">
        <v>-0.23799999999999999</v>
      </c>
      <c r="F357" s="6">
        <v>4.5720000000000001</v>
      </c>
      <c r="G357" s="6">
        <v>0</v>
      </c>
      <c r="H357" s="6">
        <v>4.6500000000000004</v>
      </c>
      <c r="I357" s="6">
        <v>1.645</v>
      </c>
      <c r="J357" s="6">
        <v>2.3769999999999998</v>
      </c>
      <c r="K357" s="6">
        <v>1.7929999999999999</v>
      </c>
      <c r="L357" s="6">
        <v>1.7629999999999999</v>
      </c>
      <c r="M357" s="6">
        <v>3.3359999999999999</v>
      </c>
      <c r="N357" s="6">
        <v>-55.920699999999997</v>
      </c>
      <c r="O357" s="6">
        <v>-69.900899999999993</v>
      </c>
      <c r="P357" s="6">
        <f t="shared" si="35"/>
        <v>66.668756983624164</v>
      </c>
      <c r="Q357" s="6">
        <f t="shared" si="36"/>
        <v>85.807305463374519</v>
      </c>
      <c r="R357" s="6">
        <f t="shared" si="37"/>
        <v>87.285272937328074</v>
      </c>
      <c r="S357" s="6">
        <f t="shared" si="39"/>
        <v>66.668756983624121</v>
      </c>
      <c r="T357" s="6">
        <f t="shared" si="40"/>
        <v>85.807305463374121</v>
      </c>
      <c r="U357" s="6">
        <f t="shared" si="41"/>
        <v>87.285272937327761</v>
      </c>
      <c r="V357" s="6">
        <f t="shared" si="38"/>
        <v>7.73070496506989E-12</v>
      </c>
    </row>
    <row r="358" spans="1:22" ht="18.95" customHeight="1">
      <c r="A358" s="1">
        <v>352</v>
      </c>
      <c r="B358" s="6">
        <v>2.9333333333333256</v>
      </c>
      <c r="C358" s="6">
        <f>TimeStep!B358</f>
        <v>2933.3333333333335</v>
      </c>
      <c r="D358" s="6">
        <v>1.5049999999999999</v>
      </c>
      <c r="E358" s="6">
        <v>-0.21099999999999999</v>
      </c>
      <c r="F358" s="6">
        <v>4.5720000000000001</v>
      </c>
      <c r="G358" s="6">
        <v>0</v>
      </c>
      <c r="H358" s="6">
        <v>4.6669999999999998</v>
      </c>
      <c r="I358" s="6">
        <v>1.6439999999999999</v>
      </c>
      <c r="J358" s="6">
        <v>2.3980000000000001</v>
      </c>
      <c r="K358" s="6">
        <v>1.8120000000000001</v>
      </c>
      <c r="L358" s="6">
        <v>1.796</v>
      </c>
      <c r="M358" s="6">
        <v>3.36</v>
      </c>
      <c r="N358" s="6">
        <v>-56.608199999999997</v>
      </c>
      <c r="O358" s="6">
        <v>-69.041399999999996</v>
      </c>
      <c r="P358" s="6">
        <f t="shared" si="35"/>
        <v>66.182203673118664</v>
      </c>
      <c r="Q358" s="6">
        <f t="shared" si="36"/>
        <v>85.341273626302652</v>
      </c>
      <c r="R358" s="6">
        <f t="shared" si="37"/>
        <v>86.692790380095275</v>
      </c>
      <c r="S358" s="6">
        <f t="shared" si="39"/>
        <v>66.182203673118636</v>
      </c>
      <c r="T358" s="6">
        <f t="shared" si="40"/>
        <v>85.341273626302268</v>
      </c>
      <c r="U358" s="6">
        <f t="shared" si="41"/>
        <v>86.692790380094948</v>
      </c>
      <c r="V358" s="6">
        <f t="shared" si="38"/>
        <v>7.73070496506989E-12</v>
      </c>
    </row>
    <row r="359" spans="1:22" ht="18.95" customHeight="1">
      <c r="A359" s="1">
        <v>353</v>
      </c>
      <c r="B359" s="6">
        <v>2.9416666666666589</v>
      </c>
      <c r="C359" s="6">
        <f>TimeStep!B359</f>
        <v>2941.666666666667</v>
      </c>
      <c r="D359" s="6">
        <v>1.5089999999999999</v>
      </c>
      <c r="E359" s="6">
        <v>-0.185</v>
      </c>
      <c r="F359" s="6">
        <v>4.5720000000000001</v>
      </c>
      <c r="G359" s="6">
        <v>0</v>
      </c>
      <c r="H359" s="6">
        <v>4.6829999999999998</v>
      </c>
      <c r="I359" s="6">
        <v>1.643</v>
      </c>
      <c r="J359" s="6">
        <v>2.4180000000000001</v>
      </c>
      <c r="K359" s="6">
        <v>1.831</v>
      </c>
      <c r="L359" s="6">
        <v>1.829</v>
      </c>
      <c r="M359" s="6">
        <v>3.383</v>
      </c>
      <c r="N359" s="6">
        <v>-57.181199999999997</v>
      </c>
      <c r="O359" s="6">
        <v>-68.124700000000004</v>
      </c>
      <c r="P359" s="6">
        <f t="shared" si="35"/>
        <v>65.729726740690538</v>
      </c>
      <c r="Q359" s="6">
        <f t="shared" si="36"/>
        <v>84.875076654020958</v>
      </c>
      <c r="R359" s="6">
        <f t="shared" si="37"/>
        <v>86.135007940896955</v>
      </c>
      <c r="S359" s="6">
        <f t="shared" si="39"/>
        <v>65.729726740690523</v>
      </c>
      <c r="T359" s="6">
        <f t="shared" si="40"/>
        <v>84.875076654020575</v>
      </c>
      <c r="U359" s="6">
        <f t="shared" si="41"/>
        <v>86.135007940896628</v>
      </c>
      <c r="V359" s="6">
        <f t="shared" si="38"/>
        <v>8.1854523159563541E-12</v>
      </c>
    </row>
    <row r="360" spans="1:22" ht="18.95" customHeight="1">
      <c r="A360" s="1">
        <v>354</v>
      </c>
      <c r="B360" s="6">
        <v>2.9499999999999922</v>
      </c>
      <c r="C360" s="6">
        <f>TimeStep!B360</f>
        <v>2950</v>
      </c>
      <c r="D360" s="6">
        <v>1.512</v>
      </c>
      <c r="E360" s="6">
        <v>-0.159</v>
      </c>
      <c r="F360" s="6">
        <v>4.5720000000000001</v>
      </c>
      <c r="G360" s="6">
        <v>0</v>
      </c>
      <c r="H360" s="6">
        <v>4.6989999999999998</v>
      </c>
      <c r="I360" s="6">
        <v>1.6419999999999999</v>
      </c>
      <c r="J360" s="6">
        <v>2.4380000000000002</v>
      </c>
      <c r="K360" s="6">
        <v>1.85</v>
      </c>
      <c r="L360" s="6">
        <v>1.8620000000000001</v>
      </c>
      <c r="M360" s="6">
        <v>3.407</v>
      </c>
      <c r="N360" s="6">
        <v>-57.696800000000003</v>
      </c>
      <c r="O360" s="6">
        <v>-67.093400000000003</v>
      </c>
      <c r="P360" s="6">
        <f t="shared" si="35"/>
        <v>65.253803086465311</v>
      </c>
      <c r="Q360" s="6">
        <f t="shared" si="36"/>
        <v>84.394419837049654</v>
      </c>
      <c r="R360" s="6">
        <f t="shared" si="37"/>
        <v>85.577280208948878</v>
      </c>
      <c r="S360" s="6">
        <f t="shared" si="39"/>
        <v>65.253803086465297</v>
      </c>
      <c r="T360" s="6">
        <f t="shared" si="40"/>
        <v>84.39441983704927</v>
      </c>
      <c r="U360" s="6">
        <f t="shared" si="41"/>
        <v>85.577280208948537</v>
      </c>
      <c r="V360" s="6">
        <f t="shared" si="38"/>
        <v>7.73070496506989E-12</v>
      </c>
    </row>
    <row r="361" spans="1:22" ht="18.95" customHeight="1">
      <c r="A361" s="1">
        <v>355</v>
      </c>
      <c r="B361" s="6">
        <v>2.958333333333325</v>
      </c>
      <c r="C361" s="6">
        <f>TimeStep!B361</f>
        <v>2958.3333333333335</v>
      </c>
      <c r="D361" s="6">
        <v>1.514</v>
      </c>
      <c r="E361" s="6">
        <v>-0.13200000000000001</v>
      </c>
      <c r="F361" s="6">
        <v>4.5720000000000001</v>
      </c>
      <c r="G361" s="6">
        <v>0</v>
      </c>
      <c r="H361" s="6">
        <v>4.7149999999999999</v>
      </c>
      <c r="I361" s="6">
        <v>1.64</v>
      </c>
      <c r="J361" s="6">
        <v>2.4569999999999999</v>
      </c>
      <c r="K361" s="6">
        <v>1.8680000000000001</v>
      </c>
      <c r="L361" s="6">
        <v>1.895</v>
      </c>
      <c r="M361" s="6">
        <v>3.43</v>
      </c>
      <c r="N361" s="6">
        <v>-58.212499999999999</v>
      </c>
      <c r="O361" s="6">
        <v>-66.0047</v>
      </c>
      <c r="P361" s="6">
        <f t="shared" si="35"/>
        <v>64.756122434939854</v>
      </c>
      <c r="Q361" s="6">
        <f t="shared" si="36"/>
        <v>83.894719810436115</v>
      </c>
      <c r="R361" s="6">
        <f t="shared" si="37"/>
        <v>85.016691361402451</v>
      </c>
      <c r="S361" s="6">
        <f t="shared" si="39"/>
        <v>64.75612243493984</v>
      </c>
      <c r="T361" s="6">
        <f t="shared" si="40"/>
        <v>83.894719810435731</v>
      </c>
      <c r="U361" s="6">
        <f t="shared" si="41"/>
        <v>85.016691361402081</v>
      </c>
      <c r="V361" s="6">
        <f t="shared" si="38"/>
        <v>8.6401996668428183E-12</v>
      </c>
    </row>
    <row r="362" spans="1:22" ht="18.95" customHeight="1">
      <c r="A362" s="1">
        <v>356</v>
      </c>
      <c r="B362" s="6">
        <v>2.9666666666666588</v>
      </c>
      <c r="C362" s="6">
        <f>TimeStep!B362</f>
        <v>2966.666666666667</v>
      </c>
      <c r="D362" s="6">
        <v>1.516</v>
      </c>
      <c r="E362" s="6">
        <v>-0.106</v>
      </c>
      <c r="F362" s="6">
        <v>4.5720000000000001</v>
      </c>
      <c r="G362" s="6">
        <v>0</v>
      </c>
      <c r="H362" s="6">
        <v>4.7309999999999999</v>
      </c>
      <c r="I362" s="6">
        <v>1.639</v>
      </c>
      <c r="J362" s="6">
        <v>2.476</v>
      </c>
      <c r="K362" s="6">
        <v>1.8859999999999999</v>
      </c>
      <c r="L362" s="6">
        <v>1.927</v>
      </c>
      <c r="M362" s="6">
        <v>3.4529999999999998</v>
      </c>
      <c r="N362" s="6">
        <v>-58.613599999999998</v>
      </c>
      <c r="O362" s="6">
        <v>-64.9161</v>
      </c>
      <c r="P362" s="6">
        <f t="shared" si="35"/>
        <v>64.269294398468801</v>
      </c>
      <c r="Q362" s="6">
        <f t="shared" si="36"/>
        <v>83.41255594722972</v>
      </c>
      <c r="R362" s="6">
        <f t="shared" si="37"/>
        <v>84.459053668458296</v>
      </c>
      <c r="S362" s="6">
        <f t="shared" si="39"/>
        <v>64.269294398468787</v>
      </c>
      <c r="T362" s="6">
        <f t="shared" si="40"/>
        <v>83.41255594722935</v>
      </c>
      <c r="U362" s="6">
        <f t="shared" si="41"/>
        <v>84.459053668457955</v>
      </c>
      <c r="V362" s="6">
        <f t="shared" si="38"/>
        <v>8.1854523159563541E-12</v>
      </c>
    </row>
    <row r="363" spans="1:22" ht="18.95" customHeight="1">
      <c r="A363" s="1">
        <v>357</v>
      </c>
      <c r="B363" s="6">
        <v>2.9749999999999921</v>
      </c>
      <c r="C363" s="6">
        <f>TimeStep!B363</f>
        <v>2975</v>
      </c>
      <c r="D363" s="6">
        <v>1.518</v>
      </c>
      <c r="E363" s="6">
        <v>-7.9000000000000001E-2</v>
      </c>
      <c r="F363" s="6">
        <v>4.5720000000000001</v>
      </c>
      <c r="G363" s="6">
        <v>0</v>
      </c>
      <c r="H363" s="6">
        <v>4.7460000000000004</v>
      </c>
      <c r="I363" s="6">
        <v>1.637</v>
      </c>
      <c r="J363" s="6">
        <v>2.4950000000000001</v>
      </c>
      <c r="K363" s="6">
        <v>1.905</v>
      </c>
      <c r="L363" s="6">
        <v>1.9590000000000001</v>
      </c>
      <c r="M363" s="6">
        <v>3.476</v>
      </c>
      <c r="N363" s="6">
        <v>-59.014699999999998</v>
      </c>
      <c r="O363" s="6">
        <v>-63.712899999999998</v>
      </c>
      <c r="P363" s="6">
        <f t="shared" si="35"/>
        <v>63.782542816450054</v>
      </c>
      <c r="Q363" s="6">
        <f t="shared" si="36"/>
        <v>82.928547779631614</v>
      </c>
      <c r="R363" s="6">
        <f t="shared" si="37"/>
        <v>83.932698143750528</v>
      </c>
      <c r="S363" s="6">
        <f t="shared" si="39"/>
        <v>63.782542816450047</v>
      </c>
      <c r="T363" s="6">
        <f t="shared" si="40"/>
        <v>82.928547779631231</v>
      </c>
      <c r="U363" s="6">
        <f t="shared" si="41"/>
        <v>83.932698143750201</v>
      </c>
      <c r="V363" s="6">
        <f t="shared" si="38"/>
        <v>7.73070496506989E-12</v>
      </c>
    </row>
    <row r="364" spans="1:22" ht="18.95" customHeight="1">
      <c r="A364" s="1">
        <v>358</v>
      </c>
      <c r="B364" s="6">
        <v>2.9833333333333254</v>
      </c>
      <c r="C364" s="6">
        <f>TimeStep!B364</f>
        <v>2983.3333333333335</v>
      </c>
      <c r="D364" s="6">
        <v>1.5189999999999999</v>
      </c>
      <c r="E364" s="6">
        <v>-5.2999999999999999E-2</v>
      </c>
      <c r="F364" s="6">
        <v>4.5720000000000001</v>
      </c>
      <c r="G364" s="6">
        <v>0</v>
      </c>
      <c r="H364" s="6">
        <v>4.7610000000000001</v>
      </c>
      <c r="I364" s="6">
        <v>1.6359999999999999</v>
      </c>
      <c r="J364" s="6">
        <v>2.5129999999999999</v>
      </c>
      <c r="K364" s="6">
        <v>1.923</v>
      </c>
      <c r="L364" s="6">
        <v>1.9910000000000001</v>
      </c>
      <c r="M364" s="6">
        <v>3.4990000000000001</v>
      </c>
      <c r="N364" s="6">
        <v>-59.301099999999998</v>
      </c>
      <c r="O364" s="6">
        <v>-62.452399999999997</v>
      </c>
      <c r="P364" s="6">
        <f t="shared" si="35"/>
        <v>63.295937903980594</v>
      </c>
      <c r="Q364" s="6">
        <f t="shared" si="36"/>
        <v>82.430716225287995</v>
      </c>
      <c r="R364" s="6">
        <f t="shared" si="37"/>
        <v>83.410079689418467</v>
      </c>
      <c r="S364" s="6">
        <f t="shared" si="39"/>
        <v>63.295937903980587</v>
      </c>
      <c r="T364" s="6">
        <f t="shared" si="40"/>
        <v>82.430716225287597</v>
      </c>
      <c r="U364" s="6">
        <f t="shared" si="41"/>
        <v>83.410079689418126</v>
      </c>
      <c r="V364" s="6">
        <f t="shared" si="38"/>
        <v>8.1854523159563541E-12</v>
      </c>
    </row>
    <row r="365" spans="1:22" ht="18.95" customHeight="1">
      <c r="A365" s="1">
        <v>359</v>
      </c>
      <c r="B365" s="6">
        <v>2.9916666666666587</v>
      </c>
      <c r="C365" s="6">
        <f>TimeStep!B365</f>
        <v>2991.666666666667</v>
      </c>
      <c r="D365" s="6">
        <v>1.52</v>
      </c>
      <c r="E365" s="6">
        <v>-2.5999999999999999E-2</v>
      </c>
      <c r="F365" s="6">
        <v>4.5720000000000001</v>
      </c>
      <c r="G365" s="6">
        <v>0</v>
      </c>
      <c r="H365" s="6">
        <v>4.7759999999999998</v>
      </c>
      <c r="I365" s="6">
        <v>1.6339999999999999</v>
      </c>
      <c r="J365" s="6">
        <v>2.5310000000000001</v>
      </c>
      <c r="K365" s="6">
        <v>1.94</v>
      </c>
      <c r="L365" s="6">
        <v>2.0219999999999998</v>
      </c>
      <c r="M365" s="6">
        <v>3.5209999999999999</v>
      </c>
      <c r="N365" s="6">
        <v>-59.587600000000002</v>
      </c>
      <c r="O365" s="6">
        <v>-61.134599999999999</v>
      </c>
      <c r="P365" s="6">
        <f t="shared" si="35"/>
        <v>62.78586397756829</v>
      </c>
      <c r="Q365" s="6">
        <f t="shared" si="36"/>
        <v>81.944539770288017</v>
      </c>
      <c r="R365" s="6">
        <f t="shared" si="37"/>
        <v>82.883615133333777</v>
      </c>
      <c r="S365" s="6">
        <f t="shared" si="39"/>
        <v>62.785863977568283</v>
      </c>
      <c r="T365" s="6">
        <f t="shared" si="40"/>
        <v>81.944539770287633</v>
      </c>
      <c r="U365" s="6">
        <f t="shared" si="41"/>
        <v>82.883615133333421</v>
      </c>
      <c r="V365" s="6">
        <f t="shared" si="38"/>
        <v>8.1854523159563541E-12</v>
      </c>
    </row>
    <row r="366" spans="1:22" ht="18.95" customHeight="1">
      <c r="A366" s="1">
        <v>360</v>
      </c>
      <c r="B366" s="6">
        <v>2.999999999999992</v>
      </c>
      <c r="C366" s="6">
        <f>TimeStep!B366</f>
        <v>3000</v>
      </c>
      <c r="D366" s="6">
        <v>1.52</v>
      </c>
      <c r="E366" s="6">
        <v>0</v>
      </c>
      <c r="F366" s="6">
        <v>4.5720000000000001</v>
      </c>
      <c r="G366" s="6">
        <v>0</v>
      </c>
      <c r="H366" s="6">
        <v>4.79</v>
      </c>
      <c r="I366" s="6">
        <v>1.6319999999999999</v>
      </c>
      <c r="J366" s="6">
        <v>2.548</v>
      </c>
      <c r="K366" s="6">
        <v>1.958</v>
      </c>
      <c r="L366" s="6">
        <v>2.0529999999999999</v>
      </c>
      <c r="M366" s="6">
        <v>3.5430000000000001</v>
      </c>
      <c r="N366" s="6">
        <v>-59.759500000000003</v>
      </c>
      <c r="O366" s="6">
        <v>-59.759500000000003</v>
      </c>
      <c r="P366" s="6">
        <f t="shared" si="35"/>
        <v>62.29938022114176</v>
      </c>
      <c r="Q366" s="6">
        <f t="shared" si="36"/>
        <v>81.444721644132969</v>
      </c>
      <c r="R366" s="6">
        <f t="shared" si="37"/>
        <v>82.391559285509004</v>
      </c>
      <c r="S366" s="6">
        <f t="shared" si="39"/>
        <v>62.299380221141746</v>
      </c>
      <c r="T366" s="6">
        <f t="shared" si="40"/>
        <v>81.444721644132585</v>
      </c>
      <c r="U366" s="6">
        <f t="shared" si="41"/>
        <v>82.391559285508663</v>
      </c>
      <c r="V366" s="6">
        <f t="shared" si="38"/>
        <v>8.1854523159563541E-12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8" width="16" customWidth="1"/>
  </cols>
  <sheetData>
    <row r="1" spans="1:8" ht="18.95" customHeight="1">
      <c r="A1" s="2" t="s">
        <v>85</v>
      </c>
      <c r="B1" s="1"/>
      <c r="C1" s="1"/>
      <c r="D1" s="1"/>
      <c r="E1" s="1"/>
      <c r="F1" s="1"/>
      <c r="G1" s="1"/>
      <c r="H1" s="1"/>
    </row>
    <row r="2" spans="1:8" ht="6" customHeight="1">
      <c r="A2" s="1"/>
      <c r="B2" s="1"/>
      <c r="C2" s="1"/>
      <c r="D2" s="1"/>
      <c r="E2" s="1"/>
      <c r="F2" s="1"/>
      <c r="G2" s="1"/>
      <c r="H2" s="1"/>
    </row>
    <row r="3" spans="1:8" ht="6" customHeight="1">
      <c r="A3" s="1"/>
      <c r="B3" s="1"/>
      <c r="C3" s="1"/>
      <c r="D3" s="1"/>
      <c r="E3" s="1"/>
      <c r="F3" s="1"/>
      <c r="G3" s="1"/>
      <c r="H3" s="1"/>
    </row>
    <row r="4" spans="1:8" ht="18.95" customHeight="1">
      <c r="A4" s="1"/>
      <c r="B4" s="1"/>
      <c r="C4" s="1"/>
      <c r="D4" s="1"/>
      <c r="E4" s="1"/>
      <c r="F4" s="1"/>
      <c r="G4" s="1"/>
      <c r="H4" s="1"/>
    </row>
    <row r="5" spans="1:8" ht="33.950000000000003" customHeight="1">
      <c r="A5" s="3" t="s">
        <v>86</v>
      </c>
      <c r="B5" s="3" t="s">
        <v>65</v>
      </c>
      <c r="C5" s="3" t="s">
        <v>87</v>
      </c>
      <c r="D5" s="3" t="s">
        <v>88</v>
      </c>
      <c r="E5" s="3"/>
      <c r="F5" s="3" t="s">
        <v>89</v>
      </c>
      <c r="G5" s="3" t="s">
        <v>90</v>
      </c>
      <c r="H5" s="1"/>
    </row>
    <row r="6" spans="1:8" ht="18.95" customHeight="1">
      <c r="A6" s="1">
        <v>0</v>
      </c>
      <c r="B6" s="8">
        <f>A6*Summary!$B$14</f>
        <v>0</v>
      </c>
      <c r="C6" s="8">
        <f>'Native PMKS'!B6*1000</f>
        <v>0</v>
      </c>
      <c r="D6" s="8">
        <f t="shared" ref="D6:D69" si="0">B6-C6</f>
        <v>0</v>
      </c>
      <c r="E6" s="1"/>
      <c r="F6" s="1">
        <v>0</v>
      </c>
      <c r="G6" s="8">
        <f>F6*Summary!$B$17</f>
        <v>0</v>
      </c>
      <c r="H6" s="1"/>
    </row>
    <row r="7" spans="1:8" ht="18.95" customHeight="1">
      <c r="A7" s="1">
        <v>1</v>
      </c>
      <c r="B7" s="8">
        <f>A7*Summary!$B$14</f>
        <v>8.3333333333333339</v>
      </c>
      <c r="C7" s="8">
        <f>'Native PMKS'!B7*1000</f>
        <v>8.3333333333333002</v>
      </c>
      <c r="D7" s="8">
        <f t="shared" si="0"/>
        <v>3.3750779948604759E-14</v>
      </c>
      <c r="E7" s="1"/>
      <c r="F7" s="1">
        <v>1</v>
      </c>
      <c r="G7" s="8">
        <f>F7*Summary!$B$17</f>
        <v>8.3565459610027855</v>
      </c>
      <c r="H7" s="1"/>
    </row>
    <row r="8" spans="1:8" ht="18.95" customHeight="1">
      <c r="A8" s="1">
        <v>2</v>
      </c>
      <c r="B8" s="8">
        <f>A8*Summary!$B$14</f>
        <v>16.666666666666668</v>
      </c>
      <c r="C8" s="8">
        <f>'Native PMKS'!B8*1000</f>
        <v>16.6666666666666</v>
      </c>
      <c r="D8" s="8">
        <f t="shared" si="0"/>
        <v>6.7501559897209518E-14</v>
      </c>
      <c r="E8" s="1"/>
      <c r="F8" s="1">
        <v>2</v>
      </c>
      <c r="G8" s="8">
        <f>F8*Summary!$B$17</f>
        <v>16.713091922005571</v>
      </c>
      <c r="H8" s="1"/>
    </row>
    <row r="9" spans="1:8" ht="18.95" customHeight="1">
      <c r="A9" s="1">
        <v>3</v>
      </c>
      <c r="B9" s="8">
        <f>A9*Summary!$B$14</f>
        <v>25</v>
      </c>
      <c r="C9" s="8">
        <f>'Native PMKS'!B9*1000</f>
        <v>25</v>
      </c>
      <c r="D9" s="8">
        <f t="shared" si="0"/>
        <v>0</v>
      </c>
      <c r="E9" s="1"/>
      <c r="F9" s="1">
        <v>3</v>
      </c>
      <c r="G9" s="8">
        <f>F9*Summary!$B$17</f>
        <v>25.069637883008355</v>
      </c>
      <c r="H9" s="1"/>
    </row>
    <row r="10" spans="1:8" ht="18.95" customHeight="1">
      <c r="A10" s="1">
        <v>4</v>
      </c>
      <c r="B10" s="8">
        <f>A10*Summary!$B$14</f>
        <v>33.333333333333336</v>
      </c>
      <c r="C10" s="8">
        <f>'Native PMKS'!B10*1000</f>
        <v>33.3333333333333</v>
      </c>
      <c r="D10" s="8">
        <f t="shared" si="0"/>
        <v>0</v>
      </c>
      <c r="E10" s="1"/>
      <c r="F10" s="1">
        <v>4</v>
      </c>
      <c r="G10" s="8">
        <f>F10*Summary!$B$17</f>
        <v>33.426183844011142</v>
      </c>
      <c r="H10" s="1"/>
    </row>
    <row r="11" spans="1:8" ht="18.95" customHeight="1">
      <c r="A11" s="1">
        <v>5</v>
      </c>
      <c r="B11" s="8">
        <f>A11*Summary!$B$14</f>
        <v>41.666666666666671</v>
      </c>
      <c r="C11" s="8">
        <f>'Native PMKS'!B11*1000</f>
        <v>41.6666666666666</v>
      </c>
      <c r="D11" s="8">
        <f t="shared" si="0"/>
        <v>7.1054273576010019E-14</v>
      </c>
      <c r="E11" s="1"/>
      <c r="F11" s="1">
        <v>5</v>
      </c>
      <c r="G11" s="8">
        <f>F11*Summary!$B$17</f>
        <v>41.782729805013929</v>
      </c>
      <c r="H11" s="1"/>
    </row>
    <row r="12" spans="1:8" ht="18.95" customHeight="1">
      <c r="A12" s="1">
        <v>6</v>
      </c>
      <c r="B12" s="8">
        <f>A12*Summary!$B$14</f>
        <v>50</v>
      </c>
      <c r="C12" s="8">
        <f>'Native PMKS'!B12*1000</f>
        <v>50</v>
      </c>
      <c r="D12" s="8">
        <f t="shared" si="0"/>
        <v>0</v>
      </c>
      <c r="E12" s="1"/>
      <c r="F12" s="1">
        <v>6</v>
      </c>
      <c r="G12" s="8">
        <f>F12*Summary!$B$17</f>
        <v>50.139275766016709</v>
      </c>
      <c r="H12" s="1"/>
    </row>
    <row r="13" spans="1:8" ht="18.95" customHeight="1">
      <c r="A13" s="1">
        <v>7</v>
      </c>
      <c r="B13" s="8">
        <f>A13*Summary!$B$14</f>
        <v>58.333333333333336</v>
      </c>
      <c r="C13" s="8">
        <f>'Native PMKS'!B13*1000</f>
        <v>58.3333333333333</v>
      </c>
      <c r="D13" s="8">
        <f t="shared" si="0"/>
        <v>0</v>
      </c>
      <c r="E13" s="1"/>
      <c r="F13" s="1">
        <v>7</v>
      </c>
      <c r="G13" s="8">
        <f>F13*Summary!$B$17</f>
        <v>58.495821727019496</v>
      </c>
      <c r="H13" s="1"/>
    </row>
    <row r="14" spans="1:8" ht="18.95" customHeight="1">
      <c r="A14" s="1">
        <v>8</v>
      </c>
      <c r="B14" s="8">
        <f>A14*Summary!$B$14</f>
        <v>66.666666666666671</v>
      </c>
      <c r="C14" s="8">
        <f>'Native PMKS'!B14*1000</f>
        <v>66.6666666666666</v>
      </c>
      <c r="D14" s="8">
        <f t="shared" si="0"/>
        <v>0</v>
      </c>
      <c r="E14" s="1"/>
      <c r="F14" s="1">
        <v>8</v>
      </c>
      <c r="G14" s="8">
        <f>F14*Summary!$B$17</f>
        <v>66.852367688022284</v>
      </c>
      <c r="H14" s="1"/>
    </row>
    <row r="15" spans="1:8" ht="18.95" customHeight="1">
      <c r="A15" s="1">
        <v>9</v>
      </c>
      <c r="B15" s="8">
        <f>A15*Summary!$B$14</f>
        <v>75</v>
      </c>
      <c r="C15" s="8">
        <f>'Native PMKS'!B15*1000</f>
        <v>75</v>
      </c>
      <c r="D15" s="8">
        <f t="shared" si="0"/>
        <v>0</v>
      </c>
      <c r="E15" s="1"/>
      <c r="F15" s="1">
        <v>9</v>
      </c>
      <c r="G15" s="8">
        <f>F15*Summary!$B$17</f>
        <v>75.208913649025064</v>
      </c>
      <c r="H15" s="1"/>
    </row>
    <row r="16" spans="1:8" ht="18.95" customHeight="1">
      <c r="A16" s="1">
        <v>10</v>
      </c>
      <c r="B16" s="8">
        <f>A16*Summary!$B$14</f>
        <v>83.333333333333343</v>
      </c>
      <c r="C16" s="8">
        <f>'Native PMKS'!B16*1000</f>
        <v>83.3333333333333</v>
      </c>
      <c r="D16" s="8">
        <f t="shared" si="0"/>
        <v>0</v>
      </c>
      <c r="E16" s="1"/>
      <c r="F16" s="1">
        <v>10</v>
      </c>
      <c r="G16" s="8">
        <f>F16*Summary!$B$17</f>
        <v>83.565459610027858</v>
      </c>
      <c r="H16" s="1"/>
    </row>
    <row r="17" spans="1:8" ht="18.95" customHeight="1">
      <c r="A17" s="1">
        <v>11</v>
      </c>
      <c r="B17" s="8">
        <f>A17*Summary!$B$14</f>
        <v>91.666666666666671</v>
      </c>
      <c r="C17" s="8">
        <f>'Native PMKS'!B17*1000</f>
        <v>91.6666666666666</v>
      </c>
      <c r="D17" s="8">
        <f t="shared" si="0"/>
        <v>0</v>
      </c>
      <c r="E17" s="1"/>
      <c r="F17" s="1">
        <v>11</v>
      </c>
      <c r="G17" s="8">
        <f>F17*Summary!$B$17</f>
        <v>91.922005571030638</v>
      </c>
      <c r="H17" s="1"/>
    </row>
    <row r="18" spans="1:8" ht="18.95" customHeight="1">
      <c r="A18" s="1">
        <v>12</v>
      </c>
      <c r="B18" s="8">
        <f>A18*Summary!$B$14</f>
        <v>100</v>
      </c>
      <c r="C18" s="8">
        <f>'Native PMKS'!B18*1000</f>
        <v>99.999999999999901</v>
      </c>
      <c r="D18" s="8">
        <f t="shared" si="0"/>
        <v>0</v>
      </c>
      <c r="E18" s="1"/>
      <c r="F18" s="1">
        <v>12</v>
      </c>
      <c r="G18" s="8">
        <f>F18*Summary!$B$17</f>
        <v>100.27855153203342</v>
      </c>
      <c r="H18" s="1"/>
    </row>
    <row r="19" spans="1:8" ht="18.95" customHeight="1">
      <c r="A19" s="1">
        <v>13</v>
      </c>
      <c r="B19" s="8">
        <f>A19*Summary!$B$14</f>
        <v>108.33333333333334</v>
      </c>
      <c r="C19" s="8">
        <f>'Native PMKS'!B19*1000</f>
        <v>108.3333333333333</v>
      </c>
      <c r="D19" s="8">
        <f t="shared" si="0"/>
        <v>0</v>
      </c>
      <c r="E19" s="1"/>
      <c r="F19" s="1">
        <v>13</v>
      </c>
      <c r="G19" s="8">
        <f>F19*Summary!$B$17</f>
        <v>108.63509749303621</v>
      </c>
      <c r="H19" s="1"/>
    </row>
    <row r="20" spans="1:8" ht="18.95" customHeight="1">
      <c r="A20" s="1">
        <v>14</v>
      </c>
      <c r="B20" s="8">
        <f>A20*Summary!$B$14</f>
        <v>116.66666666666667</v>
      </c>
      <c r="C20" s="8">
        <f>'Native PMKS'!B20*1000</f>
        <v>116.6666666666666</v>
      </c>
      <c r="D20" s="8">
        <f t="shared" si="0"/>
        <v>0</v>
      </c>
      <c r="E20" s="1"/>
      <c r="F20" s="1">
        <v>14</v>
      </c>
      <c r="G20" s="8">
        <f>F20*Summary!$B$17</f>
        <v>116.99164345403899</v>
      </c>
      <c r="H20" s="1"/>
    </row>
    <row r="21" spans="1:8" ht="18.95" customHeight="1">
      <c r="A21" s="1">
        <v>15</v>
      </c>
      <c r="B21" s="8">
        <f>A21*Summary!$B$14</f>
        <v>125.00000000000001</v>
      </c>
      <c r="C21" s="8">
        <f>'Native PMKS'!B21*1000</f>
        <v>124.9999999999999</v>
      </c>
      <c r="D21" s="8">
        <f t="shared" si="0"/>
        <v>1.1368683772161603E-13</v>
      </c>
      <c r="E21" s="1"/>
      <c r="F21" s="1">
        <v>15</v>
      </c>
      <c r="G21" s="8">
        <f>F21*Summary!$B$17</f>
        <v>125.34818941504179</v>
      </c>
      <c r="H21" s="1"/>
    </row>
    <row r="22" spans="1:8" ht="18.95" customHeight="1">
      <c r="A22" s="1">
        <v>16</v>
      </c>
      <c r="B22" s="8">
        <f>A22*Summary!$B$14</f>
        <v>133.33333333333334</v>
      </c>
      <c r="C22" s="8">
        <f>'Native PMKS'!B22*1000</f>
        <v>133.33333333333331</v>
      </c>
      <c r="D22" s="8">
        <f t="shared" si="0"/>
        <v>0</v>
      </c>
      <c r="E22" s="1"/>
      <c r="F22" s="1">
        <v>16</v>
      </c>
      <c r="G22" s="8">
        <f>F22*Summary!$B$17</f>
        <v>133.70473537604457</v>
      </c>
      <c r="H22" s="1"/>
    </row>
    <row r="23" spans="1:8" ht="18.95" customHeight="1">
      <c r="A23" s="1">
        <v>17</v>
      </c>
      <c r="B23" s="8">
        <f>A23*Summary!$B$14</f>
        <v>141.66666666666669</v>
      </c>
      <c r="C23" s="8">
        <f>'Native PMKS'!B23*1000</f>
        <v>141.6666666666666</v>
      </c>
      <c r="D23" s="8">
        <f t="shared" si="0"/>
        <v>0</v>
      </c>
      <c r="E23" s="1"/>
      <c r="F23" s="1">
        <v>17</v>
      </c>
      <c r="G23" s="8">
        <f>F23*Summary!$B$17</f>
        <v>142.06128133704735</v>
      </c>
      <c r="H23" s="1"/>
    </row>
    <row r="24" spans="1:8" ht="18.95" customHeight="1">
      <c r="A24" s="1">
        <v>18</v>
      </c>
      <c r="B24" s="8">
        <f>A24*Summary!$B$14</f>
        <v>150</v>
      </c>
      <c r="C24" s="8">
        <f>'Native PMKS'!B24*1000</f>
        <v>150</v>
      </c>
      <c r="D24" s="8">
        <f t="shared" si="0"/>
        <v>0</v>
      </c>
      <c r="E24" s="1"/>
      <c r="F24" s="1">
        <v>18</v>
      </c>
      <c r="G24" s="8">
        <f>F24*Summary!$B$17</f>
        <v>150.41782729805013</v>
      </c>
      <c r="H24" s="1"/>
    </row>
    <row r="25" spans="1:8" ht="18.95" customHeight="1">
      <c r="A25" s="1">
        <v>19</v>
      </c>
      <c r="B25" s="8">
        <f>A25*Summary!$B$14</f>
        <v>158.33333333333334</v>
      </c>
      <c r="C25" s="8">
        <f>'Native PMKS'!B25*1000</f>
        <v>158.33333333333329</v>
      </c>
      <c r="D25" s="8">
        <f t="shared" si="0"/>
        <v>0</v>
      </c>
      <c r="E25" s="1"/>
      <c r="F25" s="1">
        <v>19</v>
      </c>
      <c r="G25" s="8">
        <f>F25*Summary!$B$17</f>
        <v>158.77437325905294</v>
      </c>
      <c r="H25" s="1"/>
    </row>
    <row r="26" spans="1:8" ht="18.95" customHeight="1">
      <c r="A26" s="1">
        <v>20</v>
      </c>
      <c r="B26" s="8">
        <f>A26*Summary!$B$14</f>
        <v>166.66666666666669</v>
      </c>
      <c r="C26" s="8">
        <f>'Native PMKS'!B26*1000</f>
        <v>166.6666666666666</v>
      </c>
      <c r="D26" s="8">
        <f t="shared" si="0"/>
        <v>0</v>
      </c>
      <c r="E26" s="1"/>
      <c r="F26" s="1">
        <v>20</v>
      </c>
      <c r="G26" s="8">
        <f>F26*Summary!$B$17</f>
        <v>167.13091922005572</v>
      </c>
      <c r="H26" s="1"/>
    </row>
    <row r="27" spans="1:8" ht="18.95" customHeight="1">
      <c r="A27" s="1">
        <v>21</v>
      </c>
      <c r="B27" s="8">
        <f>A27*Summary!$B$14</f>
        <v>175</v>
      </c>
      <c r="C27" s="8">
        <f>'Native PMKS'!B27*1000</f>
        <v>175</v>
      </c>
      <c r="D27" s="8">
        <f t="shared" si="0"/>
        <v>0</v>
      </c>
      <c r="E27" s="1"/>
      <c r="F27" s="1">
        <v>21</v>
      </c>
      <c r="G27" s="8">
        <f>F27*Summary!$B$17</f>
        <v>175.4874651810585</v>
      </c>
      <c r="H27" s="1"/>
    </row>
    <row r="28" spans="1:8" ht="18.95" customHeight="1">
      <c r="A28" s="1">
        <v>22</v>
      </c>
      <c r="B28" s="8">
        <f>A28*Summary!$B$14</f>
        <v>183.33333333333334</v>
      </c>
      <c r="C28" s="8">
        <f>'Native PMKS'!B28*1000</f>
        <v>183.33333333333329</v>
      </c>
      <c r="D28" s="8">
        <f t="shared" si="0"/>
        <v>0</v>
      </c>
      <c r="E28" s="1"/>
      <c r="F28" s="1">
        <v>22</v>
      </c>
      <c r="G28" s="8">
        <f>F28*Summary!$B$17</f>
        <v>183.84401114206128</v>
      </c>
      <c r="H28" s="1"/>
    </row>
    <row r="29" spans="1:8" ht="18.95" customHeight="1">
      <c r="A29" s="1">
        <v>23</v>
      </c>
      <c r="B29" s="8">
        <f>A29*Summary!$B$14</f>
        <v>191.66666666666669</v>
      </c>
      <c r="C29" s="8">
        <f>'Native PMKS'!B29*1000</f>
        <v>191.6666666666666</v>
      </c>
      <c r="D29" s="8">
        <f t="shared" si="0"/>
        <v>0</v>
      </c>
      <c r="E29" s="1"/>
      <c r="F29" s="1">
        <v>23</v>
      </c>
      <c r="G29" s="8">
        <f>F29*Summary!$B$17</f>
        <v>192.20055710306406</v>
      </c>
      <c r="H29" s="1"/>
    </row>
    <row r="30" spans="1:8" ht="18.95" customHeight="1">
      <c r="A30" s="1">
        <v>24</v>
      </c>
      <c r="B30" s="8">
        <f>A30*Summary!$B$14</f>
        <v>200</v>
      </c>
      <c r="C30" s="8">
        <f>'Native PMKS'!B30*1000</f>
        <v>199.99999999999989</v>
      </c>
      <c r="D30" s="8">
        <f t="shared" si="0"/>
        <v>0</v>
      </c>
      <c r="E30" s="1"/>
      <c r="F30" s="1">
        <v>24</v>
      </c>
      <c r="G30" s="8">
        <f>F30*Summary!$B$17</f>
        <v>200.55710306406684</v>
      </c>
      <c r="H30" s="1"/>
    </row>
    <row r="31" spans="1:8" ht="18.95" customHeight="1">
      <c r="A31" s="1">
        <v>25</v>
      </c>
      <c r="B31" s="8">
        <f>A31*Summary!$B$14</f>
        <v>208.33333333333334</v>
      </c>
      <c r="C31" s="8">
        <f>'Native PMKS'!B31*1000</f>
        <v>208.33333333333329</v>
      </c>
      <c r="D31" s="8">
        <f t="shared" si="0"/>
        <v>0</v>
      </c>
      <c r="E31" s="1"/>
      <c r="F31" s="1">
        <v>25</v>
      </c>
      <c r="G31" s="8">
        <f>F31*Summary!$B$17</f>
        <v>208.91364902506965</v>
      </c>
      <c r="H31" s="1"/>
    </row>
    <row r="32" spans="1:8" ht="18.95" customHeight="1">
      <c r="A32" s="1">
        <v>26</v>
      </c>
      <c r="B32" s="8">
        <f>A32*Summary!$B$14</f>
        <v>216.66666666666669</v>
      </c>
      <c r="C32" s="8">
        <f>'Native PMKS'!B32*1000</f>
        <v>216.6666666666666</v>
      </c>
      <c r="D32" s="8">
        <f t="shared" si="0"/>
        <v>0</v>
      </c>
      <c r="E32" s="1"/>
      <c r="F32" s="1">
        <v>26</v>
      </c>
      <c r="G32" s="8">
        <f>F32*Summary!$B$17</f>
        <v>217.27019498607243</v>
      </c>
      <c r="H32" s="1"/>
    </row>
    <row r="33" spans="1:8" ht="18.95" customHeight="1">
      <c r="A33" s="1">
        <v>27</v>
      </c>
      <c r="B33" s="8">
        <f>A33*Summary!$B$14</f>
        <v>225.00000000000003</v>
      </c>
      <c r="C33" s="8">
        <f>'Native PMKS'!B33*1000</f>
        <v>224.99999999999989</v>
      </c>
      <c r="D33" s="8">
        <f t="shared" si="0"/>
        <v>0</v>
      </c>
      <c r="E33" s="1"/>
      <c r="F33" s="1">
        <v>27</v>
      </c>
      <c r="G33" s="8">
        <f>F33*Summary!$B$17</f>
        <v>225.62674094707521</v>
      </c>
      <c r="H33" s="1"/>
    </row>
    <row r="34" spans="1:8" ht="18.95" customHeight="1">
      <c r="A34" s="1">
        <v>28</v>
      </c>
      <c r="B34" s="8">
        <f>A34*Summary!$B$14</f>
        <v>233.33333333333334</v>
      </c>
      <c r="C34" s="8">
        <f>'Native PMKS'!B34*1000</f>
        <v>233.33333333333331</v>
      </c>
      <c r="D34" s="8">
        <f t="shared" si="0"/>
        <v>0</v>
      </c>
      <c r="E34" s="1"/>
      <c r="F34" s="1">
        <v>28</v>
      </c>
      <c r="G34" s="8">
        <f>F34*Summary!$B$17</f>
        <v>233.98328690807799</v>
      </c>
      <c r="H34" s="1"/>
    </row>
    <row r="35" spans="1:8" ht="18.95" customHeight="1">
      <c r="A35" s="1">
        <v>29</v>
      </c>
      <c r="B35" s="8">
        <f>A35*Summary!$B$14</f>
        <v>241.66666666666669</v>
      </c>
      <c r="C35" s="8">
        <f>'Native PMKS'!B35*1000</f>
        <v>241.6666666666666</v>
      </c>
      <c r="D35" s="8">
        <f t="shared" si="0"/>
        <v>0</v>
      </c>
      <c r="E35" s="1"/>
      <c r="F35" s="1">
        <v>29</v>
      </c>
      <c r="G35" s="8">
        <f>F35*Summary!$B$17</f>
        <v>242.33983286908077</v>
      </c>
      <c r="H35" s="1"/>
    </row>
    <row r="36" spans="1:8" ht="18.95" customHeight="1">
      <c r="A36" s="1">
        <v>30</v>
      </c>
      <c r="B36" s="8">
        <f>A36*Summary!$B$14</f>
        <v>250.00000000000003</v>
      </c>
      <c r="C36" s="8">
        <f>'Native PMKS'!B36*1000</f>
        <v>249.99999999999989</v>
      </c>
      <c r="D36" s="8">
        <f t="shared" si="0"/>
        <v>0</v>
      </c>
      <c r="E36" s="1"/>
      <c r="F36" s="1">
        <v>30</v>
      </c>
      <c r="G36" s="8">
        <f>F36*Summary!$B$17</f>
        <v>250.69637883008357</v>
      </c>
      <c r="H36" s="1"/>
    </row>
    <row r="37" spans="1:8" ht="18.95" customHeight="1">
      <c r="A37" s="1">
        <v>31</v>
      </c>
      <c r="B37" s="8">
        <f>A37*Summary!$B$14</f>
        <v>258.33333333333337</v>
      </c>
      <c r="C37" s="8">
        <f>'Native PMKS'!B37*1000</f>
        <v>258.33333333333331</v>
      </c>
      <c r="D37" s="8">
        <f t="shared" si="0"/>
        <v>0</v>
      </c>
      <c r="E37" s="1"/>
      <c r="F37" s="1">
        <v>31</v>
      </c>
      <c r="G37" s="8">
        <f>F37*Summary!$B$17</f>
        <v>259.05292479108635</v>
      </c>
      <c r="H37" s="1"/>
    </row>
    <row r="38" spans="1:8" ht="18.95" customHeight="1">
      <c r="A38" s="1">
        <v>32</v>
      </c>
      <c r="B38" s="8">
        <f>A38*Summary!$B$14</f>
        <v>266.66666666666669</v>
      </c>
      <c r="C38" s="8">
        <f>'Native PMKS'!B38*1000</f>
        <v>266.66666666666663</v>
      </c>
      <c r="D38" s="8">
        <f t="shared" si="0"/>
        <v>0</v>
      </c>
      <c r="E38" s="1"/>
      <c r="F38" s="1">
        <v>32</v>
      </c>
      <c r="G38" s="8">
        <f>F38*Summary!$B$17</f>
        <v>267.40947075208913</v>
      </c>
      <c r="H38" s="1"/>
    </row>
    <row r="39" spans="1:8" ht="18.95" customHeight="1">
      <c r="A39" s="1">
        <v>33</v>
      </c>
      <c r="B39" s="8">
        <f>A39*Summary!$B$14</f>
        <v>275</v>
      </c>
      <c r="C39" s="8">
        <f>'Native PMKS'!B39*1000</f>
        <v>275</v>
      </c>
      <c r="D39" s="8">
        <f t="shared" si="0"/>
        <v>0</v>
      </c>
      <c r="E39" s="1"/>
      <c r="F39" s="1">
        <v>33</v>
      </c>
      <c r="G39" s="8">
        <f>F39*Summary!$B$17</f>
        <v>275.76601671309191</v>
      </c>
      <c r="H39" s="1"/>
    </row>
    <row r="40" spans="1:8" ht="18.95" customHeight="1">
      <c r="A40" s="1">
        <v>34</v>
      </c>
      <c r="B40" s="8">
        <f>A40*Summary!$B$14</f>
        <v>283.33333333333337</v>
      </c>
      <c r="C40" s="8">
        <f>'Native PMKS'!B40*1000</f>
        <v>283.33333333333337</v>
      </c>
      <c r="D40" s="8">
        <f t="shared" si="0"/>
        <v>0</v>
      </c>
      <c r="E40" s="1"/>
      <c r="F40" s="1">
        <v>34</v>
      </c>
      <c r="G40" s="8">
        <f>F40*Summary!$B$17</f>
        <v>284.1225626740947</v>
      </c>
      <c r="H40" s="1"/>
    </row>
    <row r="41" spans="1:8" ht="18.95" customHeight="1">
      <c r="A41" s="1">
        <v>35</v>
      </c>
      <c r="B41" s="8">
        <f>A41*Summary!$B$14</f>
        <v>291.66666666666669</v>
      </c>
      <c r="C41" s="8">
        <f>'Native PMKS'!B41*1000</f>
        <v>291.66666666666669</v>
      </c>
      <c r="D41" s="8">
        <f t="shared" si="0"/>
        <v>0</v>
      </c>
      <c r="E41" s="1"/>
      <c r="F41" s="1">
        <v>35</v>
      </c>
      <c r="G41" s="8">
        <f>F41*Summary!$B$17</f>
        <v>292.47910863509748</v>
      </c>
      <c r="H41" s="1"/>
    </row>
    <row r="42" spans="1:8" ht="18.95" customHeight="1">
      <c r="A42" s="1">
        <v>36</v>
      </c>
      <c r="B42" s="8">
        <f>A42*Summary!$B$14</f>
        <v>300</v>
      </c>
      <c r="C42" s="8">
        <f>'Native PMKS'!B42*1000</f>
        <v>300.00000000000011</v>
      </c>
      <c r="D42" s="8">
        <f t="shared" si="0"/>
        <v>0</v>
      </c>
      <c r="E42" s="1"/>
      <c r="F42" s="1">
        <v>36</v>
      </c>
      <c r="G42" s="8">
        <f>F42*Summary!$B$17</f>
        <v>300.83565459610026</v>
      </c>
      <c r="H42" s="1"/>
    </row>
    <row r="43" spans="1:8" ht="18.95" customHeight="1">
      <c r="A43" s="1">
        <v>37</v>
      </c>
      <c r="B43" s="8">
        <f>A43*Summary!$B$14</f>
        <v>308.33333333333337</v>
      </c>
      <c r="C43" s="8">
        <f>'Native PMKS'!B43*1000</f>
        <v>308.33333333333343</v>
      </c>
      <c r="D43" s="8">
        <f t="shared" si="0"/>
        <v>0</v>
      </c>
      <c r="E43" s="1"/>
      <c r="F43" s="1">
        <v>37</v>
      </c>
      <c r="G43" s="8">
        <f>F43*Summary!$B$17</f>
        <v>309.19220055710304</v>
      </c>
      <c r="H43" s="1"/>
    </row>
    <row r="44" spans="1:8" ht="18.95" customHeight="1">
      <c r="A44" s="1">
        <v>38</v>
      </c>
      <c r="B44" s="8">
        <f>A44*Summary!$B$14</f>
        <v>316.66666666666669</v>
      </c>
      <c r="C44" s="8">
        <f>'Native PMKS'!B44*1000</f>
        <v>316.6666666666668</v>
      </c>
      <c r="D44" s="8">
        <f t="shared" si="0"/>
        <v>0</v>
      </c>
      <c r="E44" s="1"/>
      <c r="F44" s="1">
        <v>38</v>
      </c>
      <c r="G44" s="8">
        <f>F44*Summary!$B$17</f>
        <v>317.54874651810587</v>
      </c>
      <c r="H44" s="1"/>
    </row>
    <row r="45" spans="1:8" ht="18.95" customHeight="1">
      <c r="A45" s="1">
        <v>39</v>
      </c>
      <c r="B45" s="8">
        <f>A45*Summary!$B$14</f>
        <v>325</v>
      </c>
      <c r="C45" s="8">
        <f>'Native PMKS'!B45*1000</f>
        <v>325.00000000000017</v>
      </c>
      <c r="D45" s="8">
        <f t="shared" si="0"/>
        <v>0</v>
      </c>
      <c r="E45" s="1"/>
      <c r="F45" s="1">
        <v>39</v>
      </c>
      <c r="G45" s="8">
        <f>F45*Summary!$B$17</f>
        <v>325.90529247910865</v>
      </c>
      <c r="H45" s="1"/>
    </row>
    <row r="46" spans="1:8" ht="18.95" customHeight="1">
      <c r="A46" s="1">
        <v>40</v>
      </c>
      <c r="B46" s="8">
        <f>A46*Summary!$B$14</f>
        <v>333.33333333333337</v>
      </c>
      <c r="C46" s="8">
        <f>'Native PMKS'!B46*1000</f>
        <v>333.33333333333348</v>
      </c>
      <c r="D46" s="8">
        <f t="shared" si="0"/>
        <v>0</v>
      </c>
      <c r="E46" s="1"/>
      <c r="F46" s="1">
        <v>40</v>
      </c>
      <c r="G46" s="8">
        <f>F46*Summary!$B$17</f>
        <v>334.26183844011143</v>
      </c>
      <c r="H46" s="1"/>
    </row>
    <row r="47" spans="1:8" ht="18.95" customHeight="1">
      <c r="A47" s="1">
        <v>41</v>
      </c>
      <c r="B47" s="8">
        <f>A47*Summary!$B$14</f>
        <v>341.66666666666669</v>
      </c>
      <c r="C47" s="8">
        <f>'Native PMKS'!B47*1000</f>
        <v>341.66666666666691</v>
      </c>
      <c r="D47" s="8">
        <f t="shared" si="0"/>
        <v>0</v>
      </c>
      <c r="E47" s="1"/>
      <c r="F47" s="1">
        <v>41</v>
      </c>
      <c r="G47" s="8">
        <f>F47*Summary!$B$17</f>
        <v>342.61838440111421</v>
      </c>
      <c r="H47" s="1"/>
    </row>
    <row r="48" spans="1:8" ht="18.95" customHeight="1">
      <c r="A48" s="1">
        <v>42</v>
      </c>
      <c r="B48" s="8">
        <f>A48*Summary!$B$14</f>
        <v>350</v>
      </c>
      <c r="C48" s="8">
        <f>'Native PMKS'!B48*1000</f>
        <v>350.00000000000023</v>
      </c>
      <c r="D48" s="8">
        <f t="shared" si="0"/>
        <v>0</v>
      </c>
      <c r="E48" s="1"/>
      <c r="F48" s="1">
        <v>42</v>
      </c>
      <c r="G48" s="8">
        <f>F48*Summary!$B$17</f>
        <v>350.97493036211699</v>
      </c>
      <c r="H48" s="1"/>
    </row>
    <row r="49" spans="1:8" ht="18.95" customHeight="1">
      <c r="A49" s="1">
        <v>43</v>
      </c>
      <c r="B49" s="8">
        <f>A49*Summary!$B$14</f>
        <v>358.33333333333337</v>
      </c>
      <c r="C49" s="8">
        <f>'Native PMKS'!B49*1000</f>
        <v>358.3333333333336</v>
      </c>
      <c r="D49" s="8">
        <f t="shared" si="0"/>
        <v>0</v>
      </c>
      <c r="E49" s="1"/>
      <c r="F49" s="1">
        <v>43</v>
      </c>
      <c r="G49" s="8">
        <f>F49*Summary!$B$17</f>
        <v>359.33147632311977</v>
      </c>
      <c r="H49" s="1"/>
    </row>
    <row r="50" spans="1:8" ht="18.95" customHeight="1">
      <c r="A50" s="1">
        <v>44</v>
      </c>
      <c r="B50" s="8">
        <f>A50*Summary!$B$14</f>
        <v>366.66666666666669</v>
      </c>
      <c r="C50" s="8">
        <f>'Native PMKS'!B50*1000</f>
        <v>366.66666666666697</v>
      </c>
      <c r="D50" s="8">
        <f t="shared" si="0"/>
        <v>0</v>
      </c>
      <c r="E50" s="1"/>
      <c r="F50" s="1">
        <v>44</v>
      </c>
      <c r="G50" s="8">
        <f>F50*Summary!$B$17</f>
        <v>367.68802228412255</v>
      </c>
      <c r="H50" s="1"/>
    </row>
    <row r="51" spans="1:8" ht="18.95" customHeight="1">
      <c r="A51" s="1">
        <v>45</v>
      </c>
      <c r="B51" s="8">
        <f>A51*Summary!$B$14</f>
        <v>375</v>
      </c>
      <c r="C51" s="8">
        <f>'Native PMKS'!B51*1000</f>
        <v>375.00000000000028</v>
      </c>
      <c r="D51" s="8">
        <f t="shared" si="0"/>
        <v>0</v>
      </c>
      <c r="E51" s="1"/>
      <c r="F51" s="1">
        <v>45</v>
      </c>
      <c r="G51" s="8">
        <f>F51*Summary!$B$17</f>
        <v>376.04456824512533</v>
      </c>
      <c r="H51" s="1"/>
    </row>
    <row r="52" spans="1:8" ht="18.95" customHeight="1">
      <c r="A52" s="1">
        <v>46</v>
      </c>
      <c r="B52" s="8">
        <f>A52*Summary!$B$14</f>
        <v>383.33333333333337</v>
      </c>
      <c r="C52" s="8">
        <f>'Native PMKS'!B52*1000</f>
        <v>383.33333333333371</v>
      </c>
      <c r="D52" s="8">
        <f t="shared" si="0"/>
        <v>0</v>
      </c>
      <c r="E52" s="1"/>
      <c r="F52" s="1">
        <v>46</v>
      </c>
      <c r="G52" s="8">
        <f>F52*Summary!$B$17</f>
        <v>384.40111420612811</v>
      </c>
      <c r="H52" s="1"/>
    </row>
    <row r="53" spans="1:8" ht="18.95" customHeight="1">
      <c r="A53" s="1">
        <v>47</v>
      </c>
      <c r="B53" s="8">
        <f>A53*Summary!$B$14</f>
        <v>391.66666666666669</v>
      </c>
      <c r="C53" s="8">
        <f>'Native PMKS'!B53*1000</f>
        <v>391.66666666666697</v>
      </c>
      <c r="D53" s="8">
        <f t="shared" si="0"/>
        <v>0</v>
      </c>
      <c r="E53" s="1"/>
      <c r="F53" s="1">
        <v>47</v>
      </c>
      <c r="G53" s="8">
        <f>F53*Summary!$B$17</f>
        <v>392.75766016713089</v>
      </c>
      <c r="H53" s="1"/>
    </row>
    <row r="54" spans="1:8" ht="18.95" customHeight="1">
      <c r="A54" s="1">
        <v>48</v>
      </c>
      <c r="B54" s="8">
        <f>A54*Summary!$B$14</f>
        <v>400</v>
      </c>
      <c r="C54" s="8">
        <f>'Native PMKS'!B54*1000</f>
        <v>400.0000000000004</v>
      </c>
      <c r="D54" s="8">
        <f t="shared" si="0"/>
        <v>0</v>
      </c>
      <c r="E54" s="1"/>
      <c r="F54" s="1">
        <v>48</v>
      </c>
      <c r="G54" s="8">
        <f>F54*Summary!$B$17</f>
        <v>401.11420612813367</v>
      </c>
      <c r="H54" s="1"/>
    </row>
    <row r="55" spans="1:8" ht="18.95" customHeight="1">
      <c r="A55" s="1">
        <v>49</v>
      </c>
      <c r="B55" s="8">
        <f>A55*Summary!$B$14</f>
        <v>408.33333333333337</v>
      </c>
      <c r="C55" s="8">
        <f>'Native PMKS'!B55*1000</f>
        <v>408.33333333333371</v>
      </c>
      <c r="D55" s="8">
        <f t="shared" si="0"/>
        <v>0</v>
      </c>
      <c r="E55" s="1"/>
      <c r="F55" s="1">
        <v>49</v>
      </c>
      <c r="G55" s="8">
        <f>F55*Summary!$B$17</f>
        <v>409.47075208913651</v>
      </c>
      <c r="H55" s="1"/>
    </row>
    <row r="56" spans="1:8" ht="18.95" customHeight="1">
      <c r="A56" s="1">
        <v>50</v>
      </c>
      <c r="B56" s="8">
        <f>A56*Summary!$B$14</f>
        <v>416.66666666666669</v>
      </c>
      <c r="C56" s="8">
        <f>'Native PMKS'!B56*1000</f>
        <v>416.66666666666708</v>
      </c>
      <c r="D56" s="8">
        <f t="shared" si="0"/>
        <v>0</v>
      </c>
      <c r="E56" s="1"/>
      <c r="F56" s="1">
        <v>50</v>
      </c>
      <c r="G56" s="8">
        <f>F56*Summary!$B$17</f>
        <v>417.82729805013929</v>
      </c>
      <c r="H56" s="1"/>
    </row>
    <row r="57" spans="1:8" ht="18.95" customHeight="1">
      <c r="A57" s="1">
        <v>51</v>
      </c>
      <c r="B57" s="8">
        <f>A57*Summary!$B$14</f>
        <v>425.00000000000006</v>
      </c>
      <c r="C57" s="8">
        <f>'Native PMKS'!B57*1000</f>
        <v>425.00000000000051</v>
      </c>
      <c r="D57" s="8">
        <f t="shared" si="0"/>
        <v>-4.5474735088646412E-13</v>
      </c>
      <c r="E57" s="1"/>
      <c r="F57" s="1">
        <v>51</v>
      </c>
      <c r="G57" s="8">
        <f>F57*Summary!$B$17</f>
        <v>426.18384401114207</v>
      </c>
      <c r="H57" s="1"/>
    </row>
    <row r="58" spans="1:8" ht="18.95" customHeight="1">
      <c r="A58" s="1">
        <v>52</v>
      </c>
      <c r="B58" s="8">
        <f>A58*Summary!$B$14</f>
        <v>433.33333333333337</v>
      </c>
      <c r="C58" s="8">
        <f>'Native PMKS'!B58*1000</f>
        <v>433.33333333333377</v>
      </c>
      <c r="D58" s="8">
        <f t="shared" si="0"/>
        <v>0</v>
      </c>
      <c r="E58" s="1"/>
      <c r="F58" s="1">
        <v>52</v>
      </c>
      <c r="G58" s="8">
        <f>F58*Summary!$B$17</f>
        <v>434.54038997214485</v>
      </c>
      <c r="H58" s="1"/>
    </row>
    <row r="59" spans="1:8" ht="18.95" customHeight="1">
      <c r="A59" s="1">
        <v>53</v>
      </c>
      <c r="B59" s="8">
        <f>A59*Summary!$B$14</f>
        <v>441.66666666666669</v>
      </c>
      <c r="C59" s="8">
        <f>'Native PMKS'!B59*1000</f>
        <v>441.6666666666672</v>
      </c>
      <c r="D59" s="8">
        <f t="shared" si="0"/>
        <v>-5.1159076974727213E-13</v>
      </c>
      <c r="E59" s="1"/>
      <c r="F59" s="1">
        <v>53</v>
      </c>
      <c r="G59" s="8">
        <f>F59*Summary!$B$17</f>
        <v>442.89693593314763</v>
      </c>
      <c r="H59" s="1"/>
    </row>
    <row r="60" spans="1:8" ht="18.95" customHeight="1">
      <c r="A60" s="1">
        <v>54</v>
      </c>
      <c r="B60" s="8">
        <f>A60*Summary!$B$14</f>
        <v>450.00000000000006</v>
      </c>
      <c r="C60" s="8">
        <f>'Native PMKS'!B60*1000</f>
        <v>450.00000000000051</v>
      </c>
      <c r="D60" s="8">
        <f t="shared" si="0"/>
        <v>-4.5474735088646412E-13</v>
      </c>
      <c r="E60" s="1"/>
      <c r="F60" s="1">
        <v>54</v>
      </c>
      <c r="G60" s="8">
        <f>F60*Summary!$B$17</f>
        <v>451.25348189415041</v>
      </c>
      <c r="H60" s="1"/>
    </row>
    <row r="61" spans="1:8" ht="18.95" customHeight="1">
      <c r="A61" s="1">
        <v>55</v>
      </c>
      <c r="B61" s="8">
        <f>A61*Summary!$B$14</f>
        <v>458.33333333333337</v>
      </c>
      <c r="C61" s="8">
        <f>'Native PMKS'!B61*1000</f>
        <v>458.33333333333394</v>
      </c>
      <c r="D61" s="8">
        <f t="shared" si="0"/>
        <v>-5.6843418860808015E-13</v>
      </c>
      <c r="E61" s="1"/>
      <c r="F61" s="1">
        <v>55</v>
      </c>
      <c r="G61" s="8">
        <f>F61*Summary!$B$17</f>
        <v>459.61002785515319</v>
      </c>
      <c r="H61" s="1"/>
    </row>
    <row r="62" spans="1:8" ht="18.95" customHeight="1">
      <c r="A62" s="1">
        <v>56</v>
      </c>
      <c r="B62" s="8">
        <f>A62*Summary!$B$14</f>
        <v>466.66666666666669</v>
      </c>
      <c r="C62" s="8">
        <f>'Native PMKS'!B62*1000</f>
        <v>466.66666666666731</v>
      </c>
      <c r="D62" s="8">
        <f t="shared" si="0"/>
        <v>-6.2527760746888816E-13</v>
      </c>
      <c r="E62" s="1"/>
      <c r="F62" s="1">
        <v>56</v>
      </c>
      <c r="G62" s="8">
        <f>F62*Summary!$B$17</f>
        <v>467.96657381615597</v>
      </c>
      <c r="H62" s="1"/>
    </row>
    <row r="63" spans="1:8" ht="18.95" customHeight="1">
      <c r="A63" s="1">
        <v>57</v>
      </c>
      <c r="B63" s="8">
        <f>A63*Summary!$B$14</f>
        <v>475.00000000000006</v>
      </c>
      <c r="C63" s="8">
        <f>'Native PMKS'!B63*1000</f>
        <v>475.00000000000057</v>
      </c>
      <c r="D63" s="8">
        <f t="shared" si="0"/>
        <v>-5.1159076974727213E-13</v>
      </c>
      <c r="E63" s="1"/>
      <c r="F63" s="1">
        <v>57</v>
      </c>
      <c r="G63" s="8">
        <f>F63*Summary!$B$17</f>
        <v>476.32311977715875</v>
      </c>
      <c r="H63" s="1"/>
    </row>
    <row r="64" spans="1:8" ht="18.95" customHeight="1">
      <c r="A64" s="1">
        <v>58</v>
      </c>
      <c r="B64" s="8">
        <f>A64*Summary!$B$14</f>
        <v>483.33333333333337</v>
      </c>
      <c r="C64" s="8">
        <f>'Native PMKS'!B64*1000</f>
        <v>483.333333333334</v>
      </c>
      <c r="D64" s="8">
        <f t="shared" si="0"/>
        <v>-6.2527760746888816E-13</v>
      </c>
      <c r="E64" s="1"/>
      <c r="F64" s="1">
        <v>58</v>
      </c>
      <c r="G64" s="8">
        <f>F64*Summary!$B$17</f>
        <v>484.67966573816153</v>
      </c>
      <c r="H64" s="1"/>
    </row>
    <row r="65" spans="1:8" ht="18.95" customHeight="1">
      <c r="A65" s="1">
        <v>59</v>
      </c>
      <c r="B65" s="8">
        <f>A65*Summary!$B$14</f>
        <v>491.66666666666669</v>
      </c>
      <c r="C65" s="8">
        <f>'Native PMKS'!B65*1000</f>
        <v>491.66666666666731</v>
      </c>
      <c r="D65" s="8">
        <f t="shared" si="0"/>
        <v>-6.2527760746888816E-13</v>
      </c>
      <c r="E65" s="1"/>
      <c r="F65" s="1">
        <v>59</v>
      </c>
      <c r="G65" s="8">
        <f>F65*Summary!$B$17</f>
        <v>493.03621169916437</v>
      </c>
      <c r="H65" s="1"/>
    </row>
    <row r="66" spans="1:8" ht="18.95" customHeight="1">
      <c r="A66" s="1">
        <v>60</v>
      </c>
      <c r="B66" s="8">
        <f>A66*Summary!$B$14</f>
        <v>500.00000000000006</v>
      </c>
      <c r="C66" s="8">
        <f>'Native PMKS'!B66*1000</f>
        <v>500.00000000000068</v>
      </c>
      <c r="D66" s="8">
        <f t="shared" si="0"/>
        <v>-6.2527760746888816E-13</v>
      </c>
      <c r="E66" s="1"/>
      <c r="F66" s="1">
        <v>60</v>
      </c>
      <c r="G66" s="8">
        <f>F66*Summary!$B$17</f>
        <v>501.39275766016715</v>
      </c>
      <c r="H66" s="1"/>
    </row>
    <row r="67" spans="1:8" ht="18.95" customHeight="1">
      <c r="A67" s="1">
        <v>61</v>
      </c>
      <c r="B67" s="8">
        <f>A67*Summary!$B$14</f>
        <v>508.33333333333337</v>
      </c>
      <c r="C67" s="8">
        <f>'Native PMKS'!B67*1000</f>
        <v>508.333333333334</v>
      </c>
      <c r="D67" s="8">
        <f t="shared" si="0"/>
        <v>-6.2527760746888816E-13</v>
      </c>
      <c r="E67" s="1"/>
      <c r="F67" s="1">
        <v>61</v>
      </c>
      <c r="G67" s="8">
        <f>F67*Summary!$B$17</f>
        <v>509.74930362116993</v>
      </c>
      <c r="H67" s="1"/>
    </row>
    <row r="68" spans="1:8" ht="18.95" customHeight="1">
      <c r="A68" s="1">
        <v>62</v>
      </c>
      <c r="B68" s="8">
        <f>A68*Summary!$B$14</f>
        <v>516.66666666666674</v>
      </c>
      <c r="C68" s="8">
        <f>'Native PMKS'!B68*1000</f>
        <v>516.66666666666731</v>
      </c>
      <c r="D68" s="8">
        <f t="shared" si="0"/>
        <v>0</v>
      </c>
      <c r="E68" s="1"/>
      <c r="F68" s="1">
        <v>62</v>
      </c>
      <c r="G68" s="8">
        <f>F68*Summary!$B$17</f>
        <v>518.10584958217271</v>
      </c>
      <c r="H68" s="1"/>
    </row>
    <row r="69" spans="1:8" ht="18.95" customHeight="1">
      <c r="A69" s="1">
        <v>63</v>
      </c>
      <c r="B69" s="8">
        <f>A69*Summary!$B$14</f>
        <v>525</v>
      </c>
      <c r="C69" s="8">
        <f>'Native PMKS'!B69*1000</f>
        <v>525.00000000000057</v>
      </c>
      <c r="D69" s="8">
        <f t="shared" si="0"/>
        <v>0</v>
      </c>
      <c r="E69" s="1"/>
      <c r="F69" s="1">
        <v>63</v>
      </c>
      <c r="G69" s="8">
        <f>F69*Summary!$B$17</f>
        <v>526.46239554317549</v>
      </c>
      <c r="H69" s="1"/>
    </row>
    <row r="70" spans="1:8" ht="18.95" customHeight="1">
      <c r="A70" s="1">
        <v>64</v>
      </c>
      <c r="B70" s="8">
        <f>A70*Summary!$B$14</f>
        <v>533.33333333333337</v>
      </c>
      <c r="C70" s="8">
        <f>'Native PMKS'!B70*1000</f>
        <v>533.33333333333383</v>
      </c>
      <c r="D70" s="8">
        <f t="shared" ref="D70:D133" si="1">B70-C70</f>
        <v>0</v>
      </c>
      <c r="E70" s="1"/>
      <c r="F70" s="1">
        <v>64</v>
      </c>
      <c r="G70" s="8">
        <f>F70*Summary!$B$17</f>
        <v>534.81894150417827</v>
      </c>
      <c r="H70" s="1"/>
    </row>
    <row r="71" spans="1:8" ht="18.95" customHeight="1">
      <c r="A71" s="1">
        <v>65</v>
      </c>
      <c r="B71" s="8">
        <f>A71*Summary!$B$14</f>
        <v>541.66666666666674</v>
      </c>
      <c r="C71" s="8">
        <f>'Native PMKS'!B71*1000</f>
        <v>541.6666666666672</v>
      </c>
      <c r="D71" s="8">
        <f t="shared" si="1"/>
        <v>0</v>
      </c>
      <c r="E71" s="1"/>
      <c r="F71" s="1">
        <v>65</v>
      </c>
      <c r="G71" s="8">
        <f>F71*Summary!$B$17</f>
        <v>543.17548746518105</v>
      </c>
      <c r="H71" s="1"/>
    </row>
    <row r="72" spans="1:8" ht="18.95" customHeight="1">
      <c r="A72" s="1">
        <v>66</v>
      </c>
      <c r="B72" s="8">
        <f>A72*Summary!$B$14</f>
        <v>550</v>
      </c>
      <c r="C72" s="8">
        <f>'Native PMKS'!B72*1000</f>
        <v>550.00000000000045</v>
      </c>
      <c r="D72" s="8">
        <f t="shared" si="1"/>
        <v>0</v>
      </c>
      <c r="E72" s="1"/>
      <c r="F72" s="1">
        <v>66</v>
      </c>
      <c r="G72" s="8">
        <f>F72*Summary!$B$17</f>
        <v>551.53203342618383</v>
      </c>
      <c r="H72" s="1"/>
    </row>
    <row r="73" spans="1:8" ht="18.95" customHeight="1">
      <c r="A73" s="1">
        <v>67</v>
      </c>
      <c r="B73" s="8">
        <f>A73*Summary!$B$14</f>
        <v>558.33333333333337</v>
      </c>
      <c r="C73" s="8">
        <f>'Native PMKS'!B73*1000</f>
        <v>558.33333333333383</v>
      </c>
      <c r="D73" s="8">
        <f t="shared" si="1"/>
        <v>0</v>
      </c>
      <c r="E73" s="1"/>
      <c r="F73" s="1">
        <v>67</v>
      </c>
      <c r="G73" s="8">
        <f>F73*Summary!$B$17</f>
        <v>559.88857938718661</v>
      </c>
      <c r="H73" s="1"/>
    </row>
    <row r="74" spans="1:8" ht="18.95" customHeight="1">
      <c r="A74" s="1">
        <v>68</v>
      </c>
      <c r="B74" s="8">
        <f>A74*Summary!$B$14</f>
        <v>566.66666666666674</v>
      </c>
      <c r="C74" s="8">
        <f>'Native PMKS'!B74*1000</f>
        <v>566.66666666666708</v>
      </c>
      <c r="D74" s="8">
        <f t="shared" si="1"/>
        <v>0</v>
      </c>
      <c r="E74" s="1"/>
      <c r="F74" s="1">
        <v>68</v>
      </c>
      <c r="G74" s="8">
        <f>F74*Summary!$B$17</f>
        <v>568.24512534818939</v>
      </c>
      <c r="H74" s="1"/>
    </row>
    <row r="75" spans="1:8" ht="18.95" customHeight="1">
      <c r="A75" s="1">
        <v>69</v>
      </c>
      <c r="B75" s="8">
        <f>A75*Summary!$B$14</f>
        <v>575</v>
      </c>
      <c r="C75" s="8">
        <f>'Native PMKS'!B75*1000</f>
        <v>575.00000000000045</v>
      </c>
      <c r="D75" s="8">
        <f t="shared" si="1"/>
        <v>0</v>
      </c>
      <c r="E75" s="1"/>
      <c r="F75" s="1">
        <v>69</v>
      </c>
      <c r="G75" s="8">
        <f>F75*Summary!$B$17</f>
        <v>576.60167130919217</v>
      </c>
      <c r="H75" s="1"/>
    </row>
    <row r="76" spans="1:8" ht="18.95" customHeight="1">
      <c r="A76" s="1">
        <v>70</v>
      </c>
      <c r="B76" s="8">
        <f>A76*Summary!$B$14</f>
        <v>583.33333333333337</v>
      </c>
      <c r="C76" s="8">
        <f>'Native PMKS'!B76*1000</f>
        <v>583.33333333333371</v>
      </c>
      <c r="D76" s="8">
        <f t="shared" si="1"/>
        <v>0</v>
      </c>
      <c r="E76" s="1"/>
      <c r="F76" s="1">
        <v>70</v>
      </c>
      <c r="G76" s="8">
        <f>F76*Summary!$B$17</f>
        <v>584.95821727019495</v>
      </c>
      <c r="H76" s="1"/>
    </row>
    <row r="77" spans="1:8" ht="18.95" customHeight="1">
      <c r="A77" s="1">
        <v>71</v>
      </c>
      <c r="B77" s="8">
        <f>A77*Summary!$B$14</f>
        <v>591.66666666666674</v>
      </c>
      <c r="C77" s="8">
        <f>'Native PMKS'!B77*1000</f>
        <v>591.66666666666697</v>
      </c>
      <c r="D77" s="8">
        <f t="shared" si="1"/>
        <v>0</v>
      </c>
      <c r="E77" s="1"/>
      <c r="F77" s="1">
        <v>71</v>
      </c>
      <c r="G77" s="8">
        <f>F77*Summary!$B$17</f>
        <v>593.31476323119773</v>
      </c>
      <c r="H77" s="1"/>
    </row>
    <row r="78" spans="1:8" ht="18.95" customHeight="1">
      <c r="A78" s="1">
        <v>72</v>
      </c>
      <c r="B78" s="8">
        <f>A78*Summary!$B$14</f>
        <v>600</v>
      </c>
      <c r="C78" s="8">
        <f>'Native PMKS'!B78*1000</f>
        <v>600.00000000000034</v>
      </c>
      <c r="D78" s="8">
        <f t="shared" si="1"/>
        <v>0</v>
      </c>
      <c r="E78" s="1"/>
      <c r="F78" s="1">
        <v>72</v>
      </c>
      <c r="G78" s="8">
        <f>F78*Summary!$B$17</f>
        <v>601.67130919220051</v>
      </c>
      <c r="H78" s="1"/>
    </row>
    <row r="79" spans="1:8" ht="18.95" customHeight="1">
      <c r="A79" s="1">
        <v>73</v>
      </c>
      <c r="B79" s="8">
        <f>A79*Summary!$B$14</f>
        <v>608.33333333333337</v>
      </c>
      <c r="C79" s="8">
        <f>'Native PMKS'!B79*1000</f>
        <v>608.3333333333336</v>
      </c>
      <c r="D79" s="8">
        <f t="shared" si="1"/>
        <v>0</v>
      </c>
      <c r="E79" s="1"/>
      <c r="F79" s="1">
        <v>73</v>
      </c>
      <c r="G79" s="8">
        <f>F79*Summary!$B$17</f>
        <v>610.02785515320329</v>
      </c>
      <c r="H79" s="1"/>
    </row>
    <row r="80" spans="1:8" ht="18.95" customHeight="1">
      <c r="A80" s="1">
        <v>74</v>
      </c>
      <c r="B80" s="8">
        <f>A80*Summary!$B$14</f>
        <v>616.66666666666674</v>
      </c>
      <c r="C80" s="8">
        <f>'Native PMKS'!B80*1000</f>
        <v>616.66666666666697</v>
      </c>
      <c r="D80" s="8">
        <f t="shared" si="1"/>
        <v>0</v>
      </c>
      <c r="E80" s="1"/>
      <c r="F80" s="1">
        <v>74</v>
      </c>
      <c r="G80" s="8">
        <f>F80*Summary!$B$17</f>
        <v>618.38440111420607</v>
      </c>
      <c r="H80" s="1"/>
    </row>
    <row r="81" spans="1:8" ht="18.95" customHeight="1">
      <c r="A81" s="1">
        <v>75</v>
      </c>
      <c r="B81" s="8">
        <f>A81*Summary!$B$14</f>
        <v>625</v>
      </c>
      <c r="C81" s="8">
        <f>'Native PMKS'!B81*1000</f>
        <v>625.00000000000023</v>
      </c>
      <c r="D81" s="8">
        <f t="shared" si="1"/>
        <v>0</v>
      </c>
      <c r="E81" s="1"/>
      <c r="F81" s="1">
        <v>75</v>
      </c>
      <c r="G81" s="8">
        <f>F81*Summary!$B$17</f>
        <v>626.74094707520896</v>
      </c>
      <c r="H81" s="1"/>
    </row>
    <row r="82" spans="1:8" ht="18.95" customHeight="1">
      <c r="A82" s="1">
        <v>76</v>
      </c>
      <c r="B82" s="8">
        <f>A82*Summary!$B$14</f>
        <v>633.33333333333337</v>
      </c>
      <c r="C82" s="8">
        <f>'Native PMKS'!B82*1000</f>
        <v>633.33333333333348</v>
      </c>
      <c r="D82" s="8">
        <f t="shared" si="1"/>
        <v>0</v>
      </c>
      <c r="E82" s="1"/>
      <c r="F82" s="1">
        <v>76</v>
      </c>
      <c r="G82" s="8">
        <f>F82*Summary!$B$17</f>
        <v>635.09749303621174</v>
      </c>
      <c r="H82" s="1"/>
    </row>
    <row r="83" spans="1:8" ht="18.95" customHeight="1">
      <c r="A83" s="1">
        <v>77</v>
      </c>
      <c r="B83" s="8">
        <f>A83*Summary!$B$14</f>
        <v>641.66666666666674</v>
      </c>
      <c r="C83" s="8">
        <f>'Native PMKS'!B83*1000</f>
        <v>641.66666666666686</v>
      </c>
      <c r="D83" s="8">
        <f t="shared" si="1"/>
        <v>0</v>
      </c>
      <c r="E83" s="1"/>
      <c r="F83" s="1">
        <v>77</v>
      </c>
      <c r="G83" s="8">
        <f>F83*Summary!$B$17</f>
        <v>643.45403899721452</v>
      </c>
      <c r="H83" s="1"/>
    </row>
    <row r="84" spans="1:8" ht="18.95" customHeight="1">
      <c r="A84" s="1">
        <v>78</v>
      </c>
      <c r="B84" s="8">
        <f>A84*Summary!$B$14</f>
        <v>650</v>
      </c>
      <c r="C84" s="8">
        <f>'Native PMKS'!B84*1000</f>
        <v>650.00000000000011</v>
      </c>
      <c r="D84" s="8">
        <f t="shared" si="1"/>
        <v>0</v>
      </c>
      <c r="E84" s="1"/>
      <c r="F84" s="1">
        <v>78</v>
      </c>
      <c r="G84" s="8">
        <f>F84*Summary!$B$17</f>
        <v>651.81058495821731</v>
      </c>
      <c r="H84" s="1"/>
    </row>
    <row r="85" spans="1:8" ht="18.95" customHeight="1">
      <c r="A85" s="1">
        <v>79</v>
      </c>
      <c r="B85" s="8">
        <f>A85*Summary!$B$14</f>
        <v>658.33333333333337</v>
      </c>
      <c r="C85" s="8">
        <f>'Native PMKS'!B85*1000</f>
        <v>658.33333333333348</v>
      </c>
      <c r="D85" s="8">
        <f t="shared" si="1"/>
        <v>0</v>
      </c>
      <c r="E85" s="1"/>
      <c r="F85" s="1">
        <v>79</v>
      </c>
      <c r="G85" s="8">
        <f>F85*Summary!$B$17</f>
        <v>660.16713091922009</v>
      </c>
      <c r="H85" s="1"/>
    </row>
    <row r="86" spans="1:8" ht="18.95" customHeight="1">
      <c r="A86" s="1">
        <v>80</v>
      </c>
      <c r="B86" s="8">
        <f>A86*Summary!$B$14</f>
        <v>666.66666666666674</v>
      </c>
      <c r="C86" s="8">
        <f>'Native PMKS'!B86*1000</f>
        <v>666.66666666666674</v>
      </c>
      <c r="D86" s="8">
        <f t="shared" si="1"/>
        <v>0</v>
      </c>
      <c r="E86" s="1"/>
      <c r="F86" s="1">
        <v>80</v>
      </c>
      <c r="G86" s="8">
        <f>F86*Summary!$B$17</f>
        <v>668.52367688022287</v>
      </c>
      <c r="H86" s="1"/>
    </row>
    <row r="87" spans="1:8" ht="18.95" customHeight="1">
      <c r="A87" s="1">
        <v>81</v>
      </c>
      <c r="B87" s="8">
        <f>A87*Summary!$B$14</f>
        <v>675</v>
      </c>
      <c r="C87" s="8">
        <f>'Native PMKS'!B87*1000</f>
        <v>675</v>
      </c>
      <c r="D87" s="8">
        <f t="shared" si="1"/>
        <v>0</v>
      </c>
      <c r="E87" s="1"/>
      <c r="F87" s="1">
        <v>81</v>
      </c>
      <c r="G87" s="8">
        <f>F87*Summary!$B$17</f>
        <v>676.88022284122565</v>
      </c>
      <c r="H87" s="1"/>
    </row>
    <row r="88" spans="1:8" ht="18.95" customHeight="1">
      <c r="A88" s="1">
        <v>82</v>
      </c>
      <c r="B88" s="8">
        <f>A88*Summary!$B$14</f>
        <v>683.33333333333337</v>
      </c>
      <c r="C88" s="8">
        <f>'Native PMKS'!B88*1000</f>
        <v>683.33333333333337</v>
      </c>
      <c r="D88" s="8">
        <f t="shared" si="1"/>
        <v>0</v>
      </c>
      <c r="E88" s="1"/>
      <c r="F88" s="1">
        <v>82</v>
      </c>
      <c r="G88" s="8">
        <f>F88*Summary!$B$17</f>
        <v>685.23676880222843</v>
      </c>
      <c r="H88" s="1"/>
    </row>
    <row r="89" spans="1:8" ht="18.95" customHeight="1">
      <c r="A89" s="1">
        <v>83</v>
      </c>
      <c r="B89" s="8">
        <f>A89*Summary!$B$14</f>
        <v>691.66666666666674</v>
      </c>
      <c r="C89" s="8">
        <f>'Native PMKS'!B89*1000</f>
        <v>691.66666666666663</v>
      </c>
      <c r="D89" s="8">
        <f t="shared" si="1"/>
        <v>0</v>
      </c>
      <c r="E89" s="1"/>
      <c r="F89" s="1">
        <v>83</v>
      </c>
      <c r="G89" s="8">
        <f>F89*Summary!$B$17</f>
        <v>693.59331476323121</v>
      </c>
      <c r="H89" s="1"/>
    </row>
    <row r="90" spans="1:8" ht="18.95" customHeight="1">
      <c r="A90" s="1">
        <v>84</v>
      </c>
      <c r="B90" s="8">
        <f>A90*Summary!$B$14</f>
        <v>700</v>
      </c>
      <c r="C90" s="8">
        <f>'Native PMKS'!B90*1000</f>
        <v>700</v>
      </c>
      <c r="D90" s="8">
        <f t="shared" si="1"/>
        <v>0</v>
      </c>
      <c r="E90" s="1"/>
      <c r="F90" s="1">
        <v>84</v>
      </c>
      <c r="G90" s="8">
        <f>F90*Summary!$B$17</f>
        <v>701.94986072423399</v>
      </c>
      <c r="H90" s="1"/>
    </row>
    <row r="91" spans="1:8" ht="18.95" customHeight="1">
      <c r="A91" s="1">
        <v>85</v>
      </c>
      <c r="B91" s="8">
        <f>A91*Summary!$B$14</f>
        <v>708.33333333333337</v>
      </c>
      <c r="C91" s="8">
        <f>'Native PMKS'!B91*1000</f>
        <v>708.33333333333326</v>
      </c>
      <c r="D91" s="8">
        <f t="shared" si="1"/>
        <v>0</v>
      </c>
      <c r="E91" s="1"/>
      <c r="F91" s="1">
        <v>85</v>
      </c>
      <c r="G91" s="8">
        <f>F91*Summary!$B$17</f>
        <v>710.30640668523677</v>
      </c>
      <c r="H91" s="1"/>
    </row>
    <row r="92" spans="1:8" ht="18.95" customHeight="1">
      <c r="A92" s="1">
        <v>86</v>
      </c>
      <c r="B92" s="8">
        <f>A92*Summary!$B$14</f>
        <v>716.66666666666674</v>
      </c>
      <c r="C92" s="8">
        <f>'Native PMKS'!B92*1000</f>
        <v>716.66666666666652</v>
      </c>
      <c r="D92" s="8">
        <f t="shared" si="1"/>
        <v>0</v>
      </c>
      <c r="E92" s="1"/>
      <c r="F92" s="1">
        <v>86</v>
      </c>
      <c r="G92" s="8">
        <f>F92*Summary!$B$17</f>
        <v>718.66295264623955</v>
      </c>
      <c r="H92" s="1"/>
    </row>
    <row r="93" spans="1:8" ht="18.95" customHeight="1">
      <c r="A93" s="1">
        <v>87</v>
      </c>
      <c r="B93" s="8">
        <f>A93*Summary!$B$14</f>
        <v>725</v>
      </c>
      <c r="C93" s="8">
        <f>'Native PMKS'!B93*1000</f>
        <v>724.99999999999989</v>
      </c>
      <c r="D93" s="8">
        <f t="shared" si="1"/>
        <v>0</v>
      </c>
      <c r="E93" s="1"/>
      <c r="F93" s="1">
        <v>87</v>
      </c>
      <c r="G93" s="8">
        <f>F93*Summary!$B$17</f>
        <v>727.01949860724233</v>
      </c>
      <c r="H93" s="1"/>
    </row>
    <row r="94" spans="1:8" ht="18.95" customHeight="1">
      <c r="A94" s="1">
        <v>88</v>
      </c>
      <c r="B94" s="8">
        <f>A94*Summary!$B$14</f>
        <v>733.33333333333337</v>
      </c>
      <c r="C94" s="8">
        <f>'Native PMKS'!B94*1000</f>
        <v>733.33333333333314</v>
      </c>
      <c r="D94" s="8">
        <f t="shared" si="1"/>
        <v>0</v>
      </c>
      <c r="E94" s="1"/>
      <c r="F94" s="1">
        <v>88</v>
      </c>
      <c r="G94" s="8">
        <f>F94*Summary!$B$17</f>
        <v>735.37604456824511</v>
      </c>
      <c r="H94" s="1"/>
    </row>
    <row r="95" spans="1:8" ht="18.95" customHeight="1">
      <c r="A95" s="1">
        <v>89</v>
      </c>
      <c r="B95" s="8">
        <f>A95*Summary!$B$14</f>
        <v>741.66666666666674</v>
      </c>
      <c r="C95" s="8">
        <f>'Native PMKS'!B95*1000</f>
        <v>741.66666666666652</v>
      </c>
      <c r="D95" s="8">
        <f t="shared" si="1"/>
        <v>0</v>
      </c>
      <c r="E95" s="1"/>
      <c r="F95" s="1">
        <v>89</v>
      </c>
      <c r="G95" s="8">
        <f>F95*Summary!$B$17</f>
        <v>743.73259052924789</v>
      </c>
      <c r="H95" s="1"/>
    </row>
    <row r="96" spans="1:8" ht="18.95" customHeight="1">
      <c r="A96" s="1">
        <v>90</v>
      </c>
      <c r="B96" s="8">
        <f>A96*Summary!$B$14</f>
        <v>750</v>
      </c>
      <c r="C96" s="8">
        <f>'Native PMKS'!B96*1000</f>
        <v>749.99999999999977</v>
      </c>
      <c r="D96" s="8">
        <f t="shared" si="1"/>
        <v>0</v>
      </c>
      <c r="E96" s="1"/>
      <c r="F96" s="1">
        <v>90</v>
      </c>
      <c r="G96" s="8">
        <f>F96*Summary!$B$17</f>
        <v>752.08913649025067</v>
      </c>
      <c r="H96" s="1"/>
    </row>
    <row r="97" spans="1:8" ht="18.95" customHeight="1">
      <c r="A97" s="1">
        <v>91</v>
      </c>
      <c r="B97" s="8">
        <f>A97*Summary!$B$14</f>
        <v>758.33333333333337</v>
      </c>
      <c r="C97" s="8">
        <f>'Native PMKS'!B97*1000</f>
        <v>758.33333333333303</v>
      </c>
      <c r="D97" s="8">
        <f t="shared" si="1"/>
        <v>0</v>
      </c>
      <c r="E97" s="1"/>
      <c r="F97" s="1">
        <v>91</v>
      </c>
      <c r="G97" s="8">
        <f>F97*Summary!$B$17</f>
        <v>760.44568245125345</v>
      </c>
      <c r="H97" s="1"/>
    </row>
    <row r="98" spans="1:8" ht="18.95" customHeight="1">
      <c r="A98" s="1">
        <v>92</v>
      </c>
      <c r="B98" s="8">
        <f>A98*Summary!$B$14</f>
        <v>766.66666666666674</v>
      </c>
      <c r="C98" s="8">
        <f>'Native PMKS'!B98*1000</f>
        <v>766.6666666666664</v>
      </c>
      <c r="D98" s="8">
        <f t="shared" si="1"/>
        <v>0</v>
      </c>
      <c r="E98" s="1"/>
      <c r="F98" s="1">
        <v>92</v>
      </c>
      <c r="G98" s="8">
        <f>F98*Summary!$B$17</f>
        <v>768.80222841225623</v>
      </c>
      <c r="H98" s="1"/>
    </row>
    <row r="99" spans="1:8" ht="18.95" customHeight="1">
      <c r="A99" s="1">
        <v>93</v>
      </c>
      <c r="B99" s="8">
        <f>A99*Summary!$B$14</f>
        <v>775</v>
      </c>
      <c r="C99" s="8">
        <f>'Native PMKS'!B99*1000</f>
        <v>774.99999999999966</v>
      </c>
      <c r="D99" s="8">
        <f t="shared" si="1"/>
        <v>0</v>
      </c>
      <c r="E99" s="1"/>
      <c r="F99" s="1">
        <v>93</v>
      </c>
      <c r="G99" s="8">
        <f>F99*Summary!$B$17</f>
        <v>777.15877437325901</v>
      </c>
      <c r="H99" s="1"/>
    </row>
    <row r="100" spans="1:8" ht="18.95" customHeight="1">
      <c r="A100" s="1">
        <v>94</v>
      </c>
      <c r="B100" s="8">
        <f>A100*Summary!$B$14</f>
        <v>783.33333333333337</v>
      </c>
      <c r="C100" s="8">
        <f>'Native PMKS'!B100*1000</f>
        <v>783.33333333333303</v>
      </c>
      <c r="D100" s="8">
        <f t="shared" si="1"/>
        <v>0</v>
      </c>
      <c r="E100" s="1"/>
      <c r="F100" s="1">
        <v>94</v>
      </c>
      <c r="G100" s="8">
        <f>F100*Summary!$B$17</f>
        <v>785.51532033426179</v>
      </c>
      <c r="H100" s="1"/>
    </row>
    <row r="101" spans="1:8" ht="18.95" customHeight="1">
      <c r="A101" s="1">
        <v>95</v>
      </c>
      <c r="B101" s="8">
        <f>A101*Summary!$B$14</f>
        <v>791.66666666666674</v>
      </c>
      <c r="C101" s="8">
        <f>'Native PMKS'!B101*1000</f>
        <v>791.66666666666629</v>
      </c>
      <c r="D101" s="8">
        <f t="shared" si="1"/>
        <v>0</v>
      </c>
      <c r="E101" s="1"/>
      <c r="F101" s="1">
        <v>95</v>
      </c>
      <c r="G101" s="8">
        <f>F101*Summary!$B$17</f>
        <v>793.87186629526457</v>
      </c>
      <c r="H101" s="1"/>
    </row>
    <row r="102" spans="1:8" ht="18.95" customHeight="1">
      <c r="A102" s="1">
        <v>96</v>
      </c>
      <c r="B102" s="8">
        <f>A102*Summary!$B$14</f>
        <v>800</v>
      </c>
      <c r="C102" s="8">
        <f>'Native PMKS'!B102*1000</f>
        <v>799.99999999999955</v>
      </c>
      <c r="D102" s="8">
        <f t="shared" si="1"/>
        <v>0</v>
      </c>
      <c r="E102" s="1"/>
      <c r="F102" s="1">
        <v>96</v>
      </c>
      <c r="G102" s="8">
        <f>F102*Summary!$B$17</f>
        <v>802.22841225626735</v>
      </c>
      <c r="H102" s="1"/>
    </row>
    <row r="103" spans="1:8" ht="18.95" customHeight="1">
      <c r="A103" s="1">
        <v>97</v>
      </c>
      <c r="B103" s="8">
        <f>A103*Summary!$B$14</f>
        <v>808.33333333333337</v>
      </c>
      <c r="C103" s="8">
        <f>'Native PMKS'!B103*1000</f>
        <v>808.33333333333292</v>
      </c>
      <c r="D103" s="8">
        <f t="shared" si="1"/>
        <v>0</v>
      </c>
      <c r="E103" s="1"/>
      <c r="F103" s="1">
        <v>97</v>
      </c>
      <c r="G103" s="8">
        <f>F103*Summary!$B$17</f>
        <v>810.58495821727024</v>
      </c>
      <c r="H103" s="1"/>
    </row>
    <row r="104" spans="1:8" ht="18.95" customHeight="1">
      <c r="A104" s="1">
        <v>98</v>
      </c>
      <c r="B104" s="8">
        <f>A104*Summary!$B$14</f>
        <v>816.66666666666674</v>
      </c>
      <c r="C104" s="8">
        <f>'Native PMKS'!B104*1000</f>
        <v>816.66666666666617</v>
      </c>
      <c r="D104" s="8">
        <f t="shared" si="1"/>
        <v>0</v>
      </c>
      <c r="E104" s="1"/>
      <c r="F104" s="1">
        <v>98</v>
      </c>
      <c r="G104" s="8">
        <f>F104*Summary!$B$17</f>
        <v>818.94150417827302</v>
      </c>
      <c r="H104" s="1"/>
    </row>
    <row r="105" spans="1:8" ht="18.95" customHeight="1">
      <c r="A105" s="1">
        <v>99</v>
      </c>
      <c r="B105" s="8">
        <f>A105*Summary!$B$14</f>
        <v>825.00000000000011</v>
      </c>
      <c r="C105" s="8">
        <f>'Native PMKS'!B105*1000</f>
        <v>824.99999999999955</v>
      </c>
      <c r="D105" s="8">
        <f t="shared" si="1"/>
        <v>0</v>
      </c>
      <c r="E105" s="1"/>
      <c r="F105" s="1">
        <v>99</v>
      </c>
      <c r="G105" s="8">
        <f>F105*Summary!$B$17</f>
        <v>827.2980501392758</v>
      </c>
      <c r="H105" s="1"/>
    </row>
    <row r="106" spans="1:8" ht="18.95" customHeight="1">
      <c r="A106" s="1">
        <v>100</v>
      </c>
      <c r="B106" s="8">
        <f>A106*Summary!$B$14</f>
        <v>833.33333333333337</v>
      </c>
      <c r="C106" s="8">
        <f>'Native PMKS'!B106*1000</f>
        <v>833.3333333333328</v>
      </c>
      <c r="D106" s="8">
        <f t="shared" si="1"/>
        <v>0</v>
      </c>
      <c r="E106" s="1"/>
      <c r="F106" s="1">
        <v>100</v>
      </c>
      <c r="G106" s="8">
        <f>F106*Summary!$B$17</f>
        <v>835.65459610027858</v>
      </c>
      <c r="H106" s="1"/>
    </row>
    <row r="107" spans="1:8" ht="18.95" customHeight="1">
      <c r="A107" s="1">
        <v>101</v>
      </c>
      <c r="B107" s="8">
        <f>A107*Summary!$B$14</f>
        <v>841.66666666666674</v>
      </c>
      <c r="C107" s="8">
        <f>'Native PMKS'!B107*1000</f>
        <v>841.66666666666617</v>
      </c>
      <c r="D107" s="8">
        <f t="shared" si="1"/>
        <v>0</v>
      </c>
      <c r="E107" s="1"/>
      <c r="F107" s="1">
        <v>101</v>
      </c>
      <c r="G107" s="8">
        <f>F107*Summary!$B$17</f>
        <v>844.01114206128136</v>
      </c>
      <c r="H107" s="1"/>
    </row>
    <row r="108" spans="1:8" ht="18.95" customHeight="1">
      <c r="A108" s="1">
        <v>102</v>
      </c>
      <c r="B108" s="8">
        <f>A108*Summary!$B$14</f>
        <v>850.00000000000011</v>
      </c>
      <c r="C108" s="8">
        <f>'Native PMKS'!B108*1000</f>
        <v>849.99999999999943</v>
      </c>
      <c r="D108" s="8">
        <f t="shared" si="1"/>
        <v>0</v>
      </c>
      <c r="E108" s="1"/>
      <c r="F108" s="1">
        <v>102</v>
      </c>
      <c r="G108" s="8">
        <f>F108*Summary!$B$17</f>
        <v>852.36768802228414</v>
      </c>
      <c r="H108" s="1"/>
    </row>
    <row r="109" spans="1:8" ht="18.95" customHeight="1">
      <c r="A109" s="1">
        <v>103</v>
      </c>
      <c r="B109" s="8">
        <f>A109*Summary!$B$14</f>
        <v>858.33333333333337</v>
      </c>
      <c r="C109" s="8">
        <f>'Native PMKS'!B109*1000</f>
        <v>858.33333333333269</v>
      </c>
      <c r="D109" s="8">
        <f t="shared" si="1"/>
        <v>0</v>
      </c>
      <c r="E109" s="1"/>
      <c r="F109" s="1">
        <v>103</v>
      </c>
      <c r="G109" s="8">
        <f>F109*Summary!$B$17</f>
        <v>860.72423398328692</v>
      </c>
      <c r="H109" s="1"/>
    </row>
    <row r="110" spans="1:8" ht="18.95" customHeight="1">
      <c r="A110" s="1">
        <v>104</v>
      </c>
      <c r="B110" s="8">
        <f>A110*Summary!$B$14</f>
        <v>866.66666666666674</v>
      </c>
      <c r="C110" s="8">
        <f>'Native PMKS'!B110*1000</f>
        <v>866.66666666666606</v>
      </c>
      <c r="D110" s="8">
        <f t="shared" si="1"/>
        <v>0</v>
      </c>
      <c r="E110" s="1"/>
      <c r="F110" s="1">
        <v>104</v>
      </c>
      <c r="G110" s="8">
        <f>F110*Summary!$B$17</f>
        <v>869.0807799442897</v>
      </c>
      <c r="H110" s="1"/>
    </row>
    <row r="111" spans="1:8" ht="18.95" customHeight="1">
      <c r="A111" s="1">
        <v>105</v>
      </c>
      <c r="B111" s="8">
        <f>A111*Summary!$B$14</f>
        <v>875.00000000000011</v>
      </c>
      <c r="C111" s="8">
        <f>'Native PMKS'!B111*1000</f>
        <v>874.99999999999932</v>
      </c>
      <c r="D111" s="8">
        <f t="shared" si="1"/>
        <v>0</v>
      </c>
      <c r="E111" s="1"/>
      <c r="F111" s="1">
        <v>105</v>
      </c>
      <c r="G111" s="8">
        <f>F111*Summary!$B$17</f>
        <v>877.43732590529248</v>
      </c>
      <c r="H111" s="1"/>
    </row>
    <row r="112" spans="1:8" ht="18.95" customHeight="1">
      <c r="A112" s="1">
        <v>106</v>
      </c>
      <c r="B112" s="8">
        <f>A112*Summary!$B$14</f>
        <v>883.33333333333337</v>
      </c>
      <c r="C112" s="8">
        <f>'Native PMKS'!B112*1000</f>
        <v>883.33333333333269</v>
      </c>
      <c r="D112" s="8">
        <f t="shared" si="1"/>
        <v>0</v>
      </c>
      <c r="E112" s="1"/>
      <c r="F112" s="1">
        <v>106</v>
      </c>
      <c r="G112" s="8">
        <f>F112*Summary!$B$17</f>
        <v>885.79387186629526</v>
      </c>
      <c r="H112" s="1"/>
    </row>
    <row r="113" spans="1:8" ht="18.95" customHeight="1">
      <c r="A113" s="1">
        <v>107</v>
      </c>
      <c r="B113" s="8">
        <f>A113*Summary!$B$14</f>
        <v>891.66666666666674</v>
      </c>
      <c r="C113" s="8">
        <f>'Native PMKS'!B113*1000</f>
        <v>891.66666666666595</v>
      </c>
      <c r="D113" s="8">
        <f t="shared" si="1"/>
        <v>0</v>
      </c>
      <c r="E113" s="1"/>
      <c r="F113" s="1">
        <v>107</v>
      </c>
      <c r="G113" s="8">
        <f>F113*Summary!$B$17</f>
        <v>894.15041782729804</v>
      </c>
      <c r="H113" s="1"/>
    </row>
    <row r="114" spans="1:8" ht="18.95" customHeight="1">
      <c r="A114" s="1">
        <v>108</v>
      </c>
      <c r="B114" s="8">
        <f>A114*Summary!$B$14</f>
        <v>900.00000000000011</v>
      </c>
      <c r="C114" s="8">
        <f>'Native PMKS'!B114*1000</f>
        <v>899.9999999999992</v>
      </c>
      <c r="D114" s="8">
        <f t="shared" si="1"/>
        <v>9.0949470177292824E-13</v>
      </c>
      <c r="E114" s="1"/>
      <c r="F114" s="1">
        <v>108</v>
      </c>
      <c r="G114" s="8">
        <f>F114*Summary!$B$17</f>
        <v>902.50696378830082</v>
      </c>
      <c r="H114" s="1"/>
    </row>
    <row r="115" spans="1:8" ht="18.95" customHeight="1">
      <c r="A115" s="1">
        <v>109</v>
      </c>
      <c r="B115" s="8">
        <f>A115*Summary!$B$14</f>
        <v>908.33333333333337</v>
      </c>
      <c r="C115" s="8">
        <f>'Native PMKS'!B115*1000</f>
        <v>908.33333333333246</v>
      </c>
      <c r="D115" s="8">
        <f t="shared" si="1"/>
        <v>9.0949470177292824E-13</v>
      </c>
      <c r="E115" s="1"/>
      <c r="F115" s="1">
        <v>109</v>
      </c>
      <c r="G115" s="8">
        <f>F115*Summary!$B$17</f>
        <v>910.8635097493036</v>
      </c>
      <c r="H115" s="1"/>
    </row>
    <row r="116" spans="1:8" ht="18.95" customHeight="1">
      <c r="A116" s="1">
        <v>110</v>
      </c>
      <c r="B116" s="8">
        <f>A116*Summary!$B$14</f>
        <v>916.66666666666674</v>
      </c>
      <c r="C116" s="8">
        <f>'Native PMKS'!B116*1000</f>
        <v>916.66666666666595</v>
      </c>
      <c r="D116" s="8">
        <f t="shared" si="1"/>
        <v>0</v>
      </c>
      <c r="E116" s="1"/>
      <c r="F116" s="1">
        <v>110</v>
      </c>
      <c r="G116" s="8">
        <f>F116*Summary!$B$17</f>
        <v>919.22005571030638</v>
      </c>
      <c r="H116" s="1"/>
    </row>
    <row r="117" spans="1:8" ht="18.95" customHeight="1">
      <c r="A117" s="1">
        <v>111</v>
      </c>
      <c r="B117" s="8">
        <f>A117*Summary!$B$14</f>
        <v>925.00000000000011</v>
      </c>
      <c r="C117" s="8">
        <f>'Native PMKS'!B117*1000</f>
        <v>924.9999999999992</v>
      </c>
      <c r="D117" s="8">
        <f t="shared" si="1"/>
        <v>9.0949470177292824E-13</v>
      </c>
      <c r="E117" s="1"/>
      <c r="F117" s="1">
        <v>111</v>
      </c>
      <c r="G117" s="8">
        <f>F117*Summary!$B$17</f>
        <v>927.57660167130916</v>
      </c>
      <c r="H117" s="1"/>
    </row>
    <row r="118" spans="1:8" ht="18.95" customHeight="1">
      <c r="A118" s="1">
        <v>112</v>
      </c>
      <c r="B118" s="8">
        <f>A118*Summary!$B$14</f>
        <v>933.33333333333337</v>
      </c>
      <c r="C118" s="8">
        <f>'Native PMKS'!B118*1000</f>
        <v>933.33333333333235</v>
      </c>
      <c r="D118" s="8">
        <f t="shared" si="1"/>
        <v>1.0231815394945443E-12</v>
      </c>
      <c r="E118" s="1"/>
      <c r="F118" s="1">
        <v>112</v>
      </c>
      <c r="G118" s="8">
        <f>F118*Summary!$B$17</f>
        <v>935.93314763231194</v>
      </c>
      <c r="H118" s="1"/>
    </row>
    <row r="119" spans="1:8" ht="18.95" customHeight="1">
      <c r="A119" s="1">
        <v>113</v>
      </c>
      <c r="B119" s="8">
        <f>A119*Summary!$B$14</f>
        <v>941.66666666666674</v>
      </c>
      <c r="C119" s="8">
        <f>'Native PMKS'!B119*1000</f>
        <v>941.66666666666572</v>
      </c>
      <c r="D119" s="8">
        <f t="shared" si="1"/>
        <v>1.0231815394945443E-12</v>
      </c>
      <c r="E119" s="1"/>
      <c r="F119" s="1">
        <v>113</v>
      </c>
      <c r="G119" s="8">
        <f>F119*Summary!$B$17</f>
        <v>944.28969359331472</v>
      </c>
      <c r="H119" s="1"/>
    </row>
    <row r="120" spans="1:8" ht="18.95" customHeight="1">
      <c r="A120" s="1">
        <v>114</v>
      </c>
      <c r="B120" s="8">
        <f>A120*Summary!$B$14</f>
        <v>950.00000000000011</v>
      </c>
      <c r="C120" s="8">
        <f>'Native PMKS'!B120*1000</f>
        <v>949.9999999999992</v>
      </c>
      <c r="D120" s="8">
        <f t="shared" si="1"/>
        <v>9.0949470177292824E-13</v>
      </c>
      <c r="E120" s="1"/>
      <c r="F120" s="1">
        <v>114</v>
      </c>
      <c r="G120" s="8">
        <f>F120*Summary!$B$17</f>
        <v>952.6462395543175</v>
      </c>
      <c r="H120" s="1"/>
    </row>
    <row r="121" spans="1:8" ht="18.95" customHeight="1">
      <c r="A121" s="1">
        <v>115</v>
      </c>
      <c r="B121" s="8">
        <f>A121*Summary!$B$14</f>
        <v>958.33333333333337</v>
      </c>
      <c r="C121" s="8">
        <f>'Native PMKS'!B121*1000</f>
        <v>958.33333333333235</v>
      </c>
      <c r="D121" s="8">
        <f t="shared" si="1"/>
        <v>1.0231815394945443E-12</v>
      </c>
      <c r="E121" s="1"/>
      <c r="F121" s="1">
        <v>115</v>
      </c>
      <c r="G121" s="8">
        <f>F121*Summary!$B$17</f>
        <v>961.00278551532028</v>
      </c>
      <c r="H121" s="1"/>
    </row>
    <row r="122" spans="1:8" ht="18.95" customHeight="1">
      <c r="A122" s="1">
        <v>116</v>
      </c>
      <c r="B122" s="8">
        <f>A122*Summary!$B$14</f>
        <v>966.66666666666674</v>
      </c>
      <c r="C122" s="8">
        <f>'Native PMKS'!B122*1000</f>
        <v>966.66666666666561</v>
      </c>
      <c r="D122" s="8">
        <f t="shared" si="1"/>
        <v>1.1368683772161603E-12</v>
      </c>
      <c r="E122" s="1"/>
      <c r="F122" s="1">
        <v>116</v>
      </c>
      <c r="G122" s="8">
        <f>F122*Summary!$B$17</f>
        <v>969.35933147632306</v>
      </c>
      <c r="H122" s="1"/>
    </row>
    <row r="123" spans="1:8" ht="18.95" customHeight="1">
      <c r="A123" s="1">
        <v>117</v>
      </c>
      <c r="B123" s="8">
        <f>A123*Summary!$B$14</f>
        <v>975.00000000000011</v>
      </c>
      <c r="C123" s="8">
        <f>'Native PMKS'!B123*1000</f>
        <v>974.99999999999898</v>
      </c>
      <c r="D123" s="8">
        <f t="shared" si="1"/>
        <v>1.1368683772161603E-12</v>
      </c>
      <c r="E123" s="1"/>
      <c r="F123" s="1">
        <v>117</v>
      </c>
      <c r="G123" s="8">
        <f>F123*Summary!$B$17</f>
        <v>977.71587743732584</v>
      </c>
      <c r="H123" s="1"/>
    </row>
    <row r="124" spans="1:8" ht="18.95" customHeight="1">
      <c r="A124" s="1">
        <v>118</v>
      </c>
      <c r="B124" s="8">
        <f>A124*Summary!$B$14</f>
        <v>983.33333333333337</v>
      </c>
      <c r="C124" s="8">
        <f>'Native PMKS'!B124*1000</f>
        <v>983.33333333333235</v>
      </c>
      <c r="D124" s="8">
        <f t="shared" si="1"/>
        <v>1.0231815394945443E-12</v>
      </c>
      <c r="E124" s="1"/>
      <c r="F124" s="1">
        <v>118</v>
      </c>
      <c r="G124" s="8">
        <f>F124*Summary!$B$17</f>
        <v>986.07242339832874</v>
      </c>
      <c r="H124" s="1"/>
    </row>
    <row r="125" spans="1:8" ht="18.95" customHeight="1">
      <c r="A125" s="1">
        <v>119</v>
      </c>
      <c r="B125" s="8">
        <f>A125*Summary!$B$14</f>
        <v>991.66666666666674</v>
      </c>
      <c r="C125" s="8">
        <f>'Native PMKS'!B125*1000</f>
        <v>991.66666666666561</v>
      </c>
      <c r="D125" s="8">
        <f t="shared" si="1"/>
        <v>1.1368683772161603E-12</v>
      </c>
      <c r="E125" s="1"/>
      <c r="F125" s="1">
        <v>119</v>
      </c>
      <c r="G125" s="8">
        <f>F125*Summary!$B$17</f>
        <v>994.42896935933152</v>
      </c>
      <c r="H125" s="1"/>
    </row>
    <row r="126" spans="1:8" ht="18.95" customHeight="1">
      <c r="A126" s="1">
        <v>120</v>
      </c>
      <c r="B126" s="8">
        <f>A126*Summary!$B$14</f>
        <v>1000.0000000000001</v>
      </c>
      <c r="C126" s="8">
        <f>'Native PMKS'!B126*1000</f>
        <v>999.99999999999875</v>
      </c>
      <c r="D126" s="8">
        <f t="shared" si="1"/>
        <v>1.3642420526593924E-12</v>
      </c>
      <c r="E126" s="1"/>
      <c r="F126" s="1">
        <v>120</v>
      </c>
      <c r="G126" s="8">
        <f>F126*Summary!$B$17</f>
        <v>1002.7855153203343</v>
      </c>
      <c r="H126" s="1"/>
    </row>
    <row r="127" spans="1:8" ht="18.95" customHeight="1">
      <c r="A127" s="1">
        <v>121</v>
      </c>
      <c r="B127" s="8">
        <f>A127*Summary!$B$14</f>
        <v>1008.3333333333334</v>
      </c>
      <c r="C127" s="8">
        <f>'Native PMKS'!B127*1000</f>
        <v>1008.3333333333322</v>
      </c>
      <c r="D127" s="8">
        <f t="shared" si="1"/>
        <v>1.1368683772161603E-12</v>
      </c>
      <c r="E127" s="1"/>
      <c r="F127" s="1">
        <v>121</v>
      </c>
      <c r="G127" s="8">
        <f>F127*Summary!$B$17</f>
        <v>1011.1420612813371</v>
      </c>
      <c r="H127" s="1"/>
    </row>
    <row r="128" spans="1:8" ht="18.95" customHeight="1">
      <c r="A128" s="1">
        <v>122</v>
      </c>
      <c r="B128" s="8">
        <f>A128*Summary!$B$14</f>
        <v>1016.6666666666667</v>
      </c>
      <c r="C128" s="8">
        <f>'Native PMKS'!B128*1000</f>
        <v>1016.6666666666655</v>
      </c>
      <c r="D128" s="8">
        <f t="shared" si="1"/>
        <v>1.2505552149377763E-12</v>
      </c>
      <c r="E128" s="1"/>
      <c r="F128" s="1">
        <v>122</v>
      </c>
      <c r="G128" s="8">
        <f>F128*Summary!$B$17</f>
        <v>1019.4986072423399</v>
      </c>
      <c r="H128" s="1"/>
    </row>
    <row r="129" spans="1:8" ht="18.95" customHeight="1">
      <c r="A129" s="1">
        <v>123</v>
      </c>
      <c r="B129" s="8">
        <f>A129*Summary!$B$14</f>
        <v>1025</v>
      </c>
      <c r="C129" s="8">
        <f>'Native PMKS'!B129*1000</f>
        <v>1024.9999999999989</v>
      </c>
      <c r="D129" s="8">
        <f t="shared" si="1"/>
        <v>0</v>
      </c>
      <c r="E129" s="1"/>
      <c r="F129" s="1">
        <v>123</v>
      </c>
      <c r="G129" s="8">
        <f>F129*Summary!$B$17</f>
        <v>1027.8551532033425</v>
      </c>
      <c r="H129" s="1"/>
    </row>
    <row r="130" spans="1:8" ht="18.95" customHeight="1">
      <c r="A130" s="1">
        <v>124</v>
      </c>
      <c r="B130" s="8">
        <f>A130*Summary!$B$14</f>
        <v>1033.3333333333335</v>
      </c>
      <c r="C130" s="8">
        <f>'Native PMKS'!B130*1000</f>
        <v>1033.3333333333321</v>
      </c>
      <c r="D130" s="8">
        <f t="shared" si="1"/>
        <v>0</v>
      </c>
      <c r="E130" s="1"/>
      <c r="F130" s="1">
        <v>124</v>
      </c>
      <c r="G130" s="8">
        <f>F130*Summary!$B$17</f>
        <v>1036.2116991643454</v>
      </c>
      <c r="H130" s="1"/>
    </row>
    <row r="131" spans="1:8" ht="18.95" customHeight="1">
      <c r="A131" s="1">
        <v>125</v>
      </c>
      <c r="B131" s="8">
        <f>A131*Summary!$B$14</f>
        <v>1041.6666666666667</v>
      </c>
      <c r="C131" s="8">
        <f>'Native PMKS'!B131*1000</f>
        <v>1041.6666666666654</v>
      </c>
      <c r="D131" s="8">
        <f t="shared" si="1"/>
        <v>0</v>
      </c>
      <c r="E131" s="1"/>
      <c r="F131" s="1">
        <v>125</v>
      </c>
      <c r="G131" s="8">
        <f>F131*Summary!$B$17</f>
        <v>1044.5682451253481</v>
      </c>
      <c r="H131" s="1"/>
    </row>
    <row r="132" spans="1:8" ht="18.95" customHeight="1">
      <c r="A132" s="1">
        <v>126</v>
      </c>
      <c r="B132" s="8">
        <f>A132*Summary!$B$14</f>
        <v>1050</v>
      </c>
      <c r="C132" s="8">
        <f>'Native PMKS'!B132*1000</f>
        <v>1049.9999999999986</v>
      </c>
      <c r="D132" s="8">
        <f t="shared" si="1"/>
        <v>0</v>
      </c>
      <c r="E132" s="1"/>
      <c r="F132" s="1">
        <v>126</v>
      </c>
      <c r="G132" s="8">
        <f>F132*Summary!$B$17</f>
        <v>1052.924791086351</v>
      </c>
      <c r="H132" s="1"/>
    </row>
    <row r="133" spans="1:8" ht="18.95" customHeight="1">
      <c r="A133" s="1">
        <v>127</v>
      </c>
      <c r="B133" s="8">
        <f>A133*Summary!$B$14</f>
        <v>1058.3333333333335</v>
      </c>
      <c r="C133" s="8">
        <f>'Native PMKS'!B133*1000</f>
        <v>1058.3333333333321</v>
      </c>
      <c r="D133" s="8">
        <f t="shared" si="1"/>
        <v>0</v>
      </c>
      <c r="E133" s="1"/>
      <c r="F133" s="1">
        <v>127</v>
      </c>
      <c r="G133" s="8">
        <f>F133*Summary!$B$17</f>
        <v>1061.2813370473536</v>
      </c>
      <c r="H133" s="1"/>
    </row>
    <row r="134" spans="1:8" ht="18.95" customHeight="1">
      <c r="A134" s="1">
        <v>128</v>
      </c>
      <c r="B134" s="8">
        <f>A134*Summary!$B$14</f>
        <v>1066.6666666666667</v>
      </c>
      <c r="C134" s="8">
        <f>'Native PMKS'!B134*1000</f>
        <v>1066.6666666666652</v>
      </c>
      <c r="D134" s="8">
        <f t="shared" ref="D134:D197" si="2">B134-C134</f>
        <v>0</v>
      </c>
      <c r="E134" s="1"/>
      <c r="F134" s="1">
        <v>128</v>
      </c>
      <c r="G134" s="8">
        <f>F134*Summary!$B$17</f>
        <v>1069.6378830083565</v>
      </c>
      <c r="H134" s="1"/>
    </row>
    <row r="135" spans="1:8" ht="18.95" customHeight="1">
      <c r="A135" s="1">
        <v>129</v>
      </c>
      <c r="B135" s="8">
        <f>A135*Summary!$B$14</f>
        <v>1075</v>
      </c>
      <c r="C135" s="8">
        <f>'Native PMKS'!B135*1000</f>
        <v>1074.9999999999986</v>
      </c>
      <c r="D135" s="8">
        <f t="shared" si="2"/>
        <v>0</v>
      </c>
      <c r="E135" s="1"/>
      <c r="F135" s="1">
        <v>129</v>
      </c>
      <c r="G135" s="8">
        <f>F135*Summary!$B$17</f>
        <v>1077.9944289693594</v>
      </c>
      <c r="H135" s="1"/>
    </row>
    <row r="136" spans="1:8" ht="18.95" customHeight="1">
      <c r="A136" s="1">
        <v>130</v>
      </c>
      <c r="B136" s="8">
        <f>A136*Summary!$B$14</f>
        <v>1083.3333333333335</v>
      </c>
      <c r="C136" s="8">
        <f>'Native PMKS'!B136*1000</f>
        <v>1083.3333333333319</v>
      </c>
      <c r="D136" s="8">
        <f t="shared" si="2"/>
        <v>0</v>
      </c>
      <c r="E136" s="1"/>
      <c r="F136" s="1">
        <v>130</v>
      </c>
      <c r="G136" s="8">
        <f>F136*Summary!$B$17</f>
        <v>1086.3509749303621</v>
      </c>
      <c r="H136" s="1"/>
    </row>
    <row r="137" spans="1:8" ht="18.95" customHeight="1">
      <c r="A137" s="1">
        <v>131</v>
      </c>
      <c r="B137" s="8">
        <f>A137*Summary!$B$14</f>
        <v>1091.6666666666667</v>
      </c>
      <c r="C137" s="8">
        <f>'Native PMKS'!B137*1000</f>
        <v>1091.6666666666652</v>
      </c>
      <c r="D137" s="8">
        <f t="shared" si="2"/>
        <v>0</v>
      </c>
      <c r="E137" s="1"/>
      <c r="F137" s="1">
        <v>131</v>
      </c>
      <c r="G137" s="8">
        <f>F137*Summary!$B$17</f>
        <v>1094.707520891365</v>
      </c>
      <c r="H137" s="1"/>
    </row>
    <row r="138" spans="1:8" ht="18.95" customHeight="1">
      <c r="A138" s="1">
        <v>132</v>
      </c>
      <c r="B138" s="8">
        <f>A138*Summary!$B$14</f>
        <v>1100</v>
      </c>
      <c r="C138" s="8">
        <f>'Native PMKS'!B138*1000</f>
        <v>1099.9999999999984</v>
      </c>
      <c r="D138" s="8">
        <f t="shared" si="2"/>
        <v>0</v>
      </c>
      <c r="E138" s="1"/>
      <c r="F138" s="1">
        <v>132</v>
      </c>
      <c r="G138" s="8">
        <f>F138*Summary!$B$17</f>
        <v>1103.0640668523677</v>
      </c>
      <c r="H138" s="1"/>
    </row>
    <row r="139" spans="1:8" ht="18.95" customHeight="1">
      <c r="A139" s="1">
        <v>133</v>
      </c>
      <c r="B139" s="8">
        <f>A139*Summary!$B$14</f>
        <v>1108.3333333333335</v>
      </c>
      <c r="C139" s="8">
        <f>'Native PMKS'!B139*1000</f>
        <v>1108.3333333333319</v>
      </c>
      <c r="D139" s="8">
        <f t="shared" si="2"/>
        <v>0</v>
      </c>
      <c r="E139" s="1"/>
      <c r="F139" s="1">
        <v>133</v>
      </c>
      <c r="G139" s="8">
        <f>F139*Summary!$B$17</f>
        <v>1111.4206128133706</v>
      </c>
      <c r="H139" s="1"/>
    </row>
    <row r="140" spans="1:8" ht="18.95" customHeight="1">
      <c r="A140" s="1">
        <v>134</v>
      </c>
      <c r="B140" s="8">
        <f>A140*Summary!$B$14</f>
        <v>1116.6666666666667</v>
      </c>
      <c r="C140" s="8">
        <f>'Native PMKS'!B140*1000</f>
        <v>1116.6666666666652</v>
      </c>
      <c r="D140" s="8">
        <f t="shared" si="2"/>
        <v>0</v>
      </c>
      <c r="E140" s="1"/>
      <c r="F140" s="1">
        <v>134</v>
      </c>
      <c r="G140" s="8">
        <f>F140*Summary!$B$17</f>
        <v>1119.7771587743732</v>
      </c>
      <c r="H140" s="1"/>
    </row>
    <row r="141" spans="1:8" ht="18.95" customHeight="1">
      <c r="A141" s="1">
        <v>135</v>
      </c>
      <c r="B141" s="8">
        <f>A141*Summary!$B$14</f>
        <v>1125</v>
      </c>
      <c r="C141" s="8">
        <f>'Native PMKS'!B141*1000</f>
        <v>1124.9999999999984</v>
      </c>
      <c r="D141" s="8">
        <f t="shared" si="2"/>
        <v>0</v>
      </c>
      <c r="E141" s="1"/>
      <c r="F141" s="1">
        <v>135</v>
      </c>
      <c r="G141" s="8">
        <f>F141*Summary!$B$17</f>
        <v>1128.1337047353761</v>
      </c>
      <c r="H141" s="1"/>
    </row>
    <row r="142" spans="1:8" ht="18.95" customHeight="1">
      <c r="A142" s="1">
        <v>136</v>
      </c>
      <c r="B142" s="8">
        <f>A142*Summary!$B$14</f>
        <v>1133.3333333333335</v>
      </c>
      <c r="C142" s="8">
        <f>'Native PMKS'!B142*1000</f>
        <v>1133.3333333333314</v>
      </c>
      <c r="D142" s="8">
        <f t="shared" si="2"/>
        <v>2.0463630789890885E-12</v>
      </c>
      <c r="E142" s="1"/>
      <c r="F142" s="1">
        <v>136</v>
      </c>
      <c r="G142" s="8">
        <f>F142*Summary!$B$17</f>
        <v>1136.4902506963788</v>
      </c>
      <c r="H142" s="1"/>
    </row>
    <row r="143" spans="1:8" ht="18.95" customHeight="1">
      <c r="A143" s="1">
        <v>137</v>
      </c>
      <c r="B143" s="8">
        <f>A143*Summary!$B$14</f>
        <v>1141.6666666666667</v>
      </c>
      <c r="C143" s="8">
        <f>'Native PMKS'!B143*1000</f>
        <v>1141.6666666666652</v>
      </c>
      <c r="D143" s="8">
        <f t="shared" si="2"/>
        <v>0</v>
      </c>
      <c r="E143" s="1"/>
      <c r="F143" s="1">
        <v>137</v>
      </c>
      <c r="G143" s="8">
        <f>F143*Summary!$B$17</f>
        <v>1144.8467966573817</v>
      </c>
      <c r="H143" s="1"/>
    </row>
    <row r="144" spans="1:8" ht="18.95" customHeight="1">
      <c r="A144" s="1">
        <v>138</v>
      </c>
      <c r="B144" s="8">
        <f>A144*Summary!$B$14</f>
        <v>1150</v>
      </c>
      <c r="C144" s="8">
        <f>'Native PMKS'!B144*1000</f>
        <v>1149.9999999999984</v>
      </c>
      <c r="D144" s="8">
        <f t="shared" si="2"/>
        <v>0</v>
      </c>
      <c r="E144" s="1"/>
      <c r="F144" s="1">
        <v>138</v>
      </c>
      <c r="G144" s="8">
        <f>F144*Summary!$B$17</f>
        <v>1153.2033426183843</v>
      </c>
      <c r="H144" s="1"/>
    </row>
    <row r="145" spans="1:8" ht="18.95" customHeight="1">
      <c r="A145" s="1">
        <v>139</v>
      </c>
      <c r="B145" s="8">
        <f>A145*Summary!$B$14</f>
        <v>1158.3333333333335</v>
      </c>
      <c r="C145" s="8">
        <f>'Native PMKS'!B145*1000</f>
        <v>1158.3333333333317</v>
      </c>
      <c r="D145" s="8">
        <f t="shared" si="2"/>
        <v>1.8189894035458565E-12</v>
      </c>
      <c r="E145" s="1"/>
      <c r="F145" s="1">
        <v>139</v>
      </c>
      <c r="G145" s="8">
        <f>F145*Summary!$B$17</f>
        <v>1161.5598885793872</v>
      </c>
      <c r="H145" s="1"/>
    </row>
    <row r="146" spans="1:8" ht="18.95" customHeight="1">
      <c r="A146" s="1">
        <v>140</v>
      </c>
      <c r="B146" s="8">
        <f>A146*Summary!$B$14</f>
        <v>1166.6666666666667</v>
      </c>
      <c r="C146" s="8">
        <f>'Native PMKS'!B146*1000</f>
        <v>1166.6666666666649</v>
      </c>
      <c r="D146" s="8">
        <f t="shared" si="2"/>
        <v>1.8189894035458565E-12</v>
      </c>
      <c r="E146" s="1"/>
      <c r="F146" s="1">
        <v>140</v>
      </c>
      <c r="G146" s="8">
        <f>F146*Summary!$B$17</f>
        <v>1169.9164345403899</v>
      </c>
      <c r="H146" s="1"/>
    </row>
    <row r="147" spans="1:8" ht="18.95" customHeight="1">
      <c r="A147" s="1">
        <v>141</v>
      </c>
      <c r="B147" s="8">
        <f>A147*Summary!$B$14</f>
        <v>1175</v>
      </c>
      <c r="C147" s="8">
        <f>'Native PMKS'!B147*1000</f>
        <v>1174.9999999999984</v>
      </c>
      <c r="D147" s="8">
        <f t="shared" si="2"/>
        <v>0</v>
      </c>
      <c r="E147" s="1"/>
      <c r="F147" s="1">
        <v>141</v>
      </c>
      <c r="G147" s="8">
        <f>F147*Summary!$B$17</f>
        <v>1178.2729805013928</v>
      </c>
      <c r="H147" s="1"/>
    </row>
    <row r="148" spans="1:8" ht="18.95" customHeight="1">
      <c r="A148" s="1">
        <v>142</v>
      </c>
      <c r="B148" s="8">
        <f>A148*Summary!$B$14</f>
        <v>1183.3333333333335</v>
      </c>
      <c r="C148" s="8">
        <f>'Native PMKS'!B148*1000</f>
        <v>1183.3333333333317</v>
      </c>
      <c r="D148" s="8">
        <f t="shared" si="2"/>
        <v>1.8189894035458565E-12</v>
      </c>
      <c r="E148" s="1"/>
      <c r="F148" s="1">
        <v>142</v>
      </c>
      <c r="G148" s="8">
        <f>F148*Summary!$B$17</f>
        <v>1186.6295264623955</v>
      </c>
      <c r="H148" s="1"/>
    </row>
    <row r="149" spans="1:8" ht="18.95" customHeight="1">
      <c r="A149" s="1">
        <v>143</v>
      </c>
      <c r="B149" s="8">
        <f>A149*Summary!$B$14</f>
        <v>1191.6666666666667</v>
      </c>
      <c r="C149" s="8">
        <f>'Native PMKS'!B149*1000</f>
        <v>1191.6666666666649</v>
      </c>
      <c r="D149" s="8">
        <f t="shared" si="2"/>
        <v>1.8189894035458565E-12</v>
      </c>
      <c r="E149" s="1"/>
      <c r="F149" s="1">
        <v>143</v>
      </c>
      <c r="G149" s="8">
        <f>F149*Summary!$B$17</f>
        <v>1194.9860724233984</v>
      </c>
      <c r="H149" s="1"/>
    </row>
    <row r="150" spans="1:8" ht="18.95" customHeight="1">
      <c r="A150" s="1">
        <v>144</v>
      </c>
      <c r="B150" s="8">
        <f>A150*Summary!$B$14</f>
        <v>1200</v>
      </c>
      <c r="C150" s="8">
        <f>'Native PMKS'!B150*1000</f>
        <v>1199.9999999999982</v>
      </c>
      <c r="D150" s="8">
        <f t="shared" si="2"/>
        <v>1.8189894035458565E-12</v>
      </c>
      <c r="E150" s="1"/>
      <c r="F150" s="1">
        <v>144</v>
      </c>
      <c r="G150" s="8">
        <f>F150*Summary!$B$17</f>
        <v>1203.342618384401</v>
      </c>
      <c r="H150" s="1"/>
    </row>
    <row r="151" spans="1:8" ht="18.95" customHeight="1">
      <c r="A151" s="1">
        <v>145</v>
      </c>
      <c r="B151" s="8">
        <f>A151*Summary!$B$14</f>
        <v>1208.3333333333335</v>
      </c>
      <c r="C151" s="8">
        <f>'Native PMKS'!B151*1000</f>
        <v>1208.3333333333317</v>
      </c>
      <c r="D151" s="8">
        <f t="shared" si="2"/>
        <v>1.8189894035458565E-12</v>
      </c>
      <c r="E151" s="1"/>
      <c r="F151" s="1">
        <v>145</v>
      </c>
      <c r="G151" s="8">
        <f>F151*Summary!$B$17</f>
        <v>1211.6991643454039</v>
      </c>
      <c r="H151" s="1"/>
    </row>
    <row r="152" spans="1:8" ht="18.95" customHeight="1">
      <c r="A152" s="1">
        <v>146</v>
      </c>
      <c r="B152" s="8">
        <f>A152*Summary!$B$14</f>
        <v>1216.6666666666667</v>
      </c>
      <c r="C152" s="8">
        <f>'Native PMKS'!B152*1000</f>
        <v>1216.6666666666647</v>
      </c>
      <c r="D152" s="8">
        <f t="shared" si="2"/>
        <v>2.0463630789890885E-12</v>
      </c>
      <c r="E152" s="1"/>
      <c r="F152" s="1">
        <v>146</v>
      </c>
      <c r="G152" s="8">
        <f>F152*Summary!$B$17</f>
        <v>1220.0557103064066</v>
      </c>
      <c r="H152" s="1"/>
    </row>
    <row r="153" spans="1:8" ht="18.95" customHeight="1">
      <c r="A153" s="1">
        <v>147</v>
      </c>
      <c r="B153" s="8">
        <f>A153*Summary!$B$14</f>
        <v>1225</v>
      </c>
      <c r="C153" s="8">
        <f>'Native PMKS'!B153*1000</f>
        <v>1224.9999999999982</v>
      </c>
      <c r="D153" s="8">
        <f t="shared" si="2"/>
        <v>1.8189894035458565E-12</v>
      </c>
      <c r="E153" s="1"/>
      <c r="F153" s="1">
        <v>147</v>
      </c>
      <c r="G153" s="8">
        <f>F153*Summary!$B$17</f>
        <v>1228.4122562674095</v>
      </c>
      <c r="H153" s="1"/>
    </row>
    <row r="154" spans="1:8" ht="18.95" customHeight="1">
      <c r="A154" s="1">
        <v>148</v>
      </c>
      <c r="B154" s="8">
        <f>A154*Summary!$B$14</f>
        <v>1233.3333333333335</v>
      </c>
      <c r="C154" s="8">
        <f>'Native PMKS'!B154*1000</f>
        <v>1233.3333333333314</v>
      </c>
      <c r="D154" s="8">
        <f t="shared" si="2"/>
        <v>2.0463630789890885E-12</v>
      </c>
      <c r="E154" s="1"/>
      <c r="F154" s="1">
        <v>148</v>
      </c>
      <c r="G154" s="8">
        <f>F154*Summary!$B$17</f>
        <v>1236.7688022284121</v>
      </c>
      <c r="H154" s="1"/>
    </row>
    <row r="155" spans="1:8" ht="18.95" customHeight="1">
      <c r="A155" s="1">
        <v>149</v>
      </c>
      <c r="B155" s="8">
        <f>A155*Summary!$B$14</f>
        <v>1241.6666666666667</v>
      </c>
      <c r="C155" s="8">
        <f>'Native PMKS'!B155*1000</f>
        <v>1241.6666666666647</v>
      </c>
      <c r="D155" s="8">
        <f t="shared" si="2"/>
        <v>2.0463630789890885E-12</v>
      </c>
      <c r="E155" s="1"/>
      <c r="F155" s="1">
        <v>149</v>
      </c>
      <c r="G155" s="8">
        <f>F155*Summary!$B$17</f>
        <v>1245.125348189415</v>
      </c>
      <c r="H155" s="1"/>
    </row>
    <row r="156" spans="1:8" ht="18.95" customHeight="1">
      <c r="A156" s="1">
        <v>150</v>
      </c>
      <c r="B156" s="8">
        <f>A156*Summary!$B$14</f>
        <v>1250</v>
      </c>
      <c r="C156" s="8">
        <f>'Native PMKS'!B156*1000</f>
        <v>1249.999999999998</v>
      </c>
      <c r="D156" s="8">
        <f t="shared" si="2"/>
        <v>2.0463630789890885E-12</v>
      </c>
      <c r="E156" s="1"/>
      <c r="F156" s="1">
        <v>150</v>
      </c>
      <c r="G156" s="8">
        <f>F156*Summary!$B$17</f>
        <v>1253.4818941504179</v>
      </c>
      <c r="H156" s="1"/>
    </row>
    <row r="157" spans="1:8" ht="18.95" customHeight="1">
      <c r="A157" s="1">
        <v>151</v>
      </c>
      <c r="B157" s="8">
        <f>A157*Summary!$B$14</f>
        <v>1258.3333333333335</v>
      </c>
      <c r="C157" s="8">
        <f>'Native PMKS'!B157*1000</f>
        <v>1258.3333333333312</v>
      </c>
      <c r="D157" s="8">
        <f t="shared" si="2"/>
        <v>2.2737367544323206E-12</v>
      </c>
      <c r="E157" s="1"/>
      <c r="F157" s="1">
        <v>151</v>
      </c>
      <c r="G157" s="8">
        <f>F157*Summary!$B$17</f>
        <v>1261.8384401114206</v>
      </c>
      <c r="H157" s="1"/>
    </row>
    <row r="158" spans="1:8" ht="18.95" customHeight="1">
      <c r="A158" s="1">
        <v>152</v>
      </c>
      <c r="B158" s="8">
        <f>A158*Summary!$B$14</f>
        <v>1266.6666666666667</v>
      </c>
      <c r="C158" s="8">
        <f>'Native PMKS'!B158*1000</f>
        <v>1266.6666666666647</v>
      </c>
      <c r="D158" s="8">
        <f t="shared" si="2"/>
        <v>2.0463630789890885E-12</v>
      </c>
      <c r="E158" s="1"/>
      <c r="F158" s="1">
        <v>152</v>
      </c>
      <c r="G158" s="8">
        <f>F158*Summary!$B$17</f>
        <v>1270.1949860724235</v>
      </c>
      <c r="H158" s="1"/>
    </row>
    <row r="159" spans="1:8" ht="18.95" customHeight="1">
      <c r="A159" s="1">
        <v>153</v>
      </c>
      <c r="B159" s="8">
        <f>A159*Summary!$B$14</f>
        <v>1275</v>
      </c>
      <c r="C159" s="8">
        <f>'Native PMKS'!B159*1000</f>
        <v>1274.999999999998</v>
      </c>
      <c r="D159" s="8">
        <f t="shared" si="2"/>
        <v>2.0463630789890885E-12</v>
      </c>
      <c r="E159" s="1"/>
      <c r="F159" s="1">
        <v>153</v>
      </c>
      <c r="G159" s="8">
        <f>F159*Summary!$B$17</f>
        <v>1278.5515320334262</v>
      </c>
      <c r="H159" s="1"/>
    </row>
    <row r="160" spans="1:8" ht="18.95" customHeight="1">
      <c r="A160" s="1">
        <v>154</v>
      </c>
      <c r="B160" s="8">
        <f>A160*Summary!$B$14</f>
        <v>1283.3333333333335</v>
      </c>
      <c r="C160" s="8">
        <f>'Native PMKS'!B160*1000</f>
        <v>1283.3333333333312</v>
      </c>
      <c r="D160" s="8">
        <f t="shared" si="2"/>
        <v>2.2737367544323206E-12</v>
      </c>
      <c r="E160" s="1"/>
      <c r="F160" s="1">
        <v>154</v>
      </c>
      <c r="G160" s="8">
        <f>F160*Summary!$B$17</f>
        <v>1286.908077994429</v>
      </c>
      <c r="H160" s="1"/>
    </row>
    <row r="161" spans="1:8" ht="18.95" customHeight="1">
      <c r="A161" s="1">
        <v>155</v>
      </c>
      <c r="B161" s="8">
        <f>A161*Summary!$B$14</f>
        <v>1291.6666666666667</v>
      </c>
      <c r="C161" s="8">
        <f>'Native PMKS'!B161*1000</f>
        <v>1291.6666666666642</v>
      </c>
      <c r="D161" s="8">
        <f t="shared" si="2"/>
        <v>2.5011104298755527E-12</v>
      </c>
      <c r="E161" s="1"/>
      <c r="F161" s="1">
        <v>155</v>
      </c>
      <c r="G161" s="8">
        <f>F161*Summary!$B$17</f>
        <v>1295.2646239554317</v>
      </c>
      <c r="H161" s="1"/>
    </row>
    <row r="162" spans="1:8" ht="18.95" customHeight="1">
      <c r="A162" s="1">
        <v>156</v>
      </c>
      <c r="B162" s="8">
        <f>A162*Summary!$B$14</f>
        <v>1300</v>
      </c>
      <c r="C162" s="8">
        <f>'Native PMKS'!B162*1000</f>
        <v>1299.9999999999977</v>
      </c>
      <c r="D162" s="8">
        <f t="shared" si="2"/>
        <v>2.2737367544323206E-12</v>
      </c>
      <c r="E162" s="1"/>
      <c r="F162" s="1">
        <v>156</v>
      </c>
      <c r="G162" s="8">
        <f>F162*Summary!$B$17</f>
        <v>1303.6211699164346</v>
      </c>
      <c r="H162" s="1"/>
    </row>
    <row r="163" spans="1:8" ht="18.95" customHeight="1">
      <c r="A163" s="1">
        <v>157</v>
      </c>
      <c r="B163" s="8">
        <f>A163*Summary!$B$14</f>
        <v>1308.3333333333335</v>
      </c>
      <c r="C163" s="8">
        <f>'Native PMKS'!B163*1000</f>
        <v>1308.3333333333312</v>
      </c>
      <c r="D163" s="8">
        <f t="shared" si="2"/>
        <v>2.2737367544323206E-12</v>
      </c>
      <c r="E163" s="1"/>
      <c r="F163" s="1">
        <v>157</v>
      </c>
      <c r="G163" s="8">
        <f>F163*Summary!$B$17</f>
        <v>1311.9777158774373</v>
      </c>
      <c r="H163" s="1"/>
    </row>
    <row r="164" spans="1:8" ht="18.95" customHeight="1">
      <c r="A164" s="1">
        <v>158</v>
      </c>
      <c r="B164" s="8">
        <f>A164*Summary!$B$14</f>
        <v>1316.6666666666667</v>
      </c>
      <c r="C164" s="8">
        <f>'Native PMKS'!B164*1000</f>
        <v>1316.6666666666645</v>
      </c>
      <c r="D164" s="8">
        <f t="shared" si="2"/>
        <v>2.2737367544323206E-12</v>
      </c>
      <c r="E164" s="1"/>
      <c r="F164" s="1">
        <v>158</v>
      </c>
      <c r="G164" s="8">
        <f>F164*Summary!$B$17</f>
        <v>1320.3342618384402</v>
      </c>
      <c r="H164" s="1"/>
    </row>
    <row r="165" spans="1:8" ht="18.95" customHeight="1">
      <c r="A165" s="1">
        <v>159</v>
      </c>
      <c r="B165" s="8">
        <f>A165*Summary!$B$14</f>
        <v>1325</v>
      </c>
      <c r="C165" s="8">
        <f>'Native PMKS'!B165*1000</f>
        <v>1324.9999999999975</v>
      </c>
      <c r="D165" s="8">
        <f t="shared" si="2"/>
        <v>2.5011104298755527E-12</v>
      </c>
      <c r="E165" s="1"/>
      <c r="F165" s="1">
        <v>159</v>
      </c>
      <c r="G165" s="8">
        <f>F165*Summary!$B$17</f>
        <v>1328.6908077994428</v>
      </c>
      <c r="H165" s="1"/>
    </row>
    <row r="166" spans="1:8" ht="18.95" customHeight="1">
      <c r="A166" s="1">
        <v>160</v>
      </c>
      <c r="B166" s="8">
        <f>A166*Summary!$B$14</f>
        <v>1333.3333333333335</v>
      </c>
      <c r="C166" s="8">
        <f>'Native PMKS'!B166*1000</f>
        <v>1333.333333333331</v>
      </c>
      <c r="D166" s="8">
        <f t="shared" si="2"/>
        <v>2.5011104298755527E-12</v>
      </c>
      <c r="E166" s="1"/>
      <c r="F166" s="1">
        <v>160</v>
      </c>
      <c r="G166" s="8">
        <f>F166*Summary!$B$17</f>
        <v>1337.0473537604457</v>
      </c>
      <c r="H166" s="1"/>
    </row>
    <row r="167" spans="1:8" ht="18.95" customHeight="1">
      <c r="A167" s="1">
        <v>161</v>
      </c>
      <c r="B167" s="8">
        <f>A167*Summary!$B$14</f>
        <v>1341.6666666666667</v>
      </c>
      <c r="C167" s="8">
        <f>'Native PMKS'!B167*1000</f>
        <v>1341.6666666666642</v>
      </c>
      <c r="D167" s="8">
        <f t="shared" si="2"/>
        <v>2.5011104298755527E-12</v>
      </c>
      <c r="E167" s="1"/>
      <c r="F167" s="1">
        <v>161</v>
      </c>
      <c r="G167" s="8">
        <f>F167*Summary!$B$17</f>
        <v>1345.4038997214484</v>
      </c>
      <c r="H167" s="1"/>
    </row>
    <row r="168" spans="1:8" ht="18.95" customHeight="1">
      <c r="A168" s="1">
        <v>162</v>
      </c>
      <c r="B168" s="8">
        <f>A168*Summary!$B$14</f>
        <v>1350</v>
      </c>
      <c r="C168" s="8">
        <f>'Native PMKS'!B168*1000</f>
        <v>1349.9999999999977</v>
      </c>
      <c r="D168" s="8">
        <f t="shared" si="2"/>
        <v>2.2737367544323206E-12</v>
      </c>
      <c r="E168" s="1"/>
      <c r="F168" s="1">
        <v>162</v>
      </c>
      <c r="G168" s="8">
        <f>F168*Summary!$B$17</f>
        <v>1353.7604456824513</v>
      </c>
      <c r="H168" s="1"/>
    </row>
    <row r="169" spans="1:8" ht="18.95" customHeight="1">
      <c r="A169" s="1">
        <v>163</v>
      </c>
      <c r="B169" s="8">
        <f>A169*Summary!$B$14</f>
        <v>1358.3333333333335</v>
      </c>
      <c r="C169" s="8">
        <f>'Native PMKS'!B169*1000</f>
        <v>1358.333333333331</v>
      </c>
      <c r="D169" s="8">
        <f t="shared" si="2"/>
        <v>2.5011104298755527E-12</v>
      </c>
      <c r="E169" s="1"/>
      <c r="F169" s="1">
        <v>163</v>
      </c>
      <c r="G169" s="8">
        <f>F169*Summary!$B$17</f>
        <v>1362.116991643454</v>
      </c>
      <c r="H169" s="1"/>
    </row>
    <row r="170" spans="1:8" ht="18.95" customHeight="1">
      <c r="A170" s="1">
        <v>164</v>
      </c>
      <c r="B170" s="8">
        <f>A170*Summary!$B$14</f>
        <v>1366.6666666666667</v>
      </c>
      <c r="C170" s="8">
        <f>'Native PMKS'!B170*1000</f>
        <v>1366.6666666666645</v>
      </c>
      <c r="D170" s="8">
        <f t="shared" si="2"/>
        <v>2.2737367544323206E-12</v>
      </c>
      <c r="E170" s="1"/>
      <c r="F170" s="1">
        <v>164</v>
      </c>
      <c r="G170" s="8">
        <f>F170*Summary!$B$17</f>
        <v>1370.4735376044569</v>
      </c>
      <c r="H170" s="1"/>
    </row>
    <row r="171" spans="1:8" ht="18.95" customHeight="1">
      <c r="A171" s="1">
        <v>165</v>
      </c>
      <c r="B171" s="8">
        <f>A171*Summary!$B$14</f>
        <v>1375</v>
      </c>
      <c r="C171" s="8">
        <f>'Native PMKS'!B171*1000</f>
        <v>1374.9999999999975</v>
      </c>
      <c r="D171" s="8">
        <f t="shared" si="2"/>
        <v>2.5011104298755527E-12</v>
      </c>
      <c r="E171" s="1"/>
      <c r="F171" s="1">
        <v>165</v>
      </c>
      <c r="G171" s="8">
        <f>F171*Summary!$B$17</f>
        <v>1378.8300835654595</v>
      </c>
      <c r="H171" s="1"/>
    </row>
    <row r="172" spans="1:8" ht="18.95" customHeight="1">
      <c r="A172" s="1">
        <v>166</v>
      </c>
      <c r="B172" s="8">
        <f>A172*Summary!$B$14</f>
        <v>1383.3333333333335</v>
      </c>
      <c r="C172" s="8">
        <f>'Native PMKS'!B172*1000</f>
        <v>1383.3333333333308</v>
      </c>
      <c r="D172" s="8">
        <f t="shared" si="2"/>
        <v>2.7284841053187847E-12</v>
      </c>
      <c r="E172" s="1"/>
      <c r="F172" s="1">
        <v>166</v>
      </c>
      <c r="G172" s="8">
        <f>F172*Summary!$B$17</f>
        <v>1387.1866295264624</v>
      </c>
      <c r="H172" s="1"/>
    </row>
    <row r="173" spans="1:8" ht="18.95" customHeight="1">
      <c r="A173" s="1">
        <v>167</v>
      </c>
      <c r="B173" s="8">
        <f>A173*Summary!$B$14</f>
        <v>1391.6666666666667</v>
      </c>
      <c r="C173" s="8">
        <f>'Native PMKS'!B173*1000</f>
        <v>1391.6666666666642</v>
      </c>
      <c r="D173" s="8">
        <f t="shared" si="2"/>
        <v>2.5011104298755527E-12</v>
      </c>
      <c r="E173" s="1"/>
      <c r="F173" s="1">
        <v>167</v>
      </c>
      <c r="G173" s="8">
        <f>F173*Summary!$B$17</f>
        <v>1395.5431754874651</v>
      </c>
      <c r="H173" s="1"/>
    </row>
    <row r="174" spans="1:8" ht="18.95" customHeight="1">
      <c r="A174" s="1">
        <v>168</v>
      </c>
      <c r="B174" s="8">
        <f>A174*Summary!$B$14</f>
        <v>1400</v>
      </c>
      <c r="C174" s="8">
        <f>'Native PMKS'!B174*1000</f>
        <v>1399.9999999999977</v>
      </c>
      <c r="D174" s="8">
        <f t="shared" si="2"/>
        <v>2.2737367544323206E-12</v>
      </c>
      <c r="E174" s="1"/>
      <c r="F174" s="1">
        <v>168</v>
      </c>
      <c r="G174" s="8">
        <f>F174*Summary!$B$17</f>
        <v>1403.899721448468</v>
      </c>
      <c r="H174" s="1"/>
    </row>
    <row r="175" spans="1:8" ht="18.95" customHeight="1">
      <c r="A175" s="1">
        <v>169</v>
      </c>
      <c r="B175" s="8">
        <f>A175*Summary!$B$14</f>
        <v>1408.3333333333335</v>
      </c>
      <c r="C175" s="8">
        <f>'Native PMKS'!B175*1000</f>
        <v>1408.3333333333308</v>
      </c>
      <c r="D175" s="8">
        <f t="shared" si="2"/>
        <v>2.7284841053187847E-12</v>
      </c>
      <c r="E175" s="1"/>
      <c r="F175" s="1">
        <v>169</v>
      </c>
      <c r="G175" s="8">
        <f>F175*Summary!$B$17</f>
        <v>1412.2562674094706</v>
      </c>
      <c r="H175" s="1"/>
    </row>
    <row r="176" spans="1:8" ht="18.95" customHeight="1">
      <c r="A176" s="1">
        <v>170</v>
      </c>
      <c r="B176" s="8">
        <f>A176*Summary!$B$14</f>
        <v>1416.6666666666667</v>
      </c>
      <c r="C176" s="8">
        <f>'Native PMKS'!B176*1000</f>
        <v>1416.666666666664</v>
      </c>
      <c r="D176" s="8">
        <f t="shared" si="2"/>
        <v>2.7284841053187847E-12</v>
      </c>
      <c r="E176" s="1"/>
      <c r="F176" s="1">
        <v>170</v>
      </c>
      <c r="G176" s="8">
        <f>F176*Summary!$B$17</f>
        <v>1420.6128133704735</v>
      </c>
      <c r="H176" s="1"/>
    </row>
    <row r="177" spans="1:8" ht="18.95" customHeight="1">
      <c r="A177" s="1">
        <v>171</v>
      </c>
      <c r="B177" s="8">
        <f>A177*Summary!$B$14</f>
        <v>1425</v>
      </c>
      <c r="C177" s="8">
        <f>'Native PMKS'!B177*1000</f>
        <v>1424.9999999999973</v>
      </c>
      <c r="D177" s="8">
        <f t="shared" si="2"/>
        <v>2.7284841053187847E-12</v>
      </c>
      <c r="E177" s="1"/>
      <c r="F177" s="1">
        <v>171</v>
      </c>
      <c r="G177" s="8">
        <f>F177*Summary!$B$17</f>
        <v>1428.9693593314764</v>
      </c>
      <c r="H177" s="1"/>
    </row>
    <row r="178" spans="1:8" ht="18.95" customHeight="1">
      <c r="A178" s="1">
        <v>172</v>
      </c>
      <c r="B178" s="8">
        <f>A178*Summary!$B$14</f>
        <v>1433.3333333333335</v>
      </c>
      <c r="C178" s="8">
        <f>'Native PMKS'!B178*1000</f>
        <v>1433.333333333331</v>
      </c>
      <c r="D178" s="8">
        <f t="shared" si="2"/>
        <v>2.5011104298755527E-12</v>
      </c>
      <c r="E178" s="1"/>
      <c r="F178" s="1">
        <v>172</v>
      </c>
      <c r="G178" s="8">
        <f>F178*Summary!$B$17</f>
        <v>1437.3259052924791</v>
      </c>
      <c r="H178" s="1"/>
    </row>
    <row r="179" spans="1:8" ht="18.95" customHeight="1">
      <c r="A179" s="1">
        <v>173</v>
      </c>
      <c r="B179" s="8">
        <f>A179*Summary!$B$14</f>
        <v>1441.6666666666667</v>
      </c>
      <c r="C179" s="8">
        <f>'Native PMKS'!B179*1000</f>
        <v>1441.666666666664</v>
      </c>
      <c r="D179" s="8">
        <f t="shared" si="2"/>
        <v>2.7284841053187847E-12</v>
      </c>
      <c r="E179" s="1"/>
      <c r="F179" s="1">
        <v>173</v>
      </c>
      <c r="G179" s="8">
        <f>F179*Summary!$B$17</f>
        <v>1445.682451253482</v>
      </c>
      <c r="H179" s="1"/>
    </row>
    <row r="180" spans="1:8" ht="18.95" customHeight="1">
      <c r="A180" s="1">
        <v>174</v>
      </c>
      <c r="B180" s="8">
        <f>A180*Summary!$B$14</f>
        <v>1450</v>
      </c>
      <c r="C180" s="8">
        <f>'Native PMKS'!B180*1000</f>
        <v>1449.9999999999973</v>
      </c>
      <c r="D180" s="8">
        <f t="shared" si="2"/>
        <v>2.7284841053187847E-12</v>
      </c>
      <c r="E180" s="1"/>
      <c r="F180" s="1">
        <v>174</v>
      </c>
      <c r="G180" s="8">
        <f>F180*Summary!$B$17</f>
        <v>1454.0389972144847</v>
      </c>
      <c r="H180" s="1"/>
    </row>
    <row r="181" spans="1:8" ht="18.95" customHeight="1">
      <c r="A181" s="1">
        <v>175</v>
      </c>
      <c r="B181" s="8">
        <f>A181*Summary!$B$14</f>
        <v>1458.3333333333335</v>
      </c>
      <c r="C181" s="8">
        <f>'Native PMKS'!B181*1000</f>
        <v>1458.3333333333305</v>
      </c>
      <c r="D181" s="8">
        <f t="shared" si="2"/>
        <v>2.9558577807620168E-12</v>
      </c>
      <c r="E181" s="1"/>
      <c r="F181" s="1">
        <v>175</v>
      </c>
      <c r="G181" s="8">
        <f>F181*Summary!$B$17</f>
        <v>1462.3955431754875</v>
      </c>
      <c r="H181" s="1"/>
    </row>
    <row r="182" spans="1:8" ht="18.95" customHeight="1">
      <c r="A182" s="1">
        <v>176</v>
      </c>
      <c r="B182" s="8">
        <f>A182*Summary!$B$14</f>
        <v>1466.6666666666667</v>
      </c>
      <c r="C182" s="8">
        <f>'Native PMKS'!B182*1000</f>
        <v>1466.6666666666638</v>
      </c>
      <c r="D182" s="8">
        <f t="shared" si="2"/>
        <v>2.9558577807620168E-12</v>
      </c>
      <c r="E182" s="1"/>
      <c r="F182" s="1">
        <v>176</v>
      </c>
      <c r="G182" s="8">
        <f>F182*Summary!$B$17</f>
        <v>1470.7520891364902</v>
      </c>
      <c r="H182" s="1"/>
    </row>
    <row r="183" spans="1:8" ht="18.95" customHeight="1">
      <c r="A183" s="1">
        <v>177</v>
      </c>
      <c r="B183" s="8">
        <f>A183*Summary!$B$14</f>
        <v>1475</v>
      </c>
      <c r="C183" s="8">
        <f>'Native PMKS'!B183*1000</f>
        <v>1474.9999999999973</v>
      </c>
      <c r="D183" s="8">
        <f t="shared" si="2"/>
        <v>2.7284841053187847E-12</v>
      </c>
      <c r="E183" s="1"/>
      <c r="F183" s="1">
        <v>177</v>
      </c>
      <c r="G183" s="8">
        <f>F183*Summary!$B$17</f>
        <v>1479.1086350974931</v>
      </c>
      <c r="H183" s="1"/>
    </row>
    <row r="184" spans="1:8" ht="18.95" customHeight="1">
      <c r="A184" s="1">
        <v>178</v>
      </c>
      <c r="B184" s="8">
        <f>A184*Summary!$B$14</f>
        <v>1483.3333333333335</v>
      </c>
      <c r="C184" s="8">
        <f>'Native PMKS'!B184*1000</f>
        <v>1483.3333333333305</v>
      </c>
      <c r="D184" s="8">
        <f t="shared" si="2"/>
        <v>2.9558577807620168E-12</v>
      </c>
      <c r="E184" s="1"/>
      <c r="F184" s="1">
        <v>178</v>
      </c>
      <c r="G184" s="8">
        <f>F184*Summary!$B$17</f>
        <v>1487.4651810584958</v>
      </c>
      <c r="H184" s="1"/>
    </row>
    <row r="185" spans="1:8" ht="18.95" customHeight="1">
      <c r="A185" s="1">
        <v>179</v>
      </c>
      <c r="B185" s="8">
        <f>A185*Summary!$B$14</f>
        <v>1491.6666666666667</v>
      </c>
      <c r="C185" s="8">
        <f>'Native PMKS'!B185*1000</f>
        <v>1491.6666666666638</v>
      </c>
      <c r="D185" s="8">
        <f t="shared" si="2"/>
        <v>2.9558577807620168E-12</v>
      </c>
      <c r="E185" s="1"/>
      <c r="F185" s="1">
        <v>179</v>
      </c>
      <c r="G185" s="8">
        <f>F185*Summary!$B$17</f>
        <v>1495.8217270194987</v>
      </c>
      <c r="H185" s="1"/>
    </row>
    <row r="186" spans="1:8" ht="18.95" customHeight="1">
      <c r="A186" s="1">
        <v>180</v>
      </c>
      <c r="B186" s="8">
        <f>A186*Summary!$B$14</f>
        <v>1500</v>
      </c>
      <c r="C186" s="8">
        <f>'Native PMKS'!B186*1000</f>
        <v>1499.999999999997</v>
      </c>
      <c r="D186" s="8">
        <f t="shared" si="2"/>
        <v>2.9558577807620168E-12</v>
      </c>
      <c r="E186" s="1"/>
      <c r="F186" s="1">
        <v>180</v>
      </c>
      <c r="G186" s="8">
        <f>F186*Summary!$B$17</f>
        <v>1504.1782729805013</v>
      </c>
      <c r="H186" s="1"/>
    </row>
    <row r="187" spans="1:8" ht="18.95" customHeight="1">
      <c r="A187" s="1">
        <v>181</v>
      </c>
      <c r="B187" s="8">
        <f>A187*Summary!$B$14</f>
        <v>1508.3333333333335</v>
      </c>
      <c r="C187" s="8">
        <f>'Native PMKS'!B187*1000</f>
        <v>1508.3333333333305</v>
      </c>
      <c r="D187" s="8">
        <f t="shared" si="2"/>
        <v>2.9558577807620168E-12</v>
      </c>
      <c r="E187" s="1"/>
      <c r="F187" s="1">
        <v>181</v>
      </c>
      <c r="G187" s="8">
        <f>F187*Summary!$B$17</f>
        <v>1512.5348189415042</v>
      </c>
      <c r="H187" s="1"/>
    </row>
    <row r="188" spans="1:8" ht="18.95" customHeight="1">
      <c r="A188" s="1">
        <v>182</v>
      </c>
      <c r="B188" s="8">
        <f>A188*Summary!$B$14</f>
        <v>1516.6666666666667</v>
      </c>
      <c r="C188" s="8">
        <f>'Native PMKS'!B188*1000</f>
        <v>1516.6666666666636</v>
      </c>
      <c r="D188" s="8">
        <f t="shared" si="2"/>
        <v>3.1832314562052488E-12</v>
      </c>
      <c r="E188" s="1"/>
      <c r="F188" s="1">
        <v>182</v>
      </c>
      <c r="G188" s="8">
        <f>F188*Summary!$B$17</f>
        <v>1520.8913649025069</v>
      </c>
      <c r="H188" s="1"/>
    </row>
    <row r="189" spans="1:8" ht="18.95" customHeight="1">
      <c r="A189" s="1">
        <v>183</v>
      </c>
      <c r="B189" s="8">
        <f>A189*Summary!$B$14</f>
        <v>1525</v>
      </c>
      <c r="C189" s="8">
        <f>'Native PMKS'!B189*1000</f>
        <v>1524.999999999997</v>
      </c>
      <c r="D189" s="8">
        <f t="shared" si="2"/>
        <v>2.9558577807620168E-12</v>
      </c>
      <c r="E189" s="1"/>
      <c r="F189" s="1">
        <v>183</v>
      </c>
      <c r="G189" s="8">
        <f>F189*Summary!$B$17</f>
        <v>1529.2479108635098</v>
      </c>
      <c r="H189" s="1"/>
    </row>
    <row r="190" spans="1:8" ht="18.95" customHeight="1">
      <c r="A190" s="1">
        <v>184</v>
      </c>
      <c r="B190" s="8">
        <f>A190*Summary!$B$14</f>
        <v>1533.3333333333335</v>
      </c>
      <c r="C190" s="8">
        <f>'Native PMKS'!B190*1000</f>
        <v>1533.3333333333303</v>
      </c>
      <c r="D190" s="8">
        <f t="shared" si="2"/>
        <v>3.1832314562052488E-12</v>
      </c>
      <c r="E190" s="1"/>
      <c r="F190" s="1">
        <v>184</v>
      </c>
      <c r="G190" s="8">
        <f>F190*Summary!$B$17</f>
        <v>1537.6044568245125</v>
      </c>
      <c r="H190" s="1"/>
    </row>
    <row r="191" spans="1:8" ht="18.95" customHeight="1">
      <c r="A191" s="1">
        <v>185</v>
      </c>
      <c r="B191" s="8">
        <f>A191*Summary!$B$14</f>
        <v>1541.6666666666667</v>
      </c>
      <c r="C191" s="8">
        <f>'Native PMKS'!B191*1000</f>
        <v>1541.6666666666636</v>
      </c>
      <c r="D191" s="8">
        <f t="shared" si="2"/>
        <v>3.1832314562052488E-12</v>
      </c>
      <c r="E191" s="1"/>
      <c r="F191" s="1">
        <v>185</v>
      </c>
      <c r="G191" s="8">
        <f>F191*Summary!$B$17</f>
        <v>1545.9610027855153</v>
      </c>
      <c r="H191" s="1"/>
    </row>
    <row r="192" spans="1:8" ht="18.95" customHeight="1">
      <c r="A192" s="1">
        <v>186</v>
      </c>
      <c r="B192" s="8">
        <f>A192*Summary!$B$14</f>
        <v>1550</v>
      </c>
      <c r="C192" s="8">
        <f>'Native PMKS'!B192*1000</f>
        <v>1549.999999999997</v>
      </c>
      <c r="D192" s="8">
        <f t="shared" si="2"/>
        <v>2.9558577807620168E-12</v>
      </c>
      <c r="E192" s="1"/>
      <c r="F192" s="1">
        <v>186</v>
      </c>
      <c r="G192" s="8">
        <f>F192*Summary!$B$17</f>
        <v>1554.317548746518</v>
      </c>
      <c r="H192" s="1"/>
    </row>
    <row r="193" spans="1:8" ht="18.95" customHeight="1">
      <c r="A193" s="1">
        <v>187</v>
      </c>
      <c r="B193" s="8">
        <f>A193*Summary!$B$14</f>
        <v>1558.3333333333335</v>
      </c>
      <c r="C193" s="8">
        <f>'Native PMKS'!B193*1000</f>
        <v>1558.3333333333303</v>
      </c>
      <c r="D193" s="8">
        <f t="shared" si="2"/>
        <v>3.1832314562052488E-12</v>
      </c>
      <c r="E193" s="1"/>
      <c r="F193" s="1">
        <v>187</v>
      </c>
      <c r="G193" s="8">
        <f>F193*Summary!$B$17</f>
        <v>1562.6740947075209</v>
      </c>
      <c r="H193" s="1"/>
    </row>
    <row r="194" spans="1:8" ht="18.95" customHeight="1">
      <c r="A194" s="1">
        <v>188</v>
      </c>
      <c r="B194" s="8">
        <f>A194*Summary!$B$14</f>
        <v>1566.6666666666667</v>
      </c>
      <c r="C194" s="8">
        <f>'Native PMKS'!B194*1000</f>
        <v>1566.6666666666636</v>
      </c>
      <c r="D194" s="8">
        <f t="shared" si="2"/>
        <v>3.1832314562052488E-12</v>
      </c>
      <c r="E194" s="1"/>
      <c r="F194" s="1">
        <v>188</v>
      </c>
      <c r="G194" s="8">
        <f>F194*Summary!$B$17</f>
        <v>1571.0306406685236</v>
      </c>
      <c r="H194" s="1"/>
    </row>
    <row r="195" spans="1:8" ht="18.95" customHeight="1">
      <c r="A195" s="1">
        <v>189</v>
      </c>
      <c r="B195" s="8">
        <f>A195*Summary!$B$14</f>
        <v>1575</v>
      </c>
      <c r="C195" s="8">
        <f>'Native PMKS'!B195*1000</f>
        <v>1574.9999999999968</v>
      </c>
      <c r="D195" s="8">
        <f t="shared" si="2"/>
        <v>3.1832314562052488E-12</v>
      </c>
      <c r="E195" s="1"/>
      <c r="F195" s="1">
        <v>189</v>
      </c>
      <c r="G195" s="8">
        <f>F195*Summary!$B$17</f>
        <v>1579.3871866295265</v>
      </c>
      <c r="H195" s="1"/>
    </row>
    <row r="196" spans="1:8" ht="18.95" customHeight="1">
      <c r="A196" s="1">
        <v>190</v>
      </c>
      <c r="B196" s="8">
        <f>A196*Summary!$B$14</f>
        <v>1583.3333333333335</v>
      </c>
      <c r="C196" s="8">
        <f>'Native PMKS'!B196*1000</f>
        <v>1583.3333333333301</v>
      </c>
      <c r="D196" s="8">
        <f t="shared" si="2"/>
        <v>3.4106051316484809E-12</v>
      </c>
      <c r="E196" s="1"/>
      <c r="F196" s="1">
        <v>190</v>
      </c>
      <c r="G196" s="8">
        <f>F196*Summary!$B$17</f>
        <v>1587.7437325905291</v>
      </c>
      <c r="H196" s="1"/>
    </row>
    <row r="197" spans="1:8" ht="18.95" customHeight="1">
      <c r="A197" s="1">
        <v>191</v>
      </c>
      <c r="B197" s="8">
        <f>A197*Summary!$B$14</f>
        <v>1591.6666666666667</v>
      </c>
      <c r="C197" s="8">
        <f>'Native PMKS'!B197*1000</f>
        <v>1591.6666666666638</v>
      </c>
      <c r="D197" s="8">
        <f t="shared" si="2"/>
        <v>2.9558577807620168E-12</v>
      </c>
      <c r="E197" s="1"/>
      <c r="F197" s="1">
        <v>191</v>
      </c>
      <c r="G197" s="8">
        <f>F197*Summary!$B$17</f>
        <v>1596.100278551532</v>
      </c>
      <c r="H197" s="1"/>
    </row>
    <row r="198" spans="1:8" ht="18.95" customHeight="1">
      <c r="A198" s="1">
        <v>192</v>
      </c>
      <c r="B198" s="8">
        <f>A198*Summary!$B$14</f>
        <v>1600</v>
      </c>
      <c r="C198" s="8">
        <f>'Native PMKS'!B198*1000</f>
        <v>1599.9999999999968</v>
      </c>
      <c r="D198" s="8">
        <f t="shared" ref="D198:D261" si="3">B198-C198</f>
        <v>3.1832314562052488E-12</v>
      </c>
      <c r="E198" s="1"/>
      <c r="F198" s="1">
        <v>192</v>
      </c>
      <c r="G198" s="8">
        <f>F198*Summary!$B$17</f>
        <v>1604.4568245125347</v>
      </c>
      <c r="H198" s="1"/>
    </row>
    <row r="199" spans="1:8" ht="18.95" customHeight="1">
      <c r="A199" s="1">
        <v>193</v>
      </c>
      <c r="B199" s="8">
        <f>A199*Summary!$B$14</f>
        <v>1608.3333333333335</v>
      </c>
      <c r="C199" s="8">
        <f>'Native PMKS'!B199*1000</f>
        <v>1608.3333333333301</v>
      </c>
      <c r="D199" s="8">
        <f t="shared" si="3"/>
        <v>3.4106051316484809E-12</v>
      </c>
      <c r="E199" s="1"/>
      <c r="F199" s="1">
        <v>193</v>
      </c>
      <c r="G199" s="8">
        <f>F199*Summary!$B$17</f>
        <v>1612.8133704735376</v>
      </c>
      <c r="H199" s="1"/>
    </row>
    <row r="200" spans="1:8" ht="18.95" customHeight="1">
      <c r="A200" s="1">
        <v>194</v>
      </c>
      <c r="B200" s="8">
        <f>A200*Summary!$B$14</f>
        <v>1616.6666666666667</v>
      </c>
      <c r="C200" s="8">
        <f>'Native PMKS'!B200*1000</f>
        <v>1616.6666666666633</v>
      </c>
      <c r="D200" s="8">
        <f t="shared" si="3"/>
        <v>3.4106051316484809E-12</v>
      </c>
      <c r="E200" s="1"/>
      <c r="F200" s="1">
        <v>194</v>
      </c>
      <c r="G200" s="8">
        <f>F200*Summary!$B$17</f>
        <v>1621.1699164345405</v>
      </c>
      <c r="H200" s="1"/>
    </row>
    <row r="201" spans="1:8" ht="18.95" customHeight="1">
      <c r="A201" s="1">
        <v>195</v>
      </c>
      <c r="B201" s="8">
        <f>A201*Summary!$B$14</f>
        <v>1625.0000000000002</v>
      </c>
      <c r="C201" s="8">
        <f>'Native PMKS'!B201*1000</f>
        <v>1624.9999999999968</v>
      </c>
      <c r="D201" s="8">
        <f t="shared" si="3"/>
        <v>3.4106051316484809E-12</v>
      </c>
      <c r="E201" s="1"/>
      <c r="F201" s="1">
        <v>195</v>
      </c>
      <c r="G201" s="8">
        <f>F201*Summary!$B$17</f>
        <v>1629.5264623955431</v>
      </c>
      <c r="H201" s="1"/>
    </row>
    <row r="202" spans="1:8" ht="18.95" customHeight="1">
      <c r="A202" s="1">
        <v>196</v>
      </c>
      <c r="B202" s="8">
        <f>A202*Summary!$B$14</f>
        <v>1633.3333333333335</v>
      </c>
      <c r="C202" s="8">
        <f>'Native PMKS'!B202*1000</f>
        <v>1633.3333333333301</v>
      </c>
      <c r="D202" s="8">
        <f t="shared" si="3"/>
        <v>3.4106051316484809E-12</v>
      </c>
      <c r="E202" s="1"/>
      <c r="F202" s="1">
        <v>196</v>
      </c>
      <c r="G202" s="8">
        <f>F202*Summary!$B$17</f>
        <v>1637.883008356546</v>
      </c>
      <c r="H202" s="1"/>
    </row>
    <row r="203" spans="1:8" ht="18.95" customHeight="1">
      <c r="A203" s="1">
        <v>197</v>
      </c>
      <c r="B203" s="8">
        <f>A203*Summary!$B$14</f>
        <v>1641.6666666666667</v>
      </c>
      <c r="C203" s="8">
        <f>'Native PMKS'!B203*1000</f>
        <v>1641.6666666666633</v>
      </c>
      <c r="D203" s="8">
        <f t="shared" si="3"/>
        <v>3.4106051316484809E-12</v>
      </c>
      <c r="E203" s="1"/>
      <c r="F203" s="1">
        <v>197</v>
      </c>
      <c r="G203" s="8">
        <f>F203*Summary!$B$17</f>
        <v>1646.2395543175487</v>
      </c>
      <c r="H203" s="1"/>
    </row>
    <row r="204" spans="1:8" ht="18.95" customHeight="1">
      <c r="A204" s="1">
        <v>198</v>
      </c>
      <c r="B204" s="8">
        <f>A204*Summary!$B$14</f>
        <v>1650.0000000000002</v>
      </c>
      <c r="C204" s="8">
        <f>'Native PMKS'!B204*1000</f>
        <v>1649.9999999999966</v>
      </c>
      <c r="D204" s="8">
        <f t="shared" si="3"/>
        <v>3.637978807091713E-12</v>
      </c>
      <c r="E204" s="1"/>
      <c r="F204" s="1">
        <v>198</v>
      </c>
      <c r="G204" s="8">
        <f>F204*Summary!$B$17</f>
        <v>1654.5961002785516</v>
      </c>
      <c r="H204" s="1"/>
    </row>
    <row r="205" spans="1:8" ht="18.95" customHeight="1">
      <c r="A205" s="1">
        <v>199</v>
      </c>
      <c r="B205" s="8">
        <f>A205*Summary!$B$14</f>
        <v>1658.3333333333335</v>
      </c>
      <c r="C205" s="8">
        <f>'Native PMKS'!B205*1000</f>
        <v>1658.3333333333301</v>
      </c>
      <c r="D205" s="8">
        <f t="shared" si="3"/>
        <v>3.4106051316484809E-12</v>
      </c>
      <c r="E205" s="1"/>
      <c r="F205" s="1">
        <v>199</v>
      </c>
      <c r="G205" s="8">
        <f>F205*Summary!$B$17</f>
        <v>1662.9526462395543</v>
      </c>
      <c r="H205" s="1"/>
    </row>
    <row r="206" spans="1:8" ht="18.95" customHeight="1">
      <c r="A206" s="1">
        <v>200</v>
      </c>
      <c r="B206" s="8">
        <f>A206*Summary!$B$14</f>
        <v>1666.6666666666667</v>
      </c>
      <c r="C206" s="8">
        <f>'Native PMKS'!B206*1000</f>
        <v>1666.6666666666631</v>
      </c>
      <c r="D206" s="8">
        <f t="shared" si="3"/>
        <v>3.637978807091713E-12</v>
      </c>
      <c r="E206" s="1"/>
      <c r="F206" s="1">
        <v>200</v>
      </c>
      <c r="G206" s="8">
        <f>F206*Summary!$B$17</f>
        <v>1671.3091922005572</v>
      </c>
      <c r="H206" s="1"/>
    </row>
    <row r="207" spans="1:8" ht="18.95" customHeight="1">
      <c r="A207" s="1">
        <v>201</v>
      </c>
      <c r="B207" s="8">
        <f>A207*Summary!$B$14</f>
        <v>1675.0000000000002</v>
      </c>
      <c r="C207" s="8">
        <f>'Native PMKS'!B207*1000</f>
        <v>1674.9999999999966</v>
      </c>
      <c r="D207" s="8">
        <f t="shared" si="3"/>
        <v>3.637978807091713E-12</v>
      </c>
      <c r="E207" s="1"/>
      <c r="F207" s="1">
        <v>201</v>
      </c>
      <c r="G207" s="8">
        <f>F207*Summary!$B$17</f>
        <v>1679.6657381615598</v>
      </c>
      <c r="H207" s="1"/>
    </row>
    <row r="208" spans="1:8" ht="18.95" customHeight="1">
      <c r="A208" s="1">
        <v>202</v>
      </c>
      <c r="B208" s="8">
        <f>A208*Summary!$B$14</f>
        <v>1683.3333333333335</v>
      </c>
      <c r="C208" s="8">
        <f>'Native PMKS'!B208*1000</f>
        <v>1683.3333333333298</v>
      </c>
      <c r="D208" s="8">
        <f t="shared" si="3"/>
        <v>3.637978807091713E-12</v>
      </c>
      <c r="E208" s="1"/>
      <c r="F208" s="1">
        <v>202</v>
      </c>
      <c r="G208" s="8">
        <f>F208*Summary!$B$17</f>
        <v>1688.0222841225627</v>
      </c>
      <c r="H208" s="1"/>
    </row>
    <row r="209" spans="1:8" ht="18.95" customHeight="1">
      <c r="A209" s="1">
        <v>203</v>
      </c>
      <c r="B209" s="8">
        <f>A209*Summary!$B$14</f>
        <v>1691.6666666666667</v>
      </c>
      <c r="C209" s="8">
        <f>'Native PMKS'!B209*1000</f>
        <v>1691.6666666666631</v>
      </c>
      <c r="D209" s="8">
        <f t="shared" si="3"/>
        <v>3.637978807091713E-12</v>
      </c>
      <c r="E209" s="1"/>
      <c r="F209" s="1">
        <v>203</v>
      </c>
      <c r="G209" s="8">
        <f>F209*Summary!$B$17</f>
        <v>1696.3788300835654</v>
      </c>
      <c r="H209" s="1"/>
    </row>
    <row r="210" spans="1:8" ht="18.95" customHeight="1">
      <c r="A210" s="1">
        <v>204</v>
      </c>
      <c r="B210" s="8">
        <f>A210*Summary!$B$14</f>
        <v>1700.0000000000002</v>
      </c>
      <c r="C210" s="8">
        <f>'Native PMKS'!B210*1000</f>
        <v>1699.9999999999964</v>
      </c>
      <c r="D210" s="8">
        <f t="shared" si="3"/>
        <v>3.865352482534945E-12</v>
      </c>
      <c r="E210" s="1"/>
      <c r="F210" s="1">
        <v>204</v>
      </c>
      <c r="G210" s="8">
        <f>F210*Summary!$B$17</f>
        <v>1704.7353760445683</v>
      </c>
      <c r="H210" s="1"/>
    </row>
    <row r="211" spans="1:8" ht="18.95" customHeight="1">
      <c r="A211" s="1">
        <v>205</v>
      </c>
      <c r="B211" s="8">
        <f>A211*Summary!$B$14</f>
        <v>1708.3333333333335</v>
      </c>
      <c r="C211" s="8">
        <f>'Native PMKS'!B211*1000</f>
        <v>1708.3333333333296</v>
      </c>
      <c r="D211" s="8">
        <f t="shared" si="3"/>
        <v>3.865352482534945E-12</v>
      </c>
      <c r="E211" s="1"/>
      <c r="F211" s="1">
        <v>205</v>
      </c>
      <c r="G211" s="8">
        <f>F211*Summary!$B$17</f>
        <v>1713.091922005571</v>
      </c>
      <c r="H211" s="1"/>
    </row>
    <row r="212" spans="1:8" ht="18.95" customHeight="1">
      <c r="A212" s="1">
        <v>206</v>
      </c>
      <c r="B212" s="8">
        <f>A212*Summary!$B$14</f>
        <v>1716.6666666666667</v>
      </c>
      <c r="C212" s="8">
        <f>'Native PMKS'!B212*1000</f>
        <v>1716.6666666666631</v>
      </c>
      <c r="D212" s="8">
        <f t="shared" si="3"/>
        <v>3.637978807091713E-12</v>
      </c>
      <c r="E212" s="1"/>
      <c r="F212" s="1">
        <v>206</v>
      </c>
      <c r="G212" s="8">
        <f>F212*Summary!$B$17</f>
        <v>1721.4484679665738</v>
      </c>
      <c r="H212" s="1"/>
    </row>
    <row r="213" spans="1:8" ht="18.95" customHeight="1">
      <c r="A213" s="1">
        <v>207</v>
      </c>
      <c r="B213" s="8">
        <f>A213*Summary!$B$14</f>
        <v>1725.0000000000002</v>
      </c>
      <c r="C213" s="8">
        <f>'Native PMKS'!B213*1000</f>
        <v>1724.9999999999964</v>
      </c>
      <c r="D213" s="8">
        <f t="shared" si="3"/>
        <v>3.865352482534945E-12</v>
      </c>
      <c r="E213" s="1"/>
      <c r="F213" s="1">
        <v>207</v>
      </c>
      <c r="G213" s="8">
        <f>F213*Summary!$B$17</f>
        <v>1729.8050139275765</v>
      </c>
      <c r="H213" s="1"/>
    </row>
    <row r="214" spans="1:8" ht="18.95" customHeight="1">
      <c r="A214" s="1">
        <v>208</v>
      </c>
      <c r="B214" s="8">
        <f>A214*Summary!$B$14</f>
        <v>1733.3333333333335</v>
      </c>
      <c r="C214" s="8">
        <f>'Native PMKS'!B214*1000</f>
        <v>1733.3333333333296</v>
      </c>
      <c r="D214" s="8">
        <f t="shared" si="3"/>
        <v>3.865352482534945E-12</v>
      </c>
      <c r="E214" s="1"/>
      <c r="F214" s="1">
        <v>208</v>
      </c>
      <c r="G214" s="8">
        <f>F214*Summary!$B$17</f>
        <v>1738.1615598885794</v>
      </c>
      <c r="H214" s="1"/>
    </row>
    <row r="215" spans="1:8" ht="18.95" customHeight="1">
      <c r="A215" s="1">
        <v>209</v>
      </c>
      <c r="B215" s="8">
        <f>A215*Summary!$B$14</f>
        <v>1741.6666666666667</v>
      </c>
      <c r="C215" s="8">
        <f>'Native PMKS'!B215*1000</f>
        <v>1741.6666666666629</v>
      </c>
      <c r="D215" s="8">
        <f t="shared" si="3"/>
        <v>3.865352482534945E-12</v>
      </c>
      <c r="E215" s="1"/>
      <c r="F215" s="1">
        <v>209</v>
      </c>
      <c r="G215" s="8">
        <f>F215*Summary!$B$17</f>
        <v>1746.5181058495821</v>
      </c>
      <c r="H215" s="1"/>
    </row>
    <row r="216" spans="1:8" ht="18.95" customHeight="1">
      <c r="A216" s="1">
        <v>210</v>
      </c>
      <c r="B216" s="8">
        <f>A216*Summary!$B$14</f>
        <v>1750.0000000000002</v>
      </c>
      <c r="C216" s="8">
        <f>'Native PMKS'!B216*1000</f>
        <v>1749.9999999999961</v>
      </c>
      <c r="D216" s="8">
        <f t="shared" si="3"/>
        <v>4.0927261579781771E-12</v>
      </c>
      <c r="E216" s="1"/>
      <c r="F216" s="1">
        <v>210</v>
      </c>
      <c r="G216" s="8">
        <f>F216*Summary!$B$17</f>
        <v>1754.874651810585</v>
      </c>
      <c r="H216" s="1"/>
    </row>
    <row r="217" spans="1:8" ht="18.95" customHeight="1">
      <c r="A217" s="1">
        <v>211</v>
      </c>
      <c r="B217" s="8">
        <f>A217*Summary!$B$14</f>
        <v>1758.3333333333335</v>
      </c>
      <c r="C217" s="8">
        <f>'Native PMKS'!B217*1000</f>
        <v>1758.3333333333296</v>
      </c>
      <c r="D217" s="8">
        <f t="shared" si="3"/>
        <v>3.865352482534945E-12</v>
      </c>
      <c r="E217" s="1"/>
      <c r="F217" s="1">
        <v>211</v>
      </c>
      <c r="G217" s="8">
        <f>F217*Summary!$B$17</f>
        <v>1763.2311977715876</v>
      </c>
      <c r="H217" s="1"/>
    </row>
    <row r="218" spans="1:8" ht="18.95" customHeight="1">
      <c r="A218" s="1">
        <v>212</v>
      </c>
      <c r="B218" s="8">
        <f>A218*Summary!$B$14</f>
        <v>1766.6666666666667</v>
      </c>
      <c r="C218" s="8">
        <f>'Native PMKS'!B218*1000</f>
        <v>1766.6666666666629</v>
      </c>
      <c r="D218" s="8">
        <f t="shared" si="3"/>
        <v>3.865352482534945E-12</v>
      </c>
      <c r="E218" s="1"/>
      <c r="F218" s="1">
        <v>212</v>
      </c>
      <c r="G218" s="8">
        <f>F218*Summary!$B$17</f>
        <v>1771.5877437325905</v>
      </c>
      <c r="H218" s="1"/>
    </row>
    <row r="219" spans="1:8" ht="18.95" customHeight="1">
      <c r="A219" s="1">
        <v>213</v>
      </c>
      <c r="B219" s="8">
        <f>A219*Summary!$B$14</f>
        <v>1775.0000000000002</v>
      </c>
      <c r="C219" s="8">
        <f>'Native PMKS'!B219*1000</f>
        <v>1774.9999999999959</v>
      </c>
      <c r="D219" s="8">
        <f t="shared" si="3"/>
        <v>4.3200998334214091E-12</v>
      </c>
      <c r="E219" s="1"/>
      <c r="F219" s="1">
        <v>213</v>
      </c>
      <c r="G219" s="8">
        <f>F219*Summary!$B$17</f>
        <v>1779.9442896935932</v>
      </c>
      <c r="H219" s="1"/>
    </row>
    <row r="220" spans="1:8" ht="18.95" customHeight="1">
      <c r="A220" s="1">
        <v>214</v>
      </c>
      <c r="B220" s="8">
        <f>A220*Summary!$B$14</f>
        <v>1783.3333333333335</v>
      </c>
      <c r="C220" s="8">
        <f>'Native PMKS'!B220*1000</f>
        <v>1783.3333333333294</v>
      </c>
      <c r="D220" s="8">
        <f t="shared" si="3"/>
        <v>4.0927261579781771E-12</v>
      </c>
      <c r="E220" s="1"/>
      <c r="F220" s="1">
        <v>214</v>
      </c>
      <c r="G220" s="8">
        <f>F220*Summary!$B$17</f>
        <v>1788.3008356545961</v>
      </c>
      <c r="H220" s="1"/>
    </row>
    <row r="221" spans="1:8" ht="18.95" customHeight="1">
      <c r="A221" s="1">
        <v>215</v>
      </c>
      <c r="B221" s="8">
        <f>A221*Summary!$B$14</f>
        <v>1791.6666666666667</v>
      </c>
      <c r="C221" s="8">
        <f>'Native PMKS'!B221*1000</f>
        <v>1791.6666666666626</v>
      </c>
      <c r="D221" s="8">
        <f t="shared" si="3"/>
        <v>4.0927261579781771E-12</v>
      </c>
      <c r="E221" s="1"/>
      <c r="F221" s="1">
        <v>215</v>
      </c>
      <c r="G221" s="8">
        <f>F221*Summary!$B$17</f>
        <v>1796.657381615599</v>
      </c>
      <c r="H221" s="1"/>
    </row>
    <row r="222" spans="1:8" ht="18.95" customHeight="1">
      <c r="A222" s="1">
        <v>216</v>
      </c>
      <c r="B222" s="8">
        <f>A222*Summary!$B$14</f>
        <v>1800.0000000000002</v>
      </c>
      <c r="C222" s="8">
        <f>'Native PMKS'!B222*1000</f>
        <v>1799.9999999999961</v>
      </c>
      <c r="D222" s="8">
        <f t="shared" si="3"/>
        <v>4.0927261579781771E-12</v>
      </c>
      <c r="E222" s="1"/>
      <c r="F222" s="1">
        <v>216</v>
      </c>
      <c r="G222" s="8">
        <f>F222*Summary!$B$17</f>
        <v>1805.0139275766016</v>
      </c>
      <c r="H222" s="1"/>
    </row>
    <row r="223" spans="1:8" ht="18.95" customHeight="1">
      <c r="A223" s="1">
        <v>217</v>
      </c>
      <c r="B223" s="8">
        <f>A223*Summary!$B$14</f>
        <v>1808.3333333333335</v>
      </c>
      <c r="C223" s="8">
        <f>'Native PMKS'!B223*1000</f>
        <v>1808.3333333333292</v>
      </c>
      <c r="D223" s="8">
        <f t="shared" si="3"/>
        <v>4.3200998334214091E-12</v>
      </c>
      <c r="E223" s="1"/>
      <c r="F223" s="1">
        <v>217</v>
      </c>
      <c r="G223" s="8">
        <f>F223*Summary!$B$17</f>
        <v>1813.3704735376045</v>
      </c>
      <c r="H223" s="1"/>
    </row>
    <row r="224" spans="1:8" ht="18.95" customHeight="1">
      <c r="A224" s="1">
        <v>218</v>
      </c>
      <c r="B224" s="8">
        <f>A224*Summary!$B$14</f>
        <v>1816.6666666666667</v>
      </c>
      <c r="C224" s="8">
        <f>'Native PMKS'!B224*1000</f>
        <v>1816.6666666666629</v>
      </c>
      <c r="D224" s="8">
        <f t="shared" si="3"/>
        <v>3.865352482534945E-12</v>
      </c>
      <c r="E224" s="1"/>
      <c r="F224" s="1">
        <v>218</v>
      </c>
      <c r="G224" s="8">
        <f>F224*Summary!$B$17</f>
        <v>1821.7270194986072</v>
      </c>
      <c r="H224" s="1"/>
    </row>
    <row r="225" spans="1:8" ht="18.95" customHeight="1">
      <c r="A225" s="1">
        <v>219</v>
      </c>
      <c r="B225" s="8">
        <f>A225*Summary!$B$14</f>
        <v>1825.0000000000002</v>
      </c>
      <c r="C225" s="8">
        <f>'Native PMKS'!B225*1000</f>
        <v>1824.9999999999959</v>
      </c>
      <c r="D225" s="8">
        <f t="shared" si="3"/>
        <v>4.3200998334214091E-12</v>
      </c>
      <c r="E225" s="1"/>
      <c r="F225" s="1">
        <v>219</v>
      </c>
      <c r="G225" s="8">
        <f>F225*Summary!$B$17</f>
        <v>1830.0835654596101</v>
      </c>
      <c r="H225" s="1"/>
    </row>
    <row r="226" spans="1:8" ht="18.95" customHeight="1">
      <c r="A226" s="1">
        <v>220</v>
      </c>
      <c r="B226" s="8">
        <f>A226*Summary!$B$14</f>
        <v>1833.3333333333335</v>
      </c>
      <c r="C226" s="8">
        <f>'Native PMKS'!B226*1000</f>
        <v>1833.3333333333292</v>
      </c>
      <c r="D226" s="8">
        <f t="shared" si="3"/>
        <v>4.3200998334214091E-12</v>
      </c>
      <c r="E226" s="1"/>
      <c r="F226" s="1">
        <v>220</v>
      </c>
      <c r="G226" s="8">
        <f>F226*Summary!$B$17</f>
        <v>1838.4401114206128</v>
      </c>
      <c r="H226" s="1"/>
    </row>
    <row r="227" spans="1:8" ht="18.95" customHeight="1">
      <c r="A227" s="1">
        <v>221</v>
      </c>
      <c r="B227" s="8">
        <f>A227*Summary!$B$14</f>
        <v>1841.6666666666667</v>
      </c>
      <c r="C227" s="8">
        <f>'Native PMKS'!B227*1000</f>
        <v>1841.6666666666624</v>
      </c>
      <c r="D227" s="8">
        <f t="shared" si="3"/>
        <v>4.3200998334214091E-12</v>
      </c>
      <c r="E227" s="1"/>
      <c r="F227" s="1">
        <v>221</v>
      </c>
      <c r="G227" s="8">
        <f>F227*Summary!$B$17</f>
        <v>1846.7966573816157</v>
      </c>
      <c r="H227" s="1"/>
    </row>
    <row r="228" spans="1:8" ht="18.95" customHeight="1">
      <c r="A228" s="1">
        <v>222</v>
      </c>
      <c r="B228" s="8">
        <f>A228*Summary!$B$14</f>
        <v>1850.0000000000002</v>
      </c>
      <c r="C228" s="8">
        <f>'Native PMKS'!B228*1000</f>
        <v>1849.9999999999961</v>
      </c>
      <c r="D228" s="8">
        <f t="shared" si="3"/>
        <v>4.0927261579781771E-12</v>
      </c>
      <c r="E228" s="1"/>
      <c r="F228" s="1">
        <v>222</v>
      </c>
      <c r="G228" s="8">
        <f>F228*Summary!$B$17</f>
        <v>1855.1532033426183</v>
      </c>
      <c r="H228" s="1"/>
    </row>
    <row r="229" spans="1:8" ht="18.95" customHeight="1">
      <c r="A229" s="1">
        <v>223</v>
      </c>
      <c r="B229" s="8">
        <f>A229*Summary!$B$14</f>
        <v>1858.3333333333335</v>
      </c>
      <c r="C229" s="8">
        <f>'Native PMKS'!B229*1000</f>
        <v>1858.3333333333287</v>
      </c>
      <c r="D229" s="8">
        <f t="shared" si="3"/>
        <v>4.7748471843078732E-12</v>
      </c>
      <c r="E229" s="1"/>
      <c r="F229" s="1">
        <v>223</v>
      </c>
      <c r="G229" s="8">
        <f>F229*Summary!$B$17</f>
        <v>1863.5097493036212</v>
      </c>
      <c r="H229" s="1"/>
    </row>
    <row r="230" spans="1:8" ht="18.95" customHeight="1">
      <c r="A230" s="1">
        <v>224</v>
      </c>
      <c r="B230" s="8">
        <f>A230*Summary!$B$14</f>
        <v>1866.6666666666667</v>
      </c>
      <c r="C230" s="8">
        <f>'Native PMKS'!B230*1000</f>
        <v>1866.6666666666624</v>
      </c>
      <c r="D230" s="8">
        <f t="shared" si="3"/>
        <v>4.3200998334214091E-12</v>
      </c>
      <c r="E230" s="1"/>
      <c r="F230" s="1">
        <v>224</v>
      </c>
      <c r="G230" s="8">
        <f>F230*Summary!$B$17</f>
        <v>1871.8662952646239</v>
      </c>
      <c r="H230" s="1"/>
    </row>
    <row r="231" spans="1:8" ht="18.95" customHeight="1">
      <c r="A231" s="1">
        <v>225</v>
      </c>
      <c r="B231" s="8">
        <f>A231*Summary!$B$14</f>
        <v>1875.0000000000002</v>
      </c>
      <c r="C231" s="8">
        <f>'Native PMKS'!B231*1000</f>
        <v>1874.9999999999959</v>
      </c>
      <c r="D231" s="8">
        <f t="shared" si="3"/>
        <v>4.3200998334214091E-12</v>
      </c>
      <c r="E231" s="1"/>
      <c r="F231" s="1">
        <v>225</v>
      </c>
      <c r="G231" s="8">
        <f>F231*Summary!$B$17</f>
        <v>1880.2228412256268</v>
      </c>
      <c r="H231" s="1"/>
    </row>
    <row r="232" spans="1:8" ht="18.95" customHeight="1">
      <c r="A232" s="1">
        <v>226</v>
      </c>
      <c r="B232" s="8">
        <f>A232*Summary!$B$14</f>
        <v>1883.3333333333335</v>
      </c>
      <c r="C232" s="8">
        <f>'Native PMKS'!B232*1000</f>
        <v>1883.3333333333292</v>
      </c>
      <c r="D232" s="8">
        <f t="shared" si="3"/>
        <v>4.3200998334214091E-12</v>
      </c>
      <c r="E232" s="1"/>
      <c r="F232" s="1">
        <v>226</v>
      </c>
      <c r="G232" s="8">
        <f>F232*Summary!$B$17</f>
        <v>1888.5793871866294</v>
      </c>
      <c r="H232" s="1"/>
    </row>
    <row r="233" spans="1:8" ht="18.95" customHeight="1">
      <c r="A233" s="1">
        <v>227</v>
      </c>
      <c r="B233" s="8">
        <f>A233*Summary!$B$14</f>
        <v>1891.6666666666667</v>
      </c>
      <c r="C233" s="8">
        <f>'Native PMKS'!B233*1000</f>
        <v>1891.6666666666624</v>
      </c>
      <c r="D233" s="8">
        <f t="shared" si="3"/>
        <v>4.3200998334214091E-12</v>
      </c>
      <c r="E233" s="1"/>
      <c r="F233" s="1">
        <v>227</v>
      </c>
      <c r="G233" s="8">
        <f>F233*Summary!$B$17</f>
        <v>1896.9359331476323</v>
      </c>
      <c r="H233" s="1"/>
    </row>
    <row r="234" spans="1:8" ht="18.95" customHeight="1">
      <c r="A234" s="1">
        <v>228</v>
      </c>
      <c r="B234" s="8">
        <f>A234*Summary!$B$14</f>
        <v>1900.0000000000002</v>
      </c>
      <c r="C234" s="8">
        <f>'Native PMKS'!B234*1000</f>
        <v>1899.9999999999959</v>
      </c>
      <c r="D234" s="8">
        <f t="shared" si="3"/>
        <v>4.3200998334214091E-12</v>
      </c>
      <c r="E234" s="1"/>
      <c r="F234" s="1">
        <v>228</v>
      </c>
      <c r="G234" s="8">
        <f>F234*Summary!$B$17</f>
        <v>1905.292479108635</v>
      </c>
      <c r="H234" s="1"/>
    </row>
    <row r="235" spans="1:8" ht="18.95" customHeight="1">
      <c r="A235" s="1">
        <v>229</v>
      </c>
      <c r="B235" s="8">
        <f>A235*Summary!$B$14</f>
        <v>1908.3333333333335</v>
      </c>
      <c r="C235" s="8">
        <f>'Native PMKS'!B235*1000</f>
        <v>1908.3333333333289</v>
      </c>
      <c r="D235" s="8">
        <f t="shared" si="3"/>
        <v>4.5474735088646412E-12</v>
      </c>
      <c r="E235" s="1"/>
      <c r="F235" s="1">
        <v>229</v>
      </c>
      <c r="G235" s="8">
        <f>F235*Summary!$B$17</f>
        <v>1913.6490250696379</v>
      </c>
      <c r="H235" s="1"/>
    </row>
    <row r="236" spans="1:8" ht="18.95" customHeight="1">
      <c r="A236" s="1">
        <v>230</v>
      </c>
      <c r="B236" s="8">
        <f>A236*Summary!$B$14</f>
        <v>1916.6666666666667</v>
      </c>
      <c r="C236" s="8">
        <f>'Native PMKS'!B236*1000</f>
        <v>1916.6666666666622</v>
      </c>
      <c r="D236" s="8">
        <f t="shared" si="3"/>
        <v>4.5474735088646412E-12</v>
      </c>
      <c r="E236" s="1"/>
      <c r="F236" s="1">
        <v>230</v>
      </c>
      <c r="G236" s="8">
        <f>F236*Summary!$B$17</f>
        <v>1922.0055710306406</v>
      </c>
      <c r="H236" s="1"/>
    </row>
    <row r="237" spans="1:8" ht="18.95" customHeight="1">
      <c r="A237" s="1">
        <v>231</v>
      </c>
      <c r="B237" s="8">
        <f>A237*Summary!$B$14</f>
        <v>1925.0000000000002</v>
      </c>
      <c r="C237" s="8">
        <f>'Native PMKS'!B237*1000</f>
        <v>1924.9999999999961</v>
      </c>
      <c r="D237" s="8">
        <f t="shared" si="3"/>
        <v>4.0927261579781771E-12</v>
      </c>
      <c r="E237" s="1"/>
      <c r="F237" s="1">
        <v>231</v>
      </c>
      <c r="G237" s="8">
        <f>F237*Summary!$B$17</f>
        <v>1930.3621169916435</v>
      </c>
      <c r="H237" s="1"/>
    </row>
    <row r="238" spans="1:8" ht="18.95" customHeight="1">
      <c r="A238" s="1">
        <v>232</v>
      </c>
      <c r="B238" s="8">
        <f>A238*Summary!$B$14</f>
        <v>1933.3333333333335</v>
      </c>
      <c r="C238" s="8">
        <f>'Native PMKS'!B238*1000</f>
        <v>1933.3333333333289</v>
      </c>
      <c r="D238" s="8">
        <f t="shared" si="3"/>
        <v>4.5474735088646412E-12</v>
      </c>
      <c r="E238" s="1"/>
      <c r="F238" s="1">
        <v>232</v>
      </c>
      <c r="G238" s="8">
        <f>F238*Summary!$B$17</f>
        <v>1938.7186629526461</v>
      </c>
      <c r="H238" s="1"/>
    </row>
    <row r="239" spans="1:8" ht="18.95" customHeight="1">
      <c r="A239" s="1">
        <v>233</v>
      </c>
      <c r="B239" s="8">
        <f>A239*Summary!$B$14</f>
        <v>1941.6666666666667</v>
      </c>
      <c r="C239" s="8">
        <f>'Native PMKS'!B239*1000</f>
        <v>1941.6666666666624</v>
      </c>
      <c r="D239" s="8">
        <f t="shared" si="3"/>
        <v>4.3200998334214091E-12</v>
      </c>
      <c r="E239" s="1"/>
      <c r="F239" s="1">
        <v>233</v>
      </c>
      <c r="G239" s="8">
        <f>F239*Summary!$B$17</f>
        <v>1947.075208913649</v>
      </c>
      <c r="H239" s="1"/>
    </row>
    <row r="240" spans="1:8" ht="18.95" customHeight="1">
      <c r="A240" s="1">
        <v>234</v>
      </c>
      <c r="B240" s="8">
        <f>A240*Summary!$B$14</f>
        <v>1950.0000000000002</v>
      </c>
      <c r="C240" s="8">
        <f>'Native PMKS'!B240*1000</f>
        <v>1949.9999999999955</v>
      </c>
      <c r="D240" s="8">
        <f t="shared" si="3"/>
        <v>4.7748471843078732E-12</v>
      </c>
      <c r="E240" s="1"/>
      <c r="F240" s="1">
        <v>234</v>
      </c>
      <c r="G240" s="8">
        <f>F240*Summary!$B$17</f>
        <v>1955.4317548746517</v>
      </c>
      <c r="H240" s="1"/>
    </row>
    <row r="241" spans="1:8" ht="18.95" customHeight="1">
      <c r="A241" s="1">
        <v>235</v>
      </c>
      <c r="B241" s="8">
        <f>A241*Summary!$B$14</f>
        <v>1958.3333333333335</v>
      </c>
      <c r="C241" s="8">
        <f>'Native PMKS'!B241*1000</f>
        <v>1958.3333333333287</v>
      </c>
      <c r="D241" s="8">
        <f t="shared" si="3"/>
        <v>4.7748471843078732E-12</v>
      </c>
      <c r="E241" s="1"/>
      <c r="F241" s="1">
        <v>235</v>
      </c>
      <c r="G241" s="8">
        <f>F241*Summary!$B$17</f>
        <v>1963.7883008356546</v>
      </c>
      <c r="H241" s="1"/>
    </row>
    <row r="242" spans="1:8" ht="18.95" customHeight="1">
      <c r="A242" s="1">
        <v>236</v>
      </c>
      <c r="B242" s="8">
        <f>A242*Summary!$B$14</f>
        <v>1966.6666666666667</v>
      </c>
      <c r="C242" s="8">
        <f>'Native PMKS'!B242*1000</f>
        <v>1966.666666666662</v>
      </c>
      <c r="D242" s="8">
        <f t="shared" si="3"/>
        <v>4.7748471843078732E-12</v>
      </c>
      <c r="E242" s="1"/>
      <c r="F242" s="1">
        <v>236</v>
      </c>
      <c r="G242" s="8">
        <f>F242*Summary!$B$17</f>
        <v>1972.1448467966575</v>
      </c>
      <c r="H242" s="1"/>
    </row>
    <row r="243" spans="1:8" ht="18.95" customHeight="1">
      <c r="A243" s="1">
        <v>237</v>
      </c>
      <c r="B243" s="8">
        <f>A243*Summary!$B$14</f>
        <v>1975.0000000000002</v>
      </c>
      <c r="C243" s="8">
        <f>'Native PMKS'!B243*1000</f>
        <v>1974.9999999999957</v>
      </c>
      <c r="D243" s="8">
        <f t="shared" si="3"/>
        <v>4.5474735088646412E-12</v>
      </c>
      <c r="E243" s="1"/>
      <c r="F243" s="1">
        <v>237</v>
      </c>
      <c r="G243" s="8">
        <f>F243*Summary!$B$17</f>
        <v>1980.5013927576601</v>
      </c>
      <c r="H243" s="1"/>
    </row>
    <row r="244" spans="1:8" ht="18.95" customHeight="1">
      <c r="A244" s="1">
        <v>238</v>
      </c>
      <c r="B244" s="8">
        <f>A244*Summary!$B$14</f>
        <v>1983.3333333333335</v>
      </c>
      <c r="C244" s="8">
        <f>'Native PMKS'!B244*1000</f>
        <v>1983.3333333333287</v>
      </c>
      <c r="D244" s="8">
        <f t="shared" si="3"/>
        <v>4.7748471843078732E-12</v>
      </c>
      <c r="E244" s="1"/>
      <c r="F244" s="1">
        <v>238</v>
      </c>
      <c r="G244" s="8">
        <f>F244*Summary!$B$17</f>
        <v>1988.857938718663</v>
      </c>
      <c r="H244" s="1"/>
    </row>
    <row r="245" spans="1:8" ht="18.95" customHeight="1">
      <c r="A245" s="1">
        <v>239</v>
      </c>
      <c r="B245" s="8">
        <f>A245*Summary!$B$14</f>
        <v>1991.6666666666667</v>
      </c>
      <c r="C245" s="8">
        <f>'Native PMKS'!B245*1000</f>
        <v>1991.666666666662</v>
      </c>
      <c r="D245" s="8">
        <f t="shared" si="3"/>
        <v>4.7748471843078732E-12</v>
      </c>
      <c r="E245" s="1"/>
      <c r="F245" s="1">
        <v>239</v>
      </c>
      <c r="G245" s="8">
        <f>F245*Summary!$B$17</f>
        <v>1997.2144846796657</v>
      </c>
      <c r="H245" s="1"/>
    </row>
    <row r="246" spans="1:8" ht="18.95" customHeight="1">
      <c r="A246" s="1">
        <v>240</v>
      </c>
      <c r="B246" s="8">
        <f>A246*Summary!$B$14</f>
        <v>2000.0000000000002</v>
      </c>
      <c r="C246" s="8">
        <f>'Native PMKS'!B246*1000</f>
        <v>1999.9999999999955</v>
      </c>
      <c r="D246" s="8">
        <f t="shared" si="3"/>
        <v>4.7748471843078732E-12</v>
      </c>
      <c r="E246" s="1"/>
      <c r="F246" s="1">
        <v>240</v>
      </c>
      <c r="G246" s="8">
        <f>F246*Summary!$B$17</f>
        <v>2005.5710306406686</v>
      </c>
      <c r="H246" s="1"/>
    </row>
    <row r="247" spans="1:8" ht="18.95" customHeight="1">
      <c r="A247" s="1">
        <v>241</v>
      </c>
      <c r="B247" s="8">
        <f>A247*Summary!$B$14</f>
        <v>2008.3333333333335</v>
      </c>
      <c r="C247" s="8">
        <f>'Native PMKS'!B247*1000</f>
        <v>2008.3333333333289</v>
      </c>
      <c r="D247" s="8">
        <f t="shared" si="3"/>
        <v>4.5474735088646412E-12</v>
      </c>
      <c r="E247" s="1"/>
      <c r="F247" s="1">
        <v>241</v>
      </c>
      <c r="G247" s="8">
        <f>F247*Summary!$B$17</f>
        <v>2013.9275766016713</v>
      </c>
      <c r="H247" s="1"/>
    </row>
    <row r="248" spans="1:8" ht="18.95" customHeight="1">
      <c r="A248" s="1">
        <v>242</v>
      </c>
      <c r="B248" s="8">
        <f>A248*Summary!$B$14</f>
        <v>2016.6666666666667</v>
      </c>
      <c r="C248" s="8">
        <f>'Native PMKS'!B248*1000</f>
        <v>2016.6666666666622</v>
      </c>
      <c r="D248" s="8">
        <f t="shared" si="3"/>
        <v>4.5474735088646412E-12</v>
      </c>
      <c r="E248" s="1"/>
      <c r="F248" s="1">
        <v>242</v>
      </c>
      <c r="G248" s="8">
        <f>F248*Summary!$B$17</f>
        <v>2022.2841225626742</v>
      </c>
      <c r="H248" s="1"/>
    </row>
    <row r="249" spans="1:8" ht="18.95" customHeight="1">
      <c r="A249" s="1">
        <v>243</v>
      </c>
      <c r="B249" s="8">
        <f>A249*Summary!$B$14</f>
        <v>2025.0000000000002</v>
      </c>
      <c r="C249" s="8">
        <f>'Native PMKS'!B249*1000</f>
        <v>2024.9999999999955</v>
      </c>
      <c r="D249" s="8">
        <f t="shared" si="3"/>
        <v>4.7748471843078732E-12</v>
      </c>
      <c r="E249" s="1"/>
      <c r="F249" s="1">
        <v>243</v>
      </c>
      <c r="G249" s="8">
        <f>F249*Summary!$B$17</f>
        <v>2030.6406685236768</v>
      </c>
      <c r="H249" s="1"/>
    </row>
    <row r="250" spans="1:8" ht="18.95" customHeight="1">
      <c r="A250" s="1">
        <v>244</v>
      </c>
      <c r="B250" s="8">
        <f>A250*Summary!$B$14</f>
        <v>2033.3333333333335</v>
      </c>
      <c r="C250" s="8">
        <f>'Native PMKS'!B250*1000</f>
        <v>2033.3333333333287</v>
      </c>
      <c r="D250" s="8">
        <f t="shared" si="3"/>
        <v>4.7748471843078732E-12</v>
      </c>
      <c r="E250" s="1"/>
      <c r="F250" s="1">
        <v>244</v>
      </c>
      <c r="G250" s="8">
        <f>F250*Summary!$B$17</f>
        <v>2038.9972144846797</v>
      </c>
      <c r="H250" s="1"/>
    </row>
    <row r="251" spans="1:8" ht="18.95" customHeight="1">
      <c r="A251" s="1">
        <v>245</v>
      </c>
      <c r="B251" s="8">
        <f>A251*Summary!$B$14</f>
        <v>2041.6666666666667</v>
      </c>
      <c r="C251" s="8">
        <f>'Native PMKS'!B251*1000</f>
        <v>2041.666666666662</v>
      </c>
      <c r="D251" s="8">
        <f t="shared" si="3"/>
        <v>4.7748471843078732E-12</v>
      </c>
      <c r="E251" s="1"/>
      <c r="F251" s="1">
        <v>245</v>
      </c>
      <c r="G251" s="8">
        <f>F251*Summary!$B$17</f>
        <v>2047.3537604456824</v>
      </c>
      <c r="H251" s="1"/>
    </row>
    <row r="252" spans="1:8" ht="18.95" customHeight="1">
      <c r="A252" s="1">
        <v>246</v>
      </c>
      <c r="B252" s="8">
        <f>A252*Summary!$B$14</f>
        <v>2050</v>
      </c>
      <c r="C252" s="8">
        <f>'Native PMKS'!B252*1000</f>
        <v>2049.9999999999955</v>
      </c>
      <c r="D252" s="8">
        <f t="shared" si="3"/>
        <v>4.5474735088646412E-12</v>
      </c>
      <c r="E252" s="1"/>
      <c r="F252" s="1">
        <v>246</v>
      </c>
      <c r="G252" s="8">
        <f>F252*Summary!$B$17</f>
        <v>2055.710306406685</v>
      </c>
      <c r="H252" s="1"/>
    </row>
    <row r="253" spans="1:8" ht="18.95" customHeight="1">
      <c r="A253" s="1">
        <v>247</v>
      </c>
      <c r="B253" s="8">
        <f>A253*Summary!$B$14</f>
        <v>2058.3333333333335</v>
      </c>
      <c r="C253" s="8">
        <f>'Native PMKS'!B253*1000</f>
        <v>2058.3333333333285</v>
      </c>
      <c r="D253" s="8">
        <f t="shared" si="3"/>
        <v>5.0022208597511053E-12</v>
      </c>
      <c r="E253" s="1"/>
      <c r="F253" s="1">
        <v>247</v>
      </c>
      <c r="G253" s="8">
        <f>F253*Summary!$B$17</f>
        <v>2064.0668523676882</v>
      </c>
      <c r="H253" s="1"/>
    </row>
    <row r="254" spans="1:8" ht="18.95" customHeight="1">
      <c r="A254" s="1">
        <v>248</v>
      </c>
      <c r="B254" s="8">
        <f>A254*Summary!$B$14</f>
        <v>2066.666666666667</v>
      </c>
      <c r="C254" s="8">
        <f>'Native PMKS'!B254*1000</f>
        <v>2066.666666666662</v>
      </c>
      <c r="D254" s="8">
        <f t="shared" si="3"/>
        <v>5.0022208597511053E-12</v>
      </c>
      <c r="E254" s="1"/>
      <c r="F254" s="1">
        <v>248</v>
      </c>
      <c r="G254" s="8">
        <f>F254*Summary!$B$17</f>
        <v>2072.4233983286908</v>
      </c>
      <c r="H254" s="1"/>
    </row>
    <row r="255" spans="1:8" ht="18.95" customHeight="1">
      <c r="A255" s="1">
        <v>249</v>
      </c>
      <c r="B255" s="8">
        <f>A255*Summary!$B$14</f>
        <v>2075</v>
      </c>
      <c r="C255" s="8">
        <f>'Native PMKS'!B255*1000</f>
        <v>2074.9999999999959</v>
      </c>
      <c r="D255" s="8">
        <f t="shared" si="3"/>
        <v>4.0927261579781771E-12</v>
      </c>
      <c r="E255" s="1"/>
      <c r="F255" s="1">
        <v>249</v>
      </c>
      <c r="G255" s="8">
        <f>F255*Summary!$B$17</f>
        <v>2080.7799442896935</v>
      </c>
      <c r="H255" s="1"/>
    </row>
    <row r="256" spans="1:8" ht="18.95" customHeight="1">
      <c r="A256" s="1">
        <v>250</v>
      </c>
      <c r="B256" s="8">
        <f>A256*Summary!$B$14</f>
        <v>2083.3333333333335</v>
      </c>
      <c r="C256" s="8">
        <f>'Native PMKS'!B256*1000</f>
        <v>2083.3333333333285</v>
      </c>
      <c r="D256" s="8">
        <f t="shared" si="3"/>
        <v>5.0022208597511053E-12</v>
      </c>
      <c r="E256" s="1"/>
      <c r="F256" s="1">
        <v>250</v>
      </c>
      <c r="G256" s="8">
        <f>F256*Summary!$B$17</f>
        <v>2089.1364902506962</v>
      </c>
      <c r="H256" s="1"/>
    </row>
    <row r="257" spans="1:8" ht="18.95" customHeight="1">
      <c r="A257" s="1">
        <v>251</v>
      </c>
      <c r="B257" s="8">
        <f>A257*Summary!$B$14</f>
        <v>2091.666666666667</v>
      </c>
      <c r="C257" s="8">
        <f>'Native PMKS'!B257*1000</f>
        <v>2091.666666666662</v>
      </c>
      <c r="D257" s="8">
        <f t="shared" si="3"/>
        <v>5.0022208597511053E-12</v>
      </c>
      <c r="E257" s="1"/>
      <c r="F257" s="1">
        <v>251</v>
      </c>
      <c r="G257" s="8">
        <f>F257*Summary!$B$17</f>
        <v>2097.4930362116993</v>
      </c>
      <c r="H257" s="1"/>
    </row>
    <row r="258" spans="1:8" ht="18.95" customHeight="1">
      <c r="A258" s="1">
        <v>252</v>
      </c>
      <c r="B258" s="8">
        <f>A258*Summary!$B$14</f>
        <v>2100</v>
      </c>
      <c r="C258" s="8">
        <f>'Native PMKS'!B258*1000</f>
        <v>2099.999999999995</v>
      </c>
      <c r="D258" s="8">
        <f t="shared" si="3"/>
        <v>5.0022208597511053E-12</v>
      </c>
      <c r="E258" s="1"/>
      <c r="F258" s="1">
        <v>252</v>
      </c>
      <c r="G258" s="8">
        <f>F258*Summary!$B$17</f>
        <v>2105.849582172702</v>
      </c>
      <c r="H258" s="1"/>
    </row>
    <row r="259" spans="1:8" ht="18.95" customHeight="1">
      <c r="A259" s="1">
        <v>253</v>
      </c>
      <c r="B259" s="8">
        <f>A259*Summary!$B$14</f>
        <v>2108.3333333333335</v>
      </c>
      <c r="C259" s="8">
        <f>'Native PMKS'!B259*1000</f>
        <v>2108.3333333333285</v>
      </c>
      <c r="D259" s="8">
        <f t="shared" si="3"/>
        <v>5.0022208597511053E-12</v>
      </c>
      <c r="E259" s="1"/>
      <c r="F259" s="1">
        <v>253</v>
      </c>
      <c r="G259" s="8">
        <f>F259*Summary!$B$17</f>
        <v>2114.2061281337046</v>
      </c>
      <c r="H259" s="1"/>
    </row>
    <row r="260" spans="1:8" ht="18.95" customHeight="1">
      <c r="A260" s="1">
        <v>254</v>
      </c>
      <c r="B260" s="8">
        <f>A260*Summary!$B$14</f>
        <v>2116.666666666667</v>
      </c>
      <c r="C260" s="8">
        <f>'Native PMKS'!B260*1000</f>
        <v>2116.666666666662</v>
      </c>
      <c r="D260" s="8">
        <f t="shared" si="3"/>
        <v>5.0022208597511053E-12</v>
      </c>
      <c r="E260" s="1"/>
      <c r="F260" s="1">
        <v>254</v>
      </c>
      <c r="G260" s="8">
        <f>F260*Summary!$B$17</f>
        <v>2122.5626740947073</v>
      </c>
      <c r="H260" s="1"/>
    </row>
    <row r="261" spans="1:8" ht="18.95" customHeight="1">
      <c r="A261" s="1">
        <v>255</v>
      </c>
      <c r="B261" s="8">
        <f>A261*Summary!$B$14</f>
        <v>2125</v>
      </c>
      <c r="C261" s="8">
        <f>'Native PMKS'!B261*1000</f>
        <v>2124.999999999995</v>
      </c>
      <c r="D261" s="8">
        <f t="shared" si="3"/>
        <v>5.0022208597511053E-12</v>
      </c>
      <c r="E261" s="1"/>
      <c r="F261" s="1">
        <v>255</v>
      </c>
      <c r="G261" s="8">
        <f>F261*Summary!$B$17</f>
        <v>2130.9192200557104</v>
      </c>
      <c r="H261" s="1"/>
    </row>
    <row r="262" spans="1:8" ht="18.95" customHeight="1">
      <c r="A262" s="1">
        <v>256</v>
      </c>
      <c r="B262" s="8">
        <f>A262*Summary!$B$14</f>
        <v>2133.3333333333335</v>
      </c>
      <c r="C262" s="8">
        <f>'Native PMKS'!B262*1000</f>
        <v>2133.3333333333285</v>
      </c>
      <c r="D262" s="8">
        <f t="shared" ref="D262:D325" si="4">B262-C262</f>
        <v>5.0022208597511053E-12</v>
      </c>
      <c r="E262" s="1"/>
      <c r="F262" s="1">
        <v>256</v>
      </c>
      <c r="G262" s="8">
        <f>F262*Summary!$B$17</f>
        <v>2139.2757660167131</v>
      </c>
      <c r="H262" s="1"/>
    </row>
    <row r="263" spans="1:8" ht="18.95" customHeight="1">
      <c r="A263" s="1">
        <v>257</v>
      </c>
      <c r="B263" s="8">
        <f>A263*Summary!$B$14</f>
        <v>2141.666666666667</v>
      </c>
      <c r="C263" s="8">
        <f>'Native PMKS'!B263*1000</f>
        <v>2141.6666666666615</v>
      </c>
      <c r="D263" s="8">
        <f t="shared" si="4"/>
        <v>5.4569682106375694E-12</v>
      </c>
      <c r="E263" s="1"/>
      <c r="F263" s="1">
        <v>257</v>
      </c>
      <c r="G263" s="8">
        <f>F263*Summary!$B$17</f>
        <v>2147.6323119777157</v>
      </c>
      <c r="H263" s="1"/>
    </row>
    <row r="264" spans="1:8" ht="18.95" customHeight="1">
      <c r="A264" s="1">
        <v>258</v>
      </c>
      <c r="B264" s="8">
        <f>A264*Summary!$B$14</f>
        <v>2150</v>
      </c>
      <c r="C264" s="8">
        <f>'Native PMKS'!B264*1000</f>
        <v>2149.999999999995</v>
      </c>
      <c r="D264" s="8">
        <f t="shared" si="4"/>
        <v>5.0022208597511053E-12</v>
      </c>
      <c r="E264" s="1"/>
      <c r="F264" s="1">
        <v>258</v>
      </c>
      <c r="G264" s="8">
        <f>F264*Summary!$B$17</f>
        <v>2155.9888579387189</v>
      </c>
      <c r="H264" s="1"/>
    </row>
    <row r="265" spans="1:8" ht="18.95" customHeight="1">
      <c r="A265" s="1">
        <v>259</v>
      </c>
      <c r="B265" s="8">
        <f>A265*Summary!$B$14</f>
        <v>2158.3333333333335</v>
      </c>
      <c r="C265" s="8">
        <f>'Native PMKS'!B265*1000</f>
        <v>2158.3333333333285</v>
      </c>
      <c r="D265" s="8">
        <f t="shared" si="4"/>
        <v>5.0022208597511053E-12</v>
      </c>
      <c r="E265" s="1"/>
      <c r="F265" s="1">
        <v>259</v>
      </c>
      <c r="G265" s="8">
        <f>F265*Summary!$B$17</f>
        <v>2164.3454038997215</v>
      </c>
      <c r="H265" s="1"/>
    </row>
    <row r="266" spans="1:8" ht="18.95" customHeight="1">
      <c r="A266" s="1">
        <v>260</v>
      </c>
      <c r="B266" s="8">
        <f>A266*Summary!$B$14</f>
        <v>2166.666666666667</v>
      </c>
      <c r="C266" s="8">
        <f>'Native PMKS'!B266*1000</f>
        <v>2166.6666666666615</v>
      </c>
      <c r="D266" s="8">
        <f t="shared" si="4"/>
        <v>5.4569682106375694E-12</v>
      </c>
      <c r="E266" s="1"/>
      <c r="F266" s="1">
        <v>260</v>
      </c>
      <c r="G266" s="8">
        <f>F266*Summary!$B$17</f>
        <v>2172.7019498607242</v>
      </c>
      <c r="H266" s="1"/>
    </row>
    <row r="267" spans="1:8" ht="18.95" customHeight="1">
      <c r="A267" s="1">
        <v>261</v>
      </c>
      <c r="B267" s="8">
        <f>A267*Summary!$B$14</f>
        <v>2175</v>
      </c>
      <c r="C267" s="8">
        <f>'Native PMKS'!B267*1000</f>
        <v>2174.999999999995</v>
      </c>
      <c r="D267" s="8">
        <f t="shared" si="4"/>
        <v>5.0022208597511053E-12</v>
      </c>
      <c r="E267" s="1"/>
      <c r="F267" s="1">
        <v>261</v>
      </c>
      <c r="G267" s="8">
        <f>F267*Summary!$B$17</f>
        <v>2181.0584958217269</v>
      </c>
      <c r="H267" s="1"/>
    </row>
    <row r="268" spans="1:8" ht="18.95" customHeight="1">
      <c r="A268" s="1">
        <v>262</v>
      </c>
      <c r="B268" s="8">
        <f>A268*Summary!$B$14</f>
        <v>2183.3333333333335</v>
      </c>
      <c r="C268" s="8">
        <f>'Native PMKS'!B268*1000</f>
        <v>2183.3333333333276</v>
      </c>
      <c r="D268" s="8">
        <f t="shared" si="4"/>
        <v>5.9117155615240335E-12</v>
      </c>
      <c r="E268" s="1"/>
      <c r="F268" s="1">
        <v>262</v>
      </c>
      <c r="G268" s="8">
        <f>F268*Summary!$B$17</f>
        <v>2189.41504178273</v>
      </c>
      <c r="H268" s="1"/>
    </row>
    <row r="269" spans="1:8" ht="18.95" customHeight="1">
      <c r="A269" s="1">
        <v>263</v>
      </c>
      <c r="B269" s="8">
        <f>A269*Summary!$B$14</f>
        <v>2191.666666666667</v>
      </c>
      <c r="C269" s="8">
        <f>'Native PMKS'!B269*1000</f>
        <v>2191.6666666666611</v>
      </c>
      <c r="D269" s="8">
        <f t="shared" si="4"/>
        <v>5.9117155615240335E-12</v>
      </c>
      <c r="E269" s="1"/>
      <c r="F269" s="1">
        <v>263</v>
      </c>
      <c r="G269" s="8">
        <f>F269*Summary!$B$17</f>
        <v>2197.7715877437327</v>
      </c>
      <c r="H269" s="1"/>
    </row>
    <row r="270" spans="1:8" ht="18.95" customHeight="1">
      <c r="A270" s="1">
        <v>264</v>
      </c>
      <c r="B270" s="8">
        <f>A270*Summary!$B$14</f>
        <v>2200</v>
      </c>
      <c r="C270" s="8">
        <f>'Native PMKS'!B270*1000</f>
        <v>2199.999999999995</v>
      </c>
      <c r="D270" s="8">
        <f t="shared" si="4"/>
        <v>5.0022208597511053E-12</v>
      </c>
      <c r="E270" s="1"/>
      <c r="F270" s="1">
        <v>264</v>
      </c>
      <c r="G270" s="8">
        <f>F270*Summary!$B$17</f>
        <v>2206.1281337047353</v>
      </c>
      <c r="H270" s="1"/>
    </row>
    <row r="271" spans="1:8" ht="18.95" customHeight="1">
      <c r="A271" s="1">
        <v>265</v>
      </c>
      <c r="B271" s="8">
        <f>A271*Summary!$B$14</f>
        <v>2208.3333333333335</v>
      </c>
      <c r="C271" s="8">
        <f>'Native PMKS'!B271*1000</f>
        <v>2208.333333333328</v>
      </c>
      <c r="D271" s="8">
        <f t="shared" si="4"/>
        <v>5.4569682106375694E-12</v>
      </c>
      <c r="E271" s="1"/>
      <c r="F271" s="1">
        <v>265</v>
      </c>
      <c r="G271" s="8">
        <f>F271*Summary!$B$17</f>
        <v>2214.484679665738</v>
      </c>
      <c r="H271" s="1"/>
    </row>
    <row r="272" spans="1:8" ht="18.95" customHeight="1">
      <c r="A272" s="1">
        <v>266</v>
      </c>
      <c r="B272" s="8">
        <f>A272*Summary!$B$14</f>
        <v>2216.666666666667</v>
      </c>
      <c r="C272" s="8">
        <f>'Native PMKS'!B272*1000</f>
        <v>2216.6666666666611</v>
      </c>
      <c r="D272" s="8">
        <f t="shared" si="4"/>
        <v>5.9117155615240335E-12</v>
      </c>
      <c r="E272" s="1"/>
      <c r="F272" s="1">
        <v>266</v>
      </c>
      <c r="G272" s="8">
        <f>F272*Summary!$B$17</f>
        <v>2222.8412256267411</v>
      </c>
      <c r="H272" s="1"/>
    </row>
    <row r="273" spans="1:8" ht="18.95" customHeight="1">
      <c r="A273" s="1">
        <v>267</v>
      </c>
      <c r="B273" s="8">
        <f>A273*Summary!$B$14</f>
        <v>2225</v>
      </c>
      <c r="C273" s="8">
        <f>'Native PMKS'!B273*1000</f>
        <v>2224.9999999999945</v>
      </c>
      <c r="D273" s="8">
        <f t="shared" si="4"/>
        <v>5.4569682106375694E-12</v>
      </c>
      <c r="E273" s="1"/>
      <c r="F273" s="1">
        <v>267</v>
      </c>
      <c r="G273" s="8">
        <f>F273*Summary!$B$17</f>
        <v>2231.1977715877438</v>
      </c>
      <c r="H273" s="1"/>
    </row>
    <row r="274" spans="1:8" ht="18.95" customHeight="1">
      <c r="A274" s="1">
        <v>268</v>
      </c>
      <c r="B274" s="8">
        <f>A274*Summary!$B$14</f>
        <v>2233.3333333333335</v>
      </c>
      <c r="C274" s="8">
        <f>'Native PMKS'!B274*1000</f>
        <v>2233.333333333328</v>
      </c>
      <c r="D274" s="8">
        <f t="shared" si="4"/>
        <v>5.4569682106375694E-12</v>
      </c>
      <c r="E274" s="1"/>
      <c r="F274" s="1">
        <v>268</v>
      </c>
      <c r="G274" s="8">
        <f>F274*Summary!$B$17</f>
        <v>2239.5543175487464</v>
      </c>
      <c r="H274" s="1"/>
    </row>
    <row r="275" spans="1:8" ht="18.95" customHeight="1">
      <c r="A275" s="1">
        <v>269</v>
      </c>
      <c r="B275" s="8">
        <f>A275*Summary!$B$14</f>
        <v>2241.666666666667</v>
      </c>
      <c r="C275" s="8">
        <f>'Native PMKS'!B275*1000</f>
        <v>2241.6666666666615</v>
      </c>
      <c r="D275" s="8">
        <f t="shared" si="4"/>
        <v>5.4569682106375694E-12</v>
      </c>
      <c r="E275" s="1"/>
      <c r="F275" s="1">
        <v>269</v>
      </c>
      <c r="G275" s="8">
        <f>F275*Summary!$B$17</f>
        <v>2247.9108635097491</v>
      </c>
      <c r="H275" s="1"/>
    </row>
    <row r="276" spans="1:8" ht="18.95" customHeight="1">
      <c r="A276" s="1">
        <v>270</v>
      </c>
      <c r="B276" s="8">
        <f>A276*Summary!$B$14</f>
        <v>2250</v>
      </c>
      <c r="C276" s="8">
        <f>'Native PMKS'!B276*1000</f>
        <v>2249.9999999999945</v>
      </c>
      <c r="D276" s="8">
        <f t="shared" si="4"/>
        <v>5.4569682106375694E-12</v>
      </c>
      <c r="E276" s="1"/>
      <c r="F276" s="1">
        <v>270</v>
      </c>
      <c r="G276" s="8">
        <f>F276*Summary!$B$17</f>
        <v>2256.2674094707522</v>
      </c>
      <c r="H276" s="1"/>
    </row>
    <row r="277" spans="1:8" ht="18.95" customHeight="1">
      <c r="A277" s="1">
        <v>271</v>
      </c>
      <c r="B277" s="8">
        <f>A277*Summary!$B$14</f>
        <v>2258.3333333333335</v>
      </c>
      <c r="C277" s="8">
        <f>'Native PMKS'!B277*1000</f>
        <v>2258.333333333328</v>
      </c>
      <c r="D277" s="8">
        <f t="shared" si="4"/>
        <v>5.4569682106375694E-12</v>
      </c>
      <c r="E277" s="1"/>
      <c r="F277" s="1">
        <v>271</v>
      </c>
      <c r="G277" s="8">
        <f>F277*Summary!$B$17</f>
        <v>2264.6239554317549</v>
      </c>
      <c r="H277" s="1"/>
    </row>
    <row r="278" spans="1:8" ht="18.95" customHeight="1">
      <c r="A278" s="1">
        <v>272</v>
      </c>
      <c r="B278" s="8">
        <f>A278*Summary!$B$14</f>
        <v>2266.666666666667</v>
      </c>
      <c r="C278" s="8">
        <f>'Native PMKS'!B278*1000</f>
        <v>2266.6666666666611</v>
      </c>
      <c r="D278" s="8">
        <f t="shared" si="4"/>
        <v>5.9117155615240335E-12</v>
      </c>
      <c r="E278" s="1"/>
      <c r="F278" s="1">
        <v>272</v>
      </c>
      <c r="G278" s="8">
        <f>F278*Summary!$B$17</f>
        <v>2272.9805013927576</v>
      </c>
      <c r="H278" s="1"/>
    </row>
    <row r="279" spans="1:8" ht="18.95" customHeight="1">
      <c r="A279" s="1">
        <v>273</v>
      </c>
      <c r="B279" s="8">
        <f>A279*Summary!$B$14</f>
        <v>2275</v>
      </c>
      <c r="C279" s="8">
        <f>'Native PMKS'!B279*1000</f>
        <v>2274.9999999999945</v>
      </c>
      <c r="D279" s="8">
        <f t="shared" si="4"/>
        <v>5.4569682106375694E-12</v>
      </c>
      <c r="E279" s="1"/>
      <c r="F279" s="1">
        <v>273</v>
      </c>
      <c r="G279" s="8">
        <f>F279*Summary!$B$17</f>
        <v>2281.3370473537602</v>
      </c>
      <c r="H279" s="1"/>
    </row>
    <row r="280" spans="1:8" ht="18.95" customHeight="1">
      <c r="A280" s="1">
        <v>274</v>
      </c>
      <c r="B280" s="8">
        <f>A280*Summary!$B$14</f>
        <v>2283.3333333333335</v>
      </c>
      <c r="C280" s="8">
        <f>'Native PMKS'!B280*1000</f>
        <v>2283.333333333328</v>
      </c>
      <c r="D280" s="8">
        <f t="shared" si="4"/>
        <v>5.4569682106375694E-12</v>
      </c>
      <c r="E280" s="1"/>
      <c r="F280" s="1">
        <v>274</v>
      </c>
      <c r="G280" s="8">
        <f>F280*Summary!$B$17</f>
        <v>2289.6935933147633</v>
      </c>
      <c r="H280" s="1"/>
    </row>
    <row r="281" spans="1:8" ht="18.95" customHeight="1">
      <c r="A281" s="1">
        <v>275</v>
      </c>
      <c r="B281" s="8">
        <f>A281*Summary!$B$14</f>
        <v>2291.666666666667</v>
      </c>
      <c r="C281" s="8">
        <f>'Native PMKS'!B281*1000</f>
        <v>2291.6666666666611</v>
      </c>
      <c r="D281" s="8">
        <f t="shared" si="4"/>
        <v>5.9117155615240335E-12</v>
      </c>
      <c r="E281" s="1"/>
      <c r="F281" s="1">
        <v>275</v>
      </c>
      <c r="G281" s="8">
        <f>F281*Summary!$B$17</f>
        <v>2298.050139275766</v>
      </c>
      <c r="H281" s="1"/>
    </row>
    <row r="282" spans="1:8" ht="18.95" customHeight="1">
      <c r="A282" s="1">
        <v>276</v>
      </c>
      <c r="B282" s="8">
        <f>A282*Summary!$B$14</f>
        <v>2300</v>
      </c>
      <c r="C282" s="8">
        <f>'Native PMKS'!B282*1000</f>
        <v>2299.9999999999945</v>
      </c>
      <c r="D282" s="8">
        <f t="shared" si="4"/>
        <v>5.4569682106375694E-12</v>
      </c>
      <c r="E282" s="1"/>
      <c r="F282" s="1">
        <v>276</v>
      </c>
      <c r="G282" s="8">
        <f>F282*Summary!$B$17</f>
        <v>2306.4066852367687</v>
      </c>
      <c r="H282" s="1"/>
    </row>
    <row r="283" spans="1:8" ht="18.95" customHeight="1">
      <c r="A283" s="1">
        <v>277</v>
      </c>
      <c r="B283" s="8">
        <f>A283*Summary!$B$14</f>
        <v>2308.3333333333335</v>
      </c>
      <c r="C283" s="8">
        <f>'Native PMKS'!B283*1000</f>
        <v>2308.3333333333276</v>
      </c>
      <c r="D283" s="8">
        <f t="shared" si="4"/>
        <v>5.9117155615240335E-12</v>
      </c>
      <c r="E283" s="1"/>
      <c r="F283" s="1">
        <v>277</v>
      </c>
      <c r="G283" s="8">
        <f>F283*Summary!$B$17</f>
        <v>2314.7632311977713</v>
      </c>
      <c r="H283" s="1"/>
    </row>
    <row r="284" spans="1:8" ht="18.95" customHeight="1">
      <c r="A284" s="1">
        <v>278</v>
      </c>
      <c r="B284" s="8">
        <f>A284*Summary!$B$14</f>
        <v>2316.666666666667</v>
      </c>
      <c r="C284" s="8">
        <f>'Native PMKS'!B284*1000</f>
        <v>2316.6666666666611</v>
      </c>
      <c r="D284" s="8">
        <f t="shared" si="4"/>
        <v>5.9117155615240335E-12</v>
      </c>
      <c r="E284" s="1"/>
      <c r="F284" s="1">
        <v>278</v>
      </c>
      <c r="G284" s="8">
        <f>F284*Summary!$B$17</f>
        <v>2323.1197771587745</v>
      </c>
      <c r="H284" s="1"/>
    </row>
    <row r="285" spans="1:8" ht="18.95" customHeight="1">
      <c r="A285" s="1">
        <v>279</v>
      </c>
      <c r="B285" s="8">
        <f>A285*Summary!$B$14</f>
        <v>2325</v>
      </c>
      <c r="C285" s="8">
        <f>'Native PMKS'!B285*1000</f>
        <v>2324.9999999999945</v>
      </c>
      <c r="D285" s="8">
        <f t="shared" si="4"/>
        <v>5.4569682106375694E-12</v>
      </c>
      <c r="E285" s="1"/>
      <c r="F285" s="1">
        <v>279</v>
      </c>
      <c r="G285" s="8">
        <f>F285*Summary!$B$17</f>
        <v>2331.4763231197771</v>
      </c>
      <c r="H285" s="1"/>
    </row>
    <row r="286" spans="1:8" ht="18.95" customHeight="1">
      <c r="A286" s="1">
        <v>280</v>
      </c>
      <c r="B286" s="8">
        <f>A286*Summary!$B$14</f>
        <v>2333.3333333333335</v>
      </c>
      <c r="C286" s="8">
        <f>'Native PMKS'!B286*1000</f>
        <v>2333.333333333328</v>
      </c>
      <c r="D286" s="8">
        <f t="shared" si="4"/>
        <v>5.4569682106375694E-12</v>
      </c>
      <c r="E286" s="1"/>
      <c r="F286" s="1">
        <v>280</v>
      </c>
      <c r="G286" s="8">
        <f>F286*Summary!$B$17</f>
        <v>2339.8328690807798</v>
      </c>
      <c r="H286" s="1"/>
    </row>
    <row r="287" spans="1:8" ht="18.95" customHeight="1">
      <c r="A287" s="1">
        <v>281</v>
      </c>
      <c r="B287" s="8">
        <f>A287*Summary!$B$14</f>
        <v>2341.666666666667</v>
      </c>
      <c r="C287" s="8">
        <f>'Native PMKS'!B287*1000</f>
        <v>2341.6666666666611</v>
      </c>
      <c r="D287" s="8">
        <f t="shared" si="4"/>
        <v>5.9117155615240335E-12</v>
      </c>
      <c r="E287" s="1"/>
      <c r="F287" s="1">
        <v>281</v>
      </c>
      <c r="G287" s="8">
        <f>F287*Summary!$B$17</f>
        <v>2348.1894150417829</v>
      </c>
      <c r="H287" s="1"/>
    </row>
    <row r="288" spans="1:8" ht="18.95" customHeight="1">
      <c r="A288" s="1">
        <v>282</v>
      </c>
      <c r="B288" s="8">
        <f>A288*Summary!$B$14</f>
        <v>2350</v>
      </c>
      <c r="C288" s="8">
        <f>'Native PMKS'!B288*1000</f>
        <v>2349.9999999999945</v>
      </c>
      <c r="D288" s="8">
        <f t="shared" si="4"/>
        <v>5.4569682106375694E-12</v>
      </c>
      <c r="E288" s="1"/>
      <c r="F288" s="1">
        <v>282</v>
      </c>
      <c r="G288" s="8">
        <f>F288*Summary!$B$17</f>
        <v>2356.5459610027856</v>
      </c>
      <c r="H288" s="1"/>
    </row>
    <row r="289" spans="1:8" ht="18.95" customHeight="1">
      <c r="A289" s="1">
        <v>283</v>
      </c>
      <c r="B289" s="8">
        <f>A289*Summary!$B$14</f>
        <v>2358.3333333333335</v>
      </c>
      <c r="C289" s="8">
        <f>'Native PMKS'!B289*1000</f>
        <v>2358.333333333328</v>
      </c>
      <c r="D289" s="8">
        <f t="shared" si="4"/>
        <v>5.4569682106375694E-12</v>
      </c>
      <c r="E289" s="1"/>
      <c r="F289" s="1">
        <v>283</v>
      </c>
      <c r="G289" s="8">
        <f>F289*Summary!$B$17</f>
        <v>2364.9025069637883</v>
      </c>
      <c r="H289" s="1"/>
    </row>
    <row r="290" spans="1:8" ht="18.95" customHeight="1">
      <c r="A290" s="1">
        <v>284</v>
      </c>
      <c r="B290" s="8">
        <f>A290*Summary!$B$14</f>
        <v>2366.666666666667</v>
      </c>
      <c r="C290" s="8">
        <f>'Native PMKS'!B290*1000</f>
        <v>2366.6666666666611</v>
      </c>
      <c r="D290" s="8">
        <f t="shared" si="4"/>
        <v>5.9117155615240335E-12</v>
      </c>
      <c r="E290" s="1"/>
      <c r="F290" s="1">
        <v>284</v>
      </c>
      <c r="G290" s="8">
        <f>F290*Summary!$B$17</f>
        <v>2373.2590529247909</v>
      </c>
      <c r="H290" s="1"/>
    </row>
    <row r="291" spans="1:8" ht="18.95" customHeight="1">
      <c r="A291" s="1">
        <v>285</v>
      </c>
      <c r="B291" s="8">
        <f>A291*Summary!$B$14</f>
        <v>2375</v>
      </c>
      <c r="C291" s="8">
        <f>'Native PMKS'!B291*1000</f>
        <v>2374.9999999999941</v>
      </c>
      <c r="D291" s="8">
        <f t="shared" si="4"/>
        <v>5.9117155615240335E-12</v>
      </c>
      <c r="E291" s="1"/>
      <c r="F291" s="1">
        <v>285</v>
      </c>
      <c r="G291" s="8">
        <f>F291*Summary!$B$17</f>
        <v>2381.615598885794</v>
      </c>
      <c r="H291" s="1"/>
    </row>
    <row r="292" spans="1:8" ht="18.95" customHeight="1">
      <c r="A292" s="1">
        <v>286</v>
      </c>
      <c r="B292" s="8">
        <f>A292*Summary!$B$14</f>
        <v>2383.3333333333335</v>
      </c>
      <c r="C292" s="8">
        <f>'Native PMKS'!B292*1000</f>
        <v>2383.3333333333276</v>
      </c>
      <c r="D292" s="8">
        <f t="shared" si="4"/>
        <v>5.9117155615240335E-12</v>
      </c>
      <c r="E292" s="1"/>
      <c r="F292" s="1">
        <v>286</v>
      </c>
      <c r="G292" s="8">
        <f>F292*Summary!$B$17</f>
        <v>2389.9721448467967</v>
      </c>
      <c r="H292" s="1"/>
    </row>
    <row r="293" spans="1:8" ht="18.95" customHeight="1">
      <c r="A293" s="1">
        <v>287</v>
      </c>
      <c r="B293" s="8">
        <f>A293*Summary!$B$14</f>
        <v>2391.666666666667</v>
      </c>
      <c r="C293" s="8">
        <f>'Native PMKS'!B293*1000</f>
        <v>2391.6666666666611</v>
      </c>
      <c r="D293" s="8">
        <f t="shared" si="4"/>
        <v>5.9117155615240335E-12</v>
      </c>
      <c r="E293" s="1"/>
      <c r="F293" s="1">
        <v>287</v>
      </c>
      <c r="G293" s="8">
        <f>F293*Summary!$B$17</f>
        <v>2398.3286908077994</v>
      </c>
      <c r="H293" s="1"/>
    </row>
    <row r="294" spans="1:8" ht="18.95" customHeight="1">
      <c r="A294" s="1">
        <v>288</v>
      </c>
      <c r="B294" s="8">
        <f>A294*Summary!$B$14</f>
        <v>2400</v>
      </c>
      <c r="C294" s="8">
        <f>'Native PMKS'!B294*1000</f>
        <v>2399.9999999999941</v>
      </c>
      <c r="D294" s="8">
        <f t="shared" si="4"/>
        <v>5.9117155615240335E-12</v>
      </c>
      <c r="E294" s="1"/>
      <c r="F294" s="1">
        <v>288</v>
      </c>
      <c r="G294" s="8">
        <f>F294*Summary!$B$17</f>
        <v>2406.685236768802</v>
      </c>
      <c r="H294" s="1"/>
    </row>
    <row r="295" spans="1:8" ht="18.95" customHeight="1">
      <c r="A295" s="1">
        <v>289</v>
      </c>
      <c r="B295" s="8">
        <f>A295*Summary!$B$14</f>
        <v>2408.3333333333335</v>
      </c>
      <c r="C295" s="8">
        <f>'Native PMKS'!B295*1000</f>
        <v>2408.3333333333276</v>
      </c>
      <c r="D295" s="8">
        <f t="shared" si="4"/>
        <v>5.9117155615240335E-12</v>
      </c>
      <c r="E295" s="1"/>
      <c r="F295" s="1">
        <v>289</v>
      </c>
      <c r="G295" s="8">
        <f>F295*Summary!$B$17</f>
        <v>2415.0417827298052</v>
      </c>
      <c r="H295" s="1"/>
    </row>
    <row r="296" spans="1:8" ht="18.95" customHeight="1">
      <c r="A296" s="1">
        <v>290</v>
      </c>
      <c r="B296" s="8">
        <f>A296*Summary!$B$14</f>
        <v>2416.666666666667</v>
      </c>
      <c r="C296" s="8">
        <f>'Native PMKS'!B296*1000</f>
        <v>2416.6666666666606</v>
      </c>
      <c r="D296" s="8">
        <f t="shared" si="4"/>
        <v>6.3664629124104977E-12</v>
      </c>
      <c r="E296" s="1"/>
      <c r="F296" s="1">
        <v>290</v>
      </c>
      <c r="G296" s="8">
        <f>F296*Summary!$B$17</f>
        <v>2423.3983286908078</v>
      </c>
      <c r="H296" s="1"/>
    </row>
    <row r="297" spans="1:8" ht="18.95" customHeight="1">
      <c r="A297" s="1">
        <v>291</v>
      </c>
      <c r="B297" s="8">
        <f>A297*Summary!$B$14</f>
        <v>2425</v>
      </c>
      <c r="C297" s="8">
        <f>'Native PMKS'!B297*1000</f>
        <v>2424.9999999999941</v>
      </c>
      <c r="D297" s="8">
        <f t="shared" si="4"/>
        <v>5.9117155615240335E-12</v>
      </c>
      <c r="E297" s="1"/>
      <c r="F297" s="1">
        <v>291</v>
      </c>
      <c r="G297" s="8">
        <f>F297*Summary!$B$17</f>
        <v>2431.7548746518105</v>
      </c>
      <c r="H297" s="1"/>
    </row>
    <row r="298" spans="1:8" ht="18.95" customHeight="1">
      <c r="A298" s="1">
        <v>292</v>
      </c>
      <c r="B298" s="8">
        <f>A298*Summary!$B$14</f>
        <v>2433.3333333333335</v>
      </c>
      <c r="C298" s="8">
        <f>'Native PMKS'!B298*1000</f>
        <v>2433.3333333333276</v>
      </c>
      <c r="D298" s="8">
        <f t="shared" si="4"/>
        <v>5.9117155615240335E-12</v>
      </c>
      <c r="E298" s="1"/>
      <c r="F298" s="1">
        <v>292</v>
      </c>
      <c r="G298" s="8">
        <f>F298*Summary!$B$17</f>
        <v>2440.1114206128132</v>
      </c>
      <c r="H298" s="1"/>
    </row>
    <row r="299" spans="1:8" ht="18.95" customHeight="1">
      <c r="A299" s="1">
        <v>293</v>
      </c>
      <c r="B299" s="8">
        <f>A299*Summary!$B$14</f>
        <v>2441.666666666667</v>
      </c>
      <c r="C299" s="8">
        <f>'Native PMKS'!B299*1000</f>
        <v>2441.6666666666606</v>
      </c>
      <c r="D299" s="8">
        <f t="shared" si="4"/>
        <v>6.3664629124104977E-12</v>
      </c>
      <c r="E299" s="1"/>
      <c r="F299" s="1">
        <v>293</v>
      </c>
      <c r="G299" s="8">
        <f>F299*Summary!$B$17</f>
        <v>2448.4679665738163</v>
      </c>
      <c r="H299" s="1"/>
    </row>
    <row r="300" spans="1:8" ht="18.95" customHeight="1">
      <c r="A300" s="1">
        <v>294</v>
      </c>
      <c r="B300" s="8">
        <f>A300*Summary!$B$14</f>
        <v>2450</v>
      </c>
      <c r="C300" s="8">
        <f>'Native PMKS'!B300*1000</f>
        <v>2449.9999999999941</v>
      </c>
      <c r="D300" s="8">
        <f t="shared" si="4"/>
        <v>5.9117155615240335E-12</v>
      </c>
      <c r="E300" s="1"/>
      <c r="F300" s="1">
        <v>294</v>
      </c>
      <c r="G300" s="8">
        <f>F300*Summary!$B$17</f>
        <v>2456.824512534819</v>
      </c>
      <c r="H300" s="1"/>
    </row>
    <row r="301" spans="1:8" ht="18.95" customHeight="1">
      <c r="A301" s="1">
        <v>295</v>
      </c>
      <c r="B301" s="8">
        <f>A301*Summary!$B$14</f>
        <v>2458.3333333333335</v>
      </c>
      <c r="C301" s="8">
        <f>'Native PMKS'!B301*1000</f>
        <v>2458.3333333333276</v>
      </c>
      <c r="D301" s="8">
        <f t="shared" si="4"/>
        <v>5.9117155615240335E-12</v>
      </c>
      <c r="E301" s="1"/>
      <c r="F301" s="1">
        <v>295</v>
      </c>
      <c r="G301" s="8">
        <f>F301*Summary!$B$17</f>
        <v>2465.1810584958216</v>
      </c>
      <c r="H301" s="1"/>
    </row>
    <row r="302" spans="1:8" ht="18.95" customHeight="1">
      <c r="A302" s="1">
        <v>296</v>
      </c>
      <c r="B302" s="8">
        <f>A302*Summary!$B$14</f>
        <v>2466.666666666667</v>
      </c>
      <c r="C302" s="8">
        <f>'Native PMKS'!B302*1000</f>
        <v>2466.6666666666611</v>
      </c>
      <c r="D302" s="8">
        <f t="shared" si="4"/>
        <v>5.9117155615240335E-12</v>
      </c>
      <c r="E302" s="1"/>
      <c r="F302" s="1">
        <v>296</v>
      </c>
      <c r="G302" s="8">
        <f>F302*Summary!$B$17</f>
        <v>2473.5376044568243</v>
      </c>
      <c r="H302" s="1"/>
    </row>
    <row r="303" spans="1:8" ht="18.95" customHeight="1">
      <c r="A303" s="1">
        <v>297</v>
      </c>
      <c r="B303" s="8">
        <f>A303*Summary!$B$14</f>
        <v>2475</v>
      </c>
      <c r="C303" s="8">
        <f>'Native PMKS'!B303*1000</f>
        <v>2474.9999999999941</v>
      </c>
      <c r="D303" s="8">
        <f t="shared" si="4"/>
        <v>5.9117155615240335E-12</v>
      </c>
      <c r="E303" s="1"/>
      <c r="F303" s="1">
        <v>297</v>
      </c>
      <c r="G303" s="8">
        <f>F303*Summary!$B$17</f>
        <v>2481.8941504178274</v>
      </c>
      <c r="H303" s="1"/>
    </row>
    <row r="304" spans="1:8" ht="18.95" customHeight="1">
      <c r="A304" s="1">
        <v>298</v>
      </c>
      <c r="B304" s="8">
        <f>A304*Summary!$B$14</f>
        <v>2483.3333333333335</v>
      </c>
      <c r="C304" s="8">
        <f>'Native PMKS'!B304*1000</f>
        <v>2483.3333333333271</v>
      </c>
      <c r="D304" s="8">
        <f t="shared" si="4"/>
        <v>6.3664629124104977E-12</v>
      </c>
      <c r="E304" s="1"/>
      <c r="F304" s="1">
        <v>298</v>
      </c>
      <c r="G304" s="8">
        <f>F304*Summary!$B$17</f>
        <v>2490.2506963788301</v>
      </c>
      <c r="H304" s="1"/>
    </row>
    <row r="305" spans="1:8" ht="18.95" customHeight="1">
      <c r="A305" s="1">
        <v>299</v>
      </c>
      <c r="B305" s="8">
        <f>A305*Summary!$B$14</f>
        <v>2491.666666666667</v>
      </c>
      <c r="C305" s="8">
        <f>'Native PMKS'!B305*1000</f>
        <v>2491.6666666666606</v>
      </c>
      <c r="D305" s="8">
        <f t="shared" si="4"/>
        <v>6.3664629124104977E-12</v>
      </c>
      <c r="E305" s="1"/>
      <c r="F305" s="1">
        <v>299</v>
      </c>
      <c r="G305" s="8">
        <f>F305*Summary!$B$17</f>
        <v>2498.6072423398327</v>
      </c>
      <c r="H305" s="1"/>
    </row>
    <row r="306" spans="1:8" ht="18.95" customHeight="1">
      <c r="A306" s="1">
        <v>300</v>
      </c>
      <c r="B306" s="8">
        <f>A306*Summary!$B$14</f>
        <v>2500</v>
      </c>
      <c r="C306" s="8">
        <f>'Native PMKS'!B306*1000</f>
        <v>2499.9999999999936</v>
      </c>
      <c r="D306" s="8">
        <f t="shared" si="4"/>
        <v>6.3664629124104977E-12</v>
      </c>
      <c r="E306" s="1"/>
      <c r="F306" s="1">
        <v>300</v>
      </c>
      <c r="G306" s="8">
        <f>F306*Summary!$B$17</f>
        <v>2506.9637883008359</v>
      </c>
      <c r="H306" s="1"/>
    </row>
    <row r="307" spans="1:8" ht="18.95" customHeight="1">
      <c r="A307" s="1">
        <v>301</v>
      </c>
      <c r="B307" s="8">
        <f>A307*Summary!$B$14</f>
        <v>2508.3333333333335</v>
      </c>
      <c r="C307" s="8">
        <f>'Native PMKS'!B307*1000</f>
        <v>2508.3333333333271</v>
      </c>
      <c r="D307" s="8">
        <f t="shared" si="4"/>
        <v>6.3664629124104977E-12</v>
      </c>
      <c r="E307" s="1"/>
      <c r="F307" s="1">
        <v>301</v>
      </c>
      <c r="G307" s="8">
        <f>F307*Summary!$B$17</f>
        <v>2515.3203342618385</v>
      </c>
      <c r="H307" s="1"/>
    </row>
    <row r="308" spans="1:8" ht="18.95" customHeight="1">
      <c r="A308" s="1">
        <v>302</v>
      </c>
      <c r="B308" s="8">
        <f>A308*Summary!$B$14</f>
        <v>2516.666666666667</v>
      </c>
      <c r="C308" s="8">
        <f>'Native PMKS'!B308*1000</f>
        <v>2516.6666666666606</v>
      </c>
      <c r="D308" s="8">
        <f t="shared" si="4"/>
        <v>6.3664629124104977E-12</v>
      </c>
      <c r="E308" s="1"/>
      <c r="F308" s="1">
        <v>302</v>
      </c>
      <c r="G308" s="8">
        <f>F308*Summary!$B$17</f>
        <v>2523.6768802228412</v>
      </c>
      <c r="H308" s="1"/>
    </row>
    <row r="309" spans="1:8" ht="18.95" customHeight="1">
      <c r="A309" s="1">
        <v>303</v>
      </c>
      <c r="B309" s="8">
        <f>A309*Summary!$B$14</f>
        <v>2525</v>
      </c>
      <c r="C309" s="8">
        <f>'Native PMKS'!B309*1000</f>
        <v>2524.9999999999936</v>
      </c>
      <c r="D309" s="8">
        <f t="shared" si="4"/>
        <v>6.3664629124104977E-12</v>
      </c>
      <c r="E309" s="1"/>
      <c r="F309" s="1">
        <v>303</v>
      </c>
      <c r="G309" s="8">
        <f>F309*Summary!$B$17</f>
        <v>2532.0334261838439</v>
      </c>
      <c r="H309" s="1"/>
    </row>
    <row r="310" spans="1:8" ht="18.95" customHeight="1">
      <c r="A310" s="1">
        <v>304</v>
      </c>
      <c r="B310" s="8">
        <f>A310*Summary!$B$14</f>
        <v>2533.3333333333335</v>
      </c>
      <c r="C310" s="8">
        <f>'Native PMKS'!B310*1000</f>
        <v>2533.3333333333271</v>
      </c>
      <c r="D310" s="8">
        <f t="shared" si="4"/>
        <v>6.3664629124104977E-12</v>
      </c>
      <c r="E310" s="1"/>
      <c r="F310" s="1">
        <v>304</v>
      </c>
      <c r="G310" s="8">
        <f>F310*Summary!$B$17</f>
        <v>2540.389972144847</v>
      </c>
      <c r="H310" s="1"/>
    </row>
    <row r="311" spans="1:8" ht="18.95" customHeight="1">
      <c r="A311" s="1">
        <v>305</v>
      </c>
      <c r="B311" s="8">
        <f>A311*Summary!$B$14</f>
        <v>2541.666666666667</v>
      </c>
      <c r="C311" s="8">
        <f>'Native PMKS'!B311*1000</f>
        <v>2541.6666666666601</v>
      </c>
      <c r="D311" s="8">
        <f t="shared" si="4"/>
        <v>6.8212102632969618E-12</v>
      </c>
      <c r="E311" s="1"/>
      <c r="F311" s="1">
        <v>305</v>
      </c>
      <c r="G311" s="8">
        <f>F311*Summary!$B$17</f>
        <v>2548.7465181058496</v>
      </c>
      <c r="H311" s="1"/>
    </row>
    <row r="312" spans="1:8" ht="18.95" customHeight="1">
      <c r="A312" s="1">
        <v>306</v>
      </c>
      <c r="B312" s="8">
        <f>A312*Summary!$B$14</f>
        <v>2550</v>
      </c>
      <c r="C312" s="8">
        <f>'Native PMKS'!B312*1000</f>
        <v>2549.9999999999936</v>
      </c>
      <c r="D312" s="8">
        <f t="shared" si="4"/>
        <v>6.3664629124104977E-12</v>
      </c>
      <c r="E312" s="1"/>
      <c r="F312" s="1">
        <v>306</v>
      </c>
      <c r="G312" s="8">
        <f>F312*Summary!$B$17</f>
        <v>2557.1030640668523</v>
      </c>
      <c r="H312" s="1"/>
    </row>
    <row r="313" spans="1:8" ht="18.95" customHeight="1">
      <c r="A313" s="1">
        <v>307</v>
      </c>
      <c r="B313" s="8">
        <f>A313*Summary!$B$14</f>
        <v>2558.3333333333335</v>
      </c>
      <c r="C313" s="8">
        <f>'Native PMKS'!B313*1000</f>
        <v>2558.3333333333271</v>
      </c>
      <c r="D313" s="8">
        <f t="shared" si="4"/>
        <v>6.3664629124104977E-12</v>
      </c>
      <c r="E313" s="1"/>
      <c r="F313" s="1">
        <v>307</v>
      </c>
      <c r="G313" s="8">
        <f>F313*Summary!$B$17</f>
        <v>2565.459610027855</v>
      </c>
      <c r="H313" s="1"/>
    </row>
    <row r="314" spans="1:8" ht="18.95" customHeight="1">
      <c r="A314" s="1">
        <v>308</v>
      </c>
      <c r="B314" s="8">
        <f>A314*Summary!$B$14</f>
        <v>2566.666666666667</v>
      </c>
      <c r="C314" s="8">
        <f>'Native PMKS'!B314*1000</f>
        <v>2566.6666666666601</v>
      </c>
      <c r="D314" s="8">
        <f t="shared" si="4"/>
        <v>6.8212102632969618E-12</v>
      </c>
      <c r="E314" s="1"/>
      <c r="F314" s="1">
        <v>308</v>
      </c>
      <c r="G314" s="8">
        <f>F314*Summary!$B$17</f>
        <v>2573.8161559888581</v>
      </c>
      <c r="H314" s="1"/>
    </row>
    <row r="315" spans="1:8" ht="18.95" customHeight="1">
      <c r="A315" s="1">
        <v>309</v>
      </c>
      <c r="B315" s="8">
        <f>A315*Summary!$B$14</f>
        <v>2575</v>
      </c>
      <c r="C315" s="8">
        <f>'Native PMKS'!B315*1000</f>
        <v>2574.9999999999932</v>
      </c>
      <c r="D315" s="8">
        <f t="shared" si="4"/>
        <v>6.8212102632969618E-12</v>
      </c>
      <c r="E315" s="1"/>
      <c r="F315" s="1">
        <v>309</v>
      </c>
      <c r="G315" s="8">
        <f>F315*Summary!$B$17</f>
        <v>2582.1727019498608</v>
      </c>
      <c r="H315" s="1"/>
    </row>
    <row r="316" spans="1:8" ht="18.95" customHeight="1">
      <c r="A316" s="1">
        <v>310</v>
      </c>
      <c r="B316" s="8">
        <f>A316*Summary!$B$14</f>
        <v>2583.3333333333335</v>
      </c>
      <c r="C316" s="8">
        <f>'Native PMKS'!B316*1000</f>
        <v>2583.3333333333267</v>
      </c>
      <c r="D316" s="8">
        <f t="shared" si="4"/>
        <v>6.8212102632969618E-12</v>
      </c>
      <c r="E316" s="1"/>
      <c r="F316" s="1">
        <v>310</v>
      </c>
      <c r="G316" s="8">
        <f>F316*Summary!$B$17</f>
        <v>2590.5292479108634</v>
      </c>
      <c r="H316" s="1"/>
    </row>
    <row r="317" spans="1:8" ht="18.95" customHeight="1">
      <c r="A317" s="1">
        <v>311</v>
      </c>
      <c r="B317" s="8">
        <f>A317*Summary!$B$14</f>
        <v>2591.666666666667</v>
      </c>
      <c r="C317" s="8">
        <f>'Native PMKS'!B317*1000</f>
        <v>2591.6666666666601</v>
      </c>
      <c r="D317" s="8">
        <f t="shared" si="4"/>
        <v>6.8212102632969618E-12</v>
      </c>
      <c r="E317" s="1"/>
      <c r="F317" s="1">
        <v>311</v>
      </c>
      <c r="G317" s="8">
        <f>F317*Summary!$B$17</f>
        <v>2598.8857938718661</v>
      </c>
      <c r="H317" s="1"/>
    </row>
    <row r="318" spans="1:8" ht="18.95" customHeight="1">
      <c r="A318" s="1">
        <v>312</v>
      </c>
      <c r="B318" s="8">
        <f>A318*Summary!$B$14</f>
        <v>2600</v>
      </c>
      <c r="C318" s="8">
        <f>'Native PMKS'!B318*1000</f>
        <v>2599.9999999999932</v>
      </c>
      <c r="D318" s="8">
        <f t="shared" si="4"/>
        <v>6.8212102632969618E-12</v>
      </c>
      <c r="E318" s="1"/>
      <c r="F318" s="1">
        <v>312</v>
      </c>
      <c r="G318" s="8">
        <f>F318*Summary!$B$17</f>
        <v>2607.2423398328692</v>
      </c>
      <c r="H318" s="1"/>
    </row>
    <row r="319" spans="1:8" ht="18.95" customHeight="1">
      <c r="A319" s="1">
        <v>313</v>
      </c>
      <c r="B319" s="8">
        <f>A319*Summary!$B$14</f>
        <v>2608.3333333333335</v>
      </c>
      <c r="C319" s="8">
        <f>'Native PMKS'!B319*1000</f>
        <v>2608.3333333333267</v>
      </c>
      <c r="D319" s="8">
        <f t="shared" si="4"/>
        <v>6.8212102632969618E-12</v>
      </c>
      <c r="E319" s="1"/>
      <c r="F319" s="1">
        <v>313</v>
      </c>
      <c r="G319" s="8">
        <f>F319*Summary!$B$17</f>
        <v>2615.5988857938719</v>
      </c>
      <c r="H319" s="1"/>
    </row>
    <row r="320" spans="1:8" ht="18.95" customHeight="1">
      <c r="A320" s="1">
        <v>314</v>
      </c>
      <c r="B320" s="8">
        <f>A320*Summary!$B$14</f>
        <v>2616.666666666667</v>
      </c>
      <c r="C320" s="8">
        <f>'Native PMKS'!B320*1000</f>
        <v>2616.6666666666601</v>
      </c>
      <c r="D320" s="8">
        <f t="shared" si="4"/>
        <v>6.8212102632969618E-12</v>
      </c>
      <c r="E320" s="1"/>
      <c r="F320" s="1">
        <v>314</v>
      </c>
      <c r="G320" s="8">
        <f>F320*Summary!$B$17</f>
        <v>2623.9554317548746</v>
      </c>
      <c r="H320" s="1"/>
    </row>
    <row r="321" spans="1:8" ht="18.95" customHeight="1">
      <c r="A321" s="1">
        <v>315</v>
      </c>
      <c r="B321" s="8">
        <f>A321*Summary!$B$14</f>
        <v>2625</v>
      </c>
      <c r="C321" s="8">
        <f>'Native PMKS'!B321*1000</f>
        <v>2624.9999999999932</v>
      </c>
      <c r="D321" s="8">
        <f t="shared" si="4"/>
        <v>6.8212102632969618E-12</v>
      </c>
      <c r="E321" s="1"/>
      <c r="F321" s="1">
        <v>315</v>
      </c>
      <c r="G321" s="8">
        <f>F321*Summary!$B$17</f>
        <v>2632.3119777158772</v>
      </c>
      <c r="H321" s="1"/>
    </row>
    <row r="322" spans="1:8" ht="18.95" customHeight="1">
      <c r="A322" s="1">
        <v>316</v>
      </c>
      <c r="B322" s="8">
        <f>A322*Summary!$B$14</f>
        <v>2633.3333333333335</v>
      </c>
      <c r="C322" s="8">
        <f>'Native PMKS'!B322*1000</f>
        <v>2633.3333333333262</v>
      </c>
      <c r="D322" s="8">
        <f t="shared" si="4"/>
        <v>7.2759576141834259E-12</v>
      </c>
      <c r="E322" s="1"/>
      <c r="F322" s="1">
        <v>316</v>
      </c>
      <c r="G322" s="8">
        <f>F322*Summary!$B$17</f>
        <v>2640.6685236768803</v>
      </c>
      <c r="H322" s="1"/>
    </row>
    <row r="323" spans="1:8" ht="18.95" customHeight="1">
      <c r="A323" s="1">
        <v>317</v>
      </c>
      <c r="B323" s="8">
        <f>A323*Summary!$B$14</f>
        <v>2641.666666666667</v>
      </c>
      <c r="C323" s="8">
        <f>'Native PMKS'!B323*1000</f>
        <v>2641.6666666666601</v>
      </c>
      <c r="D323" s="8">
        <f t="shared" si="4"/>
        <v>6.8212102632969618E-12</v>
      </c>
      <c r="E323" s="1"/>
      <c r="F323" s="1">
        <v>317</v>
      </c>
      <c r="G323" s="8">
        <f>F323*Summary!$B$17</f>
        <v>2649.025069637883</v>
      </c>
      <c r="H323" s="1"/>
    </row>
    <row r="324" spans="1:8" ht="18.95" customHeight="1">
      <c r="A324" s="1">
        <v>318</v>
      </c>
      <c r="B324" s="8">
        <f>A324*Summary!$B$14</f>
        <v>2650</v>
      </c>
      <c r="C324" s="8">
        <f>'Native PMKS'!B324*1000</f>
        <v>2649.9999999999927</v>
      </c>
      <c r="D324" s="8">
        <f t="shared" si="4"/>
        <v>7.2759576141834259E-12</v>
      </c>
      <c r="E324" s="1"/>
      <c r="F324" s="1">
        <v>318</v>
      </c>
      <c r="G324" s="8">
        <f>F324*Summary!$B$17</f>
        <v>2657.3816155988857</v>
      </c>
      <c r="H324" s="1"/>
    </row>
    <row r="325" spans="1:8" ht="18.95" customHeight="1">
      <c r="A325" s="1">
        <v>319</v>
      </c>
      <c r="B325" s="8">
        <f>A325*Summary!$B$14</f>
        <v>2658.3333333333335</v>
      </c>
      <c r="C325" s="8">
        <f>'Native PMKS'!B325*1000</f>
        <v>2658.3333333333267</v>
      </c>
      <c r="D325" s="8">
        <f t="shared" si="4"/>
        <v>6.8212102632969618E-12</v>
      </c>
      <c r="E325" s="1"/>
      <c r="F325" s="1">
        <v>319</v>
      </c>
      <c r="G325" s="8">
        <f>F325*Summary!$B$17</f>
        <v>2665.7381615598883</v>
      </c>
      <c r="H325" s="1"/>
    </row>
    <row r="326" spans="1:8" ht="18.95" customHeight="1">
      <c r="A326" s="1">
        <v>320</v>
      </c>
      <c r="B326" s="8">
        <f>A326*Summary!$B$14</f>
        <v>2666.666666666667</v>
      </c>
      <c r="C326" s="8">
        <f>'Native PMKS'!B326*1000</f>
        <v>2666.6666666666597</v>
      </c>
      <c r="D326" s="8">
        <f t="shared" ref="D326:D389" si="5">B326-C326</f>
        <v>7.2759576141834259E-12</v>
      </c>
      <c r="E326" s="1"/>
      <c r="F326" s="1">
        <v>320</v>
      </c>
      <c r="G326" s="8">
        <f>F326*Summary!$B$17</f>
        <v>2674.0947075208915</v>
      </c>
      <c r="H326" s="1"/>
    </row>
    <row r="327" spans="1:8" ht="18.95" customHeight="1">
      <c r="A327" s="1">
        <v>321</v>
      </c>
      <c r="B327" s="8">
        <f>A327*Summary!$B$14</f>
        <v>2675</v>
      </c>
      <c r="C327" s="8">
        <f>'Native PMKS'!B327*1000</f>
        <v>2674.9999999999932</v>
      </c>
      <c r="D327" s="8">
        <f t="shared" si="5"/>
        <v>6.8212102632969618E-12</v>
      </c>
      <c r="E327" s="1"/>
      <c r="F327" s="1">
        <v>321</v>
      </c>
      <c r="G327" s="8">
        <f>F327*Summary!$B$17</f>
        <v>2682.4512534818941</v>
      </c>
      <c r="H327" s="1"/>
    </row>
    <row r="328" spans="1:8" ht="18.95" customHeight="1">
      <c r="A328" s="1">
        <v>322</v>
      </c>
      <c r="B328" s="8">
        <f>A328*Summary!$B$14</f>
        <v>2683.3333333333335</v>
      </c>
      <c r="C328" s="8">
        <f>'Native PMKS'!B328*1000</f>
        <v>2683.3333333333267</v>
      </c>
      <c r="D328" s="8">
        <f t="shared" si="5"/>
        <v>6.8212102632969618E-12</v>
      </c>
      <c r="E328" s="1"/>
      <c r="F328" s="1">
        <v>322</v>
      </c>
      <c r="G328" s="8">
        <f>F328*Summary!$B$17</f>
        <v>2690.8077994428968</v>
      </c>
      <c r="H328" s="1"/>
    </row>
    <row r="329" spans="1:8" ht="18.95" customHeight="1">
      <c r="A329" s="1">
        <v>323</v>
      </c>
      <c r="B329" s="8">
        <f>A329*Summary!$B$14</f>
        <v>2691.666666666667</v>
      </c>
      <c r="C329" s="8">
        <f>'Native PMKS'!B329*1000</f>
        <v>2691.6666666666601</v>
      </c>
      <c r="D329" s="8">
        <f t="shared" si="5"/>
        <v>6.8212102632969618E-12</v>
      </c>
      <c r="E329" s="1"/>
      <c r="F329" s="1">
        <v>323</v>
      </c>
      <c r="G329" s="8">
        <f>F329*Summary!$B$17</f>
        <v>2699.1643454038999</v>
      </c>
      <c r="H329" s="1"/>
    </row>
    <row r="330" spans="1:8" ht="18.95" customHeight="1">
      <c r="A330" s="1">
        <v>324</v>
      </c>
      <c r="B330" s="8">
        <f>A330*Summary!$B$14</f>
        <v>2700</v>
      </c>
      <c r="C330" s="8">
        <f>'Native PMKS'!B330*1000</f>
        <v>2699.9999999999932</v>
      </c>
      <c r="D330" s="8">
        <f t="shared" si="5"/>
        <v>6.8212102632969618E-12</v>
      </c>
      <c r="E330" s="1"/>
      <c r="F330" s="1">
        <v>324</v>
      </c>
      <c r="G330" s="8">
        <f>F330*Summary!$B$17</f>
        <v>2707.5208913649026</v>
      </c>
      <c r="H330" s="1"/>
    </row>
    <row r="331" spans="1:8" ht="18.95" customHeight="1">
      <c r="A331" s="1">
        <v>325</v>
      </c>
      <c r="B331" s="8">
        <f>A331*Summary!$B$14</f>
        <v>2708.3333333333335</v>
      </c>
      <c r="C331" s="8">
        <f>'Native PMKS'!B331*1000</f>
        <v>2708.3333333333262</v>
      </c>
      <c r="D331" s="8">
        <f t="shared" si="5"/>
        <v>7.2759576141834259E-12</v>
      </c>
      <c r="E331" s="1"/>
      <c r="F331" s="1">
        <v>325</v>
      </c>
      <c r="G331" s="8">
        <f>F331*Summary!$B$17</f>
        <v>2715.8774373259052</v>
      </c>
      <c r="H331" s="1"/>
    </row>
    <row r="332" spans="1:8" ht="18.95" customHeight="1">
      <c r="A332" s="1">
        <v>326</v>
      </c>
      <c r="B332" s="8">
        <f>A332*Summary!$B$14</f>
        <v>2716.666666666667</v>
      </c>
      <c r="C332" s="8">
        <f>'Native PMKS'!B332*1000</f>
        <v>2716.6666666666601</v>
      </c>
      <c r="D332" s="8">
        <f t="shared" si="5"/>
        <v>6.8212102632969618E-12</v>
      </c>
      <c r="E332" s="1"/>
      <c r="F332" s="1">
        <v>326</v>
      </c>
      <c r="G332" s="8">
        <f>F332*Summary!$B$17</f>
        <v>2724.2339832869079</v>
      </c>
      <c r="H332" s="1"/>
    </row>
    <row r="333" spans="1:8" ht="18.95" customHeight="1">
      <c r="A333" s="1">
        <v>327</v>
      </c>
      <c r="B333" s="8">
        <f>A333*Summary!$B$14</f>
        <v>2725</v>
      </c>
      <c r="C333" s="8">
        <f>'Native PMKS'!B333*1000</f>
        <v>2724.9999999999932</v>
      </c>
      <c r="D333" s="8">
        <f t="shared" si="5"/>
        <v>6.8212102632969618E-12</v>
      </c>
      <c r="E333" s="1"/>
      <c r="F333" s="1">
        <v>327</v>
      </c>
      <c r="G333" s="8">
        <f>F333*Summary!$B$17</f>
        <v>2732.590529247911</v>
      </c>
      <c r="H333" s="1"/>
    </row>
    <row r="334" spans="1:8" ht="18.95" customHeight="1">
      <c r="A334" s="1">
        <v>328</v>
      </c>
      <c r="B334" s="8">
        <f>A334*Summary!$B$14</f>
        <v>2733.3333333333335</v>
      </c>
      <c r="C334" s="8">
        <f>'Native PMKS'!B334*1000</f>
        <v>2733.3333333333262</v>
      </c>
      <c r="D334" s="8">
        <f t="shared" si="5"/>
        <v>7.2759576141834259E-12</v>
      </c>
      <c r="E334" s="1"/>
      <c r="F334" s="1">
        <v>328</v>
      </c>
      <c r="G334" s="8">
        <f>F334*Summary!$B$17</f>
        <v>2740.9470752089137</v>
      </c>
      <c r="H334" s="1"/>
    </row>
    <row r="335" spans="1:8" ht="18.95" customHeight="1">
      <c r="A335" s="1">
        <v>329</v>
      </c>
      <c r="B335" s="8">
        <f>A335*Summary!$B$14</f>
        <v>2741.666666666667</v>
      </c>
      <c r="C335" s="8">
        <f>'Native PMKS'!B335*1000</f>
        <v>2741.6666666666601</v>
      </c>
      <c r="D335" s="8">
        <f t="shared" si="5"/>
        <v>6.8212102632969618E-12</v>
      </c>
      <c r="E335" s="1"/>
      <c r="F335" s="1">
        <v>329</v>
      </c>
      <c r="G335" s="8">
        <f>F335*Summary!$B$17</f>
        <v>2749.3036211699164</v>
      </c>
      <c r="H335" s="1"/>
    </row>
    <row r="336" spans="1:8" ht="18.95" customHeight="1">
      <c r="A336" s="1">
        <v>330</v>
      </c>
      <c r="B336" s="8">
        <f>A336*Summary!$B$14</f>
        <v>2750</v>
      </c>
      <c r="C336" s="8">
        <f>'Native PMKS'!B336*1000</f>
        <v>2749.9999999999927</v>
      </c>
      <c r="D336" s="8">
        <f t="shared" si="5"/>
        <v>7.2759576141834259E-12</v>
      </c>
      <c r="E336" s="1"/>
      <c r="F336" s="1">
        <v>330</v>
      </c>
      <c r="G336" s="8">
        <f>F336*Summary!$B$17</f>
        <v>2757.660167130919</v>
      </c>
      <c r="H336" s="1"/>
    </row>
    <row r="337" spans="1:8" ht="18.95" customHeight="1">
      <c r="A337" s="1">
        <v>331</v>
      </c>
      <c r="B337" s="8">
        <f>A337*Summary!$B$14</f>
        <v>2758.3333333333335</v>
      </c>
      <c r="C337" s="8">
        <f>'Native PMKS'!B337*1000</f>
        <v>2758.3333333333262</v>
      </c>
      <c r="D337" s="8">
        <f t="shared" si="5"/>
        <v>7.2759576141834259E-12</v>
      </c>
      <c r="E337" s="1"/>
      <c r="F337" s="1">
        <v>331</v>
      </c>
      <c r="G337" s="8">
        <f>F337*Summary!$B$17</f>
        <v>2766.0167130919222</v>
      </c>
      <c r="H337" s="1"/>
    </row>
    <row r="338" spans="1:8" ht="18.95" customHeight="1">
      <c r="A338" s="1">
        <v>332</v>
      </c>
      <c r="B338" s="8">
        <f>A338*Summary!$B$14</f>
        <v>2766.666666666667</v>
      </c>
      <c r="C338" s="8">
        <f>'Native PMKS'!B338*1000</f>
        <v>2766.6666666666597</v>
      </c>
      <c r="D338" s="8">
        <f t="shared" si="5"/>
        <v>7.2759576141834259E-12</v>
      </c>
      <c r="E338" s="1"/>
      <c r="F338" s="1">
        <v>332</v>
      </c>
      <c r="G338" s="8">
        <f>F338*Summary!$B$17</f>
        <v>2774.3732590529248</v>
      </c>
      <c r="H338" s="1"/>
    </row>
    <row r="339" spans="1:8" ht="18.95" customHeight="1">
      <c r="A339" s="1">
        <v>333</v>
      </c>
      <c r="B339" s="8">
        <f>A339*Summary!$B$14</f>
        <v>2775</v>
      </c>
      <c r="C339" s="8">
        <f>'Native PMKS'!B339*1000</f>
        <v>2774.9999999999927</v>
      </c>
      <c r="D339" s="8">
        <f t="shared" si="5"/>
        <v>7.2759576141834259E-12</v>
      </c>
      <c r="E339" s="1"/>
      <c r="F339" s="1">
        <v>333</v>
      </c>
      <c r="G339" s="8">
        <f>F339*Summary!$B$17</f>
        <v>2782.7298050139275</v>
      </c>
      <c r="H339" s="1"/>
    </row>
    <row r="340" spans="1:8" ht="18.95" customHeight="1">
      <c r="A340" s="1">
        <v>334</v>
      </c>
      <c r="B340" s="8">
        <f>A340*Summary!$B$14</f>
        <v>2783.3333333333335</v>
      </c>
      <c r="C340" s="8">
        <f>'Native PMKS'!B340*1000</f>
        <v>2783.3333333333262</v>
      </c>
      <c r="D340" s="8">
        <f t="shared" si="5"/>
        <v>7.2759576141834259E-12</v>
      </c>
      <c r="E340" s="1"/>
      <c r="F340" s="1">
        <v>334</v>
      </c>
      <c r="G340" s="8">
        <f>F340*Summary!$B$17</f>
        <v>2791.0863509749302</v>
      </c>
      <c r="H340" s="1"/>
    </row>
    <row r="341" spans="1:8" ht="18.95" customHeight="1">
      <c r="A341" s="1">
        <v>335</v>
      </c>
      <c r="B341" s="8">
        <f>A341*Summary!$B$14</f>
        <v>2791.666666666667</v>
      </c>
      <c r="C341" s="8">
        <f>'Native PMKS'!B341*1000</f>
        <v>2791.6666666666592</v>
      </c>
      <c r="D341" s="8">
        <f t="shared" si="5"/>
        <v>7.73070496506989E-12</v>
      </c>
      <c r="E341" s="1"/>
      <c r="F341" s="1">
        <v>335</v>
      </c>
      <c r="G341" s="8">
        <f>F341*Summary!$B$17</f>
        <v>2799.4428969359333</v>
      </c>
      <c r="H341" s="1"/>
    </row>
    <row r="342" spans="1:8" ht="18.95" customHeight="1">
      <c r="A342" s="1">
        <v>336</v>
      </c>
      <c r="B342" s="8">
        <f>A342*Summary!$B$14</f>
        <v>2800</v>
      </c>
      <c r="C342" s="8">
        <f>'Native PMKS'!B342*1000</f>
        <v>2799.9999999999927</v>
      </c>
      <c r="D342" s="8">
        <f t="shared" si="5"/>
        <v>7.2759576141834259E-12</v>
      </c>
      <c r="E342" s="1"/>
      <c r="F342" s="1">
        <v>336</v>
      </c>
      <c r="G342" s="8">
        <f>F342*Summary!$B$17</f>
        <v>2807.7994428969359</v>
      </c>
      <c r="H342" s="1"/>
    </row>
    <row r="343" spans="1:8" ht="18.95" customHeight="1">
      <c r="A343" s="1">
        <v>337</v>
      </c>
      <c r="B343" s="8">
        <f>A343*Summary!$B$14</f>
        <v>2808.3333333333335</v>
      </c>
      <c r="C343" s="8">
        <f>'Native PMKS'!B343*1000</f>
        <v>2808.3333333333262</v>
      </c>
      <c r="D343" s="8">
        <f t="shared" si="5"/>
        <v>7.2759576141834259E-12</v>
      </c>
      <c r="E343" s="1"/>
      <c r="F343" s="1">
        <v>337</v>
      </c>
      <c r="G343" s="8">
        <f>F343*Summary!$B$17</f>
        <v>2816.1559888579386</v>
      </c>
      <c r="H343" s="1"/>
    </row>
    <row r="344" spans="1:8" ht="18.95" customHeight="1">
      <c r="A344" s="1">
        <v>338</v>
      </c>
      <c r="B344" s="8">
        <f>A344*Summary!$B$14</f>
        <v>2816.666666666667</v>
      </c>
      <c r="C344" s="8">
        <f>'Native PMKS'!B344*1000</f>
        <v>2816.6666666666597</v>
      </c>
      <c r="D344" s="8">
        <f t="shared" si="5"/>
        <v>7.2759576141834259E-12</v>
      </c>
      <c r="E344" s="1"/>
      <c r="F344" s="1">
        <v>338</v>
      </c>
      <c r="G344" s="8">
        <f>F344*Summary!$B$17</f>
        <v>2824.5125348189413</v>
      </c>
      <c r="H344" s="1"/>
    </row>
    <row r="345" spans="1:8" ht="18.95" customHeight="1">
      <c r="A345" s="1">
        <v>339</v>
      </c>
      <c r="B345" s="8">
        <f>A345*Summary!$B$14</f>
        <v>2825</v>
      </c>
      <c r="C345" s="8">
        <f>'Native PMKS'!B345*1000</f>
        <v>2824.9999999999927</v>
      </c>
      <c r="D345" s="8">
        <f t="shared" si="5"/>
        <v>7.2759576141834259E-12</v>
      </c>
      <c r="E345" s="1"/>
      <c r="F345" s="1">
        <v>339</v>
      </c>
      <c r="G345" s="8">
        <f>F345*Summary!$B$17</f>
        <v>2832.8690807799444</v>
      </c>
      <c r="H345" s="1"/>
    </row>
    <row r="346" spans="1:8" ht="18.95" customHeight="1">
      <c r="A346" s="1">
        <v>340</v>
      </c>
      <c r="B346" s="8">
        <f>A346*Summary!$B$14</f>
        <v>2833.3333333333335</v>
      </c>
      <c r="C346" s="8">
        <f>'Native PMKS'!B346*1000</f>
        <v>2833.3333333333258</v>
      </c>
      <c r="D346" s="8">
        <f t="shared" si="5"/>
        <v>7.73070496506989E-12</v>
      </c>
      <c r="E346" s="1"/>
      <c r="F346" s="1">
        <v>340</v>
      </c>
      <c r="G346" s="8">
        <f>F346*Summary!$B$17</f>
        <v>2841.2256267409471</v>
      </c>
      <c r="H346" s="1"/>
    </row>
    <row r="347" spans="1:8" ht="18.95" customHeight="1">
      <c r="A347" s="1">
        <v>341</v>
      </c>
      <c r="B347" s="8">
        <f>A347*Summary!$B$14</f>
        <v>2841.666666666667</v>
      </c>
      <c r="C347" s="8">
        <f>'Native PMKS'!B347*1000</f>
        <v>2841.6666666666592</v>
      </c>
      <c r="D347" s="8">
        <f t="shared" si="5"/>
        <v>7.73070496506989E-12</v>
      </c>
      <c r="E347" s="1"/>
      <c r="F347" s="1">
        <v>341</v>
      </c>
      <c r="G347" s="8">
        <f>F347*Summary!$B$17</f>
        <v>2849.5821727019497</v>
      </c>
      <c r="H347" s="1"/>
    </row>
    <row r="348" spans="1:8" ht="18.95" customHeight="1">
      <c r="A348" s="1">
        <v>342</v>
      </c>
      <c r="B348" s="8">
        <f>A348*Summary!$B$14</f>
        <v>2850</v>
      </c>
      <c r="C348" s="8">
        <f>'Native PMKS'!B348*1000</f>
        <v>2849.9999999999927</v>
      </c>
      <c r="D348" s="8">
        <f t="shared" si="5"/>
        <v>7.2759576141834259E-12</v>
      </c>
      <c r="E348" s="1"/>
      <c r="F348" s="1">
        <v>342</v>
      </c>
      <c r="G348" s="8">
        <f>F348*Summary!$B$17</f>
        <v>2857.9387186629529</v>
      </c>
      <c r="H348" s="1"/>
    </row>
    <row r="349" spans="1:8" ht="18.95" customHeight="1">
      <c r="A349" s="1">
        <v>343</v>
      </c>
      <c r="B349" s="8">
        <f>A349*Summary!$B$14</f>
        <v>2858.3333333333335</v>
      </c>
      <c r="C349" s="8">
        <f>'Native PMKS'!B349*1000</f>
        <v>2858.3333333333258</v>
      </c>
      <c r="D349" s="8">
        <f t="shared" si="5"/>
        <v>7.73070496506989E-12</v>
      </c>
      <c r="E349" s="1"/>
      <c r="F349" s="1">
        <v>343</v>
      </c>
      <c r="G349" s="8">
        <f>F349*Summary!$B$17</f>
        <v>2866.2952646239555</v>
      </c>
      <c r="H349" s="1"/>
    </row>
    <row r="350" spans="1:8" ht="18.95" customHeight="1">
      <c r="A350" s="1">
        <v>344</v>
      </c>
      <c r="B350" s="8">
        <f>A350*Summary!$B$14</f>
        <v>2866.666666666667</v>
      </c>
      <c r="C350" s="8">
        <f>'Native PMKS'!B350*1000</f>
        <v>2866.6666666666592</v>
      </c>
      <c r="D350" s="8">
        <f t="shared" si="5"/>
        <v>7.73070496506989E-12</v>
      </c>
      <c r="E350" s="1"/>
      <c r="F350" s="1">
        <v>344</v>
      </c>
      <c r="G350" s="8">
        <f>F350*Summary!$B$17</f>
        <v>2874.6518105849582</v>
      </c>
      <c r="H350" s="1"/>
    </row>
    <row r="351" spans="1:8" ht="18.95" customHeight="1">
      <c r="A351" s="1">
        <v>345</v>
      </c>
      <c r="B351" s="8">
        <f>A351*Summary!$B$14</f>
        <v>2875</v>
      </c>
      <c r="C351" s="8">
        <f>'Native PMKS'!B351*1000</f>
        <v>2874.9999999999923</v>
      </c>
      <c r="D351" s="8">
        <f t="shared" si="5"/>
        <v>7.73070496506989E-12</v>
      </c>
      <c r="E351" s="1"/>
      <c r="F351" s="1">
        <v>345</v>
      </c>
      <c r="G351" s="8">
        <f>F351*Summary!$B$17</f>
        <v>2883.0083565459609</v>
      </c>
      <c r="H351" s="1"/>
    </row>
    <row r="352" spans="1:8" ht="18.95" customHeight="1">
      <c r="A352" s="1">
        <v>346</v>
      </c>
      <c r="B352" s="8">
        <f>A352*Summary!$B$14</f>
        <v>2883.3333333333335</v>
      </c>
      <c r="C352" s="8">
        <f>'Native PMKS'!B352*1000</f>
        <v>2883.3333333333258</v>
      </c>
      <c r="D352" s="8">
        <f t="shared" si="5"/>
        <v>7.73070496506989E-12</v>
      </c>
      <c r="E352" s="1"/>
      <c r="F352" s="1">
        <v>346</v>
      </c>
      <c r="G352" s="8">
        <f>F352*Summary!$B$17</f>
        <v>2891.364902506964</v>
      </c>
      <c r="H352" s="1"/>
    </row>
    <row r="353" spans="1:8" ht="18.95" customHeight="1">
      <c r="A353" s="1">
        <v>347</v>
      </c>
      <c r="B353" s="8">
        <f>A353*Summary!$B$14</f>
        <v>2891.666666666667</v>
      </c>
      <c r="C353" s="8">
        <f>'Native PMKS'!B353*1000</f>
        <v>2891.6666666666592</v>
      </c>
      <c r="D353" s="8">
        <f t="shared" si="5"/>
        <v>7.73070496506989E-12</v>
      </c>
      <c r="E353" s="1"/>
      <c r="F353" s="1">
        <v>347</v>
      </c>
      <c r="G353" s="8">
        <f>F353*Summary!$B$17</f>
        <v>2899.7214484679666</v>
      </c>
      <c r="H353" s="1"/>
    </row>
    <row r="354" spans="1:8" ht="18.95" customHeight="1">
      <c r="A354" s="1">
        <v>348</v>
      </c>
      <c r="B354" s="8">
        <f>A354*Summary!$B$14</f>
        <v>2900</v>
      </c>
      <c r="C354" s="8">
        <f>'Native PMKS'!B354*1000</f>
        <v>2899.9999999999923</v>
      </c>
      <c r="D354" s="8">
        <f t="shared" si="5"/>
        <v>7.73070496506989E-12</v>
      </c>
      <c r="E354" s="1"/>
      <c r="F354" s="1">
        <v>348</v>
      </c>
      <c r="G354" s="8">
        <f>F354*Summary!$B$17</f>
        <v>2908.0779944289693</v>
      </c>
      <c r="H354" s="1"/>
    </row>
    <row r="355" spans="1:8" ht="18.95" customHeight="1">
      <c r="A355" s="1">
        <v>349</v>
      </c>
      <c r="B355" s="8">
        <f>A355*Summary!$B$14</f>
        <v>2908.3333333333335</v>
      </c>
      <c r="C355" s="8">
        <f>'Native PMKS'!B355*1000</f>
        <v>2908.3333333333258</v>
      </c>
      <c r="D355" s="8">
        <f t="shared" si="5"/>
        <v>7.73070496506989E-12</v>
      </c>
      <c r="E355" s="1"/>
      <c r="F355" s="1">
        <v>349</v>
      </c>
      <c r="G355" s="8">
        <f>F355*Summary!$B$17</f>
        <v>2916.434540389972</v>
      </c>
      <c r="H355" s="1"/>
    </row>
    <row r="356" spans="1:8" ht="18.95" customHeight="1">
      <c r="A356" s="1">
        <v>350</v>
      </c>
      <c r="B356" s="8">
        <f>A356*Summary!$B$14</f>
        <v>2916.666666666667</v>
      </c>
      <c r="C356" s="8">
        <f>'Native PMKS'!B356*1000</f>
        <v>2916.6666666666588</v>
      </c>
      <c r="D356" s="8">
        <f t="shared" si="5"/>
        <v>8.1854523159563541E-12</v>
      </c>
      <c r="E356" s="1"/>
      <c r="F356" s="1">
        <v>350</v>
      </c>
      <c r="G356" s="8">
        <f>F356*Summary!$B$17</f>
        <v>2924.7910863509751</v>
      </c>
      <c r="H356" s="1"/>
    </row>
    <row r="357" spans="1:8" ht="18.95" customHeight="1">
      <c r="A357" s="1">
        <v>351</v>
      </c>
      <c r="B357" s="8">
        <f>A357*Summary!$B$14</f>
        <v>2925</v>
      </c>
      <c r="C357" s="8">
        <f>'Native PMKS'!B357*1000</f>
        <v>2924.9999999999923</v>
      </c>
      <c r="D357" s="8">
        <f t="shared" si="5"/>
        <v>7.73070496506989E-12</v>
      </c>
      <c r="E357" s="1"/>
      <c r="F357" s="1">
        <v>351</v>
      </c>
      <c r="G357" s="8">
        <f>F357*Summary!$B$17</f>
        <v>2933.1476323119778</v>
      </c>
      <c r="H357" s="1"/>
    </row>
    <row r="358" spans="1:8" ht="18.95" customHeight="1">
      <c r="A358" s="1">
        <v>352</v>
      </c>
      <c r="B358" s="8">
        <f>A358*Summary!$B$14</f>
        <v>2933.3333333333335</v>
      </c>
      <c r="C358" s="8">
        <f>'Native PMKS'!B358*1000</f>
        <v>2933.3333333333258</v>
      </c>
      <c r="D358" s="8">
        <f t="shared" si="5"/>
        <v>7.73070496506989E-12</v>
      </c>
      <c r="E358" s="1"/>
      <c r="F358" s="1">
        <v>352</v>
      </c>
      <c r="G358" s="8">
        <f>F358*Summary!$B$17</f>
        <v>2941.5041782729804</v>
      </c>
      <c r="H358" s="1"/>
    </row>
    <row r="359" spans="1:8" ht="18.95" customHeight="1">
      <c r="A359" s="1">
        <v>353</v>
      </c>
      <c r="B359" s="8">
        <f>A359*Summary!$B$14</f>
        <v>2941.666666666667</v>
      </c>
      <c r="C359" s="8">
        <f>'Native PMKS'!B359*1000</f>
        <v>2941.6666666666588</v>
      </c>
      <c r="D359" s="8">
        <f t="shared" si="5"/>
        <v>8.1854523159563541E-12</v>
      </c>
      <c r="E359" s="1"/>
      <c r="F359" s="1">
        <v>353</v>
      </c>
      <c r="G359" s="8">
        <f>F359*Summary!$B$17</f>
        <v>2949.8607242339831</v>
      </c>
      <c r="H359" s="1"/>
    </row>
    <row r="360" spans="1:8" ht="18.95" customHeight="1">
      <c r="A360" s="1">
        <v>354</v>
      </c>
      <c r="B360" s="8">
        <f>A360*Summary!$B$14</f>
        <v>2950</v>
      </c>
      <c r="C360" s="8">
        <f>'Native PMKS'!B360*1000</f>
        <v>2949.9999999999923</v>
      </c>
      <c r="D360" s="8">
        <f t="shared" si="5"/>
        <v>7.73070496506989E-12</v>
      </c>
      <c r="E360" s="1"/>
      <c r="F360" s="1">
        <v>354</v>
      </c>
      <c r="G360" s="8">
        <f>F360*Summary!$B$17</f>
        <v>2958.2172701949862</v>
      </c>
      <c r="H360" s="1"/>
    </row>
    <row r="361" spans="1:8" ht="18.95" customHeight="1">
      <c r="A361" s="1">
        <v>355</v>
      </c>
      <c r="B361" s="8">
        <f>A361*Summary!$B$14</f>
        <v>2958.3333333333335</v>
      </c>
      <c r="C361" s="8">
        <f>'Native PMKS'!B361*1000</f>
        <v>2958.3333333333248</v>
      </c>
      <c r="D361" s="8">
        <f t="shared" si="5"/>
        <v>8.6401996668428183E-12</v>
      </c>
      <c r="E361" s="1"/>
      <c r="F361" s="1">
        <v>355</v>
      </c>
      <c r="G361" s="8">
        <f>F361*Summary!$B$17</f>
        <v>2966.5738161559889</v>
      </c>
      <c r="H361" s="1"/>
    </row>
    <row r="362" spans="1:8" ht="18.95" customHeight="1">
      <c r="A362" s="1">
        <v>356</v>
      </c>
      <c r="B362" s="8">
        <f>A362*Summary!$B$14</f>
        <v>2966.666666666667</v>
      </c>
      <c r="C362" s="8">
        <f>'Native PMKS'!B362*1000</f>
        <v>2966.6666666666588</v>
      </c>
      <c r="D362" s="8">
        <f t="shared" si="5"/>
        <v>8.1854523159563541E-12</v>
      </c>
      <c r="E362" s="1"/>
      <c r="F362" s="1">
        <v>356</v>
      </c>
      <c r="G362" s="8">
        <f>F362*Summary!$B$17</f>
        <v>2974.9303621169915</v>
      </c>
      <c r="H362" s="1"/>
    </row>
    <row r="363" spans="1:8" ht="18.95" customHeight="1">
      <c r="A363" s="1">
        <v>357</v>
      </c>
      <c r="B363" s="8">
        <f>A363*Summary!$B$14</f>
        <v>2975</v>
      </c>
      <c r="C363" s="8">
        <f>'Native PMKS'!B363*1000</f>
        <v>2974.9999999999923</v>
      </c>
      <c r="D363" s="8">
        <f t="shared" si="5"/>
        <v>7.73070496506989E-12</v>
      </c>
      <c r="E363" s="1"/>
      <c r="F363" s="1">
        <v>357</v>
      </c>
      <c r="G363" s="8">
        <f>F363*Summary!$B$17</f>
        <v>2983.2869080779942</v>
      </c>
      <c r="H363" s="1"/>
    </row>
    <row r="364" spans="1:8" ht="18.95" customHeight="1">
      <c r="A364" s="1">
        <v>358</v>
      </c>
      <c r="B364" s="8">
        <f>A364*Summary!$B$14</f>
        <v>2983.3333333333335</v>
      </c>
      <c r="C364" s="8">
        <f>'Native PMKS'!B364*1000</f>
        <v>2983.3333333333253</v>
      </c>
      <c r="D364" s="8">
        <f t="shared" si="5"/>
        <v>8.1854523159563541E-12</v>
      </c>
      <c r="E364" s="1"/>
      <c r="F364" s="1">
        <v>358</v>
      </c>
      <c r="G364" s="8">
        <f>F364*Summary!$B$17</f>
        <v>2991.6434540389973</v>
      </c>
      <c r="H364" s="1"/>
    </row>
    <row r="365" spans="1:8" ht="18.95" customHeight="1">
      <c r="A365" s="1">
        <v>359</v>
      </c>
      <c r="B365" s="8">
        <f>A365*Summary!$B$14</f>
        <v>2991.666666666667</v>
      </c>
      <c r="C365" s="8">
        <f>'Native PMKS'!B365*1000</f>
        <v>2991.6666666666588</v>
      </c>
      <c r="D365" s="8">
        <f t="shared" si="5"/>
        <v>8.1854523159563541E-12</v>
      </c>
      <c r="E365" s="1"/>
      <c r="F365" s="1">
        <v>359</v>
      </c>
      <c r="G365" s="8">
        <f>F365*Summary!$B$17</f>
        <v>3000</v>
      </c>
      <c r="H365" s="1"/>
    </row>
    <row r="366" spans="1:8" ht="18.95" customHeight="1">
      <c r="A366" s="1">
        <v>360</v>
      </c>
      <c r="B366" s="8">
        <f>A366*Summary!$B$14</f>
        <v>3000</v>
      </c>
      <c r="C366" s="8">
        <f>'Native PMKS'!B366*1000</f>
        <v>2999.9999999999918</v>
      </c>
      <c r="D366" s="8">
        <f t="shared" si="5"/>
        <v>8.1854523159563541E-12</v>
      </c>
      <c r="E366" s="1"/>
      <c r="F366" s="1"/>
      <c r="G366" s="1"/>
      <c r="H36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7" width="16" customWidth="1"/>
  </cols>
  <sheetData>
    <row r="1" spans="1:7" ht="18.95" customHeight="1">
      <c r="A1" s="2" t="s">
        <v>91</v>
      </c>
      <c r="B1" s="1"/>
      <c r="C1" s="1"/>
      <c r="D1" s="1"/>
      <c r="E1" s="1"/>
      <c r="F1" s="1"/>
      <c r="G1" s="1"/>
    </row>
    <row r="2" spans="1:7" ht="6" customHeight="1">
      <c r="A2" s="1"/>
      <c r="B2" s="1"/>
      <c r="C2" s="1"/>
      <c r="D2" s="1"/>
      <c r="E2" s="1"/>
      <c r="F2" s="1"/>
      <c r="G2" s="1"/>
    </row>
    <row r="3" spans="1:7" ht="6" customHeight="1">
      <c r="A3" s="1"/>
      <c r="B3" s="1"/>
      <c r="C3" s="1"/>
      <c r="D3" s="1"/>
      <c r="E3" s="1"/>
      <c r="F3" s="1"/>
      <c r="G3" s="1"/>
    </row>
    <row r="4" spans="1:7" ht="18.95" customHeight="1">
      <c r="A4" s="1"/>
      <c r="B4" s="1"/>
      <c r="C4" s="1"/>
      <c r="D4" s="1"/>
      <c r="E4" s="1"/>
      <c r="F4" s="1"/>
      <c r="G4" s="1"/>
    </row>
    <row r="5" spans="1:7" ht="33.950000000000003" customHeight="1">
      <c r="A5" s="3" t="s">
        <v>63</v>
      </c>
      <c r="B5" s="3" t="s">
        <v>92</v>
      </c>
      <c r="C5" s="3" t="s">
        <v>93</v>
      </c>
      <c r="D5" s="3" t="s">
        <v>94</v>
      </c>
      <c r="E5" s="3" t="s">
        <v>95</v>
      </c>
      <c r="F5" s="3" t="s">
        <v>76</v>
      </c>
      <c r="G5" s="3" t="s">
        <v>77</v>
      </c>
    </row>
    <row r="6" spans="1:7" ht="18.95" customHeight="1">
      <c r="A6" s="1">
        <v>0</v>
      </c>
      <c r="B6" s="6">
        <f>TimeStep!G6</f>
        <v>0</v>
      </c>
      <c r="C6" s="6">
        <f>MIN(MATCH(B6,'Native PMKS'!$C$6:$C$366,1),360)</f>
        <v>1</v>
      </c>
      <c r="D6" s="6">
        <f t="shared" ref="D6:D69" si="0">C6+1</f>
        <v>2</v>
      </c>
      <c r="E6" s="6">
        <f>(B6-INDEX('Native PMKS'!$C$6:$C$366,C6))/(INDEX('Native PMKS'!$C$6:$C$366,D6)-INDEX('Native PMKS'!$C$6:$C$366,C6))</f>
        <v>0</v>
      </c>
      <c r="F6" s="6">
        <f>INDEX('Native PMKS'!$N$6:$N$366,C6)+(INDEX('Native PMKS'!$N$6:$N$366,D6)-INDEX('Native PMKS'!$N$6:$N$366,C6))*E6</f>
        <v>-59.759500000000003</v>
      </c>
      <c r="G6" s="6">
        <f>INDEX('Native PMKS'!$O$6:$O$366,C6)+(INDEX('Native PMKS'!$O$6:$O$366,D6)-INDEX('Native PMKS'!$O$6:$O$366,C6))*E6</f>
        <v>-59.759500000000003</v>
      </c>
    </row>
    <row r="7" spans="1:7" ht="18.95" customHeight="1">
      <c r="A7" s="1">
        <v>1</v>
      </c>
      <c r="B7" s="6">
        <f>TimeStep!G7</f>
        <v>8.3565459610027855</v>
      </c>
      <c r="C7" s="6">
        <f>MIN(MATCH(B7,'Native PMKS'!$C$6:$C$366,1),360)</f>
        <v>2</v>
      </c>
      <c r="D7" s="6">
        <f t="shared" si="0"/>
        <v>3</v>
      </c>
      <c r="E7" s="6">
        <f>(B7-INDEX('Native PMKS'!$C$6:$C$366,C7))/(INDEX('Native PMKS'!$C$6:$C$366,D7)-INDEX('Native PMKS'!$C$6:$C$366,C7))</f>
        <v>2.7855153203341842E-3</v>
      </c>
      <c r="F7" s="6">
        <f>INDEX('Native PMKS'!$N$6:$N$366,C7)+(INDEX('Native PMKS'!$N$6:$N$366,D7)-INDEX('Native PMKS'!$N$6:$N$366,C7))*E7</f>
        <v>-59.931559610027854</v>
      </c>
      <c r="G7" s="6">
        <f>INDEX('Native PMKS'!$O$6:$O$366,C7)+(INDEX('Native PMKS'!$O$6:$O$366,D7)-INDEX('Native PMKS'!$O$6:$O$366,C7))*E7</f>
        <v>-58.323110027855158</v>
      </c>
    </row>
    <row r="8" spans="1:7" ht="18.95" customHeight="1">
      <c r="A8" s="1">
        <v>2</v>
      </c>
      <c r="B8" s="6">
        <f>TimeStep!G8</f>
        <v>16.713091922005571</v>
      </c>
      <c r="C8" s="6">
        <f>MIN(MATCH(B8,'Native PMKS'!$C$6:$C$366,1),360)</f>
        <v>3</v>
      </c>
      <c r="D8" s="6">
        <f t="shared" si="0"/>
        <v>4</v>
      </c>
      <c r="E8" s="6">
        <f>(B8-INDEX('Native PMKS'!$C$6:$C$366,C8))/(INDEX('Native PMKS'!$C$6:$C$366,D8)-INDEX('Native PMKS'!$C$6:$C$366,C8))</f>
        <v>5.5710306406683693E-3</v>
      </c>
      <c r="F8" s="6">
        <f>INDEX('Native PMKS'!$N$6:$N$366,C8)+(INDEX('Native PMKS'!$N$6:$N$366,D8)-INDEX('Native PMKS'!$N$6:$N$366,C8))*E8</f>
        <v>-59.98901922005571</v>
      </c>
      <c r="G8" s="6">
        <f>INDEX('Native PMKS'!$O$6:$O$366,C8)+(INDEX('Native PMKS'!$O$6:$O$366,D8)-INDEX('Native PMKS'!$O$6:$O$366,C8))*E8</f>
        <v>-56.886081615598883</v>
      </c>
    </row>
    <row r="9" spans="1:7" ht="18.95" customHeight="1">
      <c r="A9" s="1">
        <v>3</v>
      </c>
      <c r="B9" s="6">
        <f>TimeStep!G9</f>
        <v>25.069637883008355</v>
      </c>
      <c r="C9" s="6">
        <f>MIN(MATCH(B9,'Native PMKS'!$C$6:$C$366,1),360)</f>
        <v>4</v>
      </c>
      <c r="D9" s="6">
        <f t="shared" si="0"/>
        <v>5</v>
      </c>
      <c r="E9" s="6">
        <f>(B9-INDEX('Native PMKS'!$C$6:$C$366,C9))/(INDEX('Native PMKS'!$C$6:$C$366,D9)-INDEX('Native PMKS'!$C$6:$C$366,C9))</f>
        <v>8.3565459610025501E-3</v>
      </c>
      <c r="F9" s="6">
        <f>INDEX('Native PMKS'!$N$6:$N$366,C9)+(INDEX('Native PMKS'!$N$6:$N$366,D9)-INDEX('Native PMKS'!$N$6:$N$366,C9))*E9</f>
        <v>-60.045999999999999</v>
      </c>
      <c r="G9" s="6">
        <f>INDEX('Native PMKS'!$O$6:$O$366,C9)+(INDEX('Native PMKS'!$O$6:$O$366,D9)-INDEX('Native PMKS'!$O$6:$O$366,C9))*E9</f>
        <v>-55.334293593314769</v>
      </c>
    </row>
    <row r="10" spans="1:7" ht="18.95" customHeight="1">
      <c r="A10" s="1">
        <v>4</v>
      </c>
      <c r="B10" s="6">
        <f>TimeStep!G10</f>
        <v>33.426183844011142</v>
      </c>
      <c r="C10" s="6">
        <f>MIN(MATCH(B10,'Native PMKS'!$C$6:$C$366,1),360)</f>
        <v>5</v>
      </c>
      <c r="D10" s="6">
        <f t="shared" si="0"/>
        <v>6</v>
      </c>
      <c r="E10" s="6">
        <f>(B10-INDEX('Native PMKS'!$C$6:$C$366,C10))/(INDEX('Native PMKS'!$C$6:$C$366,D10)-INDEX('Native PMKS'!$C$6:$C$366,C10))</f>
        <v>1.1142061281336733E-2</v>
      </c>
      <c r="F10" s="6">
        <f>INDEX('Native PMKS'!$N$6:$N$366,C10)+(INDEX('Native PMKS'!$N$6:$N$366,D10)-INDEX('Native PMKS'!$N$6:$N$366,C10))*E10</f>
        <v>-60.045361559888576</v>
      </c>
      <c r="G10" s="6">
        <f>INDEX('Native PMKS'!$O$6:$O$366,C10)+(INDEX('Native PMKS'!$O$6:$O$366,D10)-INDEX('Native PMKS'!$O$6:$O$366,C10))*E10</f>
        <v>-53.725525905292479</v>
      </c>
    </row>
    <row r="11" spans="1:7" ht="18.95" customHeight="1">
      <c r="A11" s="1">
        <v>5</v>
      </c>
      <c r="B11" s="6">
        <f>TimeStep!G11</f>
        <v>41.782729805013929</v>
      </c>
      <c r="C11" s="6">
        <f>MIN(MATCH(B11,'Native PMKS'!$C$6:$C$366,1),360)</f>
        <v>6</v>
      </c>
      <c r="D11" s="6">
        <f t="shared" si="0"/>
        <v>7</v>
      </c>
      <c r="E11" s="6">
        <f>(B11-INDEX('Native PMKS'!$C$6:$C$366,C11))/(INDEX('Native PMKS'!$C$6:$C$366,D11)-INDEX('Native PMKS'!$C$6:$C$366,C11))</f>
        <v>1.3927576601670929E-2</v>
      </c>
      <c r="F11" s="6">
        <f>INDEX('Native PMKS'!$N$6:$N$366,C11)+(INDEX('Native PMKS'!$N$6:$N$366,D11)-INDEX('Native PMKS'!$N$6:$N$366,C11))*E11</f>
        <v>-59.987103899721447</v>
      </c>
      <c r="G11" s="6">
        <f>INDEX('Native PMKS'!$O$6:$O$366,C11)+(INDEX('Native PMKS'!$O$6:$O$366,D11)-INDEX('Native PMKS'!$O$6:$O$366,C11))*E11</f>
        <v>-52.116057938718669</v>
      </c>
    </row>
    <row r="12" spans="1:7" ht="18.95" customHeight="1">
      <c r="A12" s="1">
        <v>6</v>
      </c>
      <c r="B12" s="6">
        <f>TimeStep!G12</f>
        <v>50.139275766016709</v>
      </c>
      <c r="C12" s="6">
        <f>MIN(MATCH(B12,'Native PMKS'!$C$6:$C$366,1),360)</f>
        <v>7</v>
      </c>
      <c r="D12" s="6">
        <f t="shared" si="0"/>
        <v>8</v>
      </c>
      <c r="E12" s="6">
        <f>(B12-INDEX('Native PMKS'!$C$6:$C$366,C12))/(INDEX('Native PMKS'!$C$6:$C$366,D12)-INDEX('Native PMKS'!$C$6:$C$366,C12))</f>
        <v>1.67130919220051E-2</v>
      </c>
      <c r="F12" s="6">
        <f>INDEX('Native PMKS'!$N$6:$N$366,C12)+(INDEX('Native PMKS'!$N$6:$N$366,D12)-INDEX('Native PMKS'!$N$6:$N$366,C12))*E12</f>
        <v>-59.871227019498605</v>
      </c>
      <c r="G12" s="6">
        <f>INDEX('Native PMKS'!$O$6:$O$366,C12)+(INDEX('Native PMKS'!$O$6:$O$366,D12)-INDEX('Native PMKS'!$O$6:$O$366,C12))*E12</f>
        <v>-50.448871866295271</v>
      </c>
    </row>
    <row r="13" spans="1:7" ht="18.95" customHeight="1">
      <c r="A13" s="1">
        <v>7</v>
      </c>
      <c r="B13" s="6">
        <f>TimeStep!G13</f>
        <v>58.495821727019496</v>
      </c>
      <c r="C13" s="6">
        <f>MIN(MATCH(B13,'Native PMKS'!$C$6:$C$366,1),360)</f>
        <v>8</v>
      </c>
      <c r="D13" s="6">
        <f t="shared" si="0"/>
        <v>9</v>
      </c>
      <c r="E13" s="6">
        <f>(B13-INDEX('Native PMKS'!$C$6:$C$366,C13))/(INDEX('Native PMKS'!$C$6:$C$366,D13)-INDEX('Native PMKS'!$C$6:$C$366,C13))</f>
        <v>1.9498607242339285E-2</v>
      </c>
      <c r="F13" s="6">
        <f>INDEX('Native PMKS'!$N$6:$N$366,C13)+(INDEX('Native PMKS'!$N$6:$N$366,D13)-INDEX('Native PMKS'!$N$6:$N$366,C13))*E13</f>
        <v>-59.698848189415038</v>
      </c>
      <c r="G13" s="6">
        <f>INDEX('Native PMKS'!$O$6:$O$366,C13)+(INDEX('Native PMKS'!$O$6:$O$366,D13)-INDEX('Native PMKS'!$O$6:$O$366,C13))*E13</f>
        <v>-48.725183844011141</v>
      </c>
    </row>
    <row r="14" spans="1:7" ht="18.95" customHeight="1">
      <c r="A14" s="1">
        <v>8</v>
      </c>
      <c r="B14" s="6">
        <f>TimeStep!G14</f>
        <v>66.852367688022284</v>
      </c>
      <c r="C14" s="6">
        <f>MIN(MATCH(B14,'Native PMKS'!$C$6:$C$366,1),360)</f>
        <v>9</v>
      </c>
      <c r="D14" s="6">
        <f t="shared" si="0"/>
        <v>10</v>
      </c>
      <c r="E14" s="6">
        <f>(B14-INDEX('Native PMKS'!$C$6:$C$366,C14))/(INDEX('Native PMKS'!$C$6:$C$366,D14)-INDEX('Native PMKS'!$C$6:$C$366,C14))</f>
        <v>2.2284122562673488E-2</v>
      </c>
      <c r="F14" s="6">
        <f>INDEX('Native PMKS'!$N$6:$N$366,C14)+(INDEX('Native PMKS'!$N$6:$N$366,D14)-INDEX('Native PMKS'!$N$6:$N$366,C14))*E14</f>
        <v>-59.523915598885793</v>
      </c>
      <c r="G14" s="6">
        <f>INDEX('Native PMKS'!$O$6:$O$366,C14)+(INDEX('Native PMKS'!$O$6:$O$366,D14)-INDEX('Native PMKS'!$O$6:$O$366,C14))*E14</f>
        <v>-47.000221169916436</v>
      </c>
    </row>
    <row r="15" spans="1:7" ht="18.95" customHeight="1">
      <c r="A15" s="1">
        <v>9</v>
      </c>
      <c r="B15" s="6">
        <f>TimeStep!G15</f>
        <v>75.208913649025064</v>
      </c>
      <c r="C15" s="6">
        <f>MIN(MATCH(B15,'Native PMKS'!$C$6:$C$366,1),360)</f>
        <v>10</v>
      </c>
      <c r="D15" s="6">
        <f t="shared" si="0"/>
        <v>11</v>
      </c>
      <c r="E15" s="6">
        <f>(B15-INDEX('Native PMKS'!$C$6:$C$366,C15))/(INDEX('Native PMKS'!$C$6:$C$366,D15)-INDEX('Native PMKS'!$C$6:$C$366,C15))</f>
        <v>2.5069637883007631E-2</v>
      </c>
      <c r="F15" s="6">
        <f>INDEX('Native PMKS'!$N$6:$N$366,C15)+(INDEX('Native PMKS'!$N$6:$N$366,D15)-INDEX('Native PMKS'!$N$6:$N$366,C15))*E15</f>
        <v>-59.236620055710304</v>
      </c>
      <c r="G15" s="6">
        <f>INDEX('Native PMKS'!$O$6:$O$366,C15)+(INDEX('Native PMKS'!$O$6:$O$366,D15)-INDEX('Native PMKS'!$O$6:$O$366,C15))*E15</f>
        <v>-45.219171309192198</v>
      </c>
    </row>
    <row r="16" spans="1:7" ht="18.95" customHeight="1">
      <c r="A16" s="1">
        <v>10</v>
      </c>
      <c r="B16" s="6">
        <f>TimeStep!G16</f>
        <v>83.565459610027858</v>
      </c>
      <c r="C16" s="6">
        <f>MIN(MATCH(B16,'Native PMKS'!$C$6:$C$366,1),360)</f>
        <v>11</v>
      </c>
      <c r="D16" s="6">
        <f t="shared" si="0"/>
        <v>12</v>
      </c>
      <c r="E16" s="6">
        <f>(B16-INDEX('Native PMKS'!$C$6:$C$366,C16))/(INDEX('Native PMKS'!$C$6:$C$366,D16)-INDEX('Native PMKS'!$C$6:$C$366,C16))</f>
        <v>2.7855153203341858E-2</v>
      </c>
      <c r="F16" s="6">
        <f>INDEX('Native PMKS'!$N$6:$N$366,C16)+(INDEX('Native PMKS'!$N$6:$N$366,D16)-INDEX('Native PMKS'!$N$6:$N$366,C16))*E16</f>
        <v>-58.949419498607242</v>
      </c>
      <c r="G16" s="6">
        <f>INDEX('Native PMKS'!$O$6:$O$366,C16)+(INDEX('Native PMKS'!$O$6:$O$366,D16)-INDEX('Native PMKS'!$O$6:$O$366,C16))*E16</f>
        <v>-43.436427576601673</v>
      </c>
    </row>
    <row r="17" spans="1:7" ht="18.95" customHeight="1">
      <c r="A17" s="1">
        <v>11</v>
      </c>
      <c r="B17" s="6">
        <f>TimeStep!G17</f>
        <v>91.922005571030638</v>
      </c>
      <c r="C17" s="6">
        <f>MIN(MATCH(B17,'Native PMKS'!$C$6:$C$366,1),360)</f>
        <v>12</v>
      </c>
      <c r="D17" s="6">
        <f t="shared" si="0"/>
        <v>13</v>
      </c>
      <c r="E17" s="6">
        <f>(B17-INDEX('Native PMKS'!$C$6:$C$366,C17))/(INDEX('Native PMKS'!$C$6:$C$366,D17)-INDEX('Native PMKS'!$C$6:$C$366,C17))</f>
        <v>3.0640668523676043E-2</v>
      </c>
      <c r="F17" s="6">
        <f>INDEX('Native PMKS'!$N$6:$N$366,C17)+(INDEX('Native PMKS'!$N$6:$N$366,D17)-INDEX('Native PMKS'!$N$6:$N$366,C17))*E17</f>
        <v>-58.658610027855154</v>
      </c>
      <c r="G17" s="6">
        <f>INDEX('Native PMKS'!$O$6:$O$366,C17)+(INDEX('Native PMKS'!$O$6:$O$366,D17)-INDEX('Native PMKS'!$O$6:$O$366,C17))*E17</f>
        <v>-41.597823398328693</v>
      </c>
    </row>
    <row r="18" spans="1:7" ht="18.95" customHeight="1">
      <c r="A18" s="1">
        <v>12</v>
      </c>
      <c r="B18" s="6">
        <f>TimeStep!G18</f>
        <v>100.27855153203342</v>
      </c>
      <c r="C18" s="6">
        <f>MIN(MATCH(B18,'Native PMKS'!$C$6:$C$366,1),360)</f>
        <v>13</v>
      </c>
      <c r="D18" s="6">
        <f t="shared" si="0"/>
        <v>14</v>
      </c>
      <c r="E18" s="6">
        <f>(B18-INDEX('Native PMKS'!$C$6:$C$366,C18))/(INDEX('Native PMKS'!$C$6:$C$366,D18)-INDEX('Native PMKS'!$C$6:$C$366,C18))</f>
        <v>3.3426183844010172E-2</v>
      </c>
      <c r="F18" s="6">
        <f>INDEX('Native PMKS'!$N$6:$N$366,C18)+(INDEX('Native PMKS'!$N$6:$N$366,D18)-INDEX('Native PMKS'!$N$6:$N$366,C18))*E18</f>
        <v>-58.256392757660166</v>
      </c>
      <c r="G18" s="6">
        <f>INDEX('Native PMKS'!$O$6:$O$366,C18)+(INDEX('Native PMKS'!$O$6:$O$366,D18)-INDEX('Native PMKS'!$O$6:$O$366,C18))*E18</f>
        <v>-39.757397771587748</v>
      </c>
    </row>
    <row r="19" spans="1:7" ht="18.95" customHeight="1">
      <c r="A19" s="1">
        <v>13</v>
      </c>
      <c r="B19" s="6">
        <f>TimeStep!G19</f>
        <v>108.63509749303621</v>
      </c>
      <c r="C19" s="6">
        <f>MIN(MATCH(B19,'Native PMKS'!$C$6:$C$366,1),360)</f>
        <v>14</v>
      </c>
      <c r="D19" s="6">
        <f t="shared" si="0"/>
        <v>15</v>
      </c>
      <c r="E19" s="6">
        <f>(B19-INDEX('Native PMKS'!$C$6:$C$366,C19))/(INDEX('Native PMKS'!$C$6:$C$366,D19)-INDEX('Native PMKS'!$C$6:$C$366,C19))</f>
        <v>3.6211699164344413E-2</v>
      </c>
      <c r="F19" s="6">
        <f>INDEX('Native PMKS'!$N$6:$N$366,C19)+(INDEX('Native PMKS'!$N$6:$N$366,D19)-INDEX('Native PMKS'!$N$6:$N$366,C19))*E19</f>
        <v>-57.852104178272981</v>
      </c>
      <c r="G19" s="6">
        <f>INDEX('Native PMKS'!$O$6:$O$366,C19)+(INDEX('Native PMKS'!$O$6:$O$366,D19)-INDEX('Native PMKS'!$O$6:$O$366,C19))*E19</f>
        <v>-37.861330919220059</v>
      </c>
    </row>
    <row r="20" spans="1:7" ht="18.95" customHeight="1">
      <c r="A20" s="1">
        <v>14</v>
      </c>
      <c r="B20" s="6">
        <f>TimeStep!G20</f>
        <v>116.99164345403899</v>
      </c>
      <c r="C20" s="6">
        <f>MIN(MATCH(B20,'Native PMKS'!$C$6:$C$366,1),360)</f>
        <v>15</v>
      </c>
      <c r="D20" s="6">
        <f t="shared" si="0"/>
        <v>16</v>
      </c>
      <c r="E20" s="6">
        <f>(B20-INDEX('Native PMKS'!$C$6:$C$366,C20))/(INDEX('Native PMKS'!$C$6:$C$366,D20)-INDEX('Native PMKS'!$C$6:$C$366,C20))</f>
        <v>3.8997214484678536E-2</v>
      </c>
      <c r="F20" s="6">
        <f>INDEX('Native PMKS'!$N$6:$N$366,C20)+(INDEX('Native PMKS'!$N$6:$N$366,D20)-INDEX('Native PMKS'!$N$6:$N$366,C20))*E20</f>
        <v>-57.392523676880224</v>
      </c>
      <c r="G20" s="6">
        <f>INDEX('Native PMKS'!$O$6:$O$366,C20)+(INDEX('Native PMKS'!$O$6:$O$366,D20)-INDEX('Native PMKS'!$O$6:$O$366,C20))*E20</f>
        <v>-35.963033426183848</v>
      </c>
    </row>
    <row r="21" spans="1:7" ht="18.95" customHeight="1">
      <c r="A21" s="1">
        <v>15</v>
      </c>
      <c r="B21" s="6">
        <f>TimeStep!G21</f>
        <v>125.34818941504179</v>
      </c>
      <c r="C21" s="6">
        <f>MIN(MATCH(B21,'Native PMKS'!$C$6:$C$366,1),360)</f>
        <v>16</v>
      </c>
      <c r="D21" s="6">
        <f t="shared" si="0"/>
        <v>17</v>
      </c>
      <c r="E21" s="6">
        <f>(B21-INDEX('Native PMKS'!$C$6:$C$366,C21))/(INDEX('Native PMKS'!$C$6:$C$366,D21)-INDEX('Native PMKS'!$C$6:$C$366,C21))</f>
        <v>4.178272980501279E-2</v>
      </c>
      <c r="F21" s="6">
        <f>INDEX('Native PMKS'!$N$6:$N$366,C21)+(INDEX('Native PMKS'!$N$6:$N$366,D21)-INDEX('Native PMKS'!$N$6:$N$366,C21))*E21</f>
        <v>-56.930452646239551</v>
      </c>
      <c r="G21" s="6">
        <f>INDEX('Native PMKS'!$O$6:$O$366,C21)+(INDEX('Native PMKS'!$O$6:$O$366,D21)-INDEX('Native PMKS'!$O$6:$O$366,C21))*E21</f>
        <v>-34.01199721448468</v>
      </c>
    </row>
    <row r="22" spans="1:7" ht="18.95" customHeight="1">
      <c r="A22" s="1">
        <v>16</v>
      </c>
      <c r="B22" s="6">
        <f>TimeStep!G22</f>
        <v>133.70473537604457</v>
      </c>
      <c r="C22" s="6">
        <f>MIN(MATCH(B22,'Native PMKS'!$C$6:$C$366,1),360)</f>
        <v>17</v>
      </c>
      <c r="D22" s="6">
        <f t="shared" si="0"/>
        <v>18</v>
      </c>
      <c r="E22" s="6">
        <f>(B22-INDEX('Native PMKS'!$C$6:$C$366,C22))/(INDEX('Native PMKS'!$C$6:$C$366,D22)-INDEX('Native PMKS'!$C$6:$C$366,C22))</f>
        <v>4.4568245125346899E-2</v>
      </c>
      <c r="F22" s="6">
        <f>INDEX('Native PMKS'!$N$6:$N$366,C22)+(INDEX('Native PMKS'!$N$6:$N$366,D22)-INDEX('Native PMKS'!$N$6:$N$366,C22))*E22</f>
        <v>-56.413320612813372</v>
      </c>
      <c r="G22" s="6">
        <f>INDEX('Native PMKS'!$O$6:$O$366,C22)+(INDEX('Native PMKS'!$O$6:$O$366,D22)-INDEX('Native PMKS'!$O$6:$O$366,C22))*E22</f>
        <v>-32.113381058495825</v>
      </c>
    </row>
    <row r="23" spans="1:7" ht="18.95" customHeight="1">
      <c r="A23" s="1">
        <v>17</v>
      </c>
      <c r="B23" s="6">
        <f>TimeStep!G23</f>
        <v>142.06128133704735</v>
      </c>
      <c r="C23" s="6">
        <f>MIN(MATCH(B23,'Native PMKS'!$C$6:$C$366,1),360)</f>
        <v>18</v>
      </c>
      <c r="D23" s="6">
        <f t="shared" si="0"/>
        <v>19</v>
      </c>
      <c r="E23" s="6">
        <f>(B23-INDEX('Native PMKS'!$C$6:$C$366,C23))/(INDEX('Native PMKS'!$C$6:$C$366,D23)-INDEX('Native PMKS'!$C$6:$C$366,C23))</f>
        <v>4.7353760445679537E-2</v>
      </c>
      <c r="F23" s="6">
        <f>INDEX('Native PMKS'!$N$6:$N$366,C23)+(INDEX('Native PMKS'!$N$6:$N$366,D23)-INDEX('Native PMKS'!$N$6:$N$366,C23))*E23</f>
        <v>-55.89356629526462</v>
      </c>
      <c r="G23" s="6">
        <f>INDEX('Native PMKS'!$O$6:$O$366,C23)+(INDEX('Native PMKS'!$O$6:$O$366,D23)-INDEX('Native PMKS'!$O$6:$O$366,C23))*E23</f>
        <v>-30.162663509749308</v>
      </c>
    </row>
    <row r="24" spans="1:7" ht="18.95" customHeight="1">
      <c r="A24" s="1">
        <v>18</v>
      </c>
      <c r="B24" s="6">
        <f>TimeStep!G24</f>
        <v>150.41782729805013</v>
      </c>
      <c r="C24" s="6">
        <f>MIN(MATCH(B24,'Native PMKS'!$C$6:$C$366,1),360)</f>
        <v>19</v>
      </c>
      <c r="D24" s="6">
        <f t="shared" si="0"/>
        <v>20</v>
      </c>
      <c r="E24" s="6">
        <f>(B24-INDEX('Native PMKS'!$C$6:$C$366,C24))/(INDEX('Native PMKS'!$C$6:$C$366,D24)-INDEX('Native PMKS'!$C$6:$C$366,C24))</f>
        <v>5.0139275766015262E-2</v>
      </c>
      <c r="F24" s="6">
        <f>INDEX('Native PMKS'!$N$6:$N$366,C24)+(INDEX('Native PMKS'!$N$6:$N$366,D24)-INDEX('Native PMKS'!$N$6:$N$366,C24))*E24</f>
        <v>-55.318975208913656</v>
      </c>
      <c r="G24" s="6">
        <f>INDEX('Native PMKS'!$O$6:$O$366,C24)+(INDEX('Native PMKS'!$O$6:$O$366,D24)-INDEX('Native PMKS'!$O$6:$O$366,C24))*E24</f>
        <v>-28.263728690807802</v>
      </c>
    </row>
    <row r="25" spans="1:7" ht="18.95" customHeight="1">
      <c r="A25" s="1">
        <v>19</v>
      </c>
      <c r="B25" s="6">
        <f>TimeStep!G25</f>
        <v>158.77437325905294</v>
      </c>
      <c r="C25" s="6">
        <f>MIN(MATCH(B25,'Native PMKS'!$C$6:$C$366,1),360)</f>
        <v>20</v>
      </c>
      <c r="D25" s="6">
        <f t="shared" si="0"/>
        <v>21</v>
      </c>
      <c r="E25" s="6">
        <f>(B25-INDEX('Native PMKS'!$C$6:$C$366,C25))/(INDEX('Native PMKS'!$C$6:$C$366,D25)-INDEX('Native PMKS'!$C$6:$C$366,C25))</f>
        <v>5.2924791086351147E-2</v>
      </c>
      <c r="F25" s="6">
        <f>INDEX('Native PMKS'!$N$6:$N$366,C25)+(INDEX('Native PMKS'!$N$6:$N$366,D25)-INDEX('Native PMKS'!$N$6:$N$366,C25))*E25</f>
        <v>-54.741441504178269</v>
      </c>
      <c r="G25" s="6">
        <f>INDEX('Native PMKS'!$O$6:$O$366,C25)+(INDEX('Native PMKS'!$O$6:$O$366,D25)-INDEX('Native PMKS'!$O$6:$O$366,C25))*E25</f>
        <v>-26.310297214484677</v>
      </c>
    </row>
    <row r="26" spans="1:7" ht="18.95" customHeight="1">
      <c r="A26" s="1">
        <v>20</v>
      </c>
      <c r="B26" s="6">
        <f>TimeStep!G26</f>
        <v>167.13091922005572</v>
      </c>
      <c r="C26" s="6">
        <f>MIN(MATCH(B26,'Native PMKS'!$C$6:$C$366,1),360)</f>
        <v>21</v>
      </c>
      <c r="D26" s="6">
        <f t="shared" si="0"/>
        <v>22</v>
      </c>
      <c r="E26" s="6">
        <f>(B26-INDEX('Native PMKS'!$C$6:$C$366,C26))/(INDEX('Native PMKS'!$C$6:$C$366,D26)-INDEX('Native PMKS'!$C$6:$C$366,C26))</f>
        <v>5.5710306406683813E-2</v>
      </c>
      <c r="F26" s="6">
        <f>INDEX('Native PMKS'!$N$6:$N$366,C26)+(INDEX('Native PMKS'!$N$6:$N$366,D26)-INDEX('Native PMKS'!$N$6:$N$366,C26))*E26</f>
        <v>-54.109391364902507</v>
      </c>
      <c r="G26" s="6">
        <f>INDEX('Native PMKS'!$O$6:$O$366,C26)+(INDEX('Native PMKS'!$O$6:$O$366,D26)-INDEX('Native PMKS'!$O$6:$O$366,C26))*E26</f>
        <v>-24.356770752089137</v>
      </c>
    </row>
    <row r="27" spans="1:7" ht="18.95" customHeight="1">
      <c r="A27" s="1">
        <v>21</v>
      </c>
      <c r="B27" s="6">
        <f>TimeStep!G27</f>
        <v>175.4874651810585</v>
      </c>
      <c r="C27" s="6">
        <f>MIN(MATCH(B27,'Native PMKS'!$C$6:$C$366,1),360)</f>
        <v>22</v>
      </c>
      <c r="D27" s="6">
        <f t="shared" si="0"/>
        <v>23</v>
      </c>
      <c r="E27" s="6">
        <f>(B27-INDEX('Native PMKS'!$C$6:$C$366,C27))/(INDEX('Native PMKS'!$C$6:$C$366,D27)-INDEX('Native PMKS'!$C$6:$C$366,C27))</f>
        <v>5.849582172701951E-2</v>
      </c>
      <c r="F27" s="6">
        <f>INDEX('Native PMKS'!$N$6:$N$366,C27)+(INDEX('Native PMKS'!$N$6:$N$366,D27)-INDEX('Native PMKS'!$N$6:$N$366,C27))*E27</f>
        <v>-53.477430083565459</v>
      </c>
      <c r="G27" s="6">
        <f>INDEX('Native PMKS'!$O$6:$O$366,C27)+(INDEX('Native PMKS'!$O$6:$O$366,D27)-INDEX('Native PMKS'!$O$6:$O$366,C27))*E27</f>
        <v>-22.403250139275766</v>
      </c>
    </row>
    <row r="28" spans="1:7" ht="18.95" customHeight="1">
      <c r="A28" s="1">
        <v>22</v>
      </c>
      <c r="B28" s="6">
        <f>TimeStep!G28</f>
        <v>183.84401114206128</v>
      </c>
      <c r="C28" s="6">
        <f>MIN(MATCH(B28,'Native PMKS'!$C$6:$C$366,1),360)</f>
        <v>23</v>
      </c>
      <c r="D28" s="6">
        <f t="shared" si="0"/>
        <v>24</v>
      </c>
      <c r="E28" s="6">
        <f>(B28-INDEX('Native PMKS'!$C$6:$C$366,C28))/(INDEX('Native PMKS'!$C$6:$C$366,D28)-INDEX('Native PMKS'!$C$6:$C$366,C28))</f>
        <v>6.1281337047351982E-2</v>
      </c>
      <c r="F28" s="6">
        <f>INDEX('Native PMKS'!$N$6:$N$366,C28)+(INDEX('Native PMKS'!$N$6:$N$366,D28)-INDEX('Native PMKS'!$N$6:$N$366,C28))*E28</f>
        <v>-52.841869080779944</v>
      </c>
      <c r="G28" s="6">
        <f>INDEX('Native PMKS'!$O$6:$O$366,C28)+(INDEX('Native PMKS'!$O$6:$O$366,D28)-INDEX('Native PMKS'!$O$6:$O$366,C28))*E28</f>
        <v>-20.449817827298052</v>
      </c>
    </row>
    <row r="29" spans="1:7" ht="18.95" customHeight="1">
      <c r="A29" s="1">
        <v>23</v>
      </c>
      <c r="B29" s="6">
        <f>TimeStep!G29</f>
        <v>192.20055710306406</v>
      </c>
      <c r="C29" s="6">
        <f>MIN(MATCH(B29,'Native PMKS'!$C$6:$C$366,1),360)</f>
        <v>24</v>
      </c>
      <c r="D29" s="6">
        <f t="shared" si="0"/>
        <v>25</v>
      </c>
      <c r="E29" s="6">
        <f>(B29-INDEX('Native PMKS'!$C$6:$C$366,C29))/(INDEX('Native PMKS'!$C$6:$C$366,D29)-INDEX('Native PMKS'!$C$6:$C$366,C29))</f>
        <v>6.4066852367684682E-2</v>
      </c>
      <c r="F29" s="6">
        <f>INDEX('Native PMKS'!$N$6:$N$366,C29)+(INDEX('Native PMKS'!$N$6:$N$366,D29)-INDEX('Native PMKS'!$N$6:$N$366,C29))*E29</f>
        <v>-52.152447632311983</v>
      </c>
      <c r="G29" s="6">
        <f>INDEX('Native PMKS'!$O$6:$O$366,C29)+(INDEX('Native PMKS'!$O$6:$O$366,D29)-INDEX('Native PMKS'!$O$6:$O$366,C29))*E29</f>
        <v>-18.499968802228416</v>
      </c>
    </row>
    <row r="30" spans="1:7" ht="18.95" customHeight="1">
      <c r="A30" s="1">
        <v>24</v>
      </c>
      <c r="B30" s="6">
        <f>TimeStep!G30</f>
        <v>200.55710306406684</v>
      </c>
      <c r="C30" s="6">
        <f>MIN(MATCH(B30,'Native PMKS'!$C$6:$C$366,1),360)</f>
        <v>25</v>
      </c>
      <c r="D30" s="6">
        <f t="shared" si="0"/>
        <v>26</v>
      </c>
      <c r="E30" s="6">
        <f>(B30-INDEX('Native PMKS'!$C$6:$C$366,C30))/(INDEX('Native PMKS'!$C$6:$C$366,D30)-INDEX('Native PMKS'!$C$6:$C$366,C30))</f>
        <v>6.6852367688020345E-2</v>
      </c>
      <c r="F30" s="6">
        <f>INDEX('Native PMKS'!$N$6:$N$366,C30)+(INDEX('Native PMKS'!$N$6:$N$366,D30)-INDEX('Native PMKS'!$N$6:$N$366,C30))*E30</f>
        <v>-51.462938997214486</v>
      </c>
      <c r="G30" s="6">
        <f>INDEX('Native PMKS'!$O$6:$O$366,C30)+(INDEX('Native PMKS'!$O$6:$O$366,D30)-INDEX('Native PMKS'!$O$6:$O$366,C30))*E30</f>
        <v>-16.600164902506968</v>
      </c>
    </row>
    <row r="31" spans="1:7" ht="18.95" customHeight="1">
      <c r="A31" s="1">
        <v>25</v>
      </c>
      <c r="B31" s="6">
        <f>TimeStep!G31</f>
        <v>208.91364902506965</v>
      </c>
      <c r="C31" s="6">
        <f>MIN(MATCH(B31,'Native PMKS'!$C$6:$C$366,1),360)</f>
        <v>26</v>
      </c>
      <c r="D31" s="6">
        <f t="shared" si="0"/>
        <v>27</v>
      </c>
      <c r="E31" s="6">
        <f>(B31-INDEX('Native PMKS'!$C$6:$C$366,C31))/(INDEX('Native PMKS'!$C$6:$C$366,D31)-INDEX('Native PMKS'!$C$6:$C$366,C31))</f>
        <v>6.963788300835623E-2</v>
      </c>
      <c r="F31" s="6">
        <f>INDEX('Native PMKS'!$N$6:$N$366,C31)+(INDEX('Native PMKS'!$N$6:$N$366,D31)-INDEX('Native PMKS'!$N$6:$N$366,C31))*E31</f>
        <v>-50.773516991643454</v>
      </c>
      <c r="G31" s="6">
        <f>INDEX('Native PMKS'!$O$6:$O$366,C31)+(INDEX('Native PMKS'!$O$6:$O$366,D31)-INDEX('Native PMKS'!$O$6:$O$366,C31))*E31</f>
        <v>-14.650635654596101</v>
      </c>
    </row>
    <row r="32" spans="1:7" ht="18.95" customHeight="1">
      <c r="A32" s="1">
        <v>26</v>
      </c>
      <c r="B32" s="6">
        <f>TimeStep!G32</f>
        <v>217.27019498607243</v>
      </c>
      <c r="C32" s="6">
        <f>MIN(MATCH(B32,'Native PMKS'!$C$6:$C$366,1),360)</f>
        <v>27</v>
      </c>
      <c r="D32" s="6">
        <f t="shared" si="0"/>
        <v>28</v>
      </c>
      <c r="E32" s="6">
        <f>(B32-INDEX('Native PMKS'!$C$6:$C$366,C32))/(INDEX('Native PMKS'!$C$6:$C$366,D32)-INDEX('Native PMKS'!$C$6:$C$366,C32))</f>
        <v>7.2423398328688715E-2</v>
      </c>
      <c r="F32" s="6">
        <f>INDEX('Native PMKS'!$N$6:$N$366,C32)+(INDEX('Native PMKS'!$N$6:$N$366,D32)-INDEX('Native PMKS'!$N$6:$N$366,C32))*E32</f>
        <v>-50.079859052924796</v>
      </c>
      <c r="G32" s="6">
        <f>INDEX('Native PMKS'!$O$6:$O$366,C32)+(INDEX('Native PMKS'!$O$6:$O$366,D32)-INDEX('Native PMKS'!$O$6:$O$366,C32))*E32</f>
        <v>-12.754661838440116</v>
      </c>
    </row>
    <row r="33" spans="1:7" ht="18.95" customHeight="1">
      <c r="A33" s="1">
        <v>27</v>
      </c>
      <c r="B33" s="6">
        <f>TimeStep!G33</f>
        <v>225.62674094707521</v>
      </c>
      <c r="C33" s="6">
        <f>MIN(MATCH(B33,'Native PMKS'!$C$6:$C$366,1),360)</f>
        <v>28</v>
      </c>
      <c r="D33" s="6">
        <f t="shared" si="0"/>
        <v>29</v>
      </c>
      <c r="E33" s="6">
        <f>(B33-INDEX('Native PMKS'!$C$6:$C$366,C33))/(INDEX('Native PMKS'!$C$6:$C$366,D33)-INDEX('Native PMKS'!$C$6:$C$366,C33))</f>
        <v>7.5208913649021436E-2</v>
      </c>
      <c r="F33" s="6">
        <f>INDEX('Native PMKS'!$N$6:$N$366,C33)+(INDEX('Native PMKS'!$N$6:$N$366,D33)-INDEX('Native PMKS'!$N$6:$N$366,C33))*E33</f>
        <v>-49.332976880222844</v>
      </c>
      <c r="G33" s="6">
        <f>INDEX('Native PMKS'!$O$6:$O$366,C33)+(INDEX('Native PMKS'!$O$6:$O$366,D33)-INDEX('Native PMKS'!$O$6:$O$366,C33))*E33</f>
        <v>-10.86290445682452</v>
      </c>
    </row>
    <row r="34" spans="1:7" ht="18.95" customHeight="1">
      <c r="A34" s="1">
        <v>28</v>
      </c>
      <c r="B34" s="6">
        <f>TimeStep!G34</f>
        <v>233.98328690807799</v>
      </c>
      <c r="C34" s="6">
        <f>MIN(MATCH(B34,'Native PMKS'!$C$6:$C$366,1),360)</f>
        <v>29</v>
      </c>
      <c r="D34" s="6">
        <f t="shared" si="0"/>
        <v>30</v>
      </c>
      <c r="E34" s="6">
        <f>(B34-INDEX('Native PMKS'!$C$6:$C$366,C34))/(INDEX('Native PMKS'!$C$6:$C$366,D34)-INDEX('Native PMKS'!$C$6:$C$366,C34))</f>
        <v>7.7994428969357071E-2</v>
      </c>
      <c r="F34" s="6">
        <f>INDEX('Native PMKS'!$N$6:$N$366,C34)+(INDEX('Native PMKS'!$N$6:$N$366,D34)-INDEX('Native PMKS'!$N$6:$N$366,C34))*E34</f>
        <v>-48.586009749303621</v>
      </c>
      <c r="G34" s="6">
        <f>INDEX('Native PMKS'!$O$6:$O$366,C34)+(INDEX('Native PMKS'!$O$6:$O$366,D34)-INDEX('Native PMKS'!$O$6:$O$366,C34))*E34</f>
        <v>-9.0198359331476361</v>
      </c>
    </row>
    <row r="35" spans="1:7" ht="18.95" customHeight="1">
      <c r="A35" s="1">
        <v>29</v>
      </c>
      <c r="B35" s="6">
        <f>TimeStep!G35</f>
        <v>242.33983286908077</v>
      </c>
      <c r="C35" s="6">
        <f>MIN(MATCH(B35,'Native PMKS'!$C$6:$C$366,1),360)</f>
        <v>30</v>
      </c>
      <c r="D35" s="6">
        <f t="shared" si="0"/>
        <v>31</v>
      </c>
      <c r="E35" s="6">
        <f>(B35-INDEX('Native PMKS'!$C$6:$C$366,C35))/(INDEX('Native PMKS'!$C$6:$C$366,D35)-INDEX('Native PMKS'!$C$6:$C$366,C35))</f>
        <v>8.0779944289689543E-2</v>
      </c>
      <c r="F35" s="6">
        <f>INDEX('Native PMKS'!$N$6:$N$366,C35)+(INDEX('Native PMKS'!$N$6:$N$366,D35)-INDEX('Native PMKS'!$N$6:$N$366,C35))*E35</f>
        <v>-47.839127019498605</v>
      </c>
      <c r="G35" s="6">
        <f>INDEX('Native PMKS'!$O$6:$O$366,C35)+(INDEX('Native PMKS'!$O$6:$O$366,D35)-INDEX('Native PMKS'!$O$6:$O$366,C35))*E35</f>
        <v>-7.1284899721448545</v>
      </c>
    </row>
    <row r="36" spans="1:7" ht="18.95" customHeight="1">
      <c r="A36" s="1">
        <v>30</v>
      </c>
      <c r="B36" s="6">
        <f>TimeStep!G36</f>
        <v>250.69637883008357</v>
      </c>
      <c r="C36" s="6">
        <f>MIN(MATCH(B36,'Native PMKS'!$C$6:$C$366,1),360)</f>
        <v>31</v>
      </c>
      <c r="D36" s="6">
        <f t="shared" si="0"/>
        <v>32</v>
      </c>
      <c r="E36" s="6">
        <f>(B36-INDEX('Native PMKS'!$C$6:$C$366,C36))/(INDEX('Native PMKS'!$C$6:$C$366,D36)-INDEX('Native PMKS'!$C$6:$C$366,C36))</f>
        <v>8.3565459610025428E-2</v>
      </c>
      <c r="F36" s="6">
        <f>INDEX('Native PMKS'!$N$6:$N$366,C36)+(INDEX('Native PMKS'!$N$6:$N$366,D36)-INDEX('Native PMKS'!$N$6:$N$366,C36))*E36</f>
        <v>-47.092160445682453</v>
      </c>
      <c r="G36" s="6">
        <f>INDEX('Native PMKS'!$O$6:$O$366,C36)+(INDEX('Native PMKS'!$O$6:$O$366,D36)-INDEX('Native PMKS'!$O$6:$O$366,C36))*E36</f>
        <v>-5.2946710306406732</v>
      </c>
    </row>
    <row r="37" spans="1:7" ht="18.95" customHeight="1">
      <c r="A37" s="1">
        <v>31</v>
      </c>
      <c r="B37" s="6">
        <f>TimeStep!G37</f>
        <v>259.05292479108635</v>
      </c>
      <c r="C37" s="6">
        <f>MIN(MATCH(B37,'Native PMKS'!$C$6:$C$366,1),360)</f>
        <v>32</v>
      </c>
      <c r="D37" s="6">
        <f t="shared" si="0"/>
        <v>33</v>
      </c>
      <c r="E37" s="6">
        <f>(B37-INDEX('Native PMKS'!$C$6:$C$366,C37))/(INDEX('Native PMKS'!$C$6:$C$366,D37)-INDEX('Native PMKS'!$C$6:$C$366,C37))</f>
        <v>8.6350974930358204E-2</v>
      </c>
      <c r="F37" s="6">
        <f>INDEX('Native PMKS'!$N$6:$N$366,C37)+(INDEX('Native PMKS'!$N$6:$N$366,D37)-INDEX('Native PMKS'!$N$6:$N$366,C37))*E37</f>
        <v>-46.345277158774373</v>
      </c>
      <c r="G37" s="6">
        <f>INDEX('Native PMKS'!$O$6:$O$366,C37)+(INDEX('Native PMKS'!$O$6:$O$366,D37)-INDEX('Native PMKS'!$O$6:$O$366,C37))*E37</f>
        <v>-3.5085841225626813</v>
      </c>
    </row>
    <row r="38" spans="1:7" ht="18.95" customHeight="1">
      <c r="A38" s="1">
        <v>32</v>
      </c>
      <c r="B38" s="6">
        <f>TimeStep!G38</f>
        <v>267.40947075208913</v>
      </c>
      <c r="C38" s="6">
        <f>MIN(MATCH(B38,'Native PMKS'!$C$6:$C$366,1),360)</f>
        <v>33</v>
      </c>
      <c r="D38" s="6">
        <f t="shared" si="0"/>
        <v>34</v>
      </c>
      <c r="E38" s="6">
        <f>(B38-INDEX('Native PMKS'!$C$6:$C$366,C38))/(INDEX('Native PMKS'!$C$6:$C$366,D38)-INDEX('Native PMKS'!$C$6:$C$366,C38))</f>
        <v>8.9136490250694103E-2</v>
      </c>
      <c r="F38" s="6">
        <f>INDEX('Native PMKS'!$N$6:$N$366,C38)+(INDEX('Native PMKS'!$N$6:$N$366,D38)-INDEX('Native PMKS'!$N$6:$N$366,C38))*E38</f>
        <v>-45.598311142061284</v>
      </c>
      <c r="G38" s="6">
        <f>INDEX('Native PMKS'!$O$6:$O$366,C38)+(INDEX('Native PMKS'!$O$6:$O$366,D38)-INDEX('Native PMKS'!$O$6:$O$366,C38))*E38</f>
        <v>-1.675175766016717</v>
      </c>
    </row>
    <row r="39" spans="1:7" ht="18.95" customHeight="1">
      <c r="A39" s="1">
        <v>33</v>
      </c>
      <c r="B39" s="6">
        <f>TimeStep!G39</f>
        <v>275.76601671309191</v>
      </c>
      <c r="C39" s="6">
        <f>MIN(MATCH(B39,'Native PMKS'!$C$6:$C$366,1),360)</f>
        <v>34</v>
      </c>
      <c r="D39" s="6">
        <f t="shared" si="0"/>
        <v>35</v>
      </c>
      <c r="E39" s="6">
        <f>(B39-INDEX('Native PMKS'!$C$6:$C$366,C39))/(INDEX('Native PMKS'!$C$6:$C$366,D39)-INDEX('Native PMKS'!$C$6:$C$366,C39))</f>
        <v>9.1922005571029364E-2</v>
      </c>
      <c r="F39" s="6">
        <f>INDEX('Native PMKS'!$N$6:$N$366,C39)+(INDEX('Native PMKS'!$N$6:$N$366,D39)-INDEX('Native PMKS'!$N$6:$N$366,C39))*E39</f>
        <v>-44.85142729805014</v>
      </c>
      <c r="G39" s="6">
        <f>INDEX('Native PMKS'!$O$6:$O$366,C39)+(INDEX('Native PMKS'!$O$6:$O$366,D39)-INDEX('Native PMKS'!$O$6:$O$366,C39))*E39</f>
        <v>0.10070473537604238</v>
      </c>
    </row>
    <row r="40" spans="1:7" ht="18.95" customHeight="1">
      <c r="A40" s="1">
        <v>34</v>
      </c>
      <c r="B40" s="6">
        <f>TimeStep!G40</f>
        <v>284.1225626740947</v>
      </c>
      <c r="C40" s="6">
        <f>MIN(MATCH(B40,'Native PMKS'!$C$6:$C$366,1),360)</f>
        <v>35</v>
      </c>
      <c r="D40" s="6">
        <f t="shared" si="0"/>
        <v>36</v>
      </c>
      <c r="E40" s="6">
        <f>(B40-INDEX('Native PMKS'!$C$6:$C$366,C40))/(INDEX('Native PMKS'!$C$6:$C$366,D40)-INDEX('Native PMKS'!$C$6:$C$366,C40))</f>
        <v>9.4707520891359073E-2</v>
      </c>
      <c r="F40" s="6">
        <f>INDEX('Native PMKS'!$N$6:$N$366,C40)+(INDEX('Native PMKS'!$N$6:$N$366,D40)-INDEX('Native PMKS'!$N$6:$N$366,C40))*E40</f>
        <v>-44.104461838440116</v>
      </c>
      <c r="G40" s="6">
        <f>INDEX('Native PMKS'!$O$6:$O$366,C40)+(INDEX('Native PMKS'!$O$6:$O$366,D40)-INDEX('Native PMKS'!$O$6:$O$366,C40))*E40</f>
        <v>1.8243927576601571</v>
      </c>
    </row>
    <row r="41" spans="1:7" ht="18.95" customHeight="1">
      <c r="A41" s="1">
        <v>35</v>
      </c>
      <c r="B41" s="6">
        <f>TimeStep!G41</f>
        <v>292.47910863509748</v>
      </c>
      <c r="C41" s="6">
        <f>MIN(MATCH(B41,'Native PMKS'!$C$6:$C$366,1),360)</f>
        <v>36</v>
      </c>
      <c r="D41" s="6">
        <f t="shared" si="0"/>
        <v>37</v>
      </c>
      <c r="E41" s="6">
        <f>(B41-INDEX('Native PMKS'!$C$6:$C$366,C41))/(INDEX('Native PMKS'!$C$6:$C$366,D41)-INDEX('Native PMKS'!$C$6:$C$366,C41))</f>
        <v>9.7493036211694958E-2</v>
      </c>
      <c r="F41" s="6">
        <f>INDEX('Native PMKS'!$N$6:$N$366,C41)+(INDEX('Native PMKS'!$N$6:$N$366,D41)-INDEX('Native PMKS'!$N$6:$N$366,C41))*E41</f>
        <v>-43.3520008356546</v>
      </c>
      <c r="G41" s="6">
        <f>INDEX('Native PMKS'!$O$6:$O$366,C41)+(INDEX('Native PMKS'!$O$6:$O$366,D41)-INDEX('Native PMKS'!$O$6:$O$366,C41))*E41</f>
        <v>3.5424846796657312</v>
      </c>
    </row>
    <row r="42" spans="1:7" ht="18.95" customHeight="1">
      <c r="A42" s="1">
        <v>36</v>
      </c>
      <c r="B42" s="6">
        <f>TimeStep!G42</f>
        <v>300.83565459610026</v>
      </c>
      <c r="C42" s="6">
        <f>MIN(MATCH(B42,'Native PMKS'!$C$6:$C$366,1),360)</f>
        <v>37</v>
      </c>
      <c r="D42" s="6">
        <f t="shared" si="0"/>
        <v>38</v>
      </c>
      <c r="E42" s="6">
        <f>(B42-INDEX('Native PMKS'!$C$6:$C$366,C42))/(INDEX('Native PMKS'!$C$6:$C$366,D42)-INDEX('Native PMKS'!$C$6:$C$366,C42))</f>
        <v>0.10027855153203018</v>
      </c>
      <c r="F42" s="6">
        <f>INDEX('Native PMKS'!$N$6:$N$366,C42)+(INDEX('Native PMKS'!$N$6:$N$366,D42)-INDEX('Native PMKS'!$N$6:$N$366,C42))*E42</f>
        <v>-42.553402506963792</v>
      </c>
      <c r="G42" s="6">
        <f>INDEX('Native PMKS'!$O$6:$O$366,C42)+(INDEX('Native PMKS'!$O$6:$O$366,D42)-INDEX('Native PMKS'!$O$6:$O$366,C42))*E42</f>
        <v>5.2143688022284067</v>
      </c>
    </row>
    <row r="43" spans="1:7" ht="18.95" customHeight="1">
      <c r="A43" s="1">
        <v>37</v>
      </c>
      <c r="B43" s="6">
        <f>TimeStep!G43</f>
        <v>309.19220055710304</v>
      </c>
      <c r="C43" s="6">
        <f>MIN(MATCH(B43,'Native PMKS'!$C$6:$C$366,1),360)</f>
        <v>38</v>
      </c>
      <c r="D43" s="6">
        <f t="shared" si="0"/>
        <v>39</v>
      </c>
      <c r="E43" s="6">
        <f>(B43-INDEX('Native PMKS'!$C$6:$C$366,C43))/(INDEX('Native PMKS'!$C$6:$C$366,D43)-INDEX('Native PMKS'!$C$6:$C$366,C43))</f>
        <v>0.10306406685235994</v>
      </c>
      <c r="F43" s="6">
        <f>INDEX('Native PMKS'!$N$6:$N$366,C43)+(INDEX('Native PMKS'!$N$6:$N$366,D43)-INDEX('Native PMKS'!$N$6:$N$366,C43))*E43</f>
        <v>-41.806437883008364</v>
      </c>
      <c r="G43" s="6">
        <f>INDEX('Native PMKS'!$O$6:$O$366,C43)+(INDEX('Native PMKS'!$O$6:$O$366,D43)-INDEX('Native PMKS'!$O$6:$O$366,C43))*E43</f>
        <v>6.9262456824512411</v>
      </c>
    </row>
    <row r="44" spans="1:7" ht="18.95" customHeight="1">
      <c r="A44" s="1">
        <v>38</v>
      </c>
      <c r="B44" s="6">
        <f>TimeStep!G44</f>
        <v>317.54874651810587</v>
      </c>
      <c r="C44" s="6">
        <f>MIN(MATCH(B44,'Native PMKS'!$C$6:$C$366,1),360)</f>
        <v>39</v>
      </c>
      <c r="D44" s="6">
        <f t="shared" si="0"/>
        <v>40</v>
      </c>
      <c r="E44" s="6">
        <f>(B44-INDEX('Native PMKS'!$C$6:$C$366,C44))/(INDEX('Native PMKS'!$C$6:$C$366,D44)-INDEX('Native PMKS'!$C$6:$C$366,C44))</f>
        <v>0.10584958217270266</v>
      </c>
      <c r="F44" s="6">
        <f>INDEX('Native PMKS'!$N$6:$N$366,C44)+(INDEX('Native PMKS'!$N$6:$N$366,D44)-INDEX('Native PMKS'!$N$6:$N$366,C44))*E44</f>
        <v>-41.059552646239553</v>
      </c>
      <c r="G44" s="6">
        <f>INDEX('Native PMKS'!$O$6:$O$366,C44)+(INDEX('Native PMKS'!$O$6:$O$366,D44)-INDEX('Native PMKS'!$O$6:$O$366,C44))*E44</f>
        <v>8.5350144846796674</v>
      </c>
    </row>
    <row r="45" spans="1:7" ht="18.95" customHeight="1">
      <c r="A45" s="1">
        <v>39</v>
      </c>
      <c r="B45" s="6">
        <f>TimeStep!G45</f>
        <v>325.90529247910865</v>
      </c>
      <c r="C45" s="6">
        <f>MIN(MATCH(B45,'Native PMKS'!$C$6:$C$366,1),360)</f>
        <v>40</v>
      </c>
      <c r="D45" s="6">
        <f t="shared" si="0"/>
        <v>41</v>
      </c>
      <c r="E45" s="6">
        <f>(B45-INDEX('Native PMKS'!$C$6:$C$366,C45))/(INDEX('Native PMKS'!$C$6:$C$366,D45)-INDEX('Native PMKS'!$C$6:$C$366,C45))</f>
        <v>0.1086350974930378</v>
      </c>
      <c r="F45" s="6">
        <f>INDEX('Native PMKS'!$N$6:$N$366,C45)+(INDEX('Native PMKS'!$N$6:$N$366,D45)-INDEX('Native PMKS'!$N$6:$N$366,C45))*E45</f>
        <v>-40.312588579387189</v>
      </c>
      <c r="G45" s="6">
        <f>INDEX('Native PMKS'!$O$6:$O$366,C45)+(INDEX('Native PMKS'!$O$6:$O$366,D45)-INDEX('Native PMKS'!$O$6:$O$366,C45))*E45</f>
        <v>10.143772423398332</v>
      </c>
    </row>
    <row r="46" spans="1:7" ht="18.95" customHeight="1">
      <c r="A46" s="1">
        <v>40</v>
      </c>
      <c r="B46" s="6">
        <f>TimeStep!G46</f>
        <v>334.26183844011143</v>
      </c>
      <c r="C46" s="6">
        <f>MIN(MATCH(B46,'Native PMKS'!$C$6:$C$366,1),360)</f>
        <v>41</v>
      </c>
      <c r="D46" s="6">
        <f t="shared" si="0"/>
        <v>42</v>
      </c>
      <c r="E46" s="6">
        <f>(B46-INDEX('Native PMKS'!$C$6:$C$366,C46))/(INDEX('Native PMKS'!$C$6:$C$366,D46)-INDEX('Native PMKS'!$C$6:$C$366,C46))</f>
        <v>0.11142061281336763</v>
      </c>
      <c r="F46" s="6">
        <f>INDEX('Native PMKS'!$N$6:$N$366,C46)+(INDEX('Native PMKS'!$N$6:$N$366,D46)-INDEX('Native PMKS'!$N$6:$N$366,C46))*E46</f>
        <v>-39.56570278551532</v>
      </c>
      <c r="G46" s="6">
        <f>INDEX('Native PMKS'!$O$6:$O$366,C46)+(INDEX('Native PMKS'!$O$6:$O$366,D46)-INDEX('Native PMKS'!$O$6:$O$366,C46))*E46</f>
        <v>11.746067688022281</v>
      </c>
    </row>
    <row r="47" spans="1:7" ht="18.95" customHeight="1">
      <c r="A47" s="1">
        <v>41</v>
      </c>
      <c r="B47" s="6">
        <f>TimeStep!G47</f>
        <v>342.61838440111421</v>
      </c>
      <c r="C47" s="6">
        <f>MIN(MATCH(B47,'Native PMKS'!$C$6:$C$366,1),360)</f>
        <v>42</v>
      </c>
      <c r="D47" s="6">
        <f t="shared" si="0"/>
        <v>43</v>
      </c>
      <c r="E47" s="6">
        <f>(B47-INDEX('Native PMKS'!$C$6:$C$366,C47))/(INDEX('Native PMKS'!$C$6:$C$366,D47)-INDEX('Native PMKS'!$C$6:$C$366,C47))</f>
        <v>0.11420612813370352</v>
      </c>
      <c r="F47" s="6">
        <f>INDEX('Native PMKS'!$N$6:$N$366,C47)+(INDEX('Native PMKS'!$N$6:$N$366,D47)-INDEX('Native PMKS'!$N$6:$N$366,C47))*E47</f>
        <v>-38.818739275766013</v>
      </c>
      <c r="G47" s="6">
        <f>INDEX('Native PMKS'!$O$6:$O$366,C47)+(INDEX('Native PMKS'!$O$6:$O$366,D47)-INDEX('Native PMKS'!$O$6:$O$366,C47))*E47</f>
        <v>13.297376880222838</v>
      </c>
    </row>
    <row r="48" spans="1:7" ht="18.95" customHeight="1">
      <c r="A48" s="1">
        <v>42</v>
      </c>
      <c r="B48" s="6">
        <f>TimeStep!G48</f>
        <v>350.97493036211699</v>
      </c>
      <c r="C48" s="6">
        <f>MIN(MATCH(B48,'Native PMKS'!$C$6:$C$366,1),360)</f>
        <v>43</v>
      </c>
      <c r="D48" s="6">
        <f t="shared" si="0"/>
        <v>44</v>
      </c>
      <c r="E48" s="6">
        <f>(B48-INDEX('Native PMKS'!$C$6:$C$366,C48))/(INDEX('Native PMKS'!$C$6:$C$366,D48)-INDEX('Native PMKS'!$C$6:$C$366,C48))</f>
        <v>0.11699164345403862</v>
      </c>
      <c r="F48" s="6">
        <f>INDEX('Native PMKS'!$N$6:$N$366,C48)+(INDEX('Native PMKS'!$N$6:$N$366,D48)-INDEX('Native PMKS'!$N$6:$N$366,C48))*E48</f>
        <v>-38.071852924791088</v>
      </c>
      <c r="G48" s="6">
        <f>INDEX('Native PMKS'!$O$6:$O$366,C48)+(INDEX('Native PMKS'!$O$6:$O$366,D48)-INDEX('Native PMKS'!$O$6:$O$366,C48))*E48</f>
        <v>14.841982451253481</v>
      </c>
    </row>
    <row r="49" spans="1:7" ht="18.95" customHeight="1">
      <c r="A49" s="1">
        <v>43</v>
      </c>
      <c r="B49" s="6">
        <f>TimeStep!G49</f>
        <v>359.33147632311977</v>
      </c>
      <c r="C49" s="6">
        <f>MIN(MATCH(B49,'Native PMKS'!$C$6:$C$366,1),360)</f>
        <v>44</v>
      </c>
      <c r="D49" s="6">
        <f t="shared" si="0"/>
        <v>45</v>
      </c>
      <c r="E49" s="6">
        <f>(B49-INDEX('Native PMKS'!$C$6:$C$366,C49))/(INDEX('Native PMKS'!$C$6:$C$366,D49)-INDEX('Native PMKS'!$C$6:$C$366,C49))</f>
        <v>0.11977715877436849</v>
      </c>
      <c r="F49" s="6">
        <f>INDEX('Native PMKS'!$N$6:$N$366,C49)+(INDEX('Native PMKS'!$N$6:$N$366,D49)-INDEX('Native PMKS'!$N$6:$N$366,C49))*E49</f>
        <v>-37.331753203342622</v>
      </c>
      <c r="G49" s="6">
        <f>INDEX('Native PMKS'!$O$6:$O$366,C49)+(INDEX('Native PMKS'!$O$6:$O$366,D49)-INDEX('Native PMKS'!$O$6:$O$366,C49))*E49</f>
        <v>16.328968802228406</v>
      </c>
    </row>
    <row r="50" spans="1:7" ht="18.95" customHeight="1">
      <c r="A50" s="1">
        <v>44</v>
      </c>
      <c r="B50" s="6">
        <f>TimeStep!G50</f>
        <v>367.68802228412255</v>
      </c>
      <c r="C50" s="6">
        <f>MIN(MATCH(B50,'Native PMKS'!$C$6:$C$366,1),360)</f>
        <v>45</v>
      </c>
      <c r="D50" s="6">
        <f t="shared" si="0"/>
        <v>46</v>
      </c>
      <c r="E50" s="6">
        <f>(B50-INDEX('Native PMKS'!$C$6:$C$366,C50))/(INDEX('Native PMKS'!$C$6:$C$366,D50)-INDEX('Native PMKS'!$C$6:$C$366,C50))</f>
        <v>0.12256267409470438</v>
      </c>
      <c r="F50" s="6">
        <f>INDEX('Native PMKS'!$N$6:$N$366,C50)+(INDEX('Native PMKS'!$N$6:$N$366,D50)-INDEX('Native PMKS'!$N$6:$N$366,C50))*E50</f>
        <v>-36.635303064066854</v>
      </c>
      <c r="G50" s="6">
        <f>INDEX('Native PMKS'!$O$6:$O$366,C50)+(INDEX('Native PMKS'!$O$6:$O$366,D50)-INDEX('Native PMKS'!$O$6:$O$366,C50))*E50</f>
        <v>17.765358774373254</v>
      </c>
    </row>
    <row r="51" spans="1:7" ht="18.95" customHeight="1">
      <c r="A51" s="1">
        <v>45</v>
      </c>
      <c r="B51" s="6">
        <f>TimeStep!G51</f>
        <v>376.04456824512533</v>
      </c>
      <c r="C51" s="6">
        <f>MIN(MATCH(B51,'Native PMKS'!$C$6:$C$366,1),360)</f>
        <v>46</v>
      </c>
      <c r="D51" s="6">
        <f t="shared" si="0"/>
        <v>47</v>
      </c>
      <c r="E51" s="6">
        <f>(B51-INDEX('Native PMKS'!$C$6:$C$366,C51))/(INDEX('Native PMKS'!$C$6:$C$366,D51)-INDEX('Native PMKS'!$C$6:$C$366,C51))</f>
        <v>0.12534818941503942</v>
      </c>
      <c r="F51" s="6">
        <f>INDEX('Native PMKS'!$N$6:$N$366,C51)+(INDEX('Native PMKS'!$N$6:$N$366,D51)-INDEX('Native PMKS'!$N$6:$N$366,C51))*E51</f>
        <v>-35.89552311977716</v>
      </c>
      <c r="G51" s="6">
        <f>INDEX('Native PMKS'!$O$6:$O$366,C51)+(INDEX('Native PMKS'!$O$6:$O$366,D51)-INDEX('Native PMKS'!$O$6:$O$366,C51))*E51</f>
        <v>19.201748746518103</v>
      </c>
    </row>
    <row r="52" spans="1:7" ht="18.95" customHeight="1">
      <c r="A52" s="1">
        <v>46</v>
      </c>
      <c r="B52" s="6">
        <f>TimeStep!G52</f>
        <v>384.40111420612811</v>
      </c>
      <c r="C52" s="6">
        <f>MIN(MATCH(B52,'Native PMKS'!$C$6:$C$366,1),360)</f>
        <v>47</v>
      </c>
      <c r="D52" s="6">
        <f t="shared" si="0"/>
        <v>48</v>
      </c>
      <c r="E52" s="6">
        <f>(B52-INDEX('Native PMKS'!$C$6:$C$366,C52))/(INDEX('Native PMKS'!$C$6:$C$366,D52)-INDEX('Native PMKS'!$C$6:$C$366,C52))</f>
        <v>0.12813370473536936</v>
      </c>
      <c r="F52" s="6">
        <f>INDEX('Native PMKS'!$N$6:$N$366,C52)+(INDEX('Native PMKS'!$N$6:$N$366,D52)-INDEX('Native PMKS'!$N$6:$N$366,C52))*E52</f>
        <v>-35.198766016713094</v>
      </c>
      <c r="G52" s="6">
        <f>INDEX('Native PMKS'!$O$6:$O$366,C52)+(INDEX('Native PMKS'!$O$6:$O$366,D52)-INDEX('Native PMKS'!$O$6:$O$366,C52))*E52</f>
        <v>20.630796657381605</v>
      </c>
    </row>
    <row r="53" spans="1:7" ht="18.95" customHeight="1">
      <c r="A53" s="1">
        <v>47</v>
      </c>
      <c r="B53" s="6">
        <f>TimeStep!G53</f>
        <v>392.75766016713089</v>
      </c>
      <c r="C53" s="6">
        <f>MIN(MATCH(B53,'Native PMKS'!$C$6:$C$366,1),360)</f>
        <v>48</v>
      </c>
      <c r="D53" s="6">
        <f t="shared" si="0"/>
        <v>49</v>
      </c>
      <c r="E53" s="6">
        <f>(B53-INDEX('Native PMKS'!$C$6:$C$366,C53))/(INDEX('Native PMKS'!$C$6:$C$366,D53)-INDEX('Native PMKS'!$C$6:$C$366,C53))</f>
        <v>0.13091922005570525</v>
      </c>
      <c r="F53" s="6">
        <f>INDEX('Native PMKS'!$N$6:$N$366,C53)+(INDEX('Native PMKS'!$N$6:$N$366,D53)-INDEX('Native PMKS'!$N$6:$N$366,C53))*E53</f>
        <v>-34.459379944289694</v>
      </c>
      <c r="G53" s="6">
        <f>INDEX('Native PMKS'!$O$6:$O$366,C53)+(INDEX('Native PMKS'!$O$6:$O$366,D53)-INDEX('Native PMKS'!$O$6:$O$366,C53))*E53</f>
        <v>22.002225348189409</v>
      </c>
    </row>
    <row r="54" spans="1:7" ht="18.95" customHeight="1">
      <c r="A54" s="1">
        <v>48</v>
      </c>
      <c r="B54" s="6">
        <f>TimeStep!G54</f>
        <v>401.11420612813367</v>
      </c>
      <c r="C54" s="6">
        <f>MIN(MATCH(B54,'Native PMKS'!$C$6:$C$366,1),360)</f>
        <v>49</v>
      </c>
      <c r="D54" s="6">
        <f t="shared" si="0"/>
        <v>50</v>
      </c>
      <c r="E54" s="6">
        <f>(B54-INDEX('Native PMKS'!$C$6:$C$366,C54))/(INDEX('Native PMKS'!$C$6:$C$366,D54)-INDEX('Native PMKS'!$C$6:$C$366,C54))</f>
        <v>0.13370473537604025</v>
      </c>
      <c r="F54" s="6">
        <f>INDEX('Native PMKS'!$N$6:$N$366,C54)+(INDEX('Native PMKS'!$N$6:$N$366,D54)-INDEX('Native PMKS'!$N$6:$N$366,C54))*E54</f>
        <v>-33.769877994428974</v>
      </c>
      <c r="G54" s="6">
        <f>INDEX('Native PMKS'!$O$6:$O$366,C54)+(INDEX('Native PMKS'!$O$6:$O$366,D54)-INDEX('Native PMKS'!$O$6:$O$366,C54))*E54</f>
        <v>23.323696100278546</v>
      </c>
    </row>
    <row r="55" spans="1:7" ht="18.95" customHeight="1">
      <c r="A55" s="1">
        <v>49</v>
      </c>
      <c r="B55" s="6">
        <f>TimeStep!G55</f>
        <v>409.47075208913651</v>
      </c>
      <c r="C55" s="6">
        <f>MIN(MATCH(B55,'Native PMKS'!$C$6:$C$366,1),360)</f>
        <v>50</v>
      </c>
      <c r="D55" s="6">
        <f t="shared" si="0"/>
        <v>51</v>
      </c>
      <c r="E55" s="6">
        <f>(B55-INDEX('Native PMKS'!$C$6:$C$366,C55))/(INDEX('Native PMKS'!$C$6:$C$366,D55)-INDEX('Native PMKS'!$C$6:$C$366,C55))</f>
        <v>0.13649025069637705</v>
      </c>
      <c r="F55" s="6">
        <f>INDEX('Native PMKS'!$N$6:$N$366,C55)+(INDEX('Native PMKS'!$N$6:$N$366,D55)-INDEX('Native PMKS'!$N$6:$N$366,C55))*E55</f>
        <v>-33.080449303621172</v>
      </c>
      <c r="G55" s="6">
        <f>INDEX('Native PMKS'!$O$6:$O$366,C55)+(INDEX('Native PMKS'!$O$6:$O$366,D55)-INDEX('Native PMKS'!$O$6:$O$366,C55))*E55</f>
        <v>24.645166852367684</v>
      </c>
    </row>
    <row r="56" spans="1:7" ht="18.95" customHeight="1">
      <c r="A56" s="1">
        <v>50</v>
      </c>
      <c r="B56" s="6">
        <f>TimeStep!G56</f>
        <v>417.82729805013929</v>
      </c>
      <c r="C56" s="6">
        <f>MIN(MATCH(B56,'Native PMKS'!$C$6:$C$366,1),360)</f>
        <v>51</v>
      </c>
      <c r="D56" s="6">
        <f t="shared" si="0"/>
        <v>52</v>
      </c>
      <c r="E56" s="6">
        <f>(B56-INDEX('Native PMKS'!$C$6:$C$366,C56))/(INDEX('Native PMKS'!$C$6:$C$366,D56)-INDEX('Native PMKS'!$C$6:$C$366,C56))</f>
        <v>0.13927576601671199</v>
      </c>
      <c r="F56" s="6">
        <f>INDEX('Native PMKS'!$N$6:$N$366,C56)+(INDEX('Native PMKS'!$N$6:$N$366,D56)-INDEX('Native PMKS'!$N$6:$N$366,C56))*E56</f>
        <v>-32.39094791086351</v>
      </c>
      <c r="G56" s="6">
        <f>INDEX('Native PMKS'!$O$6:$O$366,C56)+(INDEX('Native PMKS'!$O$6:$O$366,D56)-INDEX('Native PMKS'!$O$6:$O$366,C56))*E56</f>
        <v>25.958657103064066</v>
      </c>
    </row>
    <row r="57" spans="1:7" ht="18.95" customHeight="1">
      <c r="A57" s="1">
        <v>51</v>
      </c>
      <c r="B57" s="6">
        <f>TimeStep!G57</f>
        <v>426.18384401114207</v>
      </c>
      <c r="C57" s="6">
        <f>MIN(MATCH(B57,'Native PMKS'!$C$6:$C$366,1),360)</f>
        <v>52</v>
      </c>
      <c r="D57" s="6">
        <f t="shared" si="0"/>
        <v>53</v>
      </c>
      <c r="E57" s="6">
        <f>(B57-INDEX('Native PMKS'!$C$6:$C$366,C57))/(INDEX('Native PMKS'!$C$6:$C$366,D57)-INDEX('Native PMKS'!$C$6:$C$366,C57))</f>
        <v>0.14206128133704202</v>
      </c>
      <c r="F57" s="6">
        <f>INDEX('Native PMKS'!$N$6:$N$366,C57)+(INDEX('Native PMKS'!$N$6:$N$366,D57)-INDEX('Native PMKS'!$N$6:$N$366,C57))*E57</f>
        <v>-31.709658774373263</v>
      </c>
      <c r="G57" s="6">
        <f>INDEX('Native PMKS'!$O$6:$O$366,C57)+(INDEX('Native PMKS'!$O$6:$O$366,D57)-INDEX('Native PMKS'!$O$6:$O$366,C57))*E57</f>
        <v>27.214528133704729</v>
      </c>
    </row>
    <row r="58" spans="1:7" ht="18.95" customHeight="1">
      <c r="A58" s="1">
        <v>52</v>
      </c>
      <c r="B58" s="6">
        <f>TimeStep!G58</f>
        <v>434.54038997214485</v>
      </c>
      <c r="C58" s="6">
        <f>MIN(MATCH(B58,'Native PMKS'!$C$6:$C$366,1),360)</f>
        <v>53</v>
      </c>
      <c r="D58" s="6">
        <f t="shared" si="0"/>
        <v>54</v>
      </c>
      <c r="E58" s="6">
        <f>(B58-INDEX('Native PMKS'!$C$6:$C$366,C58))/(INDEX('Native PMKS'!$C$6:$C$366,D58)-INDEX('Native PMKS'!$C$6:$C$366,C58))</f>
        <v>0.1448467966573779</v>
      </c>
      <c r="F58" s="6">
        <f>INDEX('Native PMKS'!$N$6:$N$366,C58)+(INDEX('Native PMKS'!$N$6:$N$366,D58)-INDEX('Native PMKS'!$N$6:$N$366,C58))*E58</f>
        <v>-31.069317827298054</v>
      </c>
      <c r="G58" s="6">
        <f>INDEX('Native PMKS'!$O$6:$O$366,C58)+(INDEX('Native PMKS'!$O$6:$O$366,D58)-INDEX('Native PMKS'!$O$6:$O$366,C58))*E58</f>
        <v>28.421079665738159</v>
      </c>
    </row>
    <row r="59" spans="1:7" ht="18.95" customHeight="1">
      <c r="A59" s="1">
        <v>53</v>
      </c>
      <c r="B59" s="6">
        <f>TimeStep!G59</f>
        <v>442.89693593314763</v>
      </c>
      <c r="C59" s="6">
        <f>MIN(MATCH(B59,'Native PMKS'!$C$6:$C$366,1),360)</f>
        <v>54</v>
      </c>
      <c r="D59" s="6">
        <f t="shared" si="0"/>
        <v>55</v>
      </c>
      <c r="E59" s="6">
        <f>(B59-INDEX('Native PMKS'!$C$6:$C$366,C59))/(INDEX('Native PMKS'!$C$6:$C$366,D59)-INDEX('Native PMKS'!$C$6:$C$366,C59))</f>
        <v>0.14763231197771279</v>
      </c>
      <c r="F59" s="6">
        <f>INDEX('Native PMKS'!$N$6:$N$366,C59)+(INDEX('Native PMKS'!$N$6:$N$366,D59)-INDEX('Native PMKS'!$N$6:$N$366,C59))*E59</f>
        <v>-30.388347353760448</v>
      </c>
      <c r="G59" s="6">
        <f>INDEX('Native PMKS'!$O$6:$O$366,C59)+(INDEX('Native PMKS'!$O$6:$O$366,D59)-INDEX('Native PMKS'!$O$6:$O$366,C59))*E59</f>
        <v>29.619171866295261</v>
      </c>
    </row>
    <row r="60" spans="1:7" ht="18.95" customHeight="1">
      <c r="A60" s="1">
        <v>54</v>
      </c>
      <c r="B60" s="6">
        <f>TimeStep!G60</f>
        <v>451.25348189415041</v>
      </c>
      <c r="C60" s="6">
        <f>MIN(MATCH(B60,'Native PMKS'!$C$6:$C$366,1),360)</f>
        <v>55</v>
      </c>
      <c r="D60" s="6">
        <f t="shared" si="0"/>
        <v>56</v>
      </c>
      <c r="E60" s="6">
        <f>(B60-INDEX('Native PMKS'!$C$6:$C$366,C60))/(INDEX('Native PMKS'!$C$6:$C$366,D60)-INDEX('Native PMKS'!$C$6:$C$366,C60))</f>
        <v>0.15041782729804287</v>
      </c>
      <c r="F60" s="6">
        <f>INDEX('Native PMKS'!$N$6:$N$366,C60)+(INDEX('Native PMKS'!$N$6:$N$366,D60)-INDEX('Native PMKS'!$N$6:$N$366,C60))*E60</f>
        <v>-29.756291643454041</v>
      </c>
      <c r="G60" s="6">
        <f>INDEX('Native PMKS'!$O$6:$O$366,C60)+(INDEX('Native PMKS'!$O$6:$O$366,D60)-INDEX('Native PMKS'!$O$6:$O$366,C60))*E60</f>
        <v>30.768278830083556</v>
      </c>
    </row>
    <row r="61" spans="1:7" ht="18.95" customHeight="1">
      <c r="A61" s="1">
        <v>55</v>
      </c>
      <c r="B61" s="6">
        <f>TimeStep!G61</f>
        <v>459.61002785515319</v>
      </c>
      <c r="C61" s="6">
        <f>MIN(MATCH(B61,'Native PMKS'!$C$6:$C$366,1),360)</f>
        <v>56</v>
      </c>
      <c r="D61" s="6">
        <f t="shared" si="0"/>
        <v>57</v>
      </c>
      <c r="E61" s="6">
        <f>(B61-INDEX('Native PMKS'!$C$6:$C$366,C61))/(INDEX('Native PMKS'!$C$6:$C$366,D61)-INDEX('Native PMKS'!$C$6:$C$366,C61))</f>
        <v>0.15320334261837878</v>
      </c>
      <c r="F61" s="6">
        <f>INDEX('Native PMKS'!$N$6:$N$366,C61)+(INDEX('Native PMKS'!$N$6:$N$366,D61)-INDEX('Native PMKS'!$N$6:$N$366,C61))*E61</f>
        <v>-29.124251253481898</v>
      </c>
      <c r="G61" s="6">
        <f>INDEX('Native PMKS'!$O$6:$O$366,C61)+(INDEX('Native PMKS'!$O$6:$O$366,D61)-INDEX('Native PMKS'!$O$6:$O$366,C61))*E61</f>
        <v>31.917455710306402</v>
      </c>
    </row>
    <row r="62" spans="1:7" ht="18.95" customHeight="1">
      <c r="A62" s="1">
        <v>56</v>
      </c>
      <c r="B62" s="6">
        <f>TimeStep!G62</f>
        <v>467.96657381615597</v>
      </c>
      <c r="C62" s="6">
        <f>MIN(MATCH(B62,'Native PMKS'!$C$6:$C$366,1),360)</f>
        <v>57</v>
      </c>
      <c r="D62" s="6">
        <f t="shared" si="0"/>
        <v>58</v>
      </c>
      <c r="E62" s="6">
        <f>(B62-INDEX('Native PMKS'!$C$6:$C$366,C62))/(INDEX('Native PMKS'!$C$6:$C$366,D62)-INDEX('Native PMKS'!$C$6:$C$366,C62))</f>
        <v>0.15598885793871362</v>
      </c>
      <c r="F62" s="6">
        <f>INDEX('Native PMKS'!$N$6:$N$366,C62)+(INDEX('Native PMKS'!$N$6:$N$366,D62)-INDEX('Native PMKS'!$N$6:$N$366,C62))*E62</f>
        <v>-28.492280222841227</v>
      </c>
      <c r="G62" s="6">
        <f>INDEX('Native PMKS'!$O$6:$O$366,C62)+(INDEX('Native PMKS'!$O$6:$O$366,D62)-INDEX('Native PMKS'!$O$6:$O$366,C62))*E62</f>
        <v>33.057609470752084</v>
      </c>
    </row>
    <row r="63" spans="1:7" ht="18.95" customHeight="1">
      <c r="A63" s="1">
        <v>57</v>
      </c>
      <c r="B63" s="6">
        <f>TimeStep!G63</f>
        <v>476.32311977715875</v>
      </c>
      <c r="C63" s="6">
        <f>MIN(MATCH(B63,'Native PMKS'!$C$6:$C$366,1),360)</f>
        <v>58</v>
      </c>
      <c r="D63" s="6">
        <f t="shared" si="0"/>
        <v>59</v>
      </c>
      <c r="E63" s="6">
        <f>(B63-INDEX('Native PMKS'!$C$6:$C$366,C63))/(INDEX('Native PMKS'!$C$6:$C$366,D63)-INDEX('Native PMKS'!$C$6:$C$366,C63))</f>
        <v>0.15877437325904376</v>
      </c>
      <c r="F63" s="6">
        <f>INDEX('Native PMKS'!$N$6:$N$366,C63)+(INDEX('Native PMKS'!$N$6:$N$366,D63)-INDEX('Native PMKS'!$N$6:$N$366,C63))*E63</f>
        <v>-27.860240389972152</v>
      </c>
      <c r="G63" s="6">
        <f>INDEX('Native PMKS'!$O$6:$O$366,C63)+(INDEX('Native PMKS'!$O$6:$O$366,D63)-INDEX('Native PMKS'!$O$6:$O$366,C63))*E63</f>
        <v>34.140144011142048</v>
      </c>
    </row>
    <row r="64" spans="1:7" ht="18.95" customHeight="1">
      <c r="A64" s="1">
        <v>58</v>
      </c>
      <c r="B64" s="6">
        <f>TimeStep!G64</f>
        <v>484.67966573816153</v>
      </c>
      <c r="C64" s="6">
        <f>MIN(MATCH(B64,'Native PMKS'!$C$6:$C$366,1),360)</f>
        <v>59</v>
      </c>
      <c r="D64" s="6">
        <f t="shared" si="0"/>
        <v>60</v>
      </c>
      <c r="E64" s="6">
        <f>(B64-INDEX('Native PMKS'!$C$6:$C$366,C64))/(INDEX('Native PMKS'!$C$6:$C$366,D64)-INDEX('Native PMKS'!$C$6:$C$366,C64))</f>
        <v>0.16155988857937964</v>
      </c>
      <c r="F64" s="6">
        <f>INDEX('Native PMKS'!$N$6:$N$366,C64)+(INDEX('Native PMKS'!$N$6:$N$366,D64)-INDEX('Native PMKS'!$N$6:$N$366,C64))*E64</f>
        <v>-27.237526183844018</v>
      </c>
      <c r="G64" s="6">
        <f>INDEX('Native PMKS'!$O$6:$O$366,C64)+(INDEX('Native PMKS'!$O$6:$O$366,D64)-INDEX('Native PMKS'!$O$6:$O$366,C64))*E64</f>
        <v>35.174316713091912</v>
      </c>
    </row>
    <row r="65" spans="1:7" ht="18.95" customHeight="1">
      <c r="A65" s="1">
        <v>59</v>
      </c>
      <c r="B65" s="6">
        <f>TimeStep!G65</f>
        <v>493.03621169916437</v>
      </c>
      <c r="C65" s="6">
        <f>MIN(MATCH(B65,'Native PMKS'!$C$6:$C$366,1),360)</f>
        <v>60</v>
      </c>
      <c r="D65" s="6">
        <f t="shared" si="0"/>
        <v>61</v>
      </c>
      <c r="E65" s="6">
        <f>(B65-INDEX('Native PMKS'!$C$6:$C$366,C65))/(INDEX('Native PMKS'!$C$6:$C$366,D65)-INDEX('Native PMKS'!$C$6:$C$366,C65))</f>
        <v>0.16434540389972124</v>
      </c>
      <c r="F65" s="6">
        <f>INDEX('Native PMKS'!$N$6:$N$366,C65)+(INDEX('Native PMKS'!$N$6:$N$366,D65)-INDEX('Native PMKS'!$N$6:$N$366,C65))*E65</f>
        <v>-26.653529526462396</v>
      </c>
      <c r="G65" s="6">
        <f>INDEX('Native PMKS'!$O$6:$O$366,C65)+(INDEX('Native PMKS'!$O$6:$O$366,D65)-INDEX('Native PMKS'!$O$6:$O$366,C65))*E65</f>
        <v>36.208505849582174</v>
      </c>
    </row>
    <row r="66" spans="1:7" ht="18.95" customHeight="1">
      <c r="A66" s="1">
        <v>60</v>
      </c>
      <c r="B66" s="6">
        <f>TimeStep!G66</f>
        <v>501.39275766016715</v>
      </c>
      <c r="C66" s="6">
        <f>MIN(MATCH(B66,'Native PMKS'!$C$6:$C$366,1),360)</f>
        <v>61</v>
      </c>
      <c r="D66" s="6">
        <f t="shared" si="0"/>
        <v>62</v>
      </c>
      <c r="E66" s="6">
        <f>(B66-INDEX('Native PMKS'!$C$6:$C$366,C66))/(INDEX('Native PMKS'!$C$6:$C$366,D66)-INDEX('Native PMKS'!$C$6:$C$366,C66))</f>
        <v>0.16713091922005144</v>
      </c>
      <c r="F66" s="6">
        <f>INDEX('Native PMKS'!$N$6:$N$366,C66)+(INDEX('Native PMKS'!$N$6:$N$366,D66)-INDEX('Native PMKS'!$N$6:$N$366,C66))*E66</f>
        <v>-26.03113398328691</v>
      </c>
      <c r="G66" s="6">
        <f>INDEX('Native PMKS'!$O$6:$O$366,C66)+(INDEX('Native PMKS'!$O$6:$O$366,D66)-INDEX('Native PMKS'!$O$6:$O$366,C66))*E66</f>
        <v>37.233185515320329</v>
      </c>
    </row>
    <row r="67" spans="1:7" ht="18.95" customHeight="1">
      <c r="A67" s="1">
        <v>61</v>
      </c>
      <c r="B67" s="6">
        <f>TimeStep!G67</f>
        <v>509.74930362116993</v>
      </c>
      <c r="C67" s="6">
        <f>MIN(MATCH(B67,'Native PMKS'!$C$6:$C$366,1),360)</f>
        <v>62</v>
      </c>
      <c r="D67" s="6">
        <f t="shared" si="0"/>
        <v>63</v>
      </c>
      <c r="E67" s="6">
        <f>(B67-INDEX('Native PMKS'!$C$6:$C$366,C67))/(INDEX('Native PMKS'!$C$6:$C$366,D67)-INDEX('Native PMKS'!$C$6:$C$366,C67))</f>
        <v>0.16991643454038619</v>
      </c>
      <c r="F67" s="6">
        <f>INDEX('Native PMKS'!$N$6:$N$366,C67)+(INDEX('Native PMKS'!$N$6:$N$366,D67)-INDEX('Native PMKS'!$N$6:$N$366,C67))*E67</f>
        <v>-25.456554874651811</v>
      </c>
      <c r="G67" s="6">
        <f>INDEX('Native PMKS'!$O$6:$O$366,C67)+(INDEX('Native PMKS'!$O$6:$O$366,D67)-INDEX('Native PMKS'!$O$6:$O$366,C67))*E67</f>
        <v>38.200162395543174</v>
      </c>
    </row>
    <row r="68" spans="1:7" ht="18.95" customHeight="1">
      <c r="A68" s="1">
        <v>62</v>
      </c>
      <c r="B68" s="6">
        <f>TimeStep!G68</f>
        <v>518.10584958217271</v>
      </c>
      <c r="C68" s="6">
        <f>MIN(MATCH(B68,'Native PMKS'!$C$6:$C$366,1),360)</f>
        <v>63</v>
      </c>
      <c r="D68" s="6">
        <f t="shared" si="0"/>
        <v>64</v>
      </c>
      <c r="E68" s="6">
        <f>(B68-INDEX('Native PMKS'!$C$6:$C$366,C68))/(INDEX('Native PMKS'!$C$6:$C$366,D68)-INDEX('Native PMKS'!$C$6:$C$366,C68))</f>
        <v>0.17270194986071757</v>
      </c>
      <c r="F68" s="6">
        <f>INDEX('Native PMKS'!$N$6:$N$366,C68)+(INDEX('Native PMKS'!$N$6:$N$366,D68)-INDEX('Native PMKS'!$N$6:$N$366,C68))*E68</f>
        <v>-24.882041782729811</v>
      </c>
      <c r="G68" s="6">
        <f>INDEX('Native PMKS'!$O$6:$O$366,C68)+(INDEX('Native PMKS'!$O$6:$O$366,D68)-INDEX('Native PMKS'!$O$6:$O$366,C68))*E68</f>
        <v>39.119433147632307</v>
      </c>
    </row>
    <row r="69" spans="1:7" ht="18.95" customHeight="1">
      <c r="A69" s="1">
        <v>63</v>
      </c>
      <c r="B69" s="6">
        <f>TimeStep!G69</f>
        <v>526.46239554317549</v>
      </c>
      <c r="C69" s="6">
        <f>MIN(MATCH(B69,'Native PMKS'!$C$6:$C$366,1),360)</f>
        <v>64</v>
      </c>
      <c r="D69" s="6">
        <f t="shared" si="0"/>
        <v>65</v>
      </c>
      <c r="E69" s="6">
        <f>(B69-INDEX('Native PMKS'!$C$6:$C$366,C69))/(INDEX('Native PMKS'!$C$6:$C$366,D69)-INDEX('Native PMKS'!$C$6:$C$366,C69))</f>
        <v>0.17548746518105793</v>
      </c>
      <c r="F69" s="6">
        <f>INDEX('Native PMKS'!$N$6:$N$366,C69)+(INDEX('Native PMKS'!$N$6:$N$366,D69)-INDEX('Native PMKS'!$N$6:$N$366,C69))*E69</f>
        <v>-24.307445682451256</v>
      </c>
      <c r="G69" s="6">
        <f>INDEX('Native PMKS'!$O$6:$O$366,C69)+(INDEX('Native PMKS'!$O$6:$O$366,D69)-INDEX('Native PMKS'!$O$6:$O$366,C69))*E69</f>
        <v>40.038769359331475</v>
      </c>
    </row>
    <row r="70" spans="1:7" ht="18.95" customHeight="1">
      <c r="A70" s="1">
        <v>64</v>
      </c>
      <c r="B70" s="6">
        <f>TimeStep!G70</f>
        <v>534.81894150417827</v>
      </c>
      <c r="C70" s="6">
        <f>MIN(MATCH(B70,'Native PMKS'!$C$6:$C$366,1),360)</f>
        <v>65</v>
      </c>
      <c r="D70" s="6">
        <f t="shared" ref="D70:D133" si="1">C70+1</f>
        <v>66</v>
      </c>
      <c r="E70" s="6">
        <f>(B70-INDEX('Native PMKS'!$C$6:$C$366,C70))/(INDEX('Native PMKS'!$C$6:$C$366,D70)-INDEX('Native PMKS'!$C$6:$C$366,C70))</f>
        <v>0.17827298050138699</v>
      </c>
      <c r="F70" s="6">
        <f>INDEX('Native PMKS'!$N$6:$N$366,C70)+(INDEX('Native PMKS'!$N$6:$N$366,D70)-INDEX('Native PMKS'!$N$6:$N$366,C70))*E70</f>
        <v>-23.732867409470757</v>
      </c>
      <c r="G70" s="6">
        <f>INDEX('Native PMKS'!$O$6:$O$366,C70)+(INDEX('Native PMKS'!$O$6:$O$366,D70)-INDEX('Native PMKS'!$O$6:$O$366,C70))*E70</f>
        <v>40.947807799442892</v>
      </c>
    </row>
    <row r="71" spans="1:7" ht="18.95" customHeight="1">
      <c r="A71" s="1">
        <v>65</v>
      </c>
      <c r="B71" s="6">
        <f>TimeStep!G71</f>
        <v>543.17548746518105</v>
      </c>
      <c r="C71" s="6">
        <f>MIN(MATCH(B71,'Native PMKS'!$C$6:$C$366,1),360)</f>
        <v>66</v>
      </c>
      <c r="D71" s="6">
        <f t="shared" si="1"/>
        <v>67</v>
      </c>
      <c r="E71" s="6">
        <f>(B71-INDEX('Native PMKS'!$C$6:$C$366,C71))/(INDEX('Native PMKS'!$C$6:$C$366,D71)-INDEX('Native PMKS'!$C$6:$C$366,C71))</f>
        <v>0.18105849582171851</v>
      </c>
      <c r="F71" s="6">
        <f>INDEX('Native PMKS'!$N$6:$N$366,C71)+(INDEX('Native PMKS'!$N$6:$N$366,D71)-INDEX('Native PMKS'!$N$6:$N$366,C71))*E71</f>
        <v>-23.158353481894157</v>
      </c>
      <c r="G71" s="6">
        <f>INDEX('Native PMKS'!$O$6:$O$366,C71)+(INDEX('Native PMKS'!$O$6:$O$366,D71)-INDEX('Native PMKS'!$O$6:$O$366,C71))*E71</f>
        <v>41.809619777158773</v>
      </c>
    </row>
    <row r="72" spans="1:7" ht="18.95" customHeight="1">
      <c r="A72" s="1">
        <v>66</v>
      </c>
      <c r="B72" s="6">
        <f>TimeStep!G72</f>
        <v>551.53203342618383</v>
      </c>
      <c r="C72" s="6">
        <f>MIN(MATCH(B72,'Native PMKS'!$C$6:$C$366,1),360)</f>
        <v>67</v>
      </c>
      <c r="D72" s="6">
        <f t="shared" si="1"/>
        <v>68</v>
      </c>
      <c r="E72" s="6">
        <f>(B72-INDEX('Native PMKS'!$C$6:$C$366,C72))/(INDEX('Native PMKS'!$C$6:$C$366,D72)-INDEX('Native PMKS'!$C$6:$C$366,C72))</f>
        <v>0.18384401114205873</v>
      </c>
      <c r="F72" s="6">
        <f>INDEX('Native PMKS'!$N$6:$N$366,C72)+(INDEX('Native PMKS'!$N$6:$N$366,D72)-INDEX('Native PMKS'!$N$6:$N$366,C72))*E72</f>
        <v>-22.594310027855155</v>
      </c>
      <c r="G72" s="6">
        <f>INDEX('Native PMKS'!$O$6:$O$366,C72)+(INDEX('Native PMKS'!$O$6:$O$366,D72)-INDEX('Native PMKS'!$O$6:$O$366,C72))*E72</f>
        <v>42.660961281337045</v>
      </c>
    </row>
    <row r="73" spans="1:7" ht="18.95" customHeight="1">
      <c r="A73" s="1">
        <v>67</v>
      </c>
      <c r="B73" s="6">
        <f>TimeStep!G73</f>
        <v>559.88857938718661</v>
      </c>
      <c r="C73" s="6">
        <f>MIN(MATCH(B73,'Native PMKS'!$C$6:$C$366,1),360)</f>
        <v>68</v>
      </c>
      <c r="D73" s="6">
        <f t="shared" si="1"/>
        <v>69</v>
      </c>
      <c r="E73" s="6">
        <f>(B73-INDEX('Native PMKS'!$C$6:$C$366,C73))/(INDEX('Native PMKS'!$C$6:$C$366,D73)-INDEX('Native PMKS'!$C$6:$C$366,C73))</f>
        <v>0.18662952646238778</v>
      </c>
      <c r="F73" s="6">
        <f>INDEX('Native PMKS'!$N$6:$N$366,C73)+(INDEX('Native PMKS'!$N$6:$N$366,D73)-INDEX('Native PMKS'!$N$6:$N$366,C73))*E73</f>
        <v>-22.077255153203346</v>
      </c>
      <c r="G73" s="6">
        <f>INDEX('Native PMKS'!$O$6:$O$366,C73)+(INDEX('Native PMKS'!$O$6:$O$366,D73)-INDEX('Native PMKS'!$O$6:$O$366,C73))*E73</f>
        <v>43.465314206128127</v>
      </c>
    </row>
    <row r="74" spans="1:7" ht="18.95" customHeight="1">
      <c r="A74" s="1">
        <v>68</v>
      </c>
      <c r="B74" s="6">
        <f>TimeStep!G74</f>
        <v>568.24512534818939</v>
      </c>
      <c r="C74" s="6">
        <f>MIN(MATCH(B74,'Native PMKS'!$C$6:$C$366,1),360)</f>
        <v>69</v>
      </c>
      <c r="D74" s="6">
        <f t="shared" si="1"/>
        <v>70</v>
      </c>
      <c r="E74" s="6">
        <f>(B74-INDEX('Native PMKS'!$C$6:$C$366,C74))/(INDEX('Native PMKS'!$C$6:$C$366,D74)-INDEX('Native PMKS'!$C$6:$C$366,C74))</f>
        <v>0.18941504178271942</v>
      </c>
      <c r="F74" s="6">
        <f>INDEX('Native PMKS'!$N$6:$N$366,C74)+(INDEX('Native PMKS'!$N$6:$N$366,D74)-INDEX('Native PMKS'!$N$6:$N$366,C74))*E74</f>
        <v>-21.549265181058502</v>
      </c>
      <c r="G74" s="6">
        <f>INDEX('Native PMKS'!$O$6:$O$366,C74)+(INDEX('Native PMKS'!$O$6:$O$366,D74)-INDEX('Native PMKS'!$O$6:$O$366,C74))*E74</f>
        <v>44.269729805013924</v>
      </c>
    </row>
    <row r="75" spans="1:7" ht="18.95" customHeight="1">
      <c r="A75" s="1">
        <v>69</v>
      </c>
      <c r="B75" s="6">
        <f>TimeStep!G75</f>
        <v>576.60167130919217</v>
      </c>
      <c r="C75" s="6">
        <f>MIN(MATCH(B75,'Native PMKS'!$C$6:$C$366,1),360)</f>
        <v>70</v>
      </c>
      <c r="D75" s="6">
        <f t="shared" si="1"/>
        <v>71</v>
      </c>
      <c r="E75" s="6">
        <f>(B75-INDEX('Native PMKS'!$C$6:$C$366,C75))/(INDEX('Native PMKS'!$C$6:$C$366,D75)-INDEX('Native PMKS'!$C$6:$C$366,C75))</f>
        <v>0.19220055710305955</v>
      </c>
      <c r="F75" s="6">
        <f>INDEX('Native PMKS'!$N$6:$N$366,C75)+(INDEX('Native PMKS'!$N$6:$N$366,D75)-INDEX('Native PMKS'!$N$6:$N$366,C75))*E75</f>
        <v>-20.985701392757662</v>
      </c>
      <c r="G75" s="6">
        <f>INDEX('Native PMKS'!$O$6:$O$366,C75)+(INDEX('Native PMKS'!$O$6:$O$366,D75)-INDEX('Native PMKS'!$O$6:$O$366,C75))*E75</f>
        <v>45.063050974930356</v>
      </c>
    </row>
    <row r="76" spans="1:7" ht="18.95" customHeight="1">
      <c r="A76" s="1">
        <v>70</v>
      </c>
      <c r="B76" s="6">
        <f>TimeStep!G76</f>
        <v>584.95821727019495</v>
      </c>
      <c r="C76" s="6">
        <f>MIN(MATCH(B76,'Native PMKS'!$C$6:$C$366,1),360)</f>
        <v>71</v>
      </c>
      <c r="D76" s="6">
        <f t="shared" si="1"/>
        <v>72</v>
      </c>
      <c r="E76" s="6">
        <f>(B76-INDEX('Native PMKS'!$C$6:$C$366,C76))/(INDEX('Native PMKS'!$C$6:$C$366,D76)-INDEX('Native PMKS'!$C$6:$C$366,C76))</f>
        <v>0.19498607242338861</v>
      </c>
      <c r="F76" s="6">
        <f>INDEX('Native PMKS'!$N$6:$N$366,C76)+(INDEX('Native PMKS'!$N$6:$N$366,D76)-INDEX('Native PMKS'!$N$6:$N$366,C76))*E76</f>
        <v>-20.468645682451257</v>
      </c>
      <c r="G76" s="6">
        <f>INDEX('Native PMKS'!$O$6:$O$366,C76)+(INDEX('Native PMKS'!$O$6:$O$366,D76)-INDEX('Native PMKS'!$O$6:$O$366,C76))*E76</f>
        <v>45.809945125348186</v>
      </c>
    </row>
    <row r="77" spans="1:7" ht="18.95" customHeight="1">
      <c r="A77" s="1">
        <v>71</v>
      </c>
      <c r="B77" s="6">
        <f>TimeStep!G77</f>
        <v>593.31476323119773</v>
      </c>
      <c r="C77" s="6">
        <f>MIN(MATCH(B77,'Native PMKS'!$C$6:$C$366,1),360)</f>
        <v>72</v>
      </c>
      <c r="D77" s="6">
        <f t="shared" si="1"/>
        <v>73</v>
      </c>
      <c r="E77" s="6">
        <f>(B77-INDEX('Native PMKS'!$C$6:$C$366,C77))/(INDEX('Native PMKS'!$C$6:$C$366,D77)-INDEX('Native PMKS'!$C$6:$C$366,C77))</f>
        <v>0.19777158774372036</v>
      </c>
      <c r="F77" s="6">
        <f>INDEX('Native PMKS'!$N$6:$N$366,C77)+(INDEX('Native PMKS'!$N$6:$N$366,D77)-INDEX('Native PMKS'!$N$6:$N$366,C77))*E77</f>
        <v>-19.951528969359337</v>
      </c>
      <c r="G77" s="6">
        <f>INDEX('Native PMKS'!$O$6:$O$366,C77)+(INDEX('Native PMKS'!$O$6:$O$366,D77)-INDEX('Native PMKS'!$O$6:$O$366,C77))*E77</f>
        <v>46.545567966573806</v>
      </c>
    </row>
    <row r="78" spans="1:7" ht="18.95" customHeight="1">
      <c r="A78" s="1">
        <v>72</v>
      </c>
      <c r="B78" s="6">
        <f>TimeStep!G78</f>
        <v>601.67130919220051</v>
      </c>
      <c r="C78" s="6">
        <f>MIN(MATCH(B78,'Native PMKS'!$C$6:$C$366,1),360)</f>
        <v>73</v>
      </c>
      <c r="D78" s="6">
        <f t="shared" si="1"/>
        <v>74</v>
      </c>
      <c r="E78" s="6">
        <f>(B78-INDEX('Native PMKS'!$C$6:$C$366,C78))/(INDEX('Native PMKS'!$C$6:$C$366,D78)-INDEX('Native PMKS'!$C$6:$C$366,C78))</f>
        <v>0.20055710306406035</v>
      </c>
      <c r="F78" s="6">
        <f>INDEX('Native PMKS'!$N$6:$N$366,C78)+(INDEX('Native PMKS'!$N$6:$N$366,D78)-INDEX('Native PMKS'!$N$6:$N$366,C78))*E78</f>
        <v>-19.445964623955437</v>
      </c>
      <c r="G78" s="6">
        <f>INDEX('Native PMKS'!$O$6:$O$366,C78)+(INDEX('Native PMKS'!$O$6:$O$366,D78)-INDEX('Native PMKS'!$O$6:$O$366,C78))*E78</f>
        <v>47.235003064066845</v>
      </c>
    </row>
    <row r="79" spans="1:7" ht="18.95" customHeight="1">
      <c r="A79" s="1">
        <v>73</v>
      </c>
      <c r="B79" s="6">
        <f>TimeStep!G79</f>
        <v>610.02785515320329</v>
      </c>
      <c r="C79" s="6">
        <f>MIN(MATCH(B79,'Native PMKS'!$C$6:$C$366,1),360)</f>
        <v>74</v>
      </c>
      <c r="D79" s="6">
        <f t="shared" si="1"/>
        <v>75</v>
      </c>
      <c r="E79" s="6">
        <f>(B79-INDEX('Native PMKS'!$C$6:$C$366,C79))/(INDEX('Native PMKS'!$C$6:$C$366,D79)-INDEX('Native PMKS'!$C$6:$C$366,C79))</f>
        <v>0.20334261838438941</v>
      </c>
      <c r="F79" s="6">
        <f>INDEX('Native PMKS'!$N$6:$N$366,C79)+(INDEX('Native PMKS'!$N$6:$N$366,D79)-INDEX('Native PMKS'!$N$6:$N$366,C79))*E79</f>
        <v>-18.97463621169917</v>
      </c>
      <c r="G79" s="6">
        <f>INDEX('Native PMKS'!$O$6:$O$366,C79)+(INDEX('Native PMKS'!$O$6:$O$366,D79)-INDEX('Native PMKS'!$O$6:$O$366,C79))*E79</f>
        <v>47.912846518105844</v>
      </c>
    </row>
    <row r="80" spans="1:7" ht="18.95" customHeight="1">
      <c r="A80" s="1">
        <v>74</v>
      </c>
      <c r="B80" s="6">
        <f>TimeStep!G80</f>
        <v>618.38440111420607</v>
      </c>
      <c r="C80" s="6">
        <f>MIN(MATCH(B80,'Native PMKS'!$C$6:$C$366,1),360)</f>
        <v>75</v>
      </c>
      <c r="D80" s="6">
        <f t="shared" si="1"/>
        <v>76</v>
      </c>
      <c r="E80" s="6">
        <f>(B80-INDEX('Native PMKS'!$C$6:$C$366,C80))/(INDEX('Native PMKS'!$C$6:$C$366,D80)-INDEX('Native PMKS'!$C$6:$C$366,C80))</f>
        <v>0.20612813370472127</v>
      </c>
      <c r="F80" s="6">
        <f>INDEX('Native PMKS'!$N$6:$N$366,C80)+(INDEX('Native PMKS'!$N$6:$N$366,D80)-INDEX('Native PMKS'!$N$6:$N$366,C80))*E80</f>
        <v>-18.457520334261847</v>
      </c>
      <c r="G80" s="6">
        <f>INDEX('Native PMKS'!$O$6:$O$366,C80)+(INDEX('Native PMKS'!$O$6:$O$366,D80)-INDEX('Native PMKS'!$O$6:$O$366,C80))*E80</f>
        <v>48.556633704735368</v>
      </c>
    </row>
    <row r="81" spans="1:7" ht="18.95" customHeight="1">
      <c r="A81" s="1">
        <v>75</v>
      </c>
      <c r="B81" s="6">
        <f>TimeStep!G81</f>
        <v>626.74094707520896</v>
      </c>
      <c r="C81" s="6">
        <f>MIN(MATCH(B81,'Native PMKS'!$C$6:$C$366,1),360)</f>
        <v>76</v>
      </c>
      <c r="D81" s="6">
        <f t="shared" si="1"/>
        <v>77</v>
      </c>
      <c r="E81" s="6">
        <f>(B81-INDEX('Native PMKS'!$C$6:$C$366,C81))/(INDEX('Native PMKS'!$C$6:$C$366,D81)-INDEX('Native PMKS'!$C$6:$C$366,C81))</f>
        <v>0.20891364902507481</v>
      </c>
      <c r="F81" s="6">
        <f>INDEX('Native PMKS'!$N$6:$N$366,C81)+(INDEX('Native PMKS'!$N$6:$N$366,D81)-INDEX('Native PMKS'!$N$6:$N$366,C81))*E81</f>
        <v>-17.952433983286905</v>
      </c>
      <c r="G81" s="6">
        <f>INDEX('Native PMKS'!$O$6:$O$366,C81)+(INDEX('Native PMKS'!$O$6:$O$366,D81)-INDEX('Native PMKS'!$O$6:$O$366,C81))*E81</f>
        <v>49.222186629526462</v>
      </c>
    </row>
    <row r="82" spans="1:7" ht="18.95" customHeight="1">
      <c r="A82" s="1">
        <v>76</v>
      </c>
      <c r="B82" s="6">
        <f>TimeStep!G82</f>
        <v>635.09749303621174</v>
      </c>
      <c r="C82" s="6">
        <f>MIN(MATCH(B82,'Native PMKS'!$C$6:$C$366,1),360)</f>
        <v>77</v>
      </c>
      <c r="D82" s="6">
        <f t="shared" si="1"/>
        <v>78</v>
      </c>
      <c r="E82" s="6">
        <f>(B82-INDEX('Native PMKS'!$C$6:$C$366,C82))/(INDEX('Native PMKS'!$C$6:$C$366,D82)-INDEX('Native PMKS'!$C$6:$C$366,C82))</f>
        <v>0.21169916434540387</v>
      </c>
      <c r="F82" s="6">
        <f>INDEX('Native PMKS'!$N$6:$N$366,C82)+(INDEX('Native PMKS'!$N$6:$N$366,D82)-INDEX('Native PMKS'!$N$6:$N$366,C82))*E82</f>
        <v>-17.492757103064069</v>
      </c>
      <c r="G82" s="6">
        <f>INDEX('Native PMKS'!$O$6:$O$366,C82)+(INDEX('Native PMKS'!$O$6:$O$366,D82)-INDEX('Native PMKS'!$O$6:$O$366,C82))*E82</f>
        <v>49.80883398328691</v>
      </c>
    </row>
    <row r="83" spans="1:7" ht="18.95" customHeight="1">
      <c r="A83" s="1">
        <v>77</v>
      </c>
      <c r="B83" s="6">
        <f>TimeStep!G83</f>
        <v>643.45403899721452</v>
      </c>
      <c r="C83" s="6">
        <f>MIN(MATCH(B83,'Native PMKS'!$C$6:$C$366,1),360)</f>
        <v>78</v>
      </c>
      <c r="D83" s="6">
        <f t="shared" si="1"/>
        <v>79</v>
      </c>
      <c r="E83" s="6">
        <f>(B83-INDEX('Native PMKS'!$C$6:$C$366,C83))/(INDEX('Native PMKS'!$C$6:$C$366,D83)-INDEX('Native PMKS'!$C$6:$C$366,C83))</f>
        <v>0.21448467966573584</v>
      </c>
      <c r="F83" s="6">
        <f>INDEX('Native PMKS'!$N$6:$N$366,C83)+(INDEX('Native PMKS'!$N$6:$N$366,D83)-INDEX('Native PMKS'!$N$6:$N$366,C83))*E83</f>
        <v>-17.020811699164344</v>
      </c>
      <c r="G83" s="6">
        <f>INDEX('Native PMKS'!$O$6:$O$366,C83)+(INDEX('Native PMKS'!$O$6:$O$366,D83)-INDEX('Native PMKS'!$O$6:$O$366,C83))*E83</f>
        <v>50.428599721448471</v>
      </c>
    </row>
    <row r="84" spans="1:7" ht="18.95" customHeight="1">
      <c r="A84" s="1">
        <v>78</v>
      </c>
      <c r="B84" s="6">
        <f>TimeStep!G84</f>
        <v>651.81058495821731</v>
      </c>
      <c r="C84" s="6">
        <f>MIN(MATCH(B84,'Native PMKS'!$C$6:$C$366,1),360)</f>
        <v>79</v>
      </c>
      <c r="D84" s="6">
        <f t="shared" si="1"/>
        <v>80</v>
      </c>
      <c r="E84" s="6">
        <f>(B84-INDEX('Native PMKS'!$C$6:$C$366,C84))/(INDEX('Native PMKS'!$C$6:$C$366,D84)-INDEX('Native PMKS'!$C$6:$C$366,C84))</f>
        <v>0.21727019498607561</v>
      </c>
      <c r="F84" s="6">
        <f>INDEX('Native PMKS'!$N$6:$N$366,C84)+(INDEX('Native PMKS'!$N$6:$N$366,D84)-INDEX('Native PMKS'!$N$6:$N$366,C84))*E84</f>
        <v>-16.516203342618383</v>
      </c>
      <c r="G84" s="6">
        <f>INDEX('Native PMKS'!$O$6:$O$366,C84)+(INDEX('Native PMKS'!$O$6:$O$366,D84)-INDEX('Native PMKS'!$O$6:$O$366,C84))*E84</f>
        <v>51.003174094707525</v>
      </c>
    </row>
    <row r="85" spans="1:7" ht="18.95" customHeight="1">
      <c r="A85" s="1">
        <v>79</v>
      </c>
      <c r="B85" s="6">
        <f>TimeStep!G85</f>
        <v>660.16713091922009</v>
      </c>
      <c r="C85" s="6">
        <f>MIN(MATCH(B85,'Native PMKS'!$C$6:$C$366,1),360)</f>
        <v>80</v>
      </c>
      <c r="D85" s="6">
        <f t="shared" si="1"/>
        <v>81</v>
      </c>
      <c r="E85" s="6">
        <f>(B85-INDEX('Native PMKS'!$C$6:$C$366,C85))/(INDEX('Native PMKS'!$C$6:$C$366,D85)-INDEX('Native PMKS'!$C$6:$C$366,C85))</f>
        <v>0.22005571030640467</v>
      </c>
      <c r="F85" s="6">
        <f>INDEX('Native PMKS'!$N$6:$N$366,C85)+(INDEX('Native PMKS'!$N$6:$N$366,D85)-INDEX('Native PMKS'!$N$6:$N$366,C85))*E85</f>
        <v>-16.056526462395542</v>
      </c>
      <c r="G85" s="6">
        <f>INDEX('Native PMKS'!$O$6:$O$366,C85)+(INDEX('Native PMKS'!$O$6:$O$366,D85)-INDEX('Native PMKS'!$O$6:$O$366,C85))*E85</f>
        <v>51.565082729805013</v>
      </c>
    </row>
    <row r="86" spans="1:7" ht="18.95" customHeight="1">
      <c r="A86" s="1">
        <v>80</v>
      </c>
      <c r="B86" s="6">
        <f>TimeStep!G86</f>
        <v>668.52367688022287</v>
      </c>
      <c r="C86" s="6">
        <f>MIN(MATCH(B86,'Native PMKS'!$C$6:$C$366,1),360)</f>
        <v>81</v>
      </c>
      <c r="D86" s="6">
        <f t="shared" si="1"/>
        <v>82</v>
      </c>
      <c r="E86" s="6">
        <f>(B86-INDEX('Native PMKS'!$C$6:$C$366,C86))/(INDEX('Native PMKS'!$C$6:$C$366,D86)-INDEX('Native PMKS'!$C$6:$C$366,C86))</f>
        <v>0.22284122562673678</v>
      </c>
      <c r="F86" s="6">
        <f>INDEX('Native PMKS'!$N$6:$N$366,C86)+(INDEX('Native PMKS'!$N$6:$N$366,D86)-INDEX('Native PMKS'!$N$6:$N$366,C86))*E86</f>
        <v>-15.596871866295267</v>
      </c>
      <c r="G86" s="6">
        <f>INDEX('Native PMKS'!$O$6:$O$366,C86)+(INDEX('Native PMKS'!$O$6:$O$366,D86)-INDEX('Native PMKS'!$O$6:$O$366,C86))*E86</f>
        <v>52.082196935933148</v>
      </c>
    </row>
    <row r="87" spans="1:7" ht="18.95" customHeight="1">
      <c r="A87" s="1">
        <v>81</v>
      </c>
      <c r="B87" s="6">
        <f>TimeStep!G87</f>
        <v>676.88022284122565</v>
      </c>
      <c r="C87" s="6">
        <f>MIN(MATCH(B87,'Native PMKS'!$C$6:$C$366,1),360)</f>
        <v>82</v>
      </c>
      <c r="D87" s="6">
        <f t="shared" si="1"/>
        <v>83</v>
      </c>
      <c r="E87" s="6">
        <f>(B87-INDEX('Native PMKS'!$C$6:$C$366,C87))/(INDEX('Native PMKS'!$C$6:$C$366,D87)-INDEX('Native PMKS'!$C$6:$C$366,C87))</f>
        <v>0.22562674094707644</v>
      </c>
      <c r="F87" s="6">
        <f>INDEX('Native PMKS'!$N$6:$N$366,C87)+(INDEX('Native PMKS'!$N$6:$N$366,D87)-INDEX('Native PMKS'!$N$6:$N$366,C87))*E87</f>
        <v>-15.137272701949859</v>
      </c>
      <c r="G87" s="6">
        <f>INDEX('Native PMKS'!$O$6:$O$366,C87)+(INDEX('Native PMKS'!$O$6:$O$366,D87)-INDEX('Native PMKS'!$O$6:$O$366,C87))*E87</f>
        <v>52.599255710306409</v>
      </c>
    </row>
    <row r="88" spans="1:7" ht="18.95" customHeight="1">
      <c r="A88" s="1">
        <v>82</v>
      </c>
      <c r="B88" s="6">
        <f>TimeStep!G88</f>
        <v>685.23676880222843</v>
      </c>
      <c r="C88" s="6">
        <f>MIN(MATCH(B88,'Native PMKS'!$C$6:$C$366,1),360)</f>
        <v>83</v>
      </c>
      <c r="D88" s="6">
        <f t="shared" si="1"/>
        <v>84</v>
      </c>
      <c r="E88" s="6">
        <f>(B88-INDEX('Native PMKS'!$C$6:$C$366,C88))/(INDEX('Native PMKS'!$C$6:$C$366,D88)-INDEX('Native PMKS'!$C$6:$C$366,C88))</f>
        <v>0.22841225626740547</v>
      </c>
      <c r="F88" s="6">
        <f>INDEX('Native PMKS'!$N$6:$N$366,C88)+(INDEX('Native PMKS'!$N$6:$N$366,D88)-INDEX('Native PMKS'!$N$6:$N$366,C88))*E88</f>
        <v>-14.690683844011144</v>
      </c>
      <c r="G88" s="6">
        <f>INDEX('Native PMKS'!$O$6:$O$366,C88)+(INDEX('Native PMKS'!$O$6:$O$366,D88)-INDEX('Native PMKS'!$O$6:$O$366,C88))*E88</f>
        <v>53.103304178272978</v>
      </c>
    </row>
    <row r="89" spans="1:7" ht="18.95" customHeight="1">
      <c r="A89" s="1">
        <v>83</v>
      </c>
      <c r="B89" s="6">
        <f>TimeStep!G89</f>
        <v>693.59331476323121</v>
      </c>
      <c r="C89" s="6">
        <f>MIN(MATCH(B89,'Native PMKS'!$C$6:$C$366,1),360)</f>
        <v>84</v>
      </c>
      <c r="D89" s="6">
        <f t="shared" si="1"/>
        <v>85</v>
      </c>
      <c r="E89" s="6">
        <f>(B89-INDEX('Native PMKS'!$C$6:$C$366,C89))/(INDEX('Native PMKS'!$C$6:$C$366,D89)-INDEX('Native PMKS'!$C$6:$C$366,C89))</f>
        <v>0.23119777158773769</v>
      </c>
      <c r="F89" s="6">
        <f>INDEX('Native PMKS'!$N$6:$N$366,C89)+(INDEX('Native PMKS'!$N$6:$N$366,D89)-INDEX('Native PMKS'!$N$6:$N$366,C89))*E89</f>
        <v>-14.27524206128134</v>
      </c>
      <c r="G89" s="6">
        <f>INDEX('Native PMKS'!$O$6:$O$366,C89)+(INDEX('Native PMKS'!$O$6:$O$366,D89)-INDEX('Native PMKS'!$O$6:$O$366,C89))*E89</f>
        <v>53.562957938718661</v>
      </c>
    </row>
    <row r="90" spans="1:7" ht="18.95" customHeight="1">
      <c r="A90" s="1">
        <v>84</v>
      </c>
      <c r="B90" s="6">
        <f>TimeStep!G90</f>
        <v>701.94986072423399</v>
      </c>
      <c r="C90" s="6">
        <f>MIN(MATCH(B90,'Native PMKS'!$C$6:$C$366,1),360)</f>
        <v>85</v>
      </c>
      <c r="D90" s="6">
        <f t="shared" si="1"/>
        <v>86</v>
      </c>
      <c r="E90" s="6">
        <f>(B90-INDEX('Native PMKS'!$C$6:$C$366,C90))/(INDEX('Native PMKS'!$C$6:$C$366,D90)-INDEX('Native PMKS'!$C$6:$C$366,C90))</f>
        <v>0.23398328690807724</v>
      </c>
      <c r="F90" s="6">
        <f>INDEX('Native PMKS'!$N$6:$N$366,C90)+(INDEX('Native PMKS'!$N$6:$N$366,D90)-INDEX('Native PMKS'!$N$6:$N$366,C90))*E90</f>
        <v>-13.815642061281338</v>
      </c>
      <c r="G90" s="6">
        <f>INDEX('Native PMKS'!$O$6:$O$366,C90)+(INDEX('Native PMKS'!$O$6:$O$366,D90)-INDEX('Native PMKS'!$O$6:$O$366,C90))*E90</f>
        <v>54.022557938718663</v>
      </c>
    </row>
    <row r="91" spans="1:7" ht="18.95" customHeight="1">
      <c r="A91" s="1">
        <v>85</v>
      </c>
      <c r="B91" s="6">
        <f>TimeStep!G91</f>
        <v>710.30640668523677</v>
      </c>
      <c r="C91" s="6">
        <f>MIN(MATCH(B91,'Native PMKS'!$C$6:$C$366,1),360)</f>
        <v>86</v>
      </c>
      <c r="D91" s="6">
        <f t="shared" si="1"/>
        <v>87</v>
      </c>
      <c r="E91" s="6">
        <f>(B91-INDEX('Native PMKS'!$C$6:$C$366,C91))/(INDEX('Native PMKS'!$C$6:$C$366,D91)-INDEX('Native PMKS'!$C$6:$C$366,C91))</f>
        <v>0.23676880222840629</v>
      </c>
      <c r="F91" s="6">
        <f>INDEX('Native PMKS'!$N$6:$N$366,C91)+(INDEX('Native PMKS'!$N$6:$N$366,D91)-INDEX('Native PMKS'!$N$6:$N$366,C91))*E91</f>
        <v>-13.369532033426186</v>
      </c>
      <c r="G91" s="6">
        <f>INDEX('Native PMKS'!$O$6:$O$366,C91)+(INDEX('Native PMKS'!$O$6:$O$366,D91)-INDEX('Native PMKS'!$O$6:$O$366,C91))*E91</f>
        <v>54.468667966573811</v>
      </c>
    </row>
    <row r="92" spans="1:7" ht="18.95" customHeight="1">
      <c r="A92" s="1">
        <v>86</v>
      </c>
      <c r="B92" s="6">
        <f>TimeStep!G92</f>
        <v>718.66295264623955</v>
      </c>
      <c r="C92" s="6">
        <f>MIN(MATCH(B92,'Native PMKS'!$C$6:$C$366,1),360)</f>
        <v>87</v>
      </c>
      <c r="D92" s="6">
        <f t="shared" si="1"/>
        <v>88</v>
      </c>
      <c r="E92" s="6">
        <f>(B92-INDEX('Native PMKS'!$C$6:$C$366,C92))/(INDEX('Native PMKS'!$C$6:$C$366,D92)-INDEX('Native PMKS'!$C$6:$C$366,C92))</f>
        <v>0.23955431754873863</v>
      </c>
      <c r="F92" s="6">
        <f>INDEX('Native PMKS'!$N$6:$N$366,C92)+(INDEX('Native PMKS'!$N$6:$N$366,D92)-INDEX('Native PMKS'!$N$6:$N$366,C92))*E92</f>
        <v>-12.953612256267412</v>
      </c>
      <c r="G92" s="6">
        <f>INDEX('Native PMKS'!$O$6:$O$366,C92)+(INDEX('Native PMKS'!$O$6:$O$366,D92)-INDEX('Native PMKS'!$O$6:$O$366,C92))*E92</f>
        <v>54.884587743732588</v>
      </c>
    </row>
    <row r="93" spans="1:7" ht="18.95" customHeight="1">
      <c r="A93" s="1">
        <v>87</v>
      </c>
      <c r="B93" s="6">
        <f>TimeStep!G93</f>
        <v>727.01949860724233</v>
      </c>
      <c r="C93" s="6">
        <f>MIN(MATCH(B93,'Native PMKS'!$C$6:$C$366,1),360)</f>
        <v>88</v>
      </c>
      <c r="D93" s="6">
        <f t="shared" si="1"/>
        <v>89</v>
      </c>
      <c r="E93" s="6">
        <f>(B93-INDEX('Native PMKS'!$C$6:$C$366,C93))/(INDEX('Native PMKS'!$C$6:$C$366,D93)-INDEX('Native PMKS'!$C$6:$C$366,C93))</f>
        <v>0.24233983286907804</v>
      </c>
      <c r="F93" s="6">
        <f>INDEX('Native PMKS'!$N$6:$N$366,C93)+(INDEX('Native PMKS'!$N$6:$N$366,D93)-INDEX('Native PMKS'!$N$6:$N$366,C93))*E93</f>
        <v>-12.507897493036213</v>
      </c>
      <c r="G93" s="6">
        <f>INDEX('Native PMKS'!$O$6:$O$366,C93)+(INDEX('Native PMKS'!$O$6:$O$366,D93)-INDEX('Native PMKS'!$O$6:$O$366,C93))*E93</f>
        <v>55.316416434540393</v>
      </c>
    </row>
    <row r="94" spans="1:7" ht="18.95" customHeight="1">
      <c r="A94" s="1">
        <v>88</v>
      </c>
      <c r="B94" s="6">
        <f>TimeStep!G94</f>
        <v>735.37604456824511</v>
      </c>
      <c r="C94" s="6">
        <f>MIN(MATCH(B94,'Native PMKS'!$C$6:$C$366,1),360)</f>
        <v>89</v>
      </c>
      <c r="D94" s="6">
        <f t="shared" si="1"/>
        <v>90</v>
      </c>
      <c r="E94" s="6">
        <f>(B94-INDEX('Native PMKS'!$C$6:$C$366,C94))/(INDEX('Native PMKS'!$C$6:$C$366,D94)-INDEX('Native PMKS'!$C$6:$C$366,C94))</f>
        <v>0.24512534818940709</v>
      </c>
      <c r="F94" s="6">
        <f>INDEX('Native PMKS'!$N$6:$N$366,C94)+(INDEX('Native PMKS'!$N$6:$N$366,D94)-INDEX('Native PMKS'!$N$6:$N$366,C94))*E94</f>
        <v>-12.105680222841229</v>
      </c>
      <c r="G94" s="6">
        <f>INDEX('Native PMKS'!$O$6:$O$366,C94)+(INDEX('Native PMKS'!$O$6:$O$366,D94)-INDEX('Native PMKS'!$O$6:$O$366,C94))*E94</f>
        <v>55.675219777158773</v>
      </c>
    </row>
    <row r="95" spans="1:7" ht="18.95" customHeight="1">
      <c r="A95" s="1">
        <v>89</v>
      </c>
      <c r="B95" s="6">
        <f>TimeStep!G95</f>
        <v>743.73259052924789</v>
      </c>
      <c r="C95" s="6">
        <f>MIN(MATCH(B95,'Native PMKS'!$C$6:$C$366,1),360)</f>
        <v>90</v>
      </c>
      <c r="D95" s="6">
        <f t="shared" si="1"/>
        <v>91</v>
      </c>
      <c r="E95" s="6">
        <f>(B95-INDEX('Native PMKS'!$C$6:$C$366,C95))/(INDEX('Native PMKS'!$C$6:$C$366,D95)-INDEX('Native PMKS'!$C$6:$C$366,C95))</f>
        <v>0.24791086350973954</v>
      </c>
      <c r="F95" s="6">
        <f>INDEX('Native PMKS'!$N$6:$N$366,C95)+(INDEX('Native PMKS'!$N$6:$N$366,D95)-INDEX('Native PMKS'!$N$6:$N$366,C95))*E95</f>
        <v>-11.689282451253487</v>
      </c>
      <c r="G95" s="6">
        <f>INDEX('Native PMKS'!$O$6:$O$366,C95)+(INDEX('Native PMKS'!$O$6:$O$366,D95)-INDEX('Native PMKS'!$O$6:$O$366,C95))*E95</f>
        <v>56.06323175487465</v>
      </c>
    </row>
    <row r="96" spans="1:7" ht="18.95" customHeight="1">
      <c r="A96" s="1">
        <v>90</v>
      </c>
      <c r="B96" s="6">
        <f>TimeStep!G96</f>
        <v>752.08913649025067</v>
      </c>
      <c r="C96" s="6">
        <f>MIN(MATCH(B96,'Native PMKS'!$C$6:$C$366,1),360)</f>
        <v>91</v>
      </c>
      <c r="D96" s="6">
        <f t="shared" si="1"/>
        <v>92</v>
      </c>
      <c r="E96" s="6">
        <f>(B96-INDEX('Native PMKS'!$C$6:$C$366,C96))/(INDEX('Native PMKS'!$C$6:$C$366,D96)-INDEX('Native PMKS'!$C$6:$C$366,C96))</f>
        <v>0.25069637883007884</v>
      </c>
      <c r="F96" s="6">
        <f>INDEX('Native PMKS'!$N$6:$N$366,C96)+(INDEX('Native PMKS'!$N$6:$N$366,D96)-INDEX('Native PMKS'!$N$6:$N$366,C96))*E96</f>
        <v>-11.244045682451254</v>
      </c>
      <c r="G96" s="6">
        <f>INDEX('Native PMKS'!$O$6:$O$366,C96)+(INDEX('Native PMKS'!$O$6:$O$366,D96)-INDEX('Native PMKS'!$O$6:$O$366,C96))*E96</f>
        <v>56.407964345403904</v>
      </c>
    </row>
    <row r="97" spans="1:7" ht="18.95" customHeight="1">
      <c r="A97" s="1">
        <v>91</v>
      </c>
      <c r="B97" s="6">
        <f>TimeStep!G97</f>
        <v>760.44568245125345</v>
      </c>
      <c r="C97" s="6">
        <f>MIN(MATCH(B97,'Native PMKS'!$C$6:$C$366,1),360)</f>
        <v>92</v>
      </c>
      <c r="D97" s="6">
        <f t="shared" si="1"/>
        <v>93</v>
      </c>
      <c r="E97" s="6">
        <f>(B97-INDEX('Native PMKS'!$C$6:$C$366,C97))/(INDEX('Native PMKS'!$C$6:$C$366,D97)-INDEX('Native PMKS'!$C$6:$C$366,C97))</f>
        <v>0.25348189415040789</v>
      </c>
      <c r="F97" s="6">
        <f>INDEX('Native PMKS'!$N$6:$N$366,C97)+(INDEX('Native PMKS'!$N$6:$N$366,D97)-INDEX('Native PMKS'!$N$6:$N$366,C97))*E97</f>
        <v>-10.841828412256271</v>
      </c>
      <c r="G97" s="6">
        <f>INDEX('Native PMKS'!$O$6:$O$366,C97)+(INDEX('Native PMKS'!$O$6:$O$366,D97)-INDEX('Native PMKS'!$O$6:$O$366,C97))*E97</f>
        <v>56.752647075208912</v>
      </c>
    </row>
    <row r="98" spans="1:7" ht="18.95" customHeight="1">
      <c r="A98" s="1">
        <v>92</v>
      </c>
      <c r="B98" s="6">
        <f>TimeStep!G98</f>
        <v>768.80222841225623</v>
      </c>
      <c r="C98" s="6">
        <f>MIN(MATCH(B98,'Native PMKS'!$C$6:$C$366,1),360)</f>
        <v>93</v>
      </c>
      <c r="D98" s="6">
        <f t="shared" si="1"/>
        <v>94</v>
      </c>
      <c r="E98" s="6">
        <f>(B98-INDEX('Native PMKS'!$C$6:$C$366,C98))/(INDEX('Native PMKS'!$C$6:$C$366,D98)-INDEX('Native PMKS'!$C$6:$C$366,C98))</f>
        <v>0.25626740947074045</v>
      </c>
      <c r="F98" s="6">
        <f>INDEX('Native PMKS'!$N$6:$N$366,C98)+(INDEX('Native PMKS'!$N$6:$N$366,D98)-INDEX('Native PMKS'!$N$6:$N$366,C98))*E98</f>
        <v>-10.439636768802234</v>
      </c>
      <c r="G98" s="6">
        <f>INDEX('Native PMKS'!$O$6:$O$366,C98)+(INDEX('Native PMKS'!$O$6:$O$366,D98)-INDEX('Native PMKS'!$O$6:$O$366,C98))*E98</f>
        <v>57.082720612813368</v>
      </c>
    </row>
    <row r="99" spans="1:7" ht="18.95" customHeight="1">
      <c r="A99" s="1">
        <v>93</v>
      </c>
      <c r="B99" s="6">
        <f>TimeStep!G99</f>
        <v>777.15877437325901</v>
      </c>
      <c r="C99" s="6">
        <f>MIN(MATCH(B99,'Native PMKS'!$C$6:$C$366,1),360)</f>
        <v>94</v>
      </c>
      <c r="D99" s="6">
        <f t="shared" si="1"/>
        <v>95</v>
      </c>
      <c r="E99" s="6">
        <f>(B99-INDEX('Native PMKS'!$C$6:$C$366,C99))/(INDEX('Native PMKS'!$C$6:$C$366,D99)-INDEX('Native PMKS'!$C$6:$C$366,C99))</f>
        <v>0.25905292479107966</v>
      </c>
      <c r="F99" s="6">
        <f>INDEX('Native PMKS'!$N$6:$N$366,C99)+(INDEX('Native PMKS'!$N$6:$N$366,D99)-INDEX('Native PMKS'!$N$6:$N$366,C99))*E99</f>
        <v>-10.037493871866298</v>
      </c>
      <c r="G99" s="6">
        <f>INDEX('Native PMKS'!$O$6:$O$366,C99)+(INDEX('Native PMKS'!$O$6:$O$366,D99)-INDEX('Native PMKS'!$O$6:$O$366,C99))*E99</f>
        <v>57.370018662952646</v>
      </c>
    </row>
    <row r="100" spans="1:7" ht="18.95" customHeight="1">
      <c r="A100" s="1">
        <v>94</v>
      </c>
      <c r="B100" s="6">
        <f>TimeStep!G100</f>
        <v>785.51532033426179</v>
      </c>
      <c r="C100" s="6">
        <f>MIN(MATCH(B100,'Native PMKS'!$C$6:$C$366,1),360)</f>
        <v>95</v>
      </c>
      <c r="D100" s="6">
        <f t="shared" si="1"/>
        <v>96</v>
      </c>
      <c r="E100" s="6">
        <f>(B100-INDEX('Native PMKS'!$C$6:$C$366,C100))/(INDEX('Native PMKS'!$C$6:$C$366,D100)-INDEX('Native PMKS'!$C$6:$C$366,C100))</f>
        <v>0.26183844011140872</v>
      </c>
      <c r="F100" s="6">
        <f>INDEX('Native PMKS'!$N$6:$N$366,C100)+(INDEX('Native PMKS'!$N$6:$N$366,D100)-INDEX('Native PMKS'!$N$6:$N$366,C100))*E100</f>
        <v>-9.6352766016713129</v>
      </c>
      <c r="G100" s="6">
        <f>INDEX('Native PMKS'!$O$6:$O$366,C100)+(INDEX('Native PMKS'!$O$6:$O$366,D100)-INDEX('Native PMKS'!$O$6:$O$366,C100))*E100</f>
        <v>57.657290529247902</v>
      </c>
    </row>
    <row r="101" spans="1:7" ht="18.95" customHeight="1">
      <c r="A101" s="1">
        <v>95</v>
      </c>
      <c r="B101" s="6">
        <f>TimeStep!G101</f>
        <v>793.87186629526457</v>
      </c>
      <c r="C101" s="6">
        <f>MIN(MATCH(B101,'Native PMKS'!$C$6:$C$366,1),360)</f>
        <v>96</v>
      </c>
      <c r="D101" s="6">
        <f t="shared" si="1"/>
        <v>97</v>
      </c>
      <c r="E101" s="6">
        <f>(B101-INDEX('Native PMKS'!$C$6:$C$366,C101))/(INDEX('Native PMKS'!$C$6:$C$366,D101)-INDEX('Native PMKS'!$C$6:$C$366,C101))</f>
        <v>0.26462395543174139</v>
      </c>
      <c r="F101" s="6">
        <f>INDEX('Native PMKS'!$N$6:$N$366,C101)+(INDEX('Native PMKS'!$N$6:$N$366,D101)-INDEX('Native PMKS'!$N$6:$N$366,C101))*E101</f>
        <v>-9.2330593314763281</v>
      </c>
      <c r="G101" s="6">
        <f>INDEX('Native PMKS'!$O$6:$O$366,C101)+(INDEX('Native PMKS'!$O$6:$O$366,D101)-INDEX('Native PMKS'!$O$6:$O$366,C101))*E101</f>
        <v>57.929351810584954</v>
      </c>
    </row>
    <row r="102" spans="1:7" ht="18.95" customHeight="1">
      <c r="A102" s="1">
        <v>96</v>
      </c>
      <c r="B102" s="6">
        <f>TimeStep!G102</f>
        <v>802.22841225626735</v>
      </c>
      <c r="C102" s="6">
        <f>MIN(MATCH(B102,'Native PMKS'!$C$6:$C$366,1),360)</f>
        <v>97</v>
      </c>
      <c r="D102" s="6">
        <f t="shared" si="1"/>
        <v>98</v>
      </c>
      <c r="E102" s="6">
        <f>(B102-INDEX('Native PMKS'!$C$6:$C$366,C102))/(INDEX('Native PMKS'!$C$6:$C$366,D102)-INDEX('Native PMKS'!$C$6:$C$366,C102))</f>
        <v>0.26740947075208049</v>
      </c>
      <c r="F102" s="6">
        <f>INDEX('Native PMKS'!$N$6:$N$366,C102)+(INDEX('Native PMKS'!$N$6:$N$366,D102)-INDEX('Native PMKS'!$N$6:$N$366,C102))*E102</f>
        <v>-8.8308688022284159</v>
      </c>
      <c r="G102" s="6">
        <f>INDEX('Native PMKS'!$O$6:$O$366,C102)+(INDEX('Native PMKS'!$O$6:$O$366,D102)-INDEX('Native PMKS'!$O$6:$O$366,C102))*E102</f>
        <v>58.159190250696376</v>
      </c>
    </row>
    <row r="103" spans="1:7" ht="18.95" customHeight="1">
      <c r="A103" s="1">
        <v>97</v>
      </c>
      <c r="B103" s="6">
        <f>TimeStep!G103</f>
        <v>810.58495821727024</v>
      </c>
      <c r="C103" s="6">
        <f>MIN(MATCH(B103,'Native PMKS'!$C$6:$C$366,1),360)</f>
        <v>98</v>
      </c>
      <c r="D103" s="6">
        <f t="shared" si="1"/>
        <v>99</v>
      </c>
      <c r="E103" s="6">
        <f>(B103-INDEX('Native PMKS'!$C$6:$C$366,C103))/(INDEX('Native PMKS'!$C$6:$C$366,D103)-INDEX('Native PMKS'!$C$6:$C$366,C103))</f>
        <v>0.27019498607242315</v>
      </c>
      <c r="F103" s="6">
        <f>INDEX('Native PMKS'!$N$6:$N$366,C103)+(INDEX('Native PMKS'!$N$6:$N$366,D103)-INDEX('Native PMKS'!$N$6:$N$366,C103))*E103</f>
        <v>-8.428724791086351</v>
      </c>
      <c r="G103" s="6">
        <f>INDEX('Native PMKS'!$O$6:$O$366,C103)+(INDEX('Native PMKS'!$O$6:$O$366,D103)-INDEX('Native PMKS'!$O$6:$O$366,C103))*E103</f>
        <v>58.389028690807798</v>
      </c>
    </row>
    <row r="104" spans="1:7" ht="18.95" customHeight="1">
      <c r="A104" s="1">
        <v>98</v>
      </c>
      <c r="B104" s="6">
        <f>TimeStep!G104</f>
        <v>818.94150417827302</v>
      </c>
      <c r="C104" s="6">
        <f>MIN(MATCH(B104,'Native PMKS'!$C$6:$C$366,1),360)</f>
        <v>99</v>
      </c>
      <c r="D104" s="6">
        <f t="shared" si="1"/>
        <v>100</v>
      </c>
      <c r="E104" s="6">
        <f>(B104-INDEX('Native PMKS'!$C$6:$C$366,C104))/(INDEX('Native PMKS'!$C$6:$C$366,D104)-INDEX('Native PMKS'!$C$6:$C$366,C104))</f>
        <v>0.27298050139275221</v>
      </c>
      <c r="F104" s="6">
        <f>INDEX('Native PMKS'!$N$6:$N$366,C104)+(INDEX('Native PMKS'!$N$6:$N$366,D104)-INDEX('Native PMKS'!$N$6:$N$366,C104))*E104</f>
        <v>-8.0265075208913661</v>
      </c>
      <c r="G104" s="6">
        <f>INDEX('Native PMKS'!$O$6:$O$366,C104)+(INDEX('Native PMKS'!$O$6:$O$366,D104)-INDEX('Native PMKS'!$O$6:$O$366,C104))*E104</f>
        <v>58.61886713091922</v>
      </c>
    </row>
    <row r="105" spans="1:7" ht="18.95" customHeight="1">
      <c r="A105" s="1">
        <v>99</v>
      </c>
      <c r="B105" s="6">
        <f>TimeStep!G105</f>
        <v>827.2980501392758</v>
      </c>
      <c r="C105" s="6">
        <f>MIN(MATCH(B105,'Native PMKS'!$C$6:$C$366,1),360)</f>
        <v>100</v>
      </c>
      <c r="D105" s="6">
        <f t="shared" si="1"/>
        <v>101</v>
      </c>
      <c r="E105" s="6">
        <f>(B105-INDEX('Native PMKS'!$C$6:$C$366,C105))/(INDEX('Native PMKS'!$C$6:$C$366,D105)-INDEX('Native PMKS'!$C$6:$C$366,C105))</f>
        <v>0.27576601671308504</v>
      </c>
      <c r="F105" s="6">
        <f>INDEX('Native PMKS'!$N$6:$N$366,C105)+(INDEX('Native PMKS'!$N$6:$N$366,D105)-INDEX('Native PMKS'!$N$6:$N$366,C105))*E105</f>
        <v>-7.6243178272980527</v>
      </c>
      <c r="G105" s="6">
        <f>INDEX('Native PMKS'!$O$6:$O$366,C105)+(INDEX('Native PMKS'!$O$6:$O$366,D105)-INDEX('Native PMKS'!$O$6:$O$366,C105))*E105</f>
        <v>58.832904178272976</v>
      </c>
    </row>
    <row r="106" spans="1:7" ht="18.95" customHeight="1">
      <c r="A106" s="1">
        <v>100</v>
      </c>
      <c r="B106" s="6">
        <f>TimeStep!G106</f>
        <v>835.65459610027858</v>
      </c>
      <c r="C106" s="6">
        <f>MIN(MATCH(B106,'Native PMKS'!$C$6:$C$366,1),360)</f>
        <v>101</v>
      </c>
      <c r="D106" s="6">
        <f t="shared" si="1"/>
        <v>102</v>
      </c>
      <c r="E106" s="6">
        <f>(B106-INDEX('Native PMKS'!$C$6:$C$366,C106))/(INDEX('Native PMKS'!$C$6:$C$366,D106)-INDEX('Native PMKS'!$C$6:$C$366,C106))</f>
        <v>0.27855153203342398</v>
      </c>
      <c r="F106" s="6">
        <f>INDEX('Native PMKS'!$N$6:$N$366,C106)+(INDEX('Native PMKS'!$N$6:$N$366,D106)-INDEX('Native PMKS'!$N$6:$N$366,C106))*E106</f>
        <v>-7.2221729805013934</v>
      </c>
      <c r="G106" s="6">
        <f>INDEX('Native PMKS'!$O$6:$O$366,C106)+(INDEX('Native PMKS'!$O$6:$O$366,D106)-INDEX('Native PMKS'!$O$6:$O$366,C106))*E106</f>
        <v>59.005255153203343</v>
      </c>
    </row>
    <row r="107" spans="1:7" ht="18.95" customHeight="1">
      <c r="A107" s="1">
        <v>101</v>
      </c>
      <c r="B107" s="6">
        <f>TimeStep!G107</f>
        <v>844.01114206128136</v>
      </c>
      <c r="C107" s="6">
        <f>MIN(MATCH(B107,'Native PMKS'!$C$6:$C$366,1),360)</f>
        <v>102</v>
      </c>
      <c r="D107" s="6">
        <f t="shared" si="1"/>
        <v>103</v>
      </c>
      <c r="E107" s="6">
        <f>(B107-INDEX('Native PMKS'!$C$6:$C$366,C107))/(INDEX('Native PMKS'!$C$6:$C$366,D107)-INDEX('Native PMKS'!$C$6:$C$366,C107))</f>
        <v>0.28133704735375303</v>
      </c>
      <c r="F107" s="6">
        <f>INDEX('Native PMKS'!$N$6:$N$366,C107)+(INDEX('Native PMKS'!$N$6:$N$366,D107)-INDEX('Native PMKS'!$N$6:$N$366,C107))*E107</f>
        <v>-6.8199557103064095</v>
      </c>
      <c r="G107" s="6">
        <f>INDEX('Native PMKS'!$O$6:$O$366,C107)+(INDEX('Native PMKS'!$O$6:$O$366,D107)-INDEX('Native PMKS'!$O$6:$O$366,C107))*E107</f>
        <v>59.177561838440106</v>
      </c>
    </row>
    <row r="108" spans="1:7" ht="18.95" customHeight="1">
      <c r="A108" s="1">
        <v>102</v>
      </c>
      <c r="B108" s="6">
        <f>TimeStep!G108</f>
        <v>852.36768802228414</v>
      </c>
      <c r="C108" s="6">
        <f>MIN(MATCH(B108,'Native PMKS'!$C$6:$C$366,1),360)</f>
        <v>103</v>
      </c>
      <c r="D108" s="6">
        <f t="shared" si="1"/>
        <v>104</v>
      </c>
      <c r="E108" s="6">
        <f>(B108-INDEX('Native PMKS'!$C$6:$C$366,C108))/(INDEX('Native PMKS'!$C$6:$C$366,D108)-INDEX('Native PMKS'!$C$6:$C$366,C108))</f>
        <v>0.28412256267408598</v>
      </c>
      <c r="F108" s="6">
        <f>INDEX('Native PMKS'!$N$6:$N$366,C108)+(INDEX('Native PMKS'!$N$6:$N$366,D108)-INDEX('Native PMKS'!$N$6:$N$366,C108))*E108</f>
        <v>-6.4177384401114237</v>
      </c>
      <c r="G108" s="6">
        <f>INDEX('Native PMKS'!$O$6:$O$366,C108)+(INDEX('Native PMKS'!$O$6:$O$366,D108)-INDEX('Native PMKS'!$O$6:$O$366,C108))*E108</f>
        <v>59.349940668523672</v>
      </c>
    </row>
    <row r="109" spans="1:7" ht="18.95" customHeight="1">
      <c r="A109" s="1">
        <v>103</v>
      </c>
      <c r="B109" s="6">
        <f>TimeStep!G109</f>
        <v>860.72423398328692</v>
      </c>
      <c r="C109" s="6">
        <f>MIN(MATCH(B109,'Native PMKS'!$C$6:$C$366,1),360)</f>
        <v>104</v>
      </c>
      <c r="D109" s="6">
        <f t="shared" si="1"/>
        <v>105</v>
      </c>
      <c r="E109" s="6">
        <f>(B109-INDEX('Native PMKS'!$C$6:$C$366,C109))/(INDEX('Native PMKS'!$C$6:$C$366,D109)-INDEX('Native PMKS'!$C$6:$C$366,C109))</f>
        <v>0.2869080779944248</v>
      </c>
      <c r="F109" s="6">
        <f>INDEX('Native PMKS'!$N$6:$N$366,C109)+(INDEX('Native PMKS'!$N$6:$N$366,D109)-INDEX('Native PMKS'!$N$6:$N$366,C109))*E109</f>
        <v>-6.0319896935933164</v>
      </c>
      <c r="G109" s="6">
        <f>INDEX('Native PMKS'!$O$6:$O$366,C109)+(INDEX('Native PMKS'!$O$6:$O$366,D109)-INDEX('Native PMKS'!$O$6:$O$366,C109))*E109</f>
        <v>59.505879665738163</v>
      </c>
    </row>
    <row r="110" spans="1:7" ht="18.95" customHeight="1">
      <c r="A110" s="1">
        <v>104</v>
      </c>
      <c r="B110" s="6">
        <f>TimeStep!G110</f>
        <v>869.0807799442897</v>
      </c>
      <c r="C110" s="6">
        <f>MIN(MATCH(B110,'Native PMKS'!$C$6:$C$366,1),360)</f>
        <v>105</v>
      </c>
      <c r="D110" s="6">
        <f t="shared" si="1"/>
        <v>106</v>
      </c>
      <c r="E110" s="6">
        <f>(B110-INDEX('Native PMKS'!$C$6:$C$366,C110))/(INDEX('Native PMKS'!$C$6:$C$366,D110)-INDEX('Native PMKS'!$C$6:$C$366,C110))</f>
        <v>0.28969359331475386</v>
      </c>
      <c r="F110" s="6">
        <f>INDEX('Native PMKS'!$N$6:$N$366,C110)+(INDEX('Native PMKS'!$N$6:$N$366,D110)-INDEX('Native PMKS'!$N$6:$N$366,C110))*E110</f>
        <v>-5.6707038997214525</v>
      </c>
      <c r="G110" s="6">
        <f>INDEX('Native PMKS'!$O$6:$O$366,C110)+(INDEX('Native PMKS'!$O$6:$O$366,D110)-INDEX('Native PMKS'!$O$6:$O$366,C110))*E110</f>
        <v>59.620798885793874</v>
      </c>
    </row>
    <row r="111" spans="1:7" ht="18.95" customHeight="1">
      <c r="A111" s="1">
        <v>105</v>
      </c>
      <c r="B111" s="6">
        <f>TimeStep!G111</f>
        <v>877.43732590529248</v>
      </c>
      <c r="C111" s="6">
        <f>MIN(MATCH(B111,'Native PMKS'!$C$6:$C$366,1),360)</f>
        <v>106</v>
      </c>
      <c r="D111" s="6">
        <f t="shared" si="1"/>
        <v>107</v>
      </c>
      <c r="E111" s="6">
        <f>(B111-INDEX('Native PMKS'!$C$6:$C$366,C111))/(INDEX('Native PMKS'!$C$6:$C$366,D111)-INDEX('Native PMKS'!$C$6:$C$366,C111))</f>
        <v>0.29247910863508692</v>
      </c>
      <c r="F111" s="6">
        <f>INDEX('Native PMKS'!$N$6:$N$366,C111)+(INDEX('Native PMKS'!$N$6:$N$366,D111)-INDEX('Native PMKS'!$N$6:$N$366,C111))*E111</f>
        <v>-5.2684866295264667</v>
      </c>
      <c r="G111" s="6">
        <f>INDEX('Native PMKS'!$O$6:$O$366,C111)+(INDEX('Native PMKS'!$O$6:$O$366,D111)-INDEX('Native PMKS'!$O$6:$O$366,C111))*E111</f>
        <v>59.735718105849578</v>
      </c>
    </row>
    <row r="112" spans="1:7" ht="18.95" customHeight="1">
      <c r="A112" s="1">
        <v>106</v>
      </c>
      <c r="B112" s="6">
        <f>TimeStep!G112</f>
        <v>885.79387186629526</v>
      </c>
      <c r="C112" s="6">
        <f>MIN(MATCH(B112,'Native PMKS'!$C$6:$C$366,1),360)</f>
        <v>107</v>
      </c>
      <c r="D112" s="6">
        <f t="shared" si="1"/>
        <v>108</v>
      </c>
      <c r="E112" s="6">
        <f>(B112-INDEX('Native PMKS'!$C$6:$C$366,C112))/(INDEX('Native PMKS'!$C$6:$C$366,D112)-INDEX('Native PMKS'!$C$6:$C$366,C112))</f>
        <v>0.29526462395542558</v>
      </c>
      <c r="F112" s="6">
        <f>INDEX('Native PMKS'!$N$6:$N$366,C112)+(INDEX('Native PMKS'!$N$6:$N$366,D112)-INDEX('Native PMKS'!$N$6:$N$366,C112))*E112</f>
        <v>-4.8662988857938743</v>
      </c>
      <c r="G112" s="6">
        <f>INDEX('Native PMKS'!$O$6:$O$366,C112)+(INDEX('Native PMKS'!$O$6:$O$366,D112)-INDEX('Native PMKS'!$O$6:$O$366,C112))*E112</f>
        <v>59.833718662952649</v>
      </c>
    </row>
    <row r="113" spans="1:7" ht="18.95" customHeight="1">
      <c r="A113" s="1">
        <v>107</v>
      </c>
      <c r="B113" s="6">
        <f>TimeStep!G113</f>
        <v>894.15041782729804</v>
      </c>
      <c r="C113" s="6">
        <f>MIN(MATCH(B113,'Native PMKS'!$C$6:$C$366,1),360)</f>
        <v>108</v>
      </c>
      <c r="D113" s="6">
        <f t="shared" si="1"/>
        <v>109</v>
      </c>
      <c r="E113" s="6">
        <f>(B113-INDEX('Native PMKS'!$C$6:$C$366,C113))/(INDEX('Native PMKS'!$C$6:$C$366,D113)-INDEX('Native PMKS'!$C$6:$C$366,C113))</f>
        <v>0.29805013927575463</v>
      </c>
      <c r="F113" s="6">
        <f>INDEX('Native PMKS'!$N$6:$N$366,C113)+(INDEX('Native PMKS'!$N$6:$N$366,D113)-INDEX('Native PMKS'!$N$6:$N$366,C113))*E113</f>
        <v>-4.464152089136495</v>
      </c>
      <c r="G113" s="6">
        <f>INDEX('Native PMKS'!$O$6:$O$366,C113)+(INDEX('Native PMKS'!$O$6:$O$366,D113)-INDEX('Native PMKS'!$O$6:$O$366,C113))*E113</f>
        <v>59.908256545961002</v>
      </c>
    </row>
    <row r="114" spans="1:7" ht="18.95" customHeight="1">
      <c r="A114" s="1">
        <v>108</v>
      </c>
      <c r="B114" s="6">
        <f>TimeStep!G114</f>
        <v>902.50696378830082</v>
      </c>
      <c r="C114" s="6">
        <f>MIN(MATCH(B114,'Native PMKS'!$C$6:$C$366,1),360)</f>
        <v>109</v>
      </c>
      <c r="D114" s="6">
        <f t="shared" si="1"/>
        <v>110</v>
      </c>
      <c r="E114" s="6">
        <f>(B114-INDEX('Native PMKS'!$C$6:$C$366,C114))/(INDEX('Native PMKS'!$C$6:$C$366,D114)-INDEX('Native PMKS'!$C$6:$C$366,C114))</f>
        <v>0.3008356545960878</v>
      </c>
      <c r="F114" s="6">
        <f>INDEX('Native PMKS'!$N$6:$N$366,C114)+(INDEX('Native PMKS'!$N$6:$N$366,D114)-INDEX('Native PMKS'!$N$6:$N$366,C114))*E114</f>
        <v>-4.0791727019498651</v>
      </c>
      <c r="G114" s="6">
        <f>INDEX('Native PMKS'!$O$6:$O$366,C114)+(INDEX('Native PMKS'!$O$6:$O$366,D114)-INDEX('Native PMKS'!$O$6:$O$366,C114))*E114</f>
        <v>60.005937883008357</v>
      </c>
    </row>
    <row r="115" spans="1:7" ht="18.95" customHeight="1">
      <c r="A115" s="1">
        <v>109</v>
      </c>
      <c r="B115" s="6">
        <f>TimeStep!G115</f>
        <v>910.8635097493036</v>
      </c>
      <c r="C115" s="6">
        <f>MIN(MATCH(B115,'Native PMKS'!$C$6:$C$366,1),360)</f>
        <v>110</v>
      </c>
      <c r="D115" s="6">
        <f t="shared" si="1"/>
        <v>111</v>
      </c>
      <c r="E115" s="6">
        <f>(B115-INDEX('Native PMKS'!$C$6:$C$366,C115))/(INDEX('Native PMKS'!$C$6:$C$366,D115)-INDEX('Native PMKS'!$C$6:$C$366,C115))</f>
        <v>0.3036211699164264</v>
      </c>
      <c r="F115" s="6">
        <f>INDEX('Native PMKS'!$N$6:$N$366,C115)+(INDEX('Native PMKS'!$N$6:$N$366,D115)-INDEX('Native PMKS'!$N$6:$N$366,C115))*E115</f>
        <v>-3.7170175487465213</v>
      </c>
      <c r="G115" s="6">
        <f>INDEX('Native PMKS'!$O$6:$O$366,C115)+(INDEX('Native PMKS'!$O$6:$O$366,D115)-INDEX('Native PMKS'!$O$6:$O$366,C115))*E115</f>
        <v>60.045999999999999</v>
      </c>
    </row>
    <row r="116" spans="1:7" ht="18.95" customHeight="1">
      <c r="A116" s="1">
        <v>110</v>
      </c>
      <c r="B116" s="6">
        <f>TimeStep!G116</f>
        <v>919.22005571030638</v>
      </c>
      <c r="C116" s="6">
        <f>MIN(MATCH(B116,'Native PMKS'!$C$6:$C$366,1),360)</f>
        <v>111</v>
      </c>
      <c r="D116" s="6">
        <f t="shared" si="1"/>
        <v>112</v>
      </c>
      <c r="E116" s="6">
        <f>(B116-INDEX('Native PMKS'!$C$6:$C$366,C116))/(INDEX('Native PMKS'!$C$6:$C$366,D116)-INDEX('Native PMKS'!$C$6:$C$366,C116))</f>
        <v>0.30640668523675546</v>
      </c>
      <c r="F116" s="6">
        <f>INDEX('Native PMKS'!$N$6:$N$366,C116)+(INDEX('Native PMKS'!$N$6:$N$366,D116)-INDEX('Native PMKS'!$N$6:$N$366,C116))*E116</f>
        <v>-3.3148309192200611</v>
      </c>
      <c r="G116" s="6">
        <f>INDEX('Native PMKS'!$O$6:$O$366,C116)+(INDEX('Native PMKS'!$O$6:$O$366,D116)-INDEX('Native PMKS'!$O$6:$O$366,C116))*E116</f>
        <v>60.063557103064063</v>
      </c>
    </row>
    <row r="117" spans="1:7" ht="18.95" customHeight="1">
      <c r="A117" s="1">
        <v>111</v>
      </c>
      <c r="B117" s="6">
        <f>TimeStep!G117</f>
        <v>927.57660167130916</v>
      </c>
      <c r="C117" s="6">
        <f>MIN(MATCH(B117,'Native PMKS'!$C$6:$C$366,1),360)</f>
        <v>112</v>
      </c>
      <c r="D117" s="6">
        <f t="shared" si="1"/>
        <v>113</v>
      </c>
      <c r="E117" s="6">
        <f>(B117-INDEX('Native PMKS'!$C$6:$C$366,C117))/(INDEX('Native PMKS'!$C$6:$C$366,D117)-INDEX('Native PMKS'!$C$6:$C$366,C117))</f>
        <v>0.30919220055708874</v>
      </c>
      <c r="F117" s="6">
        <f>INDEX('Native PMKS'!$N$6:$N$366,C117)+(INDEX('Native PMKS'!$N$6:$N$366,D117)-INDEX('Native PMKS'!$N$6:$N$366,C117))*E117</f>
        <v>-2.9126830083565518</v>
      </c>
      <c r="G117" s="6">
        <f>INDEX('Native PMKS'!$O$6:$O$366,C117)+(INDEX('Native PMKS'!$O$6:$O$366,D117)-INDEX('Native PMKS'!$O$6:$O$366,C117))*E117</f>
        <v>60.103299999999997</v>
      </c>
    </row>
    <row r="118" spans="1:7" ht="18.95" customHeight="1">
      <c r="A118" s="1">
        <v>112</v>
      </c>
      <c r="B118" s="6">
        <f>TimeStep!G118</f>
        <v>935.93314763231194</v>
      </c>
      <c r="C118" s="6">
        <f>MIN(MATCH(B118,'Native PMKS'!$C$6:$C$366,1),360)</f>
        <v>113</v>
      </c>
      <c r="D118" s="6">
        <f t="shared" si="1"/>
        <v>114</v>
      </c>
      <c r="E118" s="6">
        <f>(B118-INDEX('Native PMKS'!$C$6:$C$366,C118))/(INDEX('Native PMKS'!$C$6:$C$366,D118)-INDEX('Native PMKS'!$C$6:$C$366,C118))</f>
        <v>0.31197771587742723</v>
      </c>
      <c r="F118" s="6">
        <f>INDEX('Native PMKS'!$N$6:$N$366,C118)+(INDEX('Native PMKS'!$N$6:$N$366,D118)-INDEX('Native PMKS'!$N$6:$N$366,C118))*E118</f>
        <v>-2.5104657381615643</v>
      </c>
      <c r="G118" s="6">
        <f>INDEX('Native PMKS'!$O$6:$O$366,C118)+(INDEX('Native PMKS'!$O$6:$O$366,D118)-INDEX('Native PMKS'!$O$6:$O$366,C118))*E118</f>
        <v>60.103299999999997</v>
      </c>
    </row>
    <row r="119" spans="1:7" ht="18.95" customHeight="1">
      <c r="A119" s="1">
        <v>113</v>
      </c>
      <c r="B119" s="6">
        <f>TimeStep!G119</f>
        <v>944.28969359331472</v>
      </c>
      <c r="C119" s="6">
        <f>MIN(MATCH(B119,'Native PMKS'!$C$6:$C$366,1),360)</f>
        <v>114</v>
      </c>
      <c r="D119" s="6">
        <f t="shared" si="1"/>
        <v>115</v>
      </c>
      <c r="E119" s="6">
        <f>(B119-INDEX('Native PMKS'!$C$6:$C$366,C119))/(INDEX('Native PMKS'!$C$6:$C$366,D119)-INDEX('Native PMKS'!$C$6:$C$366,C119))</f>
        <v>0.31476323119775629</v>
      </c>
      <c r="F119" s="6">
        <f>INDEX('Native PMKS'!$N$6:$N$366,C119)+(INDEX('Native PMKS'!$N$6:$N$366,D119)-INDEX('Native PMKS'!$N$6:$N$366,C119))*E119</f>
        <v>-2.1263158774373312</v>
      </c>
      <c r="G119" s="6">
        <f>INDEX('Native PMKS'!$O$6:$O$366,C119)+(INDEX('Native PMKS'!$O$6:$O$366,D119)-INDEX('Native PMKS'!$O$6:$O$366,C119))*E119</f>
        <v>60.103299999999997</v>
      </c>
    </row>
    <row r="120" spans="1:7" ht="18.95" customHeight="1">
      <c r="A120" s="1">
        <v>114</v>
      </c>
      <c r="B120" s="6">
        <f>TimeStep!G120</f>
        <v>952.6462395543175</v>
      </c>
      <c r="C120" s="6">
        <f>MIN(MATCH(B120,'Native PMKS'!$C$6:$C$366,1),360)</f>
        <v>115</v>
      </c>
      <c r="D120" s="6">
        <f t="shared" si="1"/>
        <v>116</v>
      </c>
      <c r="E120" s="6">
        <f>(B120-INDEX('Native PMKS'!$C$6:$C$366,C120))/(INDEX('Native PMKS'!$C$6:$C$366,D120)-INDEX('Native PMKS'!$C$6:$C$366,C120))</f>
        <v>0.31754874651808968</v>
      </c>
      <c r="F120" s="6">
        <f>INDEX('Native PMKS'!$N$6:$N$366,C120)+(INDEX('Native PMKS'!$N$6:$N$366,D120)-INDEX('Native PMKS'!$N$6:$N$366,C120))*E120</f>
        <v>-1.7634311977715942</v>
      </c>
      <c r="G120" s="6">
        <f>INDEX('Native PMKS'!$O$6:$O$366,C120)+(INDEX('Native PMKS'!$O$6:$O$366,D120)-INDEX('Native PMKS'!$O$6:$O$366,C120))*E120</f>
        <v>60.08510445682451</v>
      </c>
    </row>
    <row r="121" spans="1:7" ht="18.95" customHeight="1">
      <c r="A121" s="1">
        <v>115</v>
      </c>
      <c r="B121" s="6">
        <f>TimeStep!G121</f>
        <v>961.00278551532028</v>
      </c>
      <c r="C121" s="6">
        <f>MIN(MATCH(B121,'Native PMKS'!$C$6:$C$366,1),360)</f>
        <v>116</v>
      </c>
      <c r="D121" s="6">
        <f t="shared" si="1"/>
        <v>117</v>
      </c>
      <c r="E121" s="6">
        <f>(B121-INDEX('Native PMKS'!$C$6:$C$366,C121))/(INDEX('Native PMKS'!$C$6:$C$366,D121)-INDEX('Native PMKS'!$C$6:$C$366,C121))</f>
        <v>0.320334261838428</v>
      </c>
      <c r="F121" s="6">
        <f>INDEX('Native PMKS'!$N$6:$N$366,C121)+(INDEX('Native PMKS'!$N$6:$N$366,D121)-INDEX('Native PMKS'!$N$6:$N$366,C121))*E121</f>
        <v>-1.3612139275766066</v>
      </c>
      <c r="G121" s="6">
        <f>INDEX('Native PMKS'!$O$6:$O$366,C121)+(INDEX('Native PMKS'!$O$6:$O$366,D121)-INDEX('Native PMKS'!$O$6:$O$366,C121))*E121</f>
        <v>60.045999999999999</v>
      </c>
    </row>
    <row r="122" spans="1:7" ht="18.95" customHeight="1">
      <c r="A122" s="1">
        <v>116</v>
      </c>
      <c r="B122" s="6">
        <f>TimeStep!G122</f>
        <v>969.35933147632306</v>
      </c>
      <c r="C122" s="6">
        <f>MIN(MATCH(B122,'Native PMKS'!$C$6:$C$366,1),360)</f>
        <v>117</v>
      </c>
      <c r="D122" s="6">
        <f t="shared" si="1"/>
        <v>118</v>
      </c>
      <c r="E122" s="6">
        <f>(B122-INDEX('Native PMKS'!$C$6:$C$366,C122))/(INDEX('Native PMKS'!$C$6:$C$366,D122)-INDEX('Native PMKS'!$C$6:$C$366,C122))</f>
        <v>0.32311977715875706</v>
      </c>
      <c r="F122" s="6">
        <f>INDEX('Native PMKS'!$N$6:$N$366,C122)+(INDEX('Native PMKS'!$N$6:$N$366,D122)-INDEX('Native PMKS'!$N$6:$N$366,C122))*E122</f>
        <v>-0.95899665738162254</v>
      </c>
      <c r="G122" s="6">
        <f>INDEX('Native PMKS'!$O$6:$O$366,C122)+(INDEX('Native PMKS'!$O$6:$O$366,D122)-INDEX('Native PMKS'!$O$6:$O$366,C122))*E122</f>
        <v>60.027485236768804</v>
      </c>
    </row>
    <row r="123" spans="1:7" ht="18.95" customHeight="1">
      <c r="A123" s="1">
        <v>117</v>
      </c>
      <c r="B123" s="6">
        <f>TimeStep!G123</f>
        <v>977.71587743732584</v>
      </c>
      <c r="C123" s="6">
        <f>MIN(MATCH(B123,'Native PMKS'!$C$6:$C$366,1),360)</f>
        <v>118</v>
      </c>
      <c r="D123" s="6">
        <f t="shared" si="1"/>
        <v>119</v>
      </c>
      <c r="E123" s="6">
        <f>(B123-INDEX('Native PMKS'!$C$6:$C$366,C123))/(INDEX('Native PMKS'!$C$6:$C$366,D123)-INDEX('Native PMKS'!$C$6:$C$366,C123))</f>
        <v>0.32590529247909056</v>
      </c>
      <c r="F123" s="6">
        <f>INDEX('Native PMKS'!$N$6:$N$366,C123)+(INDEX('Native PMKS'!$N$6:$N$366,D123)-INDEX('Native PMKS'!$N$6:$N$366,C123))*E123</f>
        <v>-0.55681197771588464</v>
      </c>
      <c r="G123" s="6">
        <f>INDEX('Native PMKS'!$O$6:$O$366,C123)+(INDEX('Native PMKS'!$O$6:$O$366,D123)-INDEX('Native PMKS'!$O$6:$O$366,C123))*E123</f>
        <v>59.951351253481896</v>
      </c>
    </row>
    <row r="124" spans="1:7" ht="18.95" customHeight="1">
      <c r="A124" s="1">
        <v>118</v>
      </c>
      <c r="B124" s="6">
        <f>TimeStep!G124</f>
        <v>986.07242339832874</v>
      </c>
      <c r="C124" s="6">
        <f>MIN(MATCH(B124,'Native PMKS'!$C$6:$C$366,1),360)</f>
        <v>119</v>
      </c>
      <c r="D124" s="6">
        <f t="shared" si="1"/>
        <v>120</v>
      </c>
      <c r="E124" s="6">
        <f>(B124-INDEX('Native PMKS'!$C$6:$C$366,C124))/(INDEX('Native PMKS'!$C$6:$C$366,D124)-INDEX('Native PMKS'!$C$6:$C$366,C124))</f>
        <v>0.32869080779944249</v>
      </c>
      <c r="F124" s="6">
        <f>INDEX('Native PMKS'!$N$6:$N$366,C124)+(INDEX('Native PMKS'!$N$6:$N$366,D124)-INDEX('Native PMKS'!$N$6:$N$366,C124))*E124</f>
        <v>-0.15466211699164362</v>
      </c>
      <c r="G124" s="6">
        <f>INDEX('Native PMKS'!$O$6:$O$366,C124)+(INDEX('Native PMKS'!$O$6:$O$366,D124)-INDEX('Native PMKS'!$O$6:$O$366,C124))*E124</f>
        <v>59.855266016713088</v>
      </c>
    </row>
    <row r="125" spans="1:7" ht="18.95" customHeight="1">
      <c r="A125" s="1">
        <v>119</v>
      </c>
      <c r="B125" s="6">
        <f>TimeStep!G125</f>
        <v>994.42896935933152</v>
      </c>
      <c r="C125" s="6">
        <f>MIN(MATCH(B125,'Native PMKS'!$C$6:$C$366,1),360)</f>
        <v>120</v>
      </c>
      <c r="D125" s="6">
        <f t="shared" si="1"/>
        <v>121</v>
      </c>
      <c r="E125" s="6">
        <f>(B125-INDEX('Native PMKS'!$C$6:$C$366,C125))/(INDEX('Native PMKS'!$C$6:$C$366,D125)-INDEX('Native PMKS'!$C$6:$C$366,C125))</f>
        <v>0.33147632311977154</v>
      </c>
      <c r="F125" s="6">
        <f>INDEX('Native PMKS'!$N$6:$N$366,C125)+(INDEX('Native PMKS'!$N$6:$N$366,D125)-INDEX('Native PMKS'!$N$6:$N$366,C125))*E125</f>
        <v>0.24755515320334037</v>
      </c>
      <c r="G125" s="6">
        <f>INDEX('Native PMKS'!$O$6:$O$366,C125)+(INDEX('Native PMKS'!$O$6:$O$366,D125)-INDEX('Native PMKS'!$O$6:$O$366,C125))*E125</f>
        <v>59.778812813370472</v>
      </c>
    </row>
    <row r="126" spans="1:7" ht="18.95" customHeight="1">
      <c r="A126" s="1">
        <v>120</v>
      </c>
      <c r="B126" s="6">
        <f>TimeStep!G126</f>
        <v>1002.7855153203343</v>
      </c>
      <c r="C126" s="6">
        <f>MIN(MATCH(B126,'Native PMKS'!$C$6:$C$366,1),360)</f>
        <v>121</v>
      </c>
      <c r="D126" s="6">
        <f t="shared" si="1"/>
        <v>122</v>
      </c>
      <c r="E126" s="6">
        <f>(B126-INDEX('Native PMKS'!$C$6:$C$366,C126))/(INDEX('Native PMKS'!$C$6:$C$366,D126)-INDEX('Native PMKS'!$C$6:$C$366,C126))</f>
        <v>0.33426183844010515</v>
      </c>
      <c r="F126" s="6">
        <f>INDEX('Native PMKS'!$N$6:$N$366,C126)+(INDEX('Native PMKS'!$N$6:$N$366,D126)-INDEX('Native PMKS'!$N$6:$N$366,C126))*E126</f>
        <v>0.64973899721448225</v>
      </c>
      <c r="G126" s="6">
        <f>INDEX('Native PMKS'!$O$6:$O$366,C126)+(INDEX('Native PMKS'!$O$6:$O$366,D126)-INDEX('Native PMKS'!$O$6:$O$366,C126))*E126</f>
        <v>59.663893593314761</v>
      </c>
    </row>
    <row r="127" spans="1:7" ht="18.95" customHeight="1">
      <c r="A127" s="1">
        <v>121</v>
      </c>
      <c r="B127" s="6">
        <f>TimeStep!G127</f>
        <v>1011.1420612813371</v>
      </c>
      <c r="C127" s="6">
        <f>MIN(MATCH(B127,'Native PMKS'!$C$6:$C$366,1),360)</f>
        <v>122</v>
      </c>
      <c r="D127" s="6">
        <f t="shared" si="1"/>
        <v>123</v>
      </c>
      <c r="E127" s="6">
        <f>(B127-INDEX('Native PMKS'!$C$6:$C$366,C127))/(INDEX('Native PMKS'!$C$6:$C$366,D127)-INDEX('Native PMKS'!$C$6:$C$366,C127))</f>
        <v>0.33704735376044331</v>
      </c>
      <c r="F127" s="6">
        <f>INDEX('Native PMKS'!$N$6:$N$366,C127)+(INDEX('Native PMKS'!$N$6:$N$366,D127)-INDEX('Native PMKS'!$N$6:$N$366,C127))*E127</f>
        <v>1.0518896935933137</v>
      </c>
      <c r="G127" s="6">
        <f>INDEX('Native PMKS'!$O$6:$O$366,C127)+(INDEX('Native PMKS'!$O$6:$O$366,D127)-INDEX('Native PMKS'!$O$6:$O$366,C127))*E127</f>
        <v>59.548974373259057</v>
      </c>
    </row>
    <row r="128" spans="1:7" ht="18.95" customHeight="1">
      <c r="A128" s="1">
        <v>122</v>
      </c>
      <c r="B128" s="6">
        <f>TimeStep!G128</f>
        <v>1019.4986072423399</v>
      </c>
      <c r="C128" s="6">
        <f>MIN(MATCH(B128,'Native PMKS'!$C$6:$C$366,1),360)</f>
        <v>123</v>
      </c>
      <c r="D128" s="6">
        <f t="shared" si="1"/>
        <v>124</v>
      </c>
      <c r="E128" s="6">
        <f>(B128-INDEX('Native PMKS'!$C$6:$C$366,C128))/(INDEX('Native PMKS'!$C$6:$C$366,D128)-INDEX('Native PMKS'!$C$6:$C$366,C128))</f>
        <v>0.33983286908077698</v>
      </c>
      <c r="F128" s="6">
        <f>INDEX('Native PMKS'!$N$6:$N$366,C128)+(INDEX('Native PMKS'!$N$6:$N$366,D128)-INDEX('Native PMKS'!$N$6:$N$366,C128))*E128</f>
        <v>1.4541069637882997</v>
      </c>
      <c r="G128" s="6">
        <f>INDEX('Native PMKS'!$O$6:$O$366,C128)+(INDEX('Native PMKS'!$O$6:$O$366,D128)-INDEX('Native PMKS'!$O$6:$O$366,C128))*E128</f>
        <v>59.434055153203346</v>
      </c>
    </row>
    <row r="129" spans="1:7" ht="18.95" customHeight="1">
      <c r="A129" s="1">
        <v>123</v>
      </c>
      <c r="B129" s="6">
        <f>TimeStep!G129</f>
        <v>1027.8551532033425</v>
      </c>
      <c r="C129" s="6">
        <f>MIN(MATCH(B129,'Native PMKS'!$C$6:$C$366,1),360)</f>
        <v>124</v>
      </c>
      <c r="D129" s="6">
        <f t="shared" si="1"/>
        <v>125</v>
      </c>
      <c r="E129" s="6">
        <f>(B129-INDEX('Native PMKS'!$C$6:$C$366,C129))/(INDEX('Native PMKS'!$C$6:$C$366,D129)-INDEX('Native PMKS'!$C$6:$C$366,C129))</f>
        <v>0.34261838440109671</v>
      </c>
      <c r="F129" s="6">
        <f>INDEX('Native PMKS'!$N$6:$N$366,C129)+(INDEX('Native PMKS'!$N$6:$N$366,D129)-INDEX('Native PMKS'!$N$6:$N$366,C129))*E129</f>
        <v>1.8562899721448398</v>
      </c>
      <c r="G129" s="6">
        <f>INDEX('Native PMKS'!$O$6:$O$366,C129)+(INDEX('Native PMKS'!$O$6:$O$366,D129)-INDEX('Native PMKS'!$O$6:$O$366,C129))*E129</f>
        <v>59.299503899721458</v>
      </c>
    </row>
    <row r="130" spans="1:7" ht="18.95" customHeight="1">
      <c r="A130" s="1">
        <v>124</v>
      </c>
      <c r="B130" s="6">
        <f>TimeStep!G130</f>
        <v>1036.2116991643454</v>
      </c>
      <c r="C130" s="6">
        <f>MIN(MATCH(B130,'Native PMKS'!$C$6:$C$366,1),360)</f>
        <v>125</v>
      </c>
      <c r="D130" s="6">
        <f t="shared" si="1"/>
        <v>126</v>
      </c>
      <c r="E130" s="6">
        <f>(B130-INDEX('Native PMKS'!$C$6:$C$366,C130))/(INDEX('Native PMKS'!$C$6:$C$366,D130)-INDEX('Native PMKS'!$C$6:$C$366,C130))</f>
        <v>0.34540389972143515</v>
      </c>
      <c r="F130" s="6">
        <f>INDEX('Native PMKS'!$N$6:$N$366,C130)+(INDEX('Native PMKS'!$N$6:$N$366,D130)-INDEX('Native PMKS'!$N$6:$N$366,C130))*E130</f>
        <v>2.2584415041782675</v>
      </c>
      <c r="G130" s="6">
        <f>INDEX('Native PMKS'!$O$6:$O$366,C130)+(INDEX('Native PMKS'!$O$6:$O$366,D130)-INDEX('Native PMKS'!$O$6:$O$366,C130))*E130</f>
        <v>59.12715961002786</v>
      </c>
    </row>
    <row r="131" spans="1:7" ht="18.95" customHeight="1">
      <c r="A131" s="1">
        <v>125</v>
      </c>
      <c r="B131" s="6">
        <f>TimeStep!G131</f>
        <v>1044.5682451253481</v>
      </c>
      <c r="C131" s="6">
        <f>MIN(MATCH(B131,'Native PMKS'!$C$6:$C$366,1),360)</f>
        <v>126</v>
      </c>
      <c r="D131" s="6">
        <f t="shared" si="1"/>
        <v>127</v>
      </c>
      <c r="E131" s="6">
        <f>(B131-INDEX('Native PMKS'!$C$6:$C$366,C131))/(INDEX('Native PMKS'!$C$6:$C$366,D131)-INDEX('Native PMKS'!$C$6:$C$366,C131))</f>
        <v>0.34818941504176426</v>
      </c>
      <c r="F131" s="6">
        <f>INDEX('Native PMKS'!$N$6:$N$366,C131)+(INDEX('Native PMKS'!$N$6:$N$366,D131)-INDEX('Native PMKS'!$N$6:$N$366,C131))*E131</f>
        <v>2.6606587743732515</v>
      </c>
      <c r="G131" s="6">
        <f>INDEX('Native PMKS'!$O$6:$O$366,C131)+(INDEX('Native PMKS'!$O$6:$O$366,D131)-INDEX('Native PMKS'!$O$6:$O$366,C131))*E131</f>
        <v>58.954846239554321</v>
      </c>
    </row>
    <row r="132" spans="1:7" ht="18.95" customHeight="1">
      <c r="A132" s="1">
        <v>126</v>
      </c>
      <c r="B132" s="6">
        <f>TimeStep!G132</f>
        <v>1052.924791086351</v>
      </c>
      <c r="C132" s="6">
        <f>MIN(MATCH(B132,'Native PMKS'!$C$6:$C$366,1),360)</f>
        <v>127</v>
      </c>
      <c r="D132" s="6">
        <f t="shared" si="1"/>
        <v>128</v>
      </c>
      <c r="E132" s="6">
        <f>(B132-INDEX('Native PMKS'!$C$6:$C$366,C132))/(INDEX('Native PMKS'!$C$6:$C$366,D132)-INDEX('Native PMKS'!$C$6:$C$366,C132))</f>
        <v>0.35097493036211108</v>
      </c>
      <c r="F132" s="6">
        <f>INDEX('Native PMKS'!$N$6:$N$366,C132)+(INDEX('Native PMKS'!$N$6:$N$366,D132)-INDEX('Native PMKS'!$N$6:$N$366,C132))*E132</f>
        <v>3.0829869080779915</v>
      </c>
      <c r="G132" s="6">
        <f>INDEX('Native PMKS'!$O$6:$O$366,C132)+(INDEX('Native PMKS'!$O$6:$O$366,D132)-INDEX('Native PMKS'!$O$6:$O$366,C132))*E132</f>
        <v>58.762356545961005</v>
      </c>
    </row>
    <row r="133" spans="1:7" ht="18.95" customHeight="1">
      <c r="A133" s="1">
        <v>127</v>
      </c>
      <c r="B133" s="6">
        <f>TimeStep!G133</f>
        <v>1061.2813370473536</v>
      </c>
      <c r="C133" s="6">
        <f>MIN(MATCH(B133,'Native PMKS'!$C$6:$C$366,1),360)</f>
        <v>128</v>
      </c>
      <c r="D133" s="6">
        <f t="shared" si="1"/>
        <v>129</v>
      </c>
      <c r="E133" s="6">
        <f>(B133-INDEX('Native PMKS'!$C$6:$C$366,C133))/(INDEX('Native PMKS'!$C$6:$C$366,D133)-INDEX('Native PMKS'!$C$6:$C$366,C133))</f>
        <v>0.35376044568242243</v>
      </c>
      <c r="F133" s="6">
        <f>INDEX('Native PMKS'!$N$6:$N$366,C133)+(INDEX('Native PMKS'!$N$6:$N$366,D133)-INDEX('Native PMKS'!$N$6:$N$366,C133))*E133</f>
        <v>3.5223579387186512</v>
      </c>
      <c r="G133" s="6">
        <f>INDEX('Native PMKS'!$O$6:$O$366,C133)+(INDEX('Native PMKS'!$O$6:$O$366,D133)-INDEX('Native PMKS'!$O$6:$O$366,C133))*E133</f>
        <v>58.55278857938719</v>
      </c>
    </row>
    <row r="134" spans="1:7" ht="18.95" customHeight="1">
      <c r="A134" s="1">
        <v>128</v>
      </c>
      <c r="B134" s="6">
        <f>TimeStep!G134</f>
        <v>1069.6378830083565</v>
      </c>
      <c r="C134" s="6">
        <f>MIN(MATCH(B134,'Native PMKS'!$C$6:$C$366,1),360)</f>
        <v>129</v>
      </c>
      <c r="D134" s="6">
        <f t="shared" ref="D134:D197" si="2">C134+1</f>
        <v>130</v>
      </c>
      <c r="E134" s="6">
        <f>(B134-INDEX('Native PMKS'!$C$6:$C$366,C134))/(INDEX('Native PMKS'!$C$6:$C$366,D134)-INDEX('Native PMKS'!$C$6:$C$366,C134))</f>
        <v>0.3565459610027788</v>
      </c>
      <c r="F134" s="6">
        <f>INDEX('Native PMKS'!$N$6:$N$366,C134)+(INDEX('Native PMKS'!$N$6:$N$366,D134)-INDEX('Native PMKS'!$N$6:$N$366,C134))*E134</f>
        <v>3.9245105849582145</v>
      </c>
      <c r="G134" s="6">
        <f>INDEX('Native PMKS'!$O$6:$O$366,C134)+(INDEX('Native PMKS'!$O$6:$O$366,D134)-INDEX('Native PMKS'!$O$6:$O$366,C134))*E134</f>
        <v>58.359979665738159</v>
      </c>
    </row>
    <row r="135" spans="1:7" ht="18.95" customHeight="1">
      <c r="A135" s="1">
        <v>129</v>
      </c>
      <c r="B135" s="6">
        <f>TimeStep!G135</f>
        <v>1077.9944289693594</v>
      </c>
      <c r="C135" s="6">
        <f>MIN(MATCH(B135,'Native PMKS'!$C$6:$C$366,1),360)</f>
        <v>130</v>
      </c>
      <c r="D135" s="6">
        <f t="shared" si="2"/>
        <v>131</v>
      </c>
      <c r="E135" s="6">
        <f>(B135-INDEX('Native PMKS'!$C$6:$C$366,C135))/(INDEX('Native PMKS'!$C$6:$C$366,D135)-INDEX('Native PMKS'!$C$6:$C$366,C135))</f>
        <v>0.3593314763231254</v>
      </c>
      <c r="F135" s="6">
        <f>INDEX('Native PMKS'!$N$6:$N$366,C135)+(INDEX('Native PMKS'!$N$6:$N$366,D135)-INDEX('Native PMKS'!$N$6:$N$366,C135))*E135</f>
        <v>4.3473175487465205</v>
      </c>
      <c r="G135" s="6">
        <f>INDEX('Native PMKS'!$O$6:$O$366,C135)+(INDEX('Native PMKS'!$O$6:$O$366,D135)-INDEX('Native PMKS'!$O$6:$O$366,C135))*E135</f>
        <v>58.130141225626737</v>
      </c>
    </row>
    <row r="136" spans="1:7" ht="18.95" customHeight="1">
      <c r="A136" s="1">
        <v>130</v>
      </c>
      <c r="B136" s="6">
        <f>TimeStep!G136</f>
        <v>1086.3509749303621</v>
      </c>
      <c r="C136" s="6">
        <f>MIN(MATCH(B136,'Native PMKS'!$C$6:$C$366,1),360)</f>
        <v>131</v>
      </c>
      <c r="D136" s="6">
        <f t="shared" si="2"/>
        <v>132</v>
      </c>
      <c r="E136" s="6">
        <f>(B136-INDEX('Native PMKS'!$C$6:$C$366,C136))/(INDEX('Native PMKS'!$C$6:$C$366,D136)-INDEX('Native PMKS'!$C$6:$C$366,C136))</f>
        <v>0.36211699164343703</v>
      </c>
      <c r="F136" s="6">
        <f>INDEX('Native PMKS'!$N$6:$N$366,C136)+(INDEX('Native PMKS'!$N$6:$N$366,D136)-INDEX('Native PMKS'!$N$6:$N$366,C136))*E136</f>
        <v>4.786208913649018</v>
      </c>
      <c r="G136" s="6">
        <f>INDEX('Native PMKS'!$O$6:$O$366,C136)+(INDEX('Native PMKS'!$O$6:$O$366,D136)-INDEX('Native PMKS'!$O$6:$O$366,C136))*E136</f>
        <v>57.879553481894156</v>
      </c>
    </row>
    <row r="137" spans="1:7" ht="18.95" customHeight="1">
      <c r="A137" s="1">
        <v>131</v>
      </c>
      <c r="B137" s="6">
        <f>TimeStep!G137</f>
        <v>1094.707520891365</v>
      </c>
      <c r="C137" s="6">
        <f>MIN(MATCH(B137,'Native PMKS'!$C$6:$C$366,1),360)</f>
        <v>132</v>
      </c>
      <c r="D137" s="6">
        <f t="shared" si="2"/>
        <v>133</v>
      </c>
      <c r="E137" s="6">
        <f>(B137-INDEX('Native PMKS'!$C$6:$C$366,C137))/(INDEX('Native PMKS'!$C$6:$C$366,D137)-INDEX('Native PMKS'!$C$6:$C$366,C137))</f>
        <v>0.36490250696379339</v>
      </c>
      <c r="F137" s="6">
        <f>INDEX('Native PMKS'!$N$6:$N$366,C137)+(INDEX('Native PMKS'!$N$6:$N$366,D137)-INDEX('Native PMKS'!$N$6:$N$366,C137))*E137</f>
        <v>5.2092713091922027</v>
      </c>
      <c r="G137" s="6">
        <f>INDEX('Native PMKS'!$O$6:$O$366,C137)+(INDEX('Native PMKS'!$O$6:$O$366,D137)-INDEX('Native PMKS'!$O$6:$O$366,C137))*E137</f>
        <v>57.613200835654595</v>
      </c>
    </row>
    <row r="138" spans="1:7" ht="18.95" customHeight="1">
      <c r="A138" s="1">
        <v>132</v>
      </c>
      <c r="B138" s="6">
        <f>TimeStep!G138</f>
        <v>1103.0640668523677</v>
      </c>
      <c r="C138" s="6">
        <f>MIN(MATCH(B138,'Native PMKS'!$C$6:$C$366,1),360)</f>
        <v>133</v>
      </c>
      <c r="D138" s="6">
        <f t="shared" si="2"/>
        <v>134</v>
      </c>
      <c r="E138" s="6">
        <f>(B138-INDEX('Native PMKS'!$C$6:$C$366,C138))/(INDEX('Native PMKS'!$C$6:$C$366,D138)-INDEX('Native PMKS'!$C$6:$C$366,C138))</f>
        <v>0.36768802228411246</v>
      </c>
      <c r="F138" s="6">
        <f>INDEX('Native PMKS'!$N$6:$N$366,C138)+(INDEX('Native PMKS'!$N$6:$N$366,D138)-INDEX('Native PMKS'!$N$6:$N$366,C138))*E138</f>
        <v>5.6478796657381576</v>
      </c>
      <c r="G138" s="6">
        <f>INDEX('Native PMKS'!$O$6:$O$366,C138)+(INDEX('Native PMKS'!$O$6:$O$366,D138)-INDEX('Native PMKS'!$O$6:$O$366,C138))*E138</f>
        <v>57.362357381615602</v>
      </c>
    </row>
    <row r="139" spans="1:7" ht="18.95" customHeight="1">
      <c r="A139" s="1">
        <v>133</v>
      </c>
      <c r="B139" s="6">
        <f>TimeStep!G139</f>
        <v>1111.4206128133706</v>
      </c>
      <c r="C139" s="6">
        <f>MIN(MATCH(B139,'Native PMKS'!$C$6:$C$366,1),360)</f>
        <v>134</v>
      </c>
      <c r="D139" s="6">
        <f t="shared" si="2"/>
        <v>135</v>
      </c>
      <c r="E139" s="6">
        <f>(B139-INDEX('Native PMKS'!$C$6:$C$366,C139))/(INDEX('Native PMKS'!$C$6:$C$366,D139)-INDEX('Native PMKS'!$C$6:$C$366,C139))</f>
        <v>0.37047353760445156</v>
      </c>
      <c r="F139" s="6">
        <f>INDEX('Native PMKS'!$N$6:$N$366,C139)+(INDEX('Native PMKS'!$N$6:$N$366,D139)-INDEX('Native PMKS'!$N$6:$N$366,C139))*E139</f>
        <v>6.0712880222841203</v>
      </c>
      <c r="G139" s="6">
        <f>INDEX('Native PMKS'!$O$6:$O$366,C139)+(INDEX('Native PMKS'!$O$6:$O$366,D139)-INDEX('Native PMKS'!$O$6:$O$366,C139))*E139</f>
        <v>57.053831197771586</v>
      </c>
    </row>
    <row r="140" spans="1:7" ht="18.95" customHeight="1">
      <c r="A140" s="1">
        <v>134</v>
      </c>
      <c r="B140" s="6">
        <f>TimeStep!G140</f>
        <v>1119.7771587743732</v>
      </c>
      <c r="C140" s="6">
        <f>MIN(MATCH(B140,'Native PMKS'!$C$6:$C$366,1),360)</f>
        <v>135</v>
      </c>
      <c r="D140" s="6">
        <f t="shared" si="2"/>
        <v>136</v>
      </c>
      <c r="E140" s="6">
        <f>(B140-INDEX('Native PMKS'!$C$6:$C$366,C140))/(INDEX('Native PMKS'!$C$6:$C$366,D140)-INDEX('Native PMKS'!$C$6:$C$366,C140))</f>
        <v>0.37325905292478068</v>
      </c>
      <c r="F140" s="6">
        <f>INDEX('Native PMKS'!$N$6:$N$366,C140)+(INDEX('Native PMKS'!$N$6:$N$366,D140)-INDEX('Native PMKS'!$N$6:$N$366,C140))*E140</f>
        <v>6.530901949860719</v>
      </c>
      <c r="G140" s="6">
        <f>INDEX('Native PMKS'!$O$6:$O$366,C140)+(INDEX('Native PMKS'!$O$6:$O$366,D140)-INDEX('Native PMKS'!$O$6:$O$366,C140))*E140</f>
        <v>56.73046128133705</v>
      </c>
    </row>
    <row r="141" spans="1:7" ht="18.95" customHeight="1">
      <c r="A141" s="1">
        <v>135</v>
      </c>
      <c r="B141" s="6">
        <f>TimeStep!G141</f>
        <v>1128.1337047353761</v>
      </c>
      <c r="C141" s="6">
        <f>MIN(MATCH(B141,'Native PMKS'!$C$6:$C$366,1),360)</f>
        <v>136</v>
      </c>
      <c r="D141" s="6">
        <f t="shared" si="2"/>
        <v>137</v>
      </c>
      <c r="E141" s="6">
        <f>(B141-INDEX('Native PMKS'!$C$6:$C$366,C141))/(INDEX('Native PMKS'!$C$6:$C$366,D141)-INDEX('Native PMKS'!$C$6:$C$366,C141))</f>
        <v>0.37604456824512678</v>
      </c>
      <c r="F141" s="6">
        <f>INDEX('Native PMKS'!$N$6:$N$366,C141)+(INDEX('Native PMKS'!$N$6:$N$366,D141)-INDEX('Native PMKS'!$N$6:$N$366,C141))*E141</f>
        <v>6.9905788300835665</v>
      </c>
      <c r="G141" s="6">
        <f>INDEX('Native PMKS'!$O$6:$O$366,C141)+(INDEX('Native PMKS'!$O$6:$O$366,D141)-INDEX('Native PMKS'!$O$6:$O$366,C141))*E141</f>
        <v>56.421653481894147</v>
      </c>
    </row>
    <row r="142" spans="1:7" ht="18.95" customHeight="1">
      <c r="A142" s="1">
        <v>136</v>
      </c>
      <c r="B142" s="6">
        <f>TimeStep!G142</f>
        <v>1136.4902506963788</v>
      </c>
      <c r="C142" s="6">
        <f>MIN(MATCH(B142,'Native PMKS'!$C$6:$C$366,1),360)</f>
        <v>137</v>
      </c>
      <c r="D142" s="6">
        <f t="shared" si="2"/>
        <v>138</v>
      </c>
      <c r="E142" s="6">
        <f>(B142-INDEX('Native PMKS'!$C$6:$C$366,C142))/(INDEX('Native PMKS'!$C$6:$C$366,D142)-INDEX('Native PMKS'!$C$6:$C$366,C142))</f>
        <v>0.37883008356543885</v>
      </c>
      <c r="F142" s="6">
        <f>INDEX('Native PMKS'!$N$6:$N$366,C142)+(INDEX('Native PMKS'!$N$6:$N$366,D142)-INDEX('Native PMKS'!$N$6:$N$366,C142))*E142</f>
        <v>7.4285108635097412</v>
      </c>
      <c r="G142" s="6">
        <f>INDEX('Native PMKS'!$O$6:$O$366,C142)+(INDEX('Native PMKS'!$O$6:$O$366,D142)-INDEX('Native PMKS'!$O$6:$O$366,C142))*E142</f>
        <v>56.0986651810585</v>
      </c>
    </row>
    <row r="143" spans="1:7" ht="18.95" customHeight="1">
      <c r="A143" s="1">
        <v>137</v>
      </c>
      <c r="B143" s="6">
        <f>TimeStep!G143</f>
        <v>1144.8467966573817</v>
      </c>
      <c r="C143" s="6">
        <f>MIN(MATCH(B143,'Native PMKS'!$C$6:$C$366,1),360)</f>
        <v>138</v>
      </c>
      <c r="D143" s="6">
        <f t="shared" si="2"/>
        <v>139</v>
      </c>
      <c r="E143" s="6">
        <f>(B143-INDEX('Native PMKS'!$C$6:$C$366,C143))/(INDEX('Native PMKS'!$C$6:$C$366,D143)-INDEX('Native PMKS'!$C$6:$C$366,C143))</f>
        <v>0.38161559888579522</v>
      </c>
      <c r="F143" s="6">
        <f>INDEX('Native PMKS'!$N$6:$N$366,C143)+(INDEX('Native PMKS'!$N$6:$N$366,D143)-INDEX('Native PMKS'!$N$6:$N$366,C143))*E143</f>
        <v>7.8525325905292487</v>
      </c>
      <c r="G143" s="6">
        <f>INDEX('Native PMKS'!$O$6:$O$366,C143)+(INDEX('Native PMKS'!$O$6:$O$366,D143)-INDEX('Native PMKS'!$O$6:$O$366,C143))*E143</f>
        <v>55.789500557103061</v>
      </c>
    </row>
    <row r="144" spans="1:7" ht="18.95" customHeight="1">
      <c r="A144" s="1">
        <v>138</v>
      </c>
      <c r="B144" s="6">
        <f>TimeStep!G144</f>
        <v>1153.2033426183843</v>
      </c>
      <c r="C144" s="6">
        <f>MIN(MATCH(B144,'Native PMKS'!$C$6:$C$366,1),360)</f>
        <v>139</v>
      </c>
      <c r="D144" s="6">
        <f t="shared" si="2"/>
        <v>140</v>
      </c>
      <c r="E144" s="6">
        <f>(B144-INDEX('Native PMKS'!$C$6:$C$366,C144))/(INDEX('Native PMKS'!$C$6:$C$366,D144)-INDEX('Native PMKS'!$C$6:$C$366,C144))</f>
        <v>0.38440111420611384</v>
      </c>
      <c r="F144" s="6">
        <f>INDEX('Native PMKS'!$N$6:$N$366,C144)+(INDEX('Native PMKS'!$N$6:$N$366,D144)-INDEX('Native PMKS'!$N$6:$N$366,C144))*E144</f>
        <v>8.3122094707520819</v>
      </c>
      <c r="G144" s="6">
        <f>INDEX('Native PMKS'!$O$6:$O$366,C144)+(INDEX('Native PMKS'!$O$6:$O$366,D144)-INDEX('Native PMKS'!$O$6:$O$366,C144))*E144</f>
        <v>55.42271671309193</v>
      </c>
    </row>
    <row r="145" spans="1:7" ht="18.95" customHeight="1">
      <c r="A145" s="1">
        <v>139</v>
      </c>
      <c r="B145" s="6">
        <f>TimeStep!G145</f>
        <v>1161.5598885793872</v>
      </c>
      <c r="C145" s="6">
        <f>MIN(MATCH(B145,'Native PMKS'!$C$6:$C$366,1),360)</f>
        <v>140</v>
      </c>
      <c r="D145" s="6">
        <f t="shared" si="2"/>
        <v>141</v>
      </c>
      <c r="E145" s="6">
        <f>(B145-INDEX('Native PMKS'!$C$6:$C$366,C145))/(INDEX('Native PMKS'!$C$6:$C$366,D145)-INDEX('Native PMKS'!$C$6:$C$366,C145))</f>
        <v>0.38718662952645344</v>
      </c>
      <c r="F145" s="6">
        <f>INDEX('Native PMKS'!$N$6:$N$366,C145)+(INDEX('Native PMKS'!$N$6:$N$366,D145)-INDEX('Native PMKS'!$N$6:$N$366,C145))*E145</f>
        <v>8.7718476323119745</v>
      </c>
      <c r="G145" s="6">
        <f>INDEX('Native PMKS'!$O$6:$O$366,C145)+(INDEX('Native PMKS'!$O$6:$O$366,D145)-INDEX('Native PMKS'!$O$6:$O$366,C145))*E145</f>
        <v>55.042723955431761</v>
      </c>
    </row>
    <row r="146" spans="1:7" ht="18.95" customHeight="1">
      <c r="A146" s="1">
        <v>140</v>
      </c>
      <c r="B146" s="6">
        <f>TimeStep!G146</f>
        <v>1169.9164345403899</v>
      </c>
      <c r="C146" s="6">
        <f>MIN(MATCH(B146,'Native PMKS'!$C$6:$C$366,1),360)</f>
        <v>141</v>
      </c>
      <c r="D146" s="6">
        <f t="shared" si="2"/>
        <v>142</v>
      </c>
      <c r="E146" s="6">
        <f>(B146-INDEX('Native PMKS'!$C$6:$C$366,C146))/(INDEX('Native PMKS'!$C$6:$C$366,D146)-INDEX('Native PMKS'!$C$6:$C$366,C146))</f>
        <v>0.3899721448467825</v>
      </c>
      <c r="F146" s="6">
        <f>INDEX('Native PMKS'!$N$6:$N$366,C146)+(INDEX('Native PMKS'!$N$6:$N$366,D146)-INDEX('Native PMKS'!$N$6:$N$366,C146))*E146</f>
        <v>9.2314632311977647</v>
      </c>
      <c r="G146" s="6">
        <f>INDEX('Native PMKS'!$O$6:$O$366,C146)+(INDEX('Native PMKS'!$O$6:$O$366,D146)-INDEX('Native PMKS'!$O$6:$O$366,C146))*E146</f>
        <v>54.675682172701954</v>
      </c>
    </row>
    <row r="147" spans="1:7" ht="18.95" customHeight="1">
      <c r="A147" s="1">
        <v>141</v>
      </c>
      <c r="B147" s="6">
        <f>TimeStep!G147</f>
        <v>1178.2729805013928</v>
      </c>
      <c r="C147" s="6">
        <f>MIN(MATCH(B147,'Native PMKS'!$C$6:$C$366,1),360)</f>
        <v>142</v>
      </c>
      <c r="D147" s="6">
        <f t="shared" si="2"/>
        <v>143</v>
      </c>
      <c r="E147" s="6">
        <f>(B147-INDEX('Native PMKS'!$C$6:$C$366,C147))/(INDEX('Native PMKS'!$C$6:$C$366,D147)-INDEX('Native PMKS'!$C$6:$C$366,C147))</f>
        <v>0.39275766016712821</v>
      </c>
      <c r="F147" s="6">
        <f>INDEX('Native PMKS'!$N$6:$N$366,C147)+(INDEX('Native PMKS'!$N$6:$N$366,D147)-INDEX('Native PMKS'!$N$6:$N$366,C147))*E147</f>
        <v>9.7136451253481884</v>
      </c>
      <c r="G147" s="6">
        <f>INDEX('Native PMKS'!$O$6:$O$366,C147)+(INDEX('Native PMKS'!$O$6:$O$366,D147)-INDEX('Native PMKS'!$O$6:$O$366,C147))*E147</f>
        <v>54.273464902506966</v>
      </c>
    </row>
    <row r="148" spans="1:7" ht="18.95" customHeight="1">
      <c r="A148" s="1">
        <v>142</v>
      </c>
      <c r="B148" s="6">
        <f>TimeStep!G148</f>
        <v>1186.6295264623955</v>
      </c>
      <c r="C148" s="6">
        <f>MIN(MATCH(B148,'Native PMKS'!$C$6:$C$366,1),360)</f>
        <v>143</v>
      </c>
      <c r="D148" s="6">
        <f t="shared" si="2"/>
        <v>144</v>
      </c>
      <c r="E148" s="6">
        <f>(B148-INDEX('Native PMKS'!$C$6:$C$366,C148))/(INDEX('Native PMKS'!$C$6:$C$366,D148)-INDEX('Native PMKS'!$C$6:$C$366,C148))</f>
        <v>0.39554317548744072</v>
      </c>
      <c r="F148" s="6">
        <f>INDEX('Native PMKS'!$N$6:$N$366,C148)+(INDEX('Native PMKS'!$N$6:$N$366,D148)-INDEX('Native PMKS'!$N$6:$N$366,C148))*E148</f>
        <v>10.208077437325894</v>
      </c>
      <c r="G148" s="6">
        <f>INDEX('Native PMKS'!$O$6:$O$366,C148)+(INDEX('Native PMKS'!$O$6:$O$366,D148)-INDEX('Native PMKS'!$O$6:$O$366,C148))*E148</f>
        <v>53.848622562674102</v>
      </c>
    </row>
    <row r="149" spans="1:7" ht="18.95" customHeight="1">
      <c r="A149" s="1">
        <v>143</v>
      </c>
      <c r="B149" s="6">
        <f>TimeStep!G149</f>
        <v>1194.9860724233984</v>
      </c>
      <c r="C149" s="6">
        <f>MIN(MATCH(B149,'Native PMKS'!$C$6:$C$366,1),360)</f>
        <v>144</v>
      </c>
      <c r="D149" s="6">
        <f t="shared" si="2"/>
        <v>145</v>
      </c>
      <c r="E149" s="6">
        <f>(B149-INDEX('Native PMKS'!$C$6:$C$366,C149))/(INDEX('Native PMKS'!$C$6:$C$366,D149)-INDEX('Native PMKS'!$C$6:$C$366,C149))</f>
        <v>0.39832869080779709</v>
      </c>
      <c r="F149" s="6">
        <f>INDEX('Native PMKS'!$N$6:$N$366,C149)+(INDEX('Native PMKS'!$N$6:$N$366,D149)-INDEX('Native PMKS'!$N$6:$N$366,C149))*E149</f>
        <v>10.667693871866295</v>
      </c>
      <c r="G149" s="6">
        <f>INDEX('Native PMKS'!$O$6:$O$366,C149)+(INDEX('Native PMKS'!$O$6:$O$366,D149)-INDEX('Native PMKS'!$O$6:$O$366,C149))*E149</f>
        <v>53.411830362116987</v>
      </c>
    </row>
    <row r="150" spans="1:7" ht="18.95" customHeight="1">
      <c r="A150" s="1">
        <v>144</v>
      </c>
      <c r="B150" s="6">
        <f>TimeStep!G150</f>
        <v>1203.342618384401</v>
      </c>
      <c r="C150" s="6">
        <f>MIN(MATCH(B150,'Native PMKS'!$C$6:$C$366,1),360)</f>
        <v>145</v>
      </c>
      <c r="D150" s="6">
        <f t="shared" si="2"/>
        <v>146</v>
      </c>
      <c r="E150" s="6">
        <f>(B150-INDEX('Native PMKS'!$C$6:$C$366,C150))/(INDEX('Native PMKS'!$C$6:$C$366,D150)-INDEX('Native PMKS'!$C$6:$C$366,C150))</f>
        <v>0.40111420612811521</v>
      </c>
      <c r="F150" s="6">
        <f>INDEX('Native PMKS'!$N$6:$N$366,C150)+(INDEX('Native PMKS'!$N$6:$N$366,D150)-INDEX('Native PMKS'!$N$6:$N$366,C150))*E150</f>
        <v>11.127370752089128</v>
      </c>
      <c r="G150" s="6">
        <f>INDEX('Native PMKS'!$O$6:$O$366,C150)+(INDEX('Native PMKS'!$O$6:$O$366,D150)-INDEX('Native PMKS'!$O$6:$O$366,C150))*E150</f>
        <v>52.986629247910869</v>
      </c>
    </row>
    <row r="151" spans="1:7" ht="18.95" customHeight="1">
      <c r="A151" s="1">
        <v>145</v>
      </c>
      <c r="B151" s="6">
        <f>TimeStep!G151</f>
        <v>1211.6991643454039</v>
      </c>
      <c r="C151" s="6">
        <f>MIN(MATCH(B151,'Native PMKS'!$C$6:$C$366,1),360)</f>
        <v>146</v>
      </c>
      <c r="D151" s="6">
        <f t="shared" si="2"/>
        <v>147</v>
      </c>
      <c r="E151" s="6">
        <f>(B151-INDEX('Native PMKS'!$C$6:$C$366,C151))/(INDEX('Native PMKS'!$C$6:$C$366,D151)-INDEX('Native PMKS'!$C$6:$C$366,C151))</f>
        <v>0.40389972144845526</v>
      </c>
      <c r="F151" s="6">
        <f>INDEX('Native PMKS'!$N$6:$N$366,C151)+(INDEX('Native PMKS'!$N$6:$N$366,D151)-INDEX('Native PMKS'!$N$6:$N$366,C151))*E151</f>
        <v>11.610150696378824</v>
      </c>
      <c r="G151" s="6">
        <f>INDEX('Native PMKS'!$O$6:$O$366,C151)+(INDEX('Native PMKS'!$O$6:$O$366,D151)-INDEX('Native PMKS'!$O$6:$O$366,C151))*E151</f>
        <v>52.526992757660175</v>
      </c>
    </row>
    <row r="152" spans="1:7" ht="18.95" customHeight="1">
      <c r="A152" s="1">
        <v>146</v>
      </c>
      <c r="B152" s="6">
        <f>TimeStep!G152</f>
        <v>1220.0557103064066</v>
      </c>
      <c r="C152" s="6">
        <f>MIN(MATCH(B152,'Native PMKS'!$C$6:$C$366,1),360)</f>
        <v>147</v>
      </c>
      <c r="D152" s="6">
        <f t="shared" si="2"/>
        <v>148</v>
      </c>
      <c r="E152" s="6">
        <f>(B152-INDEX('Native PMKS'!$C$6:$C$366,C152))/(INDEX('Native PMKS'!$C$6:$C$366,D152)-INDEX('Native PMKS'!$C$6:$C$366,C152))</f>
        <v>0.40668523676878438</v>
      </c>
      <c r="F152" s="6">
        <f>INDEX('Native PMKS'!$N$6:$N$366,C152)+(INDEX('Native PMKS'!$N$6:$N$366,D152)-INDEX('Native PMKS'!$N$6:$N$366,C152))*E152</f>
        <v>12.10392451253481</v>
      </c>
      <c r="G152" s="6">
        <f>INDEX('Native PMKS'!$O$6:$O$366,C152)+(INDEX('Native PMKS'!$O$6:$O$366,D152)-INDEX('Native PMKS'!$O$6:$O$366,C152))*E152</f>
        <v>52.067375487465192</v>
      </c>
    </row>
    <row r="153" spans="1:7" ht="18.95" customHeight="1">
      <c r="A153" s="1">
        <v>147</v>
      </c>
      <c r="B153" s="6">
        <f>TimeStep!G153</f>
        <v>1228.4122562674095</v>
      </c>
      <c r="C153" s="6">
        <f>MIN(MATCH(B153,'Native PMKS'!$C$6:$C$366,1),360)</f>
        <v>148</v>
      </c>
      <c r="D153" s="6">
        <f t="shared" si="2"/>
        <v>149</v>
      </c>
      <c r="E153" s="6">
        <f>(B153-INDEX('Native PMKS'!$C$6:$C$366,C153))/(INDEX('Native PMKS'!$C$6:$C$366,D153)-INDEX('Native PMKS'!$C$6:$C$366,C153))</f>
        <v>0.40947075208912959</v>
      </c>
      <c r="F153" s="6">
        <f>INDEX('Native PMKS'!$N$6:$N$366,C153)+(INDEX('Native PMKS'!$N$6:$N$366,D153)-INDEX('Native PMKS'!$N$6:$N$366,C153))*E153</f>
        <v>12.587064066852363</v>
      </c>
      <c r="G153" s="6">
        <f>INDEX('Native PMKS'!$O$6:$O$366,C153)+(INDEX('Native PMKS'!$O$6:$O$366,D153)-INDEX('Native PMKS'!$O$6:$O$366,C153))*E153</f>
        <v>51.584235933147639</v>
      </c>
    </row>
    <row r="154" spans="1:7" ht="18.95" customHeight="1">
      <c r="A154" s="1">
        <v>148</v>
      </c>
      <c r="B154" s="6">
        <f>TimeStep!G154</f>
        <v>1236.7688022284121</v>
      </c>
      <c r="C154" s="6">
        <f>MIN(MATCH(B154,'Native PMKS'!$C$6:$C$366,1),360)</f>
        <v>149</v>
      </c>
      <c r="D154" s="6">
        <f t="shared" si="2"/>
        <v>150</v>
      </c>
      <c r="E154" s="6">
        <f>(B154-INDEX('Native PMKS'!$C$6:$C$366,C154))/(INDEX('Native PMKS'!$C$6:$C$366,D154)-INDEX('Native PMKS'!$C$6:$C$366,C154))</f>
        <v>0.41225626740944255</v>
      </c>
      <c r="F154" s="6">
        <f>INDEX('Native PMKS'!$N$6:$N$366,C154)+(INDEX('Native PMKS'!$N$6:$N$366,D154)-INDEX('Native PMKS'!$N$6:$N$366,C154))*E154</f>
        <v>13.104159331476309</v>
      </c>
      <c r="G154" s="6">
        <f>INDEX('Native PMKS'!$O$6:$O$366,C154)+(INDEX('Native PMKS'!$O$6:$O$366,D154)-INDEX('Native PMKS'!$O$6:$O$366,C154))*E154</f>
        <v>51.067140668523692</v>
      </c>
    </row>
    <row r="155" spans="1:7" ht="18.95" customHeight="1">
      <c r="A155" s="1">
        <v>149</v>
      </c>
      <c r="B155" s="6">
        <f>TimeStep!G155</f>
        <v>1245.125348189415</v>
      </c>
      <c r="C155" s="6">
        <f>MIN(MATCH(B155,'Native PMKS'!$C$6:$C$366,1),360)</f>
        <v>150</v>
      </c>
      <c r="D155" s="6">
        <f t="shared" si="2"/>
        <v>151</v>
      </c>
      <c r="E155" s="6">
        <f>(B155-INDEX('Native PMKS'!$C$6:$C$366,C155))/(INDEX('Native PMKS'!$C$6:$C$366,D155)-INDEX('Native PMKS'!$C$6:$C$366,C155))</f>
        <v>0.41504178272979891</v>
      </c>
      <c r="F155" s="6">
        <f>INDEX('Native PMKS'!$N$6:$N$366,C155)+(INDEX('Native PMKS'!$N$6:$N$366,D155)-INDEX('Native PMKS'!$N$6:$N$366,C155))*E155</f>
        <v>13.59745515320334</v>
      </c>
      <c r="G155" s="6">
        <f>INDEX('Native PMKS'!$O$6:$O$366,C155)+(INDEX('Native PMKS'!$O$6:$O$366,D155)-INDEX('Native PMKS'!$O$6:$O$366,C155))*E155</f>
        <v>50.550062952646243</v>
      </c>
    </row>
    <row r="156" spans="1:7" ht="18.95" customHeight="1">
      <c r="A156" s="1">
        <v>150</v>
      </c>
      <c r="B156" s="6">
        <f>TimeStep!G156</f>
        <v>1253.4818941504179</v>
      </c>
      <c r="C156" s="6">
        <f>MIN(MATCH(B156,'Native PMKS'!$C$6:$C$366,1),360)</f>
        <v>151</v>
      </c>
      <c r="D156" s="6">
        <f t="shared" si="2"/>
        <v>152</v>
      </c>
      <c r="E156" s="6">
        <f>(B156-INDEX('Native PMKS'!$C$6:$C$366,C156))/(INDEX('Native PMKS'!$C$6:$C$366,D156)-INDEX('Native PMKS'!$C$6:$C$366,C156))</f>
        <v>0.4178272980501439</v>
      </c>
      <c r="F156" s="6">
        <f>INDEX('Native PMKS'!$N$6:$N$366,C156)+(INDEX('Native PMKS'!$N$6:$N$366,D156)-INDEX('Native PMKS'!$N$6:$N$366,C156))*E156</f>
        <v>14.081031754874655</v>
      </c>
      <c r="G156" s="6">
        <f>INDEX('Native PMKS'!$O$6:$O$366,C156)+(INDEX('Native PMKS'!$O$6:$O$366,D156)-INDEX('Native PMKS'!$O$6:$O$366,C156))*E156</f>
        <v>50.032926462395537</v>
      </c>
    </row>
    <row r="157" spans="1:7" ht="18.95" customHeight="1">
      <c r="A157" s="1">
        <v>151</v>
      </c>
      <c r="B157" s="6">
        <f>TimeStep!G157</f>
        <v>1261.8384401114206</v>
      </c>
      <c r="C157" s="6">
        <f>MIN(MATCH(B157,'Native PMKS'!$C$6:$C$366,1),360)</f>
        <v>152</v>
      </c>
      <c r="D157" s="6">
        <f t="shared" si="2"/>
        <v>153</v>
      </c>
      <c r="E157" s="6">
        <f>(B157-INDEX('Native PMKS'!$C$6:$C$366,C157))/(INDEX('Native PMKS'!$C$6:$C$366,D157)-INDEX('Native PMKS'!$C$6:$C$366,C157))</f>
        <v>0.42061281337045714</v>
      </c>
      <c r="F157" s="6">
        <f>INDEX('Native PMKS'!$N$6:$N$366,C157)+(INDEX('Native PMKS'!$N$6:$N$366,D157)-INDEX('Native PMKS'!$N$6:$N$366,C157))*E157</f>
        <v>14.598110027855144</v>
      </c>
      <c r="G157" s="6">
        <f>INDEX('Native PMKS'!$O$6:$O$366,C157)+(INDEX('Native PMKS'!$O$6:$O$366,D157)-INDEX('Native PMKS'!$O$6:$O$366,C157))*E157</f>
        <v>49.515832033426193</v>
      </c>
    </row>
    <row r="158" spans="1:7" ht="18.95" customHeight="1">
      <c r="A158" s="1">
        <v>152</v>
      </c>
      <c r="B158" s="6">
        <f>TimeStep!G158</f>
        <v>1270.1949860724235</v>
      </c>
      <c r="C158" s="6">
        <f>MIN(MATCH(B158,'Native PMKS'!$C$6:$C$366,1),360)</f>
        <v>153</v>
      </c>
      <c r="D158" s="6">
        <f t="shared" si="2"/>
        <v>154</v>
      </c>
      <c r="E158" s="6">
        <f>(B158-INDEX('Native PMKS'!$C$6:$C$366,C158))/(INDEX('Native PMKS'!$C$6:$C$366,D158)-INDEX('Native PMKS'!$C$6:$C$366,C158))</f>
        <v>0.42339832869081351</v>
      </c>
      <c r="F158" s="6">
        <f>INDEX('Native PMKS'!$N$6:$N$366,C158)+(INDEX('Native PMKS'!$N$6:$N$366,D158)-INDEX('Native PMKS'!$N$6:$N$366,C158))*E158</f>
        <v>15.115246518105852</v>
      </c>
      <c r="G158" s="6">
        <f>INDEX('Native PMKS'!$O$6:$O$366,C158)+(INDEX('Native PMKS'!$O$6:$O$366,D158)-INDEX('Native PMKS'!$O$6:$O$366,C158))*E158</f>
        <v>48.974492757660165</v>
      </c>
    </row>
    <row r="159" spans="1:7" ht="18.95" customHeight="1">
      <c r="A159" s="1">
        <v>153</v>
      </c>
      <c r="B159" s="6">
        <f>TimeStep!G159</f>
        <v>1278.5515320334262</v>
      </c>
      <c r="C159" s="6">
        <f>MIN(MATCH(B159,'Native PMKS'!$C$6:$C$366,1),360)</f>
        <v>154</v>
      </c>
      <c r="D159" s="6">
        <f t="shared" si="2"/>
        <v>155</v>
      </c>
      <c r="E159" s="6">
        <f>(B159-INDEX('Native PMKS'!$C$6:$C$366,C159))/(INDEX('Native PMKS'!$C$6:$C$366,D159)-INDEX('Native PMKS'!$C$6:$C$366,C159))</f>
        <v>0.42618384401113096</v>
      </c>
      <c r="F159" s="6">
        <f>INDEX('Native PMKS'!$N$6:$N$366,C159)+(INDEX('Native PMKS'!$N$6:$N$366,D159)-INDEX('Native PMKS'!$N$6:$N$366,C159))*E159</f>
        <v>15.632340389972139</v>
      </c>
      <c r="G159" s="6">
        <f>INDEX('Native PMKS'!$O$6:$O$366,C159)+(INDEX('Native PMKS'!$O$6:$O$366,D159)-INDEX('Native PMKS'!$O$6:$O$366,C159))*E159</f>
        <v>48.399939275766023</v>
      </c>
    </row>
    <row r="160" spans="1:7" ht="18.95" customHeight="1">
      <c r="A160" s="1">
        <v>154</v>
      </c>
      <c r="B160" s="6">
        <f>TimeStep!G160</f>
        <v>1286.908077994429</v>
      </c>
      <c r="C160" s="6">
        <f>MIN(MATCH(B160,'Native PMKS'!$C$6:$C$366,1),360)</f>
        <v>155</v>
      </c>
      <c r="D160" s="6">
        <f t="shared" si="2"/>
        <v>156</v>
      </c>
      <c r="E160" s="6">
        <f>(B160-INDEX('Native PMKS'!$C$6:$C$366,C160))/(INDEX('Native PMKS'!$C$6:$C$366,D160)-INDEX('Native PMKS'!$C$6:$C$366,C160))</f>
        <v>0.42896935933147168</v>
      </c>
      <c r="F160" s="6">
        <f>INDEX('Native PMKS'!$N$6:$N$366,C160)+(INDEX('Native PMKS'!$N$6:$N$366,D160)-INDEX('Native PMKS'!$N$6:$N$366,C160))*E160</f>
        <v>16.149419498607241</v>
      </c>
      <c r="G160" s="6">
        <f>INDEX('Native PMKS'!$O$6:$O$366,C160)+(INDEX('Native PMKS'!$O$6:$O$366,D160)-INDEX('Native PMKS'!$O$6:$O$366,C160))*E160</f>
        <v>47.825400557103066</v>
      </c>
    </row>
    <row r="161" spans="1:7" ht="18.95" customHeight="1">
      <c r="A161" s="1">
        <v>155</v>
      </c>
      <c r="B161" s="6">
        <f>TimeStep!G161</f>
        <v>1295.2646239554317</v>
      </c>
      <c r="C161" s="6">
        <f>MIN(MATCH(B161,'Native PMKS'!$C$6:$C$366,1),360)</f>
        <v>156</v>
      </c>
      <c r="D161" s="6">
        <f t="shared" si="2"/>
        <v>157</v>
      </c>
      <c r="E161" s="6">
        <f>(B161-INDEX('Native PMKS'!$C$6:$C$366,C161))/(INDEX('Native PMKS'!$C$6:$C$366,D161)-INDEX('Native PMKS'!$C$6:$C$366,C161))</f>
        <v>0.43175487465180079</v>
      </c>
      <c r="F161" s="6">
        <f>INDEX('Native PMKS'!$N$6:$N$366,C161)+(INDEX('Native PMKS'!$N$6:$N$366,D161)-INDEX('Native PMKS'!$N$6:$N$366,C161))*E161</f>
        <v>16.666555988857933</v>
      </c>
      <c r="G161" s="6">
        <f>INDEX('Native PMKS'!$O$6:$O$366,C161)+(INDEX('Native PMKS'!$O$6:$O$366,D161)-INDEX('Native PMKS'!$O$6:$O$366,C161))*E161</f>
        <v>47.250804456824518</v>
      </c>
    </row>
    <row r="162" spans="1:7" ht="18.95" customHeight="1">
      <c r="A162" s="1">
        <v>156</v>
      </c>
      <c r="B162" s="6">
        <f>TimeStep!G162</f>
        <v>1303.6211699164346</v>
      </c>
      <c r="C162" s="6">
        <f>MIN(MATCH(B162,'Native PMKS'!$C$6:$C$366,1),360)</f>
        <v>157</v>
      </c>
      <c r="D162" s="6">
        <f t="shared" si="2"/>
        <v>158</v>
      </c>
      <c r="E162" s="6">
        <f>(B162-INDEX('Native PMKS'!$C$6:$C$366,C162))/(INDEX('Native PMKS'!$C$6:$C$366,D162)-INDEX('Native PMKS'!$C$6:$C$366,C162))</f>
        <v>0.43454038997214528</v>
      </c>
      <c r="F162" s="6">
        <f>INDEX('Native PMKS'!$N$6:$N$366,C162)+(INDEX('Native PMKS'!$N$6:$N$366,D162)-INDEX('Native PMKS'!$N$6:$N$366,C162))*E162</f>
        <v>17.183649025069638</v>
      </c>
      <c r="G162" s="6">
        <f>INDEX('Native PMKS'!$O$6:$O$366,C162)+(INDEX('Native PMKS'!$O$6:$O$366,D162)-INDEX('Native PMKS'!$O$6:$O$366,C162))*E162</f>
        <v>46.676251810584958</v>
      </c>
    </row>
    <row r="163" spans="1:7" ht="18.95" customHeight="1">
      <c r="A163" s="1">
        <v>157</v>
      </c>
      <c r="B163" s="6">
        <f>TimeStep!G163</f>
        <v>1311.9777158774373</v>
      </c>
      <c r="C163" s="6">
        <f>MIN(MATCH(B163,'Native PMKS'!$C$6:$C$366,1),360)</f>
        <v>158</v>
      </c>
      <c r="D163" s="6">
        <f t="shared" si="2"/>
        <v>159</v>
      </c>
      <c r="E163" s="6">
        <f>(B163-INDEX('Native PMKS'!$C$6:$C$366,C163))/(INDEX('Native PMKS'!$C$6:$C$366,D163)-INDEX('Native PMKS'!$C$6:$C$366,C163))</f>
        <v>0.43732590529245896</v>
      </c>
      <c r="F163" s="6">
        <f>INDEX('Native PMKS'!$N$6:$N$366,C163)+(INDEX('Native PMKS'!$N$6:$N$366,D163)-INDEX('Native PMKS'!$N$6:$N$366,C163))*E163</f>
        <v>17.700728969359321</v>
      </c>
      <c r="G163" s="6">
        <f>INDEX('Native PMKS'!$O$6:$O$366,C163)+(INDEX('Native PMKS'!$O$6:$O$366,D163)-INDEX('Native PMKS'!$O$6:$O$366,C163))*E163</f>
        <v>46.076653481894162</v>
      </c>
    </row>
    <row r="164" spans="1:7" ht="18.95" customHeight="1">
      <c r="A164" s="1">
        <v>158</v>
      </c>
      <c r="B164" s="6">
        <f>TimeStep!G164</f>
        <v>1320.3342618384402</v>
      </c>
      <c r="C164" s="6">
        <f>MIN(MATCH(B164,'Native PMKS'!$C$6:$C$366,1),360)</f>
        <v>159</v>
      </c>
      <c r="D164" s="6">
        <f t="shared" si="2"/>
        <v>160</v>
      </c>
      <c r="E164" s="6">
        <f>(B164-INDEX('Native PMKS'!$C$6:$C$366,C164))/(INDEX('Native PMKS'!$C$6:$C$366,D164)-INDEX('Native PMKS'!$C$6:$C$366,C164))</f>
        <v>0.44011142061281533</v>
      </c>
      <c r="F164" s="6">
        <f>INDEX('Native PMKS'!$N$6:$N$366,C164)+(INDEX('Native PMKS'!$N$6:$N$366,D164)-INDEX('Native PMKS'!$N$6:$N$366,C164))*E164</f>
        <v>18.243039832869083</v>
      </c>
      <c r="G164" s="6">
        <f>INDEX('Native PMKS'!$O$6:$O$366,C164)+(INDEX('Native PMKS'!$O$6:$O$366,D164)-INDEX('Native PMKS'!$O$6:$O$366,C164))*E164</f>
        <v>45.444641782729803</v>
      </c>
    </row>
    <row r="165" spans="1:7" ht="18.95" customHeight="1">
      <c r="A165" s="1">
        <v>159</v>
      </c>
      <c r="B165" s="6">
        <f>TimeStep!G165</f>
        <v>1328.6908077994428</v>
      </c>
      <c r="C165" s="6">
        <f>MIN(MATCH(B165,'Native PMKS'!$C$6:$C$366,1),360)</f>
        <v>160</v>
      </c>
      <c r="D165" s="6">
        <f t="shared" si="2"/>
        <v>161</v>
      </c>
      <c r="E165" s="6">
        <f>(B165-INDEX('Native PMKS'!$C$6:$C$366,C165))/(INDEX('Native PMKS'!$C$6:$C$366,D165)-INDEX('Native PMKS'!$C$6:$C$366,C165))</f>
        <v>0.44289693593313234</v>
      </c>
      <c r="F165" s="6">
        <f>INDEX('Native PMKS'!$N$6:$N$366,C165)+(INDEX('Native PMKS'!$N$6:$N$366,D165)-INDEX('Native PMKS'!$N$6:$N$366,C165))*E165</f>
        <v>18.792201949860715</v>
      </c>
      <c r="G165" s="6">
        <f>INDEX('Native PMKS'!$O$6:$O$366,C165)+(INDEX('Native PMKS'!$O$6:$O$366,D165)-INDEX('Native PMKS'!$O$6:$O$366,C165))*E165</f>
        <v>44.812642061281345</v>
      </c>
    </row>
    <row r="166" spans="1:7" ht="18.95" customHeight="1">
      <c r="A166" s="1">
        <v>160</v>
      </c>
      <c r="B166" s="6">
        <f>TimeStep!G166</f>
        <v>1337.0473537604457</v>
      </c>
      <c r="C166" s="6">
        <f>MIN(MATCH(B166,'Native PMKS'!$C$6:$C$366,1),360)</f>
        <v>161</v>
      </c>
      <c r="D166" s="6">
        <f t="shared" si="2"/>
        <v>162</v>
      </c>
      <c r="E166" s="6">
        <f>(B166-INDEX('Native PMKS'!$C$6:$C$366,C166))/(INDEX('Native PMKS'!$C$6:$C$366,D166)-INDEX('Native PMKS'!$C$6:$C$366,C166))</f>
        <v>0.44568245125347355</v>
      </c>
      <c r="F166" s="6">
        <f>INDEX('Native PMKS'!$N$6:$N$366,C166)+(INDEX('Native PMKS'!$N$6:$N$366,D166)-INDEX('Native PMKS'!$N$6:$N$366,C166))*E166</f>
        <v>19.309338440111414</v>
      </c>
      <c r="G166" s="6">
        <f>INDEX('Native PMKS'!$O$6:$O$366,C166)+(INDEX('Native PMKS'!$O$6:$O$366,D166)-INDEX('Native PMKS'!$O$6:$O$366,C166))*E166</f>
        <v>44.180630919220064</v>
      </c>
    </row>
    <row r="167" spans="1:7" ht="18.95" customHeight="1">
      <c r="A167" s="1">
        <v>161</v>
      </c>
      <c r="B167" s="6">
        <f>TimeStep!G167</f>
        <v>1345.4038997214484</v>
      </c>
      <c r="C167" s="6">
        <f>MIN(MATCH(B167,'Native PMKS'!$C$6:$C$366,1),360)</f>
        <v>162</v>
      </c>
      <c r="D167" s="6">
        <f t="shared" si="2"/>
        <v>163</v>
      </c>
      <c r="E167" s="6">
        <f>(B167-INDEX('Native PMKS'!$C$6:$C$366,C167))/(INDEX('Native PMKS'!$C$6:$C$366,D167)-INDEX('Native PMKS'!$C$6:$C$366,C167))</f>
        <v>0.44846796657380261</v>
      </c>
      <c r="F167" s="6">
        <f>INDEX('Native PMKS'!$N$6:$N$366,C167)+(INDEX('Native PMKS'!$N$6:$N$366,D167)-INDEX('Native PMKS'!$N$6:$N$366,C167))*E167</f>
        <v>19.852127298050132</v>
      </c>
      <c r="G167" s="6">
        <f>INDEX('Native PMKS'!$O$6:$O$366,C167)+(INDEX('Native PMKS'!$O$6:$O$366,D167)-INDEX('Native PMKS'!$O$6:$O$366,C167))*E167</f>
        <v>43.548630640668534</v>
      </c>
    </row>
    <row r="168" spans="1:7" ht="18.95" customHeight="1">
      <c r="A168" s="1">
        <v>162</v>
      </c>
      <c r="B168" s="6">
        <f>TimeStep!G168</f>
        <v>1353.7604456824513</v>
      </c>
      <c r="C168" s="6">
        <f>MIN(MATCH(B168,'Native PMKS'!$C$6:$C$366,1),360)</f>
        <v>163</v>
      </c>
      <c r="D168" s="6">
        <f t="shared" si="2"/>
        <v>164</v>
      </c>
      <c r="E168" s="6">
        <f>(B168-INDEX('Native PMKS'!$C$6:$C$366,C168))/(INDEX('Native PMKS'!$C$6:$C$366,D168)-INDEX('Native PMKS'!$C$6:$C$366,C168))</f>
        <v>0.45125348189414671</v>
      </c>
      <c r="F168" s="6">
        <f>INDEX('Native PMKS'!$N$6:$N$366,C168)+(INDEX('Native PMKS'!$N$6:$N$366,D168)-INDEX('Native PMKS'!$N$6:$N$366,C168))*E168</f>
        <v>20.400811420612811</v>
      </c>
      <c r="G168" s="6">
        <f>INDEX('Native PMKS'!$O$6:$O$366,C168)+(INDEX('Native PMKS'!$O$6:$O$366,D168)-INDEX('Native PMKS'!$O$6:$O$366,C168))*E168</f>
        <v>42.890763231197774</v>
      </c>
    </row>
    <row r="169" spans="1:7" ht="18.95" customHeight="1">
      <c r="A169" s="1">
        <v>163</v>
      </c>
      <c r="B169" s="6">
        <f>TimeStep!G169</f>
        <v>1362.116991643454</v>
      </c>
      <c r="C169" s="6">
        <f>MIN(MATCH(B169,'Native PMKS'!$C$6:$C$366,1),360)</f>
        <v>164</v>
      </c>
      <c r="D169" s="6">
        <f t="shared" si="2"/>
        <v>165</v>
      </c>
      <c r="E169" s="6">
        <f>(B169-INDEX('Native PMKS'!$C$6:$C$366,C169))/(INDEX('Native PMKS'!$C$6:$C$366,D169)-INDEX('Native PMKS'!$C$6:$C$366,C169))</f>
        <v>0.45403899721446084</v>
      </c>
      <c r="F169" s="6">
        <f>INDEX('Native PMKS'!$N$6:$N$366,C169)+(INDEX('Native PMKS'!$N$6:$N$366,D169)-INDEX('Native PMKS'!$N$6:$N$366,C169))*E169</f>
        <v>20.943918941504165</v>
      </c>
      <c r="G169" s="6">
        <f>INDEX('Native PMKS'!$O$6:$O$366,C169)+(INDEX('Native PMKS'!$O$6:$O$366,D169)-INDEX('Native PMKS'!$O$6:$O$366,C169))*E169</f>
        <v>42.201302785515338</v>
      </c>
    </row>
    <row r="170" spans="1:7" ht="18.95" customHeight="1">
      <c r="A170" s="1">
        <v>164</v>
      </c>
      <c r="B170" s="6">
        <f>TimeStep!G170</f>
        <v>1370.4735376044569</v>
      </c>
      <c r="C170" s="6">
        <f>MIN(MATCH(B170,'Native PMKS'!$C$6:$C$366,1),360)</f>
        <v>165</v>
      </c>
      <c r="D170" s="6">
        <f t="shared" si="2"/>
        <v>166</v>
      </c>
      <c r="E170" s="6">
        <f>(B170-INDEX('Native PMKS'!$C$6:$C$366,C170))/(INDEX('Native PMKS'!$C$6:$C$366,D170)-INDEX('Native PMKS'!$C$6:$C$366,C170))</f>
        <v>0.45682451253481721</v>
      </c>
      <c r="F170" s="6">
        <f>INDEX('Native PMKS'!$N$6:$N$366,C170)+(INDEX('Native PMKS'!$N$6:$N$366,D170)-INDEX('Native PMKS'!$N$6:$N$366,C170))*E170</f>
        <v>21.492284401114205</v>
      </c>
      <c r="G170" s="6">
        <f>INDEX('Native PMKS'!$O$6:$O$366,C170)+(INDEX('Native PMKS'!$O$6:$O$366,D170)-INDEX('Native PMKS'!$O$6:$O$366,C170))*E170</f>
        <v>41.511833147632309</v>
      </c>
    </row>
    <row r="171" spans="1:7" ht="18.95" customHeight="1">
      <c r="A171" s="1">
        <v>165</v>
      </c>
      <c r="B171" s="6">
        <f>TimeStep!G171</f>
        <v>1378.8300835654595</v>
      </c>
      <c r="C171" s="6">
        <f>MIN(MATCH(B171,'Native PMKS'!$C$6:$C$366,1),360)</f>
        <v>166</v>
      </c>
      <c r="D171" s="6">
        <f t="shared" si="2"/>
        <v>167</v>
      </c>
      <c r="E171" s="6">
        <f>(B171-INDEX('Native PMKS'!$C$6:$C$366,C171))/(INDEX('Native PMKS'!$C$6:$C$366,D171)-INDEX('Native PMKS'!$C$6:$C$366,C171))</f>
        <v>0.45961002785513377</v>
      </c>
      <c r="F171" s="6">
        <f>INDEX('Native PMKS'!$N$6:$N$366,C171)+(INDEX('Native PMKS'!$N$6:$N$366,D171)-INDEX('Native PMKS'!$N$6:$N$366,C171))*E171</f>
        <v>22.035756545960993</v>
      </c>
      <c r="G171" s="6">
        <f>INDEX('Native PMKS'!$O$6:$O$366,C171)+(INDEX('Native PMKS'!$O$6:$O$366,D171)-INDEX('Native PMKS'!$O$6:$O$366,C171))*E171</f>
        <v>40.82237214484681</v>
      </c>
    </row>
    <row r="172" spans="1:7" ht="18.95" customHeight="1">
      <c r="A172" s="1">
        <v>166</v>
      </c>
      <c r="B172" s="6">
        <f>TimeStep!G172</f>
        <v>1387.1866295264624</v>
      </c>
      <c r="C172" s="6">
        <f>MIN(MATCH(B172,'Native PMKS'!$C$6:$C$366,1),360)</f>
        <v>167</v>
      </c>
      <c r="D172" s="6">
        <f t="shared" si="2"/>
        <v>168</v>
      </c>
      <c r="E172" s="6">
        <f>(B172-INDEX('Native PMKS'!$C$6:$C$366,C172))/(INDEX('Native PMKS'!$C$6:$C$366,D172)-INDEX('Native PMKS'!$C$6:$C$366,C172))</f>
        <v>0.46239554317547538</v>
      </c>
      <c r="F172" s="6">
        <f>INDEX('Native PMKS'!$N$6:$N$366,C172)+(INDEX('Native PMKS'!$N$6:$N$366,D172)-INDEX('Native PMKS'!$N$6:$N$366,C172))*E172</f>
        <v>22.583811142061275</v>
      </c>
      <c r="G172" s="6">
        <f>INDEX('Native PMKS'!$O$6:$O$366,C172)+(INDEX('Native PMKS'!$O$6:$O$366,D172)-INDEX('Native PMKS'!$O$6:$O$366,C172))*E172</f>
        <v>40.132903064066859</v>
      </c>
    </row>
    <row r="173" spans="1:7" ht="18.95" customHeight="1">
      <c r="A173" s="1">
        <v>167</v>
      </c>
      <c r="B173" s="6">
        <f>TimeStep!G173</f>
        <v>1395.5431754874651</v>
      </c>
      <c r="C173" s="6">
        <f>MIN(MATCH(B173,'Native PMKS'!$C$6:$C$366,1),360)</f>
        <v>168</v>
      </c>
      <c r="D173" s="6">
        <f t="shared" si="2"/>
        <v>169</v>
      </c>
      <c r="E173" s="6">
        <f>(B173-INDEX('Native PMKS'!$C$6:$C$366,C173))/(INDEX('Native PMKS'!$C$6:$C$366,D173)-INDEX('Native PMKS'!$C$6:$C$366,C173))</f>
        <v>0.46518105849580449</v>
      </c>
      <c r="F173" s="6">
        <f>INDEX('Native PMKS'!$N$6:$N$366,C173)+(INDEX('Native PMKS'!$N$6:$N$366,D173)-INDEX('Native PMKS'!$N$6:$N$366,C173))*E173</f>
        <v>23.127548746518098</v>
      </c>
      <c r="G173" s="6">
        <f>INDEX('Native PMKS'!$O$6:$O$366,C173)+(INDEX('Native PMKS'!$O$6:$O$366,D173)-INDEX('Native PMKS'!$O$6:$O$366,C173))*E173</f>
        <v>39.416786629526477</v>
      </c>
    </row>
    <row r="174" spans="1:7" ht="18.95" customHeight="1">
      <c r="A174" s="1">
        <v>168</v>
      </c>
      <c r="B174" s="6">
        <f>TimeStep!G174</f>
        <v>1403.899721448468</v>
      </c>
      <c r="C174" s="6">
        <f>MIN(MATCH(B174,'Native PMKS'!$C$6:$C$366,1),360)</f>
        <v>169</v>
      </c>
      <c r="D174" s="6">
        <f t="shared" si="2"/>
        <v>170</v>
      </c>
      <c r="E174" s="6">
        <f>(B174-INDEX('Native PMKS'!$C$6:$C$366,C174))/(INDEX('Native PMKS'!$C$6:$C$366,D174)-INDEX('Native PMKS'!$C$6:$C$366,C174))</f>
        <v>0.46796657381614809</v>
      </c>
      <c r="F174" s="6">
        <f>INDEX('Native PMKS'!$N$6:$N$366,C174)+(INDEX('Native PMKS'!$N$6:$N$366,D174)-INDEX('Native PMKS'!$N$6:$N$366,C174))*E174</f>
        <v>23.675283565459608</v>
      </c>
      <c r="G174" s="6">
        <f>INDEX('Native PMKS'!$O$6:$O$366,C174)+(INDEX('Native PMKS'!$O$6:$O$366,D174)-INDEX('Native PMKS'!$O$6:$O$366,C174))*E174</f>
        <v>38.696672980501397</v>
      </c>
    </row>
    <row r="175" spans="1:7" ht="18.95" customHeight="1">
      <c r="A175" s="1">
        <v>169</v>
      </c>
      <c r="B175" s="6">
        <f>TimeStep!G175</f>
        <v>1412.2562674094706</v>
      </c>
      <c r="C175" s="6">
        <f>MIN(MATCH(B175,'Native PMKS'!$C$6:$C$366,1),360)</f>
        <v>170</v>
      </c>
      <c r="D175" s="6">
        <f t="shared" si="2"/>
        <v>171</v>
      </c>
      <c r="E175" s="6">
        <f>(B175-INDEX('Native PMKS'!$C$6:$C$366,C175))/(INDEX('Native PMKS'!$C$6:$C$366,D175)-INDEX('Native PMKS'!$C$6:$C$366,C175))</f>
        <v>0.47075208913646266</v>
      </c>
      <c r="F175" s="6">
        <f>INDEX('Native PMKS'!$N$6:$N$366,C175)+(INDEX('Native PMKS'!$N$6:$N$366,D175)-INDEX('Native PMKS'!$N$6:$N$366,C175))*E175</f>
        <v>24.219340947075192</v>
      </c>
      <c r="G175" s="6">
        <f>INDEX('Native PMKS'!$O$6:$O$366,C175)+(INDEX('Native PMKS'!$O$6:$O$366,D175)-INDEX('Native PMKS'!$O$6:$O$366,C175))*E175</f>
        <v>37.98023676880225</v>
      </c>
    </row>
    <row r="176" spans="1:7" ht="18.95" customHeight="1">
      <c r="A176" s="1">
        <v>170</v>
      </c>
      <c r="B176" s="6">
        <f>TimeStep!G176</f>
        <v>1420.6128133704735</v>
      </c>
      <c r="C176" s="6">
        <f>MIN(MATCH(B176,'Native PMKS'!$C$6:$C$366,1),360)</f>
        <v>171</v>
      </c>
      <c r="D176" s="6">
        <f t="shared" si="2"/>
        <v>172</v>
      </c>
      <c r="E176" s="6">
        <f>(B176-INDEX('Native PMKS'!$C$6:$C$366,C176))/(INDEX('Native PMKS'!$C$6:$C$366,D176)-INDEX('Native PMKS'!$C$6:$C$366,C176))</f>
        <v>0.47353760445681903</v>
      </c>
      <c r="F176" s="6">
        <f>INDEX('Native PMKS'!$N$6:$N$366,C176)+(INDEX('Native PMKS'!$N$6:$N$366,D176)-INDEX('Native PMKS'!$N$6:$N$366,C176))*E176</f>
        <v>24.766803342618381</v>
      </c>
      <c r="G176" s="6">
        <f>INDEX('Native PMKS'!$O$6:$O$366,C176)+(INDEX('Native PMKS'!$O$6:$O$366,D176)-INDEX('Native PMKS'!$O$6:$O$366,C176))*E176</f>
        <v>37.233309192200558</v>
      </c>
    </row>
    <row r="177" spans="1:7" ht="18.95" customHeight="1">
      <c r="A177" s="1">
        <v>171</v>
      </c>
      <c r="B177" s="6">
        <f>TimeStep!G177</f>
        <v>1428.9693593314764</v>
      </c>
      <c r="C177" s="6">
        <f>MIN(MATCH(B177,'Native PMKS'!$C$6:$C$366,1),360)</f>
        <v>172</v>
      </c>
      <c r="D177" s="6">
        <f t="shared" si="2"/>
        <v>173</v>
      </c>
      <c r="E177" s="6">
        <f>(B177-INDEX('Native PMKS'!$C$6:$C$366,C177))/(INDEX('Native PMKS'!$C$6:$C$366,D177)-INDEX('Native PMKS'!$C$6:$C$366,C177))</f>
        <v>0.47632311977716241</v>
      </c>
      <c r="F177" s="6">
        <f>INDEX('Native PMKS'!$N$6:$N$366,C177)+(INDEX('Native PMKS'!$N$6:$N$366,D177)-INDEX('Native PMKS'!$N$6:$N$366,C177))*E177</f>
        <v>25.311185515320336</v>
      </c>
      <c r="G177" s="6">
        <f>INDEX('Native PMKS'!$O$6:$O$366,C177)+(INDEX('Native PMKS'!$O$6:$O$366,D177)-INDEX('Native PMKS'!$O$6:$O$366,C177))*E177</f>
        <v>36.486386908077989</v>
      </c>
    </row>
    <row r="178" spans="1:7" ht="18.95" customHeight="1">
      <c r="A178" s="1">
        <v>172</v>
      </c>
      <c r="B178" s="6">
        <f>TimeStep!G178</f>
        <v>1437.3259052924791</v>
      </c>
      <c r="C178" s="6">
        <f>MIN(MATCH(B178,'Native PMKS'!$C$6:$C$366,1),360)</f>
        <v>173</v>
      </c>
      <c r="D178" s="6">
        <f t="shared" si="2"/>
        <v>174</v>
      </c>
      <c r="E178" s="6">
        <f>(B178-INDEX('Native PMKS'!$C$6:$C$366,C178))/(INDEX('Native PMKS'!$C$6:$C$366,D178)-INDEX('Native PMKS'!$C$6:$C$366,C178))</f>
        <v>0.47910863509747725</v>
      </c>
      <c r="F178" s="6">
        <f>INDEX('Native PMKS'!$N$6:$N$366,C178)+(INDEX('Native PMKS'!$N$6:$N$366,D178)-INDEX('Native PMKS'!$N$6:$N$366,C178))*E178</f>
        <v>25.885729247910856</v>
      </c>
      <c r="G178" s="6">
        <f>INDEX('Native PMKS'!$O$6:$O$366,C178)+(INDEX('Native PMKS'!$O$6:$O$366,D178)-INDEX('Native PMKS'!$O$6:$O$366,C178))*E178</f>
        <v>35.739459888579397</v>
      </c>
    </row>
    <row r="179" spans="1:7" ht="18.95" customHeight="1">
      <c r="A179" s="1">
        <v>173</v>
      </c>
      <c r="B179" s="6">
        <f>TimeStep!G179</f>
        <v>1445.682451253482</v>
      </c>
      <c r="C179" s="6">
        <f>MIN(MATCH(B179,'Native PMKS'!$C$6:$C$366,1),360)</f>
        <v>174</v>
      </c>
      <c r="D179" s="6">
        <f t="shared" si="2"/>
        <v>175</v>
      </c>
      <c r="E179" s="6">
        <f>(B179-INDEX('Native PMKS'!$C$6:$C$366,C179))/(INDEX('Native PMKS'!$C$6:$C$366,D179)-INDEX('Native PMKS'!$C$6:$C$366,C179))</f>
        <v>0.48189415041783362</v>
      </c>
      <c r="F179" s="6">
        <f>INDEX('Native PMKS'!$N$6:$N$366,C179)+(INDEX('Native PMKS'!$N$6:$N$366,D179)-INDEX('Native PMKS'!$N$6:$N$366,C179))*E179</f>
        <v>26.432664623955436</v>
      </c>
      <c r="G179" s="6">
        <f>INDEX('Native PMKS'!$O$6:$O$366,C179)+(INDEX('Native PMKS'!$O$6:$O$366,D179)-INDEX('Native PMKS'!$O$6:$O$366,C179))*E179</f>
        <v>34.992585236768797</v>
      </c>
    </row>
    <row r="180" spans="1:7" ht="18.95" customHeight="1">
      <c r="A180" s="1">
        <v>174</v>
      </c>
      <c r="B180" s="6">
        <f>TimeStep!G180</f>
        <v>1454.0389972144847</v>
      </c>
      <c r="C180" s="6">
        <f>MIN(MATCH(B180,'Native PMKS'!$C$6:$C$366,1),360)</f>
        <v>175</v>
      </c>
      <c r="D180" s="6">
        <f t="shared" si="2"/>
        <v>176</v>
      </c>
      <c r="E180" s="6">
        <f>(B180-INDEX('Native PMKS'!$C$6:$C$366,C180))/(INDEX('Native PMKS'!$C$6:$C$366,D180)-INDEX('Native PMKS'!$C$6:$C$366,C180))</f>
        <v>0.48467966573814947</v>
      </c>
      <c r="F180" s="6">
        <f>INDEX('Native PMKS'!$N$6:$N$366,C180)+(INDEX('Native PMKS'!$N$6:$N$366,D180)-INDEX('Native PMKS'!$N$6:$N$366,C180))*E180</f>
        <v>26.977521448467961</v>
      </c>
      <c r="G180" s="6">
        <f>INDEX('Native PMKS'!$O$6:$O$366,C180)+(INDEX('Native PMKS'!$O$6:$O$366,D180)-INDEX('Native PMKS'!$O$6:$O$366,C180))*E180</f>
        <v>34.217889972144853</v>
      </c>
    </row>
    <row r="181" spans="1:7" ht="18.95" customHeight="1">
      <c r="A181" s="1">
        <v>175</v>
      </c>
      <c r="B181" s="6">
        <f>TimeStep!G181</f>
        <v>1462.3955431754875</v>
      </c>
      <c r="C181" s="6">
        <f>MIN(MATCH(B181,'Native PMKS'!$C$6:$C$366,1),360)</f>
        <v>176</v>
      </c>
      <c r="D181" s="6">
        <f t="shared" si="2"/>
        <v>177</v>
      </c>
      <c r="E181" s="6">
        <f>(B181-INDEX('Native PMKS'!$C$6:$C$366,C181))/(INDEX('Native PMKS'!$C$6:$C$366,D181)-INDEX('Native PMKS'!$C$6:$C$366,C181))</f>
        <v>0.48746518105849179</v>
      </c>
      <c r="F181" s="6">
        <f>INDEX('Native PMKS'!$N$6:$N$366,C181)+(INDEX('Native PMKS'!$N$6:$N$366,D181)-INDEX('Native PMKS'!$N$6:$N$366,C181))*E181</f>
        <v>27.524185793871865</v>
      </c>
      <c r="G181" s="6">
        <f>INDEX('Native PMKS'!$O$6:$O$366,C181)+(INDEX('Native PMKS'!$O$6:$O$366,D181)-INDEX('Native PMKS'!$O$6:$O$366,C181))*E181</f>
        <v>33.441435933147631</v>
      </c>
    </row>
    <row r="182" spans="1:7" ht="18.95" customHeight="1">
      <c r="A182" s="1">
        <v>176</v>
      </c>
      <c r="B182" s="6">
        <f>TimeStep!G182</f>
        <v>1470.7520891364902</v>
      </c>
      <c r="C182" s="6">
        <f>MIN(MATCH(B182,'Native PMKS'!$C$6:$C$366,1),360)</f>
        <v>177</v>
      </c>
      <c r="D182" s="6">
        <f t="shared" si="2"/>
        <v>178</v>
      </c>
      <c r="E182" s="6">
        <f>(B182-INDEX('Native PMKS'!$C$6:$C$366,C182))/(INDEX('Native PMKS'!$C$6:$C$366,D182)-INDEX('Native PMKS'!$C$6:$C$366,C182))</f>
        <v>0.4902506963788209</v>
      </c>
      <c r="F182" s="6">
        <f>INDEX('Native PMKS'!$N$6:$N$366,C182)+(INDEX('Native PMKS'!$N$6:$N$366,D182)-INDEX('Native PMKS'!$N$6:$N$366,C182))*E182</f>
        <v>28.069364623955426</v>
      </c>
      <c r="G182" s="6">
        <f>INDEX('Native PMKS'!$O$6:$O$366,C182)+(INDEX('Native PMKS'!$O$6:$O$366,D182)-INDEX('Native PMKS'!$O$6:$O$366,C182))*E182</f>
        <v>32.666420891364908</v>
      </c>
    </row>
    <row r="183" spans="1:7" ht="18.95" customHeight="1">
      <c r="A183" s="1">
        <v>177</v>
      </c>
      <c r="B183" s="6">
        <f>TimeStep!G183</f>
        <v>1479.1086350974931</v>
      </c>
      <c r="C183" s="6">
        <f>MIN(MATCH(B183,'Native PMKS'!$C$6:$C$366,1),360)</f>
        <v>178</v>
      </c>
      <c r="D183" s="6">
        <f t="shared" si="2"/>
        <v>179</v>
      </c>
      <c r="E183" s="6">
        <f>(B183-INDEX('Native PMKS'!$C$6:$C$366,C183))/(INDEX('Native PMKS'!$C$6:$C$366,D183)-INDEX('Native PMKS'!$C$6:$C$366,C183))</f>
        <v>0.49303621169916384</v>
      </c>
      <c r="F183" s="6">
        <f>INDEX('Native PMKS'!$N$6:$N$366,C183)+(INDEX('Native PMKS'!$N$6:$N$366,D183)-INDEX('Native PMKS'!$N$6:$N$366,C183))*E183</f>
        <v>28.615658774373259</v>
      </c>
      <c r="G183" s="6">
        <f>INDEX('Native PMKS'!$O$6:$O$366,C183)+(INDEX('Native PMKS'!$O$6:$O$366,D183)-INDEX('Native PMKS'!$O$6:$O$366,C183))*E183</f>
        <v>31.890286629526461</v>
      </c>
    </row>
    <row r="184" spans="1:7" ht="18.95" customHeight="1">
      <c r="A184" s="1">
        <v>178</v>
      </c>
      <c r="B184" s="6">
        <f>TimeStep!G184</f>
        <v>1487.4651810584958</v>
      </c>
      <c r="C184" s="6">
        <f>MIN(MATCH(B184,'Native PMKS'!$C$6:$C$366,1),360)</f>
        <v>179</v>
      </c>
      <c r="D184" s="6">
        <f t="shared" si="2"/>
        <v>180</v>
      </c>
      <c r="E184" s="6">
        <f>(B184-INDEX('Native PMKS'!$C$6:$C$366,C184))/(INDEX('Native PMKS'!$C$6:$C$366,D184)-INDEX('Native PMKS'!$C$6:$C$366,C184))</f>
        <v>0.49582172701947907</v>
      </c>
      <c r="F184" s="6">
        <f>INDEX('Native PMKS'!$N$6:$N$366,C184)+(INDEX('Native PMKS'!$N$6:$N$366,D184)-INDEX('Native PMKS'!$N$6:$N$366,C184))*E184</f>
        <v>29.132745682451244</v>
      </c>
      <c r="G184" s="6">
        <f>INDEX('Native PMKS'!$O$6:$O$366,C184)+(INDEX('Native PMKS'!$O$6:$O$366,D184)-INDEX('Native PMKS'!$O$6:$O$366,C184))*E184</f>
        <v>31.114951810584973</v>
      </c>
    </row>
    <row r="185" spans="1:7" ht="18.95" customHeight="1">
      <c r="A185" s="1">
        <v>179</v>
      </c>
      <c r="B185" s="6">
        <f>TimeStep!G185</f>
        <v>1495.8217270194987</v>
      </c>
      <c r="C185" s="6">
        <f>MIN(MATCH(B185,'Native PMKS'!$C$6:$C$366,1),360)</f>
        <v>180</v>
      </c>
      <c r="D185" s="6">
        <f t="shared" si="2"/>
        <v>181</v>
      </c>
      <c r="E185" s="6">
        <f>(B185-INDEX('Native PMKS'!$C$6:$C$366,C185))/(INDEX('Native PMKS'!$C$6:$C$366,D185)-INDEX('Native PMKS'!$C$6:$C$366,C185))</f>
        <v>0.49860724233983544</v>
      </c>
      <c r="F185" s="6">
        <f>INDEX('Native PMKS'!$N$6:$N$366,C185)+(INDEX('Native PMKS'!$N$6:$N$366,D185)-INDEX('Native PMKS'!$N$6:$N$366,C185))*E185</f>
        <v>29.678401949860724</v>
      </c>
      <c r="G185" s="6">
        <f>INDEX('Native PMKS'!$O$6:$O$366,C185)+(INDEX('Native PMKS'!$O$6:$O$366,D185)-INDEX('Native PMKS'!$O$6:$O$366,C185))*E185</f>
        <v>30.339137325905291</v>
      </c>
    </row>
    <row r="186" spans="1:7" ht="18.95" customHeight="1">
      <c r="A186" s="1">
        <v>180</v>
      </c>
      <c r="B186" s="6">
        <f>TimeStep!G186</f>
        <v>1504.1782729805013</v>
      </c>
      <c r="C186" s="6">
        <f>MIN(MATCH(B186,'Native PMKS'!$C$6:$C$366,1),360)</f>
        <v>181</v>
      </c>
      <c r="D186" s="6">
        <f t="shared" si="2"/>
        <v>182</v>
      </c>
      <c r="E186" s="6">
        <f>(B186-INDEX('Native PMKS'!$C$6:$C$366,C186))/(INDEX('Native PMKS'!$C$6:$C$366,D186)-INDEX('Native PMKS'!$C$6:$C$366,C186))</f>
        <v>0.5013927576601509</v>
      </c>
      <c r="F186" s="6">
        <f>INDEX('Native PMKS'!$N$6:$N$366,C186)+(INDEX('Native PMKS'!$N$6:$N$366,D186)-INDEX('Native PMKS'!$N$6:$N$366,C186))*E186</f>
        <v>30.224268245125341</v>
      </c>
      <c r="G186" s="6">
        <f>INDEX('Native PMKS'!$O$6:$O$366,C186)+(INDEX('Native PMKS'!$O$6:$O$366,D186)-INDEX('Native PMKS'!$O$6:$O$366,C186))*E186</f>
        <v>29.563532869080792</v>
      </c>
    </row>
    <row r="187" spans="1:7" ht="18.95" customHeight="1">
      <c r="A187" s="1">
        <v>181</v>
      </c>
      <c r="B187" s="6">
        <f>TimeStep!G187</f>
        <v>1512.5348189415042</v>
      </c>
      <c r="C187" s="6">
        <f>MIN(MATCH(B187,'Native PMKS'!$C$6:$C$366,1),360)</f>
        <v>182</v>
      </c>
      <c r="D187" s="6">
        <f t="shared" si="2"/>
        <v>183</v>
      </c>
      <c r="E187" s="6">
        <f>(B187-INDEX('Native PMKS'!$C$6:$C$366,C187))/(INDEX('Native PMKS'!$C$6:$C$366,D187)-INDEX('Native PMKS'!$C$6:$C$366,C187))</f>
        <v>0.50417827298049367</v>
      </c>
      <c r="F187" s="6">
        <f>INDEX('Native PMKS'!$N$6:$N$366,C187)+(INDEX('Native PMKS'!$N$6:$N$366,D187)-INDEX('Native PMKS'!$N$6:$N$366,C187))*E187</f>
        <v>30.741354317548744</v>
      </c>
      <c r="G187" s="6">
        <f>INDEX('Native PMKS'!$O$6:$O$366,C187)+(INDEX('Native PMKS'!$O$6:$O$366,D187)-INDEX('Native PMKS'!$O$6:$O$366,C187))*E187</f>
        <v>28.759148189415047</v>
      </c>
    </row>
    <row r="188" spans="1:7" ht="18.95" customHeight="1">
      <c r="A188" s="1">
        <v>182</v>
      </c>
      <c r="B188" s="6">
        <f>TimeStep!G188</f>
        <v>1520.8913649025069</v>
      </c>
      <c r="C188" s="6">
        <f>MIN(MATCH(B188,'Native PMKS'!$C$6:$C$366,1),360)</f>
        <v>183</v>
      </c>
      <c r="D188" s="6">
        <f t="shared" si="2"/>
        <v>184</v>
      </c>
      <c r="E188" s="6">
        <f>(B188-INDEX('Native PMKS'!$C$6:$C$366,C188))/(INDEX('Native PMKS'!$C$6:$C$366,D188)-INDEX('Native PMKS'!$C$6:$C$366,C188))</f>
        <v>0.50696378830082278</v>
      </c>
      <c r="F188" s="6">
        <f>INDEX('Native PMKS'!$N$6:$N$366,C188)+(INDEX('Native PMKS'!$N$6:$N$366,D188)-INDEX('Native PMKS'!$N$6:$N$366,C188))*E188</f>
        <v>31.258441225626733</v>
      </c>
      <c r="G188" s="6">
        <f>INDEX('Native PMKS'!$O$6:$O$366,C188)+(INDEX('Native PMKS'!$O$6:$O$366,D188)-INDEX('Native PMKS'!$O$6:$O$366,C188))*E188</f>
        <v>27.954764345403909</v>
      </c>
    </row>
    <row r="189" spans="1:7" ht="18.95" customHeight="1">
      <c r="A189" s="1">
        <v>183</v>
      </c>
      <c r="B189" s="6">
        <f>TimeStep!G189</f>
        <v>1529.2479108635098</v>
      </c>
      <c r="C189" s="6">
        <f>MIN(MATCH(B189,'Native PMKS'!$C$6:$C$366,1),360)</f>
        <v>184</v>
      </c>
      <c r="D189" s="6">
        <f t="shared" si="2"/>
        <v>185</v>
      </c>
      <c r="E189" s="6">
        <f>(B189-INDEX('Native PMKS'!$C$6:$C$366,C189))/(INDEX('Native PMKS'!$C$6:$C$366,D189)-INDEX('Native PMKS'!$C$6:$C$366,C189))</f>
        <v>0.50974930362116522</v>
      </c>
      <c r="F189" s="6">
        <f>INDEX('Native PMKS'!$N$6:$N$366,C189)+(INDEX('Native PMKS'!$N$6:$N$366,D189)-INDEX('Native PMKS'!$N$6:$N$366,C189))*E189</f>
        <v>31.775526740947072</v>
      </c>
      <c r="G189" s="6">
        <f>INDEX('Native PMKS'!$O$6:$O$366,C189)+(INDEX('Native PMKS'!$O$6:$O$366,D189)-INDEX('Native PMKS'!$O$6:$O$366,C189))*E189</f>
        <v>27.150379108635104</v>
      </c>
    </row>
    <row r="190" spans="1:7" ht="18.95" customHeight="1">
      <c r="A190" s="1">
        <v>184</v>
      </c>
      <c r="B190" s="6">
        <f>TimeStep!G190</f>
        <v>1537.6044568245125</v>
      </c>
      <c r="C190" s="6">
        <f>MIN(MATCH(B190,'Native PMKS'!$C$6:$C$366,1),360)</f>
        <v>185</v>
      </c>
      <c r="D190" s="6">
        <f t="shared" si="2"/>
        <v>186</v>
      </c>
      <c r="E190" s="6">
        <f>(B190-INDEX('Native PMKS'!$C$6:$C$366,C190))/(INDEX('Native PMKS'!$C$6:$C$366,D190)-INDEX('Native PMKS'!$C$6:$C$366,C190))</f>
        <v>0.5125348189414809</v>
      </c>
      <c r="F190" s="6">
        <f>INDEX('Native PMKS'!$N$6:$N$366,C190)+(INDEX('Native PMKS'!$N$6:$N$366,D190)-INDEX('Native PMKS'!$N$6:$N$366,C190))*E190</f>
        <v>32.292614206128121</v>
      </c>
      <c r="G190" s="6">
        <f>INDEX('Native PMKS'!$O$6:$O$366,C190)+(INDEX('Native PMKS'!$O$6:$O$366,D190)-INDEX('Native PMKS'!$O$6:$O$366,C190))*E190</f>
        <v>26.345995821727037</v>
      </c>
    </row>
    <row r="191" spans="1:7" ht="18.95" customHeight="1">
      <c r="A191" s="1">
        <v>185</v>
      </c>
      <c r="B191" s="6">
        <f>TimeStep!G191</f>
        <v>1545.9610027855153</v>
      </c>
      <c r="C191" s="6">
        <f>MIN(MATCH(B191,'Native PMKS'!$C$6:$C$366,1),360)</f>
        <v>186</v>
      </c>
      <c r="D191" s="6">
        <f t="shared" si="2"/>
        <v>187</v>
      </c>
      <c r="E191" s="6">
        <f>(B191-INDEX('Native PMKS'!$C$6:$C$366,C191))/(INDEX('Native PMKS'!$C$6:$C$366,D191)-INDEX('Native PMKS'!$C$6:$C$366,C191))</f>
        <v>0.51532033426183732</v>
      </c>
      <c r="F191" s="6">
        <f>INDEX('Native PMKS'!$N$6:$N$366,C191)+(INDEX('Native PMKS'!$N$6:$N$366,D191)-INDEX('Native PMKS'!$N$6:$N$366,C191))*E191</f>
        <v>32.809750696378828</v>
      </c>
      <c r="G191" s="6">
        <f>INDEX('Native PMKS'!$O$6:$O$366,C191)+(INDEX('Native PMKS'!$O$6:$O$366,D191)-INDEX('Native PMKS'!$O$6:$O$366,C191))*E191</f>
        <v>25.541610027855153</v>
      </c>
    </row>
    <row r="192" spans="1:7" ht="18.95" customHeight="1">
      <c r="A192" s="1">
        <v>186</v>
      </c>
      <c r="B192" s="6">
        <f>TimeStep!G192</f>
        <v>1554.317548746518</v>
      </c>
      <c r="C192" s="6">
        <f>MIN(MATCH(B192,'Native PMKS'!$C$6:$C$366,1),360)</f>
        <v>187</v>
      </c>
      <c r="D192" s="6">
        <f t="shared" si="2"/>
        <v>188</v>
      </c>
      <c r="E192" s="6">
        <f>(B192-INDEX('Native PMKS'!$C$6:$C$366,C192))/(INDEX('Native PMKS'!$C$6:$C$366,D192)-INDEX('Native PMKS'!$C$6:$C$366,C192))</f>
        <v>0.51810584958215222</v>
      </c>
      <c r="F192" s="6">
        <f>INDEX('Native PMKS'!$N$6:$N$366,C192)+(INDEX('Native PMKS'!$N$6:$N$366,D192)-INDEX('Native PMKS'!$N$6:$N$366,C192))*E192</f>
        <v>33.326835376044556</v>
      </c>
      <c r="G192" s="6">
        <f>INDEX('Native PMKS'!$O$6:$O$366,C192)+(INDEX('Native PMKS'!$O$6:$O$366,D192)-INDEX('Native PMKS'!$O$6:$O$366,C192))*E192</f>
        <v>24.737227298050154</v>
      </c>
    </row>
    <row r="193" spans="1:7" ht="18.95" customHeight="1">
      <c r="A193" s="1">
        <v>187</v>
      </c>
      <c r="B193" s="6">
        <f>TimeStep!G193</f>
        <v>1562.6740947075209</v>
      </c>
      <c r="C193" s="6">
        <f>MIN(MATCH(B193,'Native PMKS'!$C$6:$C$366,1),360)</f>
        <v>188</v>
      </c>
      <c r="D193" s="6">
        <f t="shared" si="2"/>
        <v>189</v>
      </c>
      <c r="E193" s="6">
        <f>(B193-INDEX('Native PMKS'!$C$6:$C$366,C193))/(INDEX('Native PMKS'!$C$6:$C$366,D193)-INDEX('Native PMKS'!$C$6:$C$366,C193))</f>
        <v>0.52089136490249544</v>
      </c>
      <c r="F193" s="6">
        <f>INDEX('Native PMKS'!$N$6:$N$366,C193)+(INDEX('Native PMKS'!$N$6:$N$366,D193)-INDEX('Native PMKS'!$N$6:$N$366,C193))*E193</f>
        <v>33.814076601671303</v>
      </c>
      <c r="G193" s="6">
        <f>INDEX('Native PMKS'!$O$6:$O$366,C193)+(INDEX('Native PMKS'!$O$6:$O$366,D193)-INDEX('Native PMKS'!$O$6:$O$366,C193))*E193</f>
        <v>23.932893036211709</v>
      </c>
    </row>
    <row r="194" spans="1:7" ht="18.95" customHeight="1">
      <c r="A194" s="1">
        <v>188</v>
      </c>
      <c r="B194" s="6">
        <f>TimeStep!G194</f>
        <v>1571.0306406685236</v>
      </c>
      <c r="C194" s="6">
        <f>MIN(MATCH(B194,'Native PMKS'!$C$6:$C$366,1),360)</f>
        <v>189</v>
      </c>
      <c r="D194" s="6">
        <f t="shared" si="2"/>
        <v>190</v>
      </c>
      <c r="E194" s="6">
        <f>(B194-INDEX('Native PMKS'!$C$6:$C$366,C194))/(INDEX('Native PMKS'!$C$6:$C$366,D194)-INDEX('Native PMKS'!$C$6:$C$366,C194))</f>
        <v>0.52367688022282455</v>
      </c>
      <c r="F194" s="6">
        <f>INDEX('Native PMKS'!$N$6:$N$366,C194)+(INDEX('Native PMKS'!$N$6:$N$366,D194)-INDEX('Native PMKS'!$N$6:$N$366,C194))*E194</f>
        <v>34.30376016713091</v>
      </c>
      <c r="G194" s="6">
        <f>INDEX('Native PMKS'!$O$6:$O$366,C194)+(INDEX('Native PMKS'!$O$6:$O$366,D194)-INDEX('Native PMKS'!$O$6:$O$366,C194))*E194</f>
        <v>23.128506406685251</v>
      </c>
    </row>
    <row r="195" spans="1:7" ht="18.95" customHeight="1">
      <c r="A195" s="1">
        <v>189</v>
      </c>
      <c r="B195" s="6">
        <f>TimeStep!G195</f>
        <v>1579.3871866295265</v>
      </c>
      <c r="C195" s="6">
        <f>MIN(MATCH(B195,'Native PMKS'!$C$6:$C$366,1),360)</f>
        <v>190</v>
      </c>
      <c r="D195" s="6">
        <f t="shared" si="2"/>
        <v>191</v>
      </c>
      <c r="E195" s="6">
        <f>(B195-INDEX('Native PMKS'!$C$6:$C$366,C195))/(INDEX('Native PMKS'!$C$6:$C$366,D195)-INDEX('Native PMKS'!$C$6:$C$366,C195))</f>
        <v>0.52646239554316665</v>
      </c>
      <c r="F195" s="6">
        <f>INDEX('Native PMKS'!$N$6:$N$366,C195)+(INDEX('Native PMKS'!$N$6:$N$366,D195)-INDEX('Native PMKS'!$N$6:$N$366,C195))*E195</f>
        <v>34.790677715877429</v>
      </c>
      <c r="G195" s="6">
        <f>INDEX('Native PMKS'!$O$6:$O$366,C195)+(INDEX('Native PMKS'!$O$6:$O$366,D195)-INDEX('Native PMKS'!$O$6:$O$366,C195))*E195</f>
        <v>22.324124512534826</v>
      </c>
    </row>
    <row r="196" spans="1:7" ht="18.95" customHeight="1">
      <c r="A196" s="1">
        <v>190</v>
      </c>
      <c r="B196" s="6">
        <f>TimeStep!G196</f>
        <v>1587.7437325905291</v>
      </c>
      <c r="C196" s="6">
        <f>MIN(MATCH(B196,'Native PMKS'!$C$6:$C$366,1),360)</f>
        <v>191</v>
      </c>
      <c r="D196" s="6">
        <f t="shared" si="2"/>
        <v>192</v>
      </c>
      <c r="E196" s="6">
        <f>(B196-INDEX('Native PMKS'!$C$6:$C$366,C196))/(INDEX('Native PMKS'!$C$6:$C$366,D196)-INDEX('Native PMKS'!$C$6:$C$366,C196))</f>
        <v>0.52924791086348277</v>
      </c>
      <c r="F196" s="6">
        <f>INDEX('Native PMKS'!$N$6:$N$366,C196)+(INDEX('Native PMKS'!$N$6:$N$366,D196)-INDEX('Native PMKS'!$N$6:$N$366,C196))*E196</f>
        <v>35.280633147632301</v>
      </c>
      <c r="G196" s="6">
        <f>INDEX('Native PMKS'!$O$6:$O$366,C196)+(INDEX('Native PMKS'!$O$6:$O$366,D196)-INDEX('Native PMKS'!$O$6:$O$366,C196))*E196</f>
        <v>21.519737325905314</v>
      </c>
    </row>
    <row r="197" spans="1:7" ht="18.95" customHeight="1">
      <c r="A197" s="1">
        <v>191</v>
      </c>
      <c r="B197" s="6">
        <f>TimeStep!G197</f>
        <v>1596.100278551532</v>
      </c>
      <c r="C197" s="6">
        <f>MIN(MATCH(B197,'Native PMKS'!$C$6:$C$366,1),360)</f>
        <v>192</v>
      </c>
      <c r="D197" s="6">
        <f t="shared" si="2"/>
        <v>193</v>
      </c>
      <c r="E197" s="6">
        <f>(B197-INDEX('Native PMKS'!$C$6:$C$366,C197))/(INDEX('Native PMKS'!$C$6:$C$366,D197)-INDEX('Native PMKS'!$C$6:$C$366,C197))</f>
        <v>0.5320334261838392</v>
      </c>
      <c r="F197" s="6">
        <f>INDEX('Native PMKS'!$N$6:$N$366,C197)+(INDEX('Native PMKS'!$N$6:$N$366,D197)-INDEX('Native PMKS'!$N$6:$N$366,C197))*E197</f>
        <v>35.767230919220054</v>
      </c>
      <c r="G197" s="6">
        <f>INDEX('Native PMKS'!$O$6:$O$366,C197)+(INDEX('Native PMKS'!$O$6:$O$366,D197)-INDEX('Native PMKS'!$O$6:$O$366,C197))*E197</f>
        <v>20.715355988857944</v>
      </c>
    </row>
    <row r="198" spans="1:7" ht="18.95" customHeight="1">
      <c r="A198" s="1">
        <v>192</v>
      </c>
      <c r="B198" s="6">
        <f>TimeStep!G198</f>
        <v>1604.4568245125347</v>
      </c>
      <c r="C198" s="6">
        <f>MIN(MATCH(B198,'Native PMKS'!$C$6:$C$366,1),360)</f>
        <v>193</v>
      </c>
      <c r="D198" s="6">
        <f t="shared" ref="D198:D261" si="3">C198+1</f>
        <v>194</v>
      </c>
      <c r="E198" s="6">
        <f>(B198-INDEX('Native PMKS'!$C$6:$C$366,C198))/(INDEX('Native PMKS'!$C$6:$C$366,D198)-INDEX('Native PMKS'!$C$6:$C$366,C198))</f>
        <v>0.53481894150415366</v>
      </c>
      <c r="F198" s="6">
        <f>INDEX('Native PMKS'!$N$6:$N$366,C198)+(INDEX('Native PMKS'!$N$6:$N$366,D198)-INDEX('Native PMKS'!$N$6:$N$366,C198))*E198</f>
        <v>36.226861002785505</v>
      </c>
      <c r="G198" s="6">
        <f>INDEX('Native PMKS'!$O$6:$O$366,C198)+(INDEX('Native PMKS'!$O$6:$O$366,D198)-INDEX('Native PMKS'!$O$6:$O$366,C198))*E198</f>
        <v>19.91102172701952</v>
      </c>
    </row>
    <row r="199" spans="1:7" ht="18.95" customHeight="1">
      <c r="A199" s="1">
        <v>193</v>
      </c>
      <c r="B199" s="6">
        <f>TimeStep!G199</f>
        <v>1612.8133704735376</v>
      </c>
      <c r="C199" s="6">
        <f>MIN(MATCH(B199,'Native PMKS'!$C$6:$C$366,1),360)</f>
        <v>194</v>
      </c>
      <c r="D199" s="6">
        <f t="shared" si="3"/>
        <v>195</v>
      </c>
      <c r="E199" s="6">
        <f>(B199-INDEX('Native PMKS'!$C$6:$C$366,C199))/(INDEX('Native PMKS'!$C$6:$C$366,D199)-INDEX('Native PMKS'!$C$6:$C$366,C199))</f>
        <v>0.53760445682449731</v>
      </c>
      <c r="F199" s="6">
        <f>INDEX('Native PMKS'!$N$6:$N$366,C199)+(INDEX('Native PMKS'!$N$6:$N$366,D199)-INDEX('Native PMKS'!$N$6:$N$366,C199))*E199</f>
        <v>36.686537883008349</v>
      </c>
      <c r="G199" s="6">
        <f>INDEX('Native PMKS'!$O$6:$O$366,C199)+(INDEX('Native PMKS'!$O$6:$O$366,D199)-INDEX('Native PMKS'!$O$6:$O$366,C199))*E199</f>
        <v>19.10663370473539</v>
      </c>
    </row>
    <row r="200" spans="1:7" ht="18.95" customHeight="1">
      <c r="A200" s="1">
        <v>194</v>
      </c>
      <c r="B200" s="6">
        <f>TimeStep!G200</f>
        <v>1621.1699164345405</v>
      </c>
      <c r="C200" s="6">
        <f>MIN(MATCH(B200,'Native PMKS'!$C$6:$C$366,1),360)</f>
        <v>195</v>
      </c>
      <c r="D200" s="6">
        <f t="shared" si="3"/>
        <v>196</v>
      </c>
      <c r="E200" s="6">
        <f>(B200-INDEX('Native PMKS'!$C$6:$C$366,C200))/(INDEX('Native PMKS'!$C$6:$C$366,D200)-INDEX('Native PMKS'!$C$6:$C$366,C200))</f>
        <v>0.54038997214483897</v>
      </c>
      <c r="F200" s="6">
        <f>INDEX('Native PMKS'!$N$6:$N$366,C200)+(INDEX('Native PMKS'!$N$6:$N$366,D200)-INDEX('Native PMKS'!$N$6:$N$366,C200))*E200</f>
        <v>37.14616072423398</v>
      </c>
      <c r="G200" s="6">
        <f>INDEX('Native PMKS'!$O$6:$O$366,C200)+(INDEX('Native PMKS'!$O$6:$O$366,D200)-INDEX('Native PMKS'!$O$6:$O$366,C200))*E200</f>
        <v>18.302253203342623</v>
      </c>
    </row>
    <row r="201" spans="1:7" ht="18.95" customHeight="1">
      <c r="A201" s="1">
        <v>195</v>
      </c>
      <c r="B201" s="6">
        <f>TimeStep!G201</f>
        <v>1629.5264623955431</v>
      </c>
      <c r="C201" s="6">
        <f>MIN(MATCH(B201,'Native PMKS'!$C$6:$C$366,1),360)</f>
        <v>196</v>
      </c>
      <c r="D201" s="6">
        <f t="shared" si="3"/>
        <v>197</v>
      </c>
      <c r="E201" s="6">
        <f>(B201-INDEX('Native PMKS'!$C$6:$C$366,C201))/(INDEX('Native PMKS'!$C$6:$C$366,D201)-INDEX('Native PMKS'!$C$6:$C$366,C201))</f>
        <v>0.54317548746515554</v>
      </c>
      <c r="F201" s="6">
        <f>INDEX('Native PMKS'!$N$6:$N$366,C201)+(INDEX('Native PMKS'!$N$6:$N$366,D201)-INDEX('Native PMKS'!$N$6:$N$366,C201))*E201</f>
        <v>37.574667688022274</v>
      </c>
      <c r="G201" s="6">
        <f>INDEX('Native PMKS'!$O$6:$O$366,C201)+(INDEX('Native PMKS'!$O$6:$O$366,D201)-INDEX('Native PMKS'!$O$6:$O$366,C201))*E201</f>
        <v>17.497864623955451</v>
      </c>
    </row>
    <row r="202" spans="1:7" ht="18.95" customHeight="1">
      <c r="A202" s="1">
        <v>196</v>
      </c>
      <c r="B202" s="6">
        <f>TimeStep!G202</f>
        <v>1637.883008356546</v>
      </c>
      <c r="C202" s="6">
        <f>MIN(MATCH(B202,'Native PMKS'!$C$6:$C$366,1),360)</f>
        <v>197</v>
      </c>
      <c r="D202" s="6">
        <f t="shared" si="3"/>
        <v>198</v>
      </c>
      <c r="E202" s="6">
        <f>(B202-INDEX('Native PMKS'!$C$6:$C$366,C202))/(INDEX('Native PMKS'!$C$6:$C$366,D202)-INDEX('Native PMKS'!$C$6:$C$366,C202))</f>
        <v>0.54596100278551185</v>
      </c>
      <c r="F202" s="6">
        <f>INDEX('Native PMKS'!$N$6:$N$366,C202)+(INDEX('Native PMKS'!$N$6:$N$366,D202)-INDEX('Native PMKS'!$N$6:$N$366,C202))*E202</f>
        <v>38.008168523676879</v>
      </c>
      <c r="G202" s="6">
        <f>INDEX('Native PMKS'!$O$6:$O$366,C202)+(INDEX('Native PMKS'!$O$6:$O$366,D202)-INDEX('Native PMKS'!$O$6:$O$366,C202))*E202</f>
        <v>16.72476824512535</v>
      </c>
    </row>
    <row r="203" spans="1:7" ht="18.95" customHeight="1">
      <c r="A203" s="1">
        <v>197</v>
      </c>
      <c r="B203" s="6">
        <f>TimeStep!G203</f>
        <v>1646.2395543175487</v>
      </c>
      <c r="C203" s="6">
        <f>MIN(MATCH(B203,'Native PMKS'!$C$6:$C$366,1),360)</f>
        <v>198</v>
      </c>
      <c r="D203" s="6">
        <f t="shared" si="3"/>
        <v>199</v>
      </c>
      <c r="E203" s="6">
        <f>(B203-INDEX('Native PMKS'!$C$6:$C$366,C203))/(INDEX('Native PMKS'!$C$6:$C$366,D203)-INDEX('Native PMKS'!$C$6:$C$366,C203))</f>
        <v>0.54874651810582598</v>
      </c>
      <c r="F203" s="6">
        <f>INDEX('Native PMKS'!$N$6:$N$366,C203)+(INDEX('Native PMKS'!$N$6:$N$366,D203)-INDEX('Native PMKS'!$N$6:$N$366,C203))*E203</f>
        <v>38.436402228412248</v>
      </c>
      <c r="G203" s="6">
        <f>INDEX('Native PMKS'!$O$6:$O$366,C203)+(INDEX('Native PMKS'!$O$6:$O$366,D203)-INDEX('Native PMKS'!$O$6:$O$366,C203))*E203</f>
        <v>15.946450417827318</v>
      </c>
    </row>
    <row r="204" spans="1:7" ht="18.95" customHeight="1">
      <c r="A204" s="1">
        <v>198</v>
      </c>
      <c r="B204" s="6">
        <f>TimeStep!G204</f>
        <v>1654.5961002785516</v>
      </c>
      <c r="C204" s="6">
        <f>MIN(MATCH(B204,'Native PMKS'!$C$6:$C$366,1),360)</f>
        <v>199</v>
      </c>
      <c r="D204" s="6">
        <f t="shared" si="3"/>
        <v>200</v>
      </c>
      <c r="E204" s="6">
        <f>(B204-INDEX('Native PMKS'!$C$6:$C$366,C204))/(INDEX('Native PMKS'!$C$6:$C$366,D204)-INDEX('Native PMKS'!$C$6:$C$366,C204))</f>
        <v>0.55153203342617008</v>
      </c>
      <c r="F204" s="6">
        <f>INDEX('Native PMKS'!$N$6:$N$366,C204)+(INDEX('Native PMKS'!$N$6:$N$366,D204)-INDEX('Native PMKS'!$N$6:$N$366,C204))*E204</f>
        <v>38.838564345403896</v>
      </c>
      <c r="G204" s="6">
        <f>INDEX('Native PMKS'!$O$6:$O$366,C204)+(INDEX('Native PMKS'!$O$6:$O$366,D204)-INDEX('Native PMKS'!$O$6:$O$366,C204))*E204</f>
        <v>15.142061002785526</v>
      </c>
    </row>
    <row r="205" spans="1:7" ht="18.95" customHeight="1">
      <c r="A205" s="1">
        <v>199</v>
      </c>
      <c r="B205" s="6">
        <f>TimeStep!G205</f>
        <v>1662.9526462395543</v>
      </c>
      <c r="C205" s="6">
        <f>MIN(MATCH(B205,'Native PMKS'!$C$6:$C$366,1),360)</f>
        <v>200</v>
      </c>
      <c r="D205" s="6">
        <f t="shared" si="3"/>
        <v>201</v>
      </c>
      <c r="E205" s="6">
        <f>(B205-INDEX('Native PMKS'!$C$6:$C$366,C205))/(INDEX('Native PMKS'!$C$6:$C$366,D205)-INDEX('Native PMKS'!$C$6:$C$366,C205))</f>
        <v>0.55431754874649919</v>
      </c>
      <c r="F205" s="6">
        <f>INDEX('Native PMKS'!$N$6:$N$366,C205)+(INDEX('Native PMKS'!$N$6:$N$366,D205)-INDEX('Native PMKS'!$N$6:$N$366,C205))*E205</f>
        <v>39.240736768802222</v>
      </c>
      <c r="G205" s="6">
        <f>INDEX('Native PMKS'!$O$6:$O$366,C205)+(INDEX('Native PMKS'!$O$6:$O$366,D205)-INDEX('Native PMKS'!$O$6:$O$366,C205))*E205</f>
        <v>14.369444289693607</v>
      </c>
    </row>
    <row r="206" spans="1:7" ht="18.95" customHeight="1">
      <c r="A206" s="1">
        <v>200</v>
      </c>
      <c r="B206" s="6">
        <f>TimeStep!G206</f>
        <v>1671.3091922005572</v>
      </c>
      <c r="C206" s="6">
        <f>MIN(MATCH(B206,'Native PMKS'!$C$6:$C$366,1),360)</f>
        <v>201</v>
      </c>
      <c r="D206" s="6">
        <f t="shared" si="3"/>
        <v>202</v>
      </c>
      <c r="E206" s="6">
        <f>(B206-INDEX('Native PMKS'!$C$6:$C$366,C206))/(INDEX('Native PMKS'!$C$6:$C$366,D206)-INDEX('Native PMKS'!$C$6:$C$366,C206))</f>
        <v>0.5571030640668404</v>
      </c>
      <c r="F206" s="6">
        <f>INDEX('Native PMKS'!$N$6:$N$366,C206)+(INDEX('Native PMKS'!$N$6:$N$366,D206)-INDEX('Native PMKS'!$N$6:$N$366,C206))*E206</f>
        <v>39.64295403899721</v>
      </c>
      <c r="G206" s="6">
        <f>INDEX('Native PMKS'!$O$6:$O$366,C206)+(INDEX('Native PMKS'!$O$6:$O$366,D206)-INDEX('Native PMKS'!$O$6:$O$366,C206))*E206</f>
        <v>13.590591922005581</v>
      </c>
    </row>
    <row r="207" spans="1:7" ht="18.95" customHeight="1">
      <c r="A207" s="1">
        <v>201</v>
      </c>
      <c r="B207" s="6">
        <f>TimeStep!G207</f>
        <v>1679.6657381615598</v>
      </c>
      <c r="C207" s="6">
        <f>MIN(MATCH(B207,'Native PMKS'!$C$6:$C$366,1),360)</f>
        <v>202</v>
      </c>
      <c r="D207" s="6">
        <f t="shared" si="3"/>
        <v>203</v>
      </c>
      <c r="E207" s="6">
        <f>(B207-INDEX('Native PMKS'!$C$6:$C$366,C207))/(INDEX('Native PMKS'!$C$6:$C$366,D207)-INDEX('Native PMKS'!$C$6:$C$366,C207))</f>
        <v>0.55988857938715741</v>
      </c>
      <c r="F207" s="6">
        <f>INDEX('Native PMKS'!$N$6:$N$366,C207)+(INDEX('Native PMKS'!$N$6:$N$366,D207)-INDEX('Native PMKS'!$N$6:$N$366,C207))*E207</f>
        <v>40.013033704735363</v>
      </c>
      <c r="G207" s="6">
        <f>INDEX('Native PMKS'!$O$6:$O$366,C207)+(INDEX('Native PMKS'!$O$6:$O$366,D207)-INDEX('Native PMKS'!$O$6:$O$366,C207))*E207</f>
        <v>12.786213370473561</v>
      </c>
    </row>
    <row r="208" spans="1:7" ht="18.95" customHeight="1">
      <c r="A208" s="1">
        <v>202</v>
      </c>
      <c r="B208" s="6">
        <f>TimeStep!G208</f>
        <v>1688.0222841225627</v>
      </c>
      <c r="C208" s="6">
        <f>MIN(MATCH(B208,'Native PMKS'!$C$6:$C$366,1),360)</f>
        <v>203</v>
      </c>
      <c r="D208" s="6">
        <f t="shared" si="3"/>
        <v>204</v>
      </c>
      <c r="E208" s="6">
        <f>(B208-INDEX('Native PMKS'!$C$6:$C$366,C208))/(INDEX('Native PMKS'!$C$6:$C$366,D208)-INDEX('Native PMKS'!$C$6:$C$366,C208))</f>
        <v>0.56267409470751373</v>
      </c>
      <c r="F208" s="6">
        <f>INDEX('Native PMKS'!$N$6:$N$366,C208)+(INDEX('Native PMKS'!$N$6:$N$366,D208)-INDEX('Native PMKS'!$N$6:$N$366,C208))*E208</f>
        <v>40.389988579387179</v>
      </c>
      <c r="G208" s="6">
        <f>INDEX('Native PMKS'!$O$6:$O$366,C208)+(INDEX('Native PMKS'!$O$6:$O$366,D208)-INDEX('Native PMKS'!$O$6:$O$366,C208))*E208</f>
        <v>12.014064066852372</v>
      </c>
    </row>
    <row r="209" spans="1:7" ht="18.95" customHeight="1">
      <c r="A209" s="1">
        <v>203</v>
      </c>
      <c r="B209" s="6">
        <f>TimeStep!G209</f>
        <v>1696.3788300835654</v>
      </c>
      <c r="C209" s="6">
        <f>MIN(MATCH(B209,'Native PMKS'!$C$6:$C$366,1),360)</f>
        <v>204</v>
      </c>
      <c r="D209" s="6">
        <f t="shared" si="3"/>
        <v>205</v>
      </c>
      <c r="E209" s="6">
        <f>(B209-INDEX('Native PMKS'!$C$6:$C$366,C209))/(INDEX('Native PMKS'!$C$6:$C$366,D209)-INDEX('Native PMKS'!$C$6:$C$366,C209))</f>
        <v>0.56545961002782741</v>
      </c>
      <c r="F209" s="6">
        <f>INDEX('Native PMKS'!$N$6:$N$366,C209)+(INDEX('Native PMKS'!$N$6:$N$366,D209)-INDEX('Native PMKS'!$N$6:$N$366,C209))*E209</f>
        <v>40.759805013927561</v>
      </c>
      <c r="G209" s="6">
        <f>INDEX('Native PMKS'!$O$6:$O$366,C209)+(INDEX('Native PMKS'!$O$6:$O$366,D209)-INDEX('Native PMKS'!$O$6:$O$366,C209))*E209</f>
        <v>11.267145682451273</v>
      </c>
    </row>
    <row r="210" spans="1:7" ht="18.95" customHeight="1">
      <c r="A210" s="1">
        <v>204</v>
      </c>
      <c r="B210" s="6">
        <f>TimeStep!G210</f>
        <v>1704.7353760445683</v>
      </c>
      <c r="C210" s="6">
        <f>MIN(MATCH(B210,'Native PMKS'!$C$6:$C$366,1),360)</f>
        <v>205</v>
      </c>
      <c r="D210" s="6">
        <f t="shared" si="3"/>
        <v>206</v>
      </c>
      <c r="E210" s="6">
        <f>(B210-INDEX('Native PMKS'!$C$6:$C$366,C210))/(INDEX('Native PMKS'!$C$6:$C$366,D210)-INDEX('Native PMKS'!$C$6:$C$366,C210))</f>
        <v>0.56824512534817195</v>
      </c>
      <c r="F210" s="6">
        <f>INDEX('Native PMKS'!$N$6:$N$366,C210)+(INDEX('Native PMKS'!$N$6:$N$366,D210)-INDEX('Native PMKS'!$N$6:$N$366,C210))*E210</f>
        <v>41.104562674094701</v>
      </c>
      <c r="G210" s="6">
        <f>INDEX('Native PMKS'!$O$6:$O$366,C210)+(INDEX('Native PMKS'!$O$6:$O$366,D210)-INDEX('Native PMKS'!$O$6:$O$366,C210))*E210</f>
        <v>10.487710584958231</v>
      </c>
    </row>
    <row r="211" spans="1:7" ht="18.95" customHeight="1">
      <c r="A211" s="1">
        <v>205</v>
      </c>
      <c r="B211" s="6">
        <f>TimeStep!G211</f>
        <v>1713.091922005571</v>
      </c>
      <c r="C211" s="6">
        <f>MIN(MATCH(B211,'Native PMKS'!$C$6:$C$366,1),360)</f>
        <v>206</v>
      </c>
      <c r="D211" s="6">
        <f t="shared" si="3"/>
        <v>207</v>
      </c>
      <c r="E211" s="6">
        <f>(B211-INDEX('Native PMKS'!$C$6:$C$366,C211))/(INDEX('Native PMKS'!$C$6:$C$366,D211)-INDEX('Native PMKS'!$C$6:$C$366,C211))</f>
        <v>0.57103064066850107</v>
      </c>
      <c r="F211" s="6">
        <f>INDEX('Native PMKS'!$N$6:$N$366,C211)+(INDEX('Native PMKS'!$N$6:$N$366,D211)-INDEX('Native PMKS'!$N$6:$N$366,C211))*E211</f>
        <v>41.449263231197762</v>
      </c>
      <c r="G211" s="6">
        <f>INDEX('Native PMKS'!$O$6:$O$366,C211)+(INDEX('Native PMKS'!$O$6:$O$366,D211)-INDEX('Native PMKS'!$O$6:$O$366,C211))*E211</f>
        <v>9.7160392757660343</v>
      </c>
    </row>
    <row r="212" spans="1:7" ht="18.95" customHeight="1">
      <c r="A212" s="1">
        <v>206</v>
      </c>
      <c r="B212" s="6">
        <f>TimeStep!G212</f>
        <v>1721.4484679665738</v>
      </c>
      <c r="C212" s="6">
        <f>MIN(MATCH(B212,'Native PMKS'!$C$6:$C$366,1),360)</f>
        <v>207</v>
      </c>
      <c r="D212" s="6">
        <f t="shared" si="3"/>
        <v>208</v>
      </c>
      <c r="E212" s="6">
        <f>(B212-INDEX('Native PMKS'!$C$6:$C$366,C212))/(INDEX('Native PMKS'!$C$6:$C$366,D212)-INDEX('Native PMKS'!$C$6:$C$366,C212))</f>
        <v>0.57381615598884173</v>
      </c>
      <c r="F212" s="6">
        <f>INDEX('Native PMKS'!$N$6:$N$366,C212)+(INDEX('Native PMKS'!$N$6:$N$366,D212)-INDEX('Native PMKS'!$N$6:$N$366,C212))*E212</f>
        <v>41.793977994428964</v>
      </c>
      <c r="G212" s="6">
        <f>INDEX('Native PMKS'!$O$6:$O$366,C212)+(INDEX('Native PMKS'!$O$6:$O$366,D212)-INDEX('Native PMKS'!$O$6:$O$366,C212))*E212</f>
        <v>8.9691217270195107</v>
      </c>
    </row>
    <row r="213" spans="1:7" ht="18.95" customHeight="1">
      <c r="A213" s="1">
        <v>207</v>
      </c>
      <c r="B213" s="6">
        <f>TimeStep!G213</f>
        <v>1729.8050139275765</v>
      </c>
      <c r="C213" s="6">
        <f>MIN(MATCH(B213,'Native PMKS'!$C$6:$C$366,1),360)</f>
        <v>208</v>
      </c>
      <c r="D213" s="6">
        <f t="shared" si="3"/>
        <v>209</v>
      </c>
      <c r="E213" s="6">
        <f>(B213-INDEX('Native PMKS'!$C$6:$C$366,C213))/(INDEX('Native PMKS'!$C$6:$C$366,D213)-INDEX('Native PMKS'!$C$6:$C$366,C213))</f>
        <v>0.57660167130915918</v>
      </c>
      <c r="F213" s="6">
        <f>INDEX('Native PMKS'!$N$6:$N$366,C213)+(INDEX('Native PMKS'!$N$6:$N$366,D213)-INDEX('Native PMKS'!$N$6:$N$366,C213))*E213</f>
        <v>42.105696378830075</v>
      </c>
      <c r="G213" s="6">
        <f>INDEX('Native PMKS'!$O$6:$O$366,C213)+(INDEX('Native PMKS'!$O$6:$O$366,D213)-INDEX('Native PMKS'!$O$6:$O$366,C213))*E213</f>
        <v>8.2221894150418073</v>
      </c>
    </row>
    <row r="214" spans="1:7" ht="18.95" customHeight="1">
      <c r="A214" s="1">
        <v>208</v>
      </c>
      <c r="B214" s="6">
        <f>TimeStep!G214</f>
        <v>1738.1615598885794</v>
      </c>
      <c r="C214" s="6">
        <f>MIN(MATCH(B214,'Native PMKS'!$C$6:$C$366,1),360)</f>
        <v>209</v>
      </c>
      <c r="D214" s="6">
        <f t="shared" si="3"/>
        <v>210</v>
      </c>
      <c r="E214" s="6">
        <f>(B214-INDEX('Native PMKS'!$C$6:$C$366,C214))/(INDEX('Native PMKS'!$C$6:$C$366,D214)-INDEX('Native PMKS'!$C$6:$C$366,C214))</f>
        <v>0.5793871866295156</v>
      </c>
      <c r="F214" s="6">
        <f>INDEX('Native PMKS'!$N$6:$N$366,C214)+(INDEX('Native PMKS'!$N$6:$N$366,D214)-INDEX('Native PMKS'!$N$6:$N$366,C214))*E214</f>
        <v>42.392994428969352</v>
      </c>
      <c r="G214" s="6">
        <f>INDEX('Native PMKS'!$O$6:$O$366,C214)+(INDEX('Native PMKS'!$O$6:$O$366,D214)-INDEX('Native PMKS'!$O$6:$O$366,C214))*E214</f>
        <v>7.4752724233983363</v>
      </c>
    </row>
    <row r="215" spans="1:7" ht="18.95" customHeight="1">
      <c r="A215" s="1">
        <v>209</v>
      </c>
      <c r="B215" s="6">
        <f>TimeStep!G215</f>
        <v>1746.5181058495821</v>
      </c>
      <c r="C215" s="6">
        <f>MIN(MATCH(B215,'Native PMKS'!$C$6:$C$366,1),360)</f>
        <v>210</v>
      </c>
      <c r="D215" s="6">
        <f t="shared" si="3"/>
        <v>211</v>
      </c>
      <c r="E215" s="6">
        <f>(B215-INDEX('Native PMKS'!$C$6:$C$366,C215))/(INDEX('Native PMKS'!$C$6:$C$366,D215)-INDEX('Native PMKS'!$C$6:$C$366,C215))</f>
        <v>0.58217270194982884</v>
      </c>
      <c r="F215" s="6">
        <f>INDEX('Native PMKS'!$N$6:$N$366,C215)+(INDEX('Native PMKS'!$N$6:$N$366,D215)-INDEX('Native PMKS'!$N$6:$N$366,C215))*E215</f>
        <v>42.680234261838429</v>
      </c>
      <c r="G215" s="6">
        <f>INDEX('Native PMKS'!$O$6:$O$366,C215)+(INDEX('Native PMKS'!$O$6:$O$366,D215)-INDEX('Native PMKS'!$O$6:$O$366,C215))*E215</f>
        <v>6.7283395543175724</v>
      </c>
    </row>
    <row r="216" spans="1:7" ht="18.95" customHeight="1">
      <c r="A216" s="1">
        <v>210</v>
      </c>
      <c r="B216" s="6">
        <f>TimeStep!G216</f>
        <v>1754.874651810585</v>
      </c>
      <c r="C216" s="6">
        <f>MIN(MATCH(B216,'Native PMKS'!$C$6:$C$366,1),360)</f>
        <v>211</v>
      </c>
      <c r="D216" s="6">
        <f t="shared" si="3"/>
        <v>212</v>
      </c>
      <c r="E216" s="6">
        <f>(B216-INDEX('Native PMKS'!$C$6:$C$366,C216))/(INDEX('Native PMKS'!$C$6:$C$366,D216)-INDEX('Native PMKS'!$C$6:$C$366,C216))</f>
        <v>0.58495821727017383</v>
      </c>
      <c r="F216" s="6">
        <f>INDEX('Native PMKS'!$N$6:$N$366,C216)+(INDEX('Native PMKS'!$N$6:$N$366,D216)-INDEX('Native PMKS'!$N$6:$N$366,C216))*E216</f>
        <v>42.967490529247904</v>
      </c>
      <c r="G216" s="6">
        <f>INDEX('Native PMKS'!$O$6:$O$366,C216)+(INDEX('Native PMKS'!$O$6:$O$366,D216)-INDEX('Native PMKS'!$O$6:$O$366,C216))*E216</f>
        <v>5.9814231197771743</v>
      </c>
    </row>
    <row r="217" spans="1:7" ht="18.95" customHeight="1">
      <c r="A217" s="1">
        <v>211</v>
      </c>
      <c r="B217" s="6">
        <f>TimeStep!G217</f>
        <v>1763.2311977715876</v>
      </c>
      <c r="C217" s="6">
        <f>MIN(MATCH(B217,'Native PMKS'!$C$6:$C$366,1),360)</f>
        <v>212</v>
      </c>
      <c r="D217" s="6">
        <f t="shared" si="3"/>
        <v>213</v>
      </c>
      <c r="E217" s="6">
        <f>(B217-INDEX('Native PMKS'!$C$6:$C$366,C217))/(INDEX('Native PMKS'!$C$6:$C$366,D217)-INDEX('Native PMKS'!$C$6:$C$366,C217))</f>
        <v>0.58774373259050283</v>
      </c>
      <c r="F217" s="6">
        <f>INDEX('Native PMKS'!$N$6:$N$366,C217)+(INDEX('Native PMKS'!$N$6:$N$366,D217)-INDEX('Native PMKS'!$N$6:$N$366,C217))*E217</f>
        <v>43.254788579387181</v>
      </c>
      <c r="G217" s="6">
        <f>INDEX('Native PMKS'!$O$6:$O$366,C217)+(INDEX('Native PMKS'!$O$6:$O$366,D217)-INDEX('Native PMKS'!$O$6:$O$366,C217))*E217</f>
        <v>5.2344896935933338</v>
      </c>
    </row>
    <row r="218" spans="1:7" ht="18.95" customHeight="1">
      <c r="A218" s="1">
        <v>212</v>
      </c>
      <c r="B218" s="6">
        <f>TimeStep!G218</f>
        <v>1771.5877437325905</v>
      </c>
      <c r="C218" s="6">
        <f>MIN(MATCH(B218,'Native PMKS'!$C$6:$C$366,1),360)</f>
        <v>213</v>
      </c>
      <c r="D218" s="6">
        <f t="shared" si="3"/>
        <v>214</v>
      </c>
      <c r="E218" s="6">
        <f>(B218-INDEX('Native PMKS'!$C$6:$C$366,C218))/(INDEX('Native PMKS'!$C$6:$C$366,D218)-INDEX('Native PMKS'!$C$6:$C$366,C218))</f>
        <v>0.59052924791084316</v>
      </c>
      <c r="F218" s="6">
        <f>INDEX('Native PMKS'!$N$6:$N$366,C218)+(INDEX('Native PMKS'!$N$6:$N$366,D218)-INDEX('Native PMKS'!$N$6:$N$366,C218))*E218</f>
        <v>43.508249303621163</v>
      </c>
      <c r="G218" s="6">
        <f>INDEX('Native PMKS'!$O$6:$O$366,C218)+(INDEX('Native PMKS'!$O$6:$O$366,D218)-INDEX('Native PMKS'!$O$6:$O$366,C218))*E218</f>
        <v>4.5214111420612948</v>
      </c>
    </row>
    <row r="219" spans="1:7" ht="18.95" customHeight="1">
      <c r="A219" s="1">
        <v>213</v>
      </c>
      <c r="B219" s="6">
        <f>TimeStep!G219</f>
        <v>1779.9442896935932</v>
      </c>
      <c r="C219" s="6">
        <f>MIN(MATCH(B219,'Native PMKS'!$C$6:$C$366,1),360)</f>
        <v>214</v>
      </c>
      <c r="D219" s="6">
        <f t="shared" si="3"/>
        <v>215</v>
      </c>
      <c r="E219" s="6">
        <f>(B219-INDEX('Native PMKS'!$C$6:$C$366,C219))/(INDEX('Native PMKS'!$C$6:$C$366,D219)-INDEX('Native PMKS'!$C$6:$C$366,C219))</f>
        <v>0.59331476323116106</v>
      </c>
      <c r="F219" s="6">
        <f>INDEX('Native PMKS'!$N$6:$N$366,C219)+(INDEX('Native PMKS'!$N$6:$N$366,D219)-INDEX('Native PMKS'!$N$6:$N$366,C219))*E219</f>
        <v>43.772084679665724</v>
      </c>
      <c r="G219" s="6">
        <f>INDEX('Native PMKS'!$O$6:$O$366,C219)+(INDEX('Native PMKS'!$O$6:$O$366,D219)-INDEX('Native PMKS'!$O$6:$O$366,C219))*E219</f>
        <v>3.7979398328691079</v>
      </c>
    </row>
    <row r="220" spans="1:7" ht="18.95" customHeight="1">
      <c r="A220" s="1">
        <v>214</v>
      </c>
      <c r="B220" s="6">
        <f>TimeStep!G220</f>
        <v>1788.3008356545961</v>
      </c>
      <c r="C220" s="6">
        <f>MIN(MATCH(B220,'Native PMKS'!$C$6:$C$366,1),360)</f>
        <v>215</v>
      </c>
      <c r="D220" s="6">
        <f t="shared" si="3"/>
        <v>216</v>
      </c>
      <c r="E220" s="6">
        <f>(B220-INDEX('Native PMKS'!$C$6:$C$366,C220))/(INDEX('Native PMKS'!$C$6:$C$366,D220)-INDEX('Native PMKS'!$C$6:$C$366,C220))</f>
        <v>0.59610027855151748</v>
      </c>
      <c r="F220" s="6">
        <f>INDEX('Native PMKS'!$N$6:$N$366,C220)+(INDEX('Native PMKS'!$N$6:$N$366,D220)-INDEX('Native PMKS'!$N$6:$N$366,C220))*E220</f>
        <v>44.025226183844005</v>
      </c>
      <c r="G220" s="6">
        <f>INDEX('Native PMKS'!$O$6:$O$366,C220)+(INDEX('Native PMKS'!$O$6:$O$366,D220)-INDEX('Native PMKS'!$O$6:$O$366,C220))*E220</f>
        <v>3.0851810584958317</v>
      </c>
    </row>
    <row r="221" spans="1:7" ht="18.95" customHeight="1">
      <c r="A221" s="1">
        <v>215</v>
      </c>
      <c r="B221" s="6">
        <f>TimeStep!G221</f>
        <v>1796.657381615599</v>
      </c>
      <c r="C221" s="6">
        <f>MIN(MATCH(B221,'Native PMKS'!$C$6:$C$366,1),360)</f>
        <v>216</v>
      </c>
      <c r="D221" s="6">
        <f t="shared" si="3"/>
        <v>217</v>
      </c>
      <c r="E221" s="6">
        <f>(B221-INDEX('Native PMKS'!$C$6:$C$366,C221))/(INDEX('Native PMKS'!$C$6:$C$366,D221)-INDEX('Native PMKS'!$C$6:$C$366,C221))</f>
        <v>0.59888579387185747</v>
      </c>
      <c r="F221" s="6">
        <f>INDEX('Native PMKS'!$N$6:$N$366,C221)+(INDEX('Native PMKS'!$N$6:$N$366,D221)-INDEX('Native PMKS'!$N$6:$N$366,C221))*E221</f>
        <v>44.220688579387186</v>
      </c>
      <c r="G221" s="6">
        <f>INDEX('Native PMKS'!$O$6:$O$366,C221)+(INDEX('Native PMKS'!$O$6:$O$366,D221)-INDEX('Native PMKS'!$O$6:$O$366,C221))*E221</f>
        <v>2.3613899721448535</v>
      </c>
    </row>
    <row r="222" spans="1:7" ht="18.95" customHeight="1">
      <c r="A222" s="1">
        <v>216</v>
      </c>
      <c r="B222" s="6">
        <f>TimeStep!G222</f>
        <v>1805.0139275766016</v>
      </c>
      <c r="C222" s="6">
        <f>MIN(MATCH(B222,'Native PMKS'!$C$6:$C$366,1),360)</f>
        <v>217</v>
      </c>
      <c r="D222" s="6">
        <f t="shared" si="3"/>
        <v>218</v>
      </c>
      <c r="E222" s="6">
        <f>(B222-INDEX('Native PMKS'!$C$6:$C$366,C222))/(INDEX('Native PMKS'!$C$6:$C$366,D222)-INDEX('Native PMKS'!$C$6:$C$366,C222))</f>
        <v>0.6016713091921756</v>
      </c>
      <c r="F222" s="6">
        <f>INDEX('Native PMKS'!$N$6:$N$366,C222)+(INDEX('Native PMKS'!$N$6:$N$366,D222)-INDEX('Native PMKS'!$N$6:$N$366,C222))*E222</f>
        <v>44.427503064066848</v>
      </c>
      <c r="G222" s="6">
        <f>INDEX('Native PMKS'!$O$6:$O$366,C222)+(INDEX('Native PMKS'!$O$6:$O$366,D222)-INDEX('Native PMKS'!$O$6:$O$366,C222))*E222</f>
        <v>1.6489509749303792</v>
      </c>
    </row>
    <row r="223" spans="1:7" ht="18.95" customHeight="1">
      <c r="A223" s="1">
        <v>217</v>
      </c>
      <c r="B223" s="6">
        <f>TimeStep!G223</f>
        <v>1813.3704735376045</v>
      </c>
      <c r="C223" s="6">
        <f>MIN(MATCH(B223,'Native PMKS'!$C$6:$C$366,1),360)</f>
        <v>218</v>
      </c>
      <c r="D223" s="6">
        <f t="shared" si="3"/>
        <v>219</v>
      </c>
      <c r="E223" s="6">
        <f>(B223-INDEX('Native PMKS'!$C$6:$C$366,C223))/(INDEX('Native PMKS'!$C$6:$C$366,D223)-INDEX('Native PMKS'!$C$6:$C$366,C223))</f>
        <v>0.60445682451253202</v>
      </c>
      <c r="F223" s="6">
        <f>INDEX('Native PMKS'!$N$6:$N$366,C223)+(INDEX('Native PMKS'!$N$6:$N$366,D223)-INDEX('Native PMKS'!$N$6:$N$366,C223))*E223</f>
        <v>44.6227061281337</v>
      </c>
      <c r="G223" s="6">
        <f>INDEX('Native PMKS'!$O$6:$O$366,C223)+(INDEX('Native PMKS'!$O$6:$O$366,D223)-INDEX('Native PMKS'!$O$6:$O$366,C223))*E223</f>
        <v>0.95947548746518296</v>
      </c>
    </row>
    <row r="224" spans="1:7" ht="18.95" customHeight="1">
      <c r="A224" s="1">
        <v>218</v>
      </c>
      <c r="B224" s="6">
        <f>TimeStep!G224</f>
        <v>1821.7270194986072</v>
      </c>
      <c r="C224" s="6">
        <f>MIN(MATCH(B224,'Native PMKS'!$C$6:$C$366,1),360)</f>
        <v>219</v>
      </c>
      <c r="D224" s="6">
        <f t="shared" si="3"/>
        <v>220</v>
      </c>
      <c r="E224" s="6">
        <f>(B224-INDEX('Native PMKS'!$C$6:$C$366,C224))/(INDEX('Native PMKS'!$C$6:$C$366,D224)-INDEX('Native PMKS'!$C$6:$C$366,C224))</f>
        <v>0.60724233983284448</v>
      </c>
      <c r="F224" s="6">
        <f>INDEX('Native PMKS'!$N$6:$N$366,C224)+(INDEX('Native PMKS'!$N$6:$N$366,D224)-INDEX('Native PMKS'!$N$6:$N$366,C224))*E224</f>
        <v>44.795084958217267</v>
      </c>
      <c r="G224" s="6">
        <f>INDEX('Native PMKS'!$O$6:$O$366,C224)+(INDEX('Native PMKS'!$O$6:$O$366,D224)-INDEX('Native PMKS'!$O$6:$O$366,C224))*E224</f>
        <v>0.27002089136491941</v>
      </c>
    </row>
    <row r="225" spans="1:7" ht="18.95" customHeight="1">
      <c r="A225" s="1">
        <v>219</v>
      </c>
      <c r="B225" s="6">
        <f>TimeStep!G225</f>
        <v>1830.0835654596101</v>
      </c>
      <c r="C225" s="6">
        <f>MIN(MATCH(B225,'Native PMKS'!$C$6:$C$366,1),360)</f>
        <v>220</v>
      </c>
      <c r="D225" s="6">
        <f t="shared" si="3"/>
        <v>221</v>
      </c>
      <c r="E225" s="6">
        <f>(B225-INDEX('Native PMKS'!$C$6:$C$366,C225))/(INDEX('Native PMKS'!$C$6:$C$366,D225)-INDEX('Native PMKS'!$C$6:$C$366,C225))</f>
        <v>0.61002785515319025</v>
      </c>
      <c r="F225" s="6">
        <f>INDEX('Native PMKS'!$N$6:$N$366,C225)+(INDEX('Native PMKS'!$N$6:$N$366,D225)-INDEX('Native PMKS'!$N$6:$N$366,C225))*E225</f>
        <v>44.967463788300833</v>
      </c>
      <c r="G225" s="6">
        <f>INDEX('Native PMKS'!$O$6:$O$366,C225)+(INDEX('Native PMKS'!$O$6:$O$366,D225)-INDEX('Native PMKS'!$O$6:$O$366,C225))*E225</f>
        <v>-0.4193941504178183</v>
      </c>
    </row>
    <row r="226" spans="1:7" ht="18.95" customHeight="1">
      <c r="A226" s="1">
        <v>220</v>
      </c>
      <c r="B226" s="6">
        <f>TimeStep!G226</f>
        <v>1838.4401114206128</v>
      </c>
      <c r="C226" s="6">
        <f>MIN(MATCH(B226,'Native PMKS'!$C$6:$C$366,1),360)</f>
        <v>221</v>
      </c>
      <c r="D226" s="6">
        <f t="shared" si="3"/>
        <v>222</v>
      </c>
      <c r="E226" s="6">
        <f>(B226-INDEX('Native PMKS'!$C$6:$C$366,C226))/(INDEX('Native PMKS'!$C$6:$C$366,D226)-INDEX('Native PMKS'!$C$6:$C$366,C226))</f>
        <v>0.61281337047351925</v>
      </c>
      <c r="F226" s="6">
        <f>INDEX('Native PMKS'!$N$6:$N$366,C226)+(INDEX('Native PMKS'!$N$6:$N$366,D226)-INDEX('Native PMKS'!$N$6:$N$366,C226))*E226</f>
        <v>45.139842618384399</v>
      </c>
      <c r="G226" s="6">
        <f>INDEX('Native PMKS'!$O$6:$O$366,C226)+(INDEX('Native PMKS'!$O$6:$O$366,D226)-INDEX('Native PMKS'!$O$6:$O$366,C226))*E226</f>
        <v>-1.1088704735375918</v>
      </c>
    </row>
    <row r="227" spans="1:7" ht="18.95" customHeight="1">
      <c r="A227" s="1">
        <v>221</v>
      </c>
      <c r="B227" s="6">
        <f>TimeStep!G227</f>
        <v>1846.7966573816157</v>
      </c>
      <c r="C227" s="6">
        <f>MIN(MATCH(B227,'Native PMKS'!$C$6:$C$366,1),360)</f>
        <v>222</v>
      </c>
      <c r="D227" s="6">
        <f t="shared" si="3"/>
        <v>223</v>
      </c>
      <c r="E227" s="6">
        <f>(B227-INDEX('Native PMKS'!$C$6:$C$366,C227))/(INDEX('Native PMKS'!$C$6:$C$366,D227)-INDEX('Native PMKS'!$C$6:$C$366,C227))</f>
        <v>0.61559888579385891</v>
      </c>
      <c r="F227" s="6">
        <f>INDEX('Native PMKS'!$N$6:$N$366,C227)+(INDEX('Native PMKS'!$N$6:$N$366,D227)-INDEX('Native PMKS'!$N$6:$N$366,C227))*E227</f>
        <v>45.276947632311973</v>
      </c>
      <c r="G227" s="6">
        <f>INDEX('Native PMKS'!$O$6:$O$366,C227)+(INDEX('Native PMKS'!$O$6:$O$366,D227)-INDEX('Native PMKS'!$O$6:$O$366,C227))*E227</f>
        <v>-1.7983242339832781</v>
      </c>
    </row>
    <row r="228" spans="1:7" ht="18.95" customHeight="1">
      <c r="A228" s="1">
        <v>222</v>
      </c>
      <c r="B228" s="6">
        <f>TimeStep!G228</f>
        <v>1855.1532033426183</v>
      </c>
      <c r="C228" s="6">
        <f>MIN(MATCH(B228,'Native PMKS'!$C$6:$C$366,1),360)</f>
        <v>223</v>
      </c>
      <c r="D228" s="6">
        <f t="shared" si="3"/>
        <v>224</v>
      </c>
      <c r="E228" s="6">
        <f>(B228-INDEX('Native PMKS'!$C$6:$C$366,C228))/(INDEX('Native PMKS'!$C$6:$C$366,D228)-INDEX('Native PMKS'!$C$6:$C$366,C228))</f>
        <v>0.61838440111417747</v>
      </c>
      <c r="F228" s="6">
        <f>INDEX('Native PMKS'!$N$6:$N$366,C228)+(INDEX('Native PMKS'!$N$6:$N$366,D228)-INDEX('Native PMKS'!$N$6:$N$366,C228))*E228</f>
        <v>45.427238440111417</v>
      </c>
      <c r="G228" s="6">
        <f>INDEX('Native PMKS'!$O$6:$O$366,C228)+(INDEX('Native PMKS'!$O$6:$O$366,D228)-INDEX('Native PMKS'!$O$6:$O$366,C228))*E228</f>
        <v>-2.4878011142061087</v>
      </c>
    </row>
    <row r="229" spans="1:7" ht="18.95" customHeight="1">
      <c r="A229" s="1">
        <v>223</v>
      </c>
      <c r="B229" s="6">
        <f>TimeStep!G229</f>
        <v>1863.5097493036212</v>
      </c>
      <c r="C229" s="6">
        <f>MIN(MATCH(B229,'Native PMKS'!$C$6:$C$366,1),360)</f>
        <v>224</v>
      </c>
      <c r="D229" s="6">
        <f t="shared" si="3"/>
        <v>225</v>
      </c>
      <c r="E229" s="6">
        <f>(B229-INDEX('Native PMKS'!$C$6:$C$366,C229))/(INDEX('Native PMKS'!$C$6:$C$366,D229)-INDEX('Native PMKS'!$C$6:$C$366,C229))</f>
        <v>0.6211699164345339</v>
      </c>
      <c r="F229" s="6">
        <f>INDEX('Native PMKS'!$N$6:$N$366,C229)+(INDEX('Native PMKS'!$N$6:$N$366,D229)-INDEX('Native PMKS'!$N$6:$N$366,C229))*E229</f>
        <v>45.528393036211703</v>
      </c>
      <c r="G229" s="6">
        <f>INDEX('Native PMKS'!$O$6:$O$366,C229)+(INDEX('Native PMKS'!$O$6:$O$366,D229)-INDEX('Native PMKS'!$O$6:$O$366,C229))*E229</f>
        <v>-3.177254317548742</v>
      </c>
    </row>
    <row r="230" spans="1:7" ht="18.95" customHeight="1">
      <c r="A230" s="1">
        <v>224</v>
      </c>
      <c r="B230" s="6">
        <f>TimeStep!G230</f>
        <v>1871.8662952646239</v>
      </c>
      <c r="C230" s="6">
        <f>MIN(MATCH(B230,'Native PMKS'!$C$6:$C$366,1),360)</f>
        <v>225</v>
      </c>
      <c r="D230" s="6">
        <f t="shared" si="3"/>
        <v>226</v>
      </c>
      <c r="E230" s="6">
        <f>(B230-INDEX('Native PMKS'!$C$6:$C$366,C230))/(INDEX('Native PMKS'!$C$6:$C$366,D230)-INDEX('Native PMKS'!$C$6:$C$366,C230))</f>
        <v>0.62395543175484591</v>
      </c>
      <c r="F230" s="6">
        <f>INDEX('Native PMKS'!$N$6:$N$366,C230)+(INDEX('Native PMKS'!$N$6:$N$366,D230)-INDEX('Native PMKS'!$N$6:$N$366,C230))*E230</f>
        <v>45.62160529247911</v>
      </c>
      <c r="G230" s="6">
        <f>INDEX('Native PMKS'!$O$6:$O$366,C230)+(INDEX('Native PMKS'!$O$6:$O$366,D230)-INDEX('Native PMKS'!$O$6:$O$366,C230))*E230</f>
        <v>-3.8667317548746323</v>
      </c>
    </row>
    <row r="231" spans="1:7" ht="18.95" customHeight="1">
      <c r="A231" s="1">
        <v>225</v>
      </c>
      <c r="B231" s="6">
        <f>TimeStep!G231</f>
        <v>1880.2228412256268</v>
      </c>
      <c r="C231" s="6">
        <f>MIN(MATCH(B231,'Native PMKS'!$C$6:$C$366,1),360)</f>
        <v>226</v>
      </c>
      <c r="D231" s="6">
        <f t="shared" si="3"/>
        <v>227</v>
      </c>
      <c r="E231" s="6">
        <f>(B231-INDEX('Native PMKS'!$C$6:$C$366,C231))/(INDEX('Native PMKS'!$C$6:$C$366,D231)-INDEX('Native PMKS'!$C$6:$C$366,C231))</f>
        <v>0.62674094707519201</v>
      </c>
      <c r="F231" s="6">
        <f>INDEX('Native PMKS'!$N$6:$N$366,C231)+(INDEX('Native PMKS'!$N$6:$N$366,D231)-INDEX('Native PMKS'!$N$6:$N$366,C231))*E231</f>
        <v>45.736524512534821</v>
      </c>
      <c r="G231" s="6">
        <f>INDEX('Native PMKS'!$O$6:$O$366,C231)+(INDEX('Native PMKS'!$O$6:$O$366,D231)-INDEX('Native PMKS'!$O$6:$O$366,C231))*E231</f>
        <v>-4.5202721448467855</v>
      </c>
    </row>
    <row r="232" spans="1:7" ht="18.95" customHeight="1">
      <c r="A232" s="1">
        <v>226</v>
      </c>
      <c r="B232" s="6">
        <f>TimeStep!G232</f>
        <v>1888.5793871866294</v>
      </c>
      <c r="C232" s="6">
        <f>MIN(MATCH(B232,'Native PMKS'!$C$6:$C$366,1),360)</f>
        <v>227</v>
      </c>
      <c r="D232" s="6">
        <f t="shared" si="3"/>
        <v>228</v>
      </c>
      <c r="E232" s="6">
        <f>(B232-INDEX('Native PMKS'!$C$6:$C$366,C232))/(INDEX('Native PMKS'!$C$6:$C$366,D232)-INDEX('Native PMKS'!$C$6:$C$366,C232))</f>
        <v>0.62952646239552112</v>
      </c>
      <c r="F232" s="6">
        <f>INDEX('Native PMKS'!$N$6:$N$366,C232)+(INDEX('Native PMKS'!$N$6:$N$366,D232)-INDEX('Native PMKS'!$N$6:$N$366,C232))*E232</f>
        <v>45.815371866295258</v>
      </c>
      <c r="G232" s="6">
        <f>INDEX('Native PMKS'!$O$6:$O$366,C232)+(INDEX('Native PMKS'!$O$6:$O$366,D232)-INDEX('Native PMKS'!$O$6:$O$366,C232))*E232</f>
        <v>-5.1883623955431606</v>
      </c>
    </row>
    <row r="233" spans="1:7" ht="18.95" customHeight="1">
      <c r="A233" s="1">
        <v>227</v>
      </c>
      <c r="B233" s="6">
        <f>TimeStep!G233</f>
        <v>1896.9359331476323</v>
      </c>
      <c r="C233" s="6">
        <f>MIN(MATCH(B233,'Native PMKS'!$C$6:$C$366,1),360)</f>
        <v>228</v>
      </c>
      <c r="D233" s="6">
        <f t="shared" si="3"/>
        <v>229</v>
      </c>
      <c r="E233" s="6">
        <f>(B233-INDEX('Native PMKS'!$C$6:$C$366,C233))/(INDEX('Native PMKS'!$C$6:$C$366,D233)-INDEX('Native PMKS'!$C$6:$C$366,C233))</f>
        <v>0.63231197771586023</v>
      </c>
      <c r="F233" s="6">
        <f>INDEX('Native PMKS'!$N$6:$N$366,C233)+(INDEX('Native PMKS'!$N$6:$N$366,D233)-INDEX('Native PMKS'!$N$6:$N$366,C233))*E233</f>
        <v>45.872831476323121</v>
      </c>
      <c r="G233" s="6">
        <f>INDEX('Native PMKS'!$O$6:$O$366,C233)+(INDEX('Native PMKS'!$O$6:$O$366,D233)-INDEX('Native PMKS'!$O$6:$O$366,C233))*E233</f>
        <v>-5.841646239554307</v>
      </c>
    </row>
    <row r="234" spans="1:7" ht="18.95" customHeight="1">
      <c r="A234" s="1">
        <v>228</v>
      </c>
      <c r="B234" s="6">
        <f>TimeStep!G234</f>
        <v>1905.292479108635</v>
      </c>
      <c r="C234" s="6">
        <f>MIN(MATCH(B234,'Native PMKS'!$C$6:$C$366,1),360)</f>
        <v>229</v>
      </c>
      <c r="D234" s="6">
        <f t="shared" si="3"/>
        <v>230</v>
      </c>
      <c r="E234" s="6">
        <f>(B234-INDEX('Native PMKS'!$C$6:$C$366,C234))/(INDEX('Native PMKS'!$C$6:$C$366,D234)-INDEX('Native PMKS'!$C$6:$C$366,C234))</f>
        <v>0.63509749303617935</v>
      </c>
      <c r="F234" s="6">
        <f>INDEX('Native PMKS'!$N$6:$N$366,C234)+(INDEX('Native PMKS'!$N$6:$N$366,D234)-INDEX('Native PMKS'!$N$6:$N$366,C234))*E234</f>
        <v>45.930291086350977</v>
      </c>
      <c r="G234" s="6">
        <f>INDEX('Native PMKS'!$O$6:$O$366,C234)+(INDEX('Native PMKS'!$O$6:$O$366,D234)-INDEX('Native PMKS'!$O$6:$O$366,C234))*E234</f>
        <v>-6.4736384401114</v>
      </c>
    </row>
    <row r="235" spans="1:7" ht="18.95" customHeight="1">
      <c r="A235" s="1">
        <v>229</v>
      </c>
      <c r="B235" s="6">
        <f>TimeStep!G235</f>
        <v>1913.6490250696379</v>
      </c>
      <c r="C235" s="6">
        <f>MIN(MATCH(B235,'Native PMKS'!$C$6:$C$366,1),360)</f>
        <v>230</v>
      </c>
      <c r="D235" s="6">
        <f t="shared" si="3"/>
        <v>231</v>
      </c>
      <c r="E235" s="6">
        <f>(B235-INDEX('Native PMKS'!$C$6:$C$366,C235))/(INDEX('Native PMKS'!$C$6:$C$366,D235)-INDEX('Native PMKS'!$C$6:$C$366,C235))</f>
        <v>0.63788300835653566</v>
      </c>
      <c r="F235" s="6">
        <f>INDEX('Native PMKS'!$N$6:$N$366,C235)+(INDEX('Native PMKS'!$N$6:$N$366,D235)-INDEX('Native PMKS'!$N$6:$N$366,C235))*E235</f>
        <v>45.9512</v>
      </c>
      <c r="G235" s="6">
        <f>INDEX('Native PMKS'!$O$6:$O$366,C235)+(INDEX('Native PMKS'!$O$6:$O$366,D235)-INDEX('Native PMKS'!$O$6:$O$366,C235))*E235</f>
        <v>-7.1422083565459538</v>
      </c>
    </row>
    <row r="236" spans="1:7" ht="18.95" customHeight="1">
      <c r="A236" s="1">
        <v>230</v>
      </c>
      <c r="B236" s="6">
        <f>TimeStep!G236</f>
        <v>1922.0055710306406</v>
      </c>
      <c r="C236" s="6">
        <f>MIN(MATCH(B236,'Native PMKS'!$C$6:$C$366,1),360)</f>
        <v>231</v>
      </c>
      <c r="D236" s="6">
        <f t="shared" si="3"/>
        <v>232</v>
      </c>
      <c r="E236" s="6">
        <f>(B236-INDEX('Native PMKS'!$C$6:$C$366,C236))/(INDEX('Native PMKS'!$C$6:$C$366,D236)-INDEX('Native PMKS'!$C$6:$C$366,C236))</f>
        <v>0.64066852367684735</v>
      </c>
      <c r="F236" s="6">
        <f>INDEX('Native PMKS'!$N$6:$N$366,C236)+(INDEX('Native PMKS'!$N$6:$N$366,D236)-INDEX('Native PMKS'!$N$6:$N$366,C236))*E236</f>
        <v>45.987910306406683</v>
      </c>
      <c r="G236" s="6">
        <f>INDEX('Native PMKS'!$O$6:$O$366,C236)+(INDEX('Native PMKS'!$O$6:$O$366,D236)-INDEX('Native PMKS'!$O$6:$O$366,C236))*E236</f>
        <v>-7.7949493036211495</v>
      </c>
    </row>
    <row r="237" spans="1:7" ht="18.95" customHeight="1">
      <c r="A237" s="1">
        <v>231</v>
      </c>
      <c r="B237" s="6">
        <f>TimeStep!G237</f>
        <v>1930.3621169916435</v>
      </c>
      <c r="C237" s="6">
        <f>MIN(MATCH(B237,'Native PMKS'!$C$6:$C$366,1),360)</f>
        <v>232</v>
      </c>
      <c r="D237" s="6">
        <f t="shared" si="3"/>
        <v>233</v>
      </c>
      <c r="E237" s="6">
        <f>(B237-INDEX('Native PMKS'!$C$6:$C$366,C237))/(INDEX('Native PMKS'!$C$6:$C$366,D237)-INDEX('Native PMKS'!$C$6:$C$366,C237))</f>
        <v>0.64345403899719389</v>
      </c>
      <c r="F237" s="6">
        <f>INDEX('Native PMKS'!$N$6:$N$366,C237)+(INDEX('Native PMKS'!$N$6:$N$366,D237)-INDEX('Native PMKS'!$N$6:$N$366,C237))*E237</f>
        <v>46.008499999999998</v>
      </c>
      <c r="G237" s="6">
        <f>INDEX('Native PMKS'!$O$6:$O$366,C237)+(INDEX('Native PMKS'!$O$6:$O$366,D237)-INDEX('Native PMKS'!$O$6:$O$366,C237))*E237</f>
        <v>-8.4269690807799318</v>
      </c>
    </row>
    <row r="238" spans="1:7" ht="18.95" customHeight="1">
      <c r="A238" s="1">
        <v>232</v>
      </c>
      <c r="B238" s="6">
        <f>TimeStep!G238</f>
        <v>1938.7186629526461</v>
      </c>
      <c r="C238" s="6">
        <f>MIN(MATCH(B238,'Native PMKS'!$C$6:$C$366,1),360)</f>
        <v>233</v>
      </c>
      <c r="D238" s="6">
        <f t="shared" si="3"/>
        <v>234</v>
      </c>
      <c r="E238" s="6">
        <f>(B238-INDEX('Native PMKS'!$C$6:$C$366,C238))/(INDEX('Native PMKS'!$C$6:$C$366,D238)-INDEX('Native PMKS'!$C$6:$C$366,C238))</f>
        <v>0.646239554317523</v>
      </c>
      <c r="F238" s="6">
        <f>INDEX('Native PMKS'!$N$6:$N$366,C238)+(INDEX('Native PMKS'!$N$6:$N$366,D238)-INDEX('Native PMKS'!$N$6:$N$366,C238))*E238</f>
        <v>46.008499999999998</v>
      </c>
      <c r="G238" s="6">
        <f>INDEX('Native PMKS'!$O$6:$O$366,C238)+(INDEX('Native PMKS'!$O$6:$O$366,D238)-INDEX('Native PMKS'!$O$6:$O$366,C238))*E238</f>
        <v>-9.0589601671309037</v>
      </c>
    </row>
    <row r="239" spans="1:7" ht="18.95" customHeight="1">
      <c r="A239" s="1">
        <v>233</v>
      </c>
      <c r="B239" s="6">
        <f>TimeStep!G239</f>
        <v>1947.075208913649</v>
      </c>
      <c r="C239" s="6">
        <f>MIN(MATCH(B239,'Native PMKS'!$C$6:$C$366,1),360)</f>
        <v>234</v>
      </c>
      <c r="D239" s="6">
        <f t="shared" si="3"/>
        <v>235</v>
      </c>
      <c r="E239" s="6">
        <f>(B239-INDEX('Native PMKS'!$C$6:$C$366,C239))/(INDEX('Native PMKS'!$C$6:$C$366,D239)-INDEX('Native PMKS'!$C$6:$C$366,C239))</f>
        <v>0.64902506963786166</v>
      </c>
      <c r="F239" s="6">
        <f>INDEX('Native PMKS'!$N$6:$N$366,C239)+(INDEX('Native PMKS'!$N$6:$N$366,D239)-INDEX('Native PMKS'!$N$6:$N$366,C239))*E239</f>
        <v>45.97131086350975</v>
      </c>
      <c r="G239" s="6">
        <f>INDEX('Native PMKS'!$O$6:$O$366,C239)+(INDEX('Native PMKS'!$O$6:$O$366,D239)-INDEX('Native PMKS'!$O$6:$O$366,C239))*E239</f>
        <v>-9.6909805013927439</v>
      </c>
    </row>
    <row r="240" spans="1:7" ht="18.95" customHeight="1">
      <c r="A240" s="1">
        <v>234</v>
      </c>
      <c r="B240" s="6">
        <f>TimeStep!G240</f>
        <v>1955.4317548746517</v>
      </c>
      <c r="C240" s="6">
        <f>MIN(MATCH(B240,'Native PMKS'!$C$6:$C$366,1),360)</f>
        <v>235</v>
      </c>
      <c r="D240" s="6">
        <f t="shared" si="3"/>
        <v>236</v>
      </c>
      <c r="E240" s="6">
        <f>(B240-INDEX('Native PMKS'!$C$6:$C$366,C240))/(INDEX('Native PMKS'!$C$6:$C$366,D240)-INDEX('Native PMKS'!$C$6:$C$366,C240))</f>
        <v>0.65181058495818112</v>
      </c>
      <c r="F240" s="6">
        <f>INDEX('Native PMKS'!$N$6:$N$366,C240)+(INDEX('Native PMKS'!$N$6:$N$366,D240)-INDEX('Native PMKS'!$N$6:$N$366,C240))*E240</f>
        <v>45.9512</v>
      </c>
      <c r="G240" s="6">
        <f>INDEX('Native PMKS'!$O$6:$O$366,C240)+(INDEX('Native PMKS'!$O$6:$O$366,D240)-INDEX('Native PMKS'!$O$6:$O$366,C240))*E240</f>
        <v>-10.322971030640646</v>
      </c>
    </row>
    <row r="241" spans="1:7" ht="18.95" customHeight="1">
      <c r="A241" s="1">
        <v>235</v>
      </c>
      <c r="B241" s="6">
        <f>TimeStep!G241</f>
        <v>1963.7883008356546</v>
      </c>
      <c r="C241" s="6">
        <f>MIN(MATCH(B241,'Native PMKS'!$C$6:$C$366,1),360)</f>
        <v>236</v>
      </c>
      <c r="D241" s="6">
        <f t="shared" si="3"/>
        <v>237</v>
      </c>
      <c r="E241" s="6">
        <f>(B241-INDEX('Native PMKS'!$C$6:$C$366,C241))/(INDEX('Native PMKS'!$C$6:$C$366,D241)-INDEX('Native PMKS'!$C$6:$C$366,C241))</f>
        <v>0.65459610027853754</v>
      </c>
      <c r="F241" s="6">
        <f>INDEX('Native PMKS'!$N$6:$N$366,C241)+(INDEX('Native PMKS'!$N$6:$N$366,D241)-INDEX('Native PMKS'!$N$6:$N$366,C241))*E241</f>
        <v>45.913691643454044</v>
      </c>
      <c r="G241" s="6">
        <f>INDEX('Native PMKS'!$O$6:$O$366,C241)+(INDEX('Native PMKS'!$O$6:$O$366,D241)-INDEX('Native PMKS'!$O$6:$O$366,C241))*E241</f>
        <v>-10.954991922005563</v>
      </c>
    </row>
    <row r="242" spans="1:7" ht="18.95" customHeight="1">
      <c r="A242" s="1">
        <v>236</v>
      </c>
      <c r="B242" s="6">
        <f>TimeStep!G242</f>
        <v>1972.1448467966575</v>
      </c>
      <c r="C242" s="6">
        <f>MIN(MATCH(B242,'Native PMKS'!$C$6:$C$366,1),360)</f>
        <v>237</v>
      </c>
      <c r="D242" s="6">
        <f t="shared" si="3"/>
        <v>238</v>
      </c>
      <c r="E242" s="6">
        <f>(B242-INDEX('Native PMKS'!$C$6:$C$366,C242))/(INDEX('Native PMKS'!$C$6:$C$366,D242)-INDEX('Native PMKS'!$C$6:$C$366,C242))</f>
        <v>0.65738161559887598</v>
      </c>
      <c r="F242" s="6">
        <f>INDEX('Native PMKS'!$N$6:$N$366,C242)+(INDEX('Native PMKS'!$N$6:$N$366,D242)-INDEX('Native PMKS'!$N$6:$N$366,C242))*E242</f>
        <v>45.818564066852367</v>
      </c>
      <c r="G242" s="6">
        <f>INDEX('Native PMKS'!$O$6:$O$366,C242)+(INDEX('Native PMKS'!$O$6:$O$366,D242)-INDEX('Native PMKS'!$O$6:$O$366,C242))*E242</f>
        <v>-11.586981894150412</v>
      </c>
    </row>
    <row r="243" spans="1:7" ht="18.95" customHeight="1">
      <c r="A243" s="1">
        <v>237</v>
      </c>
      <c r="B243" s="6">
        <f>TimeStep!G243</f>
        <v>1980.5013927576601</v>
      </c>
      <c r="C243" s="6">
        <f>MIN(MATCH(B243,'Native PMKS'!$C$6:$C$366,1),360)</f>
        <v>238</v>
      </c>
      <c r="D243" s="6">
        <f t="shared" si="3"/>
        <v>239</v>
      </c>
      <c r="E243" s="6">
        <f>(B243-INDEX('Native PMKS'!$C$6:$C$366,C243))/(INDEX('Native PMKS'!$C$6:$C$366,D243)-INDEX('Native PMKS'!$C$6:$C$366,C243))</f>
        <v>0.66016713091919577</v>
      </c>
      <c r="F243" s="6">
        <f>INDEX('Native PMKS'!$N$6:$N$366,C243)+(INDEX('Native PMKS'!$N$6:$N$366,D243)-INDEX('Native PMKS'!$N$6:$N$366,C243))*E243</f>
        <v>45.741472423398328</v>
      </c>
      <c r="G243" s="6">
        <f>INDEX('Native PMKS'!$O$6:$O$366,C243)+(INDEX('Native PMKS'!$O$6:$O$366,D243)-INDEX('Native PMKS'!$O$6:$O$366,C243))*E243</f>
        <v>-12.219003342618368</v>
      </c>
    </row>
    <row r="244" spans="1:7" ht="18.95" customHeight="1">
      <c r="A244" s="1">
        <v>238</v>
      </c>
      <c r="B244" s="6">
        <f>TimeStep!G244</f>
        <v>1988.857938718663</v>
      </c>
      <c r="C244" s="6">
        <f>MIN(MATCH(B244,'Native PMKS'!$C$6:$C$366,1),360)</f>
        <v>239</v>
      </c>
      <c r="D244" s="6">
        <f t="shared" si="3"/>
        <v>240</v>
      </c>
      <c r="E244" s="6">
        <f>(B244-INDEX('Native PMKS'!$C$6:$C$366,C244))/(INDEX('Native PMKS'!$C$6:$C$366,D244)-INDEX('Native PMKS'!$C$6:$C$366,C244))</f>
        <v>0.66295264623955208</v>
      </c>
      <c r="F244" s="6">
        <f>INDEX('Native PMKS'!$N$6:$N$366,C244)+(INDEX('Native PMKS'!$N$6:$N$366,D244)-INDEX('Native PMKS'!$N$6:$N$366,C244))*E244</f>
        <v>45.646025626740943</v>
      </c>
      <c r="G244" s="6">
        <f>INDEX('Native PMKS'!$O$6:$O$366,C244)+(INDEX('Native PMKS'!$O$6:$O$366,D244)-INDEX('Native PMKS'!$O$6:$O$366,C244))*E244</f>
        <v>-12.850992757660165</v>
      </c>
    </row>
    <row r="245" spans="1:7" ht="18.95" customHeight="1">
      <c r="A245" s="1">
        <v>239</v>
      </c>
      <c r="B245" s="6">
        <f>TimeStep!G245</f>
        <v>1997.2144846796657</v>
      </c>
      <c r="C245" s="6">
        <f>MIN(MATCH(B245,'Native PMKS'!$C$6:$C$366,1),360)</f>
        <v>240</v>
      </c>
      <c r="D245" s="6">
        <f t="shared" si="3"/>
        <v>241</v>
      </c>
      <c r="E245" s="6">
        <f>(B245-INDEX('Native PMKS'!$C$6:$C$366,C245))/(INDEX('Native PMKS'!$C$6:$C$366,D245)-INDEX('Native PMKS'!$C$6:$C$366,C245))</f>
        <v>0.6657381615598631</v>
      </c>
      <c r="F245" s="6">
        <f>INDEX('Native PMKS'!$N$6:$N$366,C245)+(INDEX('Native PMKS'!$N$6:$N$366,D245)-INDEX('Native PMKS'!$N$6:$N$366,C245))*E245</f>
        <v>45.569253203342619</v>
      </c>
      <c r="G245" s="6">
        <f>INDEX('Native PMKS'!$O$6:$O$366,C245)+(INDEX('Native PMKS'!$O$6:$O$366,D245)-INDEX('Native PMKS'!$O$6:$O$366,C245))*E245</f>
        <v>-13.483014763231182</v>
      </c>
    </row>
    <row r="246" spans="1:7" ht="18.95" customHeight="1">
      <c r="A246" s="1">
        <v>240</v>
      </c>
      <c r="B246" s="6">
        <f>TimeStep!G246</f>
        <v>2005.5710306406686</v>
      </c>
      <c r="C246" s="6">
        <f>MIN(MATCH(B246,'Native PMKS'!$C$6:$C$366,1),360)</f>
        <v>241</v>
      </c>
      <c r="D246" s="6">
        <f t="shared" si="3"/>
        <v>242</v>
      </c>
      <c r="E246" s="6">
        <f>(B246-INDEX('Native PMKS'!$C$6:$C$366,C246))/(INDEX('Native PMKS'!$C$6:$C$366,D246)-INDEX('Native PMKS'!$C$6:$C$366,C246))</f>
        <v>0.6685236768802103</v>
      </c>
      <c r="F246" s="6">
        <f>INDEX('Native PMKS'!$N$6:$N$366,C246)+(INDEX('Native PMKS'!$N$6:$N$366,D246)-INDEX('Native PMKS'!$N$6:$N$366,C246))*E246</f>
        <v>45.435247632311984</v>
      </c>
      <c r="G246" s="6">
        <f>INDEX('Native PMKS'!$O$6:$O$366,C246)+(INDEX('Native PMKS'!$O$6:$O$366,D246)-INDEX('Native PMKS'!$O$6:$O$366,C246))*E246</f>
        <v>-14.115003621169908</v>
      </c>
    </row>
    <row r="247" spans="1:7" ht="18.95" customHeight="1">
      <c r="A247" s="1">
        <v>241</v>
      </c>
      <c r="B247" s="6">
        <f>TimeStep!G247</f>
        <v>2013.9275766016713</v>
      </c>
      <c r="C247" s="6">
        <f>MIN(MATCH(B247,'Native PMKS'!$C$6:$C$366,1),360)</f>
        <v>242</v>
      </c>
      <c r="D247" s="6">
        <f t="shared" si="3"/>
        <v>243</v>
      </c>
      <c r="E247" s="6">
        <f>(B247-INDEX('Native PMKS'!$C$6:$C$366,C247))/(INDEX('Native PMKS'!$C$6:$C$366,D247)-INDEX('Native PMKS'!$C$6:$C$366,C247))</f>
        <v>0.67130919220053942</v>
      </c>
      <c r="F247" s="6">
        <f>INDEX('Native PMKS'!$N$6:$N$366,C247)+(INDEX('Native PMKS'!$N$6:$N$366,D247)-INDEX('Native PMKS'!$N$6:$N$366,C247))*E247</f>
        <v>45.301367966573821</v>
      </c>
      <c r="G247" s="6">
        <f>INDEX('Native PMKS'!$O$6:$O$366,C247)+(INDEX('Native PMKS'!$O$6:$O$366,D247)-INDEX('Native PMKS'!$O$6:$O$366,C247))*E247</f>
        <v>-14.747026183844</v>
      </c>
    </row>
    <row r="248" spans="1:7" ht="18.95" customHeight="1">
      <c r="A248" s="1">
        <v>242</v>
      </c>
      <c r="B248" s="6">
        <f>TimeStep!G248</f>
        <v>2022.2841225626742</v>
      </c>
      <c r="C248" s="6">
        <f>MIN(MATCH(B248,'Native PMKS'!$C$6:$C$366,1),360)</f>
        <v>243</v>
      </c>
      <c r="D248" s="6">
        <f t="shared" si="3"/>
        <v>244</v>
      </c>
      <c r="E248" s="6">
        <f>(B248-INDEX('Native PMKS'!$C$6:$C$366,C248))/(INDEX('Native PMKS'!$C$6:$C$366,D248)-INDEX('Native PMKS'!$C$6:$C$366,C248))</f>
        <v>0.67409470752087741</v>
      </c>
      <c r="F248" s="6">
        <f>INDEX('Native PMKS'!$N$6:$N$366,C248)+(INDEX('Native PMKS'!$N$6:$N$366,D248)-INDEX('Native PMKS'!$N$6:$N$366,C248))*E248</f>
        <v>45.147823119777158</v>
      </c>
      <c r="G248" s="6">
        <f>INDEX('Native PMKS'!$O$6:$O$366,C248)+(INDEX('Native PMKS'!$O$6:$O$366,D248)-INDEX('Native PMKS'!$O$6:$O$366,C248))*E248</f>
        <v>-15.340456267409463</v>
      </c>
    </row>
    <row r="249" spans="1:7" ht="18.95" customHeight="1">
      <c r="A249" s="1">
        <v>243</v>
      </c>
      <c r="B249" s="6">
        <f>TimeStep!G249</f>
        <v>2030.6406685236768</v>
      </c>
      <c r="C249" s="6">
        <f>MIN(MATCH(B249,'Native PMKS'!$C$6:$C$366,1),360)</f>
        <v>244</v>
      </c>
      <c r="D249" s="6">
        <f t="shared" si="3"/>
        <v>245</v>
      </c>
      <c r="E249" s="6">
        <f>(B249-INDEX('Native PMKS'!$C$6:$C$366,C249))/(INDEX('Native PMKS'!$C$6:$C$366,D249)-INDEX('Native PMKS'!$C$6:$C$366,C249))</f>
        <v>0.67688022284119753</v>
      </c>
      <c r="F249" s="6">
        <f>INDEX('Native PMKS'!$N$6:$N$366,C249)+(INDEX('Native PMKS'!$N$6:$N$366,D249)-INDEX('Native PMKS'!$N$6:$N$366,C249))*E249</f>
        <v>45.014229526462401</v>
      </c>
      <c r="G249" s="6">
        <f>INDEX('Native PMKS'!$O$6:$O$366,C249)+(INDEX('Native PMKS'!$O$6:$O$366,D249)-INDEX('Native PMKS'!$O$6:$O$366,C249))*E249</f>
        <v>-15.953769916434522</v>
      </c>
    </row>
    <row r="250" spans="1:7" ht="18.95" customHeight="1">
      <c r="A250" s="1">
        <v>244</v>
      </c>
      <c r="B250" s="6">
        <f>TimeStep!G250</f>
        <v>2038.9972144846797</v>
      </c>
      <c r="C250" s="6">
        <f>MIN(MATCH(B250,'Native PMKS'!$C$6:$C$366,1),360)</f>
        <v>245</v>
      </c>
      <c r="D250" s="6">
        <f t="shared" si="3"/>
        <v>246</v>
      </c>
      <c r="E250" s="6">
        <f>(B250-INDEX('Native PMKS'!$C$6:$C$366,C250))/(INDEX('Native PMKS'!$C$6:$C$366,D250)-INDEX('Native PMKS'!$C$6:$C$366,C250))</f>
        <v>0.67966573816155396</v>
      </c>
      <c r="F250" s="6">
        <f>INDEX('Native PMKS'!$N$6:$N$366,C250)+(INDEX('Native PMKS'!$N$6:$N$366,D250)-INDEX('Native PMKS'!$N$6:$N$366,C250))*E250</f>
        <v>44.82142061281337</v>
      </c>
      <c r="G250" s="6">
        <f>INDEX('Native PMKS'!$O$6:$O$366,C250)+(INDEX('Native PMKS'!$O$6:$O$366,D250)-INDEX('Native PMKS'!$O$6:$O$366,C250))*E250</f>
        <v>-16.585793314763229</v>
      </c>
    </row>
    <row r="251" spans="1:7" ht="18.95" customHeight="1">
      <c r="A251" s="1">
        <v>245</v>
      </c>
      <c r="B251" s="6">
        <f>TimeStep!G251</f>
        <v>2047.3537604456824</v>
      </c>
      <c r="C251" s="6">
        <f>MIN(MATCH(B251,'Native PMKS'!$C$6:$C$366,1),360)</f>
        <v>246</v>
      </c>
      <c r="D251" s="6">
        <f t="shared" si="3"/>
        <v>247</v>
      </c>
      <c r="E251" s="6">
        <f>(B251-INDEX('Native PMKS'!$C$6:$C$366,C251))/(INDEX('Native PMKS'!$C$6:$C$366,D251)-INDEX('Native PMKS'!$C$6:$C$366,C251))</f>
        <v>0.68245125348188307</v>
      </c>
      <c r="F251" s="6">
        <f>INDEX('Native PMKS'!$N$6:$N$366,C251)+(INDEX('Native PMKS'!$N$6:$N$366,D251)-INDEX('Native PMKS'!$N$6:$N$366,C251))*E251</f>
        <v>44.630686629526458</v>
      </c>
      <c r="G251" s="6">
        <f>INDEX('Native PMKS'!$O$6:$O$366,C251)+(INDEX('Native PMKS'!$O$6:$O$366,D251)-INDEX('Native PMKS'!$O$6:$O$366,C251))*E251</f>
        <v>-17.217780779944281</v>
      </c>
    </row>
    <row r="252" spans="1:7" ht="18.95" customHeight="1">
      <c r="A252" s="1">
        <v>246</v>
      </c>
      <c r="B252" s="6">
        <f>TimeStep!G252</f>
        <v>2055.710306406685</v>
      </c>
      <c r="C252" s="6">
        <f>MIN(MATCH(B252,'Native PMKS'!$C$6:$C$366,1),360)</f>
        <v>247</v>
      </c>
      <c r="D252" s="6">
        <f t="shared" si="3"/>
        <v>248</v>
      </c>
      <c r="E252" s="6">
        <f>(B252-INDEX('Native PMKS'!$C$6:$C$366,C252))/(INDEX('Native PMKS'!$C$6:$C$366,D252)-INDEX('Native PMKS'!$C$6:$C$366,C252))</f>
        <v>0.68523676880219342</v>
      </c>
      <c r="F252" s="6">
        <f>INDEX('Native PMKS'!$N$6:$N$366,C252)+(INDEX('Native PMKS'!$N$6:$N$366,D252)-INDEX('Native PMKS'!$N$6:$N$366,C252))*E252</f>
        <v>44.419043732590538</v>
      </c>
      <c r="G252" s="6">
        <f>INDEX('Native PMKS'!$O$6:$O$366,C252)+(INDEX('Native PMKS'!$O$6:$O$366,D252)-INDEX('Native PMKS'!$O$6:$O$366,C252))*E252</f>
        <v>-17.810540668523657</v>
      </c>
    </row>
    <row r="253" spans="1:7" ht="18.95" customHeight="1">
      <c r="A253" s="1">
        <v>247</v>
      </c>
      <c r="B253" s="6">
        <f>TimeStep!G253</f>
        <v>2064.0668523676882</v>
      </c>
      <c r="C253" s="6">
        <f>MIN(MATCH(B253,'Native PMKS'!$C$6:$C$366,1),360)</f>
        <v>248</v>
      </c>
      <c r="D253" s="6">
        <f t="shared" si="3"/>
        <v>249</v>
      </c>
      <c r="E253" s="6">
        <f>(B253-INDEX('Native PMKS'!$C$6:$C$366,C253))/(INDEX('Native PMKS'!$C$6:$C$366,D253)-INDEX('Native PMKS'!$C$6:$C$366,C253))</f>
        <v>0.68802228412254973</v>
      </c>
      <c r="F253" s="6">
        <f>INDEX('Native PMKS'!$N$6:$N$366,C253)+(INDEX('Native PMKS'!$N$6:$N$366,D253)-INDEX('Native PMKS'!$N$6:$N$366,C253))*E253</f>
        <v>44.189274094707528</v>
      </c>
      <c r="G253" s="6">
        <f>INDEX('Native PMKS'!$O$6:$O$366,C253)+(INDEX('Native PMKS'!$O$6:$O$366,D253)-INDEX('Native PMKS'!$O$6:$O$366,C253))*E253</f>
        <v>-18.424491643454029</v>
      </c>
    </row>
    <row r="254" spans="1:7" ht="18.95" customHeight="1">
      <c r="A254" s="1">
        <v>248</v>
      </c>
      <c r="B254" s="6">
        <f>TimeStep!G254</f>
        <v>2072.4233983286908</v>
      </c>
      <c r="C254" s="6">
        <f>MIN(MATCH(B254,'Native PMKS'!$C$6:$C$366,1),360)</f>
        <v>249</v>
      </c>
      <c r="D254" s="6">
        <f t="shared" si="3"/>
        <v>250</v>
      </c>
      <c r="E254" s="6">
        <f>(B254-INDEX('Native PMKS'!$C$6:$C$366,C254))/(INDEX('Native PMKS'!$C$6:$C$366,D254)-INDEX('Native PMKS'!$C$6:$C$366,C254))</f>
        <v>0.69080779944288917</v>
      </c>
      <c r="F254" s="6">
        <f>INDEX('Native PMKS'!$N$6:$N$366,C254)+(INDEX('Native PMKS'!$N$6:$N$366,D254)-INDEX('Native PMKS'!$N$6:$N$366,C254))*E254</f>
        <v>43.95946685236769</v>
      </c>
      <c r="G254" s="6">
        <f>INDEX('Native PMKS'!$O$6:$O$366,C254)+(INDEX('Native PMKS'!$O$6:$O$366,D254)-INDEX('Native PMKS'!$O$6:$O$366,C254))*E254</f>
        <v>-19.056516155988852</v>
      </c>
    </row>
    <row r="255" spans="1:7" ht="18.95" customHeight="1">
      <c r="A255" s="1">
        <v>249</v>
      </c>
      <c r="B255" s="6">
        <f>TimeStep!G255</f>
        <v>2080.7799442896935</v>
      </c>
      <c r="C255" s="6">
        <f>MIN(MATCH(B255,'Native PMKS'!$C$6:$C$366,1),360)</f>
        <v>250</v>
      </c>
      <c r="D255" s="6">
        <f t="shared" si="3"/>
        <v>251</v>
      </c>
      <c r="E255" s="6">
        <f>(B255-INDEX('Native PMKS'!$C$6:$C$366,C255))/(INDEX('Native PMKS'!$C$6:$C$366,D255)-INDEX('Native PMKS'!$C$6:$C$366,C255))</f>
        <v>0.69359331476320774</v>
      </c>
      <c r="F255" s="6">
        <f>INDEX('Native PMKS'!$N$6:$N$366,C255)+(INDEX('Native PMKS'!$N$6:$N$366,D255)-INDEX('Native PMKS'!$N$6:$N$366,C255))*E255</f>
        <v>43.729628412256268</v>
      </c>
      <c r="G255" s="6">
        <f>INDEX('Native PMKS'!$O$6:$O$366,C255)+(INDEX('Native PMKS'!$O$6:$O$366,D255)-INDEX('Native PMKS'!$O$6:$O$366,C255))*E255</f>
        <v>-19.648759610027842</v>
      </c>
    </row>
    <row r="256" spans="1:7" ht="18.95" customHeight="1">
      <c r="A256" s="1">
        <v>250</v>
      </c>
      <c r="B256" s="6">
        <f>TimeStep!G256</f>
        <v>2089.1364902506962</v>
      </c>
      <c r="C256" s="6">
        <f>MIN(MATCH(B256,'Native PMKS'!$C$6:$C$366,1),360)</f>
        <v>251</v>
      </c>
      <c r="D256" s="6">
        <f t="shared" si="3"/>
        <v>252</v>
      </c>
      <c r="E256" s="6">
        <f>(B256-INDEX('Native PMKS'!$C$6:$C$366,C256))/(INDEX('Native PMKS'!$C$6:$C$366,D256)-INDEX('Native PMKS'!$C$6:$C$366,C256))</f>
        <v>0.69637883008350954</v>
      </c>
      <c r="F256" s="6">
        <f>INDEX('Native PMKS'!$N$6:$N$366,C256)+(INDEX('Native PMKS'!$N$6:$N$366,D256)-INDEX('Native PMKS'!$N$6:$N$366,C256))*E256</f>
        <v>43.459887465181076</v>
      </c>
      <c r="G256" s="6">
        <f>INDEX('Native PMKS'!$O$6:$O$366,C256)+(INDEX('Native PMKS'!$O$6:$O$366,D256)-INDEX('Native PMKS'!$O$6:$O$366,C256))*E256</f>
        <v>-20.263227576601636</v>
      </c>
    </row>
    <row r="257" spans="1:7" ht="18.95" customHeight="1">
      <c r="A257" s="1">
        <v>251</v>
      </c>
      <c r="B257" s="6">
        <f>TimeStep!G257</f>
        <v>2097.4930362116993</v>
      </c>
      <c r="C257" s="6">
        <f>MIN(MATCH(B257,'Native PMKS'!$C$6:$C$366,1),360)</f>
        <v>252</v>
      </c>
      <c r="D257" s="6">
        <f t="shared" si="3"/>
        <v>253</v>
      </c>
      <c r="E257" s="6">
        <f>(B257-INDEX('Native PMKS'!$C$6:$C$366,C257))/(INDEX('Native PMKS'!$C$6:$C$366,D257)-INDEX('Native PMKS'!$C$6:$C$366,C257))</f>
        <v>0.69916434540390393</v>
      </c>
      <c r="F257" s="6">
        <f>INDEX('Native PMKS'!$N$6:$N$366,C257)+(INDEX('Native PMKS'!$N$6:$N$366,D257)-INDEX('Native PMKS'!$N$6:$N$366,C257))*E257</f>
        <v>43.172589415041777</v>
      </c>
      <c r="G257" s="6">
        <f>INDEX('Native PMKS'!$O$6:$O$366,C257)+(INDEX('Native PMKS'!$O$6:$O$366,D257)-INDEX('Native PMKS'!$O$6:$O$366,C257))*E257</f>
        <v>-20.895213370473542</v>
      </c>
    </row>
    <row r="258" spans="1:7" ht="18.95" customHeight="1">
      <c r="A258" s="1">
        <v>252</v>
      </c>
      <c r="B258" s="6">
        <f>TimeStep!G258</f>
        <v>2105.849582172702</v>
      </c>
      <c r="C258" s="6">
        <f>MIN(MATCH(B258,'Native PMKS'!$C$6:$C$366,1),360)</f>
        <v>253</v>
      </c>
      <c r="D258" s="6">
        <f t="shared" si="3"/>
        <v>254</v>
      </c>
      <c r="E258" s="6">
        <f>(B258-INDEX('Native PMKS'!$C$6:$C$366,C258))/(INDEX('Native PMKS'!$C$6:$C$366,D258)-INDEX('Native PMKS'!$C$6:$C$366,C258))</f>
        <v>0.70194986072422216</v>
      </c>
      <c r="F258" s="6">
        <f>INDEX('Native PMKS'!$N$6:$N$366,C258)+(INDEX('Native PMKS'!$N$6:$N$366,D258)-INDEX('Native PMKS'!$N$6:$N$366,C258))*E258</f>
        <v>42.885291364902507</v>
      </c>
      <c r="G258" s="6">
        <f>INDEX('Native PMKS'!$O$6:$O$366,C258)+(INDEX('Native PMKS'!$O$6:$O$366,D258)-INDEX('Native PMKS'!$O$6:$O$366,C258))*E258</f>
        <v>-21.487017270194983</v>
      </c>
    </row>
    <row r="259" spans="1:7" ht="18.95" customHeight="1">
      <c r="A259" s="1">
        <v>253</v>
      </c>
      <c r="B259" s="6">
        <f>TimeStep!G259</f>
        <v>2114.2061281337046</v>
      </c>
      <c r="C259" s="6">
        <f>MIN(MATCH(B259,'Native PMKS'!$C$6:$C$366,1),360)</f>
        <v>254</v>
      </c>
      <c r="D259" s="6">
        <f t="shared" si="3"/>
        <v>255</v>
      </c>
      <c r="E259" s="6">
        <f>(B259-INDEX('Native PMKS'!$C$6:$C$366,C259))/(INDEX('Native PMKS'!$C$6:$C$366,D259)-INDEX('Native PMKS'!$C$6:$C$366,C259))</f>
        <v>0.70473537604452385</v>
      </c>
      <c r="F259" s="6">
        <f>INDEX('Native PMKS'!$N$6:$N$366,C259)+(INDEX('Native PMKS'!$N$6:$N$366,D259)-INDEX('Native PMKS'!$N$6:$N$366,C259))*E259</f>
        <v>42.598063788300848</v>
      </c>
      <c r="G259" s="6">
        <f>INDEX('Native PMKS'!$O$6:$O$366,C259)+(INDEX('Native PMKS'!$O$6:$O$366,D259)-INDEX('Native PMKS'!$O$6:$O$366,C259))*E259</f>
        <v>-22.101994707520863</v>
      </c>
    </row>
    <row r="260" spans="1:7" ht="18.95" customHeight="1">
      <c r="A260" s="1">
        <v>254</v>
      </c>
      <c r="B260" s="6">
        <f>TimeStep!G260</f>
        <v>2122.5626740947073</v>
      </c>
      <c r="C260" s="6">
        <f>MIN(MATCH(B260,'Native PMKS'!$C$6:$C$366,1),360)</f>
        <v>255</v>
      </c>
      <c r="D260" s="6">
        <f t="shared" si="3"/>
        <v>256</v>
      </c>
      <c r="E260" s="6">
        <f>(B260-INDEX('Native PMKS'!$C$6:$C$366,C260))/(INDEX('Native PMKS'!$C$6:$C$366,D260)-INDEX('Native PMKS'!$C$6:$C$366,C260))</f>
        <v>0.70752089136486418</v>
      </c>
      <c r="F260" s="6">
        <f>INDEX('Native PMKS'!$N$6:$N$366,C260)+(INDEX('Native PMKS'!$N$6:$N$366,D260)-INDEX('Native PMKS'!$N$6:$N$366,C260))*E260</f>
        <v>42.270254317548762</v>
      </c>
      <c r="G260" s="6">
        <f>INDEX('Native PMKS'!$O$6:$O$366,C260)+(INDEX('Native PMKS'!$O$6:$O$366,D260)-INDEX('Native PMKS'!$O$6:$O$366,C260))*E260</f>
        <v>-22.733979665738136</v>
      </c>
    </row>
    <row r="261" spans="1:7" ht="18.95" customHeight="1">
      <c r="A261" s="1">
        <v>255</v>
      </c>
      <c r="B261" s="6">
        <f>TimeStep!G261</f>
        <v>2130.9192200557104</v>
      </c>
      <c r="C261" s="6">
        <f>MIN(MATCH(B261,'Native PMKS'!$C$6:$C$366,1),360)</f>
        <v>256</v>
      </c>
      <c r="D261" s="6">
        <f t="shared" si="3"/>
        <v>257</v>
      </c>
      <c r="E261" s="6">
        <f>(B261-INDEX('Native PMKS'!$C$6:$C$366,C261))/(INDEX('Native PMKS'!$C$6:$C$366,D261)-INDEX('Native PMKS'!$C$6:$C$366,C261))</f>
        <v>0.71030640668523648</v>
      </c>
      <c r="F261" s="6">
        <f>INDEX('Native PMKS'!$N$6:$N$366,C261)+(INDEX('Native PMKS'!$N$6:$N$366,D261)-INDEX('Native PMKS'!$N$6:$N$366,C261))*E261</f>
        <v>41.925496657381615</v>
      </c>
      <c r="G261" s="6">
        <f>INDEX('Native PMKS'!$O$6:$O$366,C261)+(INDEX('Native PMKS'!$O$6:$O$366,D261)-INDEX('Native PMKS'!$O$6:$O$366,C261))*E261</f>
        <v>-23.366006128133705</v>
      </c>
    </row>
    <row r="262" spans="1:7" ht="18.95" customHeight="1">
      <c r="A262" s="1">
        <v>256</v>
      </c>
      <c r="B262" s="6">
        <f>TimeStep!G262</f>
        <v>2139.2757660167131</v>
      </c>
      <c r="C262" s="6">
        <f>MIN(MATCH(B262,'Native PMKS'!$C$6:$C$366,1),360)</f>
        <v>257</v>
      </c>
      <c r="D262" s="6">
        <f t="shared" ref="D262:D325" si="4">C262+1</f>
        <v>258</v>
      </c>
      <c r="E262" s="6">
        <f>(B262-INDEX('Native PMKS'!$C$6:$C$366,C262))/(INDEX('Native PMKS'!$C$6:$C$366,D262)-INDEX('Native PMKS'!$C$6:$C$366,C262))</f>
        <v>0.71309192200553817</v>
      </c>
      <c r="F262" s="6">
        <f>INDEX('Native PMKS'!$N$6:$N$366,C262)+(INDEX('Native PMKS'!$N$6:$N$366,D262)-INDEX('Native PMKS'!$N$6:$N$366,C262))*E262</f>
        <v>41.539878830083573</v>
      </c>
      <c r="G262" s="6">
        <f>INDEX('Native PMKS'!$O$6:$O$366,C262)+(INDEX('Native PMKS'!$O$6:$O$366,D262)-INDEX('Native PMKS'!$O$6:$O$366,C262))*E262</f>
        <v>-23.99799052924789</v>
      </c>
    </row>
    <row r="263" spans="1:7" ht="18.95" customHeight="1">
      <c r="A263" s="1">
        <v>257</v>
      </c>
      <c r="B263" s="6">
        <f>TimeStep!G263</f>
        <v>2147.6323119777157</v>
      </c>
      <c r="C263" s="6">
        <f>MIN(MATCH(B263,'Native PMKS'!$C$6:$C$366,1),360)</f>
        <v>258</v>
      </c>
      <c r="D263" s="6">
        <f t="shared" si="4"/>
        <v>259</v>
      </c>
      <c r="E263" s="6">
        <f>(B263-INDEX('Native PMKS'!$C$6:$C$366,C263))/(INDEX('Native PMKS'!$C$6:$C$366,D263)-INDEX('Native PMKS'!$C$6:$C$366,C263))</f>
        <v>0.71587743732587894</v>
      </c>
      <c r="F263" s="6">
        <f>INDEX('Native PMKS'!$N$6:$N$366,C263)+(INDEX('Native PMKS'!$N$6:$N$366,D263)-INDEX('Native PMKS'!$N$6:$N$366,C263))*E263</f>
        <v>41.178752924791091</v>
      </c>
      <c r="G263" s="6">
        <f>INDEX('Native PMKS'!$O$6:$O$366,C263)+(INDEX('Native PMKS'!$O$6:$O$366,D263)-INDEX('Native PMKS'!$O$6:$O$366,C263))*E263</f>
        <v>-24.588997771587728</v>
      </c>
    </row>
    <row r="264" spans="1:7" ht="18.95" customHeight="1">
      <c r="A264" s="1">
        <v>258</v>
      </c>
      <c r="B264" s="6">
        <f>TimeStep!G264</f>
        <v>2155.9888579387189</v>
      </c>
      <c r="C264" s="6">
        <f>MIN(MATCH(B264,'Native PMKS'!$C$6:$C$366,1),360)</f>
        <v>259</v>
      </c>
      <c r="D264" s="6">
        <f t="shared" si="4"/>
        <v>260</v>
      </c>
      <c r="E264" s="6">
        <f>(B264-INDEX('Native PMKS'!$C$6:$C$366,C264))/(INDEX('Native PMKS'!$C$6:$C$366,D264)-INDEX('Native PMKS'!$C$6:$C$366,C264))</f>
        <v>0.7186629526462508</v>
      </c>
      <c r="F264" s="6">
        <f>INDEX('Native PMKS'!$N$6:$N$366,C264)+(INDEX('Native PMKS'!$N$6:$N$366,D264)-INDEX('Native PMKS'!$N$6:$N$366,C264))*E264</f>
        <v>40.792844289693591</v>
      </c>
      <c r="G264" s="6">
        <f>INDEX('Native PMKS'!$O$6:$O$366,C264)+(INDEX('Native PMKS'!$O$6:$O$366,D264)-INDEX('Native PMKS'!$O$6:$O$366,C264))*E264</f>
        <v>-25.204701392757666</v>
      </c>
    </row>
    <row r="265" spans="1:7" ht="18.95" customHeight="1">
      <c r="A265" s="1">
        <v>259</v>
      </c>
      <c r="B265" s="6">
        <f>TimeStep!G265</f>
        <v>2164.3454038997215</v>
      </c>
      <c r="C265" s="6">
        <f>MIN(MATCH(B265,'Native PMKS'!$C$6:$C$366,1),360)</f>
        <v>260</v>
      </c>
      <c r="D265" s="6">
        <f t="shared" si="4"/>
        <v>261</v>
      </c>
      <c r="E265" s="6">
        <f>(B265-INDEX('Native PMKS'!$C$6:$C$366,C265))/(INDEX('Native PMKS'!$C$6:$C$366,D265)-INDEX('Native PMKS'!$C$6:$C$366,C265))</f>
        <v>0.72144846796655249</v>
      </c>
      <c r="F265" s="6">
        <f>INDEX('Native PMKS'!$N$6:$N$366,C265)+(INDEX('Native PMKS'!$N$6:$N$366,D265)-INDEX('Native PMKS'!$N$6:$N$366,C265))*E265</f>
        <v>40.390627019498616</v>
      </c>
      <c r="G265" s="6">
        <f>INDEX('Native PMKS'!$O$6:$O$366,C265)+(INDEX('Native PMKS'!$O$6:$O$366,D265)-INDEX('Native PMKS'!$O$6:$O$366,C265))*E265</f>
        <v>-25.836728969359317</v>
      </c>
    </row>
    <row r="266" spans="1:7" ht="18.95" customHeight="1">
      <c r="A266" s="1">
        <v>260</v>
      </c>
      <c r="B266" s="6">
        <f>TimeStep!G266</f>
        <v>2172.7019498607242</v>
      </c>
      <c r="C266" s="6">
        <f>MIN(MATCH(B266,'Native PMKS'!$C$6:$C$366,1),360)</f>
        <v>261</v>
      </c>
      <c r="D266" s="6">
        <f t="shared" si="4"/>
        <v>262</v>
      </c>
      <c r="E266" s="6">
        <f>(B266-INDEX('Native PMKS'!$C$6:$C$366,C266))/(INDEX('Native PMKS'!$C$6:$C$366,D266)-INDEX('Native PMKS'!$C$6:$C$366,C266))</f>
        <v>0.72423398328689381</v>
      </c>
      <c r="F266" s="6">
        <f>INDEX('Native PMKS'!$N$6:$N$366,C266)+(INDEX('Native PMKS'!$N$6:$N$366,D266)-INDEX('Native PMKS'!$N$6:$N$366,C266))*E266</f>
        <v>39.946983565459618</v>
      </c>
      <c r="G266" s="6">
        <f>INDEX('Native PMKS'!$O$6:$O$366,C266)+(INDEX('Native PMKS'!$O$6:$O$366,D266)-INDEX('Native PMKS'!$O$6:$O$366,C266))*E266</f>
        <v>-26.468712256267398</v>
      </c>
    </row>
    <row r="267" spans="1:7" ht="18.95" customHeight="1">
      <c r="A267" s="1">
        <v>261</v>
      </c>
      <c r="B267" s="6">
        <f>TimeStep!G267</f>
        <v>2181.0584958217269</v>
      </c>
      <c r="C267" s="6">
        <f>MIN(MATCH(B267,'Native PMKS'!$C$6:$C$366,1),360)</f>
        <v>262</v>
      </c>
      <c r="D267" s="6">
        <f t="shared" si="4"/>
        <v>263</v>
      </c>
      <c r="E267" s="6">
        <f>(B267-INDEX('Native PMKS'!$C$6:$C$366,C267))/(INDEX('Native PMKS'!$C$6:$C$366,D267)-INDEX('Native PMKS'!$C$6:$C$366,C267))</f>
        <v>0.7270194986072106</v>
      </c>
      <c r="F267" s="6">
        <f>INDEX('Native PMKS'!$N$6:$N$366,C267)+(INDEX('Native PMKS'!$N$6:$N$366,D267)-INDEX('Native PMKS'!$N$6:$N$366,C267))*E267</f>
        <v>39.528992479108645</v>
      </c>
      <c r="G267" s="6">
        <f>INDEX('Native PMKS'!$O$6:$O$366,C267)+(INDEX('Native PMKS'!$O$6:$O$366,D267)-INDEX('Native PMKS'!$O$6:$O$366,C267))*E267</f>
        <v>-27.100740389972124</v>
      </c>
    </row>
    <row r="268" spans="1:7" ht="18.95" customHeight="1">
      <c r="A268" s="1">
        <v>262</v>
      </c>
      <c r="B268" s="6">
        <f>TimeStep!G268</f>
        <v>2189.41504178273</v>
      </c>
      <c r="C268" s="6">
        <f>MIN(MATCH(B268,'Native PMKS'!$C$6:$C$366,1),360)</f>
        <v>263</v>
      </c>
      <c r="D268" s="6">
        <f t="shared" si="4"/>
        <v>264</v>
      </c>
      <c r="E268" s="6">
        <f>(B268-INDEX('Native PMKS'!$C$6:$C$366,C268))/(INDEX('Native PMKS'!$C$6:$C$366,D268)-INDEX('Native PMKS'!$C$6:$C$366,C268))</f>
        <v>0.72980501392756691</v>
      </c>
      <c r="F268" s="6">
        <f>INDEX('Native PMKS'!$N$6:$N$366,C268)+(INDEX('Native PMKS'!$N$6:$N$366,D268)-INDEX('Native PMKS'!$N$6:$N$366,C268))*E268</f>
        <v>39.084957381615602</v>
      </c>
      <c r="G268" s="6">
        <f>INDEX('Native PMKS'!$O$6:$O$366,C268)+(INDEX('Native PMKS'!$O$6:$O$366,D268)-INDEX('Native PMKS'!$O$6:$O$366,C268))*E268</f>
        <v>-27.732723119777152</v>
      </c>
    </row>
    <row r="269" spans="1:7" ht="18.95" customHeight="1">
      <c r="A269" s="1">
        <v>263</v>
      </c>
      <c r="B269" s="6">
        <f>TimeStep!G269</f>
        <v>2197.7715877437327</v>
      </c>
      <c r="C269" s="6">
        <f>MIN(MATCH(B269,'Native PMKS'!$C$6:$C$366,1),360)</f>
        <v>264</v>
      </c>
      <c r="D269" s="6">
        <f t="shared" si="4"/>
        <v>265</v>
      </c>
      <c r="E269" s="6">
        <f>(B269-INDEX('Native PMKS'!$C$6:$C$366,C269))/(INDEX('Native PMKS'!$C$6:$C$366,D269)-INDEX('Native PMKS'!$C$6:$C$366,C269))</f>
        <v>0.73259052924790857</v>
      </c>
      <c r="F269" s="6">
        <f>INDEX('Native PMKS'!$N$6:$N$366,C269)+(INDEX('Native PMKS'!$N$6:$N$366,D269)-INDEX('Native PMKS'!$N$6:$N$366,C269))*E269</f>
        <v>38.583376323119779</v>
      </c>
      <c r="G269" s="6">
        <f>INDEX('Native PMKS'!$O$6:$O$366,C269)+(INDEX('Native PMKS'!$O$6:$O$366,D269)-INDEX('Native PMKS'!$O$6:$O$366,C269))*E269</f>
        <v>-28.364751810584956</v>
      </c>
    </row>
    <row r="270" spans="1:7" ht="18.95" customHeight="1">
      <c r="A270" s="1">
        <v>264</v>
      </c>
      <c r="B270" s="6">
        <f>TimeStep!G270</f>
        <v>2206.1281337047353</v>
      </c>
      <c r="C270" s="6">
        <f>MIN(MATCH(B270,'Native PMKS'!$C$6:$C$366,1),360)</f>
        <v>265</v>
      </c>
      <c r="D270" s="6">
        <f t="shared" si="4"/>
        <v>266</v>
      </c>
      <c r="E270" s="6">
        <f>(B270-INDEX('Native PMKS'!$C$6:$C$366,C270))/(INDEX('Native PMKS'!$C$6:$C$366,D270)-INDEX('Native PMKS'!$C$6:$C$366,C270))</f>
        <v>0.73537604456822492</v>
      </c>
      <c r="F270" s="6">
        <f>INDEX('Native PMKS'!$N$6:$N$366,C270)+(INDEX('Native PMKS'!$N$6:$N$366,D270)-INDEX('Native PMKS'!$N$6:$N$366,C270))*E270</f>
        <v>38.108403621169927</v>
      </c>
      <c r="G270" s="6">
        <f>INDEX('Native PMKS'!$O$6:$O$366,C270)+(INDEX('Native PMKS'!$O$6:$O$366,D270)-INDEX('Native PMKS'!$O$6:$O$366,C270))*E270</f>
        <v>-29.038871030640657</v>
      </c>
    </row>
    <row r="271" spans="1:7" ht="18.95" customHeight="1">
      <c r="A271" s="1">
        <v>265</v>
      </c>
      <c r="B271" s="6">
        <f>TimeStep!G271</f>
        <v>2214.484679665738</v>
      </c>
      <c r="C271" s="6">
        <f>MIN(MATCH(B271,'Native PMKS'!$C$6:$C$366,1),360)</f>
        <v>266</v>
      </c>
      <c r="D271" s="6">
        <f t="shared" si="4"/>
        <v>267</v>
      </c>
      <c r="E271" s="6">
        <f>(B271-INDEX('Native PMKS'!$C$6:$C$366,C271))/(INDEX('Native PMKS'!$C$6:$C$366,D271)-INDEX('Native PMKS'!$C$6:$C$366,C271))</f>
        <v>0.73816155988852661</v>
      </c>
      <c r="F271" s="6">
        <f>INDEX('Native PMKS'!$N$6:$N$366,C271)+(INDEX('Native PMKS'!$N$6:$N$366,D271)-INDEX('Native PMKS'!$N$6:$N$366,C271))*E271</f>
        <v>37.606430083565485</v>
      </c>
      <c r="G271" s="6">
        <f>INDEX('Native PMKS'!$O$6:$O$366,C271)+(INDEX('Native PMKS'!$O$6:$O$366,D271)-INDEX('Native PMKS'!$O$6:$O$366,C271))*E271</f>
        <v>-29.686063231197739</v>
      </c>
    </row>
    <row r="272" spans="1:7" ht="18.95" customHeight="1">
      <c r="A272" s="1">
        <v>266</v>
      </c>
      <c r="B272" s="6">
        <f>TimeStep!G272</f>
        <v>2222.8412256267411</v>
      </c>
      <c r="C272" s="6">
        <f>MIN(MATCH(B272,'Native PMKS'!$C$6:$C$366,1),360)</f>
        <v>267</v>
      </c>
      <c r="D272" s="6">
        <f t="shared" si="4"/>
        <v>268</v>
      </c>
      <c r="E272" s="6">
        <f>(B272-INDEX('Native PMKS'!$C$6:$C$366,C272))/(INDEX('Native PMKS'!$C$6:$C$366,D272)-INDEX('Native PMKS'!$C$6:$C$366,C272))</f>
        <v>0.74094707520892333</v>
      </c>
      <c r="F272" s="6">
        <f>INDEX('Native PMKS'!$N$6:$N$366,C272)+(INDEX('Native PMKS'!$N$6:$N$366,D272)-INDEX('Native PMKS'!$N$6:$N$366,C272))*E272</f>
        <v>37.089367688022286</v>
      </c>
      <c r="G272" s="6">
        <f>INDEX('Native PMKS'!$O$6:$O$366,C272)+(INDEX('Native PMKS'!$O$6:$O$366,D272)-INDEX('Native PMKS'!$O$6:$O$366,C272))*E272</f>
        <v>-30.318118941504185</v>
      </c>
    </row>
    <row r="273" spans="1:7" ht="18.95" customHeight="1">
      <c r="A273" s="1">
        <v>267</v>
      </c>
      <c r="B273" s="6">
        <f>TimeStep!G273</f>
        <v>2231.1977715877438</v>
      </c>
      <c r="C273" s="6">
        <f>MIN(MATCH(B273,'Native PMKS'!$C$6:$C$366,1),360)</f>
        <v>268</v>
      </c>
      <c r="D273" s="6">
        <f t="shared" si="4"/>
        <v>269</v>
      </c>
      <c r="E273" s="6">
        <f>(B273-INDEX('Native PMKS'!$C$6:$C$366,C273))/(INDEX('Native PMKS'!$C$6:$C$366,D273)-INDEX('Native PMKS'!$C$6:$C$366,C273))</f>
        <v>0.74373259052923923</v>
      </c>
      <c r="F273" s="6">
        <f>INDEX('Native PMKS'!$N$6:$N$366,C273)+(INDEX('Native PMKS'!$N$6:$N$366,D273)-INDEX('Native PMKS'!$N$6:$N$366,C273))*E273</f>
        <v>36.529641225626747</v>
      </c>
      <c r="G273" s="6">
        <f>INDEX('Native PMKS'!$O$6:$O$366,C273)+(INDEX('Native PMKS'!$O$6:$O$366,D273)-INDEX('Native PMKS'!$O$6:$O$366,C273))*E273</f>
        <v>-30.950100278551528</v>
      </c>
    </row>
    <row r="274" spans="1:7" ht="18.95" customHeight="1">
      <c r="A274" s="1">
        <v>268</v>
      </c>
      <c r="B274" s="6">
        <f>TimeStep!G274</f>
        <v>2239.5543175487464</v>
      </c>
      <c r="C274" s="6">
        <f>MIN(MATCH(B274,'Native PMKS'!$C$6:$C$366,1),360)</f>
        <v>269</v>
      </c>
      <c r="D274" s="6">
        <f t="shared" si="4"/>
        <v>270</v>
      </c>
      <c r="E274" s="6">
        <f>(B274-INDEX('Native PMKS'!$C$6:$C$366,C274))/(INDEX('Native PMKS'!$C$6:$C$366,D274)-INDEX('Native PMKS'!$C$6:$C$366,C274))</f>
        <v>0.74651810584954092</v>
      </c>
      <c r="F274" s="6">
        <f>INDEX('Native PMKS'!$N$6:$N$366,C274)+(INDEX('Native PMKS'!$N$6:$N$366,D274)-INDEX('Native PMKS'!$N$6:$N$366,C274))*E274</f>
        <v>35.955119777158799</v>
      </c>
      <c r="G274" s="6">
        <f>INDEX('Native PMKS'!$O$6:$O$366,C274)+(INDEX('Native PMKS'!$O$6:$O$366,D274)-INDEX('Native PMKS'!$O$6:$O$366,C274))*E274</f>
        <v>-31.624905849582145</v>
      </c>
    </row>
    <row r="275" spans="1:7" ht="18.95" customHeight="1">
      <c r="A275" s="1">
        <v>269</v>
      </c>
      <c r="B275" s="6">
        <f>TimeStep!G275</f>
        <v>2247.9108635097491</v>
      </c>
      <c r="C275" s="6">
        <f>MIN(MATCH(B275,'Native PMKS'!$C$6:$C$366,1),360)</f>
        <v>270</v>
      </c>
      <c r="D275" s="6">
        <f t="shared" si="4"/>
        <v>271</v>
      </c>
      <c r="E275" s="6">
        <f>(B275-INDEX('Native PMKS'!$C$6:$C$366,C275))/(INDEX('Native PMKS'!$C$6:$C$366,D275)-INDEX('Native PMKS'!$C$6:$C$366,C275))</f>
        <v>0.74930362116988358</v>
      </c>
      <c r="F275" s="6">
        <f>INDEX('Native PMKS'!$N$6:$N$366,C275)+(INDEX('Native PMKS'!$N$6:$N$366,D275)-INDEX('Native PMKS'!$N$6:$N$366,C275))*E275</f>
        <v>35.380549025069655</v>
      </c>
      <c r="G275" s="6">
        <f>INDEX('Native PMKS'!$O$6:$O$366,C275)+(INDEX('Native PMKS'!$O$6:$O$366,D275)-INDEX('Native PMKS'!$O$6:$O$366,C275))*E275</f>
        <v>-32.271411142061261</v>
      </c>
    </row>
    <row r="276" spans="1:7" ht="18.95" customHeight="1">
      <c r="A276" s="1">
        <v>270</v>
      </c>
      <c r="B276" s="6">
        <f>TimeStep!G276</f>
        <v>2256.2674094707522</v>
      </c>
      <c r="C276" s="6">
        <f>MIN(MATCH(B276,'Native PMKS'!$C$6:$C$366,1),360)</f>
        <v>271</v>
      </c>
      <c r="D276" s="6">
        <f t="shared" si="4"/>
        <v>272</v>
      </c>
      <c r="E276" s="6">
        <f>(B276-INDEX('Native PMKS'!$C$6:$C$366,C276))/(INDEX('Native PMKS'!$C$6:$C$366,D276)-INDEX('Native PMKS'!$C$6:$C$366,C276))</f>
        <v>0.75208913649025355</v>
      </c>
      <c r="F276" s="6">
        <f>INDEX('Native PMKS'!$N$6:$N$366,C276)+(INDEX('Native PMKS'!$N$6:$N$366,D276)-INDEX('Native PMKS'!$N$6:$N$366,C276))*E276</f>
        <v>34.805952924791086</v>
      </c>
      <c r="G276" s="6">
        <f>INDEX('Native PMKS'!$O$6:$O$366,C276)+(INDEX('Native PMKS'!$O$6:$O$366,D276)-INDEX('Native PMKS'!$O$6:$O$366,C276))*E276</f>
        <v>-32.946536490250693</v>
      </c>
    </row>
    <row r="277" spans="1:7" ht="18.95" customHeight="1">
      <c r="A277" s="1">
        <v>271</v>
      </c>
      <c r="B277" s="6">
        <f>TimeStep!G277</f>
        <v>2264.6239554317549</v>
      </c>
      <c r="C277" s="6">
        <f>MIN(MATCH(B277,'Native PMKS'!$C$6:$C$366,1),360)</f>
        <v>272</v>
      </c>
      <c r="D277" s="6">
        <f t="shared" si="4"/>
        <v>273</v>
      </c>
      <c r="E277" s="6">
        <f>(B277-INDEX('Native PMKS'!$C$6:$C$366,C277))/(INDEX('Native PMKS'!$C$6:$C$366,D277)-INDEX('Native PMKS'!$C$6:$C$366,C277))</f>
        <v>0.75487465181055535</v>
      </c>
      <c r="F277" s="6">
        <f>INDEX('Native PMKS'!$N$6:$N$366,C277)+(INDEX('Native PMKS'!$N$6:$N$366,D277)-INDEX('Native PMKS'!$N$6:$N$366,C277))*E277</f>
        <v>34.18817799442899</v>
      </c>
      <c r="G277" s="6">
        <f>INDEX('Native PMKS'!$O$6:$O$366,C277)+(INDEX('Native PMKS'!$O$6:$O$366,D277)-INDEX('Native PMKS'!$O$6:$O$366,C277))*E277</f>
        <v>-33.592722005571012</v>
      </c>
    </row>
    <row r="278" spans="1:7" ht="18.95" customHeight="1">
      <c r="A278" s="1">
        <v>272</v>
      </c>
      <c r="B278" s="6">
        <f>TimeStep!G278</f>
        <v>2272.9805013927576</v>
      </c>
      <c r="C278" s="6">
        <f>MIN(MATCH(B278,'Native PMKS'!$C$6:$C$366,1),360)</f>
        <v>273</v>
      </c>
      <c r="D278" s="6">
        <f t="shared" si="4"/>
        <v>274</v>
      </c>
      <c r="E278" s="6">
        <f>(B278-INDEX('Native PMKS'!$C$6:$C$366,C278))/(INDEX('Native PMKS'!$C$6:$C$366,D278)-INDEX('Native PMKS'!$C$6:$C$366,C278))</f>
        <v>0.75766016713089834</v>
      </c>
      <c r="F278" s="6">
        <f>INDEX('Native PMKS'!$N$6:$N$366,C278)+(INDEX('Native PMKS'!$N$6:$N$366,D278)-INDEX('Native PMKS'!$N$6:$N$366,C278))*E278</f>
        <v>33.556146796657394</v>
      </c>
      <c r="G278" s="6">
        <f>INDEX('Native PMKS'!$O$6:$O$366,C278)+(INDEX('Native PMKS'!$O$6:$O$366,D278)-INDEX('Native PMKS'!$O$6:$O$366,C278))*E278</f>
        <v>-34.26816713091921</v>
      </c>
    </row>
    <row r="279" spans="1:7" ht="18.95" customHeight="1">
      <c r="A279" s="1">
        <v>273</v>
      </c>
      <c r="B279" s="6">
        <f>TimeStep!G279</f>
        <v>2281.3370473537602</v>
      </c>
      <c r="C279" s="6">
        <f>MIN(MATCH(B279,'Native PMKS'!$C$6:$C$366,1),360)</f>
        <v>274</v>
      </c>
      <c r="D279" s="6">
        <f t="shared" si="4"/>
        <v>275</v>
      </c>
      <c r="E279" s="6">
        <f>(B279-INDEX('Native PMKS'!$C$6:$C$366,C279))/(INDEX('Native PMKS'!$C$6:$C$366,D279)-INDEX('Native PMKS'!$C$6:$C$366,C279))</f>
        <v>0.76044568245121336</v>
      </c>
      <c r="F279" s="6">
        <f>INDEX('Native PMKS'!$N$6:$N$366,C279)+(INDEX('Native PMKS'!$N$6:$N$366,D279)-INDEX('Native PMKS'!$N$6:$N$366,C279))*E279</f>
        <v>32.924167130919244</v>
      </c>
      <c r="G279" s="6">
        <f>INDEX('Native PMKS'!$O$6:$O$366,C279)+(INDEX('Native PMKS'!$O$6:$O$366,D279)-INDEX('Native PMKS'!$O$6:$O$366,C279))*E279</f>
        <v>-34.957606406685215</v>
      </c>
    </row>
    <row r="280" spans="1:7" ht="18.95" customHeight="1">
      <c r="A280" s="1">
        <v>274</v>
      </c>
      <c r="B280" s="6">
        <f>TimeStep!G280</f>
        <v>2289.6935933147633</v>
      </c>
      <c r="C280" s="6">
        <f>MIN(MATCH(B280,'Native PMKS'!$C$6:$C$366,1),360)</f>
        <v>275</v>
      </c>
      <c r="D280" s="6">
        <f t="shared" si="4"/>
        <v>276</v>
      </c>
      <c r="E280" s="6">
        <f>(B280-INDEX('Native PMKS'!$C$6:$C$366,C280))/(INDEX('Native PMKS'!$C$6:$C$366,D280)-INDEX('Native PMKS'!$C$6:$C$366,C280))</f>
        <v>0.76323119777156967</v>
      </c>
      <c r="F280" s="6">
        <f>INDEX('Native PMKS'!$N$6:$N$366,C280)+(INDEX('Native PMKS'!$N$6:$N$366,D280)-INDEX('Native PMKS'!$N$6:$N$366,C280))*E280</f>
        <v>32.248402228412267</v>
      </c>
      <c r="G280" s="6">
        <f>INDEX('Native PMKS'!$O$6:$O$366,C280)+(INDEX('Native PMKS'!$O$6:$O$366,D280)-INDEX('Native PMKS'!$O$6:$O$366,C280))*E280</f>
        <v>-35.603364623955422</v>
      </c>
    </row>
    <row r="281" spans="1:7" ht="18.95" customHeight="1">
      <c r="A281" s="1">
        <v>275</v>
      </c>
      <c r="B281" s="6">
        <f>TimeStep!G281</f>
        <v>2298.050139275766</v>
      </c>
      <c r="C281" s="6">
        <f>MIN(MATCH(B281,'Native PMKS'!$C$6:$C$366,1),360)</f>
        <v>276</v>
      </c>
      <c r="D281" s="6">
        <f t="shared" si="4"/>
        <v>277</v>
      </c>
      <c r="E281" s="6">
        <f>(B281-INDEX('Native PMKS'!$C$6:$C$366,C281))/(INDEX('Native PMKS'!$C$6:$C$366,D281)-INDEX('Native PMKS'!$C$6:$C$366,C281))</f>
        <v>0.76601671309191322</v>
      </c>
      <c r="F281" s="6">
        <f>INDEX('Native PMKS'!$N$6:$N$366,C281)+(INDEX('Native PMKS'!$N$6:$N$366,D281)-INDEX('Native PMKS'!$N$6:$N$366,C281))*E281</f>
        <v>31.558963509749308</v>
      </c>
      <c r="G281" s="6">
        <f>INDEX('Native PMKS'!$O$6:$O$366,C281)+(INDEX('Native PMKS'!$O$6:$O$366,D281)-INDEX('Native PMKS'!$O$6:$O$366,C281))*E281</f>
        <v>-36.279236490250689</v>
      </c>
    </row>
    <row r="282" spans="1:7" ht="18.95" customHeight="1">
      <c r="A282" s="1">
        <v>276</v>
      </c>
      <c r="B282" s="6">
        <f>TimeStep!G282</f>
        <v>2306.4066852367687</v>
      </c>
      <c r="C282" s="6">
        <f>MIN(MATCH(B282,'Native PMKS'!$C$6:$C$366,1),360)</f>
        <v>277</v>
      </c>
      <c r="D282" s="6">
        <f t="shared" si="4"/>
        <v>278</v>
      </c>
      <c r="E282" s="6">
        <f>(B282-INDEX('Native PMKS'!$C$6:$C$366,C282))/(INDEX('Native PMKS'!$C$6:$C$366,D282)-INDEX('Native PMKS'!$C$6:$C$366,C282))</f>
        <v>0.76880222841222767</v>
      </c>
      <c r="F282" s="6">
        <f>INDEX('Native PMKS'!$N$6:$N$366,C282)+(INDEX('Native PMKS'!$N$6:$N$366,D282)-INDEX('Native PMKS'!$N$6:$N$366,C282))*E282</f>
        <v>30.869471587743753</v>
      </c>
      <c r="G282" s="6">
        <f>INDEX('Native PMKS'!$O$6:$O$366,C282)+(INDEX('Native PMKS'!$O$6:$O$366,D282)-INDEX('Native PMKS'!$O$6:$O$366,C282))*E282</f>
        <v>-36.968728412256247</v>
      </c>
    </row>
    <row r="283" spans="1:7" ht="18.95" customHeight="1">
      <c r="A283" s="1">
        <v>277</v>
      </c>
      <c r="B283" s="6">
        <f>TimeStep!G283</f>
        <v>2314.7632311977713</v>
      </c>
      <c r="C283" s="6">
        <f>MIN(MATCH(B283,'Native PMKS'!$C$6:$C$366,1),360)</f>
        <v>278</v>
      </c>
      <c r="D283" s="6">
        <f t="shared" si="4"/>
        <v>279</v>
      </c>
      <c r="E283" s="6">
        <f>(B283-INDEX('Native PMKS'!$C$6:$C$366,C283))/(INDEX('Native PMKS'!$C$6:$C$366,D283)-INDEX('Native PMKS'!$C$6:$C$366,C283))</f>
        <v>0.77158774373252947</v>
      </c>
      <c r="F283" s="6">
        <f>INDEX('Native PMKS'!$N$6:$N$366,C283)+(INDEX('Native PMKS'!$N$6:$N$366,D283)-INDEX('Native PMKS'!$N$6:$N$366,C283))*E283</f>
        <v>30.135821448468011</v>
      </c>
      <c r="G283" s="6">
        <f>INDEX('Native PMKS'!$O$6:$O$366,C283)+(INDEX('Native PMKS'!$O$6:$O$366,D283)-INDEX('Native PMKS'!$O$6:$O$366,C283))*E283</f>
        <v>-37.658166573816111</v>
      </c>
    </row>
    <row r="284" spans="1:7" ht="18.95" customHeight="1">
      <c r="A284" s="1">
        <v>278</v>
      </c>
      <c r="B284" s="6">
        <f>TimeStep!G284</f>
        <v>2323.1197771587745</v>
      </c>
      <c r="C284" s="6">
        <f>MIN(MATCH(B284,'Native PMKS'!$C$6:$C$366,1),360)</f>
        <v>279</v>
      </c>
      <c r="D284" s="6">
        <f t="shared" si="4"/>
        <v>280</v>
      </c>
      <c r="E284" s="6">
        <f>(B284-INDEX('Native PMKS'!$C$6:$C$366,C284))/(INDEX('Native PMKS'!$C$6:$C$366,D284)-INDEX('Native PMKS'!$C$6:$C$366,C284))</f>
        <v>0.77437325905292798</v>
      </c>
      <c r="F284" s="6">
        <f>INDEX('Native PMKS'!$N$6:$N$366,C284)+(INDEX('Native PMKS'!$N$6:$N$366,D284)-INDEX('Native PMKS'!$N$6:$N$366,C284))*E284</f>
        <v>29.388869359331473</v>
      </c>
      <c r="G284" s="6">
        <f>INDEX('Native PMKS'!$O$6:$O$366,C284)+(INDEX('Native PMKS'!$O$6:$O$366,D284)-INDEX('Native PMKS'!$O$6:$O$366,C284))*E284</f>
        <v>-38.392030640668523</v>
      </c>
    </row>
    <row r="285" spans="1:7" ht="18.95" customHeight="1">
      <c r="A285" s="1">
        <v>279</v>
      </c>
      <c r="B285" s="6">
        <f>TimeStep!G285</f>
        <v>2331.4763231197771</v>
      </c>
      <c r="C285" s="6">
        <f>MIN(MATCH(B285,'Native PMKS'!$C$6:$C$366,1),360)</f>
        <v>280</v>
      </c>
      <c r="D285" s="6">
        <f t="shared" si="4"/>
        <v>281</v>
      </c>
      <c r="E285" s="6">
        <f>(B285-INDEX('Native PMKS'!$C$6:$C$366,C285))/(INDEX('Native PMKS'!$C$6:$C$366,D285)-INDEX('Native PMKS'!$C$6:$C$366,C285))</f>
        <v>0.77715877437324199</v>
      </c>
      <c r="F285" s="6">
        <f>INDEX('Native PMKS'!$N$6:$N$366,C285)+(INDEX('Native PMKS'!$N$6:$N$366,D285)-INDEX('Native PMKS'!$N$6:$N$366,C285))*E285</f>
        <v>28.641972144846807</v>
      </c>
      <c r="G285" s="6">
        <f>INDEX('Native PMKS'!$O$6:$O$366,C285)+(INDEX('Native PMKS'!$O$6:$O$366,D285)-INDEX('Native PMKS'!$O$6:$O$366,C285))*E285</f>
        <v>-39.094396657381601</v>
      </c>
    </row>
    <row r="286" spans="1:7" ht="18.95" customHeight="1">
      <c r="A286" s="1">
        <v>280</v>
      </c>
      <c r="B286" s="6">
        <f>TimeStep!G286</f>
        <v>2339.8328690807798</v>
      </c>
      <c r="C286" s="6">
        <f>MIN(MATCH(B286,'Native PMKS'!$C$6:$C$366,1),360)</f>
        <v>281</v>
      </c>
      <c r="D286" s="6">
        <f t="shared" si="4"/>
        <v>282</v>
      </c>
      <c r="E286" s="6">
        <f>(B286-INDEX('Native PMKS'!$C$6:$C$366,C286))/(INDEX('Native PMKS'!$C$6:$C$366,D286)-INDEX('Native PMKS'!$C$6:$C$366,C286))</f>
        <v>0.77994428969354379</v>
      </c>
      <c r="F286" s="6">
        <f>INDEX('Native PMKS'!$N$6:$N$366,C286)+(INDEX('Native PMKS'!$N$6:$N$366,D286)-INDEX('Native PMKS'!$N$6:$N$366,C286))*E286</f>
        <v>27.850406685236809</v>
      </c>
      <c r="G286" s="6">
        <f>INDEX('Native PMKS'!$O$6:$O$366,C286)+(INDEX('Native PMKS'!$O$6:$O$366,D286)-INDEX('Native PMKS'!$O$6:$O$366,C286))*E286</f>
        <v>-39.783889693593281</v>
      </c>
    </row>
    <row r="287" spans="1:7" ht="18.95" customHeight="1">
      <c r="A287" s="1">
        <v>281</v>
      </c>
      <c r="B287" s="6">
        <f>TimeStep!G287</f>
        <v>2348.1894150417829</v>
      </c>
      <c r="C287" s="6">
        <f>MIN(MATCH(B287,'Native PMKS'!$C$6:$C$366,1),360)</f>
        <v>282</v>
      </c>
      <c r="D287" s="6">
        <f t="shared" si="4"/>
        <v>283</v>
      </c>
      <c r="E287" s="6">
        <f>(B287-INDEX('Native PMKS'!$C$6:$C$366,C287))/(INDEX('Native PMKS'!$C$6:$C$366,D287)-INDEX('Native PMKS'!$C$6:$C$366,C287))</f>
        <v>0.78272980501394274</v>
      </c>
      <c r="F287" s="6">
        <f>INDEX('Native PMKS'!$N$6:$N$366,C287)+(INDEX('Native PMKS'!$N$6:$N$366,D287)-INDEX('Native PMKS'!$N$6:$N$366,C287))*E287</f>
        <v>27.045994150417815</v>
      </c>
      <c r="G287" s="6">
        <f>INDEX('Native PMKS'!$O$6:$O$366,C287)+(INDEX('Native PMKS'!$O$6:$O$366,D287)-INDEX('Native PMKS'!$O$6:$O$366,C287))*E287</f>
        <v>-40.518177158774385</v>
      </c>
    </row>
    <row r="288" spans="1:7" ht="18.95" customHeight="1">
      <c r="A288" s="1">
        <v>282</v>
      </c>
      <c r="B288" s="6">
        <f>TimeStep!G288</f>
        <v>2356.5459610027856</v>
      </c>
      <c r="C288" s="6">
        <f>MIN(MATCH(B288,'Native PMKS'!$C$6:$C$366,1),360)</f>
        <v>283</v>
      </c>
      <c r="D288" s="6">
        <f t="shared" si="4"/>
        <v>284</v>
      </c>
      <c r="E288" s="6">
        <f>(B288-INDEX('Native PMKS'!$C$6:$C$366,C288))/(INDEX('Native PMKS'!$C$6:$C$366,D288)-INDEX('Native PMKS'!$C$6:$C$366,C288))</f>
        <v>0.78551532033425642</v>
      </c>
      <c r="F288" s="6">
        <f>INDEX('Native PMKS'!$N$6:$N$366,C288)+(INDEX('Native PMKS'!$N$6:$N$366,D288)-INDEX('Native PMKS'!$N$6:$N$366,C288))*E288</f>
        <v>26.196628133704738</v>
      </c>
      <c r="G288" s="6">
        <f>INDEX('Native PMKS'!$O$6:$O$366,C288)+(INDEX('Native PMKS'!$O$6:$O$366,D288)-INDEX('Native PMKS'!$O$6:$O$366,C288))*E288</f>
        <v>-41.220120334261836</v>
      </c>
    </row>
    <row r="289" spans="1:7" ht="18.95" customHeight="1">
      <c r="A289" s="1">
        <v>283</v>
      </c>
      <c r="B289" s="6">
        <f>TimeStep!G289</f>
        <v>2364.9025069637883</v>
      </c>
      <c r="C289" s="6">
        <f>MIN(MATCH(B289,'Native PMKS'!$C$6:$C$366,1),360)</f>
        <v>284</v>
      </c>
      <c r="D289" s="6">
        <f t="shared" si="4"/>
        <v>285</v>
      </c>
      <c r="E289" s="6">
        <f>(B289-INDEX('Native PMKS'!$C$6:$C$366,C289))/(INDEX('Native PMKS'!$C$6:$C$366,D289)-INDEX('Native PMKS'!$C$6:$C$366,C289))</f>
        <v>0.78830083565455811</v>
      </c>
      <c r="F289" s="6">
        <f>INDEX('Native PMKS'!$N$6:$N$366,C289)+(INDEX('Native PMKS'!$N$6:$N$366,D289)-INDEX('Native PMKS'!$N$6:$N$366,C289))*E289</f>
        <v>25.379925069637913</v>
      </c>
      <c r="G289" s="6">
        <f>INDEX('Native PMKS'!$O$6:$O$366,C289)+(INDEX('Native PMKS'!$O$6:$O$366,D289)-INDEX('Native PMKS'!$O$6:$O$366,C289))*E289</f>
        <v>-41.954726462395513</v>
      </c>
    </row>
    <row r="290" spans="1:7" ht="18.95" customHeight="1">
      <c r="A290" s="1">
        <v>284</v>
      </c>
      <c r="B290" s="6">
        <f>TimeStep!G290</f>
        <v>2373.2590529247909</v>
      </c>
      <c r="C290" s="6">
        <f>MIN(MATCH(B290,'Native PMKS'!$C$6:$C$366,1),360)</f>
        <v>285</v>
      </c>
      <c r="D290" s="6">
        <f t="shared" si="4"/>
        <v>286</v>
      </c>
      <c r="E290" s="6">
        <f>(B290-INDEX('Native PMKS'!$C$6:$C$366,C290))/(INDEX('Native PMKS'!$C$6:$C$366,D290)-INDEX('Native PMKS'!$C$6:$C$366,C290))</f>
        <v>0.79108635097490299</v>
      </c>
      <c r="F290" s="6">
        <f>INDEX('Native PMKS'!$N$6:$N$366,C290)+(INDEX('Native PMKS'!$N$6:$N$366,D290)-INDEX('Native PMKS'!$N$6:$N$366,C290))*E290</f>
        <v>24.530240389972167</v>
      </c>
      <c r="G290" s="6">
        <f>INDEX('Native PMKS'!$O$6:$O$366,C290)+(INDEX('Native PMKS'!$O$6:$O$366,D290)-INDEX('Native PMKS'!$O$6:$O$366,C290))*E290</f>
        <v>-42.656271866295249</v>
      </c>
    </row>
    <row r="291" spans="1:7" ht="18.95" customHeight="1">
      <c r="A291" s="1">
        <v>285</v>
      </c>
      <c r="B291" s="6">
        <f>TimeStep!G291</f>
        <v>2381.615598885794</v>
      </c>
      <c r="C291" s="6">
        <f>MIN(MATCH(B291,'Native PMKS'!$C$6:$C$366,1),360)</f>
        <v>286</v>
      </c>
      <c r="D291" s="6">
        <f t="shared" si="4"/>
        <v>287</v>
      </c>
      <c r="E291" s="6">
        <f>(B291-INDEX('Native PMKS'!$C$6:$C$366,C291))/(INDEX('Native PMKS'!$C$6:$C$366,D291)-INDEX('Native PMKS'!$C$6:$C$366,C291))</f>
        <v>0.79387186629527073</v>
      </c>
      <c r="F291" s="6">
        <f>INDEX('Native PMKS'!$N$6:$N$366,C291)+(INDEX('Native PMKS'!$N$6:$N$366,D291)-INDEX('Native PMKS'!$N$6:$N$366,C291))*E291</f>
        <v>23.622957660167128</v>
      </c>
      <c r="G291" s="6">
        <f>INDEX('Native PMKS'!$O$6:$O$366,C291)+(INDEX('Native PMKS'!$O$6:$O$366,D291)-INDEX('Native PMKS'!$O$6:$O$366,C291))*E291</f>
        <v>-43.391255153203346</v>
      </c>
    </row>
    <row r="292" spans="1:7" ht="18.95" customHeight="1">
      <c r="A292" s="1">
        <v>286</v>
      </c>
      <c r="B292" s="6">
        <f>TimeStep!G292</f>
        <v>2389.9721448467967</v>
      </c>
      <c r="C292" s="6">
        <f>MIN(MATCH(B292,'Native PMKS'!$C$6:$C$366,1),360)</f>
        <v>287</v>
      </c>
      <c r="D292" s="6">
        <f t="shared" si="4"/>
        <v>288</v>
      </c>
      <c r="E292" s="6">
        <f>(B292-INDEX('Native PMKS'!$C$6:$C$366,C292))/(INDEX('Native PMKS'!$C$6:$C$366,D292)-INDEX('Native PMKS'!$C$6:$C$366,C292))</f>
        <v>0.79665738161557242</v>
      </c>
      <c r="F292" s="6">
        <f>INDEX('Native PMKS'!$N$6:$N$366,C292)+(INDEX('Native PMKS'!$N$6:$N$366,D292)-INDEX('Native PMKS'!$N$6:$N$366,C292))*E292</f>
        <v>22.703624512534844</v>
      </c>
      <c r="G292" s="6">
        <f>INDEX('Native PMKS'!$O$6:$O$366,C292)+(INDEX('Native PMKS'!$O$6:$O$366,D292)-INDEX('Native PMKS'!$O$6:$O$366,C292))*E292</f>
        <v>-44.138150417827276</v>
      </c>
    </row>
    <row r="293" spans="1:7" ht="18.95" customHeight="1">
      <c r="A293" s="1">
        <v>287</v>
      </c>
      <c r="B293" s="6">
        <f>TimeStep!G293</f>
        <v>2398.3286908077994</v>
      </c>
      <c r="C293" s="6">
        <f>MIN(MATCH(B293,'Native PMKS'!$C$6:$C$366,1),360)</f>
        <v>288</v>
      </c>
      <c r="D293" s="6">
        <f t="shared" si="4"/>
        <v>289</v>
      </c>
      <c r="E293" s="6">
        <f>(B293-INDEX('Native PMKS'!$C$6:$C$366,C293))/(INDEX('Native PMKS'!$C$6:$C$366,D293)-INDEX('Native PMKS'!$C$6:$C$366,C293))</f>
        <v>0.79944289693591775</v>
      </c>
      <c r="F293" s="6">
        <f>INDEX('Native PMKS'!$N$6:$N$366,C293)+(INDEX('Native PMKS'!$N$6:$N$366,D293)-INDEX('Native PMKS'!$N$6:$N$366,C293))*E293</f>
        <v>21.784350696378844</v>
      </c>
      <c r="G293" s="6">
        <f>INDEX('Native PMKS'!$O$6:$O$366,C293)+(INDEX('Native PMKS'!$O$6:$O$366,D293)-INDEX('Native PMKS'!$O$6:$O$366,C293))*E293</f>
        <v>-44.885105013927564</v>
      </c>
    </row>
    <row r="294" spans="1:7" ht="18.95" customHeight="1">
      <c r="A294" s="1">
        <v>288</v>
      </c>
      <c r="B294" s="6">
        <f>TimeStep!G294</f>
        <v>2406.685236768802</v>
      </c>
      <c r="C294" s="6">
        <f>MIN(MATCH(B294,'Native PMKS'!$C$6:$C$366,1),360)</f>
        <v>289</v>
      </c>
      <c r="D294" s="6">
        <f t="shared" si="4"/>
        <v>290</v>
      </c>
      <c r="E294" s="6">
        <f>(B294-INDEX('Native PMKS'!$C$6:$C$366,C294))/(INDEX('Native PMKS'!$C$6:$C$366,D294)-INDEX('Native PMKS'!$C$6:$C$366,C294))</f>
        <v>0.80222841225623043</v>
      </c>
      <c r="F294" s="6">
        <f>INDEX('Native PMKS'!$N$6:$N$366,C294)+(INDEX('Native PMKS'!$N$6:$N$366,D294)-INDEX('Native PMKS'!$N$6:$N$366,C294))*E294</f>
        <v>20.865097214484713</v>
      </c>
      <c r="G294" s="6">
        <f>INDEX('Native PMKS'!$O$6:$O$366,C294)+(INDEX('Native PMKS'!$O$6:$O$366,D294)-INDEX('Native PMKS'!$O$6:$O$366,C294))*E294</f>
        <v>-45.631999721448437</v>
      </c>
    </row>
    <row r="295" spans="1:7" ht="18.95" customHeight="1">
      <c r="A295" s="1">
        <v>289</v>
      </c>
      <c r="B295" s="6">
        <f>TimeStep!G295</f>
        <v>2415.0417827298052</v>
      </c>
      <c r="C295" s="6">
        <f>MIN(MATCH(B295,'Native PMKS'!$C$6:$C$366,1),360)</f>
        <v>290</v>
      </c>
      <c r="D295" s="6">
        <f t="shared" si="4"/>
        <v>291</v>
      </c>
      <c r="E295" s="6">
        <f>(B295-INDEX('Native PMKS'!$C$6:$C$366,C295))/(INDEX('Native PMKS'!$C$6:$C$366,D295)-INDEX('Native PMKS'!$C$6:$C$366,C295))</f>
        <v>0.80501392757658674</v>
      </c>
      <c r="F295" s="6">
        <f>INDEX('Native PMKS'!$N$6:$N$366,C295)+(INDEX('Native PMKS'!$N$6:$N$366,D295)-INDEX('Native PMKS'!$N$6:$N$366,C295))*E295</f>
        <v>19.89963593314765</v>
      </c>
      <c r="G295" s="6">
        <f>INDEX('Native PMKS'!$O$6:$O$366,C295)+(INDEX('Native PMKS'!$O$6:$O$366,D295)-INDEX('Native PMKS'!$O$6:$O$366,C295))*E295</f>
        <v>-46.378954874651797</v>
      </c>
    </row>
    <row r="296" spans="1:7" ht="18.95" customHeight="1">
      <c r="A296" s="1">
        <v>290</v>
      </c>
      <c r="B296" s="6">
        <f>TimeStep!G296</f>
        <v>2423.3983286908078</v>
      </c>
      <c r="C296" s="6">
        <f>MIN(MATCH(B296,'Native PMKS'!$C$6:$C$366,1),360)</f>
        <v>291</v>
      </c>
      <c r="D296" s="6">
        <f t="shared" si="4"/>
        <v>292</v>
      </c>
      <c r="E296" s="6">
        <f>(B296-INDEX('Native PMKS'!$C$6:$C$366,C296))/(INDEX('Native PMKS'!$C$6:$C$366,D296)-INDEX('Native PMKS'!$C$6:$C$366,C296))</f>
        <v>0.80779944289693262</v>
      </c>
      <c r="F296" s="6">
        <f>INDEX('Native PMKS'!$N$6:$N$366,C296)+(INDEX('Native PMKS'!$N$6:$N$366,D296)-INDEX('Native PMKS'!$N$6:$N$366,C296))*E296</f>
        <v>18.92290334261839</v>
      </c>
      <c r="G296" s="6">
        <f>INDEX('Native PMKS'!$O$6:$O$366,C296)+(INDEX('Native PMKS'!$O$6:$O$366,D296)-INDEX('Native PMKS'!$O$6:$O$366,C296))*E296</f>
        <v>-47.125849025069634</v>
      </c>
    </row>
    <row r="297" spans="1:7" ht="18.95" customHeight="1">
      <c r="A297" s="1">
        <v>291</v>
      </c>
      <c r="B297" s="6">
        <f>TimeStep!G297</f>
        <v>2431.7548746518105</v>
      </c>
      <c r="C297" s="6">
        <f>MIN(MATCH(B297,'Native PMKS'!$C$6:$C$366,1),360)</f>
        <v>292</v>
      </c>
      <c r="D297" s="6">
        <f t="shared" si="4"/>
        <v>293</v>
      </c>
      <c r="E297" s="6">
        <f>(B297-INDEX('Native PMKS'!$C$6:$C$366,C297))/(INDEX('Native PMKS'!$C$6:$C$366,D297)-INDEX('Native PMKS'!$C$6:$C$366,C297))</f>
        <v>0.81058495821724486</v>
      </c>
      <c r="F297" s="6">
        <f>INDEX('Native PMKS'!$N$6:$N$366,C297)+(INDEX('Native PMKS'!$N$6:$N$366,D297)-INDEX('Native PMKS'!$N$6:$N$366,C297))*E297</f>
        <v>17.899743732590554</v>
      </c>
      <c r="G297" s="6">
        <f>INDEX('Native PMKS'!$O$6:$O$366,C297)+(INDEX('Native PMKS'!$O$6:$O$366,D297)-INDEX('Native PMKS'!$O$6:$O$366,C297))*E297</f>
        <v>-47.872804735376022</v>
      </c>
    </row>
    <row r="298" spans="1:7" ht="18.95" customHeight="1">
      <c r="A298" s="1">
        <v>292</v>
      </c>
      <c r="B298" s="6">
        <f>TimeStep!G298</f>
        <v>2440.1114206128132</v>
      </c>
      <c r="C298" s="6">
        <f>MIN(MATCH(B298,'Native PMKS'!$C$6:$C$366,1),360)</f>
        <v>293</v>
      </c>
      <c r="D298" s="6">
        <f t="shared" si="4"/>
        <v>294</v>
      </c>
      <c r="E298" s="6">
        <f>(B298-INDEX('Native PMKS'!$C$6:$C$366,C298))/(INDEX('Native PMKS'!$C$6:$C$366,D298)-INDEX('Native PMKS'!$C$6:$C$366,C298))</f>
        <v>0.81337047353754655</v>
      </c>
      <c r="F298" s="6">
        <f>INDEX('Native PMKS'!$N$6:$N$366,C298)+(INDEX('Native PMKS'!$N$6:$N$366,D298)-INDEX('Native PMKS'!$N$6:$N$366,C298))*E298</f>
        <v>16.86557103064073</v>
      </c>
      <c r="G298" s="6">
        <f>INDEX('Native PMKS'!$O$6:$O$366,C298)+(INDEX('Native PMKS'!$O$6:$O$366,D298)-INDEX('Native PMKS'!$O$6:$O$366,C298))*E298</f>
        <v>-48.66630445682447</v>
      </c>
    </row>
    <row r="299" spans="1:7" ht="18.95" customHeight="1">
      <c r="A299" s="1">
        <v>293</v>
      </c>
      <c r="B299" s="6">
        <f>TimeStep!G299</f>
        <v>2448.4679665738163</v>
      </c>
      <c r="C299" s="6">
        <f>MIN(MATCH(B299,'Native PMKS'!$C$6:$C$366,1),360)</f>
        <v>294</v>
      </c>
      <c r="D299" s="6">
        <f t="shared" si="4"/>
        <v>295</v>
      </c>
      <c r="E299" s="6">
        <f>(B299-INDEX('Native PMKS'!$C$6:$C$366,C299))/(INDEX('Native PMKS'!$C$6:$C$366,D299)-INDEX('Native PMKS'!$C$6:$C$366,C299))</f>
        <v>0.81615598885794738</v>
      </c>
      <c r="F299" s="6">
        <f>INDEX('Native PMKS'!$N$6:$N$366,C299)+(INDEX('Native PMKS'!$N$6:$N$366,D299)-INDEX('Native PMKS'!$N$6:$N$366,C299))*E299</f>
        <v>15.831316713091914</v>
      </c>
      <c r="G299" s="6">
        <f>INDEX('Native PMKS'!$O$6:$O$366,C299)+(INDEX('Native PMKS'!$O$6:$O$366,D299)-INDEX('Native PMKS'!$O$6:$O$366,C299))*E299</f>
        <v>-49.4238729805014</v>
      </c>
    </row>
    <row r="300" spans="1:7" ht="18.95" customHeight="1">
      <c r="A300" s="1">
        <v>294</v>
      </c>
      <c r="B300" s="6">
        <f>TimeStep!G300</f>
        <v>2456.824512534819</v>
      </c>
      <c r="C300" s="6">
        <f>MIN(MATCH(B300,'Native PMKS'!$C$6:$C$366,1),360)</f>
        <v>295</v>
      </c>
      <c r="D300" s="6">
        <f t="shared" si="4"/>
        <v>296</v>
      </c>
      <c r="E300" s="6">
        <f>(B300-INDEX('Native PMKS'!$C$6:$C$366,C300))/(INDEX('Native PMKS'!$C$6:$C$366,D300)-INDEX('Native PMKS'!$C$6:$C$366,C300))</f>
        <v>0.81894150417825917</v>
      </c>
      <c r="F300" s="6">
        <f>INDEX('Native PMKS'!$N$6:$N$366,C300)+(INDEX('Native PMKS'!$N$6:$N$366,D300)-INDEX('Native PMKS'!$N$6:$N$366,C300))*E300</f>
        <v>14.797125626740961</v>
      </c>
      <c r="G300" s="6">
        <f>INDEX('Native PMKS'!$O$6:$O$366,C300)+(INDEX('Native PMKS'!$O$6:$O$366,D300)-INDEX('Native PMKS'!$O$6:$O$366,C300))*E300</f>
        <v>-50.170829526462384</v>
      </c>
    </row>
    <row r="301" spans="1:7" ht="18.95" customHeight="1">
      <c r="A301" s="1">
        <v>295</v>
      </c>
      <c r="B301" s="6">
        <f>TimeStep!G301</f>
        <v>2465.1810584958216</v>
      </c>
      <c r="C301" s="6">
        <f>MIN(MATCH(B301,'Native PMKS'!$C$6:$C$366,1),360)</f>
        <v>296</v>
      </c>
      <c r="D301" s="6">
        <f t="shared" si="4"/>
        <v>297</v>
      </c>
      <c r="E301" s="6">
        <f>(B301-INDEX('Native PMKS'!$C$6:$C$366,C301))/(INDEX('Native PMKS'!$C$6:$C$366,D301)-INDEX('Native PMKS'!$C$6:$C$366,C301))</f>
        <v>0.82172701949856086</v>
      </c>
      <c r="F301" s="6">
        <f>INDEX('Native PMKS'!$N$6:$N$366,C301)+(INDEX('Native PMKS'!$N$6:$N$366,D301)-INDEX('Native PMKS'!$N$6:$N$366,C301))*E301</f>
        <v>13.715867966573867</v>
      </c>
      <c r="G301" s="6">
        <f>INDEX('Native PMKS'!$O$6:$O$366,C301)+(INDEX('Native PMKS'!$O$6:$O$366,D301)-INDEX('Native PMKS'!$O$6:$O$366,C301))*E301</f>
        <v>-50.964807242339795</v>
      </c>
    </row>
    <row r="302" spans="1:7" ht="18.95" customHeight="1">
      <c r="A302" s="1">
        <v>296</v>
      </c>
      <c r="B302" s="6">
        <f>TimeStep!G302</f>
        <v>2473.5376044568243</v>
      </c>
      <c r="C302" s="6">
        <f>MIN(MATCH(B302,'Native PMKS'!$C$6:$C$366,1),360)</f>
        <v>297</v>
      </c>
      <c r="D302" s="6">
        <f t="shared" si="4"/>
        <v>298</v>
      </c>
      <c r="E302" s="6">
        <f>(B302-INDEX('Native PMKS'!$C$6:$C$366,C302))/(INDEX('Native PMKS'!$C$6:$C$366,D302)-INDEX('Native PMKS'!$C$6:$C$366,C302))</f>
        <v>0.82451253481890763</v>
      </c>
      <c r="F302" s="6">
        <f>INDEX('Native PMKS'!$N$6:$N$366,C302)+(INDEX('Native PMKS'!$N$6:$N$366,D302)-INDEX('Native PMKS'!$N$6:$N$366,C302))*E302</f>
        <v>12.576991086351013</v>
      </c>
      <c r="G302" s="6">
        <f>INDEX('Native PMKS'!$O$6:$O$366,C302)+(INDEX('Native PMKS'!$O$6:$O$366,D302)-INDEX('Native PMKS'!$O$6:$O$366,C302))*E302</f>
        <v>-51.7219793871866</v>
      </c>
    </row>
    <row r="303" spans="1:7" ht="18.95" customHeight="1">
      <c r="A303" s="1">
        <v>297</v>
      </c>
      <c r="B303" s="6">
        <f>TimeStep!G303</f>
        <v>2481.8941504178274</v>
      </c>
      <c r="C303" s="6">
        <f>MIN(MATCH(B303,'Native PMKS'!$C$6:$C$366,1),360)</f>
        <v>298</v>
      </c>
      <c r="D303" s="6">
        <f t="shared" si="4"/>
        <v>299</v>
      </c>
      <c r="E303" s="6">
        <f>(B303-INDEX('Native PMKS'!$C$6:$C$366,C303))/(INDEX('Native PMKS'!$C$6:$C$366,D303)-INDEX('Native PMKS'!$C$6:$C$366,C303))</f>
        <v>0.82729805013927349</v>
      </c>
      <c r="F303" s="6">
        <f>INDEX('Native PMKS'!$N$6:$N$366,C303)+(INDEX('Native PMKS'!$N$6:$N$366,D303)-INDEX('Native PMKS'!$N$6:$N$366,C303))*E303</f>
        <v>11.475303342618387</v>
      </c>
      <c r="G303" s="6">
        <f>INDEX('Native PMKS'!$O$6:$O$366,C303)+(INDEX('Native PMKS'!$O$6:$O$366,D303)-INDEX('Native PMKS'!$O$6:$O$366,C303))*E303</f>
        <v>-52.516275766016712</v>
      </c>
    </row>
    <row r="304" spans="1:7" ht="18.95" customHeight="1">
      <c r="A304" s="1">
        <v>298</v>
      </c>
      <c r="B304" s="6">
        <f>TimeStep!G304</f>
        <v>2490.2506963788301</v>
      </c>
      <c r="C304" s="6">
        <f>MIN(MATCH(B304,'Native PMKS'!$C$6:$C$366,1),360)</f>
        <v>299</v>
      </c>
      <c r="D304" s="6">
        <f t="shared" si="4"/>
        <v>300</v>
      </c>
      <c r="E304" s="6">
        <f>(B304-INDEX('Native PMKS'!$C$6:$C$366,C304))/(INDEX('Native PMKS'!$C$6:$C$366,D304)-INDEX('Native PMKS'!$C$6:$C$366,C304))</f>
        <v>0.83008356545957518</v>
      </c>
      <c r="F304" s="6">
        <f>INDEX('Native PMKS'!$N$6:$N$366,C304)+(INDEX('Native PMKS'!$N$6:$N$366,D304)-INDEX('Native PMKS'!$N$6:$N$366,C304))*E304</f>
        <v>10.336107242339873</v>
      </c>
      <c r="G304" s="6">
        <f>INDEX('Native PMKS'!$O$6:$O$366,C304)+(INDEX('Native PMKS'!$O$6:$O$366,D304)-INDEX('Native PMKS'!$O$6:$O$366,C304))*E304</f>
        <v>-53.320693036211672</v>
      </c>
    </row>
    <row r="305" spans="1:7" ht="18.95" customHeight="1">
      <c r="A305" s="1">
        <v>299</v>
      </c>
      <c r="B305" s="6">
        <f>TimeStep!G305</f>
        <v>2498.6072423398327</v>
      </c>
      <c r="C305" s="6">
        <f>MIN(MATCH(B305,'Native PMKS'!$C$6:$C$366,1),360)</f>
        <v>300</v>
      </c>
      <c r="D305" s="6">
        <f t="shared" si="4"/>
        <v>301</v>
      </c>
      <c r="E305" s="6">
        <f>(B305-INDEX('Native PMKS'!$C$6:$C$366,C305))/(INDEX('Native PMKS'!$C$6:$C$366,D305)-INDEX('Native PMKS'!$C$6:$C$366,C305))</f>
        <v>0.83286908077992239</v>
      </c>
      <c r="F305" s="6">
        <f>INDEX('Native PMKS'!$N$6:$N$366,C305)+(INDEX('Native PMKS'!$N$6:$N$366,D305)-INDEX('Native PMKS'!$N$6:$N$366,C305))*E305</f>
        <v>9.1392086350975195</v>
      </c>
      <c r="G305" s="6">
        <f>INDEX('Native PMKS'!$O$6:$O$366,C305)+(INDEX('Native PMKS'!$O$6:$O$366,D305)-INDEX('Native PMKS'!$O$6:$O$366,C305))*E305</f>
        <v>-54.077320891364884</v>
      </c>
    </row>
    <row r="306" spans="1:7" ht="18.95" customHeight="1">
      <c r="A306" s="1">
        <v>300</v>
      </c>
      <c r="B306" s="6">
        <f>TimeStep!G306</f>
        <v>2506.9637883008359</v>
      </c>
      <c r="C306" s="6">
        <f>MIN(MATCH(B306,'Native PMKS'!$C$6:$C$366,1),360)</f>
        <v>301</v>
      </c>
      <c r="D306" s="6">
        <f t="shared" si="4"/>
        <v>302</v>
      </c>
      <c r="E306" s="6">
        <f>(B306-INDEX('Native PMKS'!$C$6:$C$366,C306))/(INDEX('Native PMKS'!$C$6:$C$366,D306)-INDEX('Native PMKS'!$C$6:$C$366,C306))</f>
        <v>0.83565459610028781</v>
      </c>
      <c r="F306" s="6">
        <f>INDEX('Native PMKS'!$N$6:$N$366,C306)+(INDEX('Native PMKS'!$N$6:$N$366,D306)-INDEX('Native PMKS'!$N$6:$N$366,C306))*E306</f>
        <v>7.9326403899721338</v>
      </c>
      <c r="G306" s="6">
        <f>INDEX('Native PMKS'!$O$6:$O$366,C306)+(INDEX('Native PMKS'!$O$6:$O$366,D306)-INDEX('Native PMKS'!$O$6:$O$366,C306))*E306</f>
        <v>-54.872078551532042</v>
      </c>
    </row>
    <row r="307" spans="1:7" ht="18.95" customHeight="1">
      <c r="A307" s="1">
        <v>301</v>
      </c>
      <c r="B307" s="6">
        <f>TimeStep!G307</f>
        <v>2515.3203342618385</v>
      </c>
      <c r="C307" s="6">
        <f>MIN(MATCH(B307,'Native PMKS'!$C$6:$C$366,1),360)</f>
        <v>302</v>
      </c>
      <c r="D307" s="6">
        <f t="shared" si="4"/>
        <v>303</v>
      </c>
      <c r="E307" s="6">
        <f>(B307-INDEX('Native PMKS'!$C$6:$C$366,C307))/(INDEX('Native PMKS'!$C$6:$C$366,D307)-INDEX('Native PMKS'!$C$6:$C$366,C307))</f>
        <v>0.83844011142058961</v>
      </c>
      <c r="F307" s="6">
        <f>INDEX('Native PMKS'!$N$6:$N$366,C307)+(INDEX('Native PMKS'!$N$6:$N$366,D307)-INDEX('Native PMKS'!$N$6:$N$366,C307))*E307</f>
        <v>6.7260888579387466</v>
      </c>
      <c r="G307" s="6">
        <f>INDEX('Native PMKS'!$O$6:$O$366,C307)+(INDEX('Native PMKS'!$O$6:$O$366,D307)-INDEX('Native PMKS'!$O$6:$O$366,C307))*E307</f>
        <v>-55.676496657381598</v>
      </c>
    </row>
    <row r="308" spans="1:7" ht="18.95" customHeight="1">
      <c r="A308" s="1">
        <v>302</v>
      </c>
      <c r="B308" s="6">
        <f>TimeStep!G308</f>
        <v>2523.6768802228412</v>
      </c>
      <c r="C308" s="6">
        <f>MIN(MATCH(B308,'Native PMKS'!$C$6:$C$366,1),360)</f>
        <v>303</v>
      </c>
      <c r="D308" s="6">
        <f t="shared" si="4"/>
        <v>304</v>
      </c>
      <c r="E308" s="6">
        <f>(B308-INDEX('Native PMKS'!$C$6:$C$366,C308))/(INDEX('Native PMKS'!$C$6:$C$366,D308)-INDEX('Native PMKS'!$C$6:$C$366,C308))</f>
        <v>0.84122562674093715</v>
      </c>
      <c r="F308" s="6">
        <f>INDEX('Native PMKS'!$N$6:$N$366,C308)+(INDEX('Native PMKS'!$N$6:$N$366,D308)-INDEX('Native PMKS'!$N$6:$N$366,C308))*E308</f>
        <v>5.5195373259053042</v>
      </c>
      <c r="G308" s="6">
        <f>INDEX('Native PMKS'!$O$6:$O$366,C308)+(INDEX('Native PMKS'!$O$6:$O$366,D308)-INDEX('Native PMKS'!$O$6:$O$366,C308))*E308</f>
        <v>-56.432644846796649</v>
      </c>
    </row>
    <row r="309" spans="1:7" ht="18.95" customHeight="1">
      <c r="A309" s="1">
        <v>303</v>
      </c>
      <c r="B309" s="6">
        <f>TimeStep!G309</f>
        <v>2532.0334261838439</v>
      </c>
      <c r="C309" s="6">
        <f>MIN(MATCH(B309,'Native PMKS'!$C$6:$C$366,1),360)</f>
        <v>304</v>
      </c>
      <c r="D309" s="6">
        <f t="shared" si="4"/>
        <v>305</v>
      </c>
      <c r="E309" s="6">
        <f>(B309-INDEX('Native PMKS'!$C$6:$C$366,C309))/(INDEX('Native PMKS'!$C$6:$C$366,D309)-INDEX('Native PMKS'!$C$6:$C$366,C309))</f>
        <v>0.84401114206124761</v>
      </c>
      <c r="F309" s="6">
        <f>INDEX('Native PMKS'!$N$6:$N$366,C309)+(INDEX('Native PMKS'!$N$6:$N$366,D309)-INDEX('Native PMKS'!$N$6:$N$366,C309))*E309</f>
        <v>4.2646239554317971</v>
      </c>
      <c r="G309" s="6">
        <f>INDEX('Native PMKS'!$O$6:$O$366,C309)+(INDEX('Native PMKS'!$O$6:$O$366,D309)-INDEX('Native PMKS'!$O$6:$O$366,C309))*E309</f>
        <v>-57.227965738161529</v>
      </c>
    </row>
    <row r="310" spans="1:7" ht="18.95" customHeight="1">
      <c r="A310" s="1">
        <v>304</v>
      </c>
      <c r="B310" s="6">
        <f>TimeStep!G310</f>
        <v>2540.389972144847</v>
      </c>
      <c r="C310" s="6">
        <f>MIN(MATCH(B310,'Native PMKS'!$C$6:$C$366,1),360)</f>
        <v>305</v>
      </c>
      <c r="D310" s="6">
        <f t="shared" si="4"/>
        <v>306</v>
      </c>
      <c r="E310" s="6">
        <f>(B310-INDEX('Native PMKS'!$C$6:$C$366,C310))/(INDEX('Native PMKS'!$C$6:$C$366,D310)-INDEX('Native PMKS'!$C$6:$C$366,C310))</f>
        <v>0.84679665738160392</v>
      </c>
      <c r="F310" s="6">
        <f>INDEX('Native PMKS'!$N$6:$N$366,C310)+(INDEX('Native PMKS'!$N$6:$N$366,D310)-INDEX('Native PMKS'!$N$6:$N$366,C310))*E310</f>
        <v>3.0006128133704886</v>
      </c>
      <c r="G310" s="6">
        <f>INDEX('Native PMKS'!$O$6:$O$366,C310)+(INDEX('Native PMKS'!$O$6:$O$366,D310)-INDEX('Native PMKS'!$O$6:$O$366,C310))*E310</f>
        <v>-58.032315598885788</v>
      </c>
    </row>
    <row r="311" spans="1:7" ht="18.95" customHeight="1">
      <c r="A311" s="1">
        <v>305</v>
      </c>
      <c r="B311" s="6">
        <f>TimeStep!G311</f>
        <v>2548.7465181058496</v>
      </c>
      <c r="C311" s="6">
        <f>MIN(MATCH(B311,'Native PMKS'!$C$6:$C$366,1),360)</f>
        <v>306</v>
      </c>
      <c r="D311" s="6">
        <f t="shared" si="4"/>
        <v>307</v>
      </c>
      <c r="E311" s="6">
        <f>(B311-INDEX('Native PMKS'!$C$6:$C$366,C311))/(INDEX('Native PMKS'!$C$6:$C$366,D311)-INDEX('Native PMKS'!$C$6:$C$366,C311))</f>
        <v>0.84958217270195202</v>
      </c>
      <c r="F311" s="6">
        <f>INDEX('Native PMKS'!$N$6:$N$366,C311)+(INDEX('Native PMKS'!$N$6:$N$366,D311)-INDEX('Native PMKS'!$N$6:$N$366,C311))*E311</f>
        <v>1.7366016713091894</v>
      </c>
      <c r="G311" s="6">
        <f>INDEX('Native PMKS'!$O$6:$O$366,C311)+(INDEX('Native PMKS'!$O$6:$O$366,D311)-INDEX('Native PMKS'!$O$6:$O$366,C311))*E311</f>
        <v>-58.788053760445685</v>
      </c>
    </row>
    <row r="312" spans="1:7" ht="18.95" customHeight="1">
      <c r="A312" s="1">
        <v>306</v>
      </c>
      <c r="B312" s="6">
        <f>TimeStep!G312</f>
        <v>2557.1030640668523</v>
      </c>
      <c r="C312" s="6">
        <f>MIN(MATCH(B312,'Native PMKS'!$C$6:$C$366,1),360)</f>
        <v>307</v>
      </c>
      <c r="D312" s="6">
        <f t="shared" si="4"/>
        <v>308</v>
      </c>
      <c r="E312" s="6">
        <f>(B312-INDEX('Native PMKS'!$C$6:$C$366,C312))/(INDEX('Native PMKS'!$C$6:$C$366,D312)-INDEX('Native PMKS'!$C$6:$C$366,C312))</f>
        <v>0.85236768802226193</v>
      </c>
      <c r="F312" s="6">
        <f>INDEX('Native PMKS'!$N$6:$N$366,C312)+(INDEX('Native PMKS'!$N$6:$N$366,D312)-INDEX('Native PMKS'!$N$6:$N$366,C312))*E312</f>
        <v>0.42374986072426335</v>
      </c>
      <c r="G312" s="6">
        <f>INDEX('Native PMKS'!$O$6:$O$366,C312)+(INDEX('Native PMKS'!$O$6:$O$366,D312)-INDEX('Native PMKS'!$O$6:$O$366,C312))*E312</f>
        <v>-59.583784122562655</v>
      </c>
    </row>
    <row r="313" spans="1:7" ht="18.95" customHeight="1">
      <c r="A313" s="1">
        <v>307</v>
      </c>
      <c r="B313" s="6">
        <f>TimeStep!G313</f>
        <v>2565.459610027855</v>
      </c>
      <c r="C313" s="6">
        <f>MIN(MATCH(B313,'Native PMKS'!$C$6:$C$366,1),360)</f>
        <v>308</v>
      </c>
      <c r="D313" s="6">
        <f t="shared" si="4"/>
        <v>309</v>
      </c>
      <c r="E313" s="6">
        <f>(B313-INDEX('Native PMKS'!$C$6:$C$366,C313))/(INDEX('Native PMKS'!$C$6:$C$366,D313)-INDEX('Native PMKS'!$C$6:$C$366,C313))</f>
        <v>0.85515320334256362</v>
      </c>
      <c r="F313" s="6">
        <f>INDEX('Native PMKS'!$N$6:$N$366,C313)+(INDEX('Native PMKS'!$N$6:$N$366,D313)-INDEX('Native PMKS'!$N$6:$N$366,C313))*E313</f>
        <v>-0.89772089136483035</v>
      </c>
      <c r="G313" s="6">
        <f>INDEX('Native PMKS'!$O$6:$O$366,C313)+(INDEX('Native PMKS'!$O$6:$O$366,D313)-INDEX('Native PMKS'!$O$6:$O$366,C313))*E313</f>
        <v>-60.339118105849543</v>
      </c>
    </row>
    <row r="314" spans="1:7" ht="18.95" customHeight="1">
      <c r="A314" s="1">
        <v>308</v>
      </c>
      <c r="B314" s="6">
        <f>TimeStep!G314</f>
        <v>2573.8161559888581</v>
      </c>
      <c r="C314" s="6">
        <f>MIN(MATCH(B314,'Native PMKS'!$C$6:$C$366,1),360)</f>
        <v>309</v>
      </c>
      <c r="D314" s="6">
        <f t="shared" si="4"/>
        <v>310</v>
      </c>
      <c r="E314" s="6">
        <f>(B314-INDEX('Native PMKS'!$C$6:$C$366,C314))/(INDEX('Native PMKS'!$C$6:$C$366,D314)-INDEX('Native PMKS'!$C$6:$C$366,C314))</f>
        <v>0.85793871866296678</v>
      </c>
      <c r="F314" s="6">
        <f>INDEX('Native PMKS'!$N$6:$N$366,C314)+(INDEX('Native PMKS'!$N$6:$N$366,D314)-INDEX('Native PMKS'!$N$6:$N$366,C314))*E314</f>
        <v>-2.2191916434540575</v>
      </c>
      <c r="G314" s="6">
        <f>INDEX('Native PMKS'!$O$6:$O$366,C314)+(INDEX('Native PMKS'!$O$6:$O$366,D314)-INDEX('Native PMKS'!$O$6:$O$366,C314))*E314</f>
        <v>-61.135238440111436</v>
      </c>
    </row>
    <row r="315" spans="1:7" ht="18.95" customHeight="1">
      <c r="A315" s="1">
        <v>309</v>
      </c>
      <c r="B315" s="6">
        <f>TimeStep!G315</f>
        <v>2582.1727019498608</v>
      </c>
      <c r="C315" s="6">
        <f>MIN(MATCH(B315,'Native PMKS'!$C$6:$C$366,1),360)</f>
        <v>310</v>
      </c>
      <c r="D315" s="6">
        <f t="shared" si="4"/>
        <v>311</v>
      </c>
      <c r="E315" s="6">
        <f>(B315-INDEX('Native PMKS'!$C$6:$C$366,C315))/(INDEX('Native PMKS'!$C$6:$C$366,D315)-INDEX('Native PMKS'!$C$6:$C$366,C315))</f>
        <v>0.86072423398327624</v>
      </c>
      <c r="F315" s="6">
        <f>INDEX('Native PMKS'!$N$6:$N$366,C315)+(INDEX('Native PMKS'!$N$6:$N$366,D315)-INDEX('Native PMKS'!$N$6:$N$366,C315))*E315</f>
        <v>-3.5899818941504034</v>
      </c>
      <c r="G315" s="6">
        <f>INDEX('Native PMKS'!$O$6:$O$366,C315)+(INDEX('Native PMKS'!$O$6:$O$366,D315)-INDEX('Native PMKS'!$O$6:$O$366,C315))*E315</f>
        <v>-61.890267409470745</v>
      </c>
    </row>
    <row r="316" spans="1:7" ht="18.95" customHeight="1">
      <c r="A316" s="1">
        <v>310</v>
      </c>
      <c r="B316" s="6">
        <f>TimeStep!G316</f>
        <v>2590.5292479108634</v>
      </c>
      <c r="C316" s="6">
        <f>MIN(MATCH(B316,'Native PMKS'!$C$6:$C$366,1),360)</f>
        <v>311</v>
      </c>
      <c r="D316" s="6">
        <f t="shared" si="4"/>
        <v>312</v>
      </c>
      <c r="E316" s="6">
        <f>(B316-INDEX('Native PMKS'!$C$6:$C$366,C316))/(INDEX('Native PMKS'!$C$6:$C$366,D316)-INDEX('Native PMKS'!$C$6:$C$366,C316))</f>
        <v>0.86350974930357804</v>
      </c>
      <c r="F316" s="6">
        <f>INDEX('Native PMKS'!$N$6:$N$366,C316)+(INDEX('Native PMKS'!$N$6:$N$366,D316)-INDEX('Native PMKS'!$N$6:$N$366,C316))*E316</f>
        <v>-4.9194331476322555</v>
      </c>
      <c r="G316" s="6">
        <f>INDEX('Native PMKS'!$O$6:$O$366,C316)+(INDEX('Native PMKS'!$O$6:$O$366,D316)-INDEX('Native PMKS'!$O$6:$O$366,C316))*E316</f>
        <v>-62.637228412256235</v>
      </c>
    </row>
    <row r="317" spans="1:7" ht="18.95" customHeight="1">
      <c r="A317" s="1">
        <v>311</v>
      </c>
      <c r="B317" s="6">
        <f>TimeStep!G317</f>
        <v>2598.8857938718661</v>
      </c>
      <c r="C317" s="6">
        <f>MIN(MATCH(B317,'Native PMKS'!$C$6:$C$366,1),360)</f>
        <v>312</v>
      </c>
      <c r="D317" s="6">
        <f t="shared" si="4"/>
        <v>313</v>
      </c>
      <c r="E317" s="6">
        <f>(B317-INDEX('Native PMKS'!$C$6:$C$366,C317))/(INDEX('Native PMKS'!$C$6:$C$366,D317)-INDEX('Native PMKS'!$C$6:$C$366,C317))</f>
        <v>0.86629526462392703</v>
      </c>
      <c r="F317" s="6">
        <f>INDEX('Native PMKS'!$N$6:$N$366,C317)+(INDEX('Native PMKS'!$N$6:$N$366,D317)-INDEX('Native PMKS'!$N$6:$N$366,C317))*E317</f>
        <v>-6.2905426183843627</v>
      </c>
      <c r="G317" s="6">
        <f>INDEX('Native PMKS'!$O$6:$O$366,C317)+(INDEX('Native PMKS'!$O$6:$O$366,D317)-INDEX('Native PMKS'!$O$6:$O$366,C317))*E317</f>
        <v>-63.433755431754847</v>
      </c>
    </row>
    <row r="318" spans="1:7" ht="18.95" customHeight="1">
      <c r="A318" s="1">
        <v>312</v>
      </c>
      <c r="B318" s="6">
        <f>TimeStep!G318</f>
        <v>2607.2423398328692</v>
      </c>
      <c r="C318" s="6">
        <f>MIN(MATCH(B318,'Native PMKS'!$C$6:$C$366,1),360)</f>
        <v>313</v>
      </c>
      <c r="D318" s="6">
        <f t="shared" si="4"/>
        <v>314</v>
      </c>
      <c r="E318" s="6">
        <f>(B318-INDEX('Native PMKS'!$C$6:$C$366,C318))/(INDEX('Native PMKS'!$C$6:$C$366,D318)-INDEX('Native PMKS'!$C$6:$C$366,C318))</f>
        <v>0.86908077994429056</v>
      </c>
      <c r="F318" s="6">
        <f>INDEX('Native PMKS'!$N$6:$N$366,C318)+(INDEX('Native PMKS'!$N$6:$N$366,D318)-INDEX('Native PMKS'!$N$6:$N$366,C318))*E318</f>
        <v>-7.7192713091922016</v>
      </c>
      <c r="G318" s="6">
        <f>INDEX('Native PMKS'!$O$6:$O$366,C318)+(INDEX('Native PMKS'!$O$6:$O$366,D318)-INDEX('Native PMKS'!$O$6:$O$366,C318))*E318</f>
        <v>-64.138579944289688</v>
      </c>
    </row>
    <row r="319" spans="1:7" ht="18.95" customHeight="1">
      <c r="A319" s="1">
        <v>313</v>
      </c>
      <c r="B319" s="6">
        <f>TimeStep!G319</f>
        <v>2615.5988857938719</v>
      </c>
      <c r="C319" s="6">
        <f>MIN(MATCH(B319,'Native PMKS'!$C$6:$C$366,1),360)</f>
        <v>314</v>
      </c>
      <c r="D319" s="6">
        <f t="shared" si="4"/>
        <v>315</v>
      </c>
      <c r="E319" s="6">
        <f>(B319-INDEX('Native PMKS'!$C$6:$C$366,C319))/(INDEX('Native PMKS'!$C$6:$C$366,D319)-INDEX('Native PMKS'!$C$6:$C$366,C319))</f>
        <v>0.87186629526459236</v>
      </c>
      <c r="F319" s="6">
        <f>INDEX('Native PMKS'!$N$6:$N$366,C319)+(INDEX('Native PMKS'!$N$6:$N$366,D319)-INDEX('Native PMKS'!$N$6:$N$366,C319))*E319</f>
        <v>-9.1057033426183409</v>
      </c>
      <c r="G319" s="6">
        <f>INDEX('Native PMKS'!$O$6:$O$366,C319)+(INDEX('Native PMKS'!$O$6:$O$366,D319)-INDEX('Native PMKS'!$O$6:$O$366,C319))*E319</f>
        <v>-64.87796601671306</v>
      </c>
    </row>
    <row r="320" spans="1:7" ht="18.95" customHeight="1">
      <c r="A320" s="1">
        <v>314</v>
      </c>
      <c r="B320" s="6">
        <f>TimeStep!G320</f>
        <v>2623.9554317548746</v>
      </c>
      <c r="C320" s="6">
        <f>MIN(MATCH(B320,'Native PMKS'!$C$6:$C$366,1),360)</f>
        <v>315</v>
      </c>
      <c r="D320" s="6">
        <f t="shared" si="4"/>
        <v>316</v>
      </c>
      <c r="E320" s="6">
        <f>(B320-INDEX('Native PMKS'!$C$6:$C$366,C320))/(INDEX('Native PMKS'!$C$6:$C$366,D320)-INDEX('Native PMKS'!$C$6:$C$366,C320))</f>
        <v>0.87465181058494179</v>
      </c>
      <c r="F320" s="6">
        <f>INDEX('Native PMKS'!$N$6:$N$366,C320)+(INDEX('Native PMKS'!$N$6:$N$366,D320)-INDEX('Native PMKS'!$N$6:$N$366,C320))*E320</f>
        <v>-10.53475125348187</v>
      </c>
      <c r="G320" s="6">
        <f>INDEX('Native PMKS'!$O$6:$O$366,C320)+(INDEX('Native PMKS'!$O$6:$O$366,D320)-INDEX('Native PMKS'!$O$6:$O$366,C320))*E320</f>
        <v>-65.624928133704728</v>
      </c>
    </row>
    <row r="321" spans="1:7" ht="18.95" customHeight="1">
      <c r="A321" s="1">
        <v>315</v>
      </c>
      <c r="B321" s="6">
        <f>TimeStep!G321</f>
        <v>2632.3119777158772</v>
      </c>
      <c r="C321" s="6">
        <f>MIN(MATCH(B321,'Native PMKS'!$C$6:$C$366,1),360)</f>
        <v>316</v>
      </c>
      <c r="D321" s="6">
        <f t="shared" si="4"/>
        <v>317</v>
      </c>
      <c r="E321" s="6">
        <f>(B321-INDEX('Native PMKS'!$C$6:$C$366,C321))/(INDEX('Native PMKS'!$C$6:$C$366,D321)-INDEX('Native PMKS'!$C$6:$C$366,C321))</f>
        <v>0.87743732590525036</v>
      </c>
      <c r="F321" s="6">
        <f>INDEX('Native PMKS'!$N$6:$N$366,C321)+(INDEX('Native PMKS'!$N$6:$N$366,D321)-INDEX('Native PMKS'!$N$6:$N$366,C321))*E321</f>
        <v>-11.971141225626679</v>
      </c>
      <c r="G321" s="6">
        <f>INDEX('Native PMKS'!$O$6:$O$366,C321)+(INDEX('Native PMKS'!$O$6:$O$366,D321)-INDEX('Native PMKS'!$O$6:$O$366,C321))*E321</f>
        <v>-66.321538161559857</v>
      </c>
    </row>
    <row r="322" spans="1:7" ht="18.95" customHeight="1">
      <c r="A322" s="1">
        <v>316</v>
      </c>
      <c r="B322" s="6">
        <f>TimeStep!G322</f>
        <v>2640.6685236768803</v>
      </c>
      <c r="C322" s="6">
        <f>MIN(MATCH(B322,'Native PMKS'!$C$6:$C$366,1),360)</f>
        <v>317</v>
      </c>
      <c r="D322" s="6">
        <f t="shared" si="4"/>
        <v>318</v>
      </c>
      <c r="E322" s="6">
        <f>(B322-INDEX('Native PMKS'!$C$6:$C$366,C322))/(INDEX('Native PMKS'!$C$6:$C$366,D322)-INDEX('Native PMKS'!$C$6:$C$366,C322))</f>
        <v>0.88022284122560668</v>
      </c>
      <c r="F322" s="6">
        <f>INDEX('Native PMKS'!$N$6:$N$366,C322)+(INDEX('Native PMKS'!$N$6:$N$366,D322)-INDEX('Native PMKS'!$N$6:$N$366,C322))*E322</f>
        <v>-13.40753119777156</v>
      </c>
      <c r="G322" s="6">
        <f>INDEX('Native PMKS'!$O$6:$O$366,C322)+(INDEX('Native PMKS'!$O$6:$O$366,D322)-INDEX('Native PMKS'!$O$6:$O$366,C322))*E322</f>
        <v>-67.011041225626727</v>
      </c>
    </row>
    <row r="323" spans="1:7" ht="18.95" customHeight="1">
      <c r="A323" s="1">
        <v>317</v>
      </c>
      <c r="B323" s="6">
        <f>TimeStep!G323</f>
        <v>2649.025069637883</v>
      </c>
      <c r="C323" s="6">
        <f>MIN(MATCH(B323,'Native PMKS'!$C$6:$C$366,1),360)</f>
        <v>318</v>
      </c>
      <c r="D323" s="6">
        <f t="shared" si="4"/>
        <v>319</v>
      </c>
      <c r="E323" s="6">
        <f>(B323-INDEX('Native PMKS'!$C$6:$C$366,C323))/(INDEX('Native PMKS'!$C$6:$C$366,D323)-INDEX('Native PMKS'!$C$6:$C$366,C323))</f>
        <v>0.88300835654595655</v>
      </c>
      <c r="F323" s="6">
        <f>INDEX('Native PMKS'!$N$6:$N$366,C323)+(INDEX('Native PMKS'!$N$6:$N$366,D323)-INDEX('Native PMKS'!$N$6:$N$366,C323))*E323</f>
        <v>-14.843921169916428</v>
      </c>
      <c r="G323" s="6">
        <f>INDEX('Native PMKS'!$O$6:$O$366,C323)+(INDEX('Native PMKS'!$O$6:$O$366,D323)-INDEX('Native PMKS'!$O$6:$O$366,C323))*E323</f>
        <v>-67.70046824512535</v>
      </c>
    </row>
    <row r="324" spans="1:7" ht="18.95" customHeight="1">
      <c r="A324" s="1">
        <v>318</v>
      </c>
      <c r="B324" s="6">
        <f>TimeStep!G324</f>
        <v>2657.3816155988857</v>
      </c>
      <c r="C324" s="6">
        <f>MIN(MATCH(B324,'Native PMKS'!$C$6:$C$366,1),360)</f>
        <v>319</v>
      </c>
      <c r="D324" s="6">
        <f t="shared" si="4"/>
        <v>320</v>
      </c>
      <c r="E324" s="6">
        <f>(B324-INDEX('Native PMKS'!$C$6:$C$366,C324))/(INDEX('Native PMKS'!$C$6:$C$366,D324)-INDEX('Native PMKS'!$C$6:$C$366,C324))</f>
        <v>0.88579387186626468</v>
      </c>
      <c r="F324" s="6">
        <f>INDEX('Native PMKS'!$N$6:$N$366,C324)+(INDEX('Native PMKS'!$N$6:$N$366,D324)-INDEX('Native PMKS'!$N$6:$N$366,C324))*E324</f>
        <v>-16.280311142061237</v>
      </c>
      <c r="G324" s="6">
        <f>INDEX('Native PMKS'!$O$6:$O$366,C324)+(INDEX('Native PMKS'!$O$6:$O$366,D324)-INDEX('Native PMKS'!$O$6:$O$366,C324))*E324</f>
        <v>-68.389971866295255</v>
      </c>
    </row>
    <row r="325" spans="1:7" ht="18.95" customHeight="1">
      <c r="A325" s="1">
        <v>319</v>
      </c>
      <c r="B325" s="6">
        <f>TimeStep!G325</f>
        <v>2665.7381615598883</v>
      </c>
      <c r="C325" s="6">
        <f>MIN(MATCH(B325,'Native PMKS'!$C$6:$C$366,1),360)</f>
        <v>320</v>
      </c>
      <c r="D325" s="6">
        <f t="shared" si="4"/>
        <v>321</v>
      </c>
      <c r="E325" s="6">
        <f>(B325-INDEX('Native PMKS'!$C$6:$C$366,C325))/(INDEX('Native PMKS'!$C$6:$C$366,D325)-INDEX('Native PMKS'!$C$6:$C$366,C325))</f>
        <v>0.88857938718656648</v>
      </c>
      <c r="F325" s="6">
        <f>INDEX('Native PMKS'!$N$6:$N$366,C325)+(INDEX('Native PMKS'!$N$6:$N$366,D325)-INDEX('Native PMKS'!$N$6:$N$366,C325))*E325</f>
        <v>-17.767616713091826</v>
      </c>
      <c r="G325" s="6">
        <f>INDEX('Native PMKS'!$O$6:$O$366,C325)+(INDEX('Native PMKS'!$O$6:$O$366,D325)-INDEX('Native PMKS'!$O$6:$O$366,C325))*E325</f>
        <v>-69.028482729804963</v>
      </c>
    </row>
    <row r="326" spans="1:7" ht="18.95" customHeight="1">
      <c r="A326" s="1">
        <v>320</v>
      </c>
      <c r="B326" s="6">
        <f>TimeStep!G326</f>
        <v>2674.0947075208915</v>
      </c>
      <c r="C326" s="6">
        <f>MIN(MATCH(B326,'Native PMKS'!$C$6:$C$366,1),360)</f>
        <v>321</v>
      </c>
      <c r="D326" s="6">
        <f t="shared" ref="D326:D389" si="5">C326+1</f>
        <v>322</v>
      </c>
      <c r="E326" s="6">
        <f>(B326-INDEX('Native PMKS'!$C$6:$C$366,C326))/(INDEX('Native PMKS'!$C$6:$C$366,D326)-INDEX('Native PMKS'!$C$6:$C$366,C326))</f>
        <v>0.89136490250697142</v>
      </c>
      <c r="F326" s="6">
        <f>INDEX('Native PMKS'!$N$6:$N$366,C326)+(INDEX('Native PMKS'!$N$6:$N$366,D326)-INDEX('Native PMKS'!$N$6:$N$366,C326))*E326</f>
        <v>-19.210391086350985</v>
      </c>
      <c r="G326" s="6">
        <f>INDEX('Native PMKS'!$O$6:$O$366,C326)+(INDEX('Native PMKS'!$O$6:$O$366,D326)-INDEX('Native PMKS'!$O$6:$O$366,C326))*E326</f>
        <v>-69.660527298050141</v>
      </c>
    </row>
    <row r="327" spans="1:7" ht="18.95" customHeight="1">
      <c r="A327" s="1">
        <v>321</v>
      </c>
      <c r="B327" s="6">
        <f>TimeStep!G327</f>
        <v>2682.4512534818941</v>
      </c>
      <c r="C327" s="6">
        <f>MIN(MATCH(B327,'Native PMKS'!$C$6:$C$366,1),360)</f>
        <v>322</v>
      </c>
      <c r="D327" s="6">
        <f t="shared" si="5"/>
        <v>323</v>
      </c>
      <c r="E327" s="6">
        <f>(B327-INDEX('Native PMKS'!$C$6:$C$366,C327))/(INDEX('Native PMKS'!$C$6:$C$366,D327)-INDEX('Native PMKS'!$C$6:$C$366,C327))</f>
        <v>0.894150417827279</v>
      </c>
      <c r="F327" s="6">
        <f>INDEX('Native PMKS'!$N$6:$N$366,C327)+(INDEX('Native PMKS'!$N$6:$N$366,D327)-INDEX('Native PMKS'!$N$6:$N$366,C327))*E327</f>
        <v>-20.698015877437296</v>
      </c>
      <c r="G327" s="6">
        <f>INDEX('Native PMKS'!$O$6:$O$366,C327)+(INDEX('Native PMKS'!$O$6:$O$366,D327)-INDEX('Native PMKS'!$O$6:$O$366,C327))*E327</f>
        <v>-70.24125877437325</v>
      </c>
    </row>
    <row r="328" spans="1:7" ht="18.95" customHeight="1">
      <c r="A328" s="1">
        <v>322</v>
      </c>
      <c r="B328" s="6">
        <f>TimeStep!G328</f>
        <v>2690.8077994428968</v>
      </c>
      <c r="C328" s="6">
        <f>MIN(MATCH(B328,'Native PMKS'!$C$6:$C$366,1),360)</f>
        <v>323</v>
      </c>
      <c r="D328" s="6">
        <f t="shared" si="5"/>
        <v>324</v>
      </c>
      <c r="E328" s="6">
        <f>(B328-INDEX('Native PMKS'!$C$6:$C$366,C328))/(INDEX('Native PMKS'!$C$6:$C$366,D328)-INDEX('Native PMKS'!$C$6:$C$366,C328))</f>
        <v>0.8969359331475808</v>
      </c>
      <c r="F328" s="6">
        <f>INDEX('Native PMKS'!$N$6:$N$366,C328)+(INDEX('Native PMKS'!$N$6:$N$366,D328)-INDEX('Native PMKS'!$N$6:$N$366,C328))*E328</f>
        <v>-22.140471030640594</v>
      </c>
      <c r="G328" s="6">
        <f>INDEX('Native PMKS'!$O$6:$O$366,C328)+(INDEX('Native PMKS'!$O$6:$O$366,D328)-INDEX('Native PMKS'!$O$6:$O$366,C328))*E328</f>
        <v>-70.867238718662918</v>
      </c>
    </row>
    <row r="329" spans="1:7" ht="18.95" customHeight="1">
      <c r="A329" s="1">
        <v>323</v>
      </c>
      <c r="B329" s="6">
        <f>TimeStep!G329</f>
        <v>2699.1643454038999</v>
      </c>
      <c r="C329" s="6">
        <f>MIN(MATCH(B329,'Native PMKS'!$C$6:$C$366,1),360)</f>
        <v>324</v>
      </c>
      <c r="D329" s="6">
        <f t="shared" si="5"/>
        <v>325</v>
      </c>
      <c r="E329" s="6">
        <f>(B329-INDEX('Native PMKS'!$C$6:$C$366,C329))/(INDEX('Native PMKS'!$C$6:$C$366,D329)-INDEX('Native PMKS'!$C$6:$C$366,C329))</f>
        <v>0.89972144846798618</v>
      </c>
      <c r="F329" s="6">
        <f>INDEX('Native PMKS'!$N$6:$N$366,C329)+(INDEX('Native PMKS'!$N$6:$N$366,D329)-INDEX('Native PMKS'!$N$6:$N$366,C329))*E329</f>
        <v>-23.62832506963791</v>
      </c>
      <c r="G329" s="6">
        <f>INDEX('Native PMKS'!$O$6:$O$366,C329)+(INDEX('Native PMKS'!$O$6:$O$366,D329)-INDEX('Native PMKS'!$O$6:$O$366,C329))*E329</f>
        <v>-71.396096378830094</v>
      </c>
    </row>
    <row r="330" spans="1:7" ht="18.95" customHeight="1">
      <c r="A330" s="1">
        <v>324</v>
      </c>
      <c r="B330" s="6">
        <f>TimeStep!G330</f>
        <v>2707.5208913649026</v>
      </c>
      <c r="C330" s="6">
        <f>MIN(MATCH(B330,'Native PMKS'!$C$6:$C$366,1),360)</f>
        <v>325</v>
      </c>
      <c r="D330" s="6">
        <f t="shared" si="5"/>
        <v>326</v>
      </c>
      <c r="E330" s="6">
        <f>(B330-INDEX('Native PMKS'!$C$6:$C$366,C330))/(INDEX('Native PMKS'!$C$6:$C$366,D330)-INDEX('Native PMKS'!$C$6:$C$366,C330))</f>
        <v>0.90250696378829343</v>
      </c>
      <c r="F330" s="6">
        <f>INDEX('Native PMKS'!$N$6:$N$366,C330)+(INDEX('Native PMKS'!$N$6:$N$366,D330)-INDEX('Native PMKS'!$N$6:$N$366,C330))*E330</f>
        <v>-25.070450974930353</v>
      </c>
      <c r="G330" s="6">
        <f>INDEX('Native PMKS'!$O$6:$O$366,C330)+(INDEX('Native PMKS'!$O$6:$O$366,D330)-INDEX('Native PMKS'!$O$6:$O$366,C330))*E330</f>
        <v>-71.913222841225618</v>
      </c>
    </row>
    <row r="331" spans="1:7" ht="18.95" customHeight="1">
      <c r="A331" s="1">
        <v>325</v>
      </c>
      <c r="B331" s="6">
        <f>TimeStep!G331</f>
        <v>2715.8774373259052</v>
      </c>
      <c r="C331" s="6">
        <f>MIN(MATCH(B331,'Native PMKS'!$C$6:$C$366,1),360)</f>
        <v>326</v>
      </c>
      <c r="D331" s="6">
        <f t="shared" si="5"/>
        <v>327</v>
      </c>
      <c r="E331" s="6">
        <f>(B331-INDEX('Native PMKS'!$C$6:$C$366,C331))/(INDEX('Native PMKS'!$C$6:$C$366,D331)-INDEX('Native PMKS'!$C$6:$C$366,C331))</f>
        <v>0.90529247910859512</v>
      </c>
      <c r="F331" s="6">
        <f>INDEX('Native PMKS'!$N$6:$N$366,C331)+(INDEX('Native PMKS'!$N$6:$N$366,D331)-INDEX('Native PMKS'!$N$6:$N$366,C331))*E331</f>
        <v>-26.558714206128073</v>
      </c>
      <c r="G331" s="6">
        <f>INDEX('Native PMKS'!$O$6:$O$366,C331)+(INDEX('Native PMKS'!$O$6:$O$366,D331)-INDEX('Native PMKS'!$O$6:$O$366,C331))*E331</f>
        <v>-72.430359331476311</v>
      </c>
    </row>
    <row r="332" spans="1:7" ht="18.95" customHeight="1">
      <c r="A332" s="1">
        <v>326</v>
      </c>
      <c r="B332" s="6">
        <f>TimeStep!G332</f>
        <v>2724.2339832869079</v>
      </c>
      <c r="C332" s="6">
        <f>MIN(MATCH(B332,'Native PMKS'!$C$6:$C$366,1),360)</f>
        <v>327</v>
      </c>
      <c r="D332" s="6">
        <f t="shared" si="5"/>
        <v>328</v>
      </c>
      <c r="E332" s="6">
        <f>(B332-INDEX('Native PMKS'!$C$6:$C$366,C332))/(INDEX('Native PMKS'!$C$6:$C$366,D332)-INDEX('Native PMKS'!$C$6:$C$366,C332))</f>
        <v>0.90807799442894643</v>
      </c>
      <c r="F332" s="6">
        <f>INDEX('Native PMKS'!$N$6:$N$366,C332)+(INDEX('Native PMKS'!$N$6:$N$366,D332)-INDEX('Native PMKS'!$N$6:$N$366,C332))*E332</f>
        <v>-28.000530919220022</v>
      </c>
      <c r="G332" s="6">
        <f>INDEX('Native PMKS'!$O$6:$O$366,C332)+(INDEX('Native PMKS'!$O$6:$O$366,D332)-INDEX('Native PMKS'!$O$6:$O$366,C332))*E332</f>
        <v>-72.895372144846789</v>
      </c>
    </row>
    <row r="333" spans="1:7" ht="18.95" customHeight="1">
      <c r="A333" s="1">
        <v>327</v>
      </c>
      <c r="B333" s="6">
        <f>TimeStep!G333</f>
        <v>2732.590529247911</v>
      </c>
      <c r="C333" s="6">
        <f>MIN(MATCH(B333,'Native PMKS'!$C$6:$C$366,1),360)</f>
        <v>328</v>
      </c>
      <c r="D333" s="6">
        <f t="shared" si="5"/>
        <v>329</v>
      </c>
      <c r="E333" s="6">
        <f>(B333-INDEX('Native PMKS'!$C$6:$C$366,C333))/(INDEX('Native PMKS'!$C$6:$C$366,D333)-INDEX('Native PMKS'!$C$6:$C$366,C333))</f>
        <v>0.91086350974930774</v>
      </c>
      <c r="F333" s="6">
        <f>INDEX('Native PMKS'!$N$6:$N$366,C333)+(INDEX('Native PMKS'!$N$6:$N$366,D333)-INDEX('Native PMKS'!$N$6:$N$366,C333))*E333</f>
        <v>-29.489113370473543</v>
      </c>
      <c r="G333" s="6">
        <f>INDEX('Native PMKS'!$O$6:$O$366,C333)+(INDEX('Native PMKS'!$O$6:$O$366,D333)-INDEX('Native PMKS'!$O$6:$O$366,C333))*E333</f>
        <v>-73.355039832869082</v>
      </c>
    </row>
    <row r="334" spans="1:7" ht="18.95" customHeight="1">
      <c r="A334" s="1">
        <v>328</v>
      </c>
      <c r="B334" s="6">
        <f>TimeStep!G334</f>
        <v>2740.9470752089137</v>
      </c>
      <c r="C334" s="6">
        <f>MIN(MATCH(B334,'Native PMKS'!$C$6:$C$366,1),360)</f>
        <v>329</v>
      </c>
      <c r="D334" s="6">
        <f t="shared" si="5"/>
        <v>330</v>
      </c>
      <c r="E334" s="6">
        <f>(B334-INDEX('Native PMKS'!$C$6:$C$366,C334))/(INDEX('Native PMKS'!$C$6:$C$366,D334)-INDEX('Native PMKS'!$C$6:$C$366,C334))</f>
        <v>0.91364902506960943</v>
      </c>
      <c r="F334" s="6">
        <f>INDEX('Native PMKS'!$N$6:$N$366,C334)+(INDEX('Native PMKS'!$N$6:$N$366,D334)-INDEX('Native PMKS'!$N$6:$N$366,C334))*E334</f>
        <v>-30.93061086350971</v>
      </c>
      <c r="G334" s="6">
        <f>INDEX('Native PMKS'!$O$6:$O$366,C334)+(INDEX('Native PMKS'!$O$6:$O$366,D334)-INDEX('Native PMKS'!$O$6:$O$366,C334))*E334</f>
        <v>-73.76236462395542</v>
      </c>
    </row>
    <row r="335" spans="1:7" ht="18.95" customHeight="1">
      <c r="A335" s="1">
        <v>329</v>
      </c>
      <c r="B335" s="6">
        <f>TimeStep!G335</f>
        <v>2749.3036211699164</v>
      </c>
      <c r="C335" s="6">
        <f>MIN(MATCH(B335,'Native PMKS'!$C$6:$C$366,1),360)</f>
        <v>330</v>
      </c>
      <c r="D335" s="6">
        <f t="shared" si="5"/>
        <v>331</v>
      </c>
      <c r="E335" s="6">
        <f>(B335-INDEX('Native PMKS'!$C$6:$C$366,C335))/(INDEX('Native PMKS'!$C$6:$C$366,D335)-INDEX('Native PMKS'!$C$6:$C$366,C335))</f>
        <v>0.91643454038996119</v>
      </c>
      <c r="F335" s="6">
        <f>INDEX('Native PMKS'!$N$6:$N$366,C335)+(INDEX('Native PMKS'!$N$6:$N$366,D335)-INDEX('Native PMKS'!$N$6:$N$366,C335))*E335</f>
        <v>-32.367000835654579</v>
      </c>
      <c r="G335" s="6">
        <f>INDEX('Native PMKS'!$O$6:$O$366,C335)+(INDEX('Native PMKS'!$O$6:$O$366,D335)-INDEX('Native PMKS'!$O$6:$O$366,C335))*E335</f>
        <v>-74.111978551532019</v>
      </c>
    </row>
    <row r="336" spans="1:7" ht="18.95" customHeight="1">
      <c r="A336" s="1">
        <v>330</v>
      </c>
      <c r="B336" s="6">
        <f>TimeStep!G336</f>
        <v>2757.660167130919</v>
      </c>
      <c r="C336" s="6">
        <f>MIN(MATCH(B336,'Native PMKS'!$C$6:$C$366,1),360)</f>
        <v>331</v>
      </c>
      <c r="D336" s="6">
        <f t="shared" si="5"/>
        <v>332</v>
      </c>
      <c r="E336" s="6">
        <f>(B336-INDEX('Native PMKS'!$C$6:$C$366,C336))/(INDEX('Native PMKS'!$C$6:$C$366,D336)-INDEX('Native PMKS'!$C$6:$C$366,C336))</f>
        <v>0.91922005571026755</v>
      </c>
      <c r="F336" s="6">
        <f>INDEX('Native PMKS'!$N$6:$N$366,C336)+(INDEX('Native PMKS'!$N$6:$N$366,D336)-INDEX('Native PMKS'!$N$6:$N$366,C336))*E336</f>
        <v>-33.750719498607189</v>
      </c>
      <c r="G336" s="6">
        <f>INDEX('Native PMKS'!$O$6:$O$366,C336)+(INDEX('Native PMKS'!$O$6:$O$366,D336)-INDEX('Native PMKS'!$O$6:$O$366,C336))*E336</f>
        <v>-74.45672785515319</v>
      </c>
    </row>
    <row r="337" spans="1:7" ht="18.95" customHeight="1">
      <c r="A337" s="1">
        <v>331</v>
      </c>
      <c r="B337" s="6">
        <f>TimeStep!G337</f>
        <v>2766.0167130919222</v>
      </c>
      <c r="C337" s="6">
        <f>MIN(MATCH(B337,'Native PMKS'!$C$6:$C$366,1),360)</f>
        <v>332</v>
      </c>
      <c r="D337" s="6">
        <f t="shared" si="5"/>
        <v>333</v>
      </c>
      <c r="E337" s="6">
        <f>(B337-INDEX('Native PMKS'!$C$6:$C$366,C337))/(INDEX('Native PMKS'!$C$6:$C$366,D337)-INDEX('Native PMKS'!$C$6:$C$366,C337))</f>
        <v>0.92200557103062375</v>
      </c>
      <c r="F337" s="6">
        <f>INDEX('Native PMKS'!$N$6:$N$366,C337)+(INDEX('Native PMKS'!$N$6:$N$366,D337)-INDEX('Native PMKS'!$N$6:$N$366,C337))*E337</f>
        <v>-35.182480779944264</v>
      </c>
      <c r="G337" s="6">
        <f>INDEX('Native PMKS'!$O$6:$O$366,C337)+(INDEX('Native PMKS'!$O$6:$O$366,D337)-INDEX('Native PMKS'!$O$6:$O$366,C337))*E337</f>
        <v>-74.74865459610028</v>
      </c>
    </row>
    <row r="338" spans="1:7" ht="18.95" customHeight="1">
      <c r="A338" s="1">
        <v>332</v>
      </c>
      <c r="B338" s="6">
        <f>TimeStep!G338</f>
        <v>2774.3732590529248</v>
      </c>
      <c r="C338" s="6">
        <f>MIN(MATCH(B338,'Native PMKS'!$C$6:$C$366,1),360)</f>
        <v>333</v>
      </c>
      <c r="D338" s="6">
        <f t="shared" si="5"/>
        <v>334</v>
      </c>
      <c r="E338" s="6">
        <f>(B338-INDEX('Native PMKS'!$C$6:$C$366,C338))/(INDEX('Native PMKS'!$C$6:$C$366,D338)-INDEX('Native PMKS'!$C$6:$C$366,C338))</f>
        <v>0.92479108635097595</v>
      </c>
      <c r="F338" s="6">
        <f>INDEX('Native PMKS'!$N$6:$N$366,C338)+(INDEX('Native PMKS'!$N$6:$N$366,D338)-INDEX('Native PMKS'!$N$6:$N$366,C338))*E338</f>
        <v>-36.56588022284123</v>
      </c>
      <c r="G338" s="6">
        <f>INDEX('Native PMKS'!$O$6:$O$366,C338)+(INDEX('Native PMKS'!$O$6:$O$366,D338)-INDEX('Native PMKS'!$O$6:$O$366,C338))*E338</f>
        <v>-74.982962116991644</v>
      </c>
    </row>
    <row r="339" spans="1:7" ht="18.95" customHeight="1">
      <c r="A339" s="1">
        <v>333</v>
      </c>
      <c r="B339" s="6">
        <f>TimeStep!G339</f>
        <v>2782.7298050139275</v>
      </c>
      <c r="C339" s="6">
        <f>MIN(MATCH(B339,'Native PMKS'!$C$6:$C$366,1),360)</f>
        <v>334</v>
      </c>
      <c r="D339" s="6">
        <f t="shared" si="5"/>
        <v>335</v>
      </c>
      <c r="E339" s="6">
        <f>(B339-INDEX('Native PMKS'!$C$6:$C$366,C339))/(INDEX('Native PMKS'!$C$6:$C$366,D339)-INDEX('Native PMKS'!$C$6:$C$366,C339))</f>
        <v>0.92757660167128186</v>
      </c>
      <c r="F339" s="6">
        <f>INDEX('Native PMKS'!$N$6:$N$366,C339)+(INDEX('Native PMKS'!$N$6:$N$366,D339)-INDEX('Native PMKS'!$N$6:$N$366,C339))*E339</f>
        <v>-37.891660445682412</v>
      </c>
      <c r="G339" s="6">
        <f>INDEX('Native PMKS'!$O$6:$O$366,C339)+(INDEX('Native PMKS'!$O$6:$O$366,D339)-INDEX('Native PMKS'!$O$6:$O$366,C339))*E339</f>
        <v>-75.159650417827294</v>
      </c>
    </row>
    <row r="340" spans="1:7" ht="18.95" customHeight="1">
      <c r="A340" s="1">
        <v>334</v>
      </c>
      <c r="B340" s="6">
        <f>TimeStep!G340</f>
        <v>2791.0863509749302</v>
      </c>
      <c r="C340" s="6">
        <f>MIN(MATCH(B340,'Native PMKS'!$C$6:$C$366,1),360)</f>
        <v>335</v>
      </c>
      <c r="D340" s="6">
        <f t="shared" si="5"/>
        <v>336</v>
      </c>
      <c r="E340" s="6">
        <f>(B340-INDEX('Native PMKS'!$C$6:$C$366,C340))/(INDEX('Native PMKS'!$C$6:$C$366,D340)-INDEX('Native PMKS'!$C$6:$C$366,C340))</f>
        <v>0.93036211699158355</v>
      </c>
      <c r="F340" s="6">
        <f>INDEX('Native PMKS'!$N$6:$N$366,C340)+(INDEX('Native PMKS'!$N$6:$N$366,D340)-INDEX('Native PMKS'!$N$6:$N$366,C340))*E340</f>
        <v>-39.266440947075125</v>
      </c>
      <c r="G340" s="6">
        <f>INDEX('Native PMKS'!$O$6:$O$366,C340)+(INDEX('Native PMKS'!$O$6:$O$366,D340)-INDEX('Native PMKS'!$O$6:$O$366,C340))*E340</f>
        <v>-75.332029247910853</v>
      </c>
    </row>
    <row r="341" spans="1:7" ht="18.95" customHeight="1">
      <c r="A341" s="1">
        <v>335</v>
      </c>
      <c r="B341" s="6">
        <f>TimeStep!G341</f>
        <v>2799.4428969359333</v>
      </c>
      <c r="C341" s="6">
        <f>MIN(MATCH(B341,'Native PMKS'!$C$6:$C$366,1),360)</f>
        <v>336</v>
      </c>
      <c r="D341" s="6">
        <f t="shared" si="5"/>
        <v>337</v>
      </c>
      <c r="E341" s="6">
        <f>(B341-INDEX('Native PMKS'!$C$6:$C$366,C341))/(INDEX('Native PMKS'!$C$6:$C$366,D341)-INDEX('Native PMKS'!$C$6:$C$366,C341))</f>
        <v>0.93314763231199083</v>
      </c>
      <c r="F341" s="6">
        <f>INDEX('Native PMKS'!$N$6:$N$366,C341)+(INDEX('Native PMKS'!$N$6:$N$366,D341)-INDEX('Native PMKS'!$N$6:$N$366,C341))*E341</f>
        <v>-40.538432590529268</v>
      </c>
      <c r="G341" s="6">
        <f>INDEX('Native PMKS'!$O$6:$O$366,C341)+(INDEX('Native PMKS'!$O$6:$O$366,D341)-INDEX('Native PMKS'!$O$6:$O$366,C341))*E341</f>
        <v>-75.45084540389972</v>
      </c>
    </row>
    <row r="342" spans="1:7" ht="18.95" customHeight="1">
      <c r="A342" s="1">
        <v>336</v>
      </c>
      <c r="B342" s="6">
        <f>TimeStep!G342</f>
        <v>2807.7994428969359</v>
      </c>
      <c r="C342" s="6">
        <f>MIN(MATCH(B342,'Native PMKS'!$C$6:$C$366,1),360)</f>
        <v>337</v>
      </c>
      <c r="D342" s="6">
        <f t="shared" si="5"/>
        <v>338</v>
      </c>
      <c r="E342" s="6">
        <f>(B342-INDEX('Native PMKS'!$C$6:$C$366,C342))/(INDEX('Native PMKS'!$C$6:$C$366,D342)-INDEX('Native PMKS'!$C$6:$C$366,C342))</f>
        <v>0.93593314763229618</v>
      </c>
      <c r="F342" s="6">
        <f>INDEX('Native PMKS'!$N$6:$N$366,C342)+(INDEX('Native PMKS'!$N$6:$N$366,D342)-INDEX('Native PMKS'!$N$6:$N$366,C342))*E342</f>
        <v>-41.856072701949842</v>
      </c>
      <c r="G342" s="6">
        <f>INDEX('Native PMKS'!$O$6:$O$366,C342)+(INDEX('Native PMKS'!$O$6:$O$366,D342)-INDEX('Native PMKS'!$O$6:$O$366,C342))*E342</f>
        <v>-75.458500000000001</v>
      </c>
    </row>
    <row r="343" spans="1:7" ht="18.95" customHeight="1">
      <c r="A343" s="1">
        <v>337</v>
      </c>
      <c r="B343" s="6">
        <f>TimeStep!G343</f>
        <v>2816.1559888579386</v>
      </c>
      <c r="C343" s="6">
        <f>MIN(MATCH(B343,'Native PMKS'!$C$6:$C$366,1),360)</f>
        <v>338</v>
      </c>
      <c r="D343" s="6">
        <f t="shared" si="5"/>
        <v>339</v>
      </c>
      <c r="E343" s="6">
        <f>(B343-INDEX('Native PMKS'!$C$6:$C$366,C343))/(INDEX('Native PMKS'!$C$6:$C$366,D343)-INDEX('Native PMKS'!$C$6:$C$366,C343))</f>
        <v>0.93871866295259787</v>
      </c>
      <c r="F343" s="6">
        <f>INDEX('Native PMKS'!$N$6:$N$366,C343)+(INDEX('Native PMKS'!$N$6:$N$366,D343)-INDEX('Native PMKS'!$N$6:$N$366,C343))*E343</f>
        <v>-43.123754874651752</v>
      </c>
      <c r="G343" s="6">
        <f>INDEX('Native PMKS'!$O$6:$O$366,C343)+(INDEX('Native PMKS'!$O$6:$O$366,D343)-INDEX('Native PMKS'!$O$6:$O$366,C343))*E343</f>
        <v>-75.458500000000001</v>
      </c>
    </row>
    <row r="344" spans="1:7" ht="18.95" customHeight="1">
      <c r="A344" s="1">
        <v>338</v>
      </c>
      <c r="B344" s="6">
        <f>TimeStep!G344</f>
        <v>2824.5125348189413</v>
      </c>
      <c r="C344" s="6">
        <f>MIN(MATCH(B344,'Native PMKS'!$C$6:$C$366,1),360)</f>
        <v>339</v>
      </c>
      <c r="D344" s="6">
        <f t="shared" si="5"/>
        <v>340</v>
      </c>
      <c r="E344" s="6">
        <f>(B344-INDEX('Native PMKS'!$C$6:$C$366,C344))/(INDEX('Native PMKS'!$C$6:$C$366,D344)-INDEX('Native PMKS'!$C$6:$C$366,C344))</f>
        <v>0.94150417827295096</v>
      </c>
      <c r="F344" s="6">
        <f>INDEX('Native PMKS'!$N$6:$N$366,C344)+(INDEX('Native PMKS'!$N$6:$N$366,D344)-INDEX('Native PMKS'!$N$6:$N$366,C344))*E344</f>
        <v>-44.33381782729802</v>
      </c>
      <c r="G344" s="6">
        <f>INDEX('Native PMKS'!$O$6:$O$366,C344)+(INDEX('Native PMKS'!$O$6:$O$366,D344)-INDEX('Native PMKS'!$O$6:$O$366,C344))*E344</f>
        <v>-75.404551810584962</v>
      </c>
    </row>
    <row r="345" spans="1:7" ht="18.95" customHeight="1">
      <c r="A345" s="1">
        <v>339</v>
      </c>
      <c r="B345" s="6">
        <f>TimeStep!G345</f>
        <v>2832.8690807799444</v>
      </c>
      <c r="C345" s="6">
        <f>MIN(MATCH(B345,'Native PMKS'!$C$6:$C$366,1),360)</f>
        <v>340</v>
      </c>
      <c r="D345" s="6">
        <f t="shared" si="5"/>
        <v>341</v>
      </c>
      <c r="E345" s="6">
        <f>(B345-INDEX('Native PMKS'!$C$6:$C$366,C345))/(INDEX('Native PMKS'!$C$6:$C$366,D345)-INDEX('Native PMKS'!$C$6:$C$366,C345))</f>
        <v>0.9442896935933105</v>
      </c>
      <c r="F345" s="6">
        <f>INDEX('Native PMKS'!$N$6:$N$366,C345)+(INDEX('Native PMKS'!$N$6:$N$366,D345)-INDEX('Native PMKS'!$N$6:$N$366,C345))*E345</f>
        <v>-45.540369359331471</v>
      </c>
      <c r="G345" s="6">
        <f>INDEX('Native PMKS'!$O$6:$O$366,C345)+(INDEX('Native PMKS'!$O$6:$O$366,D345)-INDEX('Native PMKS'!$O$6:$O$366,C345))*E345</f>
        <v>-75.293078830083559</v>
      </c>
    </row>
    <row r="346" spans="1:7" ht="18.95" customHeight="1">
      <c r="A346" s="1">
        <v>340</v>
      </c>
      <c r="B346" s="6">
        <f>TimeStep!G346</f>
        <v>2841.2256267409471</v>
      </c>
      <c r="C346" s="6">
        <f>MIN(MATCH(B346,'Native PMKS'!$C$6:$C$366,1),360)</f>
        <v>341</v>
      </c>
      <c r="D346" s="6">
        <f t="shared" si="5"/>
        <v>342</v>
      </c>
      <c r="E346" s="6">
        <f>(B346-INDEX('Native PMKS'!$C$6:$C$366,C346))/(INDEX('Native PMKS'!$C$6:$C$366,D346)-INDEX('Native PMKS'!$C$6:$C$366,C346))</f>
        <v>0.94707520891361219</v>
      </c>
      <c r="F346" s="6">
        <f>INDEX('Native PMKS'!$N$6:$N$366,C346)+(INDEX('Native PMKS'!$N$6:$N$366,D346)-INDEX('Native PMKS'!$N$6:$N$366,C346))*E346</f>
        <v>-46.692748189414999</v>
      </c>
      <c r="G346" s="6">
        <f>INDEX('Native PMKS'!$O$6:$O$366,C346)+(INDEX('Native PMKS'!$O$6:$O$366,D346)-INDEX('Native PMKS'!$O$6:$O$366,C346))*E346</f>
        <v>-75.12389777158775</v>
      </c>
    </row>
    <row r="347" spans="1:7" ht="18.95" customHeight="1">
      <c r="A347" s="1">
        <v>341</v>
      </c>
      <c r="B347" s="6">
        <f>TimeStep!G347</f>
        <v>2849.5821727019497</v>
      </c>
      <c r="C347" s="6">
        <f>MIN(MATCH(B347,'Native PMKS'!$C$6:$C$366,1),360)</f>
        <v>342</v>
      </c>
      <c r="D347" s="6">
        <f t="shared" si="5"/>
        <v>343</v>
      </c>
      <c r="E347" s="6">
        <f>(B347-INDEX('Native PMKS'!$C$6:$C$366,C347))/(INDEX('Native PMKS'!$C$6:$C$366,D347)-INDEX('Native PMKS'!$C$6:$C$366,C347))</f>
        <v>0.94986072423396584</v>
      </c>
      <c r="F347" s="6">
        <f>INDEX('Native PMKS'!$N$6:$N$366,C347)+(INDEX('Native PMKS'!$N$6:$N$366,D347)-INDEX('Native PMKS'!$N$6:$N$366,C347))*E347</f>
        <v>-47.841845403899697</v>
      </c>
      <c r="G347" s="6">
        <f>INDEX('Native PMKS'!$O$6:$O$366,C347)+(INDEX('Native PMKS'!$O$6:$O$366,D347)-INDEX('Native PMKS'!$O$6:$O$366,C347))*E347</f>
        <v>-74.897091922005572</v>
      </c>
    </row>
    <row r="348" spans="1:7" ht="18.95" customHeight="1">
      <c r="A348" s="1">
        <v>342</v>
      </c>
      <c r="B348" s="6">
        <f>TimeStep!G348</f>
        <v>2857.9387186629529</v>
      </c>
      <c r="C348" s="6">
        <f>MIN(MATCH(B348,'Native PMKS'!$C$6:$C$366,1),360)</f>
        <v>343</v>
      </c>
      <c r="D348" s="6">
        <f t="shared" si="5"/>
        <v>344</v>
      </c>
      <c r="E348" s="6">
        <f>(B348-INDEX('Native PMKS'!$C$6:$C$366,C348))/(INDEX('Native PMKS'!$C$6:$C$366,D348)-INDEX('Native PMKS'!$C$6:$C$366,C348))</f>
        <v>0.95264623955432481</v>
      </c>
      <c r="F348" s="6">
        <f>INDEX('Native PMKS'!$N$6:$N$366,C348)+(INDEX('Native PMKS'!$N$6:$N$366,D348)-INDEX('Native PMKS'!$N$6:$N$366,C348))*E348</f>
        <v>-48.881764066852377</v>
      </c>
      <c r="G348" s="6">
        <f>INDEX('Native PMKS'!$O$6:$O$366,C348)+(INDEX('Native PMKS'!$O$6:$O$366,D348)-INDEX('Native PMKS'!$O$6:$O$366,C348))*E348</f>
        <v>-74.612666852367695</v>
      </c>
    </row>
    <row r="349" spans="1:7" ht="18.95" customHeight="1">
      <c r="A349" s="1">
        <v>343</v>
      </c>
      <c r="B349" s="6">
        <f>TimeStep!G349</f>
        <v>2866.2952646239555</v>
      </c>
      <c r="C349" s="6">
        <f>MIN(MATCH(B349,'Native PMKS'!$C$6:$C$366,1),360)</f>
        <v>344</v>
      </c>
      <c r="D349" s="6">
        <f t="shared" si="5"/>
        <v>345</v>
      </c>
      <c r="E349" s="6">
        <f>(B349-INDEX('Native PMKS'!$C$6:$C$366,C349))/(INDEX('Native PMKS'!$C$6:$C$366,D349)-INDEX('Native PMKS'!$C$6:$C$366,C349))</f>
        <v>0.95543175487462662</v>
      </c>
      <c r="F349" s="6">
        <f>INDEX('Native PMKS'!$N$6:$N$366,C349)+(INDEX('Native PMKS'!$N$6:$N$366,D349)-INDEX('Native PMKS'!$N$6:$N$366,C349))*E349</f>
        <v>-49.915936768802204</v>
      </c>
      <c r="G349" s="6">
        <f>INDEX('Native PMKS'!$O$6:$O$366,C349)+(INDEX('Native PMKS'!$O$6:$O$366,D349)-INDEX('Native PMKS'!$O$6:$O$366,C349))*E349</f>
        <v>-74.270622562674106</v>
      </c>
    </row>
    <row r="350" spans="1:7" ht="18.95" customHeight="1">
      <c r="A350" s="1">
        <v>344</v>
      </c>
      <c r="B350" s="6">
        <f>TimeStep!G350</f>
        <v>2874.6518105849582</v>
      </c>
      <c r="C350" s="6">
        <f>MIN(MATCH(B350,'Native PMKS'!$C$6:$C$366,1),360)</f>
        <v>345</v>
      </c>
      <c r="D350" s="6">
        <f t="shared" si="5"/>
        <v>346</v>
      </c>
      <c r="E350" s="6">
        <f>(B350-INDEX('Native PMKS'!$C$6:$C$366,C350))/(INDEX('Native PMKS'!$C$6:$C$366,D350)-INDEX('Native PMKS'!$C$6:$C$366,C350))</f>
        <v>0.9582172701949806</v>
      </c>
      <c r="F350" s="6">
        <f>INDEX('Native PMKS'!$N$6:$N$366,C350)+(INDEX('Native PMKS'!$N$6:$N$366,D350)-INDEX('Native PMKS'!$N$6:$N$366,C350))*E350</f>
        <v>-50.950109470752082</v>
      </c>
      <c r="G350" s="6">
        <f>INDEX('Native PMKS'!$O$6:$O$366,C350)+(INDEX('Native PMKS'!$O$6:$O$366,D350)-INDEX('Native PMKS'!$O$6:$O$366,C350))*E350</f>
        <v>-73.816149025069635</v>
      </c>
    </row>
    <row r="351" spans="1:7" ht="18.95" customHeight="1">
      <c r="A351" s="1">
        <v>345</v>
      </c>
      <c r="B351" s="6">
        <f>TimeStep!G351</f>
        <v>2883.0083565459609</v>
      </c>
      <c r="C351" s="6">
        <f>MIN(MATCH(B351,'Native PMKS'!$C$6:$C$366,1),360)</f>
        <v>346</v>
      </c>
      <c r="D351" s="6">
        <f t="shared" si="5"/>
        <v>347</v>
      </c>
      <c r="E351" s="6">
        <f>(B351-INDEX('Native PMKS'!$C$6:$C$366,C351))/(INDEX('Native PMKS'!$C$6:$C$366,D351)-INDEX('Native PMKS'!$C$6:$C$366,C351))</f>
        <v>0.96100278551528462</v>
      </c>
      <c r="F351" s="6">
        <f>INDEX('Native PMKS'!$N$6:$N$366,C351)+(INDEX('Native PMKS'!$N$6:$N$366,D351)-INDEX('Native PMKS'!$N$6:$N$366,C351))*E351</f>
        <v>-51.87424735376041</v>
      </c>
      <c r="G351" s="6">
        <f>INDEX('Native PMKS'!$O$6:$O$366,C351)+(INDEX('Native PMKS'!$O$6:$O$366,D351)-INDEX('Native PMKS'!$O$6:$O$366,C351))*E351</f>
        <v>-73.356476323119793</v>
      </c>
    </row>
    <row r="352" spans="1:7" ht="18.95" customHeight="1">
      <c r="A352" s="1">
        <v>346</v>
      </c>
      <c r="B352" s="6">
        <f>TimeStep!G352</f>
        <v>2891.364902506964</v>
      </c>
      <c r="C352" s="6">
        <f>MIN(MATCH(B352,'Native PMKS'!$C$6:$C$366,1),360)</f>
        <v>347</v>
      </c>
      <c r="D352" s="6">
        <f t="shared" si="5"/>
        <v>348</v>
      </c>
      <c r="E352" s="6">
        <f>(B352-INDEX('Native PMKS'!$C$6:$C$366,C352))/(INDEX('Native PMKS'!$C$6:$C$366,D352)-INDEX('Native PMKS'!$C$6:$C$366,C352))</f>
        <v>0.96378830083564093</v>
      </c>
      <c r="F352" s="6">
        <f>INDEX('Native PMKS'!$N$6:$N$366,C352)+(INDEX('Native PMKS'!$N$6:$N$366,D352)-INDEX('Native PMKS'!$N$6:$N$366,C352))*E352</f>
        <v>-52.793504735376032</v>
      </c>
      <c r="G352" s="6">
        <f>INDEX('Native PMKS'!$O$6:$O$366,C352)+(INDEX('Native PMKS'!$O$6:$O$366,D352)-INDEX('Native PMKS'!$O$6:$O$366,C352))*E352</f>
        <v>-72.786349303621179</v>
      </c>
    </row>
    <row r="353" spans="1:7" ht="18.95" customHeight="1">
      <c r="A353" s="1">
        <v>347</v>
      </c>
      <c r="B353" s="6">
        <f>TimeStep!G353</f>
        <v>2899.7214484679666</v>
      </c>
      <c r="C353" s="6">
        <f>MIN(MATCH(B353,'Native PMKS'!$C$6:$C$366,1),360)</f>
        <v>348</v>
      </c>
      <c r="D353" s="6">
        <f t="shared" si="5"/>
        <v>349</v>
      </c>
      <c r="E353" s="6">
        <f>(B353-INDEX('Native PMKS'!$C$6:$C$366,C353))/(INDEX('Native PMKS'!$C$6:$C$366,D353)-INDEX('Native PMKS'!$C$6:$C$366,C353))</f>
        <v>0.96657381615599536</v>
      </c>
      <c r="F353" s="6">
        <f>INDEX('Native PMKS'!$N$6:$N$366,C353)+(INDEX('Native PMKS'!$N$6:$N$366,D353)-INDEX('Native PMKS'!$N$6:$N$366,C353))*E353</f>
        <v>-53.657373537604464</v>
      </c>
      <c r="G353" s="6">
        <f>INDEX('Native PMKS'!$O$6:$O$366,C353)+(INDEX('Native PMKS'!$O$6:$O$366,D353)-INDEX('Native PMKS'!$O$6:$O$366,C353))*E353</f>
        <v>-72.211849860724229</v>
      </c>
    </row>
    <row r="354" spans="1:7" ht="18.95" customHeight="1">
      <c r="A354" s="1">
        <v>348</v>
      </c>
      <c r="B354" s="6">
        <f>TimeStep!G354</f>
        <v>2908.0779944289693</v>
      </c>
      <c r="C354" s="6">
        <f>MIN(MATCH(B354,'Native PMKS'!$C$6:$C$366,1),360)</f>
        <v>349</v>
      </c>
      <c r="D354" s="6">
        <f t="shared" si="5"/>
        <v>350</v>
      </c>
      <c r="E354" s="6">
        <f>(B354-INDEX('Native PMKS'!$C$6:$C$366,C354))/(INDEX('Native PMKS'!$C$6:$C$366,D354)-INDEX('Native PMKS'!$C$6:$C$366,C354))</f>
        <v>0.96935933147629894</v>
      </c>
      <c r="F354" s="6">
        <f>INDEX('Native PMKS'!$N$6:$N$366,C354)+(INDEX('Native PMKS'!$N$6:$N$366,D354)-INDEX('Native PMKS'!$N$6:$N$366,C354))*E354</f>
        <v>-54.46372005571029</v>
      </c>
      <c r="G354" s="6">
        <f>INDEX('Native PMKS'!$O$6:$O$366,C354)+(INDEX('Native PMKS'!$O$6:$O$366,D354)-INDEX('Native PMKS'!$O$6:$O$366,C354))*E354</f>
        <v>-71.526168523676901</v>
      </c>
    </row>
    <row r="355" spans="1:7" ht="18.95" customHeight="1">
      <c r="A355" s="1">
        <v>349</v>
      </c>
      <c r="B355" s="6">
        <f>TimeStep!G355</f>
        <v>2916.434540389972</v>
      </c>
      <c r="C355" s="6">
        <f>MIN(MATCH(B355,'Native PMKS'!$C$6:$C$366,1),360)</f>
        <v>350</v>
      </c>
      <c r="D355" s="6">
        <f t="shared" si="5"/>
        <v>351</v>
      </c>
      <c r="E355" s="6">
        <f>(B355-INDEX('Native PMKS'!$C$6:$C$366,C355))/(INDEX('Native PMKS'!$C$6:$C$366,D355)-INDEX('Native PMKS'!$C$6:$C$366,C355))</f>
        <v>0.97214484679660074</v>
      </c>
      <c r="F355" s="6">
        <f>INDEX('Native PMKS'!$N$6:$N$366,C355)+(INDEX('Native PMKS'!$N$6:$N$366,D355)-INDEX('Native PMKS'!$N$6:$N$366,C355))*E355</f>
        <v>-55.212353481894105</v>
      </c>
      <c r="G355" s="6">
        <f>INDEX('Native PMKS'!$O$6:$O$366,C355)+(INDEX('Native PMKS'!$O$6:$O$366,D355)-INDEX('Native PMKS'!$O$6:$O$366,C355))*E355</f>
        <v>-70.781046518105896</v>
      </c>
    </row>
    <row r="356" spans="1:7" ht="18.95" customHeight="1">
      <c r="A356" s="1">
        <v>350</v>
      </c>
      <c r="B356" s="6">
        <f>TimeStep!G356</f>
        <v>2924.7910863509751</v>
      </c>
      <c r="C356" s="6">
        <f>MIN(MATCH(B356,'Native PMKS'!$C$6:$C$366,1),360)</f>
        <v>351</v>
      </c>
      <c r="D356" s="6">
        <f t="shared" si="5"/>
        <v>352</v>
      </c>
      <c r="E356" s="6">
        <f>(B356-INDEX('Native PMKS'!$C$6:$C$366,C356))/(INDEX('Native PMKS'!$C$6:$C$366,D356)-INDEX('Native PMKS'!$C$6:$C$366,C356))</f>
        <v>0.97493036211701023</v>
      </c>
      <c r="F356" s="6">
        <f>INDEX('Native PMKS'!$N$6:$N$366,C356)+(INDEX('Native PMKS'!$N$6:$N$366,D356)-INDEX('Native PMKS'!$N$6:$N$366,C356))*E356</f>
        <v>-55.903462116991655</v>
      </c>
      <c r="G356" s="6">
        <f>INDEX('Native PMKS'!$O$6:$O$366,C356)+(INDEX('Native PMKS'!$O$6:$O$366,D356)-INDEX('Native PMKS'!$O$6:$O$366,C356))*E356</f>
        <v>-69.922444846796637</v>
      </c>
    </row>
    <row r="357" spans="1:7" ht="18.95" customHeight="1">
      <c r="A357" s="1">
        <v>351</v>
      </c>
      <c r="B357" s="6">
        <f>TimeStep!G357</f>
        <v>2933.1476323119778</v>
      </c>
      <c r="C357" s="6">
        <f>MIN(MATCH(B357,'Native PMKS'!$C$6:$C$366,1),360)</f>
        <v>352</v>
      </c>
      <c r="D357" s="6">
        <f t="shared" si="5"/>
        <v>353</v>
      </c>
      <c r="E357" s="6">
        <f>(B357-INDEX('Native PMKS'!$C$6:$C$366,C357))/(INDEX('Native PMKS'!$C$6:$C$366,D357)-INDEX('Native PMKS'!$C$6:$C$366,C357))</f>
        <v>0.97771587743731325</v>
      </c>
      <c r="F357" s="6">
        <f>INDEX('Native PMKS'!$N$6:$N$366,C357)+(INDEX('Native PMKS'!$N$6:$N$366,D357)-INDEX('Native PMKS'!$N$6:$N$366,C357))*E357</f>
        <v>-56.592879665738153</v>
      </c>
      <c r="G357" s="6">
        <f>INDEX('Native PMKS'!$O$6:$O$366,C357)+(INDEX('Native PMKS'!$O$6:$O$366,D357)-INDEX('Native PMKS'!$O$6:$O$366,C357))*E357</f>
        <v>-69.060553203342621</v>
      </c>
    </row>
    <row r="358" spans="1:7" ht="18.95" customHeight="1">
      <c r="A358" s="1">
        <v>352</v>
      </c>
      <c r="B358" s="6">
        <f>TimeStep!G358</f>
        <v>2941.5041782729804</v>
      </c>
      <c r="C358" s="6">
        <f>MIN(MATCH(B358,'Native PMKS'!$C$6:$C$366,1),360)</f>
        <v>353</v>
      </c>
      <c r="D358" s="6">
        <f t="shared" si="5"/>
        <v>354</v>
      </c>
      <c r="E358" s="6">
        <f>(B358-INDEX('Native PMKS'!$C$6:$C$366,C358))/(INDEX('Native PMKS'!$C$6:$C$366,D358)-INDEX('Native PMKS'!$C$6:$C$366,C358))</f>
        <v>0.98050139275761505</v>
      </c>
      <c r="F358" s="6">
        <f>INDEX('Native PMKS'!$N$6:$N$366,C358)+(INDEX('Native PMKS'!$N$6:$N$366,D358)-INDEX('Native PMKS'!$N$6:$N$366,C358))*E358</f>
        <v>-57.170027298050108</v>
      </c>
      <c r="G358" s="6">
        <f>INDEX('Native PMKS'!$O$6:$O$366,C358)+(INDEX('Native PMKS'!$O$6:$O$366,D358)-INDEX('Native PMKS'!$O$6:$O$366,C358))*E358</f>
        <v>-68.142574373259095</v>
      </c>
    </row>
    <row r="359" spans="1:7" ht="18.95" customHeight="1">
      <c r="A359" s="1">
        <v>353</v>
      </c>
      <c r="B359" s="6">
        <f>TimeStep!G359</f>
        <v>2949.8607242339831</v>
      </c>
      <c r="C359" s="6">
        <f>MIN(MATCH(B359,'Native PMKS'!$C$6:$C$366,1),360)</f>
        <v>354</v>
      </c>
      <c r="D359" s="6">
        <f t="shared" si="5"/>
        <v>355</v>
      </c>
      <c r="E359" s="6">
        <f>(B359-INDEX('Native PMKS'!$C$6:$C$366,C359))/(INDEX('Native PMKS'!$C$6:$C$366,D359)-INDEX('Native PMKS'!$C$6:$C$366,C359))</f>
        <v>0.98328690807797037</v>
      </c>
      <c r="F359" s="6">
        <f>INDEX('Native PMKS'!$N$6:$N$366,C359)+(INDEX('Native PMKS'!$N$6:$N$366,D359)-INDEX('Native PMKS'!$N$6:$N$366,C359))*E359</f>
        <v>-57.688182729805007</v>
      </c>
      <c r="G359" s="6">
        <f>INDEX('Native PMKS'!$O$6:$O$366,C359)+(INDEX('Native PMKS'!$O$6:$O$366,D359)-INDEX('Native PMKS'!$O$6:$O$366,C359))*E359</f>
        <v>-67.110636211699187</v>
      </c>
    </row>
    <row r="360" spans="1:7" ht="18.95" customHeight="1">
      <c r="A360" s="1">
        <v>354</v>
      </c>
      <c r="B360" s="6">
        <f>TimeStep!G360</f>
        <v>2958.2172701949862</v>
      </c>
      <c r="C360" s="6">
        <f>MIN(MATCH(B360,'Native PMKS'!$C$6:$C$366,1),360)</f>
        <v>355</v>
      </c>
      <c r="D360" s="6">
        <f t="shared" si="5"/>
        <v>356</v>
      </c>
      <c r="E360" s="6">
        <f>(B360-INDEX('Native PMKS'!$C$6:$C$366,C360))/(INDEX('Native PMKS'!$C$6:$C$366,D360)-INDEX('Native PMKS'!$C$6:$C$366,C360))</f>
        <v>0.98607242339832768</v>
      </c>
      <c r="F360" s="6">
        <f>INDEX('Native PMKS'!$N$6:$N$366,C360)+(INDEX('Native PMKS'!$N$6:$N$366,D360)-INDEX('Native PMKS'!$N$6:$N$366,C360))*E360</f>
        <v>-58.205317548746514</v>
      </c>
      <c r="G360" s="6">
        <f>INDEX('Native PMKS'!$O$6:$O$366,C360)+(INDEX('Native PMKS'!$O$6:$O$366,D360)-INDEX('Native PMKS'!$O$6:$O$366,C360))*E360</f>
        <v>-66.019862952646235</v>
      </c>
    </row>
    <row r="361" spans="1:7" ht="18.95" customHeight="1">
      <c r="A361" s="1">
        <v>355</v>
      </c>
      <c r="B361" s="6">
        <f>TimeStep!G361</f>
        <v>2966.5738161559889</v>
      </c>
      <c r="C361" s="6">
        <f>MIN(MATCH(B361,'Native PMKS'!$C$6:$C$366,1),360)</f>
        <v>356</v>
      </c>
      <c r="D361" s="6">
        <f t="shared" si="5"/>
        <v>357</v>
      </c>
      <c r="E361" s="6">
        <f>(B361-INDEX('Native PMKS'!$C$6:$C$366,C361))/(INDEX('Native PMKS'!$C$6:$C$366,D361)-INDEX('Native PMKS'!$C$6:$C$366,C361))</f>
        <v>0.98885793871862937</v>
      </c>
      <c r="F361" s="6">
        <f>INDEX('Native PMKS'!$N$6:$N$366,C361)+(INDEX('Native PMKS'!$N$6:$N$366,D361)-INDEX('Native PMKS'!$N$6:$N$366,C361))*E361</f>
        <v>-58.609130919220043</v>
      </c>
      <c r="G361" s="6">
        <f>INDEX('Native PMKS'!$O$6:$O$366,C361)+(INDEX('Native PMKS'!$O$6:$O$366,D361)-INDEX('Native PMKS'!$O$6:$O$366,C361))*E361</f>
        <v>-64.928229247910906</v>
      </c>
    </row>
    <row r="362" spans="1:7" ht="18.95" customHeight="1">
      <c r="A362" s="1">
        <v>356</v>
      </c>
      <c r="B362" s="6">
        <f>TimeStep!G362</f>
        <v>2974.9303621169915</v>
      </c>
      <c r="C362" s="6">
        <f>MIN(MATCH(B362,'Native PMKS'!$C$6:$C$366,1),360)</f>
        <v>357</v>
      </c>
      <c r="D362" s="6">
        <f t="shared" si="5"/>
        <v>358</v>
      </c>
      <c r="E362" s="6">
        <f>(B362-INDEX('Native PMKS'!$C$6:$C$366,C362))/(INDEX('Native PMKS'!$C$6:$C$366,D362)-INDEX('Native PMKS'!$C$6:$C$366,C362))</f>
        <v>0.99164345403898524</v>
      </c>
      <c r="F362" s="6">
        <f>INDEX('Native PMKS'!$N$6:$N$366,C362)+(INDEX('Native PMKS'!$N$6:$N$366,D362)-INDEX('Native PMKS'!$N$6:$N$366,C362))*E362</f>
        <v>-59.011348189415031</v>
      </c>
      <c r="G362" s="6">
        <f>INDEX('Native PMKS'!$O$6:$O$366,C362)+(INDEX('Native PMKS'!$O$6:$O$366,D362)-INDEX('Native PMKS'!$O$6:$O$366,C362))*E362</f>
        <v>-63.722954596100294</v>
      </c>
    </row>
    <row r="363" spans="1:7" ht="18.95" customHeight="1">
      <c r="A363" s="1">
        <v>357</v>
      </c>
      <c r="B363" s="6">
        <f>TimeStep!G363</f>
        <v>2983.2869080779942</v>
      </c>
      <c r="C363" s="6">
        <f>MIN(MATCH(B363,'Native PMKS'!$C$6:$C$366,1),360)</f>
        <v>358</v>
      </c>
      <c r="D363" s="6">
        <f t="shared" si="5"/>
        <v>359</v>
      </c>
      <c r="E363" s="6">
        <f>(B363-INDEX('Native PMKS'!$C$6:$C$366,C363))/(INDEX('Native PMKS'!$C$6:$C$366,D363)-INDEX('Native PMKS'!$C$6:$C$366,C363))</f>
        <v>0.99442896935928737</v>
      </c>
      <c r="F363" s="6">
        <f>INDEX('Native PMKS'!$N$6:$N$366,C363)+(INDEX('Native PMKS'!$N$6:$N$366,D363)-INDEX('Native PMKS'!$N$6:$N$366,C363))*E363</f>
        <v>-59.299504456824501</v>
      </c>
      <c r="G363" s="6">
        <f>INDEX('Native PMKS'!$O$6:$O$366,C363)+(INDEX('Native PMKS'!$O$6:$O$366,D363)-INDEX('Native PMKS'!$O$6:$O$366,C363))*E363</f>
        <v>-62.459422284122617</v>
      </c>
    </row>
    <row r="364" spans="1:7" ht="18.95" customHeight="1">
      <c r="A364" s="1">
        <v>358</v>
      </c>
      <c r="B364" s="6">
        <f>TimeStep!G364</f>
        <v>2991.6434540389973</v>
      </c>
      <c r="C364" s="6">
        <f>MIN(MATCH(B364,'Native PMKS'!$C$6:$C$366,1),360)</f>
        <v>359</v>
      </c>
      <c r="D364" s="6">
        <f t="shared" si="5"/>
        <v>360</v>
      </c>
      <c r="E364" s="6">
        <f>(B364-INDEX('Native PMKS'!$C$6:$C$366,C364))/(INDEX('Native PMKS'!$C$6:$C$366,D364)-INDEX('Native PMKS'!$C$6:$C$366,C364))</f>
        <v>0.99721448467964369</v>
      </c>
      <c r="F364" s="6">
        <f>INDEX('Native PMKS'!$N$6:$N$366,C364)+(INDEX('Native PMKS'!$N$6:$N$366,D364)-INDEX('Native PMKS'!$N$6:$N$366,C364))*E364</f>
        <v>-59.586801949860721</v>
      </c>
      <c r="G364" s="6">
        <f>INDEX('Native PMKS'!$O$6:$O$366,C364)+(INDEX('Native PMKS'!$O$6:$O$366,D364)-INDEX('Native PMKS'!$O$6:$O$366,C364))*E364</f>
        <v>-61.138270752089163</v>
      </c>
    </row>
    <row r="365" spans="1:7" ht="18.95" customHeight="1">
      <c r="A365" s="1">
        <v>359</v>
      </c>
      <c r="B365" s="6">
        <f>TimeStep!G365</f>
        <v>3000</v>
      </c>
      <c r="C365" s="6">
        <f>MIN(MATCH(B365,'Native PMKS'!$C$6:$C$366,1),360)</f>
        <v>360</v>
      </c>
      <c r="D365" s="6">
        <f t="shared" si="5"/>
        <v>361</v>
      </c>
      <c r="E365" s="6">
        <f>(B365-INDEX('Native PMKS'!$C$6:$C$366,C365))/(INDEX('Native PMKS'!$C$6:$C$366,D365)-INDEX('Native PMKS'!$C$6:$C$366,C365))</f>
        <v>1</v>
      </c>
      <c r="F365" s="6">
        <f>INDEX('Native PMKS'!$N$6:$N$366,C365)+(INDEX('Native PMKS'!$N$6:$N$366,D365)-INDEX('Native PMKS'!$N$6:$N$366,C365))*E365</f>
        <v>-59.759500000000003</v>
      </c>
      <c r="G365" s="6">
        <f>INDEX('Native PMKS'!$O$6:$O$366,C365)+(INDEX('Native PMKS'!$O$6:$O$366,D365)-INDEX('Native PMKS'!$O$6:$O$366,C365))*E365</f>
        <v>-59.759500000000003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4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3" width="16" customWidth="1"/>
  </cols>
  <sheetData>
    <row r="1" spans="1:29" ht="18.95" customHeight="1">
      <c r="A1" s="2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9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9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9" ht="48" customHeight="1">
      <c r="A5" s="3" t="s">
        <v>27</v>
      </c>
      <c r="B5" s="3" t="s">
        <v>96</v>
      </c>
      <c r="C5" s="3" t="s">
        <v>28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105</v>
      </c>
      <c r="M5" s="3" t="s">
        <v>106</v>
      </c>
      <c r="N5" s="3" t="s">
        <v>107</v>
      </c>
      <c r="O5" s="3" t="s">
        <v>108</v>
      </c>
      <c r="P5" s="3" t="s">
        <v>109</v>
      </c>
      <c r="Q5" s="3" t="s">
        <v>110</v>
      </c>
      <c r="R5" s="3" t="s">
        <v>111</v>
      </c>
      <c r="S5" s="3" t="s">
        <v>112</v>
      </c>
      <c r="T5" s="3" t="s">
        <v>113</v>
      </c>
      <c r="U5" s="3" t="s">
        <v>114</v>
      </c>
      <c r="V5" s="3"/>
      <c r="W5" s="3" t="s">
        <v>115</v>
      </c>
      <c r="AA5" t="s">
        <v>28</v>
      </c>
      <c r="AB5" t="s">
        <v>116</v>
      </c>
      <c r="AC5" t="s">
        <v>117</v>
      </c>
    </row>
    <row r="6" spans="1:29" ht="18.95" customHeight="1">
      <c r="A6" s="4">
        <f>Summary!B21</f>
        <v>694</v>
      </c>
      <c r="B6" s="6">
        <f>INDEX('Raw Data'!$B$6:$B$1371,MATCH(A6,'Raw Data'!$A$6:$A$1371,0))</f>
        <v>14875</v>
      </c>
      <c r="C6" s="6">
        <f t="shared" ref="C6:C37" si="0">B6-$B$6</f>
        <v>0</v>
      </c>
      <c r="D6" s="6">
        <f>MOD(C6+Summary!$B$20,Summary!$B$11)</f>
        <v>2994.7416237989592</v>
      </c>
      <c r="E6" s="6">
        <f>_xlfn.XLOOKUP(D6,'Native PMKS'!$C$6:$C$366,'Native PMKS'!$C$6:$C$366,,-1)</f>
        <v>2991.666666666667</v>
      </c>
      <c r="F6" s="6">
        <f>_xlfn.XLOOKUP(D6,'Native PMKS'!$C$6:$C$366,'Native PMKS'!$C$6:$C$366,,1)</f>
        <v>3000</v>
      </c>
      <c r="G6" s="6">
        <f>_xlfn.XLOOKUP(D6,'Native PMKS'!$C$6:$C$366,'Native PMKS'!$N$6:$N$366,,-1)</f>
        <v>-59.587600000000002</v>
      </c>
      <c r="H6" s="6">
        <f>_xlfn.XLOOKUP(D6,'Native PMKS'!$C$6:$C$366,'Native PMKS'!$N$6:$N$366,,1)</f>
        <v>-59.759500000000003</v>
      </c>
      <c r="I6" s="6">
        <f t="shared" ref="I6:I37" si="1">IF(E6=F6,G6,_xlfn.FORECAST.LINEAR(D6,G6:H6,E6:F6))</f>
        <v>-59.65103021572493</v>
      </c>
      <c r="J6" s="6">
        <f>INDEX('Raw Data'!$F$6:$F$1371,MATCH(A6,'Raw Data'!$A$6:$A$1371,0))</f>
        <v>-63.125</v>
      </c>
      <c r="K6" s="6">
        <f t="shared" ref="K6:K37" si="2">J6*1*PI()/180</f>
        <v>-1.1017390903214204</v>
      </c>
      <c r="L6" s="6">
        <f t="shared" ref="L6:L37" si="3">I6*PI()/180</f>
        <v>-1.0411068794710234</v>
      </c>
      <c r="M6" s="6">
        <f t="shared" ref="M6:M37" si="4">K6-L6</f>
        <v>-6.0632210850396939E-2</v>
      </c>
      <c r="N6" s="6">
        <f t="shared" ref="N6:N37" si="5">M6^2</f>
        <v>3.6762649926069925E-3</v>
      </c>
      <c r="O6" s="6">
        <f>_xlfn.XLOOKUP(D6,'Instructor 360'!$B$6:$B$365,'Instructor 360'!$B$6:$B$365,,-1)</f>
        <v>2991.6434540389973</v>
      </c>
      <c r="P6" s="6">
        <f>_xlfn.XLOOKUP(D6,'Instructor 360'!$B$6:$B$365,'Instructor 360'!$B$6:$B$365,,1)</f>
        <v>3000</v>
      </c>
      <c r="Q6" s="6">
        <f>_xlfn.XLOOKUP(D6,'Instructor 360'!$B$6:$B$365,'Instructor 360'!$F$6:$F$365,,-1)</f>
        <v>-59.586801949860721</v>
      </c>
      <c r="R6" s="6">
        <f>_xlfn.XLOOKUP(D6,'Instructor 360'!$B$6:$B$365,'Instructor 360'!$F$6:$F$365,,1)</f>
        <v>-59.759500000000003</v>
      </c>
      <c r="S6" s="6">
        <f t="shared" ref="S6:S37" si="6">IF(O6=P6,Q6,_xlfn.FORECAST.LINEAR(D6,Q6:R6,O6:P6))</f>
        <v>-59.650829345754047</v>
      </c>
      <c r="T6" s="6">
        <f t="shared" ref="T6:T37" si="7">S6*PI()/180</f>
        <v>-1.041103373628663</v>
      </c>
      <c r="U6" s="6">
        <f t="shared" ref="U6:U37" si="8">K6-T6</f>
        <v>-6.0635716692757358E-2</v>
      </c>
      <c r="V6" s="6"/>
      <c r="W6" s="6">
        <f t="shared" ref="W6:W37" si="9">U6^2</f>
        <v>3.6766901388443334E-3</v>
      </c>
      <c r="AA6">
        <f t="shared" ref="AA6:AA37" si="10">C6</f>
        <v>0</v>
      </c>
      <c r="AB6">
        <f t="shared" ref="AB6:AB37" si="11">K6</f>
        <v>-1.1017390903214204</v>
      </c>
      <c r="AC6">
        <f t="shared" ref="AC6:AC37" si="12">T6</f>
        <v>-1.041103373628663</v>
      </c>
    </row>
    <row r="7" spans="1:29" ht="18.95" customHeight="1">
      <c r="A7" s="4">
        <f t="shared" ref="A7:A38" si="13">A6+1</f>
        <v>695</v>
      </c>
      <c r="B7" s="6">
        <f>INDEX('Raw Data'!$B$6:$B$1371,MATCH(A7,'Raw Data'!$A$6:$A$1371,0))</f>
        <v>14896</v>
      </c>
      <c r="C7" s="6">
        <f t="shared" si="0"/>
        <v>21</v>
      </c>
      <c r="D7" s="6">
        <f>MOD(C7+Summary!$B$20,Summary!$B$11)</f>
        <v>15.741623798959154</v>
      </c>
      <c r="E7" s="6">
        <f>_xlfn.XLOOKUP(D7,'Native PMKS'!$C$6:$C$366,'Native PMKS'!$C$6:$C$366,,-1)</f>
        <v>8.3333333333333339</v>
      </c>
      <c r="F7" s="6">
        <f>_xlfn.XLOOKUP(D7,'Native PMKS'!$C$6:$C$366,'Native PMKS'!$C$6:$C$366,,1)</f>
        <v>16.666666666666668</v>
      </c>
      <c r="G7" s="6">
        <f>_xlfn.XLOOKUP(D7,'Native PMKS'!$C$6:$C$366,'Native PMKS'!$N$6:$N$366,,-1)</f>
        <v>-59.931399999999996</v>
      </c>
      <c r="H7" s="6">
        <f>_xlfn.XLOOKUP(D7,'Native PMKS'!$C$6:$C$366,'Native PMKS'!$N$6:$N$366,,1)</f>
        <v>-59.988700000000001</v>
      </c>
      <c r="I7" s="6">
        <f t="shared" si="1"/>
        <v>-59.982339405241646</v>
      </c>
      <c r="J7" s="6">
        <f>INDEX('Raw Data'!$F$6:$F$1371,MATCH(A7,'Raw Data'!$A$6:$A$1371,0))</f>
        <v>-63.5625</v>
      </c>
      <c r="K7" s="6">
        <f t="shared" si="2"/>
        <v>-1.1093749057988957</v>
      </c>
      <c r="L7" s="6">
        <f t="shared" si="3"/>
        <v>-1.0468893156702039</v>
      </c>
      <c r="M7" s="6">
        <f t="shared" si="4"/>
        <v>-6.2485590128691815E-2</v>
      </c>
      <c r="N7" s="6">
        <f t="shared" si="5"/>
        <v>3.9044489737308681E-3</v>
      </c>
      <c r="O7" s="6">
        <f>_xlfn.XLOOKUP(D7,'Instructor 360'!$B$6:$B$365,'Instructor 360'!$B$6:$B$365,,-1)</f>
        <v>8.3565459610027855</v>
      </c>
      <c r="P7" s="6">
        <f>_xlfn.XLOOKUP(D7,'Instructor 360'!$B$6:$B$365,'Instructor 360'!$B$6:$B$365,,1)</f>
        <v>16.713091922005571</v>
      </c>
      <c r="Q7" s="6">
        <f>_xlfn.XLOOKUP(D7,'Instructor 360'!$B$6:$B$365,'Instructor 360'!$F$6:$F$365,,-1)</f>
        <v>-59.931559610027854</v>
      </c>
      <c r="R7" s="6">
        <f>_xlfn.XLOOKUP(D7,'Instructor 360'!$B$6:$B$365,'Instructor 360'!$F$6:$F$365,,1)</f>
        <v>-59.98901922005571</v>
      </c>
      <c r="S7" s="6">
        <f t="shared" si="6"/>
        <v>-59.982339405241639</v>
      </c>
      <c r="T7" s="6">
        <f t="shared" si="7"/>
        <v>-1.0468893156702039</v>
      </c>
      <c r="U7" s="6">
        <f t="shared" si="8"/>
        <v>-6.2485590128691815E-2</v>
      </c>
      <c r="V7" s="6"/>
      <c r="W7" s="6">
        <f t="shared" si="9"/>
        <v>3.9044489737308681E-3</v>
      </c>
      <c r="AA7">
        <f t="shared" si="10"/>
        <v>21</v>
      </c>
      <c r="AB7">
        <f t="shared" si="11"/>
        <v>-1.1093749057988957</v>
      </c>
      <c r="AC7">
        <f t="shared" si="12"/>
        <v>-1.0468893156702039</v>
      </c>
    </row>
    <row r="8" spans="1:29" ht="18.95" customHeight="1">
      <c r="A8" s="4">
        <f t="shared" si="13"/>
        <v>696</v>
      </c>
      <c r="B8" s="6">
        <f>INDEX('Raw Data'!$B$6:$B$1371,MATCH(A8,'Raw Data'!$A$6:$A$1371,0))</f>
        <v>14916</v>
      </c>
      <c r="C8" s="6">
        <f t="shared" si="0"/>
        <v>41</v>
      </c>
      <c r="D8" s="6">
        <f>MOD(C8+Summary!$B$20,Summary!$B$11)</f>
        <v>35.741623798959154</v>
      </c>
      <c r="E8" s="6">
        <f>_xlfn.XLOOKUP(D8,'Native PMKS'!$C$6:$C$366,'Native PMKS'!$C$6:$C$366,,-1)</f>
        <v>33.333333333333336</v>
      </c>
      <c r="F8" s="6">
        <f>_xlfn.XLOOKUP(D8,'Native PMKS'!$C$6:$C$366,'Native PMKS'!$C$6:$C$366,,1)</f>
        <v>41.666666666666671</v>
      </c>
      <c r="G8" s="6">
        <f>_xlfn.XLOOKUP(D8,'Native PMKS'!$C$6:$C$366,'Native PMKS'!$N$6:$N$366,,-1)</f>
        <v>-60.045999999999999</v>
      </c>
      <c r="H8" s="6">
        <f>_xlfn.XLOOKUP(D8,'Native PMKS'!$C$6:$C$366,'Native PMKS'!$N$6:$N$366,,1)</f>
        <v>-59.988700000000001</v>
      </c>
      <c r="I8" s="6">
        <f t="shared" si="1"/>
        <v>-60.029440594758356</v>
      </c>
      <c r="J8" s="6">
        <f>INDEX('Raw Data'!$F$6:$F$1371,MATCH(A8,'Raw Data'!$A$6:$A$1371,0))</f>
        <v>-66.125</v>
      </c>
      <c r="K8" s="6">
        <f t="shared" si="2"/>
        <v>-1.1540989678812503</v>
      </c>
      <c r="L8" s="6">
        <f t="shared" si="3"/>
        <v>-1.0477113865088765</v>
      </c>
      <c r="M8" s="6">
        <f t="shared" si="4"/>
        <v>-0.10638758137237381</v>
      </c>
      <c r="N8" s="6">
        <f t="shared" si="5"/>
        <v>1.1318317470263458E-2</v>
      </c>
      <c r="O8" s="6">
        <f>_xlfn.XLOOKUP(D8,'Instructor 360'!$B$6:$B$365,'Instructor 360'!$B$6:$B$365,,-1)</f>
        <v>33.426183844011142</v>
      </c>
      <c r="P8" s="6">
        <f>_xlfn.XLOOKUP(D8,'Instructor 360'!$B$6:$B$365,'Instructor 360'!$B$6:$B$365,,1)</f>
        <v>41.782729805013929</v>
      </c>
      <c r="Q8" s="6">
        <f>_xlfn.XLOOKUP(D8,'Instructor 360'!$B$6:$B$365,'Instructor 360'!$F$6:$F$365,,-1)</f>
        <v>-60.045361559888576</v>
      </c>
      <c r="R8" s="6">
        <f>_xlfn.XLOOKUP(D8,'Instructor 360'!$B$6:$B$365,'Instructor 360'!$F$6:$F$365,,1)</f>
        <v>-59.987103899721447</v>
      </c>
      <c r="S8" s="6">
        <f t="shared" si="6"/>
        <v>-60.029219470242658</v>
      </c>
      <c r="T8" s="6">
        <f t="shared" si="7"/>
        <v>-1.0477075271580207</v>
      </c>
      <c r="U8" s="6">
        <f t="shared" si="8"/>
        <v>-0.10639144072322959</v>
      </c>
      <c r="V8" s="6"/>
      <c r="W8" s="6">
        <f t="shared" si="9"/>
        <v>1.1319138659164476E-2</v>
      </c>
      <c r="AA8">
        <f t="shared" si="10"/>
        <v>41</v>
      </c>
      <c r="AB8">
        <f t="shared" si="11"/>
        <v>-1.1540989678812503</v>
      </c>
      <c r="AC8">
        <f t="shared" si="12"/>
        <v>-1.0477075271580207</v>
      </c>
    </row>
    <row r="9" spans="1:29" ht="18.95" customHeight="1">
      <c r="A9" s="4">
        <f t="shared" si="13"/>
        <v>697</v>
      </c>
      <c r="B9" s="6">
        <f>INDEX('Raw Data'!$B$6:$B$1371,MATCH(A9,'Raw Data'!$A$6:$A$1371,0))</f>
        <v>14937</v>
      </c>
      <c r="C9" s="6">
        <f t="shared" si="0"/>
        <v>62</v>
      </c>
      <c r="D9" s="6">
        <f>MOD(C9+Summary!$B$20,Summary!$B$11)</f>
        <v>56.741623798959154</v>
      </c>
      <c r="E9" s="6">
        <f>_xlfn.XLOOKUP(D9,'Native PMKS'!$C$6:$C$366,'Native PMKS'!$C$6:$C$366,,-1)</f>
        <v>50</v>
      </c>
      <c r="F9" s="6">
        <f>_xlfn.XLOOKUP(D9,'Native PMKS'!$C$6:$C$366,'Native PMKS'!$C$6:$C$366,,1)</f>
        <v>58.333333333333336</v>
      </c>
      <c r="G9" s="6">
        <f>_xlfn.XLOOKUP(D9,'Native PMKS'!$C$6:$C$366,'Native PMKS'!$N$6:$N$366,,-1)</f>
        <v>-59.874099999999999</v>
      </c>
      <c r="H9" s="6">
        <f>_xlfn.XLOOKUP(D9,'Native PMKS'!$C$6:$C$366,'Native PMKS'!$N$6:$N$366,,1)</f>
        <v>-59.702199999999998</v>
      </c>
      <c r="I9" s="6">
        <f t="shared" si="1"/>
        <v>-59.735033784275068</v>
      </c>
      <c r="J9" s="6">
        <f>INDEX('Raw Data'!$F$6:$F$1371,MATCH(A9,'Raw Data'!$A$6:$A$1371,0))</f>
        <v>-66.75</v>
      </c>
      <c r="K9" s="6">
        <f t="shared" si="2"/>
        <v>-1.1650072757062149</v>
      </c>
      <c r="L9" s="6">
        <f t="shared" si="3"/>
        <v>-1.0425730183256481</v>
      </c>
      <c r="M9" s="6">
        <f t="shared" si="4"/>
        <v>-0.12243425738056679</v>
      </c>
      <c r="N9" s="6">
        <f t="shared" si="5"/>
        <v>1.4990147380330873E-2</v>
      </c>
      <c r="O9" s="6">
        <f>_xlfn.XLOOKUP(D9,'Instructor 360'!$B$6:$B$365,'Instructor 360'!$B$6:$B$365,,-1)</f>
        <v>50.139275766016709</v>
      </c>
      <c r="P9" s="6">
        <f>_xlfn.XLOOKUP(D9,'Instructor 360'!$B$6:$B$365,'Instructor 360'!$B$6:$B$365,,1)</f>
        <v>58.495821727019496</v>
      </c>
      <c r="Q9" s="6">
        <f>_xlfn.XLOOKUP(D9,'Instructor 360'!$B$6:$B$365,'Instructor 360'!$F$6:$F$365,,-1)</f>
        <v>-59.871227019498605</v>
      </c>
      <c r="R9" s="6">
        <f>_xlfn.XLOOKUP(D9,'Instructor 360'!$B$6:$B$365,'Instructor 360'!$F$6:$F$365,,1)</f>
        <v>-59.698848189415038</v>
      </c>
      <c r="S9" s="6">
        <f t="shared" si="6"/>
        <v>-59.73503378427506</v>
      </c>
      <c r="T9" s="6">
        <f t="shared" si="7"/>
        <v>-1.0425730183256479</v>
      </c>
      <c r="U9" s="6">
        <f t="shared" si="8"/>
        <v>-0.12243425738056701</v>
      </c>
      <c r="V9" s="6"/>
      <c r="W9" s="6">
        <f t="shared" si="9"/>
        <v>1.4990147380330929E-2</v>
      </c>
      <c r="AA9">
        <f t="shared" si="10"/>
        <v>62</v>
      </c>
      <c r="AB9">
        <f t="shared" si="11"/>
        <v>-1.1650072757062149</v>
      </c>
      <c r="AC9">
        <f t="shared" si="12"/>
        <v>-1.0425730183256479</v>
      </c>
    </row>
    <row r="10" spans="1:29" ht="18.95" customHeight="1">
      <c r="A10" s="4">
        <f t="shared" si="13"/>
        <v>698</v>
      </c>
      <c r="B10" s="6">
        <f>INDEX('Raw Data'!$B$6:$B$1371,MATCH(A10,'Raw Data'!$A$6:$A$1371,0))</f>
        <v>14979</v>
      </c>
      <c r="C10" s="6">
        <f t="shared" si="0"/>
        <v>104</v>
      </c>
      <c r="D10" s="6">
        <f>MOD(C10+Summary!$B$20,Summary!$B$11)</f>
        <v>98.741623798959154</v>
      </c>
      <c r="E10" s="6">
        <f>_xlfn.XLOOKUP(D10,'Native PMKS'!$C$6:$C$366,'Native PMKS'!$C$6:$C$366,,-1)</f>
        <v>91.666666666666671</v>
      </c>
      <c r="F10" s="6">
        <f>_xlfn.XLOOKUP(D10,'Native PMKS'!$C$6:$C$366,'Native PMKS'!$C$6:$C$366,,1)</f>
        <v>100</v>
      </c>
      <c r="G10" s="6">
        <f>_xlfn.XLOOKUP(D10,'Native PMKS'!$C$6:$C$366,'Native PMKS'!$N$6:$N$366,,-1)</f>
        <v>-58.670900000000003</v>
      </c>
      <c r="H10" s="6">
        <f>_xlfn.XLOOKUP(D10,'Native PMKS'!$C$6:$C$366,'Native PMKS'!$N$6:$N$366,,1)</f>
        <v>-58.269799999999996</v>
      </c>
      <c r="I10" s="6">
        <f t="shared" si="1"/>
        <v>-58.330368163308492</v>
      </c>
      <c r="J10" s="6">
        <f>INDEX('Raw Data'!$F$6:$F$1371,MATCH(A10,'Raw Data'!$A$6:$A$1371,0))</f>
        <v>-67.0625</v>
      </c>
      <c r="K10" s="6">
        <f t="shared" si="2"/>
        <v>-1.1704614296186973</v>
      </c>
      <c r="L10" s="6">
        <f t="shared" si="3"/>
        <v>-1.0180569783502107</v>
      </c>
      <c r="M10" s="6">
        <f t="shared" si="4"/>
        <v>-0.15240445126848656</v>
      </c>
      <c r="N10" s="6">
        <f t="shared" si="5"/>
        <v>2.3227116766448494E-2</v>
      </c>
      <c r="O10" s="6">
        <f>_xlfn.XLOOKUP(D10,'Instructor 360'!$B$6:$B$365,'Instructor 360'!$B$6:$B$365,,-1)</f>
        <v>91.922005571030638</v>
      </c>
      <c r="P10" s="6">
        <f>_xlfn.XLOOKUP(D10,'Instructor 360'!$B$6:$B$365,'Instructor 360'!$B$6:$B$365,,1)</f>
        <v>100.27855153203342</v>
      </c>
      <c r="Q10" s="6">
        <f>_xlfn.XLOOKUP(D10,'Instructor 360'!$B$6:$B$365,'Instructor 360'!$F$6:$F$365,,-1)</f>
        <v>-58.658610027855154</v>
      </c>
      <c r="R10" s="6">
        <f>_xlfn.XLOOKUP(D10,'Instructor 360'!$B$6:$B$365,'Instructor 360'!$F$6:$F$365,,1)</f>
        <v>-58.256392757660166</v>
      </c>
      <c r="S10" s="6">
        <f t="shared" si="6"/>
        <v>-58.330368163308499</v>
      </c>
      <c r="T10" s="6">
        <f t="shared" si="7"/>
        <v>-1.0180569783502107</v>
      </c>
      <c r="U10" s="6">
        <f t="shared" si="8"/>
        <v>-0.15240445126848656</v>
      </c>
      <c r="V10" s="6"/>
      <c r="W10" s="6">
        <f t="shared" si="9"/>
        <v>2.3227116766448494E-2</v>
      </c>
      <c r="AA10">
        <f t="shared" si="10"/>
        <v>104</v>
      </c>
      <c r="AB10">
        <f t="shared" si="11"/>
        <v>-1.1704614296186973</v>
      </c>
      <c r="AC10">
        <f t="shared" si="12"/>
        <v>-1.0180569783502107</v>
      </c>
    </row>
    <row r="11" spans="1:29" ht="18.95" customHeight="1">
      <c r="A11" s="4">
        <f t="shared" si="13"/>
        <v>699</v>
      </c>
      <c r="B11" s="6">
        <f>INDEX('Raw Data'!$B$6:$B$1371,MATCH(A11,'Raw Data'!$A$6:$A$1371,0))</f>
        <v>15000</v>
      </c>
      <c r="C11" s="6">
        <f t="shared" si="0"/>
        <v>125</v>
      </c>
      <c r="D11" s="6">
        <f>MOD(C11+Summary!$B$20,Summary!$B$11)</f>
        <v>119.74162379895915</v>
      </c>
      <c r="E11" s="6">
        <f>_xlfn.XLOOKUP(D11,'Native PMKS'!$C$6:$C$366,'Native PMKS'!$C$6:$C$366,,-1)</f>
        <v>116.66666666666667</v>
      </c>
      <c r="F11" s="6">
        <f>_xlfn.XLOOKUP(D11,'Native PMKS'!$C$6:$C$366,'Native PMKS'!$C$6:$C$366,,1)</f>
        <v>125.00000000000001</v>
      </c>
      <c r="G11" s="6">
        <f>_xlfn.XLOOKUP(D11,'Native PMKS'!$C$6:$C$366,'Native PMKS'!$N$6:$N$366,,-1)</f>
        <v>-57.410400000000003</v>
      </c>
      <c r="H11" s="6">
        <f>_xlfn.XLOOKUP(D11,'Native PMKS'!$C$6:$C$366,'Native PMKS'!$N$6:$N$366,,1)</f>
        <v>-56.951999999999998</v>
      </c>
      <c r="I11" s="6">
        <f t="shared" si="1"/>
        <v>-57.241252758066857</v>
      </c>
      <c r="J11" s="6">
        <f>INDEX('Raw Data'!$F$6:$F$1371,MATCH(A11,'Raw Data'!$A$6:$A$1371,0))</f>
        <v>-68.0625</v>
      </c>
      <c r="K11" s="6">
        <f t="shared" si="2"/>
        <v>-1.1879147221386406</v>
      </c>
      <c r="L11" s="6">
        <f t="shared" si="3"/>
        <v>-0.99904832859455173</v>
      </c>
      <c r="M11" s="6">
        <f t="shared" si="4"/>
        <v>-0.18886639354408885</v>
      </c>
      <c r="N11" s="6">
        <f t="shared" si="5"/>
        <v>3.5670514610350645E-2</v>
      </c>
      <c r="O11" s="6">
        <f>_xlfn.XLOOKUP(D11,'Instructor 360'!$B$6:$B$365,'Instructor 360'!$B$6:$B$365,,-1)</f>
        <v>116.99164345403899</v>
      </c>
      <c r="P11" s="6">
        <f>_xlfn.XLOOKUP(D11,'Instructor 360'!$B$6:$B$365,'Instructor 360'!$B$6:$B$365,,1)</f>
        <v>125.34818941504179</v>
      </c>
      <c r="Q11" s="6">
        <f>_xlfn.XLOOKUP(D11,'Instructor 360'!$B$6:$B$365,'Instructor 360'!$F$6:$F$365,,-1)</f>
        <v>-57.392523676880224</v>
      </c>
      <c r="R11" s="6">
        <f>_xlfn.XLOOKUP(D11,'Instructor 360'!$B$6:$B$365,'Instructor 360'!$F$6:$F$365,,1)</f>
        <v>-56.930452646239551</v>
      </c>
      <c r="S11" s="6">
        <f t="shared" si="6"/>
        <v>-57.240464888698035</v>
      </c>
      <c r="T11" s="6">
        <f t="shared" si="7"/>
        <v>-0.99903457767999015</v>
      </c>
      <c r="U11" s="6">
        <f t="shared" si="8"/>
        <v>-0.18888014445865042</v>
      </c>
      <c r="V11" s="6"/>
      <c r="W11" s="6">
        <f t="shared" si="9"/>
        <v>3.567570897072065E-2</v>
      </c>
      <c r="AA11">
        <f t="shared" si="10"/>
        <v>125</v>
      </c>
      <c r="AB11">
        <f t="shared" si="11"/>
        <v>-1.1879147221386406</v>
      </c>
      <c r="AC11">
        <f t="shared" si="12"/>
        <v>-0.99903457767999015</v>
      </c>
    </row>
    <row r="12" spans="1:29" ht="18.95" customHeight="1">
      <c r="A12" s="4">
        <f t="shared" si="13"/>
        <v>700</v>
      </c>
      <c r="B12" s="6">
        <f>INDEX('Raw Data'!$B$6:$B$1371,MATCH(A12,'Raw Data'!$A$6:$A$1371,0))</f>
        <v>15020</v>
      </c>
      <c r="C12" s="6">
        <f t="shared" si="0"/>
        <v>145</v>
      </c>
      <c r="D12" s="6">
        <f>MOD(C12+Summary!$B$20,Summary!$B$11)</f>
        <v>139.74162379895915</v>
      </c>
      <c r="E12" s="6">
        <f>_xlfn.XLOOKUP(D12,'Native PMKS'!$C$6:$C$366,'Native PMKS'!$C$6:$C$366,,-1)</f>
        <v>133.33333333333334</v>
      </c>
      <c r="F12" s="6">
        <f>_xlfn.XLOOKUP(D12,'Native PMKS'!$C$6:$C$366,'Native PMKS'!$C$6:$C$366,,1)</f>
        <v>141.66666666666669</v>
      </c>
      <c r="G12" s="6">
        <f>_xlfn.XLOOKUP(D12,'Native PMKS'!$C$6:$C$366,'Native PMKS'!$N$6:$N$366,,-1)</f>
        <v>-56.436300000000003</v>
      </c>
      <c r="H12" s="6">
        <f>_xlfn.XLOOKUP(D12,'Native PMKS'!$C$6:$C$366,'Native PMKS'!$N$6:$N$366,,1)</f>
        <v>-55.920699999999997</v>
      </c>
      <c r="I12" s="6">
        <f t="shared" si="1"/>
        <v>-56.039806252310797</v>
      </c>
      <c r="J12" s="6">
        <f>INDEX('Raw Data'!$F$6:$F$1371,MATCH(A12,'Raw Data'!$A$6:$A$1371,0))</f>
        <v>-66.125</v>
      </c>
      <c r="K12" s="6">
        <f t="shared" si="2"/>
        <v>-1.1540989678812503</v>
      </c>
      <c r="L12" s="6">
        <f t="shared" si="3"/>
        <v>-0.97807913128252755</v>
      </c>
      <c r="M12" s="6">
        <f t="shared" si="4"/>
        <v>-0.17601983659872278</v>
      </c>
      <c r="N12" s="6">
        <f t="shared" si="5"/>
        <v>3.0982982876241068E-2</v>
      </c>
      <c r="O12" s="6">
        <f>_xlfn.XLOOKUP(D12,'Instructor 360'!$B$6:$B$365,'Instructor 360'!$B$6:$B$365,,-1)</f>
        <v>133.70473537604457</v>
      </c>
      <c r="P12" s="6">
        <f>_xlfn.XLOOKUP(D12,'Instructor 360'!$B$6:$B$365,'Instructor 360'!$B$6:$B$365,,1)</f>
        <v>142.06128133704735</v>
      </c>
      <c r="Q12" s="6">
        <f>_xlfn.XLOOKUP(D12,'Instructor 360'!$B$6:$B$365,'Instructor 360'!$F$6:$F$365,,-1)</f>
        <v>-56.413320612813372</v>
      </c>
      <c r="R12" s="6">
        <f>_xlfn.XLOOKUP(D12,'Instructor 360'!$B$6:$B$365,'Instructor 360'!$F$6:$F$365,,1)</f>
        <v>-55.89356629526462</v>
      </c>
      <c r="S12" s="6">
        <f t="shared" si="6"/>
        <v>-56.03784265373644</v>
      </c>
      <c r="T12" s="6">
        <f t="shared" si="7"/>
        <v>-0.97804486002221758</v>
      </c>
      <c r="U12" s="6">
        <f t="shared" si="8"/>
        <v>-0.17605410785903275</v>
      </c>
      <c r="V12" s="6"/>
      <c r="W12" s="6">
        <f t="shared" si="9"/>
        <v>3.0995048894039937E-2</v>
      </c>
      <c r="AA12">
        <f t="shared" si="10"/>
        <v>145</v>
      </c>
      <c r="AB12">
        <f t="shared" si="11"/>
        <v>-1.1540989678812503</v>
      </c>
      <c r="AC12">
        <f t="shared" si="12"/>
        <v>-0.97804486002221758</v>
      </c>
    </row>
    <row r="13" spans="1:29" ht="18.95" customHeight="1">
      <c r="A13" s="4">
        <f t="shared" si="13"/>
        <v>701</v>
      </c>
      <c r="B13" s="6">
        <f>INDEX('Raw Data'!$B$6:$B$1371,MATCH(A13,'Raw Data'!$A$6:$A$1371,0))</f>
        <v>15041</v>
      </c>
      <c r="C13" s="6">
        <f t="shared" si="0"/>
        <v>166</v>
      </c>
      <c r="D13" s="6">
        <f>MOD(C13+Summary!$B$20,Summary!$B$11)</f>
        <v>160.74162379895915</v>
      </c>
      <c r="E13" s="6">
        <f>_xlfn.XLOOKUP(D13,'Native PMKS'!$C$6:$C$366,'Native PMKS'!$C$6:$C$366,,-1)</f>
        <v>158.33333333333334</v>
      </c>
      <c r="F13" s="6">
        <f>_xlfn.XLOOKUP(D13,'Native PMKS'!$C$6:$C$366,'Native PMKS'!$C$6:$C$366,,1)</f>
        <v>166.66666666666669</v>
      </c>
      <c r="G13" s="6">
        <f>_xlfn.XLOOKUP(D13,'Native PMKS'!$C$6:$C$366,'Native PMKS'!$N$6:$N$366,,-1)</f>
        <v>-54.774799999999999</v>
      </c>
      <c r="H13" s="6">
        <f>_xlfn.XLOOKUP(D13,'Native PMKS'!$C$6:$C$366,'Native PMKS'!$N$6:$N$366,,1)</f>
        <v>-54.144500000000001</v>
      </c>
      <c r="I13" s="6">
        <f t="shared" si="1"/>
        <v>-54.592646542341917</v>
      </c>
      <c r="J13" s="6">
        <f>INDEX('Raw Data'!$F$6:$F$1371,MATCH(A13,'Raw Data'!$A$6:$A$1371,0))</f>
        <v>-65.3125</v>
      </c>
      <c r="K13" s="6">
        <f t="shared" si="2"/>
        <v>-1.1399181677087964</v>
      </c>
      <c r="L13" s="6">
        <f t="shared" si="3"/>
        <v>-0.9528214295413644</v>
      </c>
      <c r="M13" s="6">
        <f t="shared" si="4"/>
        <v>-0.187096738167432</v>
      </c>
      <c r="N13" s="6">
        <f t="shared" si="5"/>
        <v>3.5005189432892603E-2</v>
      </c>
      <c r="O13" s="6">
        <f>_xlfn.XLOOKUP(D13,'Instructor 360'!$B$6:$B$365,'Instructor 360'!$B$6:$B$365,,-1)</f>
        <v>158.77437325905294</v>
      </c>
      <c r="P13" s="6">
        <f>_xlfn.XLOOKUP(D13,'Instructor 360'!$B$6:$B$365,'Instructor 360'!$B$6:$B$365,,1)</f>
        <v>167.13091922005572</v>
      </c>
      <c r="Q13" s="6">
        <f>_xlfn.XLOOKUP(D13,'Instructor 360'!$B$6:$B$365,'Instructor 360'!$F$6:$F$365,,-1)</f>
        <v>-54.741441504178269</v>
      </c>
      <c r="R13" s="6">
        <f>_xlfn.XLOOKUP(D13,'Instructor 360'!$B$6:$B$365,'Instructor 360'!$F$6:$F$365,,1)</f>
        <v>-54.109391364902507</v>
      </c>
      <c r="S13" s="6">
        <f t="shared" si="6"/>
        <v>-54.592647853842287</v>
      </c>
      <c r="T13" s="6">
        <f t="shared" si="7"/>
        <v>-0.95282145243136396</v>
      </c>
      <c r="U13" s="6">
        <f t="shared" si="8"/>
        <v>-0.18709671527743243</v>
      </c>
      <c r="V13" s="6"/>
      <c r="W13" s="6">
        <f t="shared" si="9"/>
        <v>3.5005180867604617E-2</v>
      </c>
      <c r="AA13">
        <f t="shared" si="10"/>
        <v>166</v>
      </c>
      <c r="AB13">
        <f t="shared" si="11"/>
        <v>-1.1399181677087964</v>
      </c>
      <c r="AC13">
        <f t="shared" si="12"/>
        <v>-0.95282145243136396</v>
      </c>
    </row>
    <row r="14" spans="1:29" ht="18.95" customHeight="1">
      <c r="A14" s="4">
        <f t="shared" si="13"/>
        <v>702</v>
      </c>
      <c r="B14" s="6">
        <f>INDEX('Raw Data'!$B$6:$B$1371,MATCH(A14,'Raw Data'!$A$6:$A$1371,0))</f>
        <v>15061</v>
      </c>
      <c r="C14" s="6">
        <f t="shared" si="0"/>
        <v>186</v>
      </c>
      <c r="D14" s="6">
        <f>MOD(C14+Summary!$B$20,Summary!$B$11)</f>
        <v>180.74162379895915</v>
      </c>
      <c r="E14" s="6">
        <f>_xlfn.XLOOKUP(D14,'Native PMKS'!$C$6:$C$366,'Native PMKS'!$C$6:$C$366,,-1)</f>
        <v>175</v>
      </c>
      <c r="F14" s="6">
        <f>_xlfn.XLOOKUP(D14,'Native PMKS'!$C$6:$C$366,'Native PMKS'!$C$6:$C$366,,1)</f>
        <v>183.33333333333334</v>
      </c>
      <c r="G14" s="6">
        <f>_xlfn.XLOOKUP(D14,'Native PMKS'!$C$6:$C$366,'Native PMKS'!$N$6:$N$366,,-1)</f>
        <v>-53.514299999999999</v>
      </c>
      <c r="H14" s="6">
        <f>_xlfn.XLOOKUP(D14,'Native PMKS'!$C$6:$C$366,'Native PMKS'!$N$6:$N$366,,1)</f>
        <v>-52.884</v>
      </c>
      <c r="I14" s="6">
        <f t="shared" si="1"/>
        <v>-53.080026542341926</v>
      </c>
      <c r="J14" s="6">
        <f>INDEX('Raw Data'!$F$6:$F$1371,MATCH(A14,'Raw Data'!$A$6:$A$1371,0))</f>
        <v>-62.0625</v>
      </c>
      <c r="K14" s="6">
        <f t="shared" si="2"/>
        <v>-1.0831949670189809</v>
      </c>
      <c r="L14" s="6">
        <f t="shared" si="3"/>
        <v>-0.9264212302098479</v>
      </c>
      <c r="M14" s="6">
        <f t="shared" si="4"/>
        <v>-0.15677373680913298</v>
      </c>
      <c r="N14" s="6">
        <f t="shared" si="5"/>
        <v>2.4578004553099296E-2</v>
      </c>
      <c r="O14" s="6">
        <f>_xlfn.XLOOKUP(D14,'Instructor 360'!$B$6:$B$365,'Instructor 360'!$B$6:$B$365,,-1)</f>
        <v>175.4874651810585</v>
      </c>
      <c r="P14" s="6">
        <f>_xlfn.XLOOKUP(D14,'Instructor 360'!$B$6:$B$365,'Instructor 360'!$B$6:$B$365,,1)</f>
        <v>183.84401114206128</v>
      </c>
      <c r="Q14" s="6">
        <f>_xlfn.XLOOKUP(D14,'Instructor 360'!$B$6:$B$365,'Instructor 360'!$F$6:$F$365,,-1)</f>
        <v>-53.477430083565459</v>
      </c>
      <c r="R14" s="6">
        <f>_xlfn.XLOOKUP(D14,'Instructor 360'!$B$6:$B$365,'Instructor 360'!$F$6:$F$365,,1)</f>
        <v>-52.841869080779944</v>
      </c>
      <c r="S14" s="6">
        <f t="shared" si="6"/>
        <v>-53.07782259794034</v>
      </c>
      <c r="T14" s="6">
        <f t="shared" si="7"/>
        <v>-0.92638276412350928</v>
      </c>
      <c r="U14" s="6">
        <f t="shared" si="8"/>
        <v>-0.1568122028954716</v>
      </c>
      <c r="V14" s="6"/>
      <c r="W14" s="6">
        <f t="shared" si="9"/>
        <v>2.4590066976930551E-2</v>
      </c>
      <c r="AA14">
        <f t="shared" si="10"/>
        <v>186</v>
      </c>
      <c r="AB14">
        <f t="shared" si="11"/>
        <v>-1.0831949670189809</v>
      </c>
      <c r="AC14">
        <f t="shared" si="12"/>
        <v>-0.92638276412350928</v>
      </c>
    </row>
    <row r="15" spans="1:29" ht="18.95" customHeight="1">
      <c r="A15" s="4">
        <f t="shared" si="13"/>
        <v>703</v>
      </c>
      <c r="B15" s="6">
        <f>INDEX('Raw Data'!$B$6:$B$1371,MATCH(A15,'Raw Data'!$A$6:$A$1371,0))</f>
        <v>15081</v>
      </c>
      <c r="C15" s="6">
        <f t="shared" si="0"/>
        <v>206</v>
      </c>
      <c r="D15" s="6">
        <f>MOD(C15+Summary!$B$20,Summary!$B$11)</f>
        <v>200.74162379895915</v>
      </c>
      <c r="E15" s="6">
        <f>_xlfn.XLOOKUP(D15,'Native PMKS'!$C$6:$C$366,'Native PMKS'!$C$6:$C$366,,-1)</f>
        <v>200</v>
      </c>
      <c r="F15" s="6">
        <f>_xlfn.XLOOKUP(D15,'Native PMKS'!$C$6:$C$366,'Native PMKS'!$C$6:$C$366,,1)</f>
        <v>208.33333333333334</v>
      </c>
      <c r="G15" s="6">
        <f>_xlfn.XLOOKUP(D15,'Native PMKS'!$C$6:$C$366,'Native PMKS'!$N$6:$N$366,,-1)</f>
        <v>-51.508899999999997</v>
      </c>
      <c r="H15" s="6">
        <f>_xlfn.XLOOKUP(D15,'Native PMKS'!$C$6:$C$366,'Native PMKS'!$N$6:$N$366,,1)</f>
        <v>-50.821399999999997</v>
      </c>
      <c r="I15" s="6">
        <f t="shared" si="1"/>
        <v>-51.447716036585874</v>
      </c>
      <c r="J15" s="6">
        <f>INDEX('Raw Data'!$F$6:$F$1371,MATCH(A15,'Raw Data'!$A$6:$A$1371,0))</f>
        <v>-60.75</v>
      </c>
      <c r="K15" s="6">
        <f t="shared" si="2"/>
        <v>-1.0602875205865552</v>
      </c>
      <c r="L15" s="6">
        <f t="shared" si="3"/>
        <v>-0.897932037469511</v>
      </c>
      <c r="M15" s="6">
        <f t="shared" si="4"/>
        <v>-0.16235548311704417</v>
      </c>
      <c r="N15" s="6">
        <f t="shared" si="5"/>
        <v>2.6359302898168815E-2</v>
      </c>
      <c r="O15" s="6">
        <f>_xlfn.XLOOKUP(D15,'Instructor 360'!$B$6:$B$365,'Instructor 360'!$B$6:$B$365,,-1)</f>
        <v>200.55710306406684</v>
      </c>
      <c r="P15" s="6">
        <f>_xlfn.XLOOKUP(D15,'Instructor 360'!$B$6:$B$365,'Instructor 360'!$B$6:$B$365,,1)</f>
        <v>208.91364902506965</v>
      </c>
      <c r="Q15" s="6">
        <f>_xlfn.XLOOKUP(D15,'Instructor 360'!$B$6:$B$365,'Instructor 360'!$F$6:$F$365,,-1)</f>
        <v>-51.462938997214486</v>
      </c>
      <c r="R15" s="6">
        <f>_xlfn.XLOOKUP(D15,'Instructor 360'!$B$6:$B$365,'Instructor 360'!$F$6:$F$365,,1)</f>
        <v>-50.773516991643454</v>
      </c>
      <c r="S15" s="6">
        <f t="shared" si="6"/>
        <v>-51.447715882818585</v>
      </c>
      <c r="T15" s="6">
        <f t="shared" si="7"/>
        <v>-0.89793203478576544</v>
      </c>
      <c r="U15" s="6">
        <f t="shared" si="8"/>
        <v>-0.16235548580078973</v>
      </c>
      <c r="V15" s="6"/>
      <c r="W15" s="6">
        <f t="shared" si="9"/>
        <v>2.6359303769610438E-2</v>
      </c>
      <c r="AA15">
        <f t="shared" si="10"/>
        <v>206</v>
      </c>
      <c r="AB15">
        <f t="shared" si="11"/>
        <v>-1.0602875205865552</v>
      </c>
      <c r="AC15">
        <f t="shared" si="12"/>
        <v>-0.89793203478576544</v>
      </c>
    </row>
    <row r="16" spans="1:29" ht="18.95" customHeight="1">
      <c r="A16" s="4">
        <f t="shared" si="13"/>
        <v>704</v>
      </c>
      <c r="B16" s="6">
        <f>INDEX('Raw Data'!$B$6:$B$1371,MATCH(A16,'Raw Data'!$A$6:$A$1371,0))</f>
        <v>15103</v>
      </c>
      <c r="C16" s="6">
        <f t="shared" si="0"/>
        <v>228</v>
      </c>
      <c r="D16" s="6">
        <f>MOD(C16+Summary!$B$20,Summary!$B$11)</f>
        <v>222.74162379895915</v>
      </c>
      <c r="E16" s="6">
        <f>_xlfn.XLOOKUP(D16,'Native PMKS'!$C$6:$C$366,'Native PMKS'!$C$6:$C$366,,-1)</f>
        <v>216.66666666666669</v>
      </c>
      <c r="F16" s="6">
        <f>_xlfn.XLOOKUP(D16,'Native PMKS'!$C$6:$C$366,'Native PMKS'!$C$6:$C$366,,1)</f>
        <v>225.00000000000003</v>
      </c>
      <c r="G16" s="6">
        <f>_xlfn.XLOOKUP(D16,'Native PMKS'!$C$6:$C$366,'Native PMKS'!$N$6:$N$366,,-1)</f>
        <v>-50.133800000000001</v>
      </c>
      <c r="H16" s="6">
        <f>_xlfn.XLOOKUP(D16,'Native PMKS'!$C$6:$C$366,'Native PMKS'!$N$6:$N$366,,1)</f>
        <v>-49.389000000000003</v>
      </c>
      <c r="I16" s="6">
        <f t="shared" si="1"/>
        <v>-49.590844631344225</v>
      </c>
      <c r="J16" s="6">
        <f>INDEX('Raw Data'!$F$6:$F$1371,MATCH(A16,'Raw Data'!$A$6:$A$1371,0))</f>
        <v>-58.0625</v>
      </c>
      <c r="K16" s="6">
        <f t="shared" si="2"/>
        <v>-1.0133817969392076</v>
      </c>
      <c r="L16" s="6">
        <f t="shared" si="3"/>
        <v>-0.86552351766191027</v>
      </c>
      <c r="M16" s="6">
        <f t="shared" si="4"/>
        <v>-0.14785827927729733</v>
      </c>
      <c r="N16" s="6">
        <f t="shared" si="5"/>
        <v>2.1862070750843253E-2</v>
      </c>
      <c r="O16" s="6">
        <f>_xlfn.XLOOKUP(D16,'Instructor 360'!$B$6:$B$365,'Instructor 360'!$B$6:$B$365,,-1)</f>
        <v>217.27019498607243</v>
      </c>
      <c r="P16" s="6">
        <f>_xlfn.XLOOKUP(D16,'Instructor 360'!$B$6:$B$365,'Instructor 360'!$B$6:$B$365,,1)</f>
        <v>225.62674094707521</v>
      </c>
      <c r="Q16" s="6">
        <f>_xlfn.XLOOKUP(D16,'Instructor 360'!$B$6:$B$365,'Instructor 360'!$F$6:$F$365,,-1)</f>
        <v>-50.079859052924796</v>
      </c>
      <c r="R16" s="6">
        <f>_xlfn.XLOOKUP(D16,'Instructor 360'!$B$6:$B$365,'Instructor 360'!$F$6:$F$365,,1)</f>
        <v>-49.332976880222844</v>
      </c>
      <c r="S16" s="6">
        <f t="shared" si="6"/>
        <v>-49.590839707058308</v>
      </c>
      <c r="T16" s="6">
        <f t="shared" si="7"/>
        <v>-0.86552343171690771</v>
      </c>
      <c r="U16" s="6">
        <f t="shared" si="8"/>
        <v>-0.14785836522229989</v>
      </c>
      <c r="V16" s="6"/>
      <c r="W16" s="6">
        <f t="shared" si="9"/>
        <v>2.1862096166211022E-2</v>
      </c>
      <c r="AA16">
        <f t="shared" si="10"/>
        <v>228</v>
      </c>
      <c r="AB16">
        <f t="shared" si="11"/>
        <v>-1.0133817969392076</v>
      </c>
      <c r="AC16">
        <f t="shared" si="12"/>
        <v>-0.86552343171690771</v>
      </c>
    </row>
    <row r="17" spans="1:29" ht="18.95" customHeight="1">
      <c r="A17" s="4">
        <f t="shared" si="13"/>
        <v>705</v>
      </c>
      <c r="B17" s="6">
        <f>INDEX('Raw Data'!$B$6:$B$1371,MATCH(A17,'Raw Data'!$A$6:$A$1371,0))</f>
        <v>15124</v>
      </c>
      <c r="C17" s="6">
        <f t="shared" si="0"/>
        <v>249</v>
      </c>
      <c r="D17" s="6">
        <f>MOD(C17+Summary!$B$20,Summary!$B$11)</f>
        <v>243.74162379895915</v>
      </c>
      <c r="E17" s="6">
        <f>_xlfn.XLOOKUP(D17,'Native PMKS'!$C$6:$C$366,'Native PMKS'!$C$6:$C$366,,-1)</f>
        <v>241.66666666666669</v>
      </c>
      <c r="F17" s="6">
        <f>_xlfn.XLOOKUP(D17,'Native PMKS'!$C$6:$C$366,'Native PMKS'!$C$6:$C$366,,1)</f>
        <v>250.00000000000003</v>
      </c>
      <c r="G17" s="6">
        <f>_xlfn.XLOOKUP(D17,'Native PMKS'!$C$6:$C$366,'Native PMKS'!$N$6:$N$366,,-1)</f>
        <v>-47.899299999999997</v>
      </c>
      <c r="H17" s="6">
        <f>_xlfn.XLOOKUP(D17,'Native PMKS'!$C$6:$C$366,'Native PMKS'!$N$6:$N$366,,1)</f>
        <v>-47.154400000000003</v>
      </c>
      <c r="I17" s="6">
        <f t="shared" si="1"/>
        <v>-47.713823731858639</v>
      </c>
      <c r="J17" s="6">
        <f>INDEX('Raw Data'!$F$6:$F$1371,MATCH(A17,'Raw Data'!$A$6:$A$1371,0))</f>
        <v>-56.125</v>
      </c>
      <c r="K17" s="6">
        <f t="shared" si="2"/>
        <v>-0.97956604268181746</v>
      </c>
      <c r="L17" s="6">
        <f t="shared" si="3"/>
        <v>-0.83276332283714127</v>
      </c>
      <c r="M17" s="6">
        <f t="shared" si="4"/>
        <v>-0.14680271984467619</v>
      </c>
      <c r="N17" s="6">
        <f t="shared" si="5"/>
        <v>2.1551038553794484E-2</v>
      </c>
      <c r="O17" s="6">
        <f>_xlfn.XLOOKUP(D17,'Instructor 360'!$B$6:$B$365,'Instructor 360'!$B$6:$B$365,,-1)</f>
        <v>242.33983286908077</v>
      </c>
      <c r="P17" s="6">
        <f>_xlfn.XLOOKUP(D17,'Instructor 360'!$B$6:$B$365,'Instructor 360'!$B$6:$B$365,,1)</f>
        <v>250.69637883008357</v>
      </c>
      <c r="Q17" s="6">
        <f>_xlfn.XLOOKUP(D17,'Instructor 360'!$B$6:$B$365,'Instructor 360'!$F$6:$F$365,,-1)</f>
        <v>-47.839127019498605</v>
      </c>
      <c r="R17" s="6">
        <f>_xlfn.XLOOKUP(D17,'Instructor 360'!$B$6:$B$365,'Instructor 360'!$F$6:$F$365,,1)</f>
        <v>-47.092160445682453</v>
      </c>
      <c r="S17" s="6">
        <f t="shared" si="6"/>
        <v>-47.713825133649564</v>
      </c>
      <c r="T17" s="6">
        <f t="shared" si="7"/>
        <v>-0.83276334730300838</v>
      </c>
      <c r="U17" s="6">
        <f t="shared" si="8"/>
        <v>-0.14680269537880908</v>
      </c>
      <c r="V17" s="6"/>
      <c r="W17" s="6">
        <f t="shared" si="9"/>
        <v>2.1551031370483413E-2</v>
      </c>
      <c r="AA17">
        <f t="shared" si="10"/>
        <v>249</v>
      </c>
      <c r="AB17">
        <f t="shared" si="11"/>
        <v>-0.97956604268181746</v>
      </c>
      <c r="AC17">
        <f t="shared" si="12"/>
        <v>-0.83276334730300838</v>
      </c>
    </row>
    <row r="18" spans="1:29" ht="18.95" customHeight="1">
      <c r="A18" s="4">
        <f t="shared" si="13"/>
        <v>706</v>
      </c>
      <c r="B18" s="6">
        <f>INDEX('Raw Data'!$B$6:$B$1371,MATCH(A18,'Raw Data'!$A$6:$A$1371,0))</f>
        <v>15147</v>
      </c>
      <c r="C18" s="6">
        <f t="shared" si="0"/>
        <v>272</v>
      </c>
      <c r="D18" s="6">
        <f>MOD(C18+Summary!$B$20,Summary!$B$11)</f>
        <v>266.74162379895915</v>
      </c>
      <c r="E18" s="6">
        <f>_xlfn.XLOOKUP(D18,'Native PMKS'!$C$6:$C$366,'Native PMKS'!$C$6:$C$366,,-1)</f>
        <v>266.66666666666669</v>
      </c>
      <c r="F18" s="6">
        <f>_xlfn.XLOOKUP(D18,'Native PMKS'!$C$6:$C$366,'Native PMKS'!$C$6:$C$366,,1)</f>
        <v>275</v>
      </c>
      <c r="G18" s="6">
        <f>_xlfn.XLOOKUP(D18,'Native PMKS'!$C$6:$C$366,'Native PMKS'!$N$6:$N$366,,-1)</f>
        <v>-45.664700000000003</v>
      </c>
      <c r="H18" s="6">
        <f>_xlfn.XLOOKUP(D18,'Native PMKS'!$C$6:$C$366,'Native PMKS'!$N$6:$N$366,,1)</f>
        <v>-44.919899999999998</v>
      </c>
      <c r="I18" s="6">
        <f t="shared" si="1"/>
        <v>-45.65800063134423</v>
      </c>
      <c r="J18" s="6">
        <f>INDEX('Raw Data'!$F$6:$F$1371,MATCH(A18,'Raw Data'!$A$6:$A$1371,0))</f>
        <v>-53.9375</v>
      </c>
      <c r="K18" s="6">
        <f t="shared" si="2"/>
        <v>-0.94138696529444144</v>
      </c>
      <c r="L18" s="6">
        <f t="shared" si="3"/>
        <v>-0.79688244089460658</v>
      </c>
      <c r="M18" s="6">
        <f t="shared" si="4"/>
        <v>-0.14450452439983485</v>
      </c>
      <c r="N18" s="6">
        <f t="shared" si="5"/>
        <v>2.0881557572022466E-2</v>
      </c>
      <c r="O18" s="6">
        <f>_xlfn.XLOOKUP(D18,'Instructor 360'!$B$6:$B$365,'Instructor 360'!$B$6:$B$365,,-1)</f>
        <v>259.05292479108635</v>
      </c>
      <c r="P18" s="6">
        <f>_xlfn.XLOOKUP(D18,'Instructor 360'!$B$6:$B$365,'Instructor 360'!$B$6:$B$365,,1)</f>
        <v>267.40947075208913</v>
      </c>
      <c r="Q18" s="6">
        <f>_xlfn.XLOOKUP(D18,'Instructor 360'!$B$6:$B$365,'Instructor 360'!$F$6:$F$365,,-1)</f>
        <v>-46.345277158774373</v>
      </c>
      <c r="R18" s="6">
        <f>_xlfn.XLOOKUP(D18,'Instructor 360'!$B$6:$B$365,'Instructor 360'!$F$6:$F$365,,1)</f>
        <v>-45.598311142061284</v>
      </c>
      <c r="S18" s="6">
        <f t="shared" si="6"/>
        <v>-45.658007933137583</v>
      </c>
      <c r="T18" s="6">
        <f t="shared" si="7"/>
        <v>-0.79688256833494175</v>
      </c>
      <c r="U18" s="6">
        <f t="shared" si="8"/>
        <v>-0.14450439695949968</v>
      </c>
      <c r="V18" s="6"/>
      <c r="W18" s="6">
        <f t="shared" si="9"/>
        <v>2.088152074062866E-2</v>
      </c>
      <c r="AA18">
        <f t="shared" si="10"/>
        <v>272</v>
      </c>
      <c r="AB18">
        <f t="shared" si="11"/>
        <v>-0.94138696529444144</v>
      </c>
      <c r="AC18">
        <f t="shared" si="12"/>
        <v>-0.79688256833494175</v>
      </c>
    </row>
    <row r="19" spans="1:29" ht="18.95" customHeight="1">
      <c r="A19" s="4">
        <f t="shared" si="13"/>
        <v>707</v>
      </c>
      <c r="B19" s="6">
        <f>INDEX('Raw Data'!$B$6:$B$1371,MATCH(A19,'Raw Data'!$A$6:$A$1371,0))</f>
        <v>15167</v>
      </c>
      <c r="C19" s="6">
        <f t="shared" si="0"/>
        <v>292</v>
      </c>
      <c r="D19" s="6">
        <f>MOD(C19+Summary!$B$20,Summary!$B$11)</f>
        <v>286.74162379895915</v>
      </c>
      <c r="E19" s="6">
        <f>_xlfn.XLOOKUP(D19,'Native PMKS'!$C$6:$C$366,'Native PMKS'!$C$6:$C$366,,-1)</f>
        <v>283.33333333333337</v>
      </c>
      <c r="F19" s="6">
        <f>_xlfn.XLOOKUP(D19,'Native PMKS'!$C$6:$C$366,'Native PMKS'!$C$6:$C$366,,1)</f>
        <v>291.66666666666669</v>
      </c>
      <c r="G19" s="6">
        <f>_xlfn.XLOOKUP(D19,'Native PMKS'!$C$6:$C$366,'Native PMKS'!$N$6:$N$366,,-1)</f>
        <v>-44.174999999999997</v>
      </c>
      <c r="H19" s="6">
        <f>_xlfn.XLOOKUP(D19,'Native PMKS'!$C$6:$C$366,'Native PMKS'!$N$6:$N$366,,1)</f>
        <v>-43.430199999999999</v>
      </c>
      <c r="I19" s="6">
        <f t="shared" si="1"/>
        <v>-43.870380631344219</v>
      </c>
      <c r="J19" s="6">
        <f>INDEX('Raw Data'!$F$6:$F$1371,MATCH(A19,'Raw Data'!$A$6:$A$1371,0))</f>
        <v>-52.3125</v>
      </c>
      <c r="K19" s="6">
        <f t="shared" si="2"/>
        <v>-0.91302536494953368</v>
      </c>
      <c r="L19" s="6">
        <f t="shared" si="3"/>
        <v>-0.7656825861201052</v>
      </c>
      <c r="M19" s="6">
        <f t="shared" si="4"/>
        <v>-0.14734277882942848</v>
      </c>
      <c r="N19" s="6">
        <f t="shared" si="5"/>
        <v>2.1709894473177876E-2</v>
      </c>
      <c r="O19" s="6">
        <f>_xlfn.XLOOKUP(D19,'Instructor 360'!$B$6:$B$365,'Instructor 360'!$B$6:$B$365,,-1)</f>
        <v>284.1225626740947</v>
      </c>
      <c r="P19" s="6">
        <f>_xlfn.XLOOKUP(D19,'Instructor 360'!$B$6:$B$365,'Instructor 360'!$B$6:$B$365,,1)</f>
        <v>292.47910863509748</v>
      </c>
      <c r="Q19" s="6">
        <f>_xlfn.XLOOKUP(D19,'Instructor 360'!$B$6:$B$365,'Instructor 360'!$F$6:$F$365,,-1)</f>
        <v>-44.104461838440116</v>
      </c>
      <c r="R19" s="6">
        <f>_xlfn.XLOOKUP(D19,'Instructor 360'!$B$6:$B$365,'Instructor 360'!$F$6:$F$365,,1)</f>
        <v>-43.3520008356546</v>
      </c>
      <c r="S19" s="6">
        <f t="shared" si="6"/>
        <v>-43.868629788982261</v>
      </c>
      <c r="T19" s="6">
        <f t="shared" si="7"/>
        <v>-0.7656520281562057</v>
      </c>
      <c r="U19" s="6">
        <f t="shared" si="8"/>
        <v>-0.14737333679332798</v>
      </c>
      <c r="V19" s="6"/>
      <c r="W19" s="6">
        <f t="shared" si="9"/>
        <v>2.1718900397599678E-2</v>
      </c>
      <c r="AA19">
        <f t="shared" si="10"/>
        <v>292</v>
      </c>
      <c r="AB19">
        <f t="shared" si="11"/>
        <v>-0.91302536494953368</v>
      </c>
      <c r="AC19">
        <f t="shared" si="12"/>
        <v>-0.7656520281562057</v>
      </c>
    </row>
    <row r="20" spans="1:29" ht="18.95" customHeight="1">
      <c r="A20" s="4">
        <f t="shared" si="13"/>
        <v>708</v>
      </c>
      <c r="B20" s="6">
        <f>INDEX('Raw Data'!$B$6:$B$1371,MATCH(A20,'Raw Data'!$A$6:$A$1371,0))</f>
        <v>15190</v>
      </c>
      <c r="C20" s="6">
        <f t="shared" si="0"/>
        <v>315</v>
      </c>
      <c r="D20" s="6">
        <f>MOD(C20+Summary!$B$20,Summary!$B$11)</f>
        <v>309.74162379895915</v>
      </c>
      <c r="E20" s="6">
        <f>_xlfn.XLOOKUP(D20,'Native PMKS'!$C$6:$C$366,'Native PMKS'!$C$6:$C$366,,-1)</f>
        <v>308.33333333333337</v>
      </c>
      <c r="F20" s="6">
        <f>_xlfn.XLOOKUP(D20,'Native PMKS'!$C$6:$C$366,'Native PMKS'!$C$6:$C$366,,1)</f>
        <v>316.66666666666669</v>
      </c>
      <c r="G20" s="6">
        <f>_xlfn.XLOOKUP(D20,'Native PMKS'!$C$6:$C$366,'Native PMKS'!$N$6:$N$366,,-1)</f>
        <v>-41.883200000000002</v>
      </c>
      <c r="H20" s="6">
        <f>_xlfn.XLOOKUP(D20,'Native PMKS'!$C$6:$C$366,'Native PMKS'!$N$6:$N$366,,1)</f>
        <v>-41.138399999999997</v>
      </c>
      <c r="I20" s="6">
        <f t="shared" si="1"/>
        <v>-41.757332631344234</v>
      </c>
      <c r="J20" s="6">
        <f>INDEX('Raw Data'!$F$6:$F$1371,MATCH(A20,'Raw Data'!$A$6:$A$1371,0))</f>
        <v>-48.0625</v>
      </c>
      <c r="K20" s="6">
        <f t="shared" si="2"/>
        <v>-0.83884887173977463</v>
      </c>
      <c r="L20" s="6">
        <f t="shared" si="3"/>
        <v>-0.7288029412674244</v>
      </c>
      <c r="M20" s="6">
        <f t="shared" si="4"/>
        <v>-0.11004593047235023</v>
      </c>
      <c r="N20" s="6">
        <f t="shared" si="5"/>
        <v>1.211010681352534E-2</v>
      </c>
      <c r="O20" s="6">
        <f>_xlfn.XLOOKUP(D20,'Instructor 360'!$B$6:$B$365,'Instructor 360'!$B$6:$B$365,,-1)</f>
        <v>309.19220055710304</v>
      </c>
      <c r="P20" s="6">
        <f>_xlfn.XLOOKUP(D20,'Instructor 360'!$B$6:$B$365,'Instructor 360'!$B$6:$B$365,,1)</f>
        <v>317.54874651810587</v>
      </c>
      <c r="Q20" s="6">
        <f>_xlfn.XLOOKUP(D20,'Instructor 360'!$B$6:$B$365,'Instructor 360'!$F$6:$F$365,,-1)</f>
        <v>-41.806437883008364</v>
      </c>
      <c r="R20" s="6">
        <f>_xlfn.XLOOKUP(D20,'Instructor 360'!$B$6:$B$365,'Instructor 360'!$F$6:$F$365,,1)</f>
        <v>-41.059552646239553</v>
      </c>
      <c r="S20" s="6">
        <f t="shared" si="6"/>
        <v>-41.757331935408118</v>
      </c>
      <c r="T20" s="6">
        <f t="shared" si="7"/>
        <v>-0.72880292912104783</v>
      </c>
      <c r="U20" s="6">
        <f t="shared" si="8"/>
        <v>-0.1100459426187268</v>
      </c>
      <c r="V20" s="6"/>
      <c r="W20" s="6">
        <f t="shared" si="9"/>
        <v>1.2110109486844111E-2</v>
      </c>
      <c r="AA20">
        <f t="shared" si="10"/>
        <v>315</v>
      </c>
      <c r="AB20">
        <f t="shared" si="11"/>
        <v>-0.83884887173977463</v>
      </c>
      <c r="AC20">
        <f t="shared" si="12"/>
        <v>-0.72880292912104783</v>
      </c>
    </row>
    <row r="21" spans="1:29" ht="18.95" customHeight="1">
      <c r="A21" s="4">
        <f t="shared" si="13"/>
        <v>709</v>
      </c>
      <c r="B21" s="6">
        <f>INDEX('Raw Data'!$B$6:$B$1371,MATCH(A21,'Raw Data'!$A$6:$A$1371,0))</f>
        <v>15211</v>
      </c>
      <c r="C21" s="6">
        <f t="shared" si="0"/>
        <v>336</v>
      </c>
      <c r="D21" s="6">
        <f>MOD(C21+Summary!$B$20,Summary!$B$11)</f>
        <v>330.74162379895915</v>
      </c>
      <c r="E21" s="6">
        <f>_xlfn.XLOOKUP(D21,'Native PMKS'!$C$6:$C$366,'Native PMKS'!$C$6:$C$366,,-1)</f>
        <v>325</v>
      </c>
      <c r="F21" s="6">
        <f>_xlfn.XLOOKUP(D21,'Native PMKS'!$C$6:$C$366,'Native PMKS'!$C$6:$C$366,,1)</f>
        <v>333.33333333333337</v>
      </c>
      <c r="G21" s="6">
        <f>_xlfn.XLOOKUP(D21,'Native PMKS'!$C$6:$C$366,'Native PMKS'!$N$6:$N$366,,-1)</f>
        <v>-40.393500000000003</v>
      </c>
      <c r="H21" s="6">
        <f>_xlfn.XLOOKUP(D21,'Native PMKS'!$C$6:$C$366,'Native PMKS'!$N$6:$N$366,,1)</f>
        <v>-39.648699999999998</v>
      </c>
      <c r="I21" s="6">
        <f t="shared" si="1"/>
        <v>-39.880336631344235</v>
      </c>
      <c r="J21" s="6">
        <f>INDEX('Raw Data'!$F$6:$F$1371,MATCH(A21,'Raw Data'!$A$6:$A$1371,0))</f>
        <v>-45.3125</v>
      </c>
      <c r="K21" s="6">
        <f t="shared" si="2"/>
        <v>-0.79085231730993055</v>
      </c>
      <c r="L21" s="6">
        <f t="shared" si="3"/>
        <v>-0.69604318102066087</v>
      </c>
      <c r="M21" s="6">
        <f t="shared" si="4"/>
        <v>-9.480913628926968E-2</v>
      </c>
      <c r="N21" s="6">
        <f t="shared" si="5"/>
        <v>8.9887723239173122E-3</v>
      </c>
      <c r="O21" s="6">
        <f>_xlfn.XLOOKUP(D21,'Instructor 360'!$B$6:$B$365,'Instructor 360'!$B$6:$B$365,,-1)</f>
        <v>325.90529247910865</v>
      </c>
      <c r="P21" s="6">
        <f>_xlfn.XLOOKUP(D21,'Instructor 360'!$B$6:$B$365,'Instructor 360'!$B$6:$B$365,,1)</f>
        <v>334.26183844011143</v>
      </c>
      <c r="Q21" s="6">
        <f>_xlfn.XLOOKUP(D21,'Instructor 360'!$B$6:$B$365,'Instructor 360'!$F$6:$F$365,,-1)</f>
        <v>-40.312588579387189</v>
      </c>
      <c r="R21" s="6">
        <f>_xlfn.XLOOKUP(D21,'Instructor 360'!$B$6:$B$365,'Instructor 360'!$F$6:$F$365,,1)</f>
        <v>-39.56570278551532</v>
      </c>
      <c r="S21" s="6">
        <f t="shared" si="6"/>
        <v>-39.880330182902469</v>
      </c>
      <c r="T21" s="6">
        <f t="shared" si="7"/>
        <v>-0.69604306847412045</v>
      </c>
      <c r="U21" s="6">
        <f t="shared" si="8"/>
        <v>-9.48092488358101E-2</v>
      </c>
      <c r="V21" s="6"/>
      <c r="W21" s="6">
        <f t="shared" si="9"/>
        <v>8.9887936648105592E-3</v>
      </c>
      <c r="AA21">
        <f t="shared" si="10"/>
        <v>336</v>
      </c>
      <c r="AB21">
        <f t="shared" si="11"/>
        <v>-0.79085231730993055</v>
      </c>
      <c r="AC21">
        <f t="shared" si="12"/>
        <v>-0.69604306847412045</v>
      </c>
    </row>
    <row r="22" spans="1:29" ht="18.95" customHeight="1">
      <c r="A22" s="4">
        <f t="shared" si="13"/>
        <v>710</v>
      </c>
      <c r="B22" s="6">
        <f>INDEX('Raw Data'!$B$6:$B$1371,MATCH(A22,'Raw Data'!$A$6:$A$1371,0))</f>
        <v>15231</v>
      </c>
      <c r="C22" s="6">
        <f t="shared" si="0"/>
        <v>356</v>
      </c>
      <c r="D22" s="6">
        <f>MOD(C22+Summary!$B$20,Summary!$B$11)</f>
        <v>350.74162379895915</v>
      </c>
      <c r="E22" s="6">
        <f>_xlfn.XLOOKUP(D22,'Native PMKS'!$C$6:$C$366,'Native PMKS'!$C$6:$C$366,,-1)</f>
        <v>350</v>
      </c>
      <c r="F22" s="6">
        <f>_xlfn.XLOOKUP(D22,'Native PMKS'!$C$6:$C$366,'Native PMKS'!$C$6:$C$366,,1)</f>
        <v>358.33333333333337</v>
      </c>
      <c r="G22" s="6">
        <f>_xlfn.XLOOKUP(D22,'Native PMKS'!$C$6:$C$366,'Native PMKS'!$N$6:$N$366,,-1)</f>
        <v>-38.158999999999999</v>
      </c>
      <c r="H22" s="6">
        <f>_xlfn.XLOOKUP(D22,'Native PMKS'!$C$6:$C$366,'Native PMKS'!$N$6:$N$366,,1)</f>
        <v>-37.414099999999998</v>
      </c>
      <c r="I22" s="6">
        <f t="shared" si="1"/>
        <v>-38.092707731858638</v>
      </c>
      <c r="J22" s="6">
        <f>INDEX('Raw Data'!$F$6:$F$1371,MATCH(A22,'Raw Data'!$A$6:$A$1371,0))</f>
        <v>-42.375</v>
      </c>
      <c r="K22" s="6">
        <f t="shared" si="2"/>
        <v>-0.73958327053259709</v>
      </c>
      <c r="L22" s="6">
        <f t="shared" si="3"/>
        <v>-0.66484317092083445</v>
      </c>
      <c r="M22" s="6">
        <f t="shared" si="4"/>
        <v>-7.4740099611762645E-2</v>
      </c>
      <c r="N22" s="6">
        <f t="shared" si="5"/>
        <v>5.5860824899762029E-3</v>
      </c>
      <c r="O22" s="6">
        <f>_xlfn.XLOOKUP(D22,'Instructor 360'!$B$6:$B$365,'Instructor 360'!$B$6:$B$365,,-1)</f>
        <v>342.61838440111421</v>
      </c>
      <c r="P22" s="6">
        <f>_xlfn.XLOOKUP(D22,'Instructor 360'!$B$6:$B$365,'Instructor 360'!$B$6:$B$365,,1)</f>
        <v>350.97493036211699</v>
      </c>
      <c r="Q22" s="6">
        <f>_xlfn.XLOOKUP(D22,'Instructor 360'!$B$6:$B$365,'Instructor 360'!$F$6:$F$365,,-1)</f>
        <v>-38.818739275766013</v>
      </c>
      <c r="R22" s="6">
        <f>_xlfn.XLOOKUP(D22,'Instructor 360'!$B$6:$B$365,'Instructor 360'!$F$6:$F$365,,1)</f>
        <v>-38.071852924791088</v>
      </c>
      <c r="S22" s="6">
        <f t="shared" si="6"/>
        <v>-38.092705258809076</v>
      </c>
      <c r="T22" s="6">
        <f t="shared" si="7"/>
        <v>-0.66484312775797705</v>
      </c>
      <c r="U22" s="6">
        <f t="shared" si="8"/>
        <v>-7.4740142774620044E-2</v>
      </c>
      <c r="V22" s="6"/>
      <c r="W22" s="6">
        <f t="shared" si="9"/>
        <v>5.5860889419705887E-3</v>
      </c>
      <c r="AA22">
        <f t="shared" si="10"/>
        <v>356</v>
      </c>
      <c r="AB22">
        <f t="shared" si="11"/>
        <v>-0.73958327053259709</v>
      </c>
      <c r="AC22">
        <f t="shared" si="12"/>
        <v>-0.66484312775797705</v>
      </c>
    </row>
    <row r="23" spans="1:29" ht="18.95" customHeight="1">
      <c r="A23" s="4">
        <f t="shared" si="13"/>
        <v>711</v>
      </c>
      <c r="B23" s="6">
        <f>INDEX('Raw Data'!$B$6:$B$1371,MATCH(A23,'Raw Data'!$A$6:$A$1371,0))</f>
        <v>15252</v>
      </c>
      <c r="C23" s="6">
        <f t="shared" si="0"/>
        <v>377</v>
      </c>
      <c r="D23" s="6">
        <f>MOD(C23+Summary!$B$20,Summary!$B$11)</f>
        <v>371.74162379895915</v>
      </c>
      <c r="E23" s="6">
        <f>_xlfn.XLOOKUP(D23,'Native PMKS'!$C$6:$C$366,'Native PMKS'!$C$6:$C$366,,-1)</f>
        <v>366.66666666666669</v>
      </c>
      <c r="F23" s="6">
        <f>_xlfn.XLOOKUP(D23,'Native PMKS'!$C$6:$C$366,'Native PMKS'!$C$6:$C$366,,1)</f>
        <v>375</v>
      </c>
      <c r="G23" s="6">
        <f>_xlfn.XLOOKUP(D23,'Native PMKS'!$C$6:$C$366,'Native PMKS'!$N$6:$N$366,,-1)</f>
        <v>-36.726599999999998</v>
      </c>
      <c r="H23" s="6">
        <f>_xlfn.XLOOKUP(D23,'Native PMKS'!$C$6:$C$366,'Native PMKS'!$N$6:$N$366,,1)</f>
        <v>-35.981699999999996</v>
      </c>
      <c r="I23" s="6">
        <f t="shared" si="1"/>
        <v>-36.272959731858641</v>
      </c>
      <c r="J23" s="6">
        <f>INDEX('Raw Data'!$F$6:$F$1371,MATCH(A23,'Raw Data'!$A$6:$A$1371,0))</f>
        <v>-41.0625</v>
      </c>
      <c r="K23" s="6">
        <f t="shared" si="2"/>
        <v>-0.71667582410017161</v>
      </c>
      <c r="L23" s="6">
        <f t="shared" si="3"/>
        <v>-0.63308257676425272</v>
      </c>
      <c r="M23" s="6">
        <f t="shared" si="4"/>
        <v>-8.3593247335918885E-2</v>
      </c>
      <c r="N23" s="6">
        <f t="shared" si="5"/>
        <v>6.9878310001641099E-3</v>
      </c>
      <c r="O23" s="6">
        <f>_xlfn.XLOOKUP(D23,'Instructor 360'!$B$6:$B$365,'Instructor 360'!$B$6:$B$365,,-1)</f>
        <v>367.68802228412255</v>
      </c>
      <c r="P23" s="6">
        <f>_xlfn.XLOOKUP(D23,'Instructor 360'!$B$6:$B$365,'Instructor 360'!$B$6:$B$365,,1)</f>
        <v>376.04456824512533</v>
      </c>
      <c r="Q23" s="6">
        <f>_xlfn.XLOOKUP(D23,'Instructor 360'!$B$6:$B$365,'Instructor 360'!$F$6:$F$365,,-1)</f>
        <v>-36.635303064066854</v>
      </c>
      <c r="R23" s="6">
        <f>_xlfn.XLOOKUP(D23,'Instructor 360'!$B$6:$B$365,'Instructor 360'!$F$6:$F$365,,1)</f>
        <v>-35.89552311977716</v>
      </c>
      <c r="S23" s="6">
        <f t="shared" si="6"/>
        <v>-36.276449882762911</v>
      </c>
      <c r="T23" s="6">
        <f t="shared" si="7"/>
        <v>-0.63314349138892367</v>
      </c>
      <c r="U23" s="6">
        <f t="shared" si="8"/>
        <v>-8.3532332711247936E-2</v>
      </c>
      <c r="V23" s="6"/>
      <c r="W23" s="6">
        <f t="shared" si="9"/>
        <v>6.9776506081826216E-3</v>
      </c>
      <c r="AA23">
        <f t="shared" si="10"/>
        <v>377</v>
      </c>
      <c r="AB23">
        <f t="shared" si="11"/>
        <v>-0.71667582410017161</v>
      </c>
      <c r="AC23">
        <f t="shared" si="12"/>
        <v>-0.63314349138892367</v>
      </c>
    </row>
    <row r="24" spans="1:29" ht="18.95" customHeight="1">
      <c r="A24" s="4">
        <f t="shared" si="13"/>
        <v>712</v>
      </c>
      <c r="B24" s="6">
        <f>INDEX('Raw Data'!$B$6:$B$1371,MATCH(A24,'Raw Data'!$A$6:$A$1371,0))</f>
        <v>15274</v>
      </c>
      <c r="C24" s="6">
        <f t="shared" si="0"/>
        <v>399</v>
      </c>
      <c r="D24" s="6">
        <f>MOD(C24+Summary!$B$20,Summary!$B$11)</f>
        <v>393.74162379895915</v>
      </c>
      <c r="E24" s="6">
        <f>_xlfn.XLOOKUP(D24,'Native PMKS'!$C$6:$C$366,'Native PMKS'!$C$6:$C$366,,-1)</f>
        <v>391.66666666666669</v>
      </c>
      <c r="F24" s="6">
        <f>_xlfn.XLOOKUP(D24,'Native PMKS'!$C$6:$C$366,'Native PMKS'!$C$6:$C$366,,1)</f>
        <v>400</v>
      </c>
      <c r="G24" s="6">
        <f>_xlfn.XLOOKUP(D24,'Native PMKS'!$C$6:$C$366,'Native PMKS'!$N$6:$N$366,,-1)</f>
        <v>-34.549399999999999</v>
      </c>
      <c r="H24" s="6">
        <f>_xlfn.XLOOKUP(D24,'Native PMKS'!$C$6:$C$366,'Native PMKS'!$N$6:$N$366,,1)</f>
        <v>-33.861800000000002</v>
      </c>
      <c r="I24" s="6">
        <f t="shared" si="1"/>
        <v>-34.378191137100288</v>
      </c>
      <c r="J24" s="6">
        <f>INDEX('Raw Data'!$F$6:$F$1371,MATCH(A24,'Raw Data'!$A$6:$A$1371,0))</f>
        <v>-38.6875</v>
      </c>
      <c r="K24" s="6">
        <f t="shared" si="2"/>
        <v>-0.67522425436530631</v>
      </c>
      <c r="L24" s="6">
        <f t="shared" si="3"/>
        <v>-0.60001262622233331</v>
      </c>
      <c r="M24" s="6">
        <f t="shared" si="4"/>
        <v>-7.5211628142972997E-2</v>
      </c>
      <c r="N24" s="6">
        <f t="shared" si="5"/>
        <v>5.6567890079168475E-3</v>
      </c>
      <c r="O24" s="6">
        <f>_xlfn.XLOOKUP(D24,'Instructor 360'!$B$6:$B$365,'Instructor 360'!$B$6:$B$365,,-1)</f>
        <v>392.75766016713089</v>
      </c>
      <c r="P24" s="6">
        <f>_xlfn.XLOOKUP(D24,'Instructor 360'!$B$6:$B$365,'Instructor 360'!$B$6:$B$365,,1)</f>
        <v>401.11420612813367</v>
      </c>
      <c r="Q24" s="6">
        <f>_xlfn.XLOOKUP(D24,'Instructor 360'!$B$6:$B$365,'Instructor 360'!$F$6:$F$365,,-1)</f>
        <v>-34.459379944289694</v>
      </c>
      <c r="R24" s="6">
        <f>_xlfn.XLOOKUP(D24,'Instructor 360'!$B$6:$B$365,'Instructor 360'!$F$6:$F$365,,1)</f>
        <v>-33.769877994428974</v>
      </c>
      <c r="S24" s="6">
        <f t="shared" si="6"/>
        <v>-34.378192711442075</v>
      </c>
      <c r="T24" s="6">
        <f t="shared" si="7"/>
        <v>-0.60001265369978107</v>
      </c>
      <c r="U24" s="6">
        <f t="shared" si="8"/>
        <v>-7.5211600665525236E-2</v>
      </c>
      <c r="V24" s="6"/>
      <c r="W24" s="6">
        <f t="shared" si="9"/>
        <v>5.6567848746704357E-3</v>
      </c>
      <c r="AA24">
        <f t="shared" si="10"/>
        <v>399</v>
      </c>
      <c r="AB24">
        <f t="shared" si="11"/>
        <v>-0.67522425436530631</v>
      </c>
      <c r="AC24">
        <f t="shared" si="12"/>
        <v>-0.60001265369978107</v>
      </c>
    </row>
    <row r="25" spans="1:29" ht="18.95" customHeight="1">
      <c r="A25" s="4">
        <f t="shared" si="13"/>
        <v>713</v>
      </c>
      <c r="B25" s="6">
        <f>INDEX('Raw Data'!$B$6:$B$1371,MATCH(A25,'Raw Data'!$A$6:$A$1371,0))</f>
        <v>15296</v>
      </c>
      <c r="C25" s="6">
        <f t="shared" si="0"/>
        <v>421</v>
      </c>
      <c r="D25" s="6">
        <f>MOD(C25+Summary!$B$20,Summary!$B$11)</f>
        <v>415.74162379895915</v>
      </c>
      <c r="E25" s="6">
        <f>_xlfn.XLOOKUP(D25,'Native PMKS'!$C$6:$C$366,'Native PMKS'!$C$6:$C$366,,-1)</f>
        <v>408.33333333333337</v>
      </c>
      <c r="F25" s="6">
        <f>_xlfn.XLOOKUP(D25,'Native PMKS'!$C$6:$C$366,'Native PMKS'!$C$6:$C$366,,1)</f>
        <v>416.66666666666669</v>
      </c>
      <c r="G25" s="6">
        <f>_xlfn.XLOOKUP(D25,'Native PMKS'!$C$6:$C$366,'Native PMKS'!$N$6:$N$366,,-1)</f>
        <v>-33.174300000000002</v>
      </c>
      <c r="H25" s="6">
        <f>_xlfn.XLOOKUP(D25,'Native PMKS'!$C$6:$C$366,'Native PMKS'!$N$6:$N$366,,1)</f>
        <v>-32.486699999999999</v>
      </c>
      <c r="I25" s="6">
        <f t="shared" si="1"/>
        <v>-32.563027137100278</v>
      </c>
      <c r="J25" s="6">
        <f>INDEX('Raw Data'!$F$6:$F$1371,MATCH(A25,'Raw Data'!$A$6:$A$1371,0))</f>
        <v>-37.0625</v>
      </c>
      <c r="K25" s="6">
        <f t="shared" si="2"/>
        <v>-0.64686265402039833</v>
      </c>
      <c r="L25" s="6">
        <f t="shared" si="3"/>
        <v>-0.56833203795866283</v>
      </c>
      <c r="M25" s="6">
        <f t="shared" si="4"/>
        <v>-7.8530616061735503E-2</v>
      </c>
      <c r="N25" s="6">
        <f t="shared" si="5"/>
        <v>6.1670576590357098E-3</v>
      </c>
      <c r="O25" s="6">
        <f>_xlfn.XLOOKUP(D25,'Instructor 360'!$B$6:$B$365,'Instructor 360'!$B$6:$B$365,,-1)</f>
        <v>409.47075208913651</v>
      </c>
      <c r="P25" s="6">
        <f>_xlfn.XLOOKUP(D25,'Instructor 360'!$B$6:$B$365,'Instructor 360'!$B$6:$B$365,,1)</f>
        <v>417.82729805013929</v>
      </c>
      <c r="Q25" s="6">
        <f>_xlfn.XLOOKUP(D25,'Instructor 360'!$B$6:$B$365,'Instructor 360'!$F$6:$F$365,,-1)</f>
        <v>-33.080449303621172</v>
      </c>
      <c r="R25" s="6">
        <f>_xlfn.XLOOKUP(D25,'Instructor 360'!$B$6:$B$365,'Instructor 360'!$F$6:$F$365,,1)</f>
        <v>-32.39094791086351</v>
      </c>
      <c r="S25" s="6">
        <f t="shared" si="6"/>
        <v>-32.563037588553129</v>
      </c>
      <c r="T25" s="6">
        <f t="shared" si="7"/>
        <v>-0.56833222037092668</v>
      </c>
      <c r="U25" s="6">
        <f t="shared" si="8"/>
        <v>-7.8530433649471654E-2</v>
      </c>
      <c r="V25" s="6"/>
      <c r="W25" s="6">
        <f t="shared" si="9"/>
        <v>6.1670290091740696E-3</v>
      </c>
      <c r="AA25">
        <f t="shared" si="10"/>
        <v>421</v>
      </c>
      <c r="AB25">
        <f t="shared" si="11"/>
        <v>-0.64686265402039833</v>
      </c>
      <c r="AC25">
        <f t="shared" si="12"/>
        <v>-0.56833222037092668</v>
      </c>
    </row>
    <row r="26" spans="1:29" ht="18.95" customHeight="1">
      <c r="A26" s="4">
        <f t="shared" si="13"/>
        <v>714</v>
      </c>
      <c r="B26" s="6">
        <f>INDEX('Raw Data'!$B$6:$B$1371,MATCH(A26,'Raw Data'!$A$6:$A$1371,0))</f>
        <v>15318</v>
      </c>
      <c r="C26" s="6">
        <f t="shared" si="0"/>
        <v>443</v>
      </c>
      <c r="D26" s="6">
        <f>MOD(C26+Summary!$B$20,Summary!$B$11)</f>
        <v>437.74162379895915</v>
      </c>
      <c r="E26" s="6">
        <f>_xlfn.XLOOKUP(D26,'Native PMKS'!$C$6:$C$366,'Native PMKS'!$C$6:$C$366,,-1)</f>
        <v>433.33333333333337</v>
      </c>
      <c r="F26" s="6">
        <f>_xlfn.XLOOKUP(D26,'Native PMKS'!$C$6:$C$366,'Native PMKS'!$C$6:$C$366,,1)</f>
        <v>441.66666666666669</v>
      </c>
      <c r="G26" s="6">
        <f>_xlfn.XLOOKUP(D26,'Native PMKS'!$C$6:$C$366,'Native PMKS'!$N$6:$N$366,,-1)</f>
        <v>-31.168900000000001</v>
      </c>
      <c r="H26" s="6">
        <f>_xlfn.XLOOKUP(D26,'Native PMKS'!$C$6:$C$366,'Native PMKS'!$N$6:$N$366,,1)</f>
        <v>-30.481400000000001</v>
      </c>
      <c r="I26" s="6">
        <f t="shared" si="1"/>
        <v>-30.805216036585868</v>
      </c>
      <c r="J26" s="6">
        <f>INDEX('Raw Data'!$F$6:$F$1371,MATCH(A26,'Raw Data'!$A$6:$A$1371,0))</f>
        <v>-34.5625</v>
      </c>
      <c r="K26" s="6">
        <f t="shared" si="2"/>
        <v>-0.60322942272054014</v>
      </c>
      <c r="L26" s="6">
        <f t="shared" si="3"/>
        <v>-0.53765244662658129</v>
      </c>
      <c r="M26" s="6">
        <f t="shared" si="4"/>
        <v>-6.557697609395885E-2</v>
      </c>
      <c r="N26" s="6">
        <f t="shared" si="5"/>
        <v>4.3003397936276508E-3</v>
      </c>
      <c r="O26" s="6">
        <f>_xlfn.XLOOKUP(D26,'Instructor 360'!$B$6:$B$365,'Instructor 360'!$B$6:$B$365,,-1)</f>
        <v>434.54038997214485</v>
      </c>
      <c r="P26" s="6">
        <f>_xlfn.XLOOKUP(D26,'Instructor 360'!$B$6:$B$365,'Instructor 360'!$B$6:$B$365,,1)</f>
        <v>442.89693593314763</v>
      </c>
      <c r="Q26" s="6">
        <f>_xlfn.XLOOKUP(D26,'Instructor 360'!$B$6:$B$365,'Instructor 360'!$F$6:$F$365,,-1)</f>
        <v>-31.069317827298054</v>
      </c>
      <c r="R26" s="6">
        <f>_xlfn.XLOOKUP(D26,'Instructor 360'!$B$6:$B$365,'Instructor 360'!$F$6:$F$365,,1)</f>
        <v>-30.388347353760448</v>
      </c>
      <c r="S26" s="6">
        <f t="shared" si="6"/>
        <v>-30.80845099007567</v>
      </c>
      <c r="T26" s="6">
        <f t="shared" si="7"/>
        <v>-0.5377089072161273</v>
      </c>
      <c r="U26" s="6">
        <f t="shared" si="8"/>
        <v>-6.5520515504412846E-2</v>
      </c>
      <c r="V26" s="6"/>
      <c r="W26" s="6">
        <f t="shared" si="9"/>
        <v>4.2929379519640043E-3</v>
      </c>
      <c r="AA26">
        <f t="shared" si="10"/>
        <v>443</v>
      </c>
      <c r="AB26">
        <f t="shared" si="11"/>
        <v>-0.60322942272054014</v>
      </c>
      <c r="AC26">
        <f t="shared" si="12"/>
        <v>-0.5377089072161273</v>
      </c>
    </row>
    <row r="27" spans="1:29" ht="18.95" customHeight="1">
      <c r="A27" s="4">
        <f t="shared" si="13"/>
        <v>715</v>
      </c>
      <c r="B27" s="6">
        <f>INDEX('Raw Data'!$B$6:$B$1371,MATCH(A27,'Raw Data'!$A$6:$A$1371,0))</f>
        <v>15340</v>
      </c>
      <c r="C27" s="6">
        <f t="shared" si="0"/>
        <v>465</v>
      </c>
      <c r="D27" s="6">
        <f>MOD(C27+Summary!$B$20,Summary!$B$11)</f>
        <v>459.74162379895915</v>
      </c>
      <c r="E27" s="6">
        <f>_xlfn.XLOOKUP(D27,'Native PMKS'!$C$6:$C$366,'Native PMKS'!$C$6:$C$366,,-1)</f>
        <v>458.33333333333337</v>
      </c>
      <c r="F27" s="6">
        <f>_xlfn.XLOOKUP(D27,'Native PMKS'!$C$6:$C$366,'Native PMKS'!$C$6:$C$366,,1)</f>
        <v>466.66666666666669</v>
      </c>
      <c r="G27" s="6">
        <f>_xlfn.XLOOKUP(D27,'Native PMKS'!$C$6:$C$366,'Native PMKS'!$N$6:$N$366,,-1)</f>
        <v>-29.220800000000001</v>
      </c>
      <c r="H27" s="6">
        <f>_xlfn.XLOOKUP(D27,'Native PMKS'!$C$6:$C$366,'Native PMKS'!$N$6:$N$366,,1)</f>
        <v>-28.590599999999998</v>
      </c>
      <c r="I27" s="6">
        <f t="shared" si="1"/>
        <v>-29.114299441827512</v>
      </c>
      <c r="J27" s="6">
        <f>INDEX('Raw Data'!$F$6:$F$1371,MATCH(A27,'Raw Data'!$A$6:$A$1371,0))</f>
        <v>-32.375</v>
      </c>
      <c r="K27" s="6">
        <f t="shared" si="2"/>
        <v>-0.56505034533316412</v>
      </c>
      <c r="L27" s="6">
        <f t="shared" si="3"/>
        <v>-0.50814038467143741</v>
      </c>
      <c r="M27" s="6">
        <f t="shared" si="4"/>
        <v>-5.6909960661726711E-2</v>
      </c>
      <c r="N27" s="6">
        <f t="shared" si="5"/>
        <v>3.2387436225192819E-3</v>
      </c>
      <c r="O27" s="6">
        <f>_xlfn.XLOOKUP(D27,'Instructor 360'!$B$6:$B$365,'Instructor 360'!$B$6:$B$365,,-1)</f>
        <v>459.61002785515319</v>
      </c>
      <c r="P27" s="6">
        <f>_xlfn.XLOOKUP(D27,'Instructor 360'!$B$6:$B$365,'Instructor 360'!$B$6:$B$365,,1)</f>
        <v>467.96657381615597</v>
      </c>
      <c r="Q27" s="6">
        <f>_xlfn.XLOOKUP(D27,'Instructor 360'!$B$6:$B$365,'Instructor 360'!$F$6:$F$365,,-1)</f>
        <v>-29.124251253481898</v>
      </c>
      <c r="R27" s="6">
        <f>_xlfn.XLOOKUP(D27,'Instructor 360'!$B$6:$B$365,'Instructor 360'!$F$6:$F$365,,1)</f>
        <v>-28.492280222841227</v>
      </c>
      <c r="S27" s="6">
        <f t="shared" si="6"/>
        <v>-29.114299196181754</v>
      </c>
      <c r="T27" s="6">
        <f t="shared" si="7"/>
        <v>-0.50814038038411014</v>
      </c>
      <c r="U27" s="6">
        <f t="shared" si="8"/>
        <v>-5.6909964949053982E-2</v>
      </c>
      <c r="V27" s="6"/>
      <c r="W27" s="6">
        <f t="shared" si="9"/>
        <v>3.2387441105025529E-3</v>
      </c>
      <c r="AA27">
        <f t="shared" si="10"/>
        <v>465</v>
      </c>
      <c r="AB27">
        <f t="shared" si="11"/>
        <v>-0.56505034533316412</v>
      </c>
      <c r="AC27">
        <f t="shared" si="12"/>
        <v>-0.50814038038411014</v>
      </c>
    </row>
    <row r="28" spans="1:29" ht="18.95" customHeight="1">
      <c r="A28" s="4">
        <f t="shared" si="13"/>
        <v>716</v>
      </c>
      <c r="B28" s="6">
        <f>INDEX('Raw Data'!$B$6:$B$1371,MATCH(A28,'Raw Data'!$A$6:$A$1371,0))</f>
        <v>15380</v>
      </c>
      <c r="C28" s="6">
        <f t="shared" si="0"/>
        <v>505</v>
      </c>
      <c r="D28" s="6">
        <f>MOD(C28+Summary!$B$20,Summary!$B$11)</f>
        <v>499.74162379895915</v>
      </c>
      <c r="E28" s="6">
        <f>_xlfn.XLOOKUP(D28,'Native PMKS'!$C$6:$C$366,'Native PMKS'!$C$6:$C$366,,-1)</f>
        <v>491.66666666666669</v>
      </c>
      <c r="F28" s="6">
        <f>_xlfn.XLOOKUP(D28,'Native PMKS'!$C$6:$C$366,'Native PMKS'!$C$6:$C$366,,1)</f>
        <v>500.00000000000006</v>
      </c>
      <c r="G28" s="6">
        <f>_xlfn.XLOOKUP(D28,'Native PMKS'!$C$6:$C$366,'Native PMKS'!$N$6:$N$366,,-1)</f>
        <v>-26.757100000000001</v>
      </c>
      <c r="H28" s="6">
        <f>_xlfn.XLOOKUP(D28,'Native PMKS'!$C$6:$C$366,'Native PMKS'!$N$6:$N$366,,1)</f>
        <v>-26.126899999999999</v>
      </c>
      <c r="I28" s="6">
        <f t="shared" si="1"/>
        <v>-26.146439441827518</v>
      </c>
      <c r="J28" s="6">
        <f>INDEX('Raw Data'!$F$6:$F$1371,MATCH(A28,'Raw Data'!$A$6:$A$1371,0))</f>
        <v>-28.5</v>
      </c>
      <c r="K28" s="6">
        <f t="shared" si="2"/>
        <v>-0.49741883681838389</v>
      </c>
      <c r="L28" s="6">
        <f t="shared" si="3"/>
        <v>-0.45634145593319853</v>
      </c>
      <c r="M28" s="6">
        <f t="shared" si="4"/>
        <v>-4.1077380885185366E-2</v>
      </c>
      <c r="N28" s="6">
        <f t="shared" si="5"/>
        <v>1.6873512203865921E-3</v>
      </c>
      <c r="O28" s="6">
        <f>_xlfn.XLOOKUP(D28,'Instructor 360'!$B$6:$B$365,'Instructor 360'!$B$6:$B$365,,-1)</f>
        <v>493.03621169916437</v>
      </c>
      <c r="P28" s="6">
        <f>_xlfn.XLOOKUP(D28,'Instructor 360'!$B$6:$B$365,'Instructor 360'!$B$6:$B$365,,1)</f>
        <v>501.39275766016715</v>
      </c>
      <c r="Q28" s="6">
        <f>_xlfn.XLOOKUP(D28,'Instructor 360'!$B$6:$B$365,'Instructor 360'!$F$6:$F$365,,-1)</f>
        <v>-26.653529526462396</v>
      </c>
      <c r="R28" s="6">
        <f>_xlfn.XLOOKUP(D28,'Instructor 360'!$B$6:$B$365,'Instructor 360'!$F$6:$F$365,,1)</f>
        <v>-26.03113398328691</v>
      </c>
      <c r="S28" s="6">
        <f t="shared" si="6"/>
        <v>-26.154110433269679</v>
      </c>
      <c r="T28" s="6">
        <f t="shared" si="7"/>
        <v>-0.45647533999075657</v>
      </c>
      <c r="U28" s="6">
        <f t="shared" si="8"/>
        <v>-4.0943496827627324E-2</v>
      </c>
      <c r="V28" s="6"/>
      <c r="W28" s="6">
        <f t="shared" si="9"/>
        <v>1.6763699324739286E-3</v>
      </c>
      <c r="AA28">
        <f t="shared" si="10"/>
        <v>505</v>
      </c>
      <c r="AB28">
        <f t="shared" si="11"/>
        <v>-0.49741883681838389</v>
      </c>
      <c r="AC28">
        <f t="shared" si="12"/>
        <v>-0.45647533999075657</v>
      </c>
    </row>
    <row r="29" spans="1:29" ht="18.95" customHeight="1">
      <c r="A29" s="4">
        <f t="shared" si="13"/>
        <v>717</v>
      </c>
      <c r="B29" s="6">
        <f>INDEX('Raw Data'!$B$6:$B$1371,MATCH(A29,'Raw Data'!$A$6:$A$1371,0))</f>
        <v>15403</v>
      </c>
      <c r="C29" s="6">
        <f t="shared" si="0"/>
        <v>528</v>
      </c>
      <c r="D29" s="6">
        <f>MOD(C29+Summary!$B$20,Summary!$B$11)</f>
        <v>522.74162379895915</v>
      </c>
      <c r="E29" s="6">
        <f>_xlfn.XLOOKUP(D29,'Native PMKS'!$C$6:$C$366,'Native PMKS'!$C$6:$C$366,,-1)</f>
        <v>516.66666666666674</v>
      </c>
      <c r="F29" s="6">
        <f>_xlfn.XLOOKUP(D29,'Native PMKS'!$C$6:$C$366,'Native PMKS'!$C$6:$C$366,,1)</f>
        <v>525</v>
      </c>
      <c r="G29" s="6">
        <f>_xlfn.XLOOKUP(D29,'Native PMKS'!$C$6:$C$366,'Native PMKS'!$N$6:$N$366,,-1)</f>
        <v>-24.981000000000002</v>
      </c>
      <c r="H29" s="6">
        <f>_xlfn.XLOOKUP(D29,'Native PMKS'!$C$6:$C$366,'Native PMKS'!$N$6:$N$366,,1)</f>
        <v>-24.408000000000001</v>
      </c>
      <c r="I29" s="6">
        <f t="shared" si="1"/>
        <v>-24.563285947583566</v>
      </c>
      <c r="J29" s="6">
        <f>INDEX('Raw Data'!$F$6:$F$1371,MATCH(A29,'Raw Data'!$A$6:$A$1371,0))</f>
        <v>-26.3125</v>
      </c>
      <c r="K29" s="6">
        <f t="shared" si="2"/>
        <v>-0.45923975943100792</v>
      </c>
      <c r="L29" s="6">
        <f t="shared" si="3"/>
        <v>-0.42871021489418853</v>
      </c>
      <c r="M29" s="6">
        <f t="shared" si="4"/>
        <v>-3.0529544536819386E-2</v>
      </c>
      <c r="N29" s="6">
        <f t="shared" si="5"/>
        <v>9.3205308962563847E-4</v>
      </c>
      <c r="O29" s="6">
        <f>_xlfn.XLOOKUP(D29,'Instructor 360'!$B$6:$B$365,'Instructor 360'!$B$6:$B$365,,-1)</f>
        <v>518.10584958217271</v>
      </c>
      <c r="P29" s="6">
        <f>_xlfn.XLOOKUP(D29,'Instructor 360'!$B$6:$B$365,'Instructor 360'!$B$6:$B$365,,1)</f>
        <v>526.46239554317549</v>
      </c>
      <c r="Q29" s="6">
        <f>_xlfn.XLOOKUP(D29,'Instructor 360'!$B$6:$B$365,'Instructor 360'!$F$6:$F$365,,-1)</f>
        <v>-24.882041782729811</v>
      </c>
      <c r="R29" s="6">
        <f>_xlfn.XLOOKUP(D29,'Instructor 360'!$B$6:$B$365,'Instructor 360'!$F$6:$F$365,,1)</f>
        <v>-24.307445682451256</v>
      </c>
      <c r="S29" s="6">
        <f t="shared" si="6"/>
        <v>-24.56328594758358</v>
      </c>
      <c r="T29" s="6">
        <f t="shared" si="7"/>
        <v>-0.42871021489418876</v>
      </c>
      <c r="U29" s="6">
        <f t="shared" si="8"/>
        <v>-3.0529544536819164E-2</v>
      </c>
      <c r="V29" s="6"/>
      <c r="W29" s="6">
        <f t="shared" si="9"/>
        <v>9.3205308962562492E-4</v>
      </c>
      <c r="AA29">
        <f t="shared" si="10"/>
        <v>528</v>
      </c>
      <c r="AB29">
        <f t="shared" si="11"/>
        <v>-0.45923975943100792</v>
      </c>
      <c r="AC29">
        <f t="shared" si="12"/>
        <v>-0.42871021489418876</v>
      </c>
    </row>
    <row r="30" spans="1:29" ht="18.95" customHeight="1">
      <c r="A30" s="4">
        <f t="shared" si="13"/>
        <v>718</v>
      </c>
      <c r="B30" s="6">
        <f>INDEX('Raw Data'!$B$6:$B$1371,MATCH(A30,'Raw Data'!$A$6:$A$1371,0))</f>
        <v>15424</v>
      </c>
      <c r="C30" s="6">
        <f t="shared" si="0"/>
        <v>549</v>
      </c>
      <c r="D30" s="6">
        <f>MOD(C30+Summary!$B$20,Summary!$B$11)</f>
        <v>543.74162379895915</v>
      </c>
      <c r="E30" s="6">
        <f>_xlfn.XLOOKUP(D30,'Native PMKS'!$C$6:$C$366,'Native PMKS'!$C$6:$C$366,,-1)</f>
        <v>541.66666666666674</v>
      </c>
      <c r="F30" s="6">
        <f>_xlfn.XLOOKUP(D30,'Native PMKS'!$C$6:$C$366,'Native PMKS'!$C$6:$C$366,,1)</f>
        <v>550</v>
      </c>
      <c r="G30" s="6">
        <f>_xlfn.XLOOKUP(D30,'Native PMKS'!$C$6:$C$366,'Native PMKS'!$N$6:$N$366,,-1)</f>
        <v>-23.2621</v>
      </c>
      <c r="H30" s="6">
        <f>_xlfn.XLOOKUP(D30,'Native PMKS'!$C$6:$C$366,'Native PMKS'!$N$6:$N$366,,1)</f>
        <v>-22.6891</v>
      </c>
      <c r="I30" s="6">
        <f t="shared" si="1"/>
        <v>-23.119425947583572</v>
      </c>
      <c r="J30" s="6">
        <f>INDEX('Raw Data'!$F$6:$F$1371,MATCH(A30,'Raw Data'!$A$6:$A$1371,0))</f>
        <v>-25.0625</v>
      </c>
      <c r="K30" s="6">
        <f t="shared" si="2"/>
        <v>-0.43742314378107883</v>
      </c>
      <c r="L30" s="6">
        <f t="shared" si="3"/>
        <v>-0.40351010395634329</v>
      </c>
      <c r="M30" s="6">
        <f t="shared" si="4"/>
        <v>-3.3913039824735536E-2</v>
      </c>
      <c r="N30" s="6">
        <f t="shared" si="5"/>
        <v>1.1500942701540985E-3</v>
      </c>
      <c r="O30" s="6">
        <f>_xlfn.XLOOKUP(D30,'Instructor 360'!$B$6:$B$365,'Instructor 360'!$B$6:$B$365,,-1)</f>
        <v>543.17548746518105</v>
      </c>
      <c r="P30" s="6">
        <f>_xlfn.XLOOKUP(D30,'Instructor 360'!$B$6:$B$365,'Instructor 360'!$B$6:$B$365,,1)</f>
        <v>551.53203342618383</v>
      </c>
      <c r="Q30" s="6">
        <f>_xlfn.XLOOKUP(D30,'Instructor 360'!$B$6:$B$365,'Instructor 360'!$F$6:$F$365,,-1)</f>
        <v>-23.158353481894157</v>
      </c>
      <c r="R30" s="6">
        <f>_xlfn.XLOOKUP(D30,'Instructor 360'!$B$6:$B$365,'Instructor 360'!$F$6:$F$365,,1)</f>
        <v>-22.594310027855155</v>
      </c>
      <c r="S30" s="6">
        <f t="shared" si="6"/>
        <v>-23.120140864545867</v>
      </c>
      <c r="T30" s="6">
        <f t="shared" si="7"/>
        <v>-0.40352258161121368</v>
      </c>
      <c r="U30" s="6">
        <f t="shared" si="8"/>
        <v>-3.3900562169865145E-2</v>
      </c>
      <c r="V30" s="6"/>
      <c r="W30" s="6">
        <f t="shared" si="9"/>
        <v>1.1492481154328918E-3</v>
      </c>
      <c r="AA30">
        <f t="shared" si="10"/>
        <v>549</v>
      </c>
      <c r="AB30">
        <f t="shared" si="11"/>
        <v>-0.43742314378107883</v>
      </c>
      <c r="AC30">
        <f t="shared" si="12"/>
        <v>-0.40352258161121368</v>
      </c>
    </row>
    <row r="31" spans="1:29" ht="18.95" customHeight="1">
      <c r="A31" s="4">
        <f t="shared" si="13"/>
        <v>719</v>
      </c>
      <c r="B31" s="6">
        <f>INDEX('Raw Data'!$B$6:$B$1371,MATCH(A31,'Raw Data'!$A$6:$A$1371,0))</f>
        <v>15444</v>
      </c>
      <c r="C31" s="6">
        <f t="shared" si="0"/>
        <v>569</v>
      </c>
      <c r="D31" s="6">
        <f>MOD(C31+Summary!$B$20,Summary!$B$11)</f>
        <v>563.74162379895915</v>
      </c>
      <c r="E31" s="6">
        <f>_xlfn.XLOOKUP(D31,'Native PMKS'!$C$6:$C$366,'Native PMKS'!$C$6:$C$366,,-1)</f>
        <v>558.33333333333337</v>
      </c>
      <c r="F31" s="6">
        <f>_xlfn.XLOOKUP(D31,'Native PMKS'!$C$6:$C$366,'Native PMKS'!$C$6:$C$366,,1)</f>
        <v>566.66666666666674</v>
      </c>
      <c r="G31" s="6">
        <f>_xlfn.XLOOKUP(D31,'Native PMKS'!$C$6:$C$366,'Native PMKS'!$N$6:$N$366,,-1)</f>
        <v>-22.173500000000001</v>
      </c>
      <c r="H31" s="6">
        <f>_xlfn.XLOOKUP(D31,'Native PMKS'!$C$6:$C$366,'Native PMKS'!$N$6:$N$366,,1)</f>
        <v>-21.657800000000002</v>
      </c>
      <c r="I31" s="6">
        <f t="shared" si="1"/>
        <v>-21.838813352825206</v>
      </c>
      <c r="J31" s="6">
        <f>INDEX('Raw Data'!$F$6:$F$1371,MATCH(A31,'Raw Data'!$A$6:$A$1371,0))</f>
        <v>-23.25</v>
      </c>
      <c r="K31" s="6">
        <f t="shared" si="2"/>
        <v>-0.40578905108868157</v>
      </c>
      <c r="L31" s="6">
        <f t="shared" si="3"/>
        <v>-0.38115919773530188</v>
      </c>
      <c r="M31" s="6">
        <f t="shared" si="4"/>
        <v>-2.4629853353379694E-2</v>
      </c>
      <c r="N31" s="6">
        <f t="shared" si="5"/>
        <v>6.0662967620898889E-4</v>
      </c>
      <c r="O31" s="6">
        <f>_xlfn.XLOOKUP(D31,'Instructor 360'!$B$6:$B$365,'Instructor 360'!$B$6:$B$365,,-1)</f>
        <v>559.88857938718661</v>
      </c>
      <c r="P31" s="6">
        <f>_xlfn.XLOOKUP(D31,'Instructor 360'!$B$6:$B$365,'Instructor 360'!$B$6:$B$365,,1)</f>
        <v>568.24512534818939</v>
      </c>
      <c r="Q31" s="6">
        <f>_xlfn.XLOOKUP(D31,'Instructor 360'!$B$6:$B$365,'Instructor 360'!$F$6:$F$365,,-1)</f>
        <v>-22.077255153203346</v>
      </c>
      <c r="R31" s="6">
        <f>_xlfn.XLOOKUP(D31,'Instructor 360'!$B$6:$B$365,'Instructor 360'!$F$6:$F$365,,1)</f>
        <v>-21.549265181058502</v>
      </c>
      <c r="S31" s="6">
        <f t="shared" si="6"/>
        <v>-21.833809018743203</v>
      </c>
      <c r="T31" s="6">
        <f t="shared" si="7"/>
        <v>-0.38107185562870122</v>
      </c>
      <c r="U31" s="6">
        <f t="shared" si="8"/>
        <v>-2.4717195459980357E-2</v>
      </c>
      <c r="V31" s="6"/>
      <c r="W31" s="6">
        <f t="shared" si="9"/>
        <v>6.1093975140687358E-4</v>
      </c>
      <c r="AA31">
        <f t="shared" si="10"/>
        <v>569</v>
      </c>
      <c r="AB31">
        <f t="shared" si="11"/>
        <v>-0.40578905108868157</v>
      </c>
      <c r="AC31">
        <f t="shared" si="12"/>
        <v>-0.38107185562870122</v>
      </c>
    </row>
    <row r="32" spans="1:29" ht="18.95" customHeight="1">
      <c r="A32" s="4">
        <f t="shared" si="13"/>
        <v>720</v>
      </c>
      <c r="B32" s="6">
        <f>INDEX('Raw Data'!$B$6:$B$1371,MATCH(A32,'Raw Data'!$A$6:$A$1371,0))</f>
        <v>15465</v>
      </c>
      <c r="C32" s="6">
        <f t="shared" si="0"/>
        <v>590</v>
      </c>
      <c r="D32" s="6">
        <f>MOD(C32+Summary!$B$20,Summary!$B$11)</f>
        <v>584.74162379895915</v>
      </c>
      <c r="E32" s="6">
        <f>_xlfn.XLOOKUP(D32,'Native PMKS'!$C$6:$C$366,'Native PMKS'!$C$6:$C$366,,-1)</f>
        <v>583.33333333333337</v>
      </c>
      <c r="F32" s="6">
        <f>_xlfn.XLOOKUP(D32,'Native PMKS'!$C$6:$C$366,'Native PMKS'!$C$6:$C$366,,1)</f>
        <v>591.66666666666674</v>
      </c>
      <c r="G32" s="6">
        <f>_xlfn.XLOOKUP(D32,'Native PMKS'!$C$6:$C$366,'Native PMKS'!$N$6:$N$366,,-1)</f>
        <v>-20.569199999999999</v>
      </c>
      <c r="H32" s="6">
        <f>_xlfn.XLOOKUP(D32,'Native PMKS'!$C$6:$C$366,'Native PMKS'!$N$6:$N$366,,1)</f>
        <v>-20.0535</v>
      </c>
      <c r="I32" s="6">
        <f t="shared" si="1"/>
        <v>-20.482049352825207</v>
      </c>
      <c r="J32" s="6">
        <f>INDEX('Raw Data'!$F$6:$F$1371,MATCH(A32,'Raw Data'!$A$6:$A$1371,0))</f>
        <v>-21.9375</v>
      </c>
      <c r="K32" s="6">
        <f t="shared" si="2"/>
        <v>-0.38288160465625604</v>
      </c>
      <c r="L32" s="6">
        <f t="shared" si="3"/>
        <v>-0.35747919876277362</v>
      </c>
      <c r="M32" s="6">
        <f t="shared" si="4"/>
        <v>-2.5402405893482416E-2</v>
      </c>
      <c r="N32" s="6">
        <f t="shared" si="5"/>
        <v>6.4528222517723022E-4</v>
      </c>
      <c r="O32" s="6">
        <f>_xlfn.XLOOKUP(D32,'Instructor 360'!$B$6:$B$365,'Instructor 360'!$B$6:$B$365,,-1)</f>
        <v>576.60167130919217</v>
      </c>
      <c r="P32" s="6">
        <f>_xlfn.XLOOKUP(D32,'Instructor 360'!$B$6:$B$365,'Instructor 360'!$B$6:$B$365,,1)</f>
        <v>584.95821727019495</v>
      </c>
      <c r="Q32" s="6">
        <f>_xlfn.XLOOKUP(D32,'Instructor 360'!$B$6:$B$365,'Instructor 360'!$F$6:$F$365,,-1)</f>
        <v>-20.985701392757662</v>
      </c>
      <c r="R32" s="6">
        <f>_xlfn.XLOOKUP(D32,'Instructor 360'!$B$6:$B$365,'Instructor 360'!$F$6:$F$365,,1)</f>
        <v>-20.468645682451257</v>
      </c>
      <c r="S32" s="6">
        <f t="shared" si="6"/>
        <v>-20.482047259088318</v>
      </c>
      <c r="T32" s="6">
        <f t="shared" si="7"/>
        <v>-0.35747916222017123</v>
      </c>
      <c r="U32" s="6">
        <f t="shared" si="8"/>
        <v>-2.5402442436084804E-2</v>
      </c>
      <c r="V32" s="6"/>
      <c r="W32" s="6">
        <f t="shared" si="9"/>
        <v>6.4528408171860214E-4</v>
      </c>
      <c r="AA32">
        <f t="shared" si="10"/>
        <v>590</v>
      </c>
      <c r="AB32">
        <f t="shared" si="11"/>
        <v>-0.38288160465625604</v>
      </c>
      <c r="AC32">
        <f t="shared" si="12"/>
        <v>-0.35747916222017123</v>
      </c>
    </row>
    <row r="33" spans="1:29" ht="18.95" customHeight="1">
      <c r="A33" s="4">
        <f t="shared" si="13"/>
        <v>721</v>
      </c>
      <c r="B33" s="6">
        <f>INDEX('Raw Data'!$B$6:$B$1371,MATCH(A33,'Raw Data'!$A$6:$A$1371,0))</f>
        <v>15485</v>
      </c>
      <c r="C33" s="6">
        <f t="shared" si="0"/>
        <v>610</v>
      </c>
      <c r="D33" s="6">
        <f>MOD(C33+Summary!$B$20,Summary!$B$11)</f>
        <v>604.74162379895915</v>
      </c>
      <c r="E33" s="6">
        <f>_xlfn.XLOOKUP(D33,'Native PMKS'!$C$6:$C$366,'Native PMKS'!$C$6:$C$366,,-1)</f>
        <v>600</v>
      </c>
      <c r="F33" s="6">
        <f>_xlfn.XLOOKUP(D33,'Native PMKS'!$C$6:$C$366,'Native PMKS'!$C$6:$C$366,,1)</f>
        <v>608.33333333333337</v>
      </c>
      <c r="G33" s="6">
        <f>_xlfn.XLOOKUP(D33,'Native PMKS'!$C$6:$C$366,'Native PMKS'!$N$6:$N$366,,-1)</f>
        <v>-19.5379</v>
      </c>
      <c r="H33" s="6">
        <f>_xlfn.XLOOKUP(D33,'Native PMKS'!$C$6:$C$366,'Native PMKS'!$N$6:$N$366,,1)</f>
        <v>-19.079499999999999</v>
      </c>
      <c r="I33" s="6">
        <f t="shared" si="1"/>
        <v>-19.277072758066858</v>
      </c>
      <c r="J33" s="6">
        <f>INDEX('Raw Data'!$F$6:$F$1371,MATCH(A33,'Raw Data'!$A$6:$A$1371,0))</f>
        <v>-20.3125</v>
      </c>
      <c r="K33" s="6">
        <f t="shared" si="2"/>
        <v>-0.35452000431134817</v>
      </c>
      <c r="L33" s="6">
        <f t="shared" si="3"/>
        <v>-0.33644838977477093</v>
      </c>
      <c r="M33" s="6">
        <f t="shared" si="4"/>
        <v>-1.8071614536577241E-2</v>
      </c>
      <c r="N33" s="6">
        <f t="shared" si="5"/>
        <v>3.2658325195862982E-4</v>
      </c>
      <c r="O33" s="6">
        <f>_xlfn.XLOOKUP(D33,'Instructor 360'!$B$6:$B$365,'Instructor 360'!$B$6:$B$365,,-1)</f>
        <v>601.67130919220051</v>
      </c>
      <c r="P33" s="6">
        <f>_xlfn.XLOOKUP(D33,'Instructor 360'!$B$6:$B$365,'Instructor 360'!$B$6:$B$365,,1)</f>
        <v>610.02785515320329</v>
      </c>
      <c r="Q33" s="6">
        <f>_xlfn.XLOOKUP(D33,'Instructor 360'!$B$6:$B$365,'Instructor 360'!$F$6:$F$365,,-1)</f>
        <v>-19.445964623955437</v>
      </c>
      <c r="R33" s="6">
        <f>_xlfn.XLOOKUP(D33,'Instructor 360'!$B$6:$B$365,'Instructor 360'!$F$6:$F$365,,1)</f>
        <v>-18.97463621169917</v>
      </c>
      <c r="S33" s="6">
        <f t="shared" si="6"/>
        <v>-19.27279181841066</v>
      </c>
      <c r="T33" s="6">
        <f t="shared" si="7"/>
        <v>-0.33637367328269108</v>
      </c>
      <c r="U33" s="6">
        <f t="shared" si="8"/>
        <v>-1.8146331028657092E-2</v>
      </c>
      <c r="V33" s="6"/>
      <c r="W33" s="6">
        <f t="shared" si="9"/>
        <v>3.2928932980160315E-4</v>
      </c>
      <c r="AA33">
        <f t="shared" si="10"/>
        <v>610</v>
      </c>
      <c r="AB33">
        <f t="shared" si="11"/>
        <v>-0.35452000431134817</v>
      </c>
      <c r="AC33">
        <f t="shared" si="12"/>
        <v>-0.33637367328269108</v>
      </c>
    </row>
    <row r="34" spans="1:29" ht="18.95" customHeight="1">
      <c r="A34" s="4">
        <f t="shared" si="13"/>
        <v>722</v>
      </c>
      <c r="B34" s="6">
        <f>INDEX('Raw Data'!$B$6:$B$1371,MATCH(A34,'Raw Data'!$A$6:$A$1371,0))</f>
        <v>15505</v>
      </c>
      <c r="C34" s="6">
        <f t="shared" si="0"/>
        <v>630</v>
      </c>
      <c r="D34" s="6">
        <f>MOD(C34+Summary!$B$20,Summary!$B$11)</f>
        <v>624.74162379895915</v>
      </c>
      <c r="E34" s="6">
        <f>_xlfn.XLOOKUP(D34,'Native PMKS'!$C$6:$C$366,'Native PMKS'!$C$6:$C$366,,-1)</f>
        <v>616.66666666666674</v>
      </c>
      <c r="F34" s="6">
        <f>_xlfn.XLOOKUP(D34,'Native PMKS'!$C$6:$C$366,'Native PMKS'!$C$6:$C$366,,1)</f>
        <v>625</v>
      </c>
      <c r="G34" s="6">
        <f>_xlfn.XLOOKUP(D34,'Native PMKS'!$C$6:$C$366,'Native PMKS'!$N$6:$N$366,,-1)</f>
        <v>-18.563800000000001</v>
      </c>
      <c r="H34" s="6">
        <f>_xlfn.XLOOKUP(D34,'Native PMKS'!$C$6:$C$366,'Native PMKS'!$N$6:$N$366,,1)</f>
        <v>-18.048200000000001</v>
      </c>
      <c r="I34" s="6">
        <f t="shared" si="1"/>
        <v>-18.064186252310805</v>
      </c>
      <c r="J34" s="6">
        <f>INDEX('Raw Data'!$F$6:$F$1371,MATCH(A34,'Raw Data'!$A$6:$A$1371,0))</f>
        <v>-19.25</v>
      </c>
      <c r="K34" s="6">
        <f t="shared" si="2"/>
        <v>-0.33597588100890846</v>
      </c>
      <c r="L34" s="6">
        <f t="shared" si="3"/>
        <v>-0.31527952679631865</v>
      </c>
      <c r="M34" s="6">
        <f t="shared" si="4"/>
        <v>-2.0696354212589807E-2</v>
      </c>
      <c r="N34" s="6">
        <f t="shared" si="5"/>
        <v>4.2833907769298385E-4</v>
      </c>
      <c r="O34" s="6">
        <f>_xlfn.XLOOKUP(D34,'Instructor 360'!$B$6:$B$365,'Instructor 360'!$B$6:$B$365,,-1)</f>
        <v>618.38440111420607</v>
      </c>
      <c r="P34" s="6">
        <f>_xlfn.XLOOKUP(D34,'Instructor 360'!$B$6:$B$365,'Instructor 360'!$B$6:$B$365,,1)</f>
        <v>626.74094707520896</v>
      </c>
      <c r="Q34" s="6">
        <f>_xlfn.XLOOKUP(D34,'Instructor 360'!$B$6:$B$365,'Instructor 360'!$F$6:$F$365,,-1)</f>
        <v>-18.457520334261847</v>
      </c>
      <c r="R34" s="6">
        <f>_xlfn.XLOOKUP(D34,'Instructor 360'!$B$6:$B$365,'Instructor 360'!$F$6:$F$365,,1)</f>
        <v>-17.952433983286905</v>
      </c>
      <c r="S34" s="6">
        <f t="shared" si="6"/>
        <v>-18.073277080749996</v>
      </c>
      <c r="T34" s="6">
        <f t="shared" si="7"/>
        <v>-0.31543819168431653</v>
      </c>
      <c r="U34" s="6">
        <f t="shared" si="8"/>
        <v>-2.0537689324591935E-2</v>
      </c>
      <c r="V34" s="6"/>
      <c r="W34" s="6">
        <f t="shared" si="9"/>
        <v>4.2179668279345751E-4</v>
      </c>
      <c r="AA34">
        <f t="shared" si="10"/>
        <v>630</v>
      </c>
      <c r="AB34">
        <f t="shared" si="11"/>
        <v>-0.33597588100890846</v>
      </c>
      <c r="AC34">
        <f t="shared" si="12"/>
        <v>-0.31543819168431653</v>
      </c>
    </row>
    <row r="35" spans="1:29" ht="18.95" customHeight="1">
      <c r="A35" s="4">
        <f t="shared" si="13"/>
        <v>723</v>
      </c>
      <c r="B35" s="6">
        <f>INDEX('Raw Data'!$B$6:$B$1371,MATCH(A35,'Raw Data'!$A$6:$A$1371,0))</f>
        <v>15526</v>
      </c>
      <c r="C35" s="6">
        <f t="shared" si="0"/>
        <v>651</v>
      </c>
      <c r="D35" s="6">
        <f>MOD(C35+Summary!$B$20,Summary!$B$11)</f>
        <v>645.74162379895915</v>
      </c>
      <c r="E35" s="6">
        <f>_xlfn.XLOOKUP(D35,'Native PMKS'!$C$6:$C$366,'Native PMKS'!$C$6:$C$366,,-1)</f>
        <v>641.66666666666674</v>
      </c>
      <c r="F35" s="6">
        <f>_xlfn.XLOOKUP(D35,'Native PMKS'!$C$6:$C$366,'Native PMKS'!$C$6:$C$366,,1)</f>
        <v>650</v>
      </c>
      <c r="G35" s="6">
        <f>_xlfn.XLOOKUP(D35,'Native PMKS'!$C$6:$C$366,'Native PMKS'!$N$6:$N$366,,-1)</f>
        <v>-17.131399999999999</v>
      </c>
      <c r="H35" s="6">
        <f>_xlfn.XLOOKUP(D35,'Native PMKS'!$C$6:$C$366,'Native PMKS'!$N$6:$N$366,,1)</f>
        <v>-16.6158</v>
      </c>
      <c r="I35" s="6">
        <f t="shared" si="1"/>
        <v>-16.879274252310793</v>
      </c>
      <c r="J35" s="6">
        <f>INDEX('Raw Data'!$F$6:$F$1371,MATCH(A35,'Raw Data'!$A$6:$A$1371,0))</f>
        <v>-18.25</v>
      </c>
      <c r="K35" s="6">
        <f t="shared" si="2"/>
        <v>-0.31852258848896514</v>
      </c>
      <c r="L35" s="6">
        <f t="shared" si="3"/>
        <v>-0.29459891104992741</v>
      </c>
      <c r="M35" s="6">
        <f t="shared" si="4"/>
        <v>-2.3923677439037727E-2</v>
      </c>
      <c r="N35" s="6">
        <f t="shared" si="5"/>
        <v>5.7234234220712276E-4</v>
      </c>
      <c r="O35" s="6">
        <f>_xlfn.XLOOKUP(D35,'Instructor 360'!$B$6:$B$365,'Instructor 360'!$B$6:$B$365,,-1)</f>
        <v>643.45403899721452</v>
      </c>
      <c r="P35" s="6">
        <f>_xlfn.XLOOKUP(D35,'Instructor 360'!$B$6:$B$365,'Instructor 360'!$B$6:$B$365,,1)</f>
        <v>651.81058495821731</v>
      </c>
      <c r="Q35" s="6">
        <f>_xlfn.XLOOKUP(D35,'Instructor 360'!$B$6:$B$365,'Instructor 360'!$F$6:$F$365,,-1)</f>
        <v>-17.020811699164344</v>
      </c>
      <c r="R35" s="6">
        <f>_xlfn.XLOOKUP(D35,'Instructor 360'!$B$6:$B$365,'Instructor 360'!$F$6:$F$365,,1)</f>
        <v>-16.516203342618383</v>
      </c>
      <c r="S35" s="6">
        <f t="shared" si="6"/>
        <v>-16.882676348427957</v>
      </c>
      <c r="T35" s="6">
        <f t="shared" si="7"/>
        <v>-0.29465828882864126</v>
      </c>
      <c r="U35" s="6">
        <f t="shared" si="8"/>
        <v>-2.3864299660323884E-2</v>
      </c>
      <c r="V35" s="6"/>
      <c r="W35" s="6">
        <f t="shared" si="9"/>
        <v>5.6950479827773469E-4</v>
      </c>
      <c r="AA35">
        <f t="shared" si="10"/>
        <v>651</v>
      </c>
      <c r="AB35">
        <f t="shared" si="11"/>
        <v>-0.31852258848896514</v>
      </c>
      <c r="AC35">
        <f t="shared" si="12"/>
        <v>-0.29465828882864126</v>
      </c>
    </row>
    <row r="36" spans="1:29" ht="18.95" customHeight="1">
      <c r="A36" s="4">
        <f t="shared" si="13"/>
        <v>724</v>
      </c>
      <c r="B36" s="6">
        <f>INDEX('Raw Data'!$B$6:$B$1371,MATCH(A36,'Raw Data'!$A$6:$A$1371,0))</f>
        <v>15547</v>
      </c>
      <c r="C36" s="6">
        <f t="shared" si="0"/>
        <v>672</v>
      </c>
      <c r="D36" s="6">
        <f>MOD(C36+Summary!$B$20,Summary!$B$11)</f>
        <v>666.74162379895915</v>
      </c>
      <c r="E36" s="6">
        <f>_xlfn.XLOOKUP(D36,'Native PMKS'!$C$6:$C$366,'Native PMKS'!$C$6:$C$366,,-1)</f>
        <v>666.66666666666674</v>
      </c>
      <c r="F36" s="6">
        <f>_xlfn.XLOOKUP(D36,'Native PMKS'!$C$6:$C$366,'Native PMKS'!$C$6:$C$366,,1)</f>
        <v>675</v>
      </c>
      <c r="G36" s="6">
        <f>_xlfn.XLOOKUP(D36,'Native PMKS'!$C$6:$C$366,'Native PMKS'!$N$6:$N$366,,-1)</f>
        <v>-15.699</v>
      </c>
      <c r="H36" s="6">
        <f>_xlfn.XLOOKUP(D36,'Native PMKS'!$C$6:$C$366,'Native PMKS'!$N$6:$N$366,,1)</f>
        <v>-15.2407</v>
      </c>
      <c r="I36" s="6">
        <f t="shared" si="1"/>
        <v>-15.694877657552446</v>
      </c>
      <c r="J36" s="6">
        <f>INDEX('Raw Data'!$F$6:$F$1371,MATCH(A36,'Raw Data'!$A$6:$A$1371,0))</f>
        <v>-17</v>
      </c>
      <c r="K36" s="6">
        <f t="shared" si="2"/>
        <v>-0.29670597283903605</v>
      </c>
      <c r="L36" s="6">
        <f t="shared" si="3"/>
        <v>-0.27392729082198525</v>
      </c>
      <c r="M36" s="6">
        <f t="shared" si="4"/>
        <v>-2.27786820170508E-2</v>
      </c>
      <c r="N36" s="6">
        <f t="shared" si="5"/>
        <v>5.1886835443391345E-4</v>
      </c>
      <c r="O36" s="6">
        <f>_xlfn.XLOOKUP(D36,'Instructor 360'!$B$6:$B$365,'Instructor 360'!$B$6:$B$365,,-1)</f>
        <v>660.16713091922009</v>
      </c>
      <c r="P36" s="6">
        <f>_xlfn.XLOOKUP(D36,'Instructor 360'!$B$6:$B$365,'Instructor 360'!$B$6:$B$365,,1)</f>
        <v>668.52367688022287</v>
      </c>
      <c r="Q36" s="6">
        <f>_xlfn.XLOOKUP(D36,'Instructor 360'!$B$6:$B$365,'Instructor 360'!$F$6:$F$365,,-1)</f>
        <v>-16.056526462395542</v>
      </c>
      <c r="R36" s="6">
        <f>_xlfn.XLOOKUP(D36,'Instructor 360'!$B$6:$B$365,'Instructor 360'!$F$6:$F$365,,1)</f>
        <v>-15.596871866295267</v>
      </c>
      <c r="S36" s="6">
        <f t="shared" si="6"/>
        <v>-15.694894290047877</v>
      </c>
      <c r="T36" s="6">
        <f t="shared" si="7"/>
        <v>-0.27392758111379334</v>
      </c>
      <c r="U36" s="6">
        <f t="shared" si="8"/>
        <v>-2.2778391725242708E-2</v>
      </c>
      <c r="V36" s="6"/>
      <c r="W36" s="6">
        <f t="shared" si="9"/>
        <v>5.188551295886055E-4</v>
      </c>
      <c r="AA36">
        <f t="shared" si="10"/>
        <v>672</v>
      </c>
      <c r="AB36">
        <f t="shared" si="11"/>
        <v>-0.29670597283903605</v>
      </c>
      <c r="AC36">
        <f t="shared" si="12"/>
        <v>-0.27392758111379334</v>
      </c>
    </row>
    <row r="37" spans="1:29" ht="18.95" customHeight="1">
      <c r="A37" s="4">
        <f t="shared" si="13"/>
        <v>725</v>
      </c>
      <c r="B37" s="6">
        <f>INDEX('Raw Data'!$B$6:$B$1371,MATCH(A37,'Raw Data'!$A$6:$A$1371,0))</f>
        <v>15568</v>
      </c>
      <c r="C37" s="6">
        <f t="shared" si="0"/>
        <v>693</v>
      </c>
      <c r="D37" s="6">
        <f>MOD(C37+Summary!$B$20,Summary!$B$11)</f>
        <v>687.74162379895915</v>
      </c>
      <c r="E37" s="6">
        <f>_xlfn.XLOOKUP(D37,'Native PMKS'!$C$6:$C$366,'Native PMKS'!$C$6:$C$366,,-1)</f>
        <v>683.33333333333337</v>
      </c>
      <c r="F37" s="6">
        <f>_xlfn.XLOOKUP(D37,'Native PMKS'!$C$6:$C$366,'Native PMKS'!$C$6:$C$366,,1)</f>
        <v>691.66666666666674</v>
      </c>
      <c r="G37" s="6">
        <f>_xlfn.XLOOKUP(D37,'Native PMKS'!$C$6:$C$366,'Native PMKS'!$N$6:$N$366,,-1)</f>
        <v>-14.782299999999999</v>
      </c>
      <c r="H37" s="6">
        <f>_xlfn.XLOOKUP(D37,'Native PMKS'!$C$6:$C$366,'Native PMKS'!$N$6:$N$366,,1)</f>
        <v>-14.3812</v>
      </c>
      <c r="I37" s="6">
        <f t="shared" si="1"/>
        <v>-14.570120163308495</v>
      </c>
      <c r="J37" s="6">
        <f>INDEX('Raw Data'!$F$6:$F$1371,MATCH(A37,'Raw Data'!$A$6:$A$1371,0))</f>
        <v>-15.0625</v>
      </c>
      <c r="K37" s="6">
        <f t="shared" si="2"/>
        <v>-0.26289021858164591</v>
      </c>
      <c r="L37" s="6">
        <f t="shared" si="3"/>
        <v>-0.25429656926094713</v>
      </c>
      <c r="M37" s="6">
        <f t="shared" si="4"/>
        <v>-8.5936493206987818E-3</v>
      </c>
      <c r="N37" s="6">
        <f t="shared" si="5"/>
        <v>7.3850808647146632E-5</v>
      </c>
      <c r="O37" s="6">
        <f>_xlfn.XLOOKUP(D37,'Instructor 360'!$B$6:$B$365,'Instructor 360'!$B$6:$B$365,,-1)</f>
        <v>685.23676880222843</v>
      </c>
      <c r="P37" s="6">
        <f>_xlfn.XLOOKUP(D37,'Instructor 360'!$B$6:$B$365,'Instructor 360'!$B$6:$B$365,,1)</f>
        <v>693.59331476323121</v>
      </c>
      <c r="Q37" s="6">
        <f>_xlfn.XLOOKUP(D37,'Instructor 360'!$B$6:$B$365,'Instructor 360'!$F$6:$F$365,,-1)</f>
        <v>-14.690683844011144</v>
      </c>
      <c r="R37" s="6">
        <f>_xlfn.XLOOKUP(D37,'Instructor 360'!$B$6:$B$365,'Instructor 360'!$F$6:$F$365,,1)</f>
        <v>-14.27524206128134</v>
      </c>
      <c r="S37" s="6">
        <f t="shared" si="6"/>
        <v>-14.566156146781005</v>
      </c>
      <c r="T37" s="6">
        <f t="shared" si="7"/>
        <v>-0.25422738412093893</v>
      </c>
      <c r="U37" s="6">
        <f t="shared" si="8"/>
        <v>-8.6628344607069807E-3</v>
      </c>
      <c r="V37" s="6"/>
      <c r="W37" s="6">
        <f t="shared" si="9"/>
        <v>7.5044700893612404E-5</v>
      </c>
      <c r="AA37">
        <f t="shared" si="10"/>
        <v>693</v>
      </c>
      <c r="AB37">
        <f t="shared" si="11"/>
        <v>-0.26289021858164591</v>
      </c>
      <c r="AC37">
        <f t="shared" si="12"/>
        <v>-0.25422738412093893</v>
      </c>
    </row>
    <row r="38" spans="1:29" ht="18.95" customHeight="1">
      <c r="A38" s="4">
        <f t="shared" si="13"/>
        <v>726</v>
      </c>
      <c r="B38" s="6">
        <f>INDEX('Raw Data'!$B$6:$B$1371,MATCH(A38,'Raw Data'!$A$6:$A$1371,0))</f>
        <v>15588</v>
      </c>
      <c r="C38" s="6">
        <f t="shared" ref="C38:C69" si="14">B38-$B$6</f>
        <v>713</v>
      </c>
      <c r="D38" s="6">
        <f>MOD(C38+Summary!$B$20,Summary!$B$11)</f>
        <v>707.74162379895915</v>
      </c>
      <c r="E38" s="6">
        <f>_xlfn.XLOOKUP(D38,'Native PMKS'!$C$6:$C$366,'Native PMKS'!$C$6:$C$366,,-1)</f>
        <v>700</v>
      </c>
      <c r="F38" s="6">
        <f>_xlfn.XLOOKUP(D38,'Native PMKS'!$C$6:$C$366,'Native PMKS'!$C$6:$C$366,,1)</f>
        <v>708.33333333333337</v>
      </c>
      <c r="G38" s="6">
        <f>_xlfn.XLOOKUP(D38,'Native PMKS'!$C$6:$C$366,'Native PMKS'!$N$6:$N$366,,-1)</f>
        <v>-13.9229</v>
      </c>
      <c r="H38" s="6">
        <f>_xlfn.XLOOKUP(D38,'Native PMKS'!$C$6:$C$366,'Native PMKS'!$N$6:$N$366,,1)</f>
        <v>-13.464499999999999</v>
      </c>
      <c r="I38" s="6">
        <f t="shared" ref="I38:I69" si="15">IF(E38=F38,G38,_xlfn.FORECAST.LINEAR(D38,G38:H38,E38:F38))</f>
        <v>-13.49704875806686</v>
      </c>
      <c r="J38" s="6">
        <f>INDEX('Raw Data'!$F$6:$F$1371,MATCH(A38,'Raw Data'!$A$6:$A$1371,0))</f>
        <v>-14.4375</v>
      </c>
      <c r="K38" s="6">
        <f t="shared" ref="K38:K69" si="16">J38*1*PI()/180</f>
        <v>-0.25198191075668136</v>
      </c>
      <c r="L38" s="6">
        <f t="shared" ref="L38:L69" si="17">I38*PI()/180</f>
        <v>-0.23556794013047827</v>
      </c>
      <c r="M38" s="6">
        <f t="shared" ref="M38:M69" si="18">K38-L38</f>
        <v>-1.6413970626203089E-2</v>
      </c>
      <c r="N38" s="6">
        <f t="shared" ref="N38:N69" si="19">M38^2</f>
        <v>2.6941843171785786E-4</v>
      </c>
      <c r="O38" s="6">
        <f>_xlfn.XLOOKUP(D38,'Instructor 360'!$B$6:$B$365,'Instructor 360'!$B$6:$B$365,,-1)</f>
        <v>701.94986072423399</v>
      </c>
      <c r="P38" s="6">
        <f>_xlfn.XLOOKUP(D38,'Instructor 360'!$B$6:$B$365,'Instructor 360'!$B$6:$B$365,,1)</f>
        <v>710.30640668523677</v>
      </c>
      <c r="Q38" s="6">
        <f>_xlfn.XLOOKUP(D38,'Instructor 360'!$B$6:$B$365,'Instructor 360'!$F$6:$F$365,,-1)</f>
        <v>-13.815642061281338</v>
      </c>
      <c r="R38" s="6">
        <f>_xlfn.XLOOKUP(D38,'Instructor 360'!$B$6:$B$365,'Instructor 360'!$F$6:$F$365,,1)</f>
        <v>-13.369532033426186</v>
      </c>
      <c r="S38" s="6">
        <f t="shared" ref="S38:S69" si="20">IF(O38=P38,Q38,_xlfn.FORECAST.LINEAR(D38,Q38:R38,O38:P38))</f>
        <v>-13.506451685418668</v>
      </c>
      <c r="T38" s="6">
        <f t="shared" ref="T38:T69" si="21">S38*PI()/180</f>
        <v>-0.23573205217209317</v>
      </c>
      <c r="U38" s="6">
        <f t="shared" ref="U38:U69" si="22">K38-T38</f>
        <v>-1.6249858584588189E-2</v>
      </c>
      <c r="V38" s="6"/>
      <c r="W38" s="6">
        <f t="shared" ref="W38:W69" si="23">U38^2</f>
        <v>2.6405790401911445E-4</v>
      </c>
      <c r="AA38">
        <f t="shared" ref="AA38:AA69" si="24">C38</f>
        <v>713</v>
      </c>
      <c r="AB38">
        <f t="shared" ref="AB38:AB69" si="25">K38</f>
        <v>-0.25198191075668136</v>
      </c>
      <c r="AC38">
        <f t="shared" ref="AC38:AC69" si="26">T38</f>
        <v>-0.23573205217209317</v>
      </c>
    </row>
    <row r="39" spans="1:29" ht="18.95" customHeight="1">
      <c r="A39" s="4">
        <f t="shared" ref="A39:A70" si="27">A38+1</f>
        <v>727</v>
      </c>
      <c r="B39" s="6">
        <f>INDEX('Raw Data'!$B$6:$B$1371,MATCH(A39,'Raw Data'!$A$6:$A$1371,0))</f>
        <v>15608</v>
      </c>
      <c r="C39" s="6">
        <f t="shared" si="14"/>
        <v>733</v>
      </c>
      <c r="D39" s="6">
        <f>MOD(C39+Summary!$B$20,Summary!$B$11)</f>
        <v>727.74162379895915</v>
      </c>
      <c r="E39" s="6">
        <f>_xlfn.XLOOKUP(D39,'Native PMKS'!$C$6:$C$366,'Native PMKS'!$C$6:$C$366,,-1)</f>
        <v>725</v>
      </c>
      <c r="F39" s="6">
        <f>_xlfn.XLOOKUP(D39,'Native PMKS'!$C$6:$C$366,'Native PMKS'!$C$6:$C$366,,1)</f>
        <v>733.33333333333337</v>
      </c>
      <c r="G39" s="6">
        <f>_xlfn.XLOOKUP(D39,'Native PMKS'!$C$6:$C$366,'Native PMKS'!$N$6:$N$366,,-1)</f>
        <v>-12.6051</v>
      </c>
      <c r="H39" s="6">
        <f>_xlfn.XLOOKUP(D39,'Native PMKS'!$C$6:$C$366,'Native PMKS'!$N$6:$N$366,,1)</f>
        <v>-12.204000000000001</v>
      </c>
      <c r="I39" s="6">
        <f t="shared" si="15"/>
        <v>-12.4731401633085</v>
      </c>
      <c r="J39" s="6">
        <f>INDEX('Raw Data'!$F$6:$F$1371,MATCH(A39,'Raw Data'!$A$6:$A$1371,0))</f>
        <v>-13.4375</v>
      </c>
      <c r="K39" s="6">
        <f t="shared" si="16"/>
        <v>-0.23452861823673801</v>
      </c>
      <c r="L39" s="6">
        <f t="shared" si="17"/>
        <v>-0.21769736391247652</v>
      </c>
      <c r="M39" s="6">
        <f t="shared" si="18"/>
        <v>-1.6831254324261496E-2</v>
      </c>
      <c r="N39" s="6">
        <f t="shared" si="19"/>
        <v>2.8329112212797133E-4</v>
      </c>
      <c r="O39" s="6">
        <f>_xlfn.XLOOKUP(D39,'Instructor 360'!$B$6:$B$365,'Instructor 360'!$B$6:$B$365,,-1)</f>
        <v>727.01949860724233</v>
      </c>
      <c r="P39" s="6">
        <f>_xlfn.XLOOKUP(D39,'Instructor 360'!$B$6:$B$365,'Instructor 360'!$B$6:$B$365,,1)</f>
        <v>735.37604456824511</v>
      </c>
      <c r="Q39" s="6">
        <f>_xlfn.XLOOKUP(D39,'Instructor 360'!$B$6:$B$365,'Instructor 360'!$F$6:$F$365,,-1)</f>
        <v>-12.507897493036213</v>
      </c>
      <c r="R39" s="6">
        <f>_xlfn.XLOOKUP(D39,'Instructor 360'!$B$6:$B$365,'Instructor 360'!$F$6:$F$365,,1)</f>
        <v>-12.105680222841229</v>
      </c>
      <c r="S39" s="6">
        <f t="shared" si="20"/>
        <v>-12.4731401633085</v>
      </c>
      <c r="T39" s="6">
        <f t="shared" si="21"/>
        <v>-0.21769736391247652</v>
      </c>
      <c r="U39" s="6">
        <f t="shared" si="22"/>
        <v>-1.6831254324261496E-2</v>
      </c>
      <c r="V39" s="6"/>
      <c r="W39" s="6">
        <f t="shared" si="23"/>
        <v>2.8329112212797133E-4</v>
      </c>
      <c r="AA39">
        <f t="shared" si="24"/>
        <v>733</v>
      </c>
      <c r="AB39">
        <f t="shared" si="25"/>
        <v>-0.23452861823673801</v>
      </c>
      <c r="AC39">
        <f t="shared" si="26"/>
        <v>-0.21769736391247652</v>
      </c>
    </row>
    <row r="40" spans="1:29" ht="18.95" customHeight="1">
      <c r="A40" s="4">
        <f t="shared" si="27"/>
        <v>728</v>
      </c>
      <c r="B40" s="6">
        <f>INDEX('Raw Data'!$B$6:$B$1371,MATCH(A40,'Raw Data'!$A$6:$A$1371,0))</f>
        <v>15628</v>
      </c>
      <c r="C40" s="6">
        <f t="shared" si="14"/>
        <v>753</v>
      </c>
      <c r="D40" s="6">
        <f>MOD(C40+Summary!$B$20,Summary!$B$11)</f>
        <v>747.74162379895915</v>
      </c>
      <c r="E40" s="6">
        <f>_xlfn.XLOOKUP(D40,'Native PMKS'!$C$6:$C$366,'Native PMKS'!$C$6:$C$366,,-1)</f>
        <v>741.66666666666674</v>
      </c>
      <c r="F40" s="6">
        <f>_xlfn.XLOOKUP(D40,'Native PMKS'!$C$6:$C$366,'Native PMKS'!$C$6:$C$366,,1)</f>
        <v>750</v>
      </c>
      <c r="G40" s="6">
        <f>_xlfn.XLOOKUP(D40,'Native PMKS'!$C$6:$C$366,'Native PMKS'!$N$6:$N$366,,-1)</f>
        <v>-11.802899999999999</v>
      </c>
      <c r="H40" s="6">
        <f>_xlfn.XLOOKUP(D40,'Native PMKS'!$C$6:$C$366,'Native PMKS'!$N$6:$N$366,,1)</f>
        <v>-11.3446</v>
      </c>
      <c r="I40" s="6">
        <f t="shared" si="15"/>
        <v>-11.46880165755244</v>
      </c>
      <c r="J40" s="6">
        <f>INDEX('Raw Data'!$F$6:$F$1371,MATCH(A40,'Raw Data'!$A$6:$A$1371,0))</f>
        <v>-11.9375</v>
      </c>
      <c r="K40" s="6">
        <f t="shared" si="16"/>
        <v>-0.20834867945682309</v>
      </c>
      <c r="L40" s="6">
        <f t="shared" si="17"/>
        <v>-0.20016835018247328</v>
      </c>
      <c r="M40" s="6">
        <f t="shared" si="18"/>
        <v>-8.1803292743498068E-3</v>
      </c>
      <c r="N40" s="6">
        <f t="shared" si="19"/>
        <v>6.6917787036784441E-5</v>
      </c>
      <c r="O40" s="6">
        <f>_xlfn.XLOOKUP(D40,'Instructor 360'!$B$6:$B$365,'Instructor 360'!$B$6:$B$365,,-1)</f>
        <v>743.73259052924789</v>
      </c>
      <c r="P40" s="6">
        <f>_xlfn.XLOOKUP(D40,'Instructor 360'!$B$6:$B$365,'Instructor 360'!$B$6:$B$365,,1)</f>
        <v>752.08913649025067</v>
      </c>
      <c r="Q40" s="6">
        <f>_xlfn.XLOOKUP(D40,'Instructor 360'!$B$6:$B$365,'Instructor 360'!$F$6:$F$365,,-1)</f>
        <v>-11.689282451253487</v>
      </c>
      <c r="R40" s="6">
        <f>_xlfn.XLOOKUP(D40,'Instructor 360'!$B$6:$B$365,'Instructor 360'!$F$6:$F$365,,1)</f>
        <v>-11.244045682451254</v>
      </c>
      <c r="S40" s="6">
        <f t="shared" si="20"/>
        <v>-11.475681158643269</v>
      </c>
      <c r="T40" s="6">
        <f t="shared" si="21"/>
        <v>-0.20028842012740278</v>
      </c>
      <c r="U40" s="6">
        <f t="shared" si="22"/>
        <v>-8.0602593294203106E-3</v>
      </c>
      <c r="V40" s="6"/>
      <c r="W40" s="6">
        <f t="shared" si="23"/>
        <v>6.496778045750715E-5</v>
      </c>
      <c r="AA40">
        <f t="shared" si="24"/>
        <v>753</v>
      </c>
      <c r="AB40">
        <f t="shared" si="25"/>
        <v>-0.20834867945682309</v>
      </c>
      <c r="AC40">
        <f t="shared" si="26"/>
        <v>-0.20028842012740278</v>
      </c>
    </row>
    <row r="41" spans="1:29" ht="18.95" customHeight="1">
      <c r="A41" s="4">
        <f t="shared" si="27"/>
        <v>729</v>
      </c>
      <c r="B41" s="6">
        <f>INDEX('Raw Data'!$B$6:$B$1371,MATCH(A41,'Raw Data'!$A$6:$A$1371,0))</f>
        <v>15648</v>
      </c>
      <c r="C41" s="6">
        <f t="shared" si="14"/>
        <v>773</v>
      </c>
      <c r="D41" s="6">
        <f>MOD(C41+Summary!$B$20,Summary!$B$11)</f>
        <v>767.74162379895915</v>
      </c>
      <c r="E41" s="6">
        <f>_xlfn.XLOOKUP(D41,'Native PMKS'!$C$6:$C$366,'Native PMKS'!$C$6:$C$366,,-1)</f>
        <v>766.66666666666674</v>
      </c>
      <c r="F41" s="6">
        <f>_xlfn.XLOOKUP(D41,'Native PMKS'!$C$6:$C$366,'Native PMKS'!$C$6:$C$366,,1)</f>
        <v>775</v>
      </c>
      <c r="G41" s="6">
        <f>_xlfn.XLOOKUP(D41,'Native PMKS'!$C$6:$C$366,'Native PMKS'!$N$6:$N$366,,-1)</f>
        <v>-10.542400000000001</v>
      </c>
      <c r="H41" s="6">
        <f>_xlfn.XLOOKUP(D41,'Native PMKS'!$C$6:$C$366,'Native PMKS'!$N$6:$N$366,,1)</f>
        <v>-10.141400000000001</v>
      </c>
      <c r="I41" s="6">
        <f t="shared" si="15"/>
        <v>-10.490673062794095</v>
      </c>
      <c r="J41" s="6">
        <f>INDEX('Raw Data'!$F$6:$F$1371,MATCH(A41,'Raw Data'!$A$6:$A$1371,0))</f>
        <v>-11.1875</v>
      </c>
      <c r="K41" s="6">
        <f t="shared" si="16"/>
        <v>-0.19525871006686563</v>
      </c>
      <c r="L41" s="6">
        <f t="shared" si="17"/>
        <v>-0.1830967856960348</v>
      </c>
      <c r="M41" s="6">
        <f t="shared" si="18"/>
        <v>-1.2161924370830829E-2</v>
      </c>
      <c r="N41" s="6">
        <f t="shared" si="19"/>
        <v>1.4791240440180885E-4</v>
      </c>
      <c r="O41" s="6">
        <f>_xlfn.XLOOKUP(D41,'Instructor 360'!$B$6:$B$365,'Instructor 360'!$B$6:$B$365,,-1)</f>
        <v>760.44568245125345</v>
      </c>
      <c r="P41" s="6">
        <f>_xlfn.XLOOKUP(D41,'Instructor 360'!$B$6:$B$365,'Instructor 360'!$B$6:$B$365,,1)</f>
        <v>768.80222841225623</v>
      </c>
      <c r="Q41" s="6">
        <f>_xlfn.XLOOKUP(D41,'Instructor 360'!$B$6:$B$365,'Instructor 360'!$F$6:$F$365,,-1)</f>
        <v>-10.841828412256271</v>
      </c>
      <c r="R41" s="6">
        <f>_xlfn.XLOOKUP(D41,'Instructor 360'!$B$6:$B$365,'Instructor 360'!$F$6:$F$365,,1)</f>
        <v>-10.439636768802234</v>
      </c>
      <c r="S41" s="6">
        <f t="shared" si="20"/>
        <v>-10.490682537528635</v>
      </c>
      <c r="T41" s="6">
        <f t="shared" si="21"/>
        <v>-0.18309695106134827</v>
      </c>
      <c r="U41" s="6">
        <f t="shared" si="22"/>
        <v>-1.2161759005517359E-2</v>
      </c>
      <c r="V41" s="6"/>
      <c r="W41" s="6">
        <f t="shared" si="23"/>
        <v>1.4790838210828258E-4</v>
      </c>
      <c r="AA41">
        <f t="shared" si="24"/>
        <v>773</v>
      </c>
      <c r="AB41">
        <f t="shared" si="25"/>
        <v>-0.19525871006686563</v>
      </c>
      <c r="AC41">
        <f t="shared" si="26"/>
        <v>-0.18309695106134827</v>
      </c>
    </row>
    <row r="42" spans="1:29" ht="18.95" customHeight="1">
      <c r="A42" s="4">
        <f t="shared" si="27"/>
        <v>730</v>
      </c>
      <c r="B42" s="6">
        <f>INDEX('Raw Data'!$B$6:$B$1371,MATCH(A42,'Raw Data'!$A$6:$A$1371,0))</f>
        <v>15670</v>
      </c>
      <c r="C42" s="6">
        <f t="shared" si="14"/>
        <v>795</v>
      </c>
      <c r="D42" s="6">
        <f>MOD(C42+Summary!$B$20,Summary!$B$11)</f>
        <v>789.74162379895915</v>
      </c>
      <c r="E42" s="6">
        <f>_xlfn.XLOOKUP(D42,'Native PMKS'!$C$6:$C$366,'Native PMKS'!$C$6:$C$366,,-1)</f>
        <v>783.33333333333337</v>
      </c>
      <c r="F42" s="6">
        <f>_xlfn.XLOOKUP(D42,'Native PMKS'!$C$6:$C$366,'Native PMKS'!$C$6:$C$366,,1)</f>
        <v>791.66666666666674</v>
      </c>
      <c r="G42" s="6">
        <f>_xlfn.XLOOKUP(D42,'Native PMKS'!$C$6:$C$366,'Native PMKS'!$N$6:$N$366,,-1)</f>
        <v>-9.7402999999999995</v>
      </c>
      <c r="H42" s="6">
        <f>_xlfn.XLOOKUP(D42,'Native PMKS'!$C$6:$C$366,'Native PMKS'!$N$6:$N$366,,1)</f>
        <v>-9.3391999999999999</v>
      </c>
      <c r="I42" s="6">
        <f t="shared" si="15"/>
        <v>-9.4318561633084954</v>
      </c>
      <c r="J42" s="6">
        <f>INDEX('Raw Data'!$F$6:$F$1371,MATCH(A42,'Raw Data'!$A$6:$A$1371,0))</f>
        <v>-10</v>
      </c>
      <c r="K42" s="6">
        <f t="shared" si="16"/>
        <v>-0.17453292519943295</v>
      </c>
      <c r="L42" s="6">
        <f t="shared" si="17"/>
        <v>-0.16461694462425325</v>
      </c>
      <c r="M42" s="6">
        <f t="shared" si="18"/>
        <v>-9.9159805751797003E-3</v>
      </c>
      <c r="N42" s="6">
        <f t="shared" si="19"/>
        <v>9.8326670767341146E-5</v>
      </c>
      <c r="O42" s="6">
        <f>_xlfn.XLOOKUP(D42,'Instructor 360'!$B$6:$B$365,'Instructor 360'!$B$6:$B$365,,-1)</f>
        <v>785.51532033426179</v>
      </c>
      <c r="P42" s="6">
        <f>_xlfn.XLOOKUP(D42,'Instructor 360'!$B$6:$B$365,'Instructor 360'!$B$6:$B$365,,1)</f>
        <v>793.87186629526457</v>
      </c>
      <c r="Q42" s="6">
        <f>_xlfn.XLOOKUP(D42,'Instructor 360'!$B$6:$B$365,'Instructor 360'!$F$6:$F$365,,-1)</f>
        <v>-9.6352766016713129</v>
      </c>
      <c r="R42" s="6">
        <f>_xlfn.XLOOKUP(D42,'Instructor 360'!$B$6:$B$365,'Instructor 360'!$F$6:$F$365,,1)</f>
        <v>-9.2330593314763281</v>
      </c>
      <c r="S42" s="6">
        <f t="shared" si="20"/>
        <v>-9.4318561633084954</v>
      </c>
      <c r="T42" s="6">
        <f t="shared" si="21"/>
        <v>-0.16461694462425325</v>
      </c>
      <c r="U42" s="6">
        <f t="shared" si="22"/>
        <v>-9.9159805751797003E-3</v>
      </c>
      <c r="V42" s="6"/>
      <c r="W42" s="6">
        <f t="shared" si="23"/>
        <v>9.8326670767341146E-5</v>
      </c>
      <c r="AA42">
        <f t="shared" si="24"/>
        <v>795</v>
      </c>
      <c r="AB42">
        <f t="shared" si="25"/>
        <v>-0.17453292519943295</v>
      </c>
      <c r="AC42">
        <f t="shared" si="26"/>
        <v>-0.16461694462425325</v>
      </c>
    </row>
    <row r="43" spans="1:29" ht="18.95" customHeight="1">
      <c r="A43" s="4">
        <f t="shared" si="27"/>
        <v>731</v>
      </c>
      <c r="B43" s="6">
        <f>INDEX('Raw Data'!$B$6:$B$1371,MATCH(A43,'Raw Data'!$A$6:$A$1371,0))</f>
        <v>15691</v>
      </c>
      <c r="C43" s="6">
        <f t="shared" si="14"/>
        <v>816</v>
      </c>
      <c r="D43" s="6">
        <f>MOD(C43+Summary!$B$20,Summary!$B$11)</f>
        <v>810.74162379895915</v>
      </c>
      <c r="E43" s="6">
        <f>_xlfn.XLOOKUP(D43,'Native PMKS'!$C$6:$C$366,'Native PMKS'!$C$6:$C$366,,-1)</f>
        <v>808.33333333333337</v>
      </c>
      <c r="F43" s="6">
        <f>_xlfn.XLOOKUP(D43,'Native PMKS'!$C$6:$C$366,'Native PMKS'!$C$6:$C$366,,1)</f>
        <v>816.66666666666674</v>
      </c>
      <c r="G43" s="6">
        <f>_xlfn.XLOOKUP(D43,'Native PMKS'!$C$6:$C$366,'Native PMKS'!$N$6:$N$366,,-1)</f>
        <v>-8.5371000000000006</v>
      </c>
      <c r="H43" s="6">
        <f>_xlfn.XLOOKUP(D43,'Native PMKS'!$C$6:$C$366,'Native PMKS'!$N$6:$N$366,,1)</f>
        <v>-8.1359999999999992</v>
      </c>
      <c r="I43" s="6">
        <f t="shared" si="15"/>
        <v>-8.4211841633085029</v>
      </c>
      <c r="J43" s="6">
        <f>INDEX('Raw Data'!$F$6:$F$1371,MATCH(A43,'Raw Data'!$A$6:$A$1371,0))</f>
        <v>-9.125</v>
      </c>
      <c r="K43" s="6">
        <f t="shared" si="16"/>
        <v>-0.15926129424448257</v>
      </c>
      <c r="L43" s="6">
        <f t="shared" si="17"/>
        <v>-0.14697739056653722</v>
      </c>
      <c r="M43" s="6">
        <f t="shared" si="18"/>
        <v>-1.2283903677945351E-2</v>
      </c>
      <c r="N43" s="6">
        <f t="shared" si="19"/>
        <v>1.5089428956903934E-4</v>
      </c>
      <c r="O43" s="6">
        <f>_xlfn.XLOOKUP(D43,'Instructor 360'!$B$6:$B$365,'Instructor 360'!$B$6:$B$365,,-1)</f>
        <v>810.58495821727024</v>
      </c>
      <c r="P43" s="6">
        <f>_xlfn.XLOOKUP(D43,'Instructor 360'!$B$6:$B$365,'Instructor 360'!$B$6:$B$365,,1)</f>
        <v>818.94150417827302</v>
      </c>
      <c r="Q43" s="6">
        <f>_xlfn.XLOOKUP(D43,'Instructor 360'!$B$6:$B$365,'Instructor 360'!$F$6:$F$365,,-1)</f>
        <v>-8.428724791086351</v>
      </c>
      <c r="R43" s="6">
        <f>_xlfn.XLOOKUP(D43,'Instructor 360'!$B$6:$B$365,'Instructor 360'!$F$6:$F$365,,1)</f>
        <v>-8.0265075208913661</v>
      </c>
      <c r="S43" s="6">
        <f t="shared" si="20"/>
        <v>-8.4211841633084958</v>
      </c>
      <c r="T43" s="6">
        <f t="shared" si="21"/>
        <v>-0.14697739056653711</v>
      </c>
      <c r="U43" s="6">
        <f t="shared" si="22"/>
        <v>-1.2283903677945462E-2</v>
      </c>
      <c r="V43" s="6"/>
      <c r="W43" s="6">
        <f t="shared" si="23"/>
        <v>1.5089428956904205E-4</v>
      </c>
      <c r="AA43">
        <f t="shared" si="24"/>
        <v>816</v>
      </c>
      <c r="AB43">
        <f t="shared" si="25"/>
        <v>-0.15926129424448257</v>
      </c>
      <c r="AC43">
        <f t="shared" si="26"/>
        <v>-0.14697739056653711</v>
      </c>
    </row>
    <row r="44" spans="1:29" ht="18.95" customHeight="1">
      <c r="A44" s="4">
        <f t="shared" si="27"/>
        <v>732</v>
      </c>
      <c r="B44" s="6">
        <f>INDEX('Raw Data'!$B$6:$B$1371,MATCH(A44,'Raw Data'!$A$6:$A$1371,0))</f>
        <v>15711</v>
      </c>
      <c r="C44" s="6">
        <f t="shared" si="14"/>
        <v>836</v>
      </c>
      <c r="D44" s="6">
        <f>MOD(C44+Summary!$B$20,Summary!$B$11)</f>
        <v>830.74162379895915</v>
      </c>
      <c r="E44" s="6">
        <f>_xlfn.XLOOKUP(D44,'Native PMKS'!$C$6:$C$366,'Native PMKS'!$C$6:$C$366,,-1)</f>
        <v>825.00000000000011</v>
      </c>
      <c r="F44" s="6">
        <f>_xlfn.XLOOKUP(D44,'Native PMKS'!$C$6:$C$366,'Native PMKS'!$C$6:$C$366,,1)</f>
        <v>833.33333333333337</v>
      </c>
      <c r="G44" s="6">
        <f>_xlfn.XLOOKUP(D44,'Native PMKS'!$C$6:$C$366,'Native PMKS'!$N$6:$N$366,,-1)</f>
        <v>-7.7348999999999997</v>
      </c>
      <c r="H44" s="6">
        <f>_xlfn.XLOOKUP(D44,'Native PMKS'!$C$6:$C$366,'Native PMKS'!$N$6:$N$366,,1)</f>
        <v>-7.3338999999999999</v>
      </c>
      <c r="I44" s="6">
        <f t="shared" si="15"/>
        <v>-7.4586130627940861</v>
      </c>
      <c r="J44" s="6">
        <f>INDEX('Raw Data'!$F$6:$F$1371,MATCH(A44,'Raw Data'!$A$6:$A$1371,0))</f>
        <v>-8.125</v>
      </c>
      <c r="K44" s="6">
        <f t="shared" si="16"/>
        <v>-0.14180800172453928</v>
      </c>
      <c r="L44" s="6">
        <f t="shared" si="17"/>
        <v>-0.13017735557801538</v>
      </c>
      <c r="M44" s="6">
        <f t="shared" si="18"/>
        <v>-1.1630646146523899E-2</v>
      </c>
      <c r="N44" s="6">
        <f t="shared" si="19"/>
        <v>1.3527192978565121E-4</v>
      </c>
      <c r="O44" s="6">
        <f>_xlfn.XLOOKUP(D44,'Instructor 360'!$B$6:$B$365,'Instructor 360'!$B$6:$B$365,,-1)</f>
        <v>827.2980501392758</v>
      </c>
      <c r="P44" s="6">
        <f>_xlfn.XLOOKUP(D44,'Instructor 360'!$B$6:$B$365,'Instructor 360'!$B$6:$B$365,,1)</f>
        <v>835.65459610027858</v>
      </c>
      <c r="Q44" s="6">
        <f>_xlfn.XLOOKUP(D44,'Instructor 360'!$B$6:$B$365,'Instructor 360'!$F$6:$F$365,,-1)</f>
        <v>-7.6243178272980527</v>
      </c>
      <c r="R44" s="6">
        <f>_xlfn.XLOOKUP(D44,'Instructor 360'!$B$6:$B$365,'Instructor 360'!$F$6:$F$365,,1)</f>
        <v>-7.2221729805013934</v>
      </c>
      <c r="S44" s="6">
        <f t="shared" si="20"/>
        <v>-7.4586015842152236</v>
      </c>
      <c r="T44" s="6">
        <f t="shared" si="21"/>
        <v>-0.13017715523902076</v>
      </c>
      <c r="U44" s="6">
        <f t="shared" si="22"/>
        <v>-1.1630846485518515E-2</v>
      </c>
      <c r="V44" s="6"/>
      <c r="W44" s="6">
        <f t="shared" si="23"/>
        <v>1.3527658996969838E-4</v>
      </c>
      <c r="AA44">
        <f t="shared" si="24"/>
        <v>836</v>
      </c>
      <c r="AB44">
        <f t="shared" si="25"/>
        <v>-0.14180800172453928</v>
      </c>
      <c r="AC44">
        <f t="shared" si="26"/>
        <v>-0.13017715523902076</v>
      </c>
    </row>
    <row r="45" spans="1:29" ht="18.95" customHeight="1">
      <c r="A45" s="4">
        <f t="shared" si="27"/>
        <v>733</v>
      </c>
      <c r="B45" s="6">
        <f>INDEX('Raw Data'!$B$6:$B$1371,MATCH(A45,'Raw Data'!$A$6:$A$1371,0))</f>
        <v>15733</v>
      </c>
      <c r="C45" s="6">
        <f t="shared" si="14"/>
        <v>858</v>
      </c>
      <c r="D45" s="6">
        <f>MOD(C45+Summary!$B$20,Summary!$B$11)</f>
        <v>852.74162379895915</v>
      </c>
      <c r="E45" s="6">
        <f>_xlfn.XLOOKUP(D45,'Native PMKS'!$C$6:$C$366,'Native PMKS'!$C$6:$C$366,,-1)</f>
        <v>850.00000000000011</v>
      </c>
      <c r="F45" s="6">
        <f>_xlfn.XLOOKUP(D45,'Native PMKS'!$C$6:$C$366,'Native PMKS'!$C$6:$C$366,,1)</f>
        <v>858.33333333333337</v>
      </c>
      <c r="G45" s="6">
        <f>_xlfn.XLOOKUP(D45,'Native PMKS'!$C$6:$C$366,'Native PMKS'!$N$6:$N$366,,-1)</f>
        <v>-6.5316999999999998</v>
      </c>
      <c r="H45" s="6">
        <f>_xlfn.XLOOKUP(D45,'Native PMKS'!$C$6:$C$366,'Native PMKS'!$N$6:$N$366,,1)</f>
        <v>-6.1306000000000003</v>
      </c>
      <c r="I45" s="6">
        <f t="shared" si="15"/>
        <v>-6.3997401633085076</v>
      </c>
      <c r="J45" s="6">
        <f>INDEX('Raw Data'!$F$6:$F$1371,MATCH(A45,'Raw Data'!$A$6:$A$1371,0))</f>
        <v>-6.5</v>
      </c>
      <c r="K45" s="6">
        <f t="shared" si="16"/>
        <v>-0.11344640137963143</v>
      </c>
      <c r="L45" s="6">
        <f t="shared" si="17"/>
        <v>-0.11169653712185305</v>
      </c>
      <c r="M45" s="6">
        <f t="shared" si="18"/>
        <v>-1.7498642577783718E-3</v>
      </c>
      <c r="N45" s="6">
        <f t="shared" si="19"/>
        <v>3.0620249206502522E-6</v>
      </c>
      <c r="O45" s="6">
        <f>_xlfn.XLOOKUP(D45,'Instructor 360'!$B$6:$B$365,'Instructor 360'!$B$6:$B$365,,-1)</f>
        <v>852.36768802228414</v>
      </c>
      <c r="P45" s="6">
        <f>_xlfn.XLOOKUP(D45,'Instructor 360'!$B$6:$B$365,'Instructor 360'!$B$6:$B$365,,1)</f>
        <v>860.72423398328692</v>
      </c>
      <c r="Q45" s="6">
        <f>_xlfn.XLOOKUP(D45,'Instructor 360'!$B$6:$B$365,'Instructor 360'!$F$6:$F$365,,-1)</f>
        <v>-6.4177384401114237</v>
      </c>
      <c r="R45" s="6">
        <f>_xlfn.XLOOKUP(D45,'Instructor 360'!$B$6:$B$365,'Instructor 360'!$F$6:$F$365,,1)</f>
        <v>-6.0319896935933164</v>
      </c>
      <c r="S45" s="6">
        <f t="shared" si="20"/>
        <v>-6.4004770910081277</v>
      </c>
      <c r="T45" s="6">
        <f t="shared" si="21"/>
        <v>-0.11170939893656057</v>
      </c>
      <c r="U45" s="6">
        <f t="shared" si="22"/>
        <v>-1.7370024430708592E-3</v>
      </c>
      <c r="V45" s="6"/>
      <c r="W45" s="6">
        <f t="shared" si="23"/>
        <v>3.0171774872341333E-6</v>
      </c>
      <c r="AA45">
        <f t="shared" si="24"/>
        <v>858</v>
      </c>
      <c r="AB45">
        <f t="shared" si="25"/>
        <v>-0.11344640137963143</v>
      </c>
      <c r="AC45">
        <f t="shared" si="26"/>
        <v>-0.11170939893656057</v>
      </c>
    </row>
    <row r="46" spans="1:29" ht="18.95" customHeight="1">
      <c r="A46" s="4">
        <f t="shared" si="27"/>
        <v>734</v>
      </c>
      <c r="B46" s="6">
        <f>INDEX('Raw Data'!$B$6:$B$1371,MATCH(A46,'Raw Data'!$A$6:$A$1371,0))</f>
        <v>15755</v>
      </c>
      <c r="C46" s="6">
        <f t="shared" si="14"/>
        <v>880</v>
      </c>
      <c r="D46" s="6">
        <f>MOD(C46+Summary!$B$20,Summary!$B$11)</f>
        <v>874.74162379895915</v>
      </c>
      <c r="E46" s="6">
        <f>_xlfn.XLOOKUP(D46,'Native PMKS'!$C$6:$C$366,'Native PMKS'!$C$6:$C$366,,-1)</f>
        <v>866.66666666666674</v>
      </c>
      <c r="F46" s="6">
        <f>_xlfn.XLOOKUP(D46,'Native PMKS'!$C$6:$C$366,'Native PMKS'!$C$6:$C$366,,1)</f>
        <v>875.00000000000011</v>
      </c>
      <c r="G46" s="6">
        <f>_xlfn.XLOOKUP(D46,'Native PMKS'!$C$6:$C$366,'Native PMKS'!$N$6:$N$366,,-1)</f>
        <v>-5.7869000000000002</v>
      </c>
      <c r="H46" s="6">
        <f>_xlfn.XLOOKUP(D46,'Native PMKS'!$C$6:$C$366,'Native PMKS'!$N$6:$N$366,,1)</f>
        <v>-5.3857999999999997</v>
      </c>
      <c r="I46" s="6">
        <f t="shared" si="15"/>
        <v>-5.3982361633085105</v>
      </c>
      <c r="J46" s="6">
        <f>INDEX('Raw Data'!$F$6:$F$1371,MATCH(A46,'Raw Data'!$A$6:$A$1371,0))</f>
        <v>-5.5625</v>
      </c>
      <c r="K46" s="6">
        <f t="shared" si="16"/>
        <v>-9.7083939642184591E-2</v>
      </c>
      <c r="L46" s="6">
        <f t="shared" si="17"/>
        <v>-9.4216994849959823E-2</v>
      </c>
      <c r="M46" s="6">
        <f t="shared" si="18"/>
        <v>-2.8669447922247682E-3</v>
      </c>
      <c r="N46" s="6">
        <f t="shared" si="19"/>
        <v>8.2193724416647183E-6</v>
      </c>
      <c r="O46" s="6">
        <f>_xlfn.XLOOKUP(D46,'Instructor 360'!$B$6:$B$365,'Instructor 360'!$B$6:$B$365,,-1)</f>
        <v>869.0807799442897</v>
      </c>
      <c r="P46" s="6">
        <f>_xlfn.XLOOKUP(D46,'Instructor 360'!$B$6:$B$365,'Instructor 360'!$B$6:$B$365,,1)</f>
        <v>877.43732590529248</v>
      </c>
      <c r="Q46" s="6">
        <f>_xlfn.XLOOKUP(D46,'Instructor 360'!$B$6:$B$365,'Instructor 360'!$F$6:$F$365,,-1)</f>
        <v>-5.6707038997214525</v>
      </c>
      <c r="R46" s="6">
        <f>_xlfn.XLOOKUP(D46,'Instructor 360'!$B$6:$B$365,'Instructor 360'!$F$6:$F$365,,1)</f>
        <v>-5.2684866295264667</v>
      </c>
      <c r="S46" s="6">
        <f t="shared" si="20"/>
        <v>-5.3982361633085105</v>
      </c>
      <c r="T46" s="6">
        <f t="shared" si="21"/>
        <v>-9.4216994849959823E-2</v>
      </c>
      <c r="U46" s="6">
        <f t="shared" si="22"/>
        <v>-2.8669447922247682E-3</v>
      </c>
      <c r="V46" s="6"/>
      <c r="W46" s="6">
        <f t="shared" si="23"/>
        <v>8.2193724416647183E-6</v>
      </c>
      <c r="AA46">
        <f t="shared" si="24"/>
        <v>880</v>
      </c>
      <c r="AB46">
        <f t="shared" si="25"/>
        <v>-9.7083939642184591E-2</v>
      </c>
      <c r="AC46">
        <f t="shared" si="26"/>
        <v>-9.4216994849959823E-2</v>
      </c>
    </row>
    <row r="47" spans="1:29" ht="18.95" customHeight="1">
      <c r="A47" s="4">
        <f t="shared" si="27"/>
        <v>735</v>
      </c>
      <c r="B47" s="6">
        <f>INDEX('Raw Data'!$B$6:$B$1371,MATCH(A47,'Raw Data'!$A$6:$A$1371,0))</f>
        <v>15785</v>
      </c>
      <c r="C47" s="6">
        <f t="shared" si="14"/>
        <v>910</v>
      </c>
      <c r="D47" s="6">
        <f>MOD(C47+Summary!$B$20,Summary!$B$11)</f>
        <v>904.74162379895915</v>
      </c>
      <c r="E47" s="6">
        <f>_xlfn.XLOOKUP(D47,'Native PMKS'!$C$6:$C$366,'Native PMKS'!$C$6:$C$366,,-1)</f>
        <v>900.00000000000011</v>
      </c>
      <c r="F47" s="6">
        <f>_xlfn.XLOOKUP(D47,'Native PMKS'!$C$6:$C$366,'Native PMKS'!$C$6:$C$366,,1)</f>
        <v>908.33333333333337</v>
      </c>
      <c r="G47" s="6">
        <f>_xlfn.XLOOKUP(D47,'Native PMKS'!$C$6:$C$366,'Native PMKS'!$N$6:$N$366,,-1)</f>
        <v>-4.1825999999999999</v>
      </c>
      <c r="H47" s="6">
        <f>_xlfn.XLOOKUP(D47,'Native PMKS'!$C$6:$C$366,'Native PMKS'!$N$6:$N$366,,1)</f>
        <v>-3.8388</v>
      </c>
      <c r="I47" s="6">
        <f t="shared" si="15"/>
        <v>-3.9869795685501472</v>
      </c>
      <c r="J47" s="6">
        <f>INDEX('Raw Data'!$F$6:$F$1371,MATCH(A47,'Raw Data'!$A$6:$A$1371,0))</f>
        <v>-4.0625</v>
      </c>
      <c r="K47" s="6">
        <f t="shared" si="16"/>
        <v>-7.0904000862269639E-2</v>
      </c>
      <c r="L47" s="6">
        <f t="shared" si="17"/>
        <v>-6.9585920680943034E-2</v>
      </c>
      <c r="M47" s="6">
        <f t="shared" si="18"/>
        <v>-1.3180801813266058E-3</v>
      </c>
      <c r="N47" s="6">
        <f t="shared" si="19"/>
        <v>1.7373353644059778E-6</v>
      </c>
      <c r="O47" s="6">
        <f>_xlfn.XLOOKUP(D47,'Instructor 360'!$B$6:$B$365,'Instructor 360'!$B$6:$B$365,,-1)</f>
        <v>902.50696378830082</v>
      </c>
      <c r="P47" s="6">
        <f>_xlfn.XLOOKUP(D47,'Instructor 360'!$B$6:$B$365,'Instructor 360'!$B$6:$B$365,,1)</f>
        <v>910.8635097493036</v>
      </c>
      <c r="Q47" s="6">
        <f>_xlfn.XLOOKUP(D47,'Instructor 360'!$B$6:$B$365,'Instructor 360'!$F$6:$F$365,,-1)</f>
        <v>-4.0791727019498651</v>
      </c>
      <c r="R47" s="6">
        <f>_xlfn.XLOOKUP(D47,'Instructor 360'!$B$6:$B$365,'Instructor 360'!$F$6:$F$365,,1)</f>
        <v>-3.7170175487465213</v>
      </c>
      <c r="S47" s="6">
        <f t="shared" si="20"/>
        <v>-3.9823272298739596</v>
      </c>
      <c r="T47" s="6">
        <f t="shared" si="21"/>
        <v>-6.9504722053125675E-2</v>
      </c>
      <c r="U47" s="6">
        <f t="shared" si="22"/>
        <v>-1.399278809143964E-3</v>
      </c>
      <c r="V47" s="6"/>
      <c r="W47" s="6">
        <f t="shared" si="23"/>
        <v>1.9579811857193499E-6</v>
      </c>
      <c r="AA47">
        <f t="shared" si="24"/>
        <v>910</v>
      </c>
      <c r="AB47">
        <f t="shared" si="25"/>
        <v>-7.0904000862269639E-2</v>
      </c>
      <c r="AC47">
        <f t="shared" si="26"/>
        <v>-6.9504722053125675E-2</v>
      </c>
    </row>
    <row r="48" spans="1:29" ht="18.95" customHeight="1">
      <c r="A48" s="4">
        <f t="shared" si="27"/>
        <v>736</v>
      </c>
      <c r="B48" s="6">
        <f>INDEX('Raw Data'!$B$6:$B$1371,MATCH(A48,'Raw Data'!$A$6:$A$1371,0))</f>
        <v>15805</v>
      </c>
      <c r="C48" s="6">
        <f t="shared" si="14"/>
        <v>930</v>
      </c>
      <c r="D48" s="6">
        <f>MOD(C48+Summary!$B$20,Summary!$B$11)</f>
        <v>924.74162379895915</v>
      </c>
      <c r="E48" s="6">
        <f>_xlfn.XLOOKUP(D48,'Native PMKS'!$C$6:$C$366,'Native PMKS'!$C$6:$C$366,,-1)</f>
        <v>916.66666666666674</v>
      </c>
      <c r="F48" s="6">
        <f>_xlfn.XLOOKUP(D48,'Native PMKS'!$C$6:$C$366,'Native PMKS'!$C$6:$C$366,,1)</f>
        <v>925.00000000000011</v>
      </c>
      <c r="G48" s="6">
        <f>_xlfn.XLOOKUP(D48,'Native PMKS'!$C$6:$C$366,'Native PMKS'!$N$6:$N$366,,-1)</f>
        <v>-3.4377</v>
      </c>
      <c r="H48" s="6">
        <f>_xlfn.XLOOKUP(D48,'Native PMKS'!$C$6:$C$366,'Native PMKS'!$N$6:$N$366,,1)</f>
        <v>-3.0367000000000002</v>
      </c>
      <c r="I48" s="6">
        <f t="shared" si="15"/>
        <v>-3.0491330627940911</v>
      </c>
      <c r="J48" s="6">
        <f>INDEX('Raw Data'!$F$6:$F$1371,MATCH(A48,'Raw Data'!$A$6:$A$1371,0))</f>
        <v>-3.0625</v>
      </c>
      <c r="K48" s="6">
        <f t="shared" si="16"/>
        <v>-5.345070834232634E-2</v>
      </c>
      <c r="L48" s="6">
        <f t="shared" si="17"/>
        <v>-5.3217411277175899E-2</v>
      </c>
      <c r="M48" s="6">
        <f t="shared" si="18"/>
        <v>-2.3329706515044096E-4</v>
      </c>
      <c r="N48" s="6">
        <f t="shared" si="19"/>
        <v>5.4427520607809093E-8</v>
      </c>
      <c r="O48" s="6">
        <f>_xlfn.XLOOKUP(D48,'Instructor 360'!$B$6:$B$365,'Instructor 360'!$B$6:$B$365,,-1)</f>
        <v>919.22005571030638</v>
      </c>
      <c r="P48" s="6">
        <f>_xlfn.XLOOKUP(D48,'Instructor 360'!$B$6:$B$365,'Instructor 360'!$B$6:$B$365,,1)</f>
        <v>927.57660167130916</v>
      </c>
      <c r="Q48" s="6">
        <f>_xlfn.XLOOKUP(D48,'Instructor 360'!$B$6:$B$365,'Instructor 360'!$F$6:$F$365,,-1)</f>
        <v>-3.3148309192200611</v>
      </c>
      <c r="R48" s="6">
        <f>_xlfn.XLOOKUP(D48,'Instructor 360'!$B$6:$B$365,'Instructor 360'!$F$6:$F$365,,1)</f>
        <v>-2.9126830083565518</v>
      </c>
      <c r="S48" s="6">
        <f t="shared" si="20"/>
        <v>-3.0491126329921627</v>
      </c>
      <c r="T48" s="6">
        <f t="shared" si="21"/>
        <v>-5.3217054709866721E-2</v>
      </c>
      <c r="U48" s="6">
        <f t="shared" si="22"/>
        <v>-2.3365363245961973E-4</v>
      </c>
      <c r="V48" s="6"/>
      <c r="W48" s="6">
        <f t="shared" si="23"/>
        <v>5.4594019961575064E-8</v>
      </c>
      <c r="AA48">
        <f t="shared" si="24"/>
        <v>930</v>
      </c>
      <c r="AB48">
        <f t="shared" si="25"/>
        <v>-5.345070834232634E-2</v>
      </c>
      <c r="AC48">
        <f t="shared" si="26"/>
        <v>-5.3217054709866721E-2</v>
      </c>
    </row>
    <row r="49" spans="1:29" ht="18.95" customHeight="1">
      <c r="A49" s="4">
        <f t="shared" si="27"/>
        <v>737</v>
      </c>
      <c r="B49" s="6">
        <f>INDEX('Raw Data'!$B$6:$B$1371,MATCH(A49,'Raw Data'!$A$6:$A$1371,0))</f>
        <v>15828</v>
      </c>
      <c r="C49" s="6">
        <f t="shared" si="14"/>
        <v>953</v>
      </c>
      <c r="D49" s="6">
        <f>MOD(C49+Summary!$B$20,Summary!$B$11)</f>
        <v>947.74162379895915</v>
      </c>
      <c r="E49" s="6">
        <f>_xlfn.XLOOKUP(D49,'Native PMKS'!$C$6:$C$366,'Native PMKS'!$C$6:$C$366,,-1)</f>
        <v>941.66666666666674</v>
      </c>
      <c r="F49" s="6">
        <f>_xlfn.XLOOKUP(D49,'Native PMKS'!$C$6:$C$366,'Native PMKS'!$C$6:$C$366,,1)</f>
        <v>950.00000000000011</v>
      </c>
      <c r="G49" s="6">
        <f>_xlfn.XLOOKUP(D49,'Native PMKS'!$C$6:$C$366,'Native PMKS'!$N$6:$N$366,,-1)</f>
        <v>-2.2345000000000002</v>
      </c>
      <c r="H49" s="6">
        <f>_xlfn.XLOOKUP(D49,'Native PMKS'!$C$6:$C$366,'Native PMKS'!$N$6:$N$366,,1)</f>
        <v>-1.8908</v>
      </c>
      <c r="I49" s="6">
        <f t="shared" si="15"/>
        <v>-1.9839444680357374</v>
      </c>
      <c r="J49" s="6">
        <f>INDEX('Raw Data'!$F$6:$F$1371,MATCH(A49,'Raw Data'!$A$6:$A$1371,0))</f>
        <v>-2.125</v>
      </c>
      <c r="K49" s="6">
        <f t="shared" si="16"/>
        <v>-3.7088246604879506E-2</v>
      </c>
      <c r="L49" s="6">
        <f t="shared" si="17"/>
        <v>-3.4626363143951018E-2</v>
      </c>
      <c r="M49" s="6">
        <f t="shared" si="18"/>
        <v>-2.4618834609284879E-3</v>
      </c>
      <c r="N49" s="6">
        <f t="shared" si="19"/>
        <v>6.0608701751932292E-6</v>
      </c>
      <c r="O49" s="6">
        <f>_xlfn.XLOOKUP(D49,'Instructor 360'!$B$6:$B$365,'Instructor 360'!$B$6:$B$365,,-1)</f>
        <v>944.28969359331472</v>
      </c>
      <c r="P49" s="6">
        <f>_xlfn.XLOOKUP(D49,'Instructor 360'!$B$6:$B$365,'Instructor 360'!$B$6:$B$365,,1)</f>
        <v>952.6462395543175</v>
      </c>
      <c r="Q49" s="6">
        <f>_xlfn.XLOOKUP(D49,'Instructor 360'!$B$6:$B$365,'Instructor 360'!$F$6:$F$365,,-1)</f>
        <v>-2.1263158774373312</v>
      </c>
      <c r="R49" s="6">
        <f>_xlfn.XLOOKUP(D49,'Instructor 360'!$B$6:$B$365,'Instructor 360'!$F$6:$F$365,,1)</f>
        <v>-1.7634311977715942</v>
      </c>
      <c r="S49" s="6">
        <f t="shared" si="20"/>
        <v>-1.9764151178711771</v>
      </c>
      <c r="T49" s="6">
        <f t="shared" si="21"/>
        <v>-3.4494951193043862E-2</v>
      </c>
      <c r="U49" s="6">
        <f t="shared" si="22"/>
        <v>-2.5932954118356444E-3</v>
      </c>
      <c r="V49" s="6"/>
      <c r="W49" s="6">
        <f t="shared" si="23"/>
        <v>6.7251810930478043E-6</v>
      </c>
      <c r="AA49">
        <f t="shared" si="24"/>
        <v>953</v>
      </c>
      <c r="AB49">
        <f t="shared" si="25"/>
        <v>-3.7088246604879506E-2</v>
      </c>
      <c r="AC49">
        <f t="shared" si="26"/>
        <v>-3.4494951193043862E-2</v>
      </c>
    </row>
    <row r="50" spans="1:29" ht="18.95" customHeight="1">
      <c r="A50" s="4">
        <f t="shared" si="27"/>
        <v>738</v>
      </c>
      <c r="B50" s="6">
        <f>INDEX('Raw Data'!$B$6:$B$1371,MATCH(A50,'Raw Data'!$A$6:$A$1371,0))</f>
        <v>15848</v>
      </c>
      <c r="C50" s="6">
        <f t="shared" si="14"/>
        <v>973</v>
      </c>
      <c r="D50" s="6">
        <f>MOD(C50+Summary!$B$20,Summary!$B$11)</f>
        <v>967.74162379895915</v>
      </c>
      <c r="E50" s="6">
        <f>_xlfn.XLOOKUP(D50,'Native PMKS'!$C$6:$C$366,'Native PMKS'!$C$6:$C$366,,-1)</f>
        <v>966.66666666666674</v>
      </c>
      <c r="F50" s="6">
        <f>_xlfn.XLOOKUP(D50,'Native PMKS'!$C$6:$C$366,'Native PMKS'!$C$6:$C$366,,1)</f>
        <v>975.00000000000011</v>
      </c>
      <c r="G50" s="6">
        <f>_xlfn.XLOOKUP(D50,'Native PMKS'!$C$6:$C$366,'Native PMKS'!$N$6:$N$366,,-1)</f>
        <v>-1.0886</v>
      </c>
      <c r="H50" s="6">
        <f>_xlfn.XLOOKUP(D50,'Native PMKS'!$C$6:$C$366,'Native PMKS'!$N$6:$N$366,,1)</f>
        <v>-0.6875</v>
      </c>
      <c r="I50" s="6">
        <f t="shared" si="15"/>
        <v>-1.0368601633085035</v>
      </c>
      <c r="J50" s="6">
        <f>INDEX('Raw Data'!$F$6:$F$1371,MATCH(A50,'Raw Data'!$A$6:$A$1371,0))</f>
        <v>-1.125</v>
      </c>
      <c r="K50" s="6">
        <f t="shared" si="16"/>
        <v>-1.9634954084936207E-2</v>
      </c>
      <c r="L50" s="6">
        <f t="shared" si="17"/>
        <v>-1.8096623732499487E-2</v>
      </c>
      <c r="M50" s="6">
        <f t="shared" si="18"/>
        <v>-1.5383303524367196E-3</v>
      </c>
      <c r="N50" s="6">
        <f t="shared" si="19"/>
        <v>2.3664602732280822E-6</v>
      </c>
      <c r="O50" s="6">
        <f>_xlfn.XLOOKUP(D50,'Instructor 360'!$B$6:$B$365,'Instructor 360'!$B$6:$B$365,,-1)</f>
        <v>961.00278551532028</v>
      </c>
      <c r="P50" s="6">
        <f>_xlfn.XLOOKUP(D50,'Instructor 360'!$B$6:$B$365,'Instructor 360'!$B$6:$B$365,,1)</f>
        <v>969.35933147632306</v>
      </c>
      <c r="Q50" s="6">
        <f>_xlfn.XLOOKUP(D50,'Instructor 360'!$B$6:$B$365,'Instructor 360'!$F$6:$F$365,,-1)</f>
        <v>-1.3612139275766066</v>
      </c>
      <c r="R50" s="6">
        <f>_xlfn.XLOOKUP(D50,'Instructor 360'!$B$6:$B$365,'Instructor 360'!$F$6:$F$365,,1)</f>
        <v>-0.95899665738162254</v>
      </c>
      <c r="S50" s="6">
        <f t="shared" si="20"/>
        <v>-1.0368601633084964</v>
      </c>
      <c r="T50" s="6">
        <f t="shared" si="21"/>
        <v>-1.8096623732499366E-2</v>
      </c>
      <c r="U50" s="6">
        <f t="shared" si="22"/>
        <v>-1.5383303524368411E-3</v>
      </c>
      <c r="V50" s="6"/>
      <c r="W50" s="6">
        <f t="shared" si="23"/>
        <v>2.3664602732284557E-6</v>
      </c>
      <c r="AA50">
        <f t="shared" si="24"/>
        <v>973</v>
      </c>
      <c r="AB50">
        <f t="shared" si="25"/>
        <v>-1.9634954084936207E-2</v>
      </c>
      <c r="AC50">
        <f t="shared" si="26"/>
        <v>-1.8096623732499366E-2</v>
      </c>
    </row>
    <row r="51" spans="1:29" ht="18.95" customHeight="1">
      <c r="A51" s="4">
        <f t="shared" si="27"/>
        <v>739</v>
      </c>
      <c r="B51" s="6">
        <f>INDEX('Raw Data'!$B$6:$B$1371,MATCH(A51,'Raw Data'!$A$6:$A$1371,0))</f>
        <v>15869</v>
      </c>
      <c r="C51" s="6">
        <f t="shared" si="14"/>
        <v>994</v>
      </c>
      <c r="D51" s="6">
        <f>MOD(C51+Summary!$B$20,Summary!$B$11)</f>
        <v>988.74162379895915</v>
      </c>
      <c r="E51" s="6">
        <f>_xlfn.XLOOKUP(D51,'Native PMKS'!$C$6:$C$366,'Native PMKS'!$C$6:$C$366,,-1)</f>
        <v>983.33333333333337</v>
      </c>
      <c r="F51" s="6">
        <f>_xlfn.XLOOKUP(D51,'Native PMKS'!$C$6:$C$366,'Native PMKS'!$C$6:$C$366,,1)</f>
        <v>991.66666666666674</v>
      </c>
      <c r="G51" s="6">
        <f>_xlfn.XLOOKUP(D51,'Native PMKS'!$C$6:$C$366,'Native PMKS'!$N$6:$N$366,,-1)</f>
        <v>-0.28649999999999998</v>
      </c>
      <c r="H51" s="6">
        <f>_xlfn.XLOOKUP(D51,'Native PMKS'!$C$6:$C$366,'Native PMKS'!$N$6:$N$366,,1)</f>
        <v>0.11459999999999999</v>
      </c>
      <c r="I51" s="6">
        <f t="shared" si="15"/>
        <v>-2.6188163308496826E-2</v>
      </c>
      <c r="J51" s="6">
        <f>INDEX('Raw Data'!$F$6:$F$1371,MATCH(A51,'Raw Data'!$A$6:$A$1371,0))</f>
        <v>-0.3125</v>
      </c>
      <c r="K51" s="6">
        <f t="shared" si="16"/>
        <v>-5.4541539124822796E-3</v>
      </c>
      <c r="L51" s="6">
        <f t="shared" si="17"/>
        <v>-4.5706967478324111E-4</v>
      </c>
      <c r="M51" s="6">
        <f t="shared" si="18"/>
        <v>-4.9970842376990381E-3</v>
      </c>
      <c r="N51" s="6">
        <f t="shared" si="19"/>
        <v>2.4970850878660177E-5</v>
      </c>
      <c r="O51" s="6">
        <f>_xlfn.XLOOKUP(D51,'Instructor 360'!$B$6:$B$365,'Instructor 360'!$B$6:$B$365,,-1)</f>
        <v>986.07242339832874</v>
      </c>
      <c r="P51" s="6">
        <f>_xlfn.XLOOKUP(D51,'Instructor 360'!$B$6:$B$365,'Instructor 360'!$B$6:$B$365,,1)</f>
        <v>994.42896935933152</v>
      </c>
      <c r="Q51" s="6">
        <f>_xlfn.XLOOKUP(D51,'Instructor 360'!$B$6:$B$365,'Instructor 360'!$F$6:$F$365,,-1)</f>
        <v>-0.15466211699164362</v>
      </c>
      <c r="R51" s="6">
        <f>_xlfn.XLOOKUP(D51,'Instructor 360'!$B$6:$B$365,'Instructor 360'!$F$6:$F$365,,1)</f>
        <v>0.24755515320334037</v>
      </c>
      <c r="S51" s="6">
        <f t="shared" si="20"/>
        <v>-2.6188163308496826E-2</v>
      </c>
      <c r="T51" s="6">
        <f t="shared" si="21"/>
        <v>-4.5706967478324111E-4</v>
      </c>
      <c r="U51" s="6">
        <f t="shared" si="22"/>
        <v>-4.9970842376990381E-3</v>
      </c>
      <c r="V51" s="6"/>
      <c r="W51" s="6">
        <f t="shared" si="23"/>
        <v>2.4970850878660177E-5</v>
      </c>
      <c r="AA51">
        <f t="shared" si="24"/>
        <v>994</v>
      </c>
      <c r="AB51">
        <f t="shared" si="25"/>
        <v>-5.4541539124822796E-3</v>
      </c>
      <c r="AC51">
        <f t="shared" si="26"/>
        <v>-4.5706967478324111E-4</v>
      </c>
    </row>
    <row r="52" spans="1:29" ht="18.95" customHeight="1">
      <c r="A52" s="4">
        <f t="shared" si="27"/>
        <v>740</v>
      </c>
      <c r="B52" s="6">
        <f>INDEX('Raw Data'!$B$6:$B$1371,MATCH(A52,'Raw Data'!$A$6:$A$1371,0))</f>
        <v>15891</v>
      </c>
      <c r="C52" s="6">
        <f t="shared" si="14"/>
        <v>1016</v>
      </c>
      <c r="D52" s="6">
        <f>MOD(C52+Summary!$B$20,Summary!$B$11)</f>
        <v>1010.7416237989592</v>
      </c>
      <c r="E52" s="6">
        <f>_xlfn.XLOOKUP(D52,'Native PMKS'!$C$6:$C$366,'Native PMKS'!$C$6:$C$366,,-1)</f>
        <v>1008.3333333333334</v>
      </c>
      <c r="F52" s="6">
        <f>_xlfn.XLOOKUP(D52,'Native PMKS'!$C$6:$C$366,'Native PMKS'!$C$6:$C$366,,1)</f>
        <v>1016.6666666666667</v>
      </c>
      <c r="G52" s="6">
        <f>_xlfn.XLOOKUP(D52,'Native PMKS'!$C$6:$C$366,'Native PMKS'!$N$6:$N$366,,-1)</f>
        <v>0.91669999999999996</v>
      </c>
      <c r="H52" s="6">
        <f>_xlfn.XLOOKUP(D52,'Native PMKS'!$C$6:$C$366,'Native PMKS'!$N$6:$N$366,,1)</f>
        <v>1.3178000000000001</v>
      </c>
      <c r="I52" s="6">
        <f t="shared" si="15"/>
        <v>1.0326158366914981</v>
      </c>
      <c r="J52" s="6">
        <f>INDEX('Raw Data'!$F$6:$F$1371,MATCH(A52,'Raw Data'!$A$6:$A$1371,0))</f>
        <v>0.875</v>
      </c>
      <c r="K52" s="6">
        <f t="shared" si="16"/>
        <v>1.5271630954950384E-2</v>
      </c>
      <c r="L52" s="6">
        <f t="shared" si="17"/>
        <v>1.8022546258502713E-2</v>
      </c>
      <c r="M52" s="6">
        <f t="shared" si="18"/>
        <v>-2.7509153035523287E-3</v>
      </c>
      <c r="N52" s="6">
        <f t="shared" si="19"/>
        <v>7.567535007318401E-6</v>
      </c>
      <c r="O52" s="6">
        <f>_xlfn.XLOOKUP(D52,'Instructor 360'!$B$6:$B$365,'Instructor 360'!$B$6:$B$365,,-1)</f>
        <v>1002.7855153203343</v>
      </c>
      <c r="P52" s="6">
        <f>_xlfn.XLOOKUP(D52,'Instructor 360'!$B$6:$B$365,'Instructor 360'!$B$6:$B$365,,1)</f>
        <v>1011.1420612813371</v>
      </c>
      <c r="Q52" s="6">
        <f>_xlfn.XLOOKUP(D52,'Instructor 360'!$B$6:$B$365,'Instructor 360'!$F$6:$F$365,,-1)</f>
        <v>0.64973899721448225</v>
      </c>
      <c r="R52" s="6">
        <f>_xlfn.XLOOKUP(D52,'Instructor 360'!$B$6:$B$365,'Instructor 360'!$F$6:$F$365,,1)</f>
        <v>1.0518896935933137</v>
      </c>
      <c r="S52" s="6">
        <f t="shared" si="20"/>
        <v>1.0326190268434416</v>
      </c>
      <c r="T52" s="6">
        <f t="shared" si="21"/>
        <v>1.8022601937157764E-2</v>
      </c>
      <c r="U52" s="6">
        <f t="shared" si="22"/>
        <v>-2.7509709822073798E-3</v>
      </c>
      <c r="V52" s="6"/>
      <c r="W52" s="6">
        <f t="shared" si="23"/>
        <v>7.567841344947036E-6</v>
      </c>
      <c r="AA52">
        <f t="shared" si="24"/>
        <v>1016</v>
      </c>
      <c r="AB52">
        <f t="shared" si="25"/>
        <v>1.5271630954950384E-2</v>
      </c>
      <c r="AC52">
        <f t="shared" si="26"/>
        <v>1.8022601937157764E-2</v>
      </c>
    </row>
    <row r="53" spans="1:29" ht="18.95" customHeight="1">
      <c r="A53" s="4">
        <f t="shared" si="27"/>
        <v>741</v>
      </c>
      <c r="B53" s="6">
        <f>INDEX('Raw Data'!$B$6:$B$1371,MATCH(A53,'Raw Data'!$A$6:$A$1371,0))</f>
        <v>15911</v>
      </c>
      <c r="C53" s="6">
        <f t="shared" si="14"/>
        <v>1036</v>
      </c>
      <c r="D53" s="6">
        <f>MOD(C53+Summary!$B$20,Summary!$B$11)</f>
        <v>1030.7416237989592</v>
      </c>
      <c r="E53" s="6">
        <f>_xlfn.XLOOKUP(D53,'Native PMKS'!$C$6:$C$366,'Native PMKS'!$C$6:$C$366,,-1)</f>
        <v>1025</v>
      </c>
      <c r="F53" s="6">
        <f>_xlfn.XLOOKUP(D53,'Native PMKS'!$C$6:$C$366,'Native PMKS'!$C$6:$C$366,,1)</f>
        <v>1033.3333333333335</v>
      </c>
      <c r="G53" s="6">
        <f>_xlfn.XLOOKUP(D53,'Native PMKS'!$C$6:$C$366,'Native PMKS'!$N$6:$N$366,,-1)</f>
        <v>1.7189000000000001</v>
      </c>
      <c r="H53" s="6">
        <f>_xlfn.XLOOKUP(D53,'Native PMKS'!$C$6:$C$366,'Native PMKS'!$N$6:$N$366,,1)</f>
        <v>2.1198999999999999</v>
      </c>
      <c r="I53" s="6">
        <f t="shared" si="15"/>
        <v>1.9951869372059079</v>
      </c>
      <c r="J53" s="6">
        <f>INDEX('Raw Data'!$F$6:$F$1371,MATCH(A53,'Raw Data'!$A$6:$A$1371,0))</f>
        <v>1.625</v>
      </c>
      <c r="K53" s="6">
        <f t="shared" si="16"/>
        <v>2.8361600344907856E-2</v>
      </c>
      <c r="L53" s="6">
        <f t="shared" si="17"/>
        <v>3.4822581247024448E-2</v>
      </c>
      <c r="M53" s="6">
        <f t="shared" si="18"/>
        <v>-6.4609809021165913E-3</v>
      </c>
      <c r="N53" s="6">
        <f t="shared" si="19"/>
        <v>4.1744274217515325E-5</v>
      </c>
      <c r="O53" s="6">
        <f>_xlfn.XLOOKUP(D53,'Instructor 360'!$B$6:$B$365,'Instructor 360'!$B$6:$B$365,,-1)</f>
        <v>1027.8551532033425</v>
      </c>
      <c r="P53" s="6">
        <f>_xlfn.XLOOKUP(D53,'Instructor 360'!$B$6:$B$365,'Instructor 360'!$B$6:$B$365,,1)</f>
        <v>1036.2116991643454</v>
      </c>
      <c r="Q53" s="6">
        <f>_xlfn.XLOOKUP(D53,'Instructor 360'!$B$6:$B$365,'Instructor 360'!$F$6:$F$365,,-1)</f>
        <v>1.8562899721448398</v>
      </c>
      <c r="R53" s="6">
        <f>_xlfn.XLOOKUP(D53,'Instructor 360'!$B$6:$B$365,'Instructor 360'!$F$6:$F$365,,1)</f>
        <v>2.2584415041782675</v>
      </c>
      <c r="S53" s="6">
        <f t="shared" si="20"/>
        <v>1.9951988679510393</v>
      </c>
      <c r="T53" s="6">
        <f t="shared" si="21"/>
        <v>3.4822789477809202E-2</v>
      </c>
      <c r="U53" s="6">
        <f t="shared" si="22"/>
        <v>-6.4611891329013453E-3</v>
      </c>
      <c r="V53" s="6"/>
      <c r="W53" s="6">
        <f t="shared" si="23"/>
        <v>4.174696501112244E-5</v>
      </c>
      <c r="AA53">
        <f t="shared" si="24"/>
        <v>1036</v>
      </c>
      <c r="AB53">
        <f t="shared" si="25"/>
        <v>2.8361600344907856E-2</v>
      </c>
      <c r="AC53">
        <f t="shared" si="26"/>
        <v>3.4822789477809202E-2</v>
      </c>
    </row>
    <row r="54" spans="1:29" ht="18.95" customHeight="1">
      <c r="A54" s="4">
        <f t="shared" si="27"/>
        <v>742</v>
      </c>
      <c r="B54" s="6">
        <f>INDEX('Raw Data'!$B$6:$B$1371,MATCH(A54,'Raw Data'!$A$6:$A$1371,0))</f>
        <v>15931</v>
      </c>
      <c r="C54" s="6">
        <f t="shared" si="14"/>
        <v>1056</v>
      </c>
      <c r="D54" s="6">
        <f>MOD(C54+Summary!$B$20,Summary!$B$11)</f>
        <v>1050.7416237989592</v>
      </c>
      <c r="E54" s="6">
        <f>_xlfn.XLOOKUP(D54,'Native PMKS'!$C$6:$C$366,'Native PMKS'!$C$6:$C$366,,-1)</f>
        <v>1050</v>
      </c>
      <c r="F54" s="6">
        <f>_xlfn.XLOOKUP(D54,'Native PMKS'!$C$6:$C$366,'Native PMKS'!$C$6:$C$366,,1)</f>
        <v>1058.3333333333335</v>
      </c>
      <c r="G54" s="6">
        <f>_xlfn.XLOOKUP(D54,'Native PMKS'!$C$6:$C$366,'Native PMKS'!$N$6:$N$366,,-1)</f>
        <v>2.9220999999999999</v>
      </c>
      <c r="H54" s="6">
        <f>_xlfn.XLOOKUP(D54,'Native PMKS'!$C$6:$C$366,'Native PMKS'!$N$6:$N$366,,1)</f>
        <v>3.3805000000000001</v>
      </c>
      <c r="I54" s="6">
        <f t="shared" si="15"/>
        <v>2.9628952419331398</v>
      </c>
      <c r="J54" s="6">
        <f>INDEX('Raw Data'!$F$6:$F$1371,MATCH(A54,'Raw Data'!$A$6:$A$1371,0))</f>
        <v>3.0625</v>
      </c>
      <c r="K54" s="6">
        <f t="shared" si="16"/>
        <v>5.345070834232634E-2</v>
      </c>
      <c r="L54" s="6">
        <f t="shared" si="17"/>
        <v>5.171227736340725E-2</v>
      </c>
      <c r="M54" s="6">
        <f t="shared" si="18"/>
        <v>1.7384309789190908E-3</v>
      </c>
      <c r="N54" s="6">
        <f t="shared" si="19"/>
        <v>3.022142268465588E-6</v>
      </c>
      <c r="O54" s="6">
        <f>_xlfn.XLOOKUP(D54,'Instructor 360'!$B$6:$B$365,'Instructor 360'!$B$6:$B$365,,-1)</f>
        <v>1044.5682451253481</v>
      </c>
      <c r="P54" s="6">
        <f>_xlfn.XLOOKUP(D54,'Instructor 360'!$B$6:$B$365,'Instructor 360'!$B$6:$B$365,,1)</f>
        <v>1052.924791086351</v>
      </c>
      <c r="Q54" s="6">
        <f>_xlfn.XLOOKUP(D54,'Instructor 360'!$B$6:$B$365,'Instructor 360'!$F$6:$F$365,,-1)</f>
        <v>2.6606587743732515</v>
      </c>
      <c r="R54" s="6">
        <f>_xlfn.XLOOKUP(D54,'Instructor 360'!$B$6:$B$365,'Instructor 360'!$F$6:$F$365,,1)</f>
        <v>3.0829869080779915</v>
      </c>
      <c r="S54" s="6">
        <f t="shared" si="20"/>
        <v>2.9726526898074042</v>
      </c>
      <c r="T54" s="6">
        <f t="shared" si="21"/>
        <v>5.1882576955404887E-2</v>
      </c>
      <c r="U54" s="6">
        <f t="shared" si="22"/>
        <v>1.5681313869214536E-3</v>
      </c>
      <c r="V54" s="6"/>
      <c r="W54" s="6">
        <f t="shared" si="23"/>
        <v>2.4590360466482015E-6</v>
      </c>
      <c r="AA54">
        <f t="shared" si="24"/>
        <v>1056</v>
      </c>
      <c r="AB54">
        <f t="shared" si="25"/>
        <v>5.345070834232634E-2</v>
      </c>
      <c r="AC54">
        <f t="shared" si="26"/>
        <v>5.1882576955404887E-2</v>
      </c>
    </row>
    <row r="55" spans="1:29" ht="18.95" customHeight="1">
      <c r="A55" s="4">
        <f t="shared" si="27"/>
        <v>743</v>
      </c>
      <c r="B55" s="6">
        <f>INDEX('Raw Data'!$B$6:$B$1371,MATCH(A55,'Raw Data'!$A$6:$A$1371,0))</f>
        <v>15951</v>
      </c>
      <c r="C55" s="6">
        <f t="shared" si="14"/>
        <v>1076</v>
      </c>
      <c r="D55" s="6">
        <f>MOD(C55+Summary!$B$20,Summary!$B$11)</f>
        <v>1070.7416237989592</v>
      </c>
      <c r="E55" s="6">
        <f>_xlfn.XLOOKUP(D55,'Native PMKS'!$C$6:$C$366,'Native PMKS'!$C$6:$C$366,,-1)</f>
        <v>1066.6666666666667</v>
      </c>
      <c r="F55" s="6">
        <f>_xlfn.XLOOKUP(D55,'Native PMKS'!$C$6:$C$366,'Native PMKS'!$C$6:$C$366,,1)</f>
        <v>1075</v>
      </c>
      <c r="G55" s="6">
        <f>_xlfn.XLOOKUP(D55,'Native PMKS'!$C$6:$C$366,'Native PMKS'!$N$6:$N$366,,-1)</f>
        <v>3.7814999999999999</v>
      </c>
      <c r="H55" s="6">
        <f>_xlfn.XLOOKUP(D55,'Native PMKS'!$C$6:$C$366,'Native PMKS'!$N$6:$N$366,,1)</f>
        <v>4.1825999999999999</v>
      </c>
      <c r="I55" s="6">
        <f t="shared" si="15"/>
        <v>3.9776358366914977</v>
      </c>
      <c r="J55" s="6">
        <f>INDEX('Raw Data'!$F$6:$F$1371,MATCH(A55,'Raw Data'!$A$6:$A$1371,0))</f>
        <v>3.75</v>
      </c>
      <c r="K55" s="6">
        <f t="shared" si="16"/>
        <v>6.5449846949787352E-2</v>
      </c>
      <c r="L55" s="6">
        <f t="shared" si="17"/>
        <v>6.942284179558611E-2</v>
      </c>
      <c r="M55" s="6">
        <f t="shared" si="18"/>
        <v>-3.9729948457987579E-3</v>
      </c>
      <c r="N55" s="6">
        <f t="shared" si="19"/>
        <v>1.5784688044743498E-5</v>
      </c>
      <c r="O55" s="6">
        <f>_xlfn.XLOOKUP(D55,'Instructor 360'!$B$6:$B$365,'Instructor 360'!$B$6:$B$365,,-1)</f>
        <v>1069.6378830083565</v>
      </c>
      <c r="P55" s="6">
        <f>_xlfn.XLOOKUP(D55,'Instructor 360'!$B$6:$B$365,'Instructor 360'!$B$6:$B$365,,1)</f>
        <v>1077.9944289693594</v>
      </c>
      <c r="Q55" s="6">
        <f>_xlfn.XLOOKUP(D55,'Instructor 360'!$B$6:$B$365,'Instructor 360'!$F$6:$F$365,,-1)</f>
        <v>3.9245105849582145</v>
      </c>
      <c r="R55" s="6">
        <f>_xlfn.XLOOKUP(D55,'Instructor 360'!$B$6:$B$365,'Instructor 360'!$F$6:$F$365,,1)</f>
        <v>4.3473175487465205</v>
      </c>
      <c r="S55" s="6">
        <f t="shared" si="20"/>
        <v>3.9803553436254617</v>
      </c>
      <c r="T55" s="6">
        <f t="shared" si="21"/>
        <v>6.9470306145614599E-2</v>
      </c>
      <c r="U55" s="6">
        <f t="shared" si="22"/>
        <v>-4.0204591958272473E-3</v>
      </c>
      <c r="V55" s="6"/>
      <c r="W55" s="6">
        <f t="shared" si="23"/>
        <v>1.6164092145311875E-5</v>
      </c>
      <c r="AA55">
        <f t="shared" si="24"/>
        <v>1076</v>
      </c>
      <c r="AB55">
        <f t="shared" si="25"/>
        <v>6.5449846949787352E-2</v>
      </c>
      <c r="AC55">
        <f t="shared" si="26"/>
        <v>6.9470306145614599E-2</v>
      </c>
    </row>
    <row r="56" spans="1:29" ht="18.95" customHeight="1">
      <c r="A56" s="4">
        <f t="shared" si="27"/>
        <v>744</v>
      </c>
      <c r="B56" s="6">
        <f>INDEX('Raw Data'!$B$6:$B$1371,MATCH(A56,'Raw Data'!$A$6:$A$1371,0))</f>
        <v>15972</v>
      </c>
      <c r="C56" s="6">
        <f t="shared" si="14"/>
        <v>1097</v>
      </c>
      <c r="D56" s="6">
        <f>MOD(C56+Summary!$B$20,Summary!$B$11)</f>
        <v>1091.7416237989592</v>
      </c>
      <c r="E56" s="6">
        <f>_xlfn.XLOOKUP(D56,'Native PMKS'!$C$6:$C$366,'Native PMKS'!$C$6:$C$366,,-1)</f>
        <v>1091.6666666666667</v>
      </c>
      <c r="F56" s="6">
        <f>_xlfn.XLOOKUP(D56,'Native PMKS'!$C$6:$C$366,'Native PMKS'!$C$6:$C$366,,1)</f>
        <v>1100</v>
      </c>
      <c r="G56" s="6">
        <f>_xlfn.XLOOKUP(D56,'Native PMKS'!$C$6:$C$366,'Native PMKS'!$N$6:$N$366,,-1)</f>
        <v>5.0419999999999998</v>
      </c>
      <c r="H56" s="6">
        <f>_xlfn.XLOOKUP(D56,'Native PMKS'!$C$6:$C$366,'Native PMKS'!$N$6:$N$366,,1)</f>
        <v>5.5004</v>
      </c>
      <c r="I56" s="6">
        <f t="shared" si="15"/>
        <v>5.0461232419331381</v>
      </c>
      <c r="J56" s="6">
        <f>INDEX('Raw Data'!$F$6:$F$1371,MATCH(A56,'Raw Data'!$A$6:$A$1371,0))</f>
        <v>4.875</v>
      </c>
      <c r="K56" s="6">
        <f t="shared" si="16"/>
        <v>8.5084801034723559E-2</v>
      </c>
      <c r="L56" s="6">
        <f t="shared" si="17"/>
        <v>8.8071465033143656E-2</v>
      </c>
      <c r="M56" s="6">
        <f t="shared" si="18"/>
        <v>-2.9866639984200971E-3</v>
      </c>
      <c r="N56" s="6">
        <f t="shared" si="19"/>
        <v>8.9201618394587225E-6</v>
      </c>
      <c r="O56" s="6">
        <f>_xlfn.XLOOKUP(D56,'Instructor 360'!$B$6:$B$365,'Instructor 360'!$B$6:$B$365,,-1)</f>
        <v>1086.3509749303621</v>
      </c>
      <c r="P56" s="6">
        <f>_xlfn.XLOOKUP(D56,'Instructor 360'!$B$6:$B$365,'Instructor 360'!$B$6:$B$365,,1)</f>
        <v>1094.707520891365</v>
      </c>
      <c r="Q56" s="6">
        <f>_xlfn.XLOOKUP(D56,'Instructor 360'!$B$6:$B$365,'Instructor 360'!$F$6:$F$365,,-1)</f>
        <v>4.786208913649018</v>
      </c>
      <c r="R56" s="6">
        <f>_xlfn.XLOOKUP(D56,'Instructor 360'!$B$6:$B$365,'Instructor 360'!$F$6:$F$365,,1)</f>
        <v>5.2092713091922027</v>
      </c>
      <c r="S56" s="6">
        <f t="shared" si="20"/>
        <v>5.0591184189067633</v>
      </c>
      <c r="T56" s="6">
        <f t="shared" si="21"/>
        <v>8.8298273658212759E-2</v>
      </c>
      <c r="U56" s="6">
        <f t="shared" si="22"/>
        <v>-3.2134726234891997E-3</v>
      </c>
      <c r="V56" s="6"/>
      <c r="W56" s="6">
        <f t="shared" si="23"/>
        <v>1.032640630191456E-5</v>
      </c>
      <c r="AA56">
        <f t="shared" si="24"/>
        <v>1097</v>
      </c>
      <c r="AB56">
        <f t="shared" si="25"/>
        <v>8.5084801034723559E-2</v>
      </c>
      <c r="AC56">
        <f t="shared" si="26"/>
        <v>8.8298273658212759E-2</v>
      </c>
    </row>
    <row r="57" spans="1:29" ht="18.95" customHeight="1">
      <c r="A57" s="4">
        <f t="shared" si="27"/>
        <v>745</v>
      </c>
      <c r="B57" s="6">
        <f>INDEX('Raw Data'!$B$6:$B$1371,MATCH(A57,'Raw Data'!$A$6:$A$1371,0))</f>
        <v>15992</v>
      </c>
      <c r="C57" s="6">
        <f t="shared" si="14"/>
        <v>1117</v>
      </c>
      <c r="D57" s="6">
        <f>MOD(C57+Summary!$B$20,Summary!$B$11)</f>
        <v>1111.7416237989592</v>
      </c>
      <c r="E57" s="6">
        <f>_xlfn.XLOOKUP(D57,'Native PMKS'!$C$6:$C$366,'Native PMKS'!$C$6:$C$366,,-1)</f>
        <v>1108.3333333333335</v>
      </c>
      <c r="F57" s="6">
        <f>_xlfn.XLOOKUP(D57,'Native PMKS'!$C$6:$C$366,'Native PMKS'!$C$6:$C$366,,1)</f>
        <v>1116.6666666666667</v>
      </c>
      <c r="G57" s="6">
        <f>_xlfn.XLOOKUP(D57,'Native PMKS'!$C$6:$C$366,'Native PMKS'!$N$6:$N$366,,-1)</f>
        <v>5.9015000000000004</v>
      </c>
      <c r="H57" s="6">
        <f>_xlfn.XLOOKUP(D57,'Native PMKS'!$C$6:$C$366,'Native PMKS'!$N$6:$N$366,,1)</f>
        <v>6.3597999999999999</v>
      </c>
      <c r="I57" s="6">
        <f t="shared" si="15"/>
        <v>6.0889423424475595</v>
      </c>
      <c r="J57" s="6">
        <f>INDEX('Raw Data'!$F$6:$F$1371,MATCH(A57,'Raw Data'!$A$6:$A$1371,0))</f>
        <v>5.8125</v>
      </c>
      <c r="K57" s="6">
        <f t="shared" si="16"/>
        <v>0.10144726277217039</v>
      </c>
      <c r="L57" s="6">
        <f t="shared" si="17"/>
        <v>0.106272091839806</v>
      </c>
      <c r="M57" s="6">
        <f t="shared" si="18"/>
        <v>-4.8248290676356081E-3</v>
      </c>
      <c r="N57" s="6">
        <f t="shared" si="19"/>
        <v>2.3278975531901492E-5</v>
      </c>
      <c r="O57" s="6">
        <f>_xlfn.XLOOKUP(D57,'Instructor 360'!$B$6:$B$365,'Instructor 360'!$B$6:$B$365,,-1)</f>
        <v>1111.4206128133706</v>
      </c>
      <c r="P57" s="6">
        <f>_xlfn.XLOOKUP(D57,'Instructor 360'!$B$6:$B$365,'Instructor 360'!$B$6:$B$365,,1)</f>
        <v>1119.7771587743732</v>
      </c>
      <c r="Q57" s="6">
        <f>_xlfn.XLOOKUP(D57,'Instructor 360'!$B$6:$B$365,'Instructor 360'!$F$6:$F$365,,-1)</f>
        <v>6.0712880222841203</v>
      </c>
      <c r="R57" s="6">
        <f>_xlfn.XLOOKUP(D57,'Instructor 360'!$B$6:$B$365,'Instructor 360'!$F$6:$F$365,,1)</f>
        <v>6.530901949860719</v>
      </c>
      <c r="S57" s="6">
        <f t="shared" si="20"/>
        <v>6.0889437762966239</v>
      </c>
      <c r="T57" s="6">
        <f t="shared" si="21"/>
        <v>0.10627211686519315</v>
      </c>
      <c r="U57" s="6">
        <f t="shared" si="22"/>
        <v>-4.8248540930227596E-3</v>
      </c>
      <c r="V57" s="6"/>
      <c r="W57" s="6">
        <f t="shared" si="23"/>
        <v>2.3279217018958477E-5</v>
      </c>
      <c r="AA57">
        <f t="shared" si="24"/>
        <v>1117</v>
      </c>
      <c r="AB57">
        <f t="shared" si="25"/>
        <v>0.10144726277217039</v>
      </c>
      <c r="AC57">
        <f t="shared" si="26"/>
        <v>0.10627211686519315</v>
      </c>
    </row>
    <row r="58" spans="1:29" ht="18.95" customHeight="1">
      <c r="A58" s="4">
        <f t="shared" si="27"/>
        <v>746</v>
      </c>
      <c r="B58" s="6">
        <f>INDEX('Raw Data'!$B$6:$B$1371,MATCH(A58,'Raw Data'!$A$6:$A$1371,0))</f>
        <v>16013</v>
      </c>
      <c r="C58" s="6">
        <f t="shared" si="14"/>
        <v>1138</v>
      </c>
      <c r="D58" s="6">
        <f>MOD(C58+Summary!$B$20,Summary!$B$11)</f>
        <v>1132.7416237989592</v>
      </c>
      <c r="E58" s="6">
        <f>_xlfn.XLOOKUP(D58,'Native PMKS'!$C$6:$C$366,'Native PMKS'!$C$6:$C$366,,-1)</f>
        <v>1125</v>
      </c>
      <c r="F58" s="6">
        <f>_xlfn.XLOOKUP(D58,'Native PMKS'!$C$6:$C$366,'Native PMKS'!$C$6:$C$366,,1)</f>
        <v>1133.3333333333335</v>
      </c>
      <c r="G58" s="6">
        <f>_xlfn.XLOOKUP(D58,'Native PMKS'!$C$6:$C$366,'Native PMKS'!$N$6:$N$366,,-1)</f>
        <v>6.8182</v>
      </c>
      <c r="H58" s="6">
        <f>_xlfn.XLOOKUP(D58,'Native PMKS'!$C$6:$C$366,'Native PMKS'!$N$6:$N$366,,1)</f>
        <v>7.2766000000000002</v>
      </c>
      <c r="I58" s="6">
        <f t="shared" si="15"/>
        <v>7.2440512419331355</v>
      </c>
      <c r="J58" s="6">
        <f>INDEX('Raw Data'!$F$6:$F$1371,MATCH(A58,'Raw Data'!$A$6:$A$1371,0))</f>
        <v>6.75</v>
      </c>
      <c r="K58" s="6">
        <f t="shared" si="16"/>
        <v>0.11780972450961724</v>
      </c>
      <c r="L58" s="6">
        <f t="shared" si="17"/>
        <v>0.12643254535491755</v>
      </c>
      <c r="M58" s="6">
        <f t="shared" si="18"/>
        <v>-8.6228208453003052E-3</v>
      </c>
      <c r="N58" s="6">
        <f t="shared" si="19"/>
        <v>7.4353039330145475E-5</v>
      </c>
      <c r="O58" s="6">
        <f>_xlfn.XLOOKUP(D58,'Instructor 360'!$B$6:$B$365,'Instructor 360'!$B$6:$B$365,,-1)</f>
        <v>1128.1337047353761</v>
      </c>
      <c r="P58" s="6">
        <f>_xlfn.XLOOKUP(D58,'Instructor 360'!$B$6:$B$365,'Instructor 360'!$B$6:$B$365,,1)</f>
        <v>1136.4902506963788</v>
      </c>
      <c r="Q58" s="6">
        <f>_xlfn.XLOOKUP(D58,'Instructor 360'!$B$6:$B$365,'Instructor 360'!$F$6:$F$365,,-1)</f>
        <v>6.9905788300835665</v>
      </c>
      <c r="R58" s="6">
        <f>_xlfn.XLOOKUP(D58,'Instructor 360'!$B$6:$B$365,'Instructor 360'!$F$6:$F$365,,1)</f>
        <v>7.4285108635097412</v>
      </c>
      <c r="S58" s="6">
        <f t="shared" si="20"/>
        <v>7.2320608221404896</v>
      </c>
      <c r="T58" s="6">
        <f t="shared" si="21"/>
        <v>0.12622327305083955</v>
      </c>
      <c r="U58" s="6">
        <f t="shared" si="22"/>
        <v>-8.4135485412223099E-3</v>
      </c>
      <c r="V58" s="6"/>
      <c r="W58" s="6">
        <f t="shared" si="23"/>
        <v>7.0787799055504054E-5</v>
      </c>
      <c r="AA58">
        <f t="shared" si="24"/>
        <v>1138</v>
      </c>
      <c r="AB58">
        <f t="shared" si="25"/>
        <v>0.11780972450961724</v>
      </c>
      <c r="AC58">
        <f t="shared" si="26"/>
        <v>0.12622327305083955</v>
      </c>
    </row>
    <row r="59" spans="1:29" ht="18.95" customHeight="1">
      <c r="A59" s="4">
        <f t="shared" si="27"/>
        <v>747</v>
      </c>
      <c r="B59" s="6">
        <f>INDEX('Raw Data'!$B$6:$B$1371,MATCH(A59,'Raw Data'!$A$6:$A$1371,0))</f>
        <v>16034</v>
      </c>
      <c r="C59" s="6">
        <f t="shared" si="14"/>
        <v>1159</v>
      </c>
      <c r="D59" s="6">
        <f>MOD(C59+Summary!$B$20,Summary!$B$11)</f>
        <v>1153.7416237989592</v>
      </c>
      <c r="E59" s="6">
        <f>_xlfn.XLOOKUP(D59,'Native PMKS'!$C$6:$C$366,'Native PMKS'!$C$6:$C$366,,-1)</f>
        <v>1150</v>
      </c>
      <c r="F59" s="6">
        <f>_xlfn.XLOOKUP(D59,'Native PMKS'!$C$6:$C$366,'Native PMKS'!$C$6:$C$366,,1)</f>
        <v>1158.3333333333335</v>
      </c>
      <c r="G59" s="6">
        <f>_xlfn.XLOOKUP(D59,'Native PMKS'!$C$6:$C$366,'Native PMKS'!$N$6:$N$366,,-1)</f>
        <v>8.1359999999999992</v>
      </c>
      <c r="H59" s="6">
        <f>_xlfn.XLOOKUP(D59,'Native PMKS'!$C$6:$C$366,'Native PMKS'!$N$6:$N$366,,1)</f>
        <v>8.5944000000000003</v>
      </c>
      <c r="I59" s="6">
        <f t="shared" si="15"/>
        <v>8.3418192419331447</v>
      </c>
      <c r="J59" s="6">
        <f>INDEX('Raw Data'!$F$6:$F$1371,MATCH(A59,'Raw Data'!$A$6:$A$1371,0))</f>
        <v>8.5625</v>
      </c>
      <c r="K59" s="6">
        <f t="shared" si="16"/>
        <v>0.14944381720201447</v>
      </c>
      <c r="L59" s="6">
        <f t="shared" si="17"/>
        <v>0.14559221137795081</v>
      </c>
      <c r="M59" s="6">
        <f t="shared" si="18"/>
        <v>3.8516058240636586E-3</v>
      </c>
      <c r="N59" s="6">
        <f t="shared" si="19"/>
        <v>1.4834867423961095E-5</v>
      </c>
      <c r="O59" s="6">
        <f>_xlfn.XLOOKUP(D59,'Instructor 360'!$B$6:$B$365,'Instructor 360'!$B$6:$B$365,,-1)</f>
        <v>1153.2033426183843</v>
      </c>
      <c r="P59" s="6">
        <f>_xlfn.XLOOKUP(D59,'Instructor 360'!$B$6:$B$365,'Instructor 360'!$B$6:$B$365,,1)</f>
        <v>1161.5598885793872</v>
      </c>
      <c r="Q59" s="6">
        <f>_xlfn.XLOOKUP(D59,'Instructor 360'!$B$6:$B$365,'Instructor 360'!$F$6:$F$365,,-1)</f>
        <v>8.3122094707520819</v>
      </c>
      <c r="R59" s="6">
        <f>_xlfn.XLOOKUP(D59,'Instructor 360'!$B$6:$B$365,'Instructor 360'!$F$6:$F$365,,1)</f>
        <v>8.7718476323119745</v>
      </c>
      <c r="S59" s="6">
        <f t="shared" si="20"/>
        <v>8.3418167478970133</v>
      </c>
      <c r="T59" s="6">
        <f t="shared" si="21"/>
        <v>0.14559216784880866</v>
      </c>
      <c r="U59" s="6">
        <f t="shared" si="22"/>
        <v>3.8516493532058105E-3</v>
      </c>
      <c r="V59" s="6"/>
      <c r="W59" s="6">
        <f t="shared" si="23"/>
        <v>1.4835202740050738E-5</v>
      </c>
      <c r="AA59">
        <f t="shared" si="24"/>
        <v>1159</v>
      </c>
      <c r="AB59">
        <f t="shared" si="25"/>
        <v>0.14944381720201447</v>
      </c>
      <c r="AC59">
        <f t="shared" si="26"/>
        <v>0.14559216784880866</v>
      </c>
    </row>
    <row r="60" spans="1:29" ht="18.95" customHeight="1">
      <c r="A60" s="4">
        <f t="shared" si="27"/>
        <v>748</v>
      </c>
      <c r="B60" s="6">
        <f>INDEX('Raw Data'!$B$6:$B$1371,MATCH(A60,'Raw Data'!$A$6:$A$1371,0))</f>
        <v>16056</v>
      </c>
      <c r="C60" s="6">
        <f t="shared" si="14"/>
        <v>1181</v>
      </c>
      <c r="D60" s="6">
        <f>MOD(C60+Summary!$B$20,Summary!$B$11)</f>
        <v>1175.7416237989592</v>
      </c>
      <c r="E60" s="6">
        <f>_xlfn.XLOOKUP(D60,'Native PMKS'!$C$6:$C$366,'Native PMKS'!$C$6:$C$366,,-1)</f>
        <v>1175</v>
      </c>
      <c r="F60" s="6">
        <f>_xlfn.XLOOKUP(D60,'Native PMKS'!$C$6:$C$366,'Native PMKS'!$C$6:$C$366,,1)</f>
        <v>1183.3333333333335</v>
      </c>
      <c r="G60" s="6">
        <f>_xlfn.XLOOKUP(D60,'Native PMKS'!$C$6:$C$366,'Native PMKS'!$N$6:$N$366,,-1)</f>
        <v>9.5111000000000008</v>
      </c>
      <c r="H60" s="6">
        <f>_xlfn.XLOOKUP(D60,'Native PMKS'!$C$6:$C$366,'Native PMKS'!$N$6:$N$366,,1)</f>
        <v>10.0268</v>
      </c>
      <c r="I60" s="6">
        <f t="shared" si="15"/>
        <v>9.5569946471747897</v>
      </c>
      <c r="J60" s="6">
        <f>INDEX('Raw Data'!$F$6:$F$1371,MATCH(A60,'Raw Data'!$A$6:$A$1371,0))</f>
        <v>9.875</v>
      </c>
      <c r="K60" s="6">
        <f t="shared" si="16"/>
        <v>0.17235126363444003</v>
      </c>
      <c r="L60" s="6">
        <f t="shared" si="17"/>
        <v>0.16680102318867387</v>
      </c>
      <c r="M60" s="6">
        <f t="shared" si="18"/>
        <v>5.550240445766158E-3</v>
      </c>
      <c r="N60" s="6">
        <f t="shared" si="19"/>
        <v>3.0805169005818523E-5</v>
      </c>
      <c r="O60" s="6">
        <f>_xlfn.XLOOKUP(D60,'Instructor 360'!$B$6:$B$365,'Instructor 360'!$B$6:$B$365,,-1)</f>
        <v>1169.9164345403899</v>
      </c>
      <c r="P60" s="6">
        <f>_xlfn.XLOOKUP(D60,'Instructor 360'!$B$6:$B$365,'Instructor 360'!$B$6:$B$365,,1)</f>
        <v>1178.2729805013928</v>
      </c>
      <c r="Q60" s="6">
        <f>_xlfn.XLOOKUP(D60,'Instructor 360'!$B$6:$B$365,'Instructor 360'!$F$6:$F$365,,-1)</f>
        <v>9.2314632311977647</v>
      </c>
      <c r="R60" s="6">
        <f>_xlfn.XLOOKUP(D60,'Instructor 360'!$B$6:$B$365,'Instructor 360'!$F$6:$F$365,,1)</f>
        <v>9.7136451253481884</v>
      </c>
      <c r="S60" s="6">
        <f t="shared" si="20"/>
        <v>9.5675830591253828</v>
      </c>
      <c r="T60" s="6">
        <f t="shared" si="21"/>
        <v>0.16698582583976923</v>
      </c>
      <c r="U60" s="6">
        <f t="shared" si="22"/>
        <v>5.3654377946708021E-3</v>
      </c>
      <c r="V60" s="6"/>
      <c r="W60" s="6">
        <f t="shared" si="23"/>
        <v>2.878792272848188E-5</v>
      </c>
      <c r="AA60">
        <f t="shared" si="24"/>
        <v>1181</v>
      </c>
      <c r="AB60">
        <f t="shared" si="25"/>
        <v>0.17235126363444003</v>
      </c>
      <c r="AC60">
        <f t="shared" si="26"/>
        <v>0.16698582583976923</v>
      </c>
    </row>
    <row r="61" spans="1:29" ht="18.95" customHeight="1">
      <c r="A61" s="4">
        <f t="shared" si="27"/>
        <v>749</v>
      </c>
      <c r="B61" s="6">
        <f>INDEX('Raw Data'!$B$6:$B$1371,MATCH(A61,'Raw Data'!$A$6:$A$1371,0))</f>
        <v>16077</v>
      </c>
      <c r="C61" s="6">
        <f t="shared" si="14"/>
        <v>1202</v>
      </c>
      <c r="D61" s="6">
        <f>MOD(C61+Summary!$B$20,Summary!$B$11)</f>
        <v>1196.7416237989592</v>
      </c>
      <c r="E61" s="6">
        <f>_xlfn.XLOOKUP(D61,'Native PMKS'!$C$6:$C$366,'Native PMKS'!$C$6:$C$366,,-1)</f>
        <v>1191.6666666666667</v>
      </c>
      <c r="F61" s="6">
        <f>_xlfn.XLOOKUP(D61,'Native PMKS'!$C$6:$C$366,'Native PMKS'!$C$6:$C$366,,1)</f>
        <v>1200</v>
      </c>
      <c r="G61" s="6">
        <f>_xlfn.XLOOKUP(D61,'Native PMKS'!$C$6:$C$366,'Native PMKS'!$N$6:$N$366,,-1)</f>
        <v>10.485099999999999</v>
      </c>
      <c r="H61" s="6">
        <f>_xlfn.XLOOKUP(D61,'Native PMKS'!$C$6:$C$366,'Native PMKS'!$N$6:$N$366,,1)</f>
        <v>10.9435</v>
      </c>
      <c r="I61" s="6">
        <f t="shared" si="15"/>
        <v>10.764263241933143</v>
      </c>
      <c r="J61" s="6">
        <f>INDEX('Raw Data'!$F$6:$F$1371,MATCH(A61,'Raw Data'!$A$6:$A$1371,0))</f>
        <v>11.125</v>
      </c>
      <c r="K61" s="6">
        <f t="shared" si="16"/>
        <v>0.19416787928436918</v>
      </c>
      <c r="L61" s="6">
        <f t="shared" si="17"/>
        <v>0.1878718351231323</v>
      </c>
      <c r="M61" s="6">
        <f t="shared" si="18"/>
        <v>6.2960441612368856E-3</v>
      </c>
      <c r="N61" s="6">
        <f t="shared" si="19"/>
        <v>3.964017208024508E-5</v>
      </c>
      <c r="O61" s="6">
        <f>_xlfn.XLOOKUP(D61,'Instructor 360'!$B$6:$B$365,'Instructor 360'!$B$6:$B$365,,-1)</f>
        <v>1194.9860724233984</v>
      </c>
      <c r="P61" s="6">
        <f>_xlfn.XLOOKUP(D61,'Instructor 360'!$B$6:$B$365,'Instructor 360'!$B$6:$B$365,,1)</f>
        <v>1203.342618384401</v>
      </c>
      <c r="Q61" s="6">
        <f>_xlfn.XLOOKUP(D61,'Instructor 360'!$B$6:$B$365,'Instructor 360'!$F$6:$F$365,,-1)</f>
        <v>10.667693871866295</v>
      </c>
      <c r="R61" s="6">
        <f>_xlfn.XLOOKUP(D61,'Instructor 360'!$B$6:$B$365,'Instructor 360'!$F$6:$F$365,,1)</f>
        <v>11.127370752089128</v>
      </c>
      <c r="S61" s="6">
        <f t="shared" si="20"/>
        <v>10.764263241933136</v>
      </c>
      <c r="T61" s="6">
        <f t="shared" si="21"/>
        <v>0.18787183512313219</v>
      </c>
      <c r="U61" s="6">
        <f t="shared" si="22"/>
        <v>6.2960441612369966E-3</v>
      </c>
      <c r="V61" s="6"/>
      <c r="W61" s="6">
        <f t="shared" si="23"/>
        <v>3.9640172080246475E-5</v>
      </c>
      <c r="AA61">
        <f t="shared" si="24"/>
        <v>1202</v>
      </c>
      <c r="AB61">
        <f t="shared" si="25"/>
        <v>0.19416787928436918</v>
      </c>
      <c r="AC61">
        <f t="shared" si="26"/>
        <v>0.18787183512313219</v>
      </c>
    </row>
    <row r="62" spans="1:29" ht="18.95" customHeight="1">
      <c r="A62" s="4">
        <f t="shared" si="27"/>
        <v>750</v>
      </c>
      <c r="B62" s="6">
        <f>INDEX('Raw Data'!$B$6:$B$1371,MATCH(A62,'Raw Data'!$A$6:$A$1371,0))</f>
        <v>16098</v>
      </c>
      <c r="C62" s="6">
        <f t="shared" si="14"/>
        <v>1223</v>
      </c>
      <c r="D62" s="6">
        <f>MOD(C62+Summary!$B$20,Summary!$B$11)</f>
        <v>1217.7416237989592</v>
      </c>
      <c r="E62" s="6">
        <f>_xlfn.XLOOKUP(D62,'Native PMKS'!$C$6:$C$366,'Native PMKS'!$C$6:$C$366,,-1)</f>
        <v>1216.6666666666667</v>
      </c>
      <c r="F62" s="6">
        <f>_xlfn.XLOOKUP(D62,'Native PMKS'!$C$6:$C$366,'Native PMKS'!$C$6:$C$366,,1)</f>
        <v>1225</v>
      </c>
      <c r="G62" s="6">
        <f>_xlfn.XLOOKUP(D62,'Native PMKS'!$C$6:$C$366,'Native PMKS'!$N$6:$N$366,,-1)</f>
        <v>11.9175</v>
      </c>
      <c r="H62" s="6">
        <f>_xlfn.XLOOKUP(D62,'Native PMKS'!$C$6:$C$366,'Native PMKS'!$N$6:$N$366,,1)</f>
        <v>12.3759</v>
      </c>
      <c r="I62" s="6">
        <f t="shared" si="15"/>
        <v>11.976631241933134</v>
      </c>
      <c r="J62" s="6">
        <f>INDEX('Raw Data'!$F$6:$F$1371,MATCH(A62,'Raw Data'!$A$6:$A$1371,0))</f>
        <v>12.375</v>
      </c>
      <c r="K62" s="6">
        <f t="shared" si="16"/>
        <v>0.2159844949342983</v>
      </c>
      <c r="L62" s="6">
        <f t="shared" si="17"/>
        <v>0.20903164846895075</v>
      </c>
      <c r="M62" s="6">
        <f t="shared" si="18"/>
        <v>6.9528464653475508E-3</v>
      </c>
      <c r="N62" s="6">
        <f t="shared" si="19"/>
        <v>4.8342073970695928E-5</v>
      </c>
      <c r="O62" s="6">
        <f>_xlfn.XLOOKUP(D62,'Instructor 360'!$B$6:$B$365,'Instructor 360'!$B$6:$B$365,,-1)</f>
        <v>1211.6991643454039</v>
      </c>
      <c r="P62" s="6">
        <f>_xlfn.XLOOKUP(D62,'Instructor 360'!$B$6:$B$365,'Instructor 360'!$B$6:$B$365,,1)</f>
        <v>1220.0557103064066</v>
      </c>
      <c r="Q62" s="6">
        <f>_xlfn.XLOOKUP(D62,'Instructor 360'!$B$6:$B$365,'Instructor 360'!$F$6:$F$365,,-1)</f>
        <v>11.610150696378824</v>
      </c>
      <c r="R62" s="6">
        <f>_xlfn.XLOOKUP(D62,'Instructor 360'!$B$6:$B$365,'Instructor 360'!$F$6:$F$365,,1)</f>
        <v>12.10392451253481</v>
      </c>
      <c r="S62" s="6">
        <f t="shared" si="20"/>
        <v>11.967189151893024</v>
      </c>
      <c r="T62" s="6">
        <f t="shared" si="21"/>
        <v>0.20886685290948104</v>
      </c>
      <c r="U62" s="6">
        <f t="shared" si="22"/>
        <v>7.1176420248172667E-3</v>
      </c>
      <c r="V62" s="6"/>
      <c r="W62" s="6">
        <f t="shared" si="23"/>
        <v>5.0660827993444844E-5</v>
      </c>
      <c r="AA62">
        <f t="shared" si="24"/>
        <v>1223</v>
      </c>
      <c r="AB62">
        <f t="shared" si="25"/>
        <v>0.2159844949342983</v>
      </c>
      <c r="AC62">
        <f t="shared" si="26"/>
        <v>0.20886685290948104</v>
      </c>
    </row>
    <row r="63" spans="1:29" ht="18.95" customHeight="1">
      <c r="A63" s="4">
        <f t="shared" si="27"/>
        <v>751</v>
      </c>
      <c r="B63" s="6">
        <f>INDEX('Raw Data'!$B$6:$B$1371,MATCH(A63,'Raw Data'!$A$6:$A$1371,0))</f>
        <v>16118</v>
      </c>
      <c r="C63" s="6">
        <f t="shared" si="14"/>
        <v>1243</v>
      </c>
      <c r="D63" s="6">
        <f>MOD(C63+Summary!$B$20,Summary!$B$11)</f>
        <v>1237.7416237989592</v>
      </c>
      <c r="E63" s="6">
        <f>_xlfn.XLOOKUP(D63,'Native PMKS'!$C$6:$C$366,'Native PMKS'!$C$6:$C$366,,-1)</f>
        <v>1233.3333333333335</v>
      </c>
      <c r="F63" s="6">
        <f>_xlfn.XLOOKUP(D63,'Native PMKS'!$C$6:$C$366,'Native PMKS'!$C$6:$C$366,,1)</f>
        <v>1241.6666666666667</v>
      </c>
      <c r="G63" s="6">
        <f>_xlfn.XLOOKUP(D63,'Native PMKS'!$C$6:$C$366,'Native PMKS'!$N$6:$N$366,,-1)</f>
        <v>12.8916</v>
      </c>
      <c r="H63" s="6">
        <f>_xlfn.XLOOKUP(D63,'Native PMKS'!$C$6:$C$366,'Native PMKS'!$N$6:$N$366,,1)</f>
        <v>13.4072</v>
      </c>
      <c r="I63" s="6">
        <f t="shared" si="15"/>
        <v>13.164349747689201</v>
      </c>
      <c r="J63" s="6">
        <f>INDEX('Raw Data'!$F$6:$F$1371,MATCH(A63,'Raw Data'!$A$6:$A$1371,0))</f>
        <v>13.375</v>
      </c>
      <c r="K63" s="6">
        <f t="shared" si="16"/>
        <v>0.23343778745424157</v>
      </c>
      <c r="L63" s="6">
        <f t="shared" si="17"/>
        <v>0.22976124698126132</v>
      </c>
      <c r="M63" s="6">
        <f t="shared" si="18"/>
        <v>3.6765404729802442E-3</v>
      </c>
      <c r="N63" s="6">
        <f t="shared" si="19"/>
        <v>1.3516949849461797E-5</v>
      </c>
      <c r="O63" s="6">
        <f>_xlfn.XLOOKUP(D63,'Instructor 360'!$B$6:$B$365,'Instructor 360'!$B$6:$B$365,,-1)</f>
        <v>1236.7688022284121</v>
      </c>
      <c r="P63" s="6">
        <f>_xlfn.XLOOKUP(D63,'Instructor 360'!$B$6:$B$365,'Instructor 360'!$B$6:$B$365,,1)</f>
        <v>1245.125348189415</v>
      </c>
      <c r="Q63" s="6">
        <f>_xlfn.XLOOKUP(D63,'Instructor 360'!$B$6:$B$365,'Instructor 360'!$F$6:$F$365,,-1)</f>
        <v>13.104159331476309</v>
      </c>
      <c r="R63" s="6">
        <f>_xlfn.XLOOKUP(D63,'Instructor 360'!$B$6:$B$365,'Instructor 360'!$F$6:$F$365,,1)</f>
        <v>13.59745515320334</v>
      </c>
      <c r="S63" s="6">
        <f t="shared" si="20"/>
        <v>13.161586026462047</v>
      </c>
      <c r="T63" s="6">
        <f t="shared" si="21"/>
        <v>0.22971301094624022</v>
      </c>
      <c r="U63" s="6">
        <f t="shared" si="22"/>
        <v>3.7247765080013484E-3</v>
      </c>
      <c r="V63" s="6"/>
      <c r="W63" s="6">
        <f t="shared" si="23"/>
        <v>1.3873960034558719E-5</v>
      </c>
      <c r="AA63">
        <f t="shared" si="24"/>
        <v>1243</v>
      </c>
      <c r="AB63">
        <f t="shared" si="25"/>
        <v>0.23343778745424157</v>
      </c>
      <c r="AC63">
        <f t="shared" si="26"/>
        <v>0.22971301094624022</v>
      </c>
    </row>
    <row r="64" spans="1:29" ht="18.95" customHeight="1">
      <c r="A64" s="4">
        <f t="shared" si="27"/>
        <v>752</v>
      </c>
      <c r="B64" s="6">
        <f>INDEX('Raw Data'!$B$6:$B$1371,MATCH(A64,'Raw Data'!$A$6:$A$1371,0))</f>
        <v>16138</v>
      </c>
      <c r="C64" s="6">
        <f t="shared" si="14"/>
        <v>1263</v>
      </c>
      <c r="D64" s="6">
        <f>MOD(C64+Summary!$B$20,Summary!$B$11)</f>
        <v>1257.7416237989592</v>
      </c>
      <c r="E64" s="6">
        <f>_xlfn.XLOOKUP(D64,'Native PMKS'!$C$6:$C$366,'Native PMKS'!$C$6:$C$366,,-1)</f>
        <v>1250</v>
      </c>
      <c r="F64" s="6">
        <f>_xlfn.XLOOKUP(D64,'Native PMKS'!$C$6:$C$366,'Native PMKS'!$C$6:$C$366,,1)</f>
        <v>1258.3333333333335</v>
      </c>
      <c r="G64" s="6">
        <f>_xlfn.XLOOKUP(D64,'Native PMKS'!$C$6:$C$366,'Native PMKS'!$N$6:$N$366,,-1)</f>
        <v>13.865600000000001</v>
      </c>
      <c r="H64" s="6">
        <f>_xlfn.XLOOKUP(D64,'Native PMKS'!$C$6:$C$366,'Native PMKS'!$N$6:$N$366,,1)</f>
        <v>14.3812</v>
      </c>
      <c r="I64" s="6">
        <f t="shared" si="15"/>
        <v>14.344589747689199</v>
      </c>
      <c r="J64" s="6">
        <f>INDEX('Raw Data'!$F$6:$F$1371,MATCH(A64,'Raw Data'!$A$6:$A$1371,0))</f>
        <v>14.9375</v>
      </c>
      <c r="K64" s="6">
        <f t="shared" si="16"/>
        <v>0.26070855701665296</v>
      </c>
      <c r="L64" s="6">
        <f t="shared" si="17"/>
        <v>0.25036032094499916</v>
      </c>
      <c r="M64" s="6">
        <f t="shared" si="18"/>
        <v>1.0348236071653805E-2</v>
      </c>
      <c r="N64" s="6">
        <f t="shared" si="19"/>
        <v>1.0708598979467696E-4</v>
      </c>
      <c r="O64" s="6">
        <f>_xlfn.XLOOKUP(D64,'Instructor 360'!$B$6:$B$365,'Instructor 360'!$B$6:$B$365,,-1)</f>
        <v>1253.4818941504179</v>
      </c>
      <c r="P64" s="6">
        <f>_xlfn.XLOOKUP(D64,'Instructor 360'!$B$6:$B$365,'Instructor 360'!$B$6:$B$365,,1)</f>
        <v>1261.8384401114206</v>
      </c>
      <c r="Q64" s="6">
        <f>_xlfn.XLOOKUP(D64,'Instructor 360'!$B$6:$B$365,'Instructor 360'!$F$6:$F$365,,-1)</f>
        <v>14.081031754874655</v>
      </c>
      <c r="R64" s="6">
        <f>_xlfn.XLOOKUP(D64,'Instructor 360'!$B$6:$B$365,'Instructor 360'!$F$6:$F$365,,1)</f>
        <v>14.598110027855144</v>
      </c>
      <c r="S64" s="6">
        <f t="shared" si="20"/>
        <v>14.344611188328429</v>
      </c>
      <c r="T64" s="6">
        <f t="shared" si="21"/>
        <v>0.25036069515474746</v>
      </c>
      <c r="U64" s="6">
        <f t="shared" si="22"/>
        <v>1.0347861861905505E-2</v>
      </c>
      <c r="V64" s="6"/>
      <c r="W64" s="6">
        <f t="shared" si="23"/>
        <v>1.0707824511307847E-4</v>
      </c>
      <c r="AA64">
        <f t="shared" si="24"/>
        <v>1263</v>
      </c>
      <c r="AB64">
        <f t="shared" si="25"/>
        <v>0.26070855701665296</v>
      </c>
      <c r="AC64">
        <f t="shared" si="26"/>
        <v>0.25036069515474746</v>
      </c>
    </row>
    <row r="65" spans="1:29" ht="18.95" customHeight="1">
      <c r="A65" s="4">
        <f t="shared" si="27"/>
        <v>753</v>
      </c>
      <c r="B65" s="6">
        <f>INDEX('Raw Data'!$B$6:$B$1371,MATCH(A65,'Raw Data'!$A$6:$A$1371,0))</f>
        <v>16160</v>
      </c>
      <c r="C65" s="6">
        <f t="shared" si="14"/>
        <v>1285</v>
      </c>
      <c r="D65" s="6">
        <f>MOD(C65+Summary!$B$20,Summary!$B$11)</f>
        <v>1279.7416237989592</v>
      </c>
      <c r="E65" s="6">
        <f>_xlfn.XLOOKUP(D65,'Native PMKS'!$C$6:$C$366,'Native PMKS'!$C$6:$C$366,,-1)</f>
        <v>1275</v>
      </c>
      <c r="F65" s="6">
        <f>_xlfn.XLOOKUP(D65,'Native PMKS'!$C$6:$C$366,'Native PMKS'!$C$6:$C$366,,1)</f>
        <v>1283.3333333333335</v>
      </c>
      <c r="G65" s="6">
        <f>_xlfn.XLOOKUP(D65,'Native PMKS'!$C$6:$C$366,'Native PMKS'!$N$6:$N$366,,-1)</f>
        <v>15.412599999999999</v>
      </c>
      <c r="H65" s="6">
        <f>_xlfn.XLOOKUP(D65,'Native PMKS'!$C$6:$C$366,'Native PMKS'!$N$6:$N$366,,1)</f>
        <v>15.9282</v>
      </c>
      <c r="I65" s="6">
        <f t="shared" si="15"/>
        <v>15.7059737476892</v>
      </c>
      <c r="J65" s="6">
        <f>INDEX('Raw Data'!$F$6:$F$1371,MATCH(A65,'Raw Data'!$A$6:$A$1371,0))</f>
        <v>16.25</v>
      </c>
      <c r="K65" s="6">
        <f t="shared" si="16"/>
        <v>0.28361600344907856</v>
      </c>
      <c r="L65" s="6">
        <f t="shared" si="17"/>
        <v>0.2741209541289697</v>
      </c>
      <c r="M65" s="6">
        <f t="shared" si="18"/>
        <v>9.4950493201088615E-3</v>
      </c>
      <c r="N65" s="6">
        <f t="shared" si="19"/>
        <v>9.0155961591299757E-5</v>
      </c>
      <c r="O65" s="6">
        <f>_xlfn.XLOOKUP(D65,'Instructor 360'!$B$6:$B$365,'Instructor 360'!$B$6:$B$365,,-1)</f>
        <v>1278.5515320334262</v>
      </c>
      <c r="P65" s="6">
        <f>_xlfn.XLOOKUP(D65,'Instructor 360'!$B$6:$B$365,'Instructor 360'!$B$6:$B$365,,1)</f>
        <v>1286.908077994429</v>
      </c>
      <c r="Q65" s="6">
        <f>_xlfn.XLOOKUP(D65,'Instructor 360'!$B$6:$B$365,'Instructor 360'!$F$6:$F$365,,-1)</f>
        <v>15.632340389972139</v>
      </c>
      <c r="R65" s="6">
        <f>_xlfn.XLOOKUP(D65,'Instructor 360'!$B$6:$B$365,'Instructor 360'!$F$6:$F$365,,1)</f>
        <v>16.149419498607241</v>
      </c>
      <c r="S65" s="6">
        <f t="shared" si="20"/>
        <v>15.705979856826943</v>
      </c>
      <c r="T65" s="6">
        <f t="shared" si="21"/>
        <v>0.27412106075353776</v>
      </c>
      <c r="U65" s="6">
        <f t="shared" si="22"/>
        <v>9.4949426955407978E-3</v>
      </c>
      <c r="V65" s="6"/>
      <c r="W65" s="6">
        <f t="shared" si="23"/>
        <v>9.0153936791603548E-5</v>
      </c>
      <c r="AA65">
        <f t="shared" si="24"/>
        <v>1285</v>
      </c>
      <c r="AB65">
        <f t="shared" si="25"/>
        <v>0.28361600344907856</v>
      </c>
      <c r="AC65">
        <f t="shared" si="26"/>
        <v>0.27412106075353776</v>
      </c>
    </row>
    <row r="66" spans="1:29" ht="18.95" customHeight="1">
      <c r="A66" s="4">
        <f t="shared" si="27"/>
        <v>754</v>
      </c>
      <c r="B66" s="6">
        <f>INDEX('Raw Data'!$B$6:$B$1371,MATCH(A66,'Raw Data'!$A$6:$A$1371,0))</f>
        <v>16190</v>
      </c>
      <c r="C66" s="6">
        <f t="shared" si="14"/>
        <v>1315</v>
      </c>
      <c r="D66" s="6">
        <f>MOD(C66+Summary!$B$20,Summary!$B$11)</f>
        <v>1309.7416237989592</v>
      </c>
      <c r="E66" s="6">
        <f>_xlfn.XLOOKUP(D66,'Native PMKS'!$C$6:$C$366,'Native PMKS'!$C$6:$C$366,,-1)</f>
        <v>1308.3333333333335</v>
      </c>
      <c r="F66" s="6">
        <f>_xlfn.XLOOKUP(D66,'Native PMKS'!$C$6:$C$366,'Native PMKS'!$C$6:$C$366,,1)</f>
        <v>1316.6666666666667</v>
      </c>
      <c r="G66" s="6">
        <f>_xlfn.XLOOKUP(D66,'Native PMKS'!$C$6:$C$366,'Native PMKS'!$N$6:$N$366,,-1)</f>
        <v>17.475200000000001</v>
      </c>
      <c r="H66" s="6">
        <f>_xlfn.XLOOKUP(D66,'Native PMKS'!$C$6:$C$366,'Native PMKS'!$N$6:$N$366,,1)</f>
        <v>17.9909</v>
      </c>
      <c r="I66" s="6">
        <f t="shared" si="15"/>
        <v>17.562350647174775</v>
      </c>
      <c r="J66" s="6">
        <f>INDEX('Raw Data'!$F$6:$F$1371,MATCH(A66,'Raw Data'!$A$6:$A$1371,0))</f>
        <v>18.1875</v>
      </c>
      <c r="K66" s="6">
        <f t="shared" si="16"/>
        <v>0.31743175770646864</v>
      </c>
      <c r="L66" s="6">
        <f t="shared" si="17"/>
        <v>0.3065208431829568</v>
      </c>
      <c r="M66" s="6">
        <f t="shared" si="18"/>
        <v>1.0910914523511839E-2</v>
      </c>
      <c r="N66" s="6">
        <f t="shared" si="19"/>
        <v>1.1904805573938158E-4</v>
      </c>
      <c r="O66" s="6">
        <f>_xlfn.XLOOKUP(D66,'Instructor 360'!$B$6:$B$365,'Instructor 360'!$B$6:$B$365,,-1)</f>
        <v>1303.6211699164346</v>
      </c>
      <c r="P66" s="6">
        <f>_xlfn.XLOOKUP(D66,'Instructor 360'!$B$6:$B$365,'Instructor 360'!$B$6:$B$365,,1)</f>
        <v>1311.9777158774373</v>
      </c>
      <c r="Q66" s="6">
        <f>_xlfn.XLOOKUP(D66,'Instructor 360'!$B$6:$B$365,'Instructor 360'!$F$6:$F$365,,-1)</f>
        <v>17.183649025069638</v>
      </c>
      <c r="R66" s="6">
        <f>_xlfn.XLOOKUP(D66,'Instructor 360'!$B$6:$B$365,'Instructor 360'!$F$6:$F$365,,1)</f>
        <v>17.700728969359321</v>
      </c>
      <c r="S66" s="6">
        <f t="shared" si="20"/>
        <v>17.56236577806451</v>
      </c>
      <c r="T66" s="6">
        <f t="shared" si="21"/>
        <v>0.30652110726680143</v>
      </c>
      <c r="U66" s="6">
        <f t="shared" si="22"/>
        <v>1.0910650439667213E-2</v>
      </c>
      <c r="V66" s="6"/>
      <c r="W66" s="6">
        <f t="shared" si="23"/>
        <v>1.1904229301661035E-4</v>
      </c>
      <c r="AA66">
        <f t="shared" si="24"/>
        <v>1315</v>
      </c>
      <c r="AB66">
        <f t="shared" si="25"/>
        <v>0.31743175770646864</v>
      </c>
      <c r="AC66">
        <f t="shared" si="26"/>
        <v>0.30652110726680143</v>
      </c>
    </row>
    <row r="67" spans="1:29" ht="18.95" customHeight="1">
      <c r="A67" s="4">
        <f t="shared" si="27"/>
        <v>755</v>
      </c>
      <c r="B67" s="6">
        <f>INDEX('Raw Data'!$B$6:$B$1371,MATCH(A67,'Raw Data'!$A$6:$A$1371,0))</f>
        <v>16210</v>
      </c>
      <c r="C67" s="6">
        <f t="shared" si="14"/>
        <v>1335</v>
      </c>
      <c r="D67" s="6">
        <f>MOD(C67+Summary!$B$20,Summary!$B$11)</f>
        <v>1329.7416237989592</v>
      </c>
      <c r="E67" s="6">
        <f>_xlfn.XLOOKUP(D67,'Native PMKS'!$C$6:$C$366,'Native PMKS'!$C$6:$C$366,,-1)</f>
        <v>1325</v>
      </c>
      <c r="F67" s="6">
        <f>_xlfn.XLOOKUP(D67,'Native PMKS'!$C$6:$C$366,'Native PMKS'!$C$6:$C$366,,1)</f>
        <v>1333.3333333333335</v>
      </c>
      <c r="G67" s="6">
        <f>_xlfn.XLOOKUP(D67,'Native PMKS'!$C$6:$C$366,'Native PMKS'!$N$6:$N$366,,-1)</f>
        <v>18.563800000000001</v>
      </c>
      <c r="H67" s="6">
        <f>_xlfn.XLOOKUP(D67,'Native PMKS'!$C$6:$C$366,'Native PMKS'!$N$6:$N$366,,1)</f>
        <v>19.079499999999999</v>
      </c>
      <c r="I67" s="6">
        <f t="shared" si="15"/>
        <v>18.857230647174781</v>
      </c>
      <c r="J67" s="6">
        <f>INDEX('Raw Data'!$F$6:$F$1371,MATCH(A67,'Raw Data'!$A$6:$A$1371,0))</f>
        <v>19.5</v>
      </c>
      <c r="K67" s="6">
        <f t="shared" si="16"/>
        <v>0.34033920413889424</v>
      </c>
      <c r="L67" s="6">
        <f t="shared" si="17"/>
        <v>0.32912076260118106</v>
      </c>
      <c r="M67" s="6">
        <f t="shared" si="18"/>
        <v>1.1218441537713175E-2</v>
      </c>
      <c r="N67" s="6">
        <f t="shared" si="19"/>
        <v>1.2585343053508836E-4</v>
      </c>
      <c r="O67" s="6">
        <f>_xlfn.XLOOKUP(D67,'Instructor 360'!$B$6:$B$365,'Instructor 360'!$B$6:$B$365,,-1)</f>
        <v>1328.6908077994428</v>
      </c>
      <c r="P67" s="6">
        <f>_xlfn.XLOOKUP(D67,'Instructor 360'!$B$6:$B$365,'Instructor 360'!$B$6:$B$365,,1)</f>
        <v>1337.0473537604457</v>
      </c>
      <c r="Q67" s="6">
        <f>_xlfn.XLOOKUP(D67,'Instructor 360'!$B$6:$B$365,'Instructor 360'!$F$6:$F$365,,-1)</f>
        <v>18.792201949860715</v>
      </c>
      <c r="R67" s="6">
        <f>_xlfn.XLOOKUP(D67,'Instructor 360'!$B$6:$B$365,'Instructor 360'!$F$6:$F$365,,1)</f>
        <v>19.309338440111414</v>
      </c>
      <c r="S67" s="6">
        <f t="shared" si="20"/>
        <v>18.857230647174767</v>
      </c>
      <c r="T67" s="6">
        <f t="shared" si="21"/>
        <v>0.32912076260118084</v>
      </c>
      <c r="U67" s="6">
        <f t="shared" si="22"/>
        <v>1.1218441537713397E-2</v>
      </c>
      <c r="V67" s="6"/>
      <c r="W67" s="6">
        <f t="shared" si="23"/>
        <v>1.2585343053509332E-4</v>
      </c>
      <c r="AA67">
        <f t="shared" si="24"/>
        <v>1335</v>
      </c>
      <c r="AB67">
        <f t="shared" si="25"/>
        <v>0.34033920413889424</v>
      </c>
      <c r="AC67">
        <f t="shared" si="26"/>
        <v>0.32912076260118084</v>
      </c>
    </row>
    <row r="68" spans="1:29" ht="18.95" customHeight="1">
      <c r="A68" s="4">
        <f t="shared" si="27"/>
        <v>756</v>
      </c>
      <c r="B68" s="6">
        <f>INDEX('Raw Data'!$B$6:$B$1371,MATCH(A68,'Raw Data'!$A$6:$A$1371,0))</f>
        <v>16230</v>
      </c>
      <c r="C68" s="6">
        <f t="shared" si="14"/>
        <v>1355</v>
      </c>
      <c r="D68" s="6">
        <f>MOD(C68+Summary!$B$20,Summary!$B$11)</f>
        <v>1349.7416237989592</v>
      </c>
      <c r="E68" s="6">
        <f>_xlfn.XLOOKUP(D68,'Native PMKS'!$C$6:$C$366,'Native PMKS'!$C$6:$C$366,,-1)</f>
        <v>1341.6666666666667</v>
      </c>
      <c r="F68" s="6">
        <f>_xlfn.XLOOKUP(D68,'Native PMKS'!$C$6:$C$366,'Native PMKS'!$C$6:$C$366,,1)</f>
        <v>1350</v>
      </c>
      <c r="G68" s="6">
        <f>_xlfn.XLOOKUP(D68,'Native PMKS'!$C$6:$C$366,'Native PMKS'!$N$6:$N$366,,-1)</f>
        <v>19.595199999999998</v>
      </c>
      <c r="H68" s="6">
        <f>_xlfn.XLOOKUP(D68,'Native PMKS'!$C$6:$C$366,'Native PMKS'!$N$6:$N$366,,1)</f>
        <v>20.168099999999999</v>
      </c>
      <c r="I68" s="6">
        <f t="shared" si="15"/>
        <v>20.150337152930817</v>
      </c>
      <c r="J68" s="6">
        <f>INDEX('Raw Data'!$F$6:$F$1371,MATCH(A68,'Raw Data'!$A$6:$A$1371,0))</f>
        <v>21.125</v>
      </c>
      <c r="K68" s="6">
        <f t="shared" si="16"/>
        <v>0.3687008044838021</v>
      </c>
      <c r="L68" s="6">
        <f t="shared" si="17"/>
        <v>0.3516897287055829</v>
      </c>
      <c r="M68" s="6">
        <f t="shared" si="18"/>
        <v>1.7011075778219198E-2</v>
      </c>
      <c r="N68" s="6">
        <f t="shared" si="19"/>
        <v>2.8937669913231589E-4</v>
      </c>
      <c r="O68" s="6">
        <f>_xlfn.XLOOKUP(D68,'Instructor 360'!$B$6:$B$365,'Instructor 360'!$B$6:$B$365,,-1)</f>
        <v>1345.4038997214484</v>
      </c>
      <c r="P68" s="6">
        <f>_xlfn.XLOOKUP(D68,'Instructor 360'!$B$6:$B$365,'Instructor 360'!$B$6:$B$365,,1)</f>
        <v>1353.7604456824513</v>
      </c>
      <c r="Q68" s="6">
        <f>_xlfn.XLOOKUP(D68,'Instructor 360'!$B$6:$B$365,'Instructor 360'!$F$6:$F$365,,-1)</f>
        <v>19.852127298050132</v>
      </c>
      <c r="R68" s="6">
        <f>_xlfn.XLOOKUP(D68,'Instructor 360'!$B$6:$B$365,'Instructor 360'!$F$6:$F$365,,1)</f>
        <v>20.400811420612811</v>
      </c>
      <c r="S68" s="6">
        <f t="shared" si="20"/>
        <v>20.136938790800244</v>
      </c>
      <c r="T68" s="6">
        <f t="shared" si="21"/>
        <v>0.35145588317202986</v>
      </c>
      <c r="U68" s="6">
        <f t="shared" si="22"/>
        <v>1.7244921311772243E-2</v>
      </c>
      <c r="V68" s="6"/>
      <c r="W68" s="6">
        <f t="shared" si="23"/>
        <v>2.9738731104921653E-4</v>
      </c>
      <c r="AA68">
        <f t="shared" si="24"/>
        <v>1355</v>
      </c>
      <c r="AB68">
        <f t="shared" si="25"/>
        <v>0.3687008044838021</v>
      </c>
      <c r="AC68">
        <f t="shared" si="26"/>
        <v>0.35145588317202986</v>
      </c>
    </row>
    <row r="69" spans="1:29" ht="18.95" customHeight="1">
      <c r="A69" s="4">
        <f t="shared" si="27"/>
        <v>757</v>
      </c>
      <c r="B69" s="6">
        <f>INDEX('Raw Data'!$B$6:$B$1371,MATCH(A69,'Raw Data'!$A$6:$A$1371,0))</f>
        <v>16252</v>
      </c>
      <c r="C69" s="6">
        <f t="shared" si="14"/>
        <v>1377</v>
      </c>
      <c r="D69" s="6">
        <f>MOD(C69+Summary!$B$20,Summary!$B$11)</f>
        <v>1371.7416237989592</v>
      </c>
      <c r="E69" s="6">
        <f>_xlfn.XLOOKUP(D69,'Native PMKS'!$C$6:$C$366,'Native PMKS'!$C$6:$C$366,,-1)</f>
        <v>1366.6666666666667</v>
      </c>
      <c r="F69" s="6">
        <f>_xlfn.XLOOKUP(D69,'Native PMKS'!$C$6:$C$366,'Native PMKS'!$C$6:$C$366,,1)</f>
        <v>1375</v>
      </c>
      <c r="G69" s="6">
        <f>_xlfn.XLOOKUP(D69,'Native PMKS'!$C$6:$C$366,'Native PMKS'!$N$6:$N$366,,-1)</f>
        <v>21.256699999999999</v>
      </c>
      <c r="H69" s="6">
        <f>_xlfn.XLOOKUP(D69,'Native PMKS'!$C$6:$C$366,'Native PMKS'!$N$6:$N$366,,1)</f>
        <v>21.772400000000001</v>
      </c>
      <c r="I69" s="6">
        <f t="shared" si="15"/>
        <v>21.57075864717477</v>
      </c>
      <c r="J69" s="6">
        <f>INDEX('Raw Data'!$F$6:$F$1371,MATCH(A69,'Raw Data'!$A$6:$A$1371,0))</f>
        <v>22.75</v>
      </c>
      <c r="K69" s="6">
        <f t="shared" si="16"/>
        <v>0.39706240482870997</v>
      </c>
      <c r="L69" s="6">
        <f t="shared" si="17"/>
        <v>0.37648076054623758</v>
      </c>
      <c r="M69" s="6">
        <f t="shared" si="18"/>
        <v>2.0581644282472389E-2</v>
      </c>
      <c r="N69" s="6">
        <f t="shared" si="19"/>
        <v>4.2360408137022838E-4</v>
      </c>
      <c r="O69" s="6">
        <f>_xlfn.XLOOKUP(D69,'Instructor 360'!$B$6:$B$365,'Instructor 360'!$B$6:$B$365,,-1)</f>
        <v>1370.4735376044569</v>
      </c>
      <c r="P69" s="6">
        <f>_xlfn.XLOOKUP(D69,'Instructor 360'!$B$6:$B$365,'Instructor 360'!$B$6:$B$365,,1)</f>
        <v>1378.8300835654595</v>
      </c>
      <c r="Q69" s="6">
        <f>_xlfn.XLOOKUP(D69,'Instructor 360'!$B$6:$B$365,'Instructor 360'!$F$6:$F$365,,-1)</f>
        <v>21.492284401114205</v>
      </c>
      <c r="R69" s="6">
        <f>_xlfn.XLOOKUP(D69,'Instructor 360'!$B$6:$B$365,'Instructor 360'!$F$6:$F$365,,1)</f>
        <v>22.035756545960993</v>
      </c>
      <c r="S69" s="6">
        <f t="shared" si="20"/>
        <v>21.574755020816752</v>
      </c>
      <c r="T69" s="6">
        <f t="shared" si="21"/>
        <v>0.37655051042443011</v>
      </c>
      <c r="U69" s="6">
        <f t="shared" si="22"/>
        <v>2.0511894404279862E-2</v>
      </c>
      <c r="V69" s="6"/>
      <c r="W69" s="6">
        <f t="shared" si="23"/>
        <v>4.2073781205232753E-4</v>
      </c>
      <c r="AA69">
        <f t="shared" si="24"/>
        <v>1377</v>
      </c>
      <c r="AB69">
        <f t="shared" si="25"/>
        <v>0.39706240482870997</v>
      </c>
      <c r="AC69">
        <f t="shared" si="26"/>
        <v>0.37655051042443011</v>
      </c>
    </row>
    <row r="70" spans="1:29" ht="18.95" customHeight="1">
      <c r="A70" s="4">
        <f t="shared" si="27"/>
        <v>758</v>
      </c>
      <c r="B70" s="6">
        <f>INDEX('Raw Data'!$B$6:$B$1371,MATCH(A70,'Raw Data'!$A$6:$A$1371,0))</f>
        <v>16274</v>
      </c>
      <c r="C70" s="6">
        <f t="shared" ref="C70:C101" si="28">B70-$B$6</f>
        <v>1399</v>
      </c>
      <c r="D70" s="6">
        <f>MOD(C70+Summary!$B$20,Summary!$B$11)</f>
        <v>1393.7416237989592</v>
      </c>
      <c r="E70" s="6">
        <f>_xlfn.XLOOKUP(D70,'Native PMKS'!$C$6:$C$366,'Native PMKS'!$C$6:$C$366,,-1)</f>
        <v>1391.6666666666667</v>
      </c>
      <c r="F70" s="6">
        <f>_xlfn.XLOOKUP(D70,'Native PMKS'!$C$6:$C$366,'Native PMKS'!$C$6:$C$366,,1)</f>
        <v>1400</v>
      </c>
      <c r="G70" s="6">
        <f>_xlfn.XLOOKUP(D70,'Native PMKS'!$C$6:$C$366,'Native PMKS'!$N$6:$N$366,,-1)</f>
        <v>22.861000000000001</v>
      </c>
      <c r="H70" s="6">
        <f>_xlfn.XLOOKUP(D70,'Native PMKS'!$C$6:$C$366,'Native PMKS'!$N$6:$N$366,,1)</f>
        <v>23.434000000000001</v>
      </c>
      <c r="I70" s="6">
        <f t="shared" ref="I70:I101" si="29">IF(E70=F70,G70,_xlfn.FORECAST.LINEAR(D70,G70:H70,E70:F70))</f>
        <v>23.003674052416414</v>
      </c>
      <c r="J70" s="6">
        <f>INDEX('Raw Data'!$F$6:$F$1371,MATCH(A70,'Raw Data'!$A$6:$A$1371,0))</f>
        <v>24.125</v>
      </c>
      <c r="K70" s="6">
        <f t="shared" ref="K70:K101" si="30">J70*1*PI()/180</f>
        <v>0.42106068204363201</v>
      </c>
      <c r="L70" s="6">
        <f t="shared" ref="L70:L101" si="31">I70*PI()/180</f>
        <v>0.40148985227025308</v>
      </c>
      <c r="M70" s="6">
        <f t="shared" ref="M70:M101" si="32">K70-L70</f>
        <v>1.9570829773378928E-2</v>
      </c>
      <c r="N70" s="6">
        <f t="shared" ref="N70:N101" si="33">M70^2</f>
        <v>3.8301737801857514E-4</v>
      </c>
      <c r="O70" s="6">
        <f>_xlfn.XLOOKUP(D70,'Instructor 360'!$B$6:$B$365,'Instructor 360'!$B$6:$B$365,,-1)</f>
        <v>1387.1866295264624</v>
      </c>
      <c r="P70" s="6">
        <f>_xlfn.XLOOKUP(D70,'Instructor 360'!$B$6:$B$365,'Instructor 360'!$B$6:$B$365,,1)</f>
        <v>1395.5431754874651</v>
      </c>
      <c r="Q70" s="6">
        <f>_xlfn.XLOOKUP(D70,'Instructor 360'!$B$6:$B$365,'Instructor 360'!$F$6:$F$365,,-1)</f>
        <v>22.583811142061275</v>
      </c>
      <c r="R70" s="6">
        <f>_xlfn.XLOOKUP(D70,'Instructor 360'!$B$6:$B$365,'Instructor 360'!$F$6:$F$365,,1)</f>
        <v>23.127548746518098</v>
      </c>
      <c r="S70" s="6">
        <f t="shared" ref="S70:S101" si="34">IF(O70=P70,Q70,_xlfn.FORECAST.LINEAR(D70,Q70:R70,O70:P70))</f>
        <v>23.010326702388298</v>
      </c>
      <c r="T70" s="6">
        <f t="shared" ref="T70:T101" si="35">S70*PI()/180</f>
        <v>0.40160596291624517</v>
      </c>
      <c r="U70" s="6">
        <f t="shared" ref="U70:U101" si="36">K70-T70</f>
        <v>1.9454719127386833E-2</v>
      </c>
      <c r="V70" s="6"/>
      <c r="W70" s="6">
        <f t="shared" ref="W70:W101" si="37">U70^2</f>
        <v>3.7848609632551108E-4</v>
      </c>
      <c r="AA70">
        <f t="shared" ref="AA70:AA101" si="38">C70</f>
        <v>1399</v>
      </c>
      <c r="AB70">
        <f t="shared" ref="AB70:AB101" si="39">K70</f>
        <v>0.42106068204363201</v>
      </c>
      <c r="AC70">
        <f t="shared" ref="AC70:AC101" si="40">T70</f>
        <v>0.40160596291624517</v>
      </c>
    </row>
    <row r="71" spans="1:29" ht="18.95" customHeight="1">
      <c r="A71" s="4">
        <f t="shared" ref="A71:A102" si="41">A70+1</f>
        <v>759</v>
      </c>
      <c r="B71" s="6">
        <f>INDEX('Raw Data'!$B$6:$B$1371,MATCH(A71,'Raw Data'!$A$6:$A$1371,0))</f>
        <v>16294</v>
      </c>
      <c r="C71" s="6">
        <f t="shared" si="28"/>
        <v>1419</v>
      </c>
      <c r="D71" s="6">
        <f>MOD(C71+Summary!$B$20,Summary!$B$11)</f>
        <v>1413.7416237989592</v>
      </c>
      <c r="E71" s="6">
        <f>_xlfn.XLOOKUP(D71,'Native PMKS'!$C$6:$C$366,'Native PMKS'!$C$6:$C$366,,-1)</f>
        <v>1408.3333333333335</v>
      </c>
      <c r="F71" s="6">
        <f>_xlfn.XLOOKUP(D71,'Native PMKS'!$C$6:$C$366,'Native PMKS'!$C$6:$C$366,,1)</f>
        <v>1416.6666666666667</v>
      </c>
      <c r="G71" s="6">
        <f>_xlfn.XLOOKUP(D71,'Native PMKS'!$C$6:$C$366,'Native PMKS'!$N$6:$N$366,,-1)</f>
        <v>23.9496</v>
      </c>
      <c r="H71" s="6">
        <f>_xlfn.XLOOKUP(D71,'Native PMKS'!$C$6:$C$366,'Native PMKS'!$N$6:$N$366,,1)</f>
        <v>24.522600000000001</v>
      </c>
      <c r="I71" s="6">
        <f t="shared" si="29"/>
        <v>24.32147405241642</v>
      </c>
      <c r="J71" s="6">
        <f>INDEX('Raw Data'!$F$6:$F$1371,MATCH(A71,'Raw Data'!$A$6:$A$1371,0))</f>
        <v>25.5625</v>
      </c>
      <c r="K71" s="6">
        <f t="shared" si="30"/>
        <v>0.44614979004105049</v>
      </c>
      <c r="L71" s="6">
        <f t="shared" si="31"/>
        <v>0.42448980115303442</v>
      </c>
      <c r="M71" s="6">
        <f t="shared" si="32"/>
        <v>2.1659988888016068E-2</v>
      </c>
      <c r="N71" s="6">
        <f t="shared" si="33"/>
        <v>4.6915511862897954E-4</v>
      </c>
      <c r="O71" s="6">
        <f>_xlfn.XLOOKUP(D71,'Instructor 360'!$B$6:$B$365,'Instructor 360'!$B$6:$B$365,,-1)</f>
        <v>1412.2562674094706</v>
      </c>
      <c r="P71" s="6">
        <f>_xlfn.XLOOKUP(D71,'Instructor 360'!$B$6:$B$365,'Instructor 360'!$B$6:$B$365,,1)</f>
        <v>1420.6128133704735</v>
      </c>
      <c r="Q71" s="6">
        <f>_xlfn.XLOOKUP(D71,'Instructor 360'!$B$6:$B$365,'Instructor 360'!$F$6:$F$365,,-1)</f>
        <v>24.219340947075192</v>
      </c>
      <c r="R71" s="6">
        <f>_xlfn.XLOOKUP(D71,'Instructor 360'!$B$6:$B$365,'Instructor 360'!$F$6:$F$365,,1)</f>
        <v>24.766803342618381</v>
      </c>
      <c r="S71" s="6">
        <f t="shared" si="34"/>
        <v>24.316651100219758</v>
      </c>
      <c r="T71" s="6">
        <f t="shared" si="35"/>
        <v>0.42440562475753646</v>
      </c>
      <c r="U71" s="6">
        <f t="shared" si="36"/>
        <v>2.1744165283514028E-2</v>
      </c>
      <c r="V71" s="6"/>
      <c r="W71" s="6">
        <f t="shared" si="37"/>
        <v>4.7280872387677668E-4</v>
      </c>
      <c r="AA71">
        <f t="shared" si="38"/>
        <v>1419</v>
      </c>
      <c r="AB71">
        <f t="shared" si="39"/>
        <v>0.44614979004105049</v>
      </c>
      <c r="AC71">
        <f t="shared" si="40"/>
        <v>0.42440562475753646</v>
      </c>
    </row>
    <row r="72" spans="1:29" ht="18.95" customHeight="1">
      <c r="A72" s="4">
        <f t="shared" si="41"/>
        <v>760</v>
      </c>
      <c r="B72" s="6">
        <f>INDEX('Raw Data'!$B$6:$B$1371,MATCH(A72,'Raw Data'!$A$6:$A$1371,0))</f>
        <v>16315</v>
      </c>
      <c r="C72" s="6">
        <f t="shared" si="28"/>
        <v>1440</v>
      </c>
      <c r="D72" s="6">
        <f>MOD(C72+Summary!$B$20,Summary!$B$11)</f>
        <v>1434.7416237989592</v>
      </c>
      <c r="E72" s="6">
        <f>_xlfn.XLOOKUP(D72,'Native PMKS'!$C$6:$C$366,'Native PMKS'!$C$6:$C$366,,-1)</f>
        <v>1433.3333333333335</v>
      </c>
      <c r="F72" s="6">
        <f>_xlfn.XLOOKUP(D72,'Native PMKS'!$C$6:$C$366,'Native PMKS'!$C$6:$C$366,,1)</f>
        <v>1441.6666666666667</v>
      </c>
      <c r="G72" s="6">
        <f>_xlfn.XLOOKUP(D72,'Native PMKS'!$C$6:$C$366,'Native PMKS'!$N$6:$N$366,,-1)</f>
        <v>25.6112</v>
      </c>
      <c r="H72" s="6">
        <f>_xlfn.XLOOKUP(D72,'Native PMKS'!$C$6:$C$366,'Native PMKS'!$N$6:$N$366,,1)</f>
        <v>26.184200000000001</v>
      </c>
      <c r="I72" s="6">
        <f t="shared" si="29"/>
        <v>25.708034052416437</v>
      </c>
      <c r="J72" s="6">
        <f>INDEX('Raw Data'!$F$6:$F$1371,MATCH(A72,'Raw Data'!$A$6:$A$1371,0))</f>
        <v>27.5</v>
      </c>
      <c r="K72" s="6">
        <f t="shared" si="30"/>
        <v>0.47996554429844063</v>
      </c>
      <c r="L72" s="6">
        <f t="shared" si="31"/>
        <v>0.44868983842948734</v>
      </c>
      <c r="M72" s="6">
        <f t="shared" si="32"/>
        <v>3.1275705868953285E-2</v>
      </c>
      <c r="N72" s="6">
        <f t="shared" si="33"/>
        <v>9.7816977760127903E-4</v>
      </c>
      <c r="O72" s="6">
        <f>_xlfn.XLOOKUP(D72,'Instructor 360'!$B$6:$B$365,'Instructor 360'!$B$6:$B$365,,-1)</f>
        <v>1428.9693593314764</v>
      </c>
      <c r="P72" s="6">
        <f>_xlfn.XLOOKUP(D72,'Instructor 360'!$B$6:$B$365,'Instructor 360'!$B$6:$B$365,,1)</f>
        <v>1437.3259052924791</v>
      </c>
      <c r="Q72" s="6">
        <f>_xlfn.XLOOKUP(D72,'Instructor 360'!$B$6:$B$365,'Instructor 360'!$F$6:$F$365,,-1)</f>
        <v>25.311185515320336</v>
      </c>
      <c r="R72" s="6">
        <f>_xlfn.XLOOKUP(D72,'Instructor 360'!$B$6:$B$365,'Instructor 360'!$F$6:$F$365,,1)</f>
        <v>25.885729247910856</v>
      </c>
      <c r="S72" s="6">
        <f t="shared" si="34"/>
        <v>25.708050247247115</v>
      </c>
      <c r="T72" s="6">
        <f t="shared" si="35"/>
        <v>0.44869012108260448</v>
      </c>
      <c r="U72" s="6">
        <f t="shared" si="36"/>
        <v>3.1275423215836151E-2</v>
      </c>
      <c r="V72" s="6"/>
      <c r="W72" s="6">
        <f t="shared" si="37"/>
        <v>9.7815209732966292E-4</v>
      </c>
      <c r="AA72">
        <f t="shared" si="38"/>
        <v>1440</v>
      </c>
      <c r="AB72">
        <f t="shared" si="39"/>
        <v>0.47996554429844063</v>
      </c>
      <c r="AC72">
        <f t="shared" si="40"/>
        <v>0.44869012108260448</v>
      </c>
    </row>
    <row r="73" spans="1:29" ht="18.95" customHeight="1">
      <c r="A73" s="4">
        <f t="shared" si="41"/>
        <v>761</v>
      </c>
      <c r="B73" s="6">
        <f>INDEX('Raw Data'!$B$6:$B$1371,MATCH(A73,'Raw Data'!$A$6:$A$1371,0))</f>
        <v>16336</v>
      </c>
      <c r="C73" s="6">
        <f t="shared" si="28"/>
        <v>1461</v>
      </c>
      <c r="D73" s="6">
        <f>MOD(C73+Summary!$B$20,Summary!$B$11)</f>
        <v>1455.7416237989592</v>
      </c>
      <c r="E73" s="6">
        <f>_xlfn.XLOOKUP(D73,'Native PMKS'!$C$6:$C$366,'Native PMKS'!$C$6:$C$366,,-1)</f>
        <v>1450</v>
      </c>
      <c r="F73" s="6">
        <f>_xlfn.XLOOKUP(D73,'Native PMKS'!$C$6:$C$366,'Native PMKS'!$C$6:$C$366,,1)</f>
        <v>1458.3333333333335</v>
      </c>
      <c r="G73" s="6">
        <f>_xlfn.XLOOKUP(D73,'Native PMKS'!$C$6:$C$366,'Native PMKS'!$N$6:$N$366,,-1)</f>
        <v>26.6998</v>
      </c>
      <c r="H73" s="6">
        <f>_xlfn.XLOOKUP(D73,'Native PMKS'!$C$6:$C$366,'Native PMKS'!$N$6:$N$366,,1)</f>
        <v>27.2728</v>
      </c>
      <c r="I73" s="6">
        <f t="shared" si="29"/>
        <v>27.094594052416426</v>
      </c>
      <c r="J73" s="6">
        <f>INDEX('Raw Data'!$F$6:$F$1371,MATCH(A73,'Raw Data'!$A$6:$A$1371,0))</f>
        <v>28.9375</v>
      </c>
      <c r="K73" s="6">
        <f t="shared" si="30"/>
        <v>0.50505465229585911</v>
      </c>
      <c r="L73" s="6">
        <f t="shared" si="31"/>
        <v>0.47288987570593966</v>
      </c>
      <c r="M73" s="6">
        <f t="shared" si="32"/>
        <v>3.2164776589919453E-2</v>
      </c>
      <c r="N73" s="6">
        <f t="shared" si="33"/>
        <v>1.0345728530794305E-3</v>
      </c>
      <c r="O73" s="6">
        <f>_xlfn.XLOOKUP(D73,'Instructor 360'!$B$6:$B$365,'Instructor 360'!$B$6:$B$365,,-1)</f>
        <v>1454.0389972144847</v>
      </c>
      <c r="P73" s="6">
        <f>_xlfn.XLOOKUP(D73,'Instructor 360'!$B$6:$B$365,'Instructor 360'!$B$6:$B$365,,1)</f>
        <v>1462.3955431754875</v>
      </c>
      <c r="Q73" s="6">
        <f>_xlfn.XLOOKUP(D73,'Instructor 360'!$B$6:$B$365,'Instructor 360'!$F$6:$F$365,,-1)</f>
        <v>26.977521448467961</v>
      </c>
      <c r="R73" s="6">
        <f>_xlfn.XLOOKUP(D73,'Instructor 360'!$B$6:$B$365,'Instructor 360'!$F$6:$F$365,,1)</f>
        <v>27.524185793871865</v>
      </c>
      <c r="S73" s="6">
        <f t="shared" si="34"/>
        <v>27.08890302305781</v>
      </c>
      <c r="T73" s="6">
        <f t="shared" si="35"/>
        <v>0.47279054850580421</v>
      </c>
      <c r="U73" s="6">
        <f t="shared" si="36"/>
        <v>3.2264103790054899E-2</v>
      </c>
      <c r="V73" s="6"/>
      <c r="W73" s="6">
        <f t="shared" si="37"/>
        <v>1.0409723933754349E-3</v>
      </c>
      <c r="AA73">
        <f t="shared" si="38"/>
        <v>1461</v>
      </c>
      <c r="AB73">
        <f t="shared" si="39"/>
        <v>0.50505465229585911</v>
      </c>
      <c r="AC73">
        <f t="shared" si="40"/>
        <v>0.47279054850580421</v>
      </c>
    </row>
    <row r="74" spans="1:29" ht="18.95" customHeight="1">
      <c r="A74" s="4">
        <f t="shared" si="41"/>
        <v>762</v>
      </c>
      <c r="B74" s="6">
        <f>INDEX('Raw Data'!$B$6:$B$1371,MATCH(A74,'Raw Data'!$A$6:$A$1371,0))</f>
        <v>16357</v>
      </c>
      <c r="C74" s="6">
        <f t="shared" si="28"/>
        <v>1482</v>
      </c>
      <c r="D74" s="6">
        <f>MOD(C74+Summary!$B$20,Summary!$B$11)</f>
        <v>1476.7416237989592</v>
      </c>
      <c r="E74" s="6">
        <f>_xlfn.XLOOKUP(D74,'Native PMKS'!$C$6:$C$366,'Native PMKS'!$C$6:$C$366,,-1)</f>
        <v>1475</v>
      </c>
      <c r="F74" s="6">
        <f>_xlfn.XLOOKUP(D74,'Native PMKS'!$C$6:$C$366,'Native PMKS'!$C$6:$C$366,,1)</f>
        <v>1483.3333333333335</v>
      </c>
      <c r="G74" s="6">
        <f>_xlfn.XLOOKUP(D74,'Native PMKS'!$C$6:$C$366,'Native PMKS'!$N$6:$N$366,,-1)</f>
        <v>28.3614</v>
      </c>
      <c r="H74" s="6">
        <f>_xlfn.XLOOKUP(D74,'Native PMKS'!$C$6:$C$366,'Native PMKS'!$N$6:$N$366,,1)</f>
        <v>28.877099999999999</v>
      </c>
      <c r="I74" s="6">
        <f t="shared" si="29"/>
        <v>28.469178647174793</v>
      </c>
      <c r="J74" s="6">
        <f>INDEX('Raw Data'!$F$6:$F$1371,MATCH(A74,'Raw Data'!$A$6:$A$1371,0))</f>
        <v>31.5</v>
      </c>
      <c r="K74" s="6">
        <f t="shared" si="30"/>
        <v>0.5497787143782138</v>
      </c>
      <c r="L74" s="6">
        <f t="shared" si="31"/>
        <v>0.49688090273166524</v>
      </c>
      <c r="M74" s="6">
        <f t="shared" si="32"/>
        <v>5.2897811646548554E-2</v>
      </c>
      <c r="N74" s="6">
        <f t="shared" si="33"/>
        <v>2.7981784769937276E-3</v>
      </c>
      <c r="O74" s="6">
        <f>_xlfn.XLOOKUP(D74,'Instructor 360'!$B$6:$B$365,'Instructor 360'!$B$6:$B$365,,-1)</f>
        <v>1470.7520891364902</v>
      </c>
      <c r="P74" s="6">
        <f>_xlfn.XLOOKUP(D74,'Instructor 360'!$B$6:$B$365,'Instructor 360'!$B$6:$B$365,,1)</f>
        <v>1479.1086350974931</v>
      </c>
      <c r="Q74" s="6">
        <f>_xlfn.XLOOKUP(D74,'Instructor 360'!$B$6:$B$365,'Instructor 360'!$F$6:$F$365,,-1)</f>
        <v>28.069364623955426</v>
      </c>
      <c r="R74" s="6">
        <f>_xlfn.XLOOKUP(D74,'Instructor 360'!$B$6:$B$365,'Instructor 360'!$F$6:$F$365,,1)</f>
        <v>28.615658774373259</v>
      </c>
      <c r="S74" s="6">
        <f t="shared" si="34"/>
        <v>28.460919671351945</v>
      </c>
      <c r="T74" s="6">
        <f t="shared" si="35"/>
        <v>0.49673675641071385</v>
      </c>
      <c r="U74" s="6">
        <f t="shared" si="36"/>
        <v>5.3041957967499942E-2</v>
      </c>
      <c r="V74" s="6"/>
      <c r="W74" s="6">
        <f t="shared" si="37"/>
        <v>2.8134493050260305E-3</v>
      </c>
      <c r="AA74">
        <f t="shared" si="38"/>
        <v>1482</v>
      </c>
      <c r="AB74">
        <f t="shared" si="39"/>
        <v>0.5497787143782138</v>
      </c>
      <c r="AC74">
        <f t="shared" si="40"/>
        <v>0.49673675641071385</v>
      </c>
    </row>
    <row r="75" spans="1:29" ht="18.95" customHeight="1">
      <c r="A75" s="4">
        <f t="shared" si="41"/>
        <v>763</v>
      </c>
      <c r="B75" s="6">
        <f>INDEX('Raw Data'!$B$6:$B$1371,MATCH(A75,'Raw Data'!$A$6:$A$1371,0))</f>
        <v>16379</v>
      </c>
      <c r="C75" s="6">
        <f t="shared" si="28"/>
        <v>1504</v>
      </c>
      <c r="D75" s="6">
        <f>MOD(C75+Summary!$B$20,Summary!$B$11)</f>
        <v>1498.7416237989592</v>
      </c>
      <c r="E75" s="6">
        <f>_xlfn.XLOOKUP(D75,'Native PMKS'!$C$6:$C$366,'Native PMKS'!$C$6:$C$366,,-1)</f>
        <v>1491.6666666666667</v>
      </c>
      <c r="F75" s="6">
        <f>_xlfn.XLOOKUP(D75,'Native PMKS'!$C$6:$C$366,'Native PMKS'!$C$6:$C$366,,1)</f>
        <v>1500</v>
      </c>
      <c r="G75" s="6">
        <f>_xlfn.XLOOKUP(D75,'Native PMKS'!$C$6:$C$366,'Native PMKS'!$N$6:$N$366,,-1)</f>
        <v>29.392700000000001</v>
      </c>
      <c r="H75" s="6">
        <f>_xlfn.XLOOKUP(D75,'Native PMKS'!$C$6:$C$366,'Native PMKS'!$N$6:$N$366,,1)</f>
        <v>29.965699999999998</v>
      </c>
      <c r="I75" s="6">
        <f t="shared" si="29"/>
        <v>29.879174052416417</v>
      </c>
      <c r="J75" s="6">
        <f>INDEX('Raw Data'!$F$6:$F$1371,MATCH(A75,'Raw Data'!$A$6:$A$1371,0))</f>
        <v>32.75</v>
      </c>
      <c r="K75" s="6">
        <f t="shared" si="30"/>
        <v>0.571595330028143</v>
      </c>
      <c r="L75" s="6">
        <f t="shared" si="31"/>
        <v>0.52148996499112321</v>
      </c>
      <c r="M75" s="6">
        <f t="shared" si="32"/>
        <v>5.0105365037019789E-2</v>
      </c>
      <c r="N75" s="6">
        <f t="shared" si="33"/>
        <v>2.5105476054930053E-3</v>
      </c>
      <c r="O75" s="6">
        <f>_xlfn.XLOOKUP(D75,'Instructor 360'!$B$6:$B$365,'Instructor 360'!$B$6:$B$365,,-1)</f>
        <v>1495.8217270194987</v>
      </c>
      <c r="P75" s="6">
        <f>_xlfn.XLOOKUP(D75,'Instructor 360'!$B$6:$B$365,'Instructor 360'!$B$6:$B$365,,1)</f>
        <v>1504.1782729805013</v>
      </c>
      <c r="Q75" s="6">
        <f>_xlfn.XLOOKUP(D75,'Instructor 360'!$B$6:$B$365,'Instructor 360'!$F$6:$F$365,,-1)</f>
        <v>29.678401949860724</v>
      </c>
      <c r="R75" s="6">
        <f>_xlfn.XLOOKUP(D75,'Instructor 360'!$B$6:$B$365,'Instructor 360'!$F$6:$F$365,,1)</f>
        <v>30.224268245125341</v>
      </c>
      <c r="S75" s="6">
        <f t="shared" si="34"/>
        <v>29.869135447288627</v>
      </c>
      <c r="T75" s="6">
        <f t="shared" si="35"/>
        <v>0.52131475827933571</v>
      </c>
      <c r="U75" s="6">
        <f t="shared" si="36"/>
        <v>5.028057174880729E-2</v>
      </c>
      <c r="V75" s="6"/>
      <c r="W75" s="6">
        <f t="shared" si="37"/>
        <v>2.5281358953869577E-3</v>
      </c>
      <c r="AA75">
        <f t="shared" si="38"/>
        <v>1504</v>
      </c>
      <c r="AB75">
        <f t="shared" si="39"/>
        <v>0.571595330028143</v>
      </c>
      <c r="AC75">
        <f t="shared" si="40"/>
        <v>0.52131475827933571</v>
      </c>
    </row>
    <row r="76" spans="1:29" ht="18.95" customHeight="1">
      <c r="A76" s="4">
        <f t="shared" si="41"/>
        <v>764</v>
      </c>
      <c r="B76" s="6">
        <f>INDEX('Raw Data'!$B$6:$B$1371,MATCH(A76,'Raw Data'!$A$6:$A$1371,0))</f>
        <v>16401</v>
      </c>
      <c r="C76" s="6">
        <f t="shared" si="28"/>
        <v>1526</v>
      </c>
      <c r="D76" s="6">
        <f>MOD(C76+Summary!$B$20,Summary!$B$11)</f>
        <v>1520.7416237989592</v>
      </c>
      <c r="E76" s="6">
        <f>_xlfn.XLOOKUP(D76,'Native PMKS'!$C$6:$C$366,'Native PMKS'!$C$6:$C$366,,-1)</f>
        <v>1516.6666666666667</v>
      </c>
      <c r="F76" s="6">
        <f>_xlfn.XLOOKUP(D76,'Native PMKS'!$C$6:$C$366,'Native PMKS'!$C$6:$C$366,,1)</f>
        <v>1525</v>
      </c>
      <c r="G76" s="6">
        <f>_xlfn.XLOOKUP(D76,'Native PMKS'!$C$6:$C$366,'Native PMKS'!$N$6:$N$366,,-1)</f>
        <v>30.997</v>
      </c>
      <c r="H76" s="6">
        <f>_xlfn.XLOOKUP(D76,'Native PMKS'!$C$6:$C$366,'Native PMKS'!$N$6:$N$366,,1)</f>
        <v>31.512699999999999</v>
      </c>
      <c r="I76" s="6">
        <f t="shared" si="29"/>
        <v>31.249174647174776</v>
      </c>
      <c r="J76" s="6">
        <f>INDEX('Raw Data'!$F$6:$F$1371,MATCH(A76,'Raw Data'!$A$6:$A$1371,0))</f>
        <v>34.6875</v>
      </c>
      <c r="K76" s="6">
        <f t="shared" si="30"/>
        <v>0.60541108428553314</v>
      </c>
      <c r="L76" s="6">
        <f t="shared" si="31"/>
        <v>0.54540098612393717</v>
      </c>
      <c r="M76" s="6">
        <f t="shared" si="32"/>
        <v>6.0010098161595971E-2</v>
      </c>
      <c r="N76" s="6">
        <f t="shared" si="33"/>
        <v>3.6012118813643842E-3</v>
      </c>
      <c r="O76" s="6">
        <f>_xlfn.XLOOKUP(D76,'Instructor 360'!$B$6:$B$365,'Instructor 360'!$B$6:$B$365,,-1)</f>
        <v>1512.5348189415042</v>
      </c>
      <c r="P76" s="6">
        <f>_xlfn.XLOOKUP(D76,'Instructor 360'!$B$6:$B$365,'Instructor 360'!$B$6:$B$365,,1)</f>
        <v>1520.8913649025069</v>
      </c>
      <c r="Q76" s="6">
        <f>_xlfn.XLOOKUP(D76,'Instructor 360'!$B$6:$B$365,'Instructor 360'!$F$6:$F$365,,-1)</f>
        <v>30.741354317548744</v>
      </c>
      <c r="R76" s="6">
        <f>_xlfn.XLOOKUP(D76,'Instructor 360'!$B$6:$B$365,'Instructor 360'!$F$6:$F$365,,1)</f>
        <v>31.258441225626733</v>
      </c>
      <c r="S76" s="6">
        <f t="shared" si="34"/>
        <v>31.24917553563867</v>
      </c>
      <c r="T76" s="6">
        <f t="shared" si="35"/>
        <v>0.54540100163055738</v>
      </c>
      <c r="U76" s="6">
        <f t="shared" si="36"/>
        <v>6.001008265497576E-2</v>
      </c>
      <c r="V76" s="6"/>
      <c r="W76" s="6">
        <f t="shared" si="37"/>
        <v>3.6012100202570227E-3</v>
      </c>
      <c r="AA76">
        <f t="shared" si="38"/>
        <v>1526</v>
      </c>
      <c r="AB76">
        <f t="shared" si="39"/>
        <v>0.60541108428553314</v>
      </c>
      <c r="AC76">
        <f t="shared" si="40"/>
        <v>0.54540100163055738</v>
      </c>
    </row>
    <row r="77" spans="1:29" ht="18.95" customHeight="1">
      <c r="A77" s="4">
        <f t="shared" si="41"/>
        <v>765</v>
      </c>
      <c r="B77" s="6">
        <f>INDEX('Raw Data'!$B$6:$B$1371,MATCH(A77,'Raw Data'!$A$6:$A$1371,0))</f>
        <v>16422</v>
      </c>
      <c r="C77" s="6">
        <f t="shared" si="28"/>
        <v>1547</v>
      </c>
      <c r="D77" s="6">
        <f>MOD(C77+Summary!$B$20,Summary!$B$11)</f>
        <v>1541.7416237989592</v>
      </c>
      <c r="E77" s="6">
        <f>_xlfn.XLOOKUP(D77,'Native PMKS'!$C$6:$C$366,'Native PMKS'!$C$6:$C$366,,-1)</f>
        <v>1541.6666666666667</v>
      </c>
      <c r="F77" s="6">
        <f>_xlfn.XLOOKUP(D77,'Native PMKS'!$C$6:$C$366,'Native PMKS'!$C$6:$C$366,,1)</f>
        <v>1550</v>
      </c>
      <c r="G77" s="6">
        <f>_xlfn.XLOOKUP(D77,'Native PMKS'!$C$6:$C$366,'Native PMKS'!$N$6:$N$366,,-1)</f>
        <v>32.543999999999997</v>
      </c>
      <c r="H77" s="6">
        <f>_xlfn.XLOOKUP(D77,'Native PMKS'!$C$6:$C$366,'Native PMKS'!$N$6:$N$366,,1)</f>
        <v>33.059699999999999</v>
      </c>
      <c r="I77" s="6">
        <f t="shared" si="29"/>
        <v>32.548638647174784</v>
      </c>
      <c r="J77" s="6">
        <f>INDEX('Raw Data'!$F$6:$F$1371,MATCH(A77,'Raw Data'!$A$6:$A$1371,0))</f>
        <v>35.9375</v>
      </c>
      <c r="K77" s="6">
        <f t="shared" si="30"/>
        <v>0.62722769993546212</v>
      </c>
      <c r="L77" s="6">
        <f t="shared" si="31"/>
        <v>0.56808091143507289</v>
      </c>
      <c r="M77" s="6">
        <f t="shared" si="32"/>
        <v>5.9146788500389236E-2</v>
      </c>
      <c r="N77" s="6">
        <f t="shared" si="33"/>
        <v>3.4983425899097762E-3</v>
      </c>
      <c r="O77" s="6">
        <f>_xlfn.XLOOKUP(D77,'Instructor 360'!$B$6:$B$365,'Instructor 360'!$B$6:$B$365,,-1)</f>
        <v>1537.6044568245125</v>
      </c>
      <c r="P77" s="6">
        <f>_xlfn.XLOOKUP(D77,'Instructor 360'!$B$6:$B$365,'Instructor 360'!$B$6:$B$365,,1)</f>
        <v>1545.9610027855153</v>
      </c>
      <c r="Q77" s="6">
        <f>_xlfn.XLOOKUP(D77,'Instructor 360'!$B$6:$B$365,'Instructor 360'!$F$6:$F$365,,-1)</f>
        <v>32.292614206128121</v>
      </c>
      <c r="R77" s="6">
        <f>_xlfn.XLOOKUP(D77,'Instructor 360'!$B$6:$B$365,'Instructor 360'!$F$6:$F$365,,1)</f>
        <v>32.809750696378828</v>
      </c>
      <c r="S77" s="6">
        <f t="shared" si="34"/>
        <v>32.548638647174791</v>
      </c>
      <c r="T77" s="6">
        <f t="shared" si="35"/>
        <v>0.56808091143507311</v>
      </c>
      <c r="U77" s="6">
        <f t="shared" si="36"/>
        <v>5.9146788500389014E-2</v>
      </c>
      <c r="V77" s="6"/>
      <c r="W77" s="6">
        <f t="shared" si="37"/>
        <v>3.4983425899097502E-3</v>
      </c>
      <c r="AA77">
        <f t="shared" si="38"/>
        <v>1547</v>
      </c>
      <c r="AB77">
        <f t="shared" si="39"/>
        <v>0.62722769993546212</v>
      </c>
      <c r="AC77">
        <f t="shared" si="40"/>
        <v>0.56808091143507311</v>
      </c>
    </row>
    <row r="78" spans="1:29" ht="18.95" customHeight="1">
      <c r="A78" s="4">
        <f t="shared" si="41"/>
        <v>766</v>
      </c>
      <c r="B78" s="6">
        <f>INDEX('Raw Data'!$B$6:$B$1371,MATCH(A78,'Raw Data'!$A$6:$A$1371,0))</f>
        <v>16444</v>
      </c>
      <c r="C78" s="6">
        <f t="shared" si="28"/>
        <v>1569</v>
      </c>
      <c r="D78" s="6">
        <f>MOD(C78+Summary!$B$20,Summary!$B$11)</f>
        <v>1563.7416237989592</v>
      </c>
      <c r="E78" s="6">
        <f>_xlfn.XLOOKUP(D78,'Native PMKS'!$C$6:$C$366,'Native PMKS'!$C$6:$C$366,,-1)</f>
        <v>1558.3333333333335</v>
      </c>
      <c r="F78" s="6">
        <f>_xlfn.XLOOKUP(D78,'Native PMKS'!$C$6:$C$366,'Native PMKS'!$C$6:$C$366,,1)</f>
        <v>1566.6666666666667</v>
      </c>
      <c r="G78" s="6">
        <f>_xlfn.XLOOKUP(D78,'Native PMKS'!$C$6:$C$366,'Native PMKS'!$N$6:$N$366,,-1)</f>
        <v>33.575299999999999</v>
      </c>
      <c r="H78" s="6">
        <f>_xlfn.XLOOKUP(D78,'Native PMKS'!$C$6:$C$366,'Native PMKS'!$N$6:$N$366,,1)</f>
        <v>34.033700000000003</v>
      </c>
      <c r="I78" s="6">
        <f t="shared" si="29"/>
        <v>33.872799241933151</v>
      </c>
      <c r="J78" s="6">
        <f>INDEX('Raw Data'!$F$6:$F$1371,MATCH(A78,'Raw Data'!$A$6:$A$1371,0))</f>
        <v>37.3125</v>
      </c>
      <c r="K78" s="6">
        <f t="shared" si="30"/>
        <v>0.65122597715038411</v>
      </c>
      <c r="L78" s="6">
        <f t="shared" si="31"/>
        <v>0.59119187363877279</v>
      </c>
      <c r="M78" s="6">
        <f t="shared" si="32"/>
        <v>6.0034103511611314E-2</v>
      </c>
      <c r="N78" s="6">
        <f t="shared" si="33"/>
        <v>3.6040935844428618E-3</v>
      </c>
      <c r="O78" s="6">
        <f>_xlfn.XLOOKUP(D78,'Instructor 360'!$B$6:$B$365,'Instructor 360'!$B$6:$B$365,,-1)</f>
        <v>1562.6740947075209</v>
      </c>
      <c r="P78" s="6">
        <f>_xlfn.XLOOKUP(D78,'Instructor 360'!$B$6:$B$365,'Instructor 360'!$B$6:$B$365,,1)</f>
        <v>1571.0306406685236</v>
      </c>
      <c r="Q78" s="6">
        <f>_xlfn.XLOOKUP(D78,'Instructor 360'!$B$6:$B$365,'Instructor 360'!$F$6:$F$365,,-1)</f>
        <v>33.814076601671303</v>
      </c>
      <c r="R78" s="6">
        <f>_xlfn.XLOOKUP(D78,'Instructor 360'!$B$6:$B$365,'Instructor 360'!$F$6:$F$365,,1)</f>
        <v>34.30376016713091</v>
      </c>
      <c r="S78" s="6">
        <f t="shared" si="34"/>
        <v>33.876632525394683</v>
      </c>
      <c r="T78" s="6">
        <f t="shared" si="35"/>
        <v>0.59125877705633878</v>
      </c>
      <c r="U78" s="6">
        <f t="shared" si="36"/>
        <v>5.9967200094045325E-2</v>
      </c>
      <c r="V78" s="6"/>
      <c r="W78" s="6">
        <f t="shared" si="37"/>
        <v>3.5960650871192695E-3</v>
      </c>
      <c r="AA78">
        <f t="shared" si="38"/>
        <v>1569</v>
      </c>
      <c r="AB78">
        <f t="shared" si="39"/>
        <v>0.65122597715038411</v>
      </c>
      <c r="AC78">
        <f t="shared" si="40"/>
        <v>0.59125877705633878</v>
      </c>
    </row>
    <row r="79" spans="1:29" ht="18.95" customHeight="1">
      <c r="A79" s="4">
        <f t="shared" si="41"/>
        <v>767</v>
      </c>
      <c r="B79" s="6">
        <f>INDEX('Raw Data'!$B$6:$B$1371,MATCH(A79,'Raw Data'!$A$6:$A$1371,0))</f>
        <v>16464</v>
      </c>
      <c r="C79" s="6">
        <f t="shared" si="28"/>
        <v>1589</v>
      </c>
      <c r="D79" s="6">
        <f>MOD(C79+Summary!$B$20,Summary!$B$11)</f>
        <v>1583.7416237989592</v>
      </c>
      <c r="E79" s="6">
        <f>_xlfn.XLOOKUP(D79,'Native PMKS'!$C$6:$C$366,'Native PMKS'!$C$6:$C$366,,-1)</f>
        <v>1583.3333333333335</v>
      </c>
      <c r="F79" s="6">
        <f>_xlfn.XLOOKUP(D79,'Native PMKS'!$C$6:$C$366,'Native PMKS'!$C$6:$C$366,,1)</f>
        <v>1591.6666666666667</v>
      </c>
      <c r="G79" s="6">
        <f>_xlfn.XLOOKUP(D79,'Native PMKS'!$C$6:$C$366,'Native PMKS'!$N$6:$N$366,,-1)</f>
        <v>35.0077</v>
      </c>
      <c r="H79" s="6">
        <f>_xlfn.XLOOKUP(D79,'Native PMKS'!$C$6:$C$366,'Native PMKS'!$N$6:$N$366,,1)</f>
        <v>35.523400000000002</v>
      </c>
      <c r="I79" s="6">
        <f t="shared" si="29"/>
        <v>35.032966647174788</v>
      </c>
      <c r="J79" s="6">
        <f>INDEX('Raw Data'!$F$6:$F$1371,MATCH(A79,'Raw Data'!$A$6:$A$1371,0))</f>
        <v>38.5</v>
      </c>
      <c r="K79" s="6">
        <f t="shared" si="30"/>
        <v>0.67195176201781692</v>
      </c>
      <c r="L79" s="6">
        <f t="shared" si="31"/>
        <v>0.61144061473455869</v>
      </c>
      <c r="M79" s="6">
        <f t="shared" si="32"/>
        <v>6.0511147283258238E-2</v>
      </c>
      <c r="N79" s="6">
        <f t="shared" si="33"/>
        <v>3.6615989455361709E-3</v>
      </c>
      <c r="O79" s="6">
        <f>_xlfn.XLOOKUP(D79,'Instructor 360'!$B$6:$B$365,'Instructor 360'!$B$6:$B$365,,-1)</f>
        <v>1579.3871866295265</v>
      </c>
      <c r="P79" s="6">
        <f>_xlfn.XLOOKUP(D79,'Instructor 360'!$B$6:$B$365,'Instructor 360'!$B$6:$B$365,,1)</f>
        <v>1587.7437325905291</v>
      </c>
      <c r="Q79" s="6">
        <f>_xlfn.XLOOKUP(D79,'Instructor 360'!$B$6:$B$365,'Instructor 360'!$F$6:$F$365,,-1)</f>
        <v>34.790677715877429</v>
      </c>
      <c r="R79" s="6">
        <f>_xlfn.XLOOKUP(D79,'Instructor 360'!$B$6:$B$365,'Instructor 360'!$F$6:$F$365,,1)</f>
        <v>35.280633147632301</v>
      </c>
      <c r="S79" s="6">
        <f t="shared" si="34"/>
        <v>35.045984173037482</v>
      </c>
      <c r="T79" s="6">
        <f t="shared" si="35"/>
        <v>0.61166781342132615</v>
      </c>
      <c r="U79" s="6">
        <f t="shared" si="36"/>
        <v>6.0283948596490777E-2</v>
      </c>
      <c r="V79" s="6"/>
      <c r="W79" s="6">
        <f t="shared" si="37"/>
        <v>3.6341544583843423E-3</v>
      </c>
      <c r="AA79">
        <f t="shared" si="38"/>
        <v>1589</v>
      </c>
      <c r="AB79">
        <f t="shared" si="39"/>
        <v>0.67195176201781692</v>
      </c>
      <c r="AC79">
        <f t="shared" si="40"/>
        <v>0.61166781342132615</v>
      </c>
    </row>
    <row r="80" spans="1:29" ht="18.95" customHeight="1">
      <c r="A80" s="4">
        <f t="shared" si="41"/>
        <v>768</v>
      </c>
      <c r="B80" s="6">
        <f>INDEX('Raw Data'!$B$6:$B$1371,MATCH(A80,'Raw Data'!$A$6:$A$1371,0))</f>
        <v>16486</v>
      </c>
      <c r="C80" s="6">
        <f t="shared" si="28"/>
        <v>1611</v>
      </c>
      <c r="D80" s="6">
        <f>MOD(C80+Summary!$B$20,Summary!$B$11)</f>
        <v>1605.7416237989592</v>
      </c>
      <c r="E80" s="6">
        <f>_xlfn.XLOOKUP(D80,'Native PMKS'!$C$6:$C$366,'Native PMKS'!$C$6:$C$366,,-1)</f>
        <v>1600</v>
      </c>
      <c r="F80" s="6">
        <f>_xlfn.XLOOKUP(D80,'Native PMKS'!$C$6:$C$366,'Native PMKS'!$C$6:$C$366,,1)</f>
        <v>1608.3333333333335</v>
      </c>
      <c r="G80" s="6">
        <f>_xlfn.XLOOKUP(D80,'Native PMKS'!$C$6:$C$366,'Native PMKS'!$N$6:$N$366,,-1)</f>
        <v>35.981699999999996</v>
      </c>
      <c r="H80" s="6">
        <f>_xlfn.XLOOKUP(D80,'Native PMKS'!$C$6:$C$366,'Native PMKS'!$N$6:$N$366,,1)</f>
        <v>36.440100000000001</v>
      </c>
      <c r="I80" s="6">
        <f t="shared" si="29"/>
        <v>36.297535241933133</v>
      </c>
      <c r="J80" s="6">
        <f>INDEX('Raw Data'!$F$6:$F$1371,MATCH(A80,'Raw Data'!$A$6:$A$1371,0))</f>
        <v>40.0625</v>
      </c>
      <c r="K80" s="6">
        <f t="shared" si="30"/>
        <v>0.69922253158022829</v>
      </c>
      <c r="L80" s="6">
        <f t="shared" si="31"/>
        <v>0.6335115003304097</v>
      </c>
      <c r="M80" s="6">
        <f t="shared" si="32"/>
        <v>6.5711031249818586E-2</v>
      </c>
      <c r="N80" s="6">
        <f t="shared" si="33"/>
        <v>4.317939627914635E-3</v>
      </c>
      <c r="O80" s="6">
        <f>_xlfn.XLOOKUP(D80,'Instructor 360'!$B$6:$B$365,'Instructor 360'!$B$6:$B$365,,-1)</f>
        <v>1604.4568245125347</v>
      </c>
      <c r="P80" s="6">
        <f>_xlfn.XLOOKUP(D80,'Instructor 360'!$B$6:$B$365,'Instructor 360'!$B$6:$B$365,,1)</f>
        <v>1612.8133704735376</v>
      </c>
      <c r="Q80" s="6">
        <f>_xlfn.XLOOKUP(D80,'Instructor 360'!$B$6:$B$365,'Instructor 360'!$F$6:$F$365,,-1)</f>
        <v>36.226861002785505</v>
      </c>
      <c r="R80" s="6">
        <f>_xlfn.XLOOKUP(D80,'Instructor 360'!$B$6:$B$365,'Instructor 360'!$F$6:$F$365,,1)</f>
        <v>36.686537883008349</v>
      </c>
      <c r="S80" s="6">
        <f t="shared" si="34"/>
        <v>36.29753524193314</v>
      </c>
      <c r="T80" s="6">
        <f t="shared" si="35"/>
        <v>0.63351150033040982</v>
      </c>
      <c r="U80" s="6">
        <f t="shared" si="36"/>
        <v>6.5711031249818475E-2</v>
      </c>
      <c r="V80" s="6"/>
      <c r="W80" s="6">
        <f t="shared" si="37"/>
        <v>4.3179396279146203E-3</v>
      </c>
      <c r="AA80">
        <f t="shared" si="38"/>
        <v>1611</v>
      </c>
      <c r="AB80">
        <f t="shared" si="39"/>
        <v>0.69922253158022829</v>
      </c>
      <c r="AC80">
        <f t="shared" si="40"/>
        <v>0.63351150033040982</v>
      </c>
    </row>
    <row r="81" spans="1:29" ht="18.95" customHeight="1">
      <c r="A81" s="4">
        <f t="shared" si="41"/>
        <v>769</v>
      </c>
      <c r="B81" s="6">
        <f>INDEX('Raw Data'!$B$6:$B$1371,MATCH(A81,'Raw Data'!$A$6:$A$1371,0))</f>
        <v>16507</v>
      </c>
      <c r="C81" s="6">
        <f t="shared" si="28"/>
        <v>1632</v>
      </c>
      <c r="D81" s="6">
        <f>MOD(C81+Summary!$B$20,Summary!$B$11)</f>
        <v>1626.7416237989592</v>
      </c>
      <c r="E81" s="6">
        <f>_xlfn.XLOOKUP(D81,'Native PMKS'!$C$6:$C$366,'Native PMKS'!$C$6:$C$366,,-1)</f>
        <v>1625.0000000000002</v>
      </c>
      <c r="F81" s="6">
        <f>_xlfn.XLOOKUP(D81,'Native PMKS'!$C$6:$C$366,'Native PMKS'!$C$6:$C$366,,1)</f>
        <v>1633.3333333333335</v>
      </c>
      <c r="G81" s="6">
        <f>_xlfn.XLOOKUP(D81,'Native PMKS'!$C$6:$C$366,'Native PMKS'!$N$6:$N$366,,-1)</f>
        <v>37.3568</v>
      </c>
      <c r="H81" s="6">
        <f>_xlfn.XLOOKUP(D81,'Native PMKS'!$C$6:$C$366,'Native PMKS'!$N$6:$N$366,,1)</f>
        <v>37.757899999999999</v>
      </c>
      <c r="I81" s="6">
        <f t="shared" si="29"/>
        <v>37.44062783669149</v>
      </c>
      <c r="J81" s="6">
        <f>INDEX('Raw Data'!$F$6:$F$1371,MATCH(A81,'Raw Data'!$A$6:$A$1371,0))</f>
        <v>41.875</v>
      </c>
      <c r="K81" s="6">
        <f t="shared" si="30"/>
        <v>0.73085662427262543</v>
      </c>
      <c r="L81" s="6">
        <f t="shared" si="31"/>
        <v>0.65346222976410828</v>
      </c>
      <c r="M81" s="6">
        <f t="shared" si="32"/>
        <v>7.739439450851715E-2</v>
      </c>
      <c r="N81" s="6">
        <f t="shared" si="33"/>
        <v>5.9898923013399896E-3</v>
      </c>
      <c r="O81" s="6">
        <f>_xlfn.XLOOKUP(D81,'Instructor 360'!$B$6:$B$365,'Instructor 360'!$B$6:$B$365,,-1)</f>
        <v>1621.1699164345405</v>
      </c>
      <c r="P81" s="6">
        <f>_xlfn.XLOOKUP(D81,'Instructor 360'!$B$6:$B$365,'Instructor 360'!$B$6:$B$365,,1)</f>
        <v>1629.5264623955431</v>
      </c>
      <c r="Q81" s="6">
        <f>_xlfn.XLOOKUP(D81,'Instructor 360'!$B$6:$B$365,'Instructor 360'!$F$6:$F$365,,-1)</f>
        <v>37.14616072423398</v>
      </c>
      <c r="R81" s="6">
        <f>_xlfn.XLOOKUP(D81,'Instructor 360'!$B$6:$B$365,'Instructor 360'!$F$6:$F$365,,1)</f>
        <v>37.574667688022274</v>
      </c>
      <c r="S81" s="6">
        <f t="shared" si="34"/>
        <v>37.431866734466638</v>
      </c>
      <c r="T81" s="6">
        <f t="shared" si="35"/>
        <v>0.65330931968418082</v>
      </c>
      <c r="U81" s="6">
        <f t="shared" si="36"/>
        <v>7.754730458844461E-2</v>
      </c>
      <c r="V81" s="6"/>
      <c r="W81" s="6">
        <f t="shared" si="37"/>
        <v>6.0135844489330025E-3</v>
      </c>
      <c r="AA81">
        <f t="shared" si="38"/>
        <v>1632</v>
      </c>
      <c r="AB81">
        <f t="shared" si="39"/>
        <v>0.73085662427262543</v>
      </c>
      <c r="AC81">
        <f t="shared" si="40"/>
        <v>0.65330931968418082</v>
      </c>
    </row>
    <row r="82" spans="1:29" ht="18.95" customHeight="1">
      <c r="A82" s="4">
        <f t="shared" si="41"/>
        <v>770</v>
      </c>
      <c r="B82" s="6">
        <f>INDEX('Raw Data'!$B$6:$B$1371,MATCH(A82,'Raw Data'!$A$6:$A$1371,0))</f>
        <v>16527</v>
      </c>
      <c r="C82" s="6">
        <f t="shared" si="28"/>
        <v>1652</v>
      </c>
      <c r="D82" s="6">
        <f>MOD(C82+Summary!$B$20,Summary!$B$11)</f>
        <v>1646.7416237989592</v>
      </c>
      <c r="E82" s="6">
        <f>_xlfn.XLOOKUP(D82,'Native PMKS'!$C$6:$C$366,'Native PMKS'!$C$6:$C$366,,-1)</f>
        <v>1641.6666666666667</v>
      </c>
      <c r="F82" s="6">
        <f>_xlfn.XLOOKUP(D82,'Native PMKS'!$C$6:$C$366,'Native PMKS'!$C$6:$C$366,,1)</f>
        <v>1650.0000000000002</v>
      </c>
      <c r="G82" s="6">
        <f>_xlfn.XLOOKUP(D82,'Native PMKS'!$C$6:$C$366,'Native PMKS'!$N$6:$N$366,,-1)</f>
        <v>38.216299999999997</v>
      </c>
      <c r="H82" s="6">
        <f>_xlfn.XLOOKUP(D82,'Native PMKS'!$C$6:$C$366,'Native PMKS'!$N$6:$N$366,,1)</f>
        <v>38.617400000000004</v>
      </c>
      <c r="I82" s="6">
        <f t="shared" si="29"/>
        <v>38.460567836691496</v>
      </c>
      <c r="J82" s="6">
        <f>INDEX('Raw Data'!$F$6:$F$1371,MATCH(A82,'Raw Data'!$A$6:$A$1371,0))</f>
        <v>43.0625</v>
      </c>
      <c r="K82" s="6">
        <f t="shared" si="30"/>
        <v>0.75158240914005803</v>
      </c>
      <c r="L82" s="6">
        <f t="shared" si="31"/>
        <v>0.67126354093689933</v>
      </c>
      <c r="M82" s="6">
        <f t="shared" si="32"/>
        <v>8.03188682031587E-2</v>
      </c>
      <c r="N82" s="6">
        <f t="shared" si="33"/>
        <v>6.4511205894363776E-3</v>
      </c>
      <c r="O82" s="6">
        <f>_xlfn.XLOOKUP(D82,'Instructor 360'!$B$6:$B$365,'Instructor 360'!$B$6:$B$365,,-1)</f>
        <v>1646.2395543175487</v>
      </c>
      <c r="P82" s="6">
        <f>_xlfn.XLOOKUP(D82,'Instructor 360'!$B$6:$B$365,'Instructor 360'!$B$6:$B$365,,1)</f>
        <v>1654.5961002785516</v>
      </c>
      <c r="Q82" s="6">
        <f>_xlfn.XLOOKUP(D82,'Instructor 360'!$B$6:$B$365,'Instructor 360'!$F$6:$F$365,,-1)</f>
        <v>38.436402228412248</v>
      </c>
      <c r="R82" s="6">
        <f>_xlfn.XLOOKUP(D82,'Instructor 360'!$B$6:$B$365,'Instructor 360'!$F$6:$F$365,,1)</f>
        <v>38.838564345403896</v>
      </c>
      <c r="S82" s="6">
        <f t="shared" si="34"/>
        <v>38.460564523032907</v>
      </c>
      <c r="T82" s="6">
        <f t="shared" si="35"/>
        <v>0.67126348310264672</v>
      </c>
      <c r="U82" s="6">
        <f t="shared" si="36"/>
        <v>8.0318926037411309E-2</v>
      </c>
      <c r="V82" s="6"/>
      <c r="W82" s="6">
        <f t="shared" si="37"/>
        <v>6.4511298798031486E-3</v>
      </c>
      <c r="AA82">
        <f t="shared" si="38"/>
        <v>1652</v>
      </c>
      <c r="AB82">
        <f t="shared" si="39"/>
        <v>0.75158240914005803</v>
      </c>
      <c r="AC82">
        <f t="shared" si="40"/>
        <v>0.67126348310264672</v>
      </c>
    </row>
    <row r="83" spans="1:29" ht="18.95" customHeight="1">
      <c r="A83" s="4">
        <f t="shared" si="41"/>
        <v>771</v>
      </c>
      <c r="B83" s="6">
        <f>INDEX('Raw Data'!$B$6:$B$1371,MATCH(A83,'Raw Data'!$A$6:$A$1371,0))</f>
        <v>16547</v>
      </c>
      <c r="C83" s="6">
        <f t="shared" si="28"/>
        <v>1672</v>
      </c>
      <c r="D83" s="6">
        <f>MOD(C83+Summary!$B$20,Summary!$B$11)</f>
        <v>1666.7416237989592</v>
      </c>
      <c r="E83" s="6">
        <f>_xlfn.XLOOKUP(D83,'Native PMKS'!$C$6:$C$366,'Native PMKS'!$C$6:$C$366,,-1)</f>
        <v>1666.6666666666667</v>
      </c>
      <c r="F83" s="6">
        <f>_xlfn.XLOOKUP(D83,'Native PMKS'!$C$6:$C$366,'Native PMKS'!$C$6:$C$366,,1)</f>
        <v>1675.0000000000002</v>
      </c>
      <c r="G83" s="6">
        <f>_xlfn.XLOOKUP(D83,'Native PMKS'!$C$6:$C$366,'Native PMKS'!$N$6:$N$366,,-1)</f>
        <v>39.419499999999999</v>
      </c>
      <c r="H83" s="6">
        <f>_xlfn.XLOOKUP(D83,'Native PMKS'!$C$6:$C$366,'Native PMKS'!$N$6:$N$366,,1)</f>
        <v>39.820599999999999</v>
      </c>
      <c r="I83" s="6">
        <f t="shared" si="29"/>
        <v>39.423107836691493</v>
      </c>
      <c r="J83" s="6">
        <f>INDEX('Raw Data'!$F$6:$F$1371,MATCH(A83,'Raw Data'!$A$6:$A$1371,0))</f>
        <v>43.875</v>
      </c>
      <c r="K83" s="6">
        <f t="shared" si="30"/>
        <v>0.76576320931251207</v>
      </c>
      <c r="L83" s="6">
        <f t="shared" si="31"/>
        <v>0.68806303311904549</v>
      </c>
      <c r="M83" s="6">
        <f t="shared" si="32"/>
        <v>7.7700176193466586E-2</v>
      </c>
      <c r="N83" s="6">
        <f t="shared" si="33"/>
        <v>6.0373173804957516E-3</v>
      </c>
      <c r="O83" s="6">
        <f>_xlfn.XLOOKUP(D83,'Instructor 360'!$B$6:$B$365,'Instructor 360'!$B$6:$B$365,,-1)</f>
        <v>1662.9526462395543</v>
      </c>
      <c r="P83" s="6">
        <f>_xlfn.XLOOKUP(D83,'Instructor 360'!$B$6:$B$365,'Instructor 360'!$B$6:$B$365,,1)</f>
        <v>1671.3091922005572</v>
      </c>
      <c r="Q83" s="6">
        <f>_xlfn.XLOOKUP(D83,'Instructor 360'!$B$6:$B$365,'Instructor 360'!$F$6:$F$365,,-1)</f>
        <v>39.240736768802222</v>
      </c>
      <c r="R83" s="6">
        <f>_xlfn.XLOOKUP(D83,'Instructor 360'!$B$6:$B$365,'Instructor 360'!$F$6:$F$365,,1)</f>
        <v>39.64295403899721</v>
      </c>
      <c r="S83" s="6">
        <f t="shared" si="34"/>
        <v>39.4231078366915</v>
      </c>
      <c r="T83" s="6">
        <f t="shared" si="35"/>
        <v>0.68806303311904571</v>
      </c>
      <c r="U83" s="6">
        <f t="shared" si="36"/>
        <v>7.7700176193466364E-2</v>
      </c>
      <c r="V83" s="6"/>
      <c r="W83" s="6">
        <f t="shared" si="37"/>
        <v>6.0373173804957169E-3</v>
      </c>
      <c r="AA83">
        <f t="shared" si="38"/>
        <v>1672</v>
      </c>
      <c r="AB83">
        <f t="shared" si="39"/>
        <v>0.76576320931251207</v>
      </c>
      <c r="AC83">
        <f t="shared" si="40"/>
        <v>0.68806303311904571</v>
      </c>
    </row>
    <row r="84" spans="1:29" ht="18.95" customHeight="1">
      <c r="A84" s="4">
        <f t="shared" si="41"/>
        <v>772</v>
      </c>
      <c r="B84" s="6">
        <f>INDEX('Raw Data'!$B$6:$B$1371,MATCH(A84,'Raw Data'!$A$6:$A$1371,0))</f>
        <v>16567</v>
      </c>
      <c r="C84" s="6">
        <f t="shared" si="28"/>
        <v>1692</v>
      </c>
      <c r="D84" s="6">
        <f>MOD(C84+Summary!$B$20,Summary!$B$11)</f>
        <v>1686.7416237989592</v>
      </c>
      <c r="E84" s="6">
        <f>_xlfn.XLOOKUP(D84,'Native PMKS'!$C$6:$C$366,'Native PMKS'!$C$6:$C$366,,-1)</f>
        <v>1683.3333333333335</v>
      </c>
      <c r="F84" s="6">
        <f>_xlfn.XLOOKUP(D84,'Native PMKS'!$C$6:$C$366,'Native PMKS'!$C$6:$C$366,,1)</f>
        <v>1691.6666666666667</v>
      </c>
      <c r="G84" s="6">
        <f>_xlfn.XLOOKUP(D84,'Native PMKS'!$C$6:$C$366,'Native PMKS'!$N$6:$N$366,,-1)</f>
        <v>40.164299999999997</v>
      </c>
      <c r="H84" s="6">
        <f>_xlfn.XLOOKUP(D84,'Native PMKS'!$C$6:$C$366,'Native PMKS'!$N$6:$N$366,,1)</f>
        <v>40.565399999999997</v>
      </c>
      <c r="I84" s="6">
        <f t="shared" si="29"/>
        <v>40.328347836691499</v>
      </c>
      <c r="J84" s="6">
        <f>INDEX('Raw Data'!$F$6:$F$1371,MATCH(A84,'Raw Data'!$A$6:$A$1371,0))</f>
        <v>45.875</v>
      </c>
      <c r="K84" s="6">
        <f t="shared" si="30"/>
        <v>0.80066979435239871</v>
      </c>
      <c r="L84" s="6">
        <f t="shared" si="31"/>
        <v>0.7038624516397991</v>
      </c>
      <c r="M84" s="6">
        <f t="shared" si="32"/>
        <v>9.6807342712599609E-2</v>
      </c>
      <c r="N84" s="6">
        <f t="shared" si="33"/>
        <v>9.3716616030747133E-3</v>
      </c>
      <c r="O84" s="6">
        <f>_xlfn.XLOOKUP(D84,'Instructor 360'!$B$6:$B$365,'Instructor 360'!$B$6:$B$365,,-1)</f>
        <v>1679.6657381615598</v>
      </c>
      <c r="P84" s="6">
        <f>_xlfn.XLOOKUP(D84,'Instructor 360'!$B$6:$B$365,'Instructor 360'!$B$6:$B$365,,1)</f>
        <v>1688.0222841225627</v>
      </c>
      <c r="Q84" s="6">
        <f>_xlfn.XLOOKUP(D84,'Instructor 360'!$B$6:$B$365,'Instructor 360'!$F$6:$F$365,,-1)</f>
        <v>40.013033704735363</v>
      </c>
      <c r="R84" s="6">
        <f>_xlfn.XLOOKUP(D84,'Instructor 360'!$B$6:$B$365,'Instructor 360'!$F$6:$F$365,,1)</f>
        <v>40.389988579387179</v>
      </c>
      <c r="S84" s="6">
        <f t="shared" si="34"/>
        <v>40.332219358227086</v>
      </c>
      <c r="T84" s="6">
        <f t="shared" si="35"/>
        <v>0.7039300224376569</v>
      </c>
      <c r="U84" s="6">
        <f t="shared" si="36"/>
        <v>9.6739771914741812E-2</v>
      </c>
      <c r="V84" s="6"/>
      <c r="W84" s="6">
        <f t="shared" si="37"/>
        <v>9.358583470116269E-3</v>
      </c>
      <c r="AA84">
        <f t="shared" si="38"/>
        <v>1692</v>
      </c>
      <c r="AB84">
        <f t="shared" si="39"/>
        <v>0.80066979435239871</v>
      </c>
      <c r="AC84">
        <f t="shared" si="40"/>
        <v>0.7039300224376569</v>
      </c>
    </row>
    <row r="85" spans="1:29" ht="18.95" customHeight="1">
      <c r="A85" s="4">
        <f t="shared" si="41"/>
        <v>773</v>
      </c>
      <c r="B85" s="6">
        <f>INDEX('Raw Data'!$B$6:$B$1371,MATCH(A85,'Raw Data'!$A$6:$A$1371,0))</f>
        <v>16598</v>
      </c>
      <c r="C85" s="6">
        <f t="shared" si="28"/>
        <v>1723</v>
      </c>
      <c r="D85" s="6">
        <f>MOD(C85+Summary!$B$20,Summary!$B$11)</f>
        <v>1717.7416237989592</v>
      </c>
      <c r="E85" s="6">
        <f>_xlfn.XLOOKUP(D85,'Native PMKS'!$C$6:$C$366,'Native PMKS'!$C$6:$C$366,,-1)</f>
        <v>1716.6666666666667</v>
      </c>
      <c r="F85" s="6">
        <f>_xlfn.XLOOKUP(D85,'Native PMKS'!$C$6:$C$366,'Native PMKS'!$C$6:$C$366,,1)</f>
        <v>1725.0000000000002</v>
      </c>
      <c r="G85" s="6">
        <f>_xlfn.XLOOKUP(D85,'Native PMKS'!$C$6:$C$366,'Native PMKS'!$N$6:$N$366,,-1)</f>
        <v>41.596699999999998</v>
      </c>
      <c r="H85" s="6">
        <f>_xlfn.XLOOKUP(D85,'Native PMKS'!$C$6:$C$366,'Native PMKS'!$N$6:$N$366,,1)</f>
        <v>41.9405</v>
      </c>
      <c r="I85" s="6">
        <f t="shared" si="29"/>
        <v>41.641048431449853</v>
      </c>
      <c r="J85" s="6">
        <f>INDEX('Raw Data'!$F$6:$F$1371,MATCH(A85,'Raw Data'!$A$6:$A$1371,0))</f>
        <v>47.3125</v>
      </c>
      <c r="K85" s="6">
        <f t="shared" si="30"/>
        <v>0.82575890234981719</v>
      </c>
      <c r="L85" s="6">
        <f t="shared" si="31"/>
        <v>0.7267733991112203</v>
      </c>
      <c r="M85" s="6">
        <f t="shared" si="32"/>
        <v>9.8985503238596895E-2</v>
      </c>
      <c r="N85" s="6">
        <f t="shared" si="33"/>
        <v>9.7981298513982757E-3</v>
      </c>
      <c r="O85" s="6">
        <f>_xlfn.XLOOKUP(D85,'Instructor 360'!$B$6:$B$365,'Instructor 360'!$B$6:$B$365,,-1)</f>
        <v>1713.091922005571</v>
      </c>
      <c r="P85" s="6">
        <f>_xlfn.XLOOKUP(D85,'Instructor 360'!$B$6:$B$365,'Instructor 360'!$B$6:$B$365,,1)</f>
        <v>1721.4484679665738</v>
      </c>
      <c r="Q85" s="6">
        <f>_xlfn.XLOOKUP(D85,'Instructor 360'!$B$6:$B$365,'Instructor 360'!$F$6:$F$365,,-1)</f>
        <v>41.449263231197762</v>
      </c>
      <c r="R85" s="6">
        <f>_xlfn.XLOOKUP(D85,'Instructor 360'!$B$6:$B$365,'Instructor 360'!$F$6:$F$365,,1)</f>
        <v>41.793977994428964</v>
      </c>
      <c r="S85" s="6">
        <f t="shared" si="34"/>
        <v>41.64106745991657</v>
      </c>
      <c r="T85" s="6">
        <f t="shared" si="35"/>
        <v>0.72677373122061606</v>
      </c>
      <c r="U85" s="6">
        <f t="shared" si="36"/>
        <v>9.8985171129201133E-2</v>
      </c>
      <c r="V85" s="6"/>
      <c r="W85" s="6">
        <f t="shared" si="37"/>
        <v>9.7980641034772342E-3</v>
      </c>
      <c r="AA85">
        <f t="shared" si="38"/>
        <v>1723</v>
      </c>
      <c r="AB85">
        <f t="shared" si="39"/>
        <v>0.82575890234981719</v>
      </c>
      <c r="AC85">
        <f t="shared" si="40"/>
        <v>0.72677373122061606</v>
      </c>
    </row>
    <row r="86" spans="1:29" ht="18.95" customHeight="1">
      <c r="A86" s="4">
        <f t="shared" si="41"/>
        <v>774</v>
      </c>
      <c r="B86" s="6">
        <f>INDEX('Raw Data'!$B$6:$B$1371,MATCH(A86,'Raw Data'!$A$6:$A$1371,0))</f>
        <v>16620</v>
      </c>
      <c r="C86" s="6">
        <f t="shared" si="28"/>
        <v>1745</v>
      </c>
      <c r="D86" s="6">
        <f>MOD(C86+Summary!$B$20,Summary!$B$11)</f>
        <v>1739.7416237989592</v>
      </c>
      <c r="E86" s="6">
        <f>_xlfn.XLOOKUP(D86,'Native PMKS'!$C$6:$C$366,'Native PMKS'!$C$6:$C$366,,-1)</f>
        <v>1733.3333333333335</v>
      </c>
      <c r="F86" s="6">
        <f>_xlfn.XLOOKUP(D86,'Native PMKS'!$C$6:$C$366,'Native PMKS'!$C$6:$C$366,,1)</f>
        <v>1741.6666666666667</v>
      </c>
      <c r="G86" s="6">
        <f>_xlfn.XLOOKUP(D86,'Native PMKS'!$C$6:$C$366,'Native PMKS'!$N$6:$N$366,,-1)</f>
        <v>42.226999999999997</v>
      </c>
      <c r="H86" s="6">
        <f>_xlfn.XLOOKUP(D86,'Native PMKS'!$C$6:$C$366,'Native PMKS'!$N$6:$N$366,,1)</f>
        <v>42.513500000000001</v>
      </c>
      <c r="I86" s="6">
        <f t="shared" si="29"/>
        <v>42.447317026208218</v>
      </c>
      <c r="J86" s="6">
        <f>INDEX('Raw Data'!$F$6:$F$1371,MATCH(A86,'Raw Data'!$A$6:$A$1371,0))</f>
        <v>48</v>
      </c>
      <c r="K86" s="6">
        <f t="shared" si="30"/>
        <v>0.83775804095727813</v>
      </c>
      <c r="L86" s="6">
        <f t="shared" si="31"/>
        <v>0.74084544074518155</v>
      </c>
      <c r="M86" s="6">
        <f t="shared" si="32"/>
        <v>9.6912600212096578E-2</v>
      </c>
      <c r="N86" s="6">
        <f t="shared" si="33"/>
        <v>9.3920520798696609E-3</v>
      </c>
      <c r="O86" s="6">
        <f>_xlfn.XLOOKUP(D86,'Instructor 360'!$B$6:$B$365,'Instructor 360'!$B$6:$B$365,,-1)</f>
        <v>1738.1615598885794</v>
      </c>
      <c r="P86" s="6">
        <f>_xlfn.XLOOKUP(D86,'Instructor 360'!$B$6:$B$365,'Instructor 360'!$B$6:$B$365,,1)</f>
        <v>1746.5181058495821</v>
      </c>
      <c r="Q86" s="6">
        <f>_xlfn.XLOOKUP(D86,'Instructor 360'!$B$6:$B$365,'Instructor 360'!$F$6:$F$365,,-1)</f>
        <v>42.392994428969352</v>
      </c>
      <c r="R86" s="6">
        <f>_xlfn.XLOOKUP(D86,'Instructor 360'!$B$6:$B$365,'Instructor 360'!$F$6:$F$365,,1)</f>
        <v>42.680234261838429</v>
      </c>
      <c r="S86" s="6">
        <f t="shared" si="34"/>
        <v>42.447306018429629</v>
      </c>
      <c r="T86" s="6">
        <f t="shared" si="35"/>
        <v>0.74084524862320189</v>
      </c>
      <c r="U86" s="6">
        <f t="shared" si="36"/>
        <v>9.6912792334076237E-2</v>
      </c>
      <c r="V86" s="6"/>
      <c r="W86" s="6">
        <f t="shared" si="37"/>
        <v>9.3920893179877864E-3</v>
      </c>
      <c r="AA86">
        <f t="shared" si="38"/>
        <v>1745</v>
      </c>
      <c r="AB86">
        <f t="shared" si="39"/>
        <v>0.83775804095727813</v>
      </c>
      <c r="AC86">
        <f t="shared" si="40"/>
        <v>0.74084524862320189</v>
      </c>
    </row>
    <row r="87" spans="1:29" ht="18.95" customHeight="1">
      <c r="A87" s="4">
        <f t="shared" si="41"/>
        <v>775</v>
      </c>
      <c r="B87" s="6">
        <f>INDEX('Raw Data'!$B$6:$B$1371,MATCH(A87,'Raw Data'!$A$6:$A$1371,0))</f>
        <v>16640</v>
      </c>
      <c r="C87" s="6">
        <f t="shared" si="28"/>
        <v>1765</v>
      </c>
      <c r="D87" s="6">
        <f>MOD(C87+Summary!$B$20,Summary!$B$11)</f>
        <v>1759.7416237989592</v>
      </c>
      <c r="E87" s="6">
        <f>_xlfn.XLOOKUP(D87,'Native PMKS'!$C$6:$C$366,'Native PMKS'!$C$6:$C$366,,-1)</f>
        <v>1758.3333333333335</v>
      </c>
      <c r="F87" s="6">
        <f>_xlfn.XLOOKUP(D87,'Native PMKS'!$C$6:$C$366,'Native PMKS'!$C$6:$C$366,,1)</f>
        <v>1766.6666666666667</v>
      </c>
      <c r="G87" s="6">
        <f>_xlfn.XLOOKUP(D87,'Native PMKS'!$C$6:$C$366,'Native PMKS'!$N$6:$N$366,,-1)</f>
        <v>43.086399999999998</v>
      </c>
      <c r="H87" s="6">
        <f>_xlfn.XLOOKUP(D87,'Native PMKS'!$C$6:$C$366,'Native PMKS'!$N$6:$N$366,,1)</f>
        <v>43.372900000000001</v>
      </c>
      <c r="I87" s="6">
        <f t="shared" si="29"/>
        <v>43.134817026208211</v>
      </c>
      <c r="J87" s="6">
        <f>INDEX('Raw Data'!$F$6:$F$1371,MATCH(A87,'Raw Data'!$A$6:$A$1371,0))</f>
        <v>48.5625</v>
      </c>
      <c r="K87" s="6">
        <f t="shared" si="30"/>
        <v>0.84757551799974618</v>
      </c>
      <c r="L87" s="6">
        <f t="shared" si="31"/>
        <v>0.75284457935264248</v>
      </c>
      <c r="M87" s="6">
        <f t="shared" si="32"/>
        <v>9.4730938647103691E-2</v>
      </c>
      <c r="N87" s="6">
        <f t="shared" si="33"/>
        <v>8.9739507369613232E-3</v>
      </c>
      <c r="O87" s="6">
        <f>_xlfn.XLOOKUP(D87,'Instructor 360'!$B$6:$B$365,'Instructor 360'!$B$6:$B$365,,-1)</f>
        <v>1754.874651810585</v>
      </c>
      <c r="P87" s="6">
        <f>_xlfn.XLOOKUP(D87,'Instructor 360'!$B$6:$B$365,'Instructor 360'!$B$6:$B$365,,1)</f>
        <v>1763.2311977715876</v>
      </c>
      <c r="Q87" s="6">
        <f>_xlfn.XLOOKUP(D87,'Instructor 360'!$B$6:$B$365,'Instructor 360'!$F$6:$F$365,,-1)</f>
        <v>42.967490529247904</v>
      </c>
      <c r="R87" s="6">
        <f>_xlfn.XLOOKUP(D87,'Instructor 360'!$B$6:$B$365,'Instructor 360'!$F$6:$F$365,,1)</f>
        <v>43.254788579387181</v>
      </c>
      <c r="S87" s="6">
        <f t="shared" si="34"/>
        <v>43.134817026208218</v>
      </c>
      <c r="T87" s="6">
        <f t="shared" si="35"/>
        <v>0.75284457935264248</v>
      </c>
      <c r="U87" s="6">
        <f t="shared" si="36"/>
        <v>9.4730938647103691E-2</v>
      </c>
      <c r="V87" s="6"/>
      <c r="W87" s="6">
        <f t="shared" si="37"/>
        <v>8.9739507369613232E-3</v>
      </c>
      <c r="AA87">
        <f t="shared" si="38"/>
        <v>1765</v>
      </c>
      <c r="AB87">
        <f t="shared" si="39"/>
        <v>0.84757551799974618</v>
      </c>
      <c r="AC87">
        <f t="shared" si="40"/>
        <v>0.75284457935264248</v>
      </c>
    </row>
    <row r="88" spans="1:29" ht="18.95" customHeight="1">
      <c r="A88" s="4">
        <f t="shared" si="41"/>
        <v>776</v>
      </c>
      <c r="B88" s="6">
        <f>INDEX('Raw Data'!$B$6:$B$1371,MATCH(A88,'Raw Data'!$A$6:$A$1371,0))</f>
        <v>16661</v>
      </c>
      <c r="C88" s="6">
        <f t="shared" si="28"/>
        <v>1786</v>
      </c>
      <c r="D88" s="6">
        <f>MOD(C88+Summary!$B$20,Summary!$B$11)</f>
        <v>1780.7416237989592</v>
      </c>
      <c r="E88" s="6">
        <f>_xlfn.XLOOKUP(D88,'Native PMKS'!$C$6:$C$366,'Native PMKS'!$C$6:$C$366,,-1)</f>
        <v>1775.0000000000002</v>
      </c>
      <c r="F88" s="6">
        <f>_xlfn.XLOOKUP(D88,'Native PMKS'!$C$6:$C$366,'Native PMKS'!$C$6:$C$366,,1)</f>
        <v>1783.3333333333335</v>
      </c>
      <c r="G88" s="6">
        <f>_xlfn.XLOOKUP(D88,'Native PMKS'!$C$6:$C$366,'Native PMKS'!$N$6:$N$366,,-1)</f>
        <v>43.6021</v>
      </c>
      <c r="H88" s="6">
        <f>_xlfn.XLOOKUP(D88,'Native PMKS'!$C$6:$C$366,'Native PMKS'!$N$6:$N$366,,1)</f>
        <v>43.888599999999997</v>
      </c>
      <c r="I88" s="6">
        <f t="shared" si="29"/>
        <v>43.799497026208208</v>
      </c>
      <c r="J88" s="6">
        <f>INDEX('Raw Data'!$F$6:$F$1371,MATCH(A88,'Raw Data'!$A$6:$A$1371,0))</f>
        <v>49.75</v>
      </c>
      <c r="K88" s="6">
        <f t="shared" si="30"/>
        <v>0.86830130286717899</v>
      </c>
      <c r="L88" s="6">
        <f t="shared" si="31"/>
        <v>0.76444543382479835</v>
      </c>
      <c r="M88" s="6">
        <f t="shared" si="32"/>
        <v>0.10385586904238064</v>
      </c>
      <c r="N88" s="6">
        <f t="shared" si="33"/>
        <v>1.0786041534548119E-2</v>
      </c>
      <c r="O88" s="6">
        <f>_xlfn.XLOOKUP(D88,'Instructor 360'!$B$6:$B$365,'Instructor 360'!$B$6:$B$365,,-1)</f>
        <v>1779.9442896935932</v>
      </c>
      <c r="P88" s="6">
        <f>_xlfn.XLOOKUP(D88,'Instructor 360'!$B$6:$B$365,'Instructor 360'!$B$6:$B$365,,1)</f>
        <v>1788.3008356545961</v>
      </c>
      <c r="Q88" s="6">
        <f>_xlfn.XLOOKUP(D88,'Instructor 360'!$B$6:$B$365,'Instructor 360'!$F$6:$F$365,,-1)</f>
        <v>43.772084679665724</v>
      </c>
      <c r="R88" s="6">
        <f>_xlfn.XLOOKUP(D88,'Instructor 360'!$B$6:$B$365,'Instructor 360'!$F$6:$F$365,,1)</f>
        <v>44.025226183844005</v>
      </c>
      <c r="S88" s="6">
        <f t="shared" si="34"/>
        <v>43.796238002785927</v>
      </c>
      <c r="T88" s="6">
        <f t="shared" si="35"/>
        <v>0.76438855313567999</v>
      </c>
      <c r="U88" s="6">
        <f t="shared" si="36"/>
        <v>0.103912749731499</v>
      </c>
      <c r="V88" s="6"/>
      <c r="W88" s="6">
        <f t="shared" si="37"/>
        <v>1.0797859556761146E-2</v>
      </c>
      <c r="AA88">
        <f t="shared" si="38"/>
        <v>1786</v>
      </c>
      <c r="AB88">
        <f t="shared" si="39"/>
        <v>0.86830130286717899</v>
      </c>
      <c r="AC88">
        <f t="shared" si="40"/>
        <v>0.76438855313567999</v>
      </c>
    </row>
    <row r="89" spans="1:29" ht="18.95" customHeight="1">
      <c r="A89" s="4">
        <f t="shared" si="41"/>
        <v>777</v>
      </c>
      <c r="B89" s="6">
        <f>INDEX('Raw Data'!$B$6:$B$1371,MATCH(A89,'Raw Data'!$A$6:$A$1371,0))</f>
        <v>16681</v>
      </c>
      <c r="C89" s="6">
        <f t="shared" si="28"/>
        <v>1806</v>
      </c>
      <c r="D89" s="6">
        <f>MOD(C89+Summary!$B$20,Summary!$B$11)</f>
        <v>1800.7416237989592</v>
      </c>
      <c r="E89" s="6">
        <f>_xlfn.XLOOKUP(D89,'Native PMKS'!$C$6:$C$366,'Native PMKS'!$C$6:$C$366,,-1)</f>
        <v>1800.0000000000002</v>
      </c>
      <c r="F89" s="6">
        <f>_xlfn.XLOOKUP(D89,'Native PMKS'!$C$6:$C$366,'Native PMKS'!$C$6:$C$366,,1)</f>
        <v>1808.3333333333335</v>
      </c>
      <c r="G89" s="6">
        <f>_xlfn.XLOOKUP(D89,'Native PMKS'!$C$6:$C$366,'Native PMKS'!$N$6:$N$366,,-1)</f>
        <v>44.2896</v>
      </c>
      <c r="H89" s="6">
        <f>_xlfn.XLOOKUP(D89,'Native PMKS'!$C$6:$C$366,'Native PMKS'!$N$6:$N$366,,1)</f>
        <v>44.518799999999999</v>
      </c>
      <c r="I89" s="6">
        <f t="shared" si="29"/>
        <v>44.309997620966563</v>
      </c>
      <c r="J89" s="6">
        <f>INDEX('Raw Data'!$F$6:$F$1371,MATCH(A89,'Raw Data'!$A$6:$A$1371,0))</f>
        <v>50.25</v>
      </c>
      <c r="K89" s="6">
        <f t="shared" si="30"/>
        <v>0.87702794912715065</v>
      </c>
      <c r="L89" s="6">
        <f t="shared" si="31"/>
        <v>0.77335535003672096</v>
      </c>
      <c r="M89" s="6">
        <f t="shared" si="32"/>
        <v>0.1036725990904297</v>
      </c>
      <c r="N89" s="6">
        <f t="shared" si="33"/>
        <v>1.0748007802164963E-2</v>
      </c>
      <c r="O89" s="6">
        <f>_xlfn.XLOOKUP(D89,'Instructor 360'!$B$6:$B$365,'Instructor 360'!$B$6:$B$365,,-1)</f>
        <v>1796.657381615599</v>
      </c>
      <c r="P89" s="6">
        <f>_xlfn.XLOOKUP(D89,'Instructor 360'!$B$6:$B$365,'Instructor 360'!$B$6:$B$365,,1)</f>
        <v>1805.0139275766016</v>
      </c>
      <c r="Q89" s="6">
        <f>_xlfn.XLOOKUP(D89,'Instructor 360'!$B$6:$B$365,'Instructor 360'!$F$6:$F$365,,-1)</f>
        <v>44.220688579387186</v>
      </c>
      <c r="R89" s="6">
        <f>_xlfn.XLOOKUP(D89,'Instructor 360'!$B$6:$B$365,'Instructor 360'!$F$6:$F$365,,1)</f>
        <v>44.427503064066848</v>
      </c>
      <c r="S89" s="6">
        <f t="shared" si="34"/>
        <v>44.321768672334727</v>
      </c>
      <c r="T89" s="6">
        <f t="shared" si="35"/>
        <v>0.7735607936395168</v>
      </c>
      <c r="U89" s="6">
        <f t="shared" si="36"/>
        <v>0.10346715548763386</v>
      </c>
      <c r="V89" s="6"/>
      <c r="W89" s="6">
        <f t="shared" si="37"/>
        <v>1.07054522647022E-2</v>
      </c>
      <c r="AA89">
        <f t="shared" si="38"/>
        <v>1806</v>
      </c>
      <c r="AB89">
        <f t="shared" si="39"/>
        <v>0.87702794912715065</v>
      </c>
      <c r="AC89">
        <f t="shared" si="40"/>
        <v>0.7735607936395168</v>
      </c>
    </row>
    <row r="90" spans="1:29" ht="18.95" customHeight="1">
      <c r="A90" s="4">
        <f t="shared" si="41"/>
        <v>778</v>
      </c>
      <c r="B90" s="6">
        <f>INDEX('Raw Data'!$B$6:$B$1371,MATCH(A90,'Raw Data'!$A$6:$A$1371,0))</f>
        <v>16702</v>
      </c>
      <c r="C90" s="6">
        <f t="shared" si="28"/>
        <v>1827</v>
      </c>
      <c r="D90" s="6">
        <f>MOD(C90+Summary!$B$20,Summary!$B$11)</f>
        <v>1821.7416237989592</v>
      </c>
      <c r="E90" s="6">
        <f>_xlfn.XLOOKUP(D90,'Native PMKS'!$C$6:$C$366,'Native PMKS'!$C$6:$C$366,,-1)</f>
        <v>1816.6666666666667</v>
      </c>
      <c r="F90" s="6">
        <f>_xlfn.XLOOKUP(D90,'Native PMKS'!$C$6:$C$366,'Native PMKS'!$C$6:$C$366,,1)</f>
        <v>1825.0000000000002</v>
      </c>
      <c r="G90" s="6">
        <f>_xlfn.XLOOKUP(D90,'Native PMKS'!$C$6:$C$366,'Native PMKS'!$N$6:$N$366,,-1)</f>
        <v>44.6907</v>
      </c>
      <c r="H90" s="6">
        <f>_xlfn.XLOOKUP(D90,'Native PMKS'!$C$6:$C$366,'Native PMKS'!$N$6:$N$366,,1)</f>
        <v>44.8626</v>
      </c>
      <c r="I90" s="6">
        <f t="shared" si="29"/>
        <v>44.795386215724932</v>
      </c>
      <c r="J90" s="6">
        <f>INDEX('Raw Data'!$F$6:$F$1371,MATCH(A90,'Raw Data'!$A$6:$A$1371,0))</f>
        <v>49.6875</v>
      </c>
      <c r="K90" s="6">
        <f t="shared" si="30"/>
        <v>0.86721047208468238</v>
      </c>
      <c r="L90" s="6">
        <f t="shared" si="31"/>
        <v>0.78182697916688282</v>
      </c>
      <c r="M90" s="6">
        <f t="shared" si="32"/>
        <v>8.5383492917799564E-2</v>
      </c>
      <c r="N90" s="6">
        <f t="shared" si="33"/>
        <v>7.2903408628439284E-3</v>
      </c>
      <c r="O90" s="6">
        <f>_xlfn.XLOOKUP(D90,'Instructor 360'!$B$6:$B$365,'Instructor 360'!$B$6:$B$365,,-1)</f>
        <v>1821.7270194986072</v>
      </c>
      <c r="P90" s="6">
        <f>_xlfn.XLOOKUP(D90,'Instructor 360'!$B$6:$B$365,'Instructor 360'!$B$6:$B$365,,1)</f>
        <v>1830.0835654596101</v>
      </c>
      <c r="Q90" s="6">
        <f>_xlfn.XLOOKUP(D90,'Instructor 360'!$B$6:$B$365,'Instructor 360'!$F$6:$F$365,,-1)</f>
        <v>44.795084958217267</v>
      </c>
      <c r="R90" s="6">
        <f>_xlfn.XLOOKUP(D90,'Instructor 360'!$B$6:$B$365,'Instructor 360'!$F$6:$F$365,,1)</f>
        <v>44.967463788300833</v>
      </c>
      <c r="S90" s="6">
        <f t="shared" si="34"/>
        <v>44.795386215724925</v>
      </c>
      <c r="T90" s="6">
        <f t="shared" si="35"/>
        <v>0.78182697916688282</v>
      </c>
      <c r="U90" s="6">
        <f t="shared" si="36"/>
        <v>8.5383492917799564E-2</v>
      </c>
      <c r="V90" s="6"/>
      <c r="W90" s="6">
        <f t="shared" si="37"/>
        <v>7.2903408628439284E-3</v>
      </c>
      <c r="AA90">
        <f t="shared" si="38"/>
        <v>1827</v>
      </c>
      <c r="AB90">
        <f t="shared" si="39"/>
        <v>0.86721047208468238</v>
      </c>
      <c r="AC90">
        <f t="shared" si="40"/>
        <v>0.78182697916688282</v>
      </c>
    </row>
    <row r="91" spans="1:29" ht="18.95" customHeight="1">
      <c r="A91" s="4">
        <f t="shared" si="41"/>
        <v>779</v>
      </c>
      <c r="B91" s="6">
        <f>INDEX('Raw Data'!$B$6:$B$1371,MATCH(A91,'Raw Data'!$A$6:$A$1371,0))</f>
        <v>16722</v>
      </c>
      <c r="C91" s="6">
        <f t="shared" si="28"/>
        <v>1847</v>
      </c>
      <c r="D91" s="6">
        <f>MOD(C91+Summary!$B$20,Summary!$B$11)</f>
        <v>1841.7416237989592</v>
      </c>
      <c r="E91" s="6">
        <f>_xlfn.XLOOKUP(D91,'Native PMKS'!$C$6:$C$366,'Native PMKS'!$C$6:$C$366,,-1)</f>
        <v>1841.6666666666667</v>
      </c>
      <c r="F91" s="6">
        <f>_xlfn.XLOOKUP(D91,'Native PMKS'!$C$6:$C$366,'Native PMKS'!$C$6:$C$366,,1)</f>
        <v>1850.0000000000002</v>
      </c>
      <c r="G91" s="6">
        <f>_xlfn.XLOOKUP(D91,'Native PMKS'!$C$6:$C$366,'Native PMKS'!$N$6:$N$366,,-1)</f>
        <v>45.206400000000002</v>
      </c>
      <c r="H91" s="6">
        <f>_xlfn.XLOOKUP(D91,'Native PMKS'!$C$6:$C$366,'Native PMKS'!$N$6:$N$366,,1)</f>
        <v>45.320999999999998</v>
      </c>
      <c r="I91" s="6">
        <f t="shared" si="29"/>
        <v>45.207430810483288</v>
      </c>
      <c r="J91" s="6">
        <f>INDEX('Raw Data'!$F$6:$F$1371,MATCH(A91,'Raw Data'!$A$6:$A$1371,0))</f>
        <v>49.5625</v>
      </c>
      <c r="K91" s="6">
        <f t="shared" si="30"/>
        <v>0.86502881051968961</v>
      </c>
      <c r="L91" s="6">
        <f t="shared" si="31"/>
        <v>0.78901851401046197</v>
      </c>
      <c r="M91" s="6">
        <f t="shared" si="32"/>
        <v>7.6010296509227637E-2</v>
      </c>
      <c r="N91" s="6">
        <f t="shared" si="33"/>
        <v>5.7775651754207033E-3</v>
      </c>
      <c r="O91" s="6">
        <f>_xlfn.XLOOKUP(D91,'Instructor 360'!$B$6:$B$365,'Instructor 360'!$B$6:$B$365,,-1)</f>
        <v>1838.4401114206128</v>
      </c>
      <c r="P91" s="6">
        <f>_xlfn.XLOOKUP(D91,'Instructor 360'!$B$6:$B$365,'Instructor 360'!$B$6:$B$365,,1)</f>
        <v>1846.7966573816157</v>
      </c>
      <c r="Q91" s="6">
        <f>_xlfn.XLOOKUP(D91,'Instructor 360'!$B$6:$B$365,'Instructor 360'!$F$6:$F$365,,-1)</f>
        <v>45.139842618384399</v>
      </c>
      <c r="R91" s="6">
        <f>_xlfn.XLOOKUP(D91,'Instructor 360'!$B$6:$B$365,'Instructor 360'!$F$6:$F$365,,1)</f>
        <v>45.276947632311973</v>
      </c>
      <c r="S91" s="6">
        <f t="shared" si="34"/>
        <v>45.194010201824689</v>
      </c>
      <c r="T91" s="6">
        <f t="shared" si="35"/>
        <v>0.78878428020174784</v>
      </c>
      <c r="U91" s="6">
        <f t="shared" si="36"/>
        <v>7.6244530317941761E-2</v>
      </c>
      <c r="V91" s="6"/>
      <c r="W91" s="6">
        <f t="shared" si="37"/>
        <v>5.8132284034035408E-3</v>
      </c>
      <c r="AA91">
        <f t="shared" si="38"/>
        <v>1847</v>
      </c>
      <c r="AB91">
        <f t="shared" si="39"/>
        <v>0.86502881051968961</v>
      </c>
      <c r="AC91">
        <f t="shared" si="40"/>
        <v>0.78878428020174784</v>
      </c>
    </row>
    <row r="92" spans="1:29" ht="18.95" customHeight="1">
      <c r="A92" s="4">
        <f t="shared" si="41"/>
        <v>780</v>
      </c>
      <c r="B92" s="6">
        <f>INDEX('Raw Data'!$B$6:$B$1371,MATCH(A92,'Raw Data'!$A$6:$A$1371,0))</f>
        <v>16744</v>
      </c>
      <c r="C92" s="6">
        <f t="shared" si="28"/>
        <v>1869</v>
      </c>
      <c r="D92" s="6">
        <f>MOD(C92+Summary!$B$20,Summary!$B$11)</f>
        <v>1863.7416237989592</v>
      </c>
      <c r="E92" s="6">
        <f>_xlfn.XLOOKUP(D92,'Native PMKS'!$C$6:$C$366,'Native PMKS'!$C$6:$C$366,,-1)</f>
        <v>1858.3333333333335</v>
      </c>
      <c r="F92" s="6">
        <f>_xlfn.XLOOKUP(D92,'Native PMKS'!$C$6:$C$366,'Native PMKS'!$C$6:$C$366,,1)</f>
        <v>1866.6666666666667</v>
      </c>
      <c r="G92" s="6">
        <f>_xlfn.XLOOKUP(D92,'Native PMKS'!$C$6:$C$366,'Native PMKS'!$N$6:$N$366,,-1)</f>
        <v>45.492800000000003</v>
      </c>
      <c r="H92" s="6">
        <f>_xlfn.XLOOKUP(D92,'Native PMKS'!$C$6:$C$366,'Native PMKS'!$N$6:$N$366,,1)</f>
        <v>45.5501</v>
      </c>
      <c r="I92" s="6">
        <f t="shared" si="29"/>
        <v>45.529987405241648</v>
      </c>
      <c r="J92" s="6">
        <f>INDEX('Raw Data'!$F$6:$F$1371,MATCH(A92,'Raw Data'!$A$6:$A$1371,0))</f>
        <v>50.125</v>
      </c>
      <c r="K92" s="6">
        <f t="shared" si="30"/>
        <v>0.87484628756215765</v>
      </c>
      <c r="L92" s="6">
        <f t="shared" si="31"/>
        <v>0.79464818861301645</v>
      </c>
      <c r="M92" s="6">
        <f t="shared" si="32"/>
        <v>8.0198098949141206E-2</v>
      </c>
      <c r="N92" s="6">
        <f t="shared" si="33"/>
        <v>6.4317350750562434E-3</v>
      </c>
      <c r="O92" s="6">
        <f>_xlfn.XLOOKUP(D92,'Instructor 360'!$B$6:$B$365,'Instructor 360'!$B$6:$B$365,,-1)</f>
        <v>1863.5097493036212</v>
      </c>
      <c r="P92" s="6">
        <f>_xlfn.XLOOKUP(D92,'Instructor 360'!$B$6:$B$365,'Instructor 360'!$B$6:$B$365,,1)</f>
        <v>1871.8662952646239</v>
      </c>
      <c r="Q92" s="6">
        <f>_xlfn.XLOOKUP(D92,'Instructor 360'!$B$6:$B$365,'Instructor 360'!$F$6:$F$365,,-1)</f>
        <v>45.528393036211703</v>
      </c>
      <c r="R92" s="6">
        <f>_xlfn.XLOOKUP(D92,'Instructor 360'!$B$6:$B$365,'Instructor 360'!$F$6:$F$365,,1)</f>
        <v>45.62160529247911</v>
      </c>
      <c r="S92" s="6">
        <f t="shared" si="34"/>
        <v>45.530979457082502</v>
      </c>
      <c r="T92" s="6">
        <f t="shared" si="35"/>
        <v>0.79466550318398987</v>
      </c>
      <c r="U92" s="6">
        <f t="shared" si="36"/>
        <v>8.018078437816778E-2</v>
      </c>
      <c r="V92" s="6"/>
      <c r="W92" s="6">
        <f t="shared" si="37"/>
        <v>6.4289581834982342E-3</v>
      </c>
      <c r="AA92">
        <f t="shared" si="38"/>
        <v>1869</v>
      </c>
      <c r="AB92">
        <f t="shared" si="39"/>
        <v>0.87484628756215765</v>
      </c>
      <c r="AC92">
        <f t="shared" si="40"/>
        <v>0.79466550318398987</v>
      </c>
    </row>
    <row r="93" spans="1:29" ht="18.95" customHeight="1">
      <c r="A93" s="4">
        <f t="shared" si="41"/>
        <v>781</v>
      </c>
      <c r="B93" s="6">
        <f>INDEX('Raw Data'!$B$6:$B$1371,MATCH(A93,'Raw Data'!$A$6:$A$1371,0))</f>
        <v>16765</v>
      </c>
      <c r="C93" s="6">
        <f t="shared" si="28"/>
        <v>1890</v>
      </c>
      <c r="D93" s="6">
        <f>MOD(C93+Summary!$B$20,Summary!$B$11)</f>
        <v>1884.7416237989592</v>
      </c>
      <c r="E93" s="6">
        <f>_xlfn.XLOOKUP(D93,'Native PMKS'!$C$6:$C$366,'Native PMKS'!$C$6:$C$366,,-1)</f>
        <v>1883.3333333333335</v>
      </c>
      <c r="F93" s="6">
        <f>_xlfn.XLOOKUP(D93,'Native PMKS'!$C$6:$C$366,'Native PMKS'!$C$6:$C$366,,1)</f>
        <v>1891.6666666666667</v>
      </c>
      <c r="G93" s="6">
        <f>_xlfn.XLOOKUP(D93,'Native PMKS'!$C$6:$C$366,'Native PMKS'!$N$6:$N$366,,-1)</f>
        <v>45.779299999999999</v>
      </c>
      <c r="H93" s="6">
        <f>_xlfn.XLOOKUP(D93,'Native PMKS'!$C$6:$C$366,'Native PMKS'!$N$6:$N$366,,1)</f>
        <v>45.836599999999997</v>
      </c>
      <c r="I93" s="6">
        <f t="shared" si="29"/>
        <v>45.788983405241638</v>
      </c>
      <c r="J93" s="6">
        <f>INDEX('Raw Data'!$F$6:$F$1371,MATCH(A93,'Raw Data'!$A$6:$A$1371,0))</f>
        <v>50.125</v>
      </c>
      <c r="K93" s="6">
        <f t="shared" si="30"/>
        <v>0.87484628756215765</v>
      </c>
      <c r="L93" s="6">
        <f t="shared" si="31"/>
        <v>0.79916852156251161</v>
      </c>
      <c r="M93" s="6">
        <f t="shared" si="32"/>
        <v>7.5677765999646041E-2</v>
      </c>
      <c r="N93" s="6">
        <f t="shared" si="33"/>
        <v>5.7271242666971827E-3</v>
      </c>
      <c r="O93" s="6">
        <f>_xlfn.XLOOKUP(D93,'Instructor 360'!$B$6:$B$365,'Instructor 360'!$B$6:$B$365,,-1)</f>
        <v>1880.2228412256268</v>
      </c>
      <c r="P93" s="6">
        <f>_xlfn.XLOOKUP(D93,'Instructor 360'!$B$6:$B$365,'Instructor 360'!$B$6:$B$365,,1)</f>
        <v>1888.5793871866294</v>
      </c>
      <c r="Q93" s="6">
        <f>_xlfn.XLOOKUP(D93,'Instructor 360'!$B$6:$B$365,'Instructor 360'!$F$6:$F$365,,-1)</f>
        <v>45.736524512534821</v>
      </c>
      <c r="R93" s="6">
        <f>_xlfn.XLOOKUP(D93,'Instructor 360'!$B$6:$B$365,'Instructor 360'!$F$6:$F$365,,1)</f>
        <v>45.815371866295258</v>
      </c>
      <c r="S93" s="6">
        <f t="shared" si="34"/>
        <v>45.779161033627233</v>
      </c>
      <c r="T93" s="6">
        <f t="shared" si="35"/>
        <v>0.79899708883748577</v>
      </c>
      <c r="U93" s="6">
        <f t="shared" si="36"/>
        <v>7.5849198724671885E-2</v>
      </c>
      <c r="V93" s="6"/>
      <c r="W93" s="6">
        <f t="shared" si="37"/>
        <v>5.7531009471747671E-3</v>
      </c>
      <c r="AA93">
        <f t="shared" si="38"/>
        <v>1890</v>
      </c>
      <c r="AB93">
        <f t="shared" si="39"/>
        <v>0.87484628756215765</v>
      </c>
      <c r="AC93">
        <f t="shared" si="40"/>
        <v>0.79899708883748577</v>
      </c>
    </row>
    <row r="94" spans="1:29" ht="18.95" customHeight="1">
      <c r="A94" s="4">
        <f t="shared" si="41"/>
        <v>782</v>
      </c>
      <c r="B94" s="6">
        <f>INDEX('Raw Data'!$B$6:$B$1371,MATCH(A94,'Raw Data'!$A$6:$A$1371,0))</f>
        <v>16786</v>
      </c>
      <c r="C94" s="6">
        <f t="shared" si="28"/>
        <v>1911</v>
      </c>
      <c r="D94" s="6">
        <f>MOD(C94+Summary!$B$20,Summary!$B$11)</f>
        <v>1905.7416237989592</v>
      </c>
      <c r="E94" s="6">
        <f>_xlfn.XLOOKUP(D94,'Native PMKS'!$C$6:$C$366,'Native PMKS'!$C$6:$C$366,,-1)</f>
        <v>1900.0000000000002</v>
      </c>
      <c r="F94" s="6">
        <f>_xlfn.XLOOKUP(D94,'Native PMKS'!$C$6:$C$366,'Native PMKS'!$C$6:$C$366,,1)</f>
        <v>1908.3333333333335</v>
      </c>
      <c r="G94" s="6">
        <f>_xlfn.XLOOKUP(D94,'Native PMKS'!$C$6:$C$366,'Native PMKS'!$N$6:$N$366,,-1)</f>
        <v>45.893900000000002</v>
      </c>
      <c r="H94" s="6">
        <f>_xlfn.XLOOKUP(D94,'Native PMKS'!$C$6:$C$366,'Native PMKS'!$N$6:$N$366,,1)</f>
        <v>45.9512</v>
      </c>
      <c r="I94" s="6">
        <f t="shared" si="29"/>
        <v>45.933379405241645</v>
      </c>
      <c r="J94" s="6">
        <f>INDEX('Raw Data'!$F$6:$F$1371,MATCH(A94,'Raw Data'!$A$6:$A$1371,0))</f>
        <v>48.6875</v>
      </c>
      <c r="K94" s="6">
        <f t="shared" si="30"/>
        <v>0.84975717956473917</v>
      </c>
      <c r="L94" s="6">
        <f t="shared" si="31"/>
        <v>0.80168870718922136</v>
      </c>
      <c r="M94" s="6">
        <f t="shared" si="32"/>
        <v>4.8068472375517812E-2</v>
      </c>
      <c r="N94" s="6">
        <f t="shared" si="33"/>
        <v>2.310578036515919E-3</v>
      </c>
      <c r="O94" s="6">
        <f>_xlfn.XLOOKUP(D94,'Instructor 360'!$B$6:$B$365,'Instructor 360'!$B$6:$B$365,,-1)</f>
        <v>1905.292479108635</v>
      </c>
      <c r="P94" s="6">
        <f>_xlfn.XLOOKUP(D94,'Instructor 360'!$B$6:$B$365,'Instructor 360'!$B$6:$B$365,,1)</f>
        <v>1913.6490250696379</v>
      </c>
      <c r="Q94" s="6">
        <f>_xlfn.XLOOKUP(D94,'Instructor 360'!$B$6:$B$365,'Instructor 360'!$F$6:$F$365,,-1)</f>
        <v>45.930291086350977</v>
      </c>
      <c r="R94" s="6">
        <f>_xlfn.XLOOKUP(D94,'Instructor 360'!$B$6:$B$365,'Instructor 360'!$F$6:$F$365,,1)</f>
        <v>45.9512</v>
      </c>
      <c r="S94" s="6">
        <f t="shared" si="34"/>
        <v>45.931414891280639</v>
      </c>
      <c r="T94" s="6">
        <f t="shared" si="35"/>
        <v>0.80165441995240039</v>
      </c>
      <c r="U94" s="6">
        <f t="shared" si="36"/>
        <v>4.8102759612338786E-2</v>
      </c>
      <c r="V94" s="6"/>
      <c r="W94" s="6">
        <f t="shared" si="37"/>
        <v>2.3138754823224515E-3</v>
      </c>
      <c r="AA94">
        <f t="shared" si="38"/>
        <v>1911</v>
      </c>
      <c r="AB94">
        <f t="shared" si="39"/>
        <v>0.84975717956473917</v>
      </c>
      <c r="AC94">
        <f t="shared" si="40"/>
        <v>0.80165441995240039</v>
      </c>
    </row>
    <row r="95" spans="1:29" ht="18.95" customHeight="1">
      <c r="A95" s="4">
        <f t="shared" si="41"/>
        <v>783</v>
      </c>
      <c r="B95" s="6">
        <f>INDEX('Raw Data'!$B$6:$B$1371,MATCH(A95,'Raw Data'!$A$6:$A$1371,0))</f>
        <v>16809</v>
      </c>
      <c r="C95" s="6">
        <f t="shared" si="28"/>
        <v>1934</v>
      </c>
      <c r="D95" s="6">
        <f>MOD(C95+Summary!$B$20,Summary!$B$11)</f>
        <v>1928.7416237989592</v>
      </c>
      <c r="E95" s="6">
        <f>_xlfn.XLOOKUP(D95,'Native PMKS'!$C$6:$C$366,'Native PMKS'!$C$6:$C$366,,-1)</f>
        <v>1925.0000000000002</v>
      </c>
      <c r="F95" s="6">
        <f>_xlfn.XLOOKUP(D95,'Native PMKS'!$C$6:$C$366,'Native PMKS'!$C$6:$C$366,,1)</f>
        <v>1933.3333333333335</v>
      </c>
      <c r="G95" s="6">
        <f>_xlfn.XLOOKUP(D95,'Native PMKS'!$C$6:$C$366,'Native PMKS'!$N$6:$N$366,,-1)</f>
        <v>46.008499999999998</v>
      </c>
      <c r="H95" s="6">
        <f>_xlfn.XLOOKUP(D95,'Native PMKS'!$C$6:$C$366,'Native PMKS'!$N$6:$N$366,,1)</f>
        <v>46.008499999999998</v>
      </c>
      <c r="I95" s="6">
        <f t="shared" si="29"/>
        <v>46.008499999999998</v>
      </c>
      <c r="J95" s="6">
        <f>INDEX('Raw Data'!$F$6:$F$1371,MATCH(A95,'Raw Data'!$A$6:$A$1371,0))</f>
        <v>49.0625</v>
      </c>
      <c r="K95" s="6">
        <f t="shared" si="30"/>
        <v>0.85630216425971795</v>
      </c>
      <c r="L95" s="6">
        <f t="shared" si="31"/>
        <v>0.80299980890381106</v>
      </c>
      <c r="M95" s="6">
        <f t="shared" si="32"/>
        <v>5.3302355355906883E-2</v>
      </c>
      <c r="N95" s="6">
        <f t="shared" si="33"/>
        <v>2.8411410864873751E-3</v>
      </c>
      <c r="O95" s="6">
        <f>_xlfn.XLOOKUP(D95,'Instructor 360'!$B$6:$B$365,'Instructor 360'!$B$6:$B$365,,-1)</f>
        <v>1922.0055710306406</v>
      </c>
      <c r="P95" s="6">
        <f>_xlfn.XLOOKUP(D95,'Instructor 360'!$B$6:$B$365,'Instructor 360'!$B$6:$B$365,,1)</f>
        <v>1930.3621169916435</v>
      </c>
      <c r="Q95" s="6">
        <f>_xlfn.XLOOKUP(D95,'Instructor 360'!$B$6:$B$365,'Instructor 360'!$F$6:$F$365,,-1)</f>
        <v>45.987910306406683</v>
      </c>
      <c r="R95" s="6">
        <f>_xlfn.XLOOKUP(D95,'Instructor 360'!$B$6:$B$365,'Instructor 360'!$F$6:$F$365,,1)</f>
        <v>46.008499999999998</v>
      </c>
      <c r="S95" s="6">
        <f t="shared" si="34"/>
        <v>46.004507266822543</v>
      </c>
      <c r="T95" s="6">
        <f t="shared" si="35"/>
        <v>0.80293012256371077</v>
      </c>
      <c r="U95" s="6">
        <f t="shared" si="36"/>
        <v>5.3372041696007178E-2</v>
      </c>
      <c r="V95" s="6"/>
      <c r="W95" s="6">
        <f t="shared" si="37"/>
        <v>2.8485748348003287E-3</v>
      </c>
      <c r="AA95">
        <f t="shared" si="38"/>
        <v>1934</v>
      </c>
      <c r="AB95">
        <f t="shared" si="39"/>
        <v>0.85630216425971795</v>
      </c>
      <c r="AC95">
        <f t="shared" si="40"/>
        <v>0.80293012256371077</v>
      </c>
    </row>
    <row r="96" spans="1:29" ht="18.95" customHeight="1">
      <c r="A96" s="4">
        <f t="shared" si="41"/>
        <v>784</v>
      </c>
      <c r="B96" s="6">
        <f>INDEX('Raw Data'!$B$6:$B$1371,MATCH(A96,'Raw Data'!$A$6:$A$1371,0))</f>
        <v>16831</v>
      </c>
      <c r="C96" s="6">
        <f t="shared" si="28"/>
        <v>1956</v>
      </c>
      <c r="D96" s="6">
        <f>MOD(C96+Summary!$B$20,Summary!$B$11)</f>
        <v>1950.7416237989592</v>
      </c>
      <c r="E96" s="6">
        <f>_xlfn.XLOOKUP(D96,'Native PMKS'!$C$6:$C$366,'Native PMKS'!$C$6:$C$366,,-1)</f>
        <v>1950.0000000000002</v>
      </c>
      <c r="F96" s="6">
        <f>_xlfn.XLOOKUP(D96,'Native PMKS'!$C$6:$C$366,'Native PMKS'!$C$6:$C$366,,1)</f>
        <v>1958.3333333333335</v>
      </c>
      <c r="G96" s="6">
        <f>_xlfn.XLOOKUP(D96,'Native PMKS'!$C$6:$C$366,'Native PMKS'!$N$6:$N$366,,-1)</f>
        <v>45.9512</v>
      </c>
      <c r="H96" s="6">
        <f>_xlfn.XLOOKUP(D96,'Native PMKS'!$C$6:$C$366,'Native PMKS'!$N$6:$N$366,,1)</f>
        <v>45.9512</v>
      </c>
      <c r="I96" s="6">
        <f t="shared" si="29"/>
        <v>45.9512</v>
      </c>
      <c r="J96" s="6">
        <f>INDEX('Raw Data'!$F$6:$F$1371,MATCH(A96,'Raw Data'!$A$6:$A$1371,0))</f>
        <v>47.75</v>
      </c>
      <c r="K96" s="6">
        <f t="shared" si="30"/>
        <v>0.83339471782729235</v>
      </c>
      <c r="L96" s="6">
        <f t="shared" si="31"/>
        <v>0.80199973524241841</v>
      </c>
      <c r="M96" s="6">
        <f t="shared" si="32"/>
        <v>3.1394982584873943E-2</v>
      </c>
      <c r="N96" s="6">
        <f t="shared" si="33"/>
        <v>9.8564493150453815E-4</v>
      </c>
      <c r="O96" s="6">
        <f>_xlfn.XLOOKUP(D96,'Instructor 360'!$B$6:$B$365,'Instructor 360'!$B$6:$B$365,,-1)</f>
        <v>1947.075208913649</v>
      </c>
      <c r="P96" s="6">
        <f>_xlfn.XLOOKUP(D96,'Instructor 360'!$B$6:$B$365,'Instructor 360'!$B$6:$B$365,,1)</f>
        <v>1955.4317548746517</v>
      </c>
      <c r="Q96" s="6">
        <f>_xlfn.XLOOKUP(D96,'Instructor 360'!$B$6:$B$365,'Instructor 360'!$F$6:$F$365,,-1)</f>
        <v>45.97131086350975</v>
      </c>
      <c r="R96" s="6">
        <f>_xlfn.XLOOKUP(D96,'Instructor 360'!$B$6:$B$365,'Instructor 360'!$F$6:$F$365,,1)</f>
        <v>45.9512</v>
      </c>
      <c r="S96" s="6">
        <f t="shared" si="34"/>
        <v>45.962487269446768</v>
      </c>
      <c r="T96" s="6">
        <f t="shared" si="35"/>
        <v>0.8021967352578242</v>
      </c>
      <c r="U96" s="6">
        <f t="shared" si="36"/>
        <v>3.1197982569468152E-2</v>
      </c>
      <c r="V96" s="6"/>
      <c r="W96" s="6">
        <f t="shared" si="37"/>
        <v>9.7331411640483865E-4</v>
      </c>
      <c r="AA96">
        <f t="shared" si="38"/>
        <v>1956</v>
      </c>
      <c r="AB96">
        <f t="shared" si="39"/>
        <v>0.83339471782729235</v>
      </c>
      <c r="AC96">
        <f t="shared" si="40"/>
        <v>0.8021967352578242</v>
      </c>
    </row>
    <row r="97" spans="1:29" ht="18.95" customHeight="1">
      <c r="A97" s="4">
        <f t="shared" si="41"/>
        <v>785</v>
      </c>
      <c r="B97" s="6">
        <f>INDEX('Raw Data'!$B$6:$B$1371,MATCH(A97,'Raw Data'!$A$6:$A$1371,0))</f>
        <v>16853</v>
      </c>
      <c r="C97" s="6">
        <f t="shared" si="28"/>
        <v>1978</v>
      </c>
      <c r="D97" s="6">
        <f>MOD(C97+Summary!$B$20,Summary!$B$11)</f>
        <v>1972.7416237989592</v>
      </c>
      <c r="E97" s="6">
        <f>_xlfn.XLOOKUP(D97,'Native PMKS'!$C$6:$C$366,'Native PMKS'!$C$6:$C$366,,-1)</f>
        <v>1966.6666666666667</v>
      </c>
      <c r="F97" s="6">
        <f>_xlfn.XLOOKUP(D97,'Native PMKS'!$C$6:$C$366,'Native PMKS'!$C$6:$C$366,,1)</f>
        <v>1975.0000000000002</v>
      </c>
      <c r="G97" s="6">
        <f>_xlfn.XLOOKUP(D97,'Native PMKS'!$C$6:$C$366,'Native PMKS'!$N$6:$N$366,,-1)</f>
        <v>45.893900000000002</v>
      </c>
      <c r="H97" s="6">
        <f>_xlfn.XLOOKUP(D97,'Native PMKS'!$C$6:$C$366,'Native PMKS'!$N$6:$N$366,,1)</f>
        <v>45.779299999999999</v>
      </c>
      <c r="I97" s="6">
        <f t="shared" si="29"/>
        <v>45.810357189516722</v>
      </c>
      <c r="J97" s="6">
        <f>INDEX('Raw Data'!$F$6:$F$1371,MATCH(A97,'Raw Data'!$A$6:$A$1371,0))</f>
        <v>48.125</v>
      </c>
      <c r="K97" s="6">
        <f t="shared" si="30"/>
        <v>0.83993970252227113</v>
      </c>
      <c r="L97" s="6">
        <f t="shared" si="31"/>
        <v>0.79954156447172287</v>
      </c>
      <c r="M97" s="6">
        <f t="shared" si="32"/>
        <v>4.039813805054826E-2</v>
      </c>
      <c r="N97" s="6">
        <f t="shared" si="33"/>
        <v>1.6320095579511551E-3</v>
      </c>
      <c r="O97" s="6">
        <f>_xlfn.XLOOKUP(D97,'Instructor 360'!$B$6:$B$365,'Instructor 360'!$B$6:$B$365,,-1)</f>
        <v>1972.1448467966575</v>
      </c>
      <c r="P97" s="6">
        <f>_xlfn.XLOOKUP(D97,'Instructor 360'!$B$6:$B$365,'Instructor 360'!$B$6:$B$365,,1)</f>
        <v>1980.5013927576601</v>
      </c>
      <c r="Q97" s="6">
        <f>_xlfn.XLOOKUP(D97,'Instructor 360'!$B$6:$B$365,'Instructor 360'!$F$6:$F$365,,-1)</f>
        <v>45.818564066852367</v>
      </c>
      <c r="R97" s="6">
        <f>_xlfn.XLOOKUP(D97,'Instructor 360'!$B$6:$B$365,'Instructor 360'!$F$6:$F$365,,1)</f>
        <v>45.741472423398328</v>
      </c>
      <c r="S97" s="6">
        <f t="shared" si="34"/>
        <v>45.813058619973035</v>
      </c>
      <c r="T97" s="6">
        <f t="shared" si="35"/>
        <v>0.7995887133276991</v>
      </c>
      <c r="U97" s="6">
        <f t="shared" si="36"/>
        <v>4.0350989194572029E-2</v>
      </c>
      <c r="V97" s="6"/>
      <c r="W97" s="6">
        <f t="shared" si="37"/>
        <v>1.6282023289804686E-3</v>
      </c>
      <c r="AA97">
        <f t="shared" si="38"/>
        <v>1978</v>
      </c>
      <c r="AB97">
        <f t="shared" si="39"/>
        <v>0.83993970252227113</v>
      </c>
      <c r="AC97">
        <f t="shared" si="40"/>
        <v>0.7995887133276991</v>
      </c>
    </row>
    <row r="98" spans="1:29" ht="18.95" customHeight="1">
      <c r="A98" s="4">
        <f t="shared" si="41"/>
        <v>786</v>
      </c>
      <c r="B98" s="6">
        <f>INDEX('Raw Data'!$B$6:$B$1371,MATCH(A98,'Raw Data'!$A$6:$A$1371,0))</f>
        <v>16875</v>
      </c>
      <c r="C98" s="6">
        <f t="shared" si="28"/>
        <v>2000</v>
      </c>
      <c r="D98" s="6">
        <f>MOD(C98+Summary!$B$20,Summary!$B$11)</f>
        <v>1994.7416237989592</v>
      </c>
      <c r="E98" s="6">
        <f>_xlfn.XLOOKUP(D98,'Native PMKS'!$C$6:$C$366,'Native PMKS'!$C$6:$C$366,,-1)</f>
        <v>1991.6666666666667</v>
      </c>
      <c r="F98" s="6">
        <f>_xlfn.XLOOKUP(D98,'Native PMKS'!$C$6:$C$366,'Native PMKS'!$C$6:$C$366,,1)</f>
        <v>2000.0000000000002</v>
      </c>
      <c r="G98" s="6">
        <f>_xlfn.XLOOKUP(D98,'Native PMKS'!$C$6:$C$366,'Native PMKS'!$N$6:$N$366,,-1)</f>
        <v>45.607399999999998</v>
      </c>
      <c r="H98" s="6">
        <f>_xlfn.XLOOKUP(D98,'Native PMKS'!$C$6:$C$366,'Native PMKS'!$N$6:$N$366,,1)</f>
        <v>45.5501</v>
      </c>
      <c r="I98" s="6">
        <f t="shared" si="29"/>
        <v>45.586256594758353</v>
      </c>
      <c r="J98" s="6">
        <f>INDEX('Raw Data'!$F$6:$F$1371,MATCH(A98,'Raw Data'!$A$6:$A$1371,0))</f>
        <v>47</v>
      </c>
      <c r="K98" s="6">
        <f t="shared" si="30"/>
        <v>0.82030474843733492</v>
      </c>
      <c r="L98" s="6">
        <f t="shared" si="31"/>
        <v>0.79563027123751162</v>
      </c>
      <c r="M98" s="6">
        <f t="shared" si="32"/>
        <v>2.4674477199823297E-2</v>
      </c>
      <c r="N98" s="6">
        <f t="shared" si="33"/>
        <v>6.0882982508459979E-4</v>
      </c>
      <c r="O98" s="6">
        <f>_xlfn.XLOOKUP(D98,'Instructor 360'!$B$6:$B$365,'Instructor 360'!$B$6:$B$365,,-1)</f>
        <v>1988.857938718663</v>
      </c>
      <c r="P98" s="6">
        <f>_xlfn.XLOOKUP(D98,'Instructor 360'!$B$6:$B$365,'Instructor 360'!$B$6:$B$365,,1)</f>
        <v>1997.2144846796657</v>
      </c>
      <c r="Q98" s="6">
        <f>_xlfn.XLOOKUP(D98,'Instructor 360'!$B$6:$B$365,'Instructor 360'!$F$6:$F$365,,-1)</f>
        <v>45.646025626740943</v>
      </c>
      <c r="R98" s="6">
        <f>_xlfn.XLOOKUP(D98,'Instructor 360'!$B$6:$B$365,'Instructor 360'!$F$6:$F$365,,1)</f>
        <v>45.569253203342619</v>
      </c>
      <c r="S98" s="6">
        <f t="shared" si="34"/>
        <v>45.591971623539763</v>
      </c>
      <c r="T98" s="6">
        <f t="shared" si="35"/>
        <v>0.79573001730659343</v>
      </c>
      <c r="U98" s="6">
        <f t="shared" si="36"/>
        <v>2.457473113074149E-2</v>
      </c>
      <c r="V98" s="6"/>
      <c r="W98" s="6">
        <f t="shared" si="37"/>
        <v>6.0391741014823486E-4</v>
      </c>
      <c r="AA98">
        <f t="shared" si="38"/>
        <v>2000</v>
      </c>
      <c r="AB98">
        <f t="shared" si="39"/>
        <v>0.82030474843733492</v>
      </c>
      <c r="AC98">
        <f t="shared" si="40"/>
        <v>0.79573001730659343</v>
      </c>
    </row>
    <row r="99" spans="1:29" ht="18.95" customHeight="1">
      <c r="A99" s="4">
        <f t="shared" si="41"/>
        <v>787</v>
      </c>
      <c r="B99" s="6">
        <f>INDEX('Raw Data'!$B$6:$B$1371,MATCH(A99,'Raw Data'!$A$6:$A$1371,0))</f>
        <v>16897</v>
      </c>
      <c r="C99" s="6">
        <f t="shared" si="28"/>
        <v>2022</v>
      </c>
      <c r="D99" s="6">
        <f>MOD(C99+Summary!$B$20,Summary!$B$11)</f>
        <v>2016.7416237989592</v>
      </c>
      <c r="E99" s="6">
        <f>_xlfn.XLOOKUP(D99,'Native PMKS'!$C$6:$C$366,'Native PMKS'!$C$6:$C$366,,-1)</f>
        <v>2016.6666666666667</v>
      </c>
      <c r="F99" s="6">
        <f>_xlfn.XLOOKUP(D99,'Native PMKS'!$C$6:$C$366,'Native PMKS'!$C$6:$C$366,,1)</f>
        <v>2025.0000000000002</v>
      </c>
      <c r="G99" s="6">
        <f>_xlfn.XLOOKUP(D99,'Native PMKS'!$C$6:$C$366,'Native PMKS'!$N$6:$N$366,,-1)</f>
        <v>45.2637</v>
      </c>
      <c r="H99" s="6">
        <f>_xlfn.XLOOKUP(D99,'Native PMKS'!$C$6:$C$366,'Native PMKS'!$N$6:$N$366,,1)</f>
        <v>45.091799999999999</v>
      </c>
      <c r="I99" s="6">
        <f t="shared" si="29"/>
        <v>45.262153784275078</v>
      </c>
      <c r="J99" s="6">
        <f>INDEX('Raw Data'!$F$6:$F$1371,MATCH(A99,'Raw Data'!$A$6:$A$1371,0))</f>
        <v>47.875</v>
      </c>
      <c r="K99" s="6">
        <f t="shared" si="30"/>
        <v>0.83557637939228513</v>
      </c>
      <c r="L99" s="6">
        <f t="shared" si="31"/>
        <v>0.78997361007961131</v>
      </c>
      <c r="M99" s="6">
        <f t="shared" si="32"/>
        <v>4.5602769312673819E-2</v>
      </c>
      <c r="N99" s="6">
        <f t="shared" si="33"/>
        <v>2.0796125689849449E-3</v>
      </c>
      <c r="O99" s="6">
        <f>_xlfn.XLOOKUP(D99,'Instructor 360'!$B$6:$B$365,'Instructor 360'!$B$6:$B$365,,-1)</f>
        <v>2013.9275766016713</v>
      </c>
      <c r="P99" s="6">
        <f>_xlfn.XLOOKUP(D99,'Instructor 360'!$B$6:$B$365,'Instructor 360'!$B$6:$B$365,,1)</f>
        <v>2022.2841225626742</v>
      </c>
      <c r="Q99" s="6">
        <f>_xlfn.XLOOKUP(D99,'Instructor 360'!$B$6:$B$365,'Instructor 360'!$F$6:$F$365,,-1)</f>
        <v>45.301367966573821</v>
      </c>
      <c r="R99" s="6">
        <f>_xlfn.XLOOKUP(D99,'Instructor 360'!$B$6:$B$365,'Instructor 360'!$F$6:$F$365,,1)</f>
        <v>45.147823119777158</v>
      </c>
      <c r="S99" s="6">
        <f t="shared" si="34"/>
        <v>45.249662100561416</v>
      </c>
      <c r="T99" s="6">
        <f t="shared" si="35"/>
        <v>0.78975558906969023</v>
      </c>
      <c r="U99" s="6">
        <f t="shared" si="36"/>
        <v>4.5820790322594895E-2</v>
      </c>
      <c r="V99" s="6"/>
      <c r="W99" s="6">
        <f t="shared" si="37"/>
        <v>2.099544825787206E-3</v>
      </c>
      <c r="AA99">
        <f t="shared" si="38"/>
        <v>2022</v>
      </c>
      <c r="AB99">
        <f t="shared" si="39"/>
        <v>0.83557637939228513</v>
      </c>
      <c r="AC99">
        <f t="shared" si="40"/>
        <v>0.78975558906969023</v>
      </c>
    </row>
    <row r="100" spans="1:29" ht="18.95" customHeight="1">
      <c r="A100" s="4">
        <f t="shared" si="41"/>
        <v>788</v>
      </c>
      <c r="B100" s="6">
        <f>INDEX('Raw Data'!$B$6:$B$1371,MATCH(A100,'Raw Data'!$A$6:$A$1371,0))</f>
        <v>16917</v>
      </c>
      <c r="C100" s="6">
        <f t="shared" si="28"/>
        <v>2042</v>
      </c>
      <c r="D100" s="6">
        <f>MOD(C100+Summary!$B$20,Summary!$B$11)</f>
        <v>2036.7416237989592</v>
      </c>
      <c r="E100" s="6">
        <f>_xlfn.XLOOKUP(D100,'Native PMKS'!$C$6:$C$366,'Native PMKS'!$C$6:$C$366,,-1)</f>
        <v>2033.3333333333335</v>
      </c>
      <c r="F100" s="6">
        <f>_xlfn.XLOOKUP(D100,'Native PMKS'!$C$6:$C$366,'Native PMKS'!$C$6:$C$366,,1)</f>
        <v>2041.6666666666667</v>
      </c>
      <c r="G100" s="6">
        <f>_xlfn.XLOOKUP(D100,'Native PMKS'!$C$6:$C$366,'Native PMKS'!$N$6:$N$366,,-1)</f>
        <v>44.977200000000003</v>
      </c>
      <c r="H100" s="6">
        <f>_xlfn.XLOOKUP(D100,'Native PMKS'!$C$6:$C$366,'Native PMKS'!$N$6:$N$366,,1)</f>
        <v>44.747999999999998</v>
      </c>
      <c r="I100" s="6">
        <f t="shared" si="29"/>
        <v>44.883458379033435</v>
      </c>
      <c r="J100" s="6">
        <f>INDEX('Raw Data'!$F$6:$F$1371,MATCH(A100,'Raw Data'!$A$6:$A$1371,0))</f>
        <v>46.5</v>
      </c>
      <c r="K100" s="6">
        <f t="shared" si="30"/>
        <v>0.81157810217736315</v>
      </c>
      <c r="L100" s="6">
        <f t="shared" si="31"/>
        <v>0.78336412839597047</v>
      </c>
      <c r="M100" s="6">
        <f t="shared" si="32"/>
        <v>2.8213973781392676E-2</v>
      </c>
      <c r="N100" s="6">
        <f t="shared" si="33"/>
        <v>7.9602831653711331E-4</v>
      </c>
      <c r="O100" s="6">
        <f>_xlfn.XLOOKUP(D100,'Instructor 360'!$B$6:$B$365,'Instructor 360'!$B$6:$B$365,,-1)</f>
        <v>2030.6406685236768</v>
      </c>
      <c r="P100" s="6">
        <f>_xlfn.XLOOKUP(D100,'Instructor 360'!$B$6:$B$365,'Instructor 360'!$B$6:$B$365,,1)</f>
        <v>2038.9972144846797</v>
      </c>
      <c r="Q100" s="6">
        <f>_xlfn.XLOOKUP(D100,'Instructor 360'!$B$6:$B$365,'Instructor 360'!$F$6:$F$365,,-1)</f>
        <v>45.014229526462401</v>
      </c>
      <c r="R100" s="6">
        <f>_xlfn.XLOOKUP(D100,'Instructor 360'!$B$6:$B$365,'Instructor 360'!$F$6:$F$365,,1)</f>
        <v>44.82142061281337</v>
      </c>
      <c r="S100" s="6">
        <f t="shared" si="34"/>
        <v>44.873463405586861</v>
      </c>
      <c r="T100" s="6">
        <f t="shared" si="35"/>
        <v>0.78318968320067828</v>
      </c>
      <c r="U100" s="6">
        <f t="shared" si="36"/>
        <v>2.838841897668487E-2</v>
      </c>
      <c r="V100" s="6"/>
      <c r="W100" s="6">
        <f t="shared" si="37"/>
        <v>8.0590233199580167E-4</v>
      </c>
      <c r="AA100">
        <f t="shared" si="38"/>
        <v>2042</v>
      </c>
      <c r="AB100">
        <f t="shared" si="39"/>
        <v>0.81157810217736315</v>
      </c>
      <c r="AC100">
        <f t="shared" si="40"/>
        <v>0.78318968320067828</v>
      </c>
    </row>
    <row r="101" spans="1:29" ht="18.95" customHeight="1">
      <c r="A101" s="4">
        <f t="shared" si="41"/>
        <v>789</v>
      </c>
      <c r="B101" s="6">
        <f>INDEX('Raw Data'!$B$6:$B$1371,MATCH(A101,'Raw Data'!$A$6:$A$1371,0))</f>
        <v>16938</v>
      </c>
      <c r="C101" s="6">
        <f t="shared" si="28"/>
        <v>2063</v>
      </c>
      <c r="D101" s="6">
        <f>MOD(C101+Summary!$B$20,Summary!$B$11)</f>
        <v>2057.7416237989592</v>
      </c>
      <c r="E101" s="6">
        <f>_xlfn.XLOOKUP(D101,'Native PMKS'!$C$6:$C$366,'Native PMKS'!$C$6:$C$366,,-1)</f>
        <v>2050</v>
      </c>
      <c r="F101" s="6">
        <f>_xlfn.XLOOKUP(D101,'Native PMKS'!$C$6:$C$366,'Native PMKS'!$C$6:$C$366,,1)</f>
        <v>2058.3333333333335</v>
      </c>
      <c r="G101" s="6">
        <f>_xlfn.XLOOKUP(D101,'Native PMKS'!$C$6:$C$366,'Native PMKS'!$N$6:$N$366,,-1)</f>
        <v>44.576099999999997</v>
      </c>
      <c r="H101" s="6">
        <f>_xlfn.XLOOKUP(D101,'Native PMKS'!$C$6:$C$366,'Native PMKS'!$N$6:$N$366,,1)</f>
        <v>44.346899999999998</v>
      </c>
      <c r="I101" s="6">
        <f t="shared" si="29"/>
        <v>44.363174379033438</v>
      </c>
      <c r="J101" s="6">
        <f>INDEX('Raw Data'!$F$6:$F$1371,MATCH(A101,'Raw Data'!$A$6:$A$1371,0))</f>
        <v>46.3125</v>
      </c>
      <c r="K101" s="6">
        <f t="shared" si="30"/>
        <v>0.80830560982987387</v>
      </c>
      <c r="L101" s="6">
        <f t="shared" si="31"/>
        <v>0.77428345955052436</v>
      </c>
      <c r="M101" s="6">
        <f t="shared" si="32"/>
        <v>3.4022150279349517E-2</v>
      </c>
      <c r="N101" s="6">
        <f t="shared" si="33"/>
        <v>1.1575067096306424E-3</v>
      </c>
      <c r="O101" s="6">
        <f>_xlfn.XLOOKUP(D101,'Instructor 360'!$B$6:$B$365,'Instructor 360'!$B$6:$B$365,,-1)</f>
        <v>2055.710306406685</v>
      </c>
      <c r="P101" s="6">
        <f>_xlfn.XLOOKUP(D101,'Instructor 360'!$B$6:$B$365,'Instructor 360'!$B$6:$B$365,,1)</f>
        <v>2064.0668523676882</v>
      </c>
      <c r="Q101" s="6">
        <f>_xlfn.XLOOKUP(D101,'Instructor 360'!$B$6:$B$365,'Instructor 360'!$F$6:$F$365,,-1)</f>
        <v>44.419043732590538</v>
      </c>
      <c r="R101" s="6">
        <f>_xlfn.XLOOKUP(D101,'Instructor 360'!$B$6:$B$365,'Instructor 360'!$F$6:$F$365,,1)</f>
        <v>44.189274094707528</v>
      </c>
      <c r="S101" s="6">
        <f t="shared" si="34"/>
        <v>44.363191103546633</v>
      </c>
      <c r="T101" s="6">
        <f t="shared" si="35"/>
        <v>0.77428375144834527</v>
      </c>
      <c r="U101" s="6">
        <f t="shared" si="36"/>
        <v>3.4021858381528602E-2</v>
      </c>
      <c r="V101" s="6"/>
      <c r="W101" s="6">
        <f t="shared" si="37"/>
        <v>1.1574868477327879E-3</v>
      </c>
      <c r="AA101">
        <f t="shared" si="38"/>
        <v>2063</v>
      </c>
      <c r="AB101">
        <f t="shared" si="39"/>
        <v>0.80830560982987387</v>
      </c>
      <c r="AC101">
        <f t="shared" si="40"/>
        <v>0.77428375144834527</v>
      </c>
    </row>
    <row r="102" spans="1:29" ht="18.95" customHeight="1">
      <c r="A102" s="4">
        <f t="shared" si="41"/>
        <v>790</v>
      </c>
      <c r="B102" s="6">
        <f>INDEX('Raw Data'!$B$6:$B$1371,MATCH(A102,'Raw Data'!$A$6:$A$1371,0))</f>
        <v>16959</v>
      </c>
      <c r="C102" s="6">
        <f t="shared" ref="C102:C133" si="42">B102-$B$6</f>
        <v>2084</v>
      </c>
      <c r="D102" s="6">
        <f>MOD(C102+Summary!$B$20,Summary!$B$11)</f>
        <v>2078.7416237989592</v>
      </c>
      <c r="E102" s="6">
        <f>_xlfn.XLOOKUP(D102,'Native PMKS'!$C$6:$C$366,'Native PMKS'!$C$6:$C$366,,-1)</f>
        <v>2075</v>
      </c>
      <c r="F102" s="6">
        <f>_xlfn.XLOOKUP(D102,'Native PMKS'!$C$6:$C$366,'Native PMKS'!$C$6:$C$366,,1)</f>
        <v>2083.3333333333335</v>
      </c>
      <c r="G102" s="6">
        <f>_xlfn.XLOOKUP(D102,'Native PMKS'!$C$6:$C$366,'Native PMKS'!$N$6:$N$366,,-1)</f>
        <v>43.888599999999997</v>
      </c>
      <c r="H102" s="6">
        <f>_xlfn.XLOOKUP(D102,'Native PMKS'!$C$6:$C$366,'Native PMKS'!$N$6:$N$366,,1)</f>
        <v>43.659399999999998</v>
      </c>
      <c r="I102" s="6">
        <f t="shared" ref="I102:I133" si="43">IF(E102=F102,G102,_xlfn.FORECAST.LINEAR(D102,G102:H102,E102:F102))</f>
        <v>43.78569037903344</v>
      </c>
      <c r="J102" s="6">
        <f>INDEX('Raw Data'!$F$6:$F$1371,MATCH(A102,'Raw Data'!$A$6:$A$1371,0))</f>
        <v>44.5625</v>
      </c>
      <c r="K102" s="6">
        <f t="shared" ref="K102:K133" si="44">J102*1*PI()/180</f>
        <v>0.77776234791997312</v>
      </c>
      <c r="L102" s="6">
        <f t="shared" ref="L102:L133" si="45">I102*PI()/180</f>
        <v>0.76420446237293749</v>
      </c>
      <c r="M102" s="6">
        <f t="shared" ref="M102:M133" si="46">K102-L102</f>
        <v>1.3557885547035631E-2</v>
      </c>
      <c r="N102" s="6">
        <f t="shared" ref="N102:N133" si="47">M102^2</f>
        <v>1.8381626050651765E-4</v>
      </c>
      <c r="O102" s="6">
        <f>_xlfn.XLOOKUP(D102,'Instructor 360'!$B$6:$B$365,'Instructor 360'!$B$6:$B$365,,-1)</f>
        <v>2072.4233983286908</v>
      </c>
      <c r="P102" s="6">
        <f>_xlfn.XLOOKUP(D102,'Instructor 360'!$B$6:$B$365,'Instructor 360'!$B$6:$B$365,,1)</f>
        <v>2080.7799442896935</v>
      </c>
      <c r="Q102" s="6">
        <f>_xlfn.XLOOKUP(D102,'Instructor 360'!$B$6:$B$365,'Instructor 360'!$F$6:$F$365,,-1)</f>
        <v>43.95946685236769</v>
      </c>
      <c r="R102" s="6">
        <f>_xlfn.XLOOKUP(D102,'Instructor 360'!$B$6:$B$365,'Instructor 360'!$F$6:$F$365,,1)</f>
        <v>43.729628412256268</v>
      </c>
      <c r="S102" s="6">
        <f t="shared" ref="S102:S133" si="48">IF(O102=P102,Q102,_xlfn.FORECAST.LINEAR(D102,Q102:R102,O102:P102))</f>
        <v>43.785690379033433</v>
      </c>
      <c r="T102" s="6">
        <f t="shared" ref="T102:T133" si="49">S102*PI()/180</f>
        <v>0.76420446237293727</v>
      </c>
      <c r="U102" s="6">
        <f t="shared" ref="U102:U133" si="50">K102-T102</f>
        <v>1.3557885547035853E-2</v>
      </c>
      <c r="V102" s="6"/>
      <c r="W102" s="6">
        <f t="shared" ref="W102:W133" si="51">U102^2</f>
        <v>1.8381626050652366E-4</v>
      </c>
      <c r="AA102">
        <f t="shared" ref="AA102:AA133" si="52">C102</f>
        <v>2084</v>
      </c>
      <c r="AB102">
        <f t="shared" ref="AB102:AB133" si="53">K102</f>
        <v>0.77776234791997312</v>
      </c>
      <c r="AC102">
        <f t="shared" ref="AC102:AC133" si="54">T102</f>
        <v>0.76420446237293727</v>
      </c>
    </row>
    <row r="103" spans="1:29" ht="18.95" customHeight="1">
      <c r="A103" s="4">
        <f t="shared" ref="A103:A134" si="55">A102+1</f>
        <v>791</v>
      </c>
      <c r="B103" s="6">
        <f>INDEX('Raw Data'!$B$6:$B$1371,MATCH(A103,'Raw Data'!$A$6:$A$1371,0))</f>
        <v>16998</v>
      </c>
      <c r="C103" s="6">
        <f t="shared" si="42"/>
        <v>2123</v>
      </c>
      <c r="D103" s="6">
        <f>MOD(C103+Summary!$B$20,Summary!$B$11)</f>
        <v>2117.7416237989592</v>
      </c>
      <c r="E103" s="6">
        <f>_xlfn.XLOOKUP(D103,'Native PMKS'!$C$6:$C$366,'Native PMKS'!$C$6:$C$366,,-1)</f>
        <v>2116.666666666667</v>
      </c>
      <c r="F103" s="6">
        <f>_xlfn.XLOOKUP(D103,'Native PMKS'!$C$6:$C$366,'Native PMKS'!$C$6:$C$366,,1)</f>
        <v>2125</v>
      </c>
      <c r="G103" s="6">
        <f>_xlfn.XLOOKUP(D103,'Native PMKS'!$C$6:$C$366,'Native PMKS'!$N$6:$N$366,,-1)</f>
        <v>42.513500000000001</v>
      </c>
      <c r="H103" s="6">
        <f>_xlfn.XLOOKUP(D103,'Native PMKS'!$C$6:$C$366,'Native PMKS'!$N$6:$N$366,,1)</f>
        <v>42.169699999999999</v>
      </c>
      <c r="I103" s="6">
        <f t="shared" si="43"/>
        <v>42.469151568550146</v>
      </c>
      <c r="J103" s="6">
        <f>INDEX('Raw Data'!$F$6:$F$1371,MATCH(A103,'Raw Data'!$A$6:$A$1371,0))</f>
        <v>42.875</v>
      </c>
      <c r="K103" s="6">
        <f t="shared" si="44"/>
        <v>0.74830991679256886</v>
      </c>
      <c r="L103" s="6">
        <f t="shared" si="45"/>
        <v>0.74122652539971434</v>
      </c>
      <c r="M103" s="6">
        <f t="shared" si="46"/>
        <v>7.0833913928545211E-3</v>
      </c>
      <c r="N103" s="6">
        <f t="shared" si="47"/>
        <v>5.0174433624365511E-5</v>
      </c>
      <c r="O103" s="6">
        <f>_xlfn.XLOOKUP(D103,'Instructor 360'!$B$6:$B$365,'Instructor 360'!$B$6:$B$365,,-1)</f>
        <v>2114.2061281337046</v>
      </c>
      <c r="P103" s="6">
        <f>_xlfn.XLOOKUP(D103,'Instructor 360'!$B$6:$B$365,'Instructor 360'!$B$6:$B$365,,1)</f>
        <v>2122.5626740947073</v>
      </c>
      <c r="Q103" s="6">
        <f>_xlfn.XLOOKUP(D103,'Instructor 360'!$B$6:$B$365,'Instructor 360'!$F$6:$F$365,,-1)</f>
        <v>42.598063788300848</v>
      </c>
      <c r="R103" s="6">
        <f>_xlfn.XLOOKUP(D103,'Instructor 360'!$B$6:$B$365,'Instructor 360'!$F$6:$F$365,,1)</f>
        <v>42.270254317548762</v>
      </c>
      <c r="S103" s="6">
        <f t="shared" si="48"/>
        <v>42.459373835743648</v>
      </c>
      <c r="T103" s="6">
        <f t="shared" si="49"/>
        <v>0.74105587176886067</v>
      </c>
      <c r="U103" s="6">
        <f t="shared" si="50"/>
        <v>7.2540450237081888E-3</v>
      </c>
      <c r="V103" s="6"/>
      <c r="W103" s="6">
        <f t="shared" si="51"/>
        <v>5.2621169205985537E-5</v>
      </c>
      <c r="AA103">
        <f t="shared" si="52"/>
        <v>2123</v>
      </c>
      <c r="AB103">
        <f t="shared" si="53"/>
        <v>0.74830991679256886</v>
      </c>
      <c r="AC103">
        <f t="shared" si="54"/>
        <v>0.74105587176886067</v>
      </c>
    </row>
    <row r="104" spans="1:29" ht="18.95" customHeight="1">
      <c r="A104" s="4">
        <f t="shared" si="55"/>
        <v>792</v>
      </c>
      <c r="B104" s="6">
        <f>INDEX('Raw Data'!$B$6:$B$1371,MATCH(A104,'Raw Data'!$A$6:$A$1371,0))</f>
        <v>17018</v>
      </c>
      <c r="C104" s="6">
        <f t="shared" si="42"/>
        <v>2143</v>
      </c>
      <c r="D104" s="6">
        <f>MOD(C104+Summary!$B$20,Summary!$B$11)</f>
        <v>2137.7416237989592</v>
      </c>
      <c r="E104" s="6">
        <f>_xlfn.XLOOKUP(D104,'Native PMKS'!$C$6:$C$366,'Native PMKS'!$C$6:$C$366,,-1)</f>
        <v>2133.3333333333335</v>
      </c>
      <c r="F104" s="6">
        <f>_xlfn.XLOOKUP(D104,'Native PMKS'!$C$6:$C$366,'Native PMKS'!$C$6:$C$366,,1)</f>
        <v>2141.666666666667</v>
      </c>
      <c r="G104" s="6">
        <f>_xlfn.XLOOKUP(D104,'Native PMKS'!$C$6:$C$366,'Native PMKS'!$N$6:$N$366,,-1)</f>
        <v>41.825899999999997</v>
      </c>
      <c r="H104" s="6">
        <f>_xlfn.XLOOKUP(D104,'Native PMKS'!$C$6:$C$366,'Native PMKS'!$N$6:$N$366,,1)</f>
        <v>41.424799999999998</v>
      </c>
      <c r="I104" s="6">
        <f t="shared" si="43"/>
        <v>41.613720163308486</v>
      </c>
      <c r="J104" s="6">
        <f>INDEX('Raw Data'!$F$6:$F$1371,MATCH(A104,'Raw Data'!$A$6:$A$1371,0))</f>
        <v>41.5</v>
      </c>
      <c r="K104" s="6">
        <f t="shared" si="44"/>
        <v>0.72431163957764677</v>
      </c>
      <c r="L104" s="6">
        <f t="shared" si="45"/>
        <v>0.72629643085328555</v>
      </c>
      <c r="M104" s="6">
        <f t="shared" si="46"/>
        <v>-1.9847912756387753E-3</v>
      </c>
      <c r="N104" s="6">
        <f t="shared" si="47"/>
        <v>3.9393964078517968E-6</v>
      </c>
      <c r="O104" s="6">
        <f>_xlfn.XLOOKUP(D104,'Instructor 360'!$B$6:$B$365,'Instructor 360'!$B$6:$B$365,,-1)</f>
        <v>2130.9192200557104</v>
      </c>
      <c r="P104" s="6">
        <f>_xlfn.XLOOKUP(D104,'Instructor 360'!$B$6:$B$365,'Instructor 360'!$B$6:$B$365,,1)</f>
        <v>2139.2757660167131</v>
      </c>
      <c r="Q104" s="6">
        <f>_xlfn.XLOOKUP(D104,'Instructor 360'!$B$6:$B$365,'Instructor 360'!$F$6:$F$365,,-1)</f>
        <v>41.925496657381615</v>
      </c>
      <c r="R104" s="6">
        <f>_xlfn.XLOOKUP(D104,'Instructor 360'!$B$6:$B$365,'Instructor 360'!$F$6:$F$365,,1)</f>
        <v>41.539878830083573</v>
      </c>
      <c r="S104" s="6">
        <f t="shared" si="48"/>
        <v>41.610672743207175</v>
      </c>
      <c r="T104" s="6">
        <f t="shared" si="49"/>
        <v>0.72624324333882617</v>
      </c>
      <c r="U104" s="6">
        <f t="shared" si="50"/>
        <v>-1.9316037611794012E-3</v>
      </c>
      <c r="V104" s="6"/>
      <c r="W104" s="6">
        <f t="shared" si="51"/>
        <v>3.7310930902024094E-6</v>
      </c>
      <c r="AA104">
        <f t="shared" si="52"/>
        <v>2143</v>
      </c>
      <c r="AB104">
        <f t="shared" si="53"/>
        <v>0.72431163957764677</v>
      </c>
      <c r="AC104">
        <f t="shared" si="54"/>
        <v>0.72624324333882617</v>
      </c>
    </row>
    <row r="105" spans="1:29" ht="18.95" customHeight="1">
      <c r="A105" s="4">
        <f t="shared" si="55"/>
        <v>793</v>
      </c>
      <c r="B105" s="6">
        <f>INDEX('Raw Data'!$B$6:$B$1371,MATCH(A105,'Raw Data'!$A$6:$A$1371,0))</f>
        <v>17038</v>
      </c>
      <c r="C105" s="6">
        <f t="shared" si="42"/>
        <v>2163</v>
      </c>
      <c r="D105" s="6">
        <f>MOD(C105+Summary!$B$20,Summary!$B$11)</f>
        <v>2157.7416237989592</v>
      </c>
      <c r="E105" s="6">
        <f>_xlfn.XLOOKUP(D105,'Native PMKS'!$C$6:$C$366,'Native PMKS'!$C$6:$C$366,,-1)</f>
        <v>2150</v>
      </c>
      <c r="F105" s="6">
        <f>_xlfn.XLOOKUP(D105,'Native PMKS'!$C$6:$C$366,'Native PMKS'!$C$6:$C$366,,1)</f>
        <v>2158.3333333333335</v>
      </c>
      <c r="G105" s="6">
        <f>_xlfn.XLOOKUP(D105,'Native PMKS'!$C$6:$C$366,'Native PMKS'!$N$6:$N$366,,-1)</f>
        <v>41.081099999999999</v>
      </c>
      <c r="H105" s="6">
        <f>_xlfn.XLOOKUP(D105,'Native PMKS'!$C$6:$C$366,'Native PMKS'!$N$6:$N$366,,1)</f>
        <v>40.68</v>
      </c>
      <c r="I105" s="6">
        <f t="shared" si="43"/>
        <v>40.708480163308536</v>
      </c>
      <c r="J105" s="6">
        <f>INDEX('Raw Data'!$F$6:$F$1371,MATCH(A105,'Raw Data'!$A$6:$A$1371,0))</f>
        <v>41</v>
      </c>
      <c r="K105" s="6">
        <f t="shared" si="44"/>
        <v>0.715584993317675</v>
      </c>
      <c r="L105" s="6">
        <f t="shared" si="45"/>
        <v>0.71049701233253282</v>
      </c>
      <c r="M105" s="6">
        <f t="shared" si="46"/>
        <v>5.087980985142182E-3</v>
      </c>
      <c r="N105" s="6">
        <f t="shared" si="47"/>
        <v>2.5887550505168409E-5</v>
      </c>
      <c r="O105" s="6">
        <f>_xlfn.XLOOKUP(D105,'Instructor 360'!$B$6:$B$365,'Instructor 360'!$B$6:$B$365,,-1)</f>
        <v>2155.9888579387189</v>
      </c>
      <c r="P105" s="6">
        <f>_xlfn.XLOOKUP(D105,'Instructor 360'!$B$6:$B$365,'Instructor 360'!$B$6:$B$365,,1)</f>
        <v>2164.3454038997215</v>
      </c>
      <c r="Q105" s="6">
        <f>_xlfn.XLOOKUP(D105,'Instructor 360'!$B$6:$B$365,'Instructor 360'!$F$6:$F$365,,-1)</f>
        <v>40.792844289693591</v>
      </c>
      <c r="R105" s="6">
        <f>_xlfn.XLOOKUP(D105,'Instructor 360'!$B$6:$B$365,'Instructor 360'!$F$6:$F$365,,1)</f>
        <v>40.390627019498616</v>
      </c>
      <c r="S105" s="6">
        <f t="shared" si="48"/>
        <v>40.708480163308494</v>
      </c>
      <c r="T105" s="6">
        <f t="shared" si="49"/>
        <v>0.71049701233253215</v>
      </c>
      <c r="U105" s="6">
        <f t="shared" si="50"/>
        <v>5.0879809851428481E-3</v>
      </c>
      <c r="V105" s="6"/>
      <c r="W105" s="6">
        <f t="shared" si="51"/>
        <v>2.5887550505175189E-5</v>
      </c>
      <c r="AA105">
        <f t="shared" si="52"/>
        <v>2163</v>
      </c>
      <c r="AB105">
        <f t="shared" si="53"/>
        <v>0.715584993317675</v>
      </c>
      <c r="AC105">
        <f t="shared" si="54"/>
        <v>0.71049701233253215</v>
      </c>
    </row>
    <row r="106" spans="1:29" ht="18.95" customHeight="1">
      <c r="A106" s="4">
        <f t="shared" si="55"/>
        <v>794</v>
      </c>
      <c r="B106" s="6">
        <f>INDEX('Raw Data'!$B$6:$B$1371,MATCH(A106,'Raw Data'!$A$6:$A$1371,0))</f>
        <v>17059</v>
      </c>
      <c r="C106" s="6">
        <f t="shared" si="42"/>
        <v>2184</v>
      </c>
      <c r="D106" s="6">
        <f>MOD(C106+Summary!$B$20,Summary!$B$11)</f>
        <v>2178.7416237989592</v>
      </c>
      <c r="E106" s="6">
        <f>_xlfn.XLOOKUP(D106,'Native PMKS'!$C$6:$C$366,'Native PMKS'!$C$6:$C$366,,-1)</f>
        <v>2175</v>
      </c>
      <c r="F106" s="6">
        <f>_xlfn.XLOOKUP(D106,'Native PMKS'!$C$6:$C$366,'Native PMKS'!$C$6:$C$366,,1)</f>
        <v>2183.3333333333335</v>
      </c>
      <c r="G106" s="6">
        <f>_xlfn.XLOOKUP(D106,'Native PMKS'!$C$6:$C$366,'Native PMKS'!$N$6:$N$366,,-1)</f>
        <v>39.820599999999999</v>
      </c>
      <c r="H106" s="6">
        <f>_xlfn.XLOOKUP(D106,'Native PMKS'!$C$6:$C$366,'Native PMKS'!$N$6:$N$366,,1)</f>
        <v>39.419499999999999</v>
      </c>
      <c r="I106" s="6">
        <f t="shared" si="43"/>
        <v>39.640508163308496</v>
      </c>
      <c r="J106" s="6">
        <f>INDEX('Raw Data'!$F$6:$F$1371,MATCH(A106,'Raw Data'!$A$6:$A$1371,0))</f>
        <v>38.8125</v>
      </c>
      <c r="K106" s="6">
        <f t="shared" si="44"/>
        <v>0.6774059159302992</v>
      </c>
      <c r="L106" s="6">
        <f t="shared" si="45"/>
        <v>0.69185738461342328</v>
      </c>
      <c r="M106" s="6">
        <f t="shared" si="46"/>
        <v>-1.445146868312408E-2</v>
      </c>
      <c r="N106" s="6">
        <f t="shared" si="47"/>
        <v>2.0884494709931604E-4</v>
      </c>
      <c r="O106" s="6">
        <f>_xlfn.XLOOKUP(D106,'Instructor 360'!$B$6:$B$365,'Instructor 360'!$B$6:$B$365,,-1)</f>
        <v>2172.7019498607242</v>
      </c>
      <c r="P106" s="6">
        <f>_xlfn.XLOOKUP(D106,'Instructor 360'!$B$6:$B$365,'Instructor 360'!$B$6:$B$365,,1)</f>
        <v>2181.0584958217269</v>
      </c>
      <c r="Q106" s="6">
        <f>_xlfn.XLOOKUP(D106,'Instructor 360'!$B$6:$B$365,'Instructor 360'!$F$6:$F$365,,-1)</f>
        <v>39.946983565459618</v>
      </c>
      <c r="R106" s="6">
        <f>_xlfn.XLOOKUP(D106,'Instructor 360'!$B$6:$B$365,'Instructor 360'!$F$6:$F$365,,1)</f>
        <v>39.528992479108645</v>
      </c>
      <c r="S106" s="6">
        <f t="shared" si="48"/>
        <v>39.644881490938687</v>
      </c>
      <c r="T106" s="6">
        <f t="shared" si="49"/>
        <v>0.69193371357983857</v>
      </c>
      <c r="U106" s="6">
        <f t="shared" si="50"/>
        <v>-1.4527797649539376E-2</v>
      </c>
      <c r="V106" s="6"/>
      <c r="W106" s="6">
        <f t="shared" si="51"/>
        <v>2.1105690454596181E-4</v>
      </c>
      <c r="AA106">
        <f t="shared" si="52"/>
        <v>2184</v>
      </c>
      <c r="AB106">
        <f t="shared" si="53"/>
        <v>0.6774059159302992</v>
      </c>
      <c r="AC106">
        <f t="shared" si="54"/>
        <v>0.69193371357983857</v>
      </c>
    </row>
    <row r="107" spans="1:29" ht="18.95" customHeight="1">
      <c r="A107" s="4">
        <f t="shared" si="55"/>
        <v>795</v>
      </c>
      <c r="B107" s="6">
        <f>INDEX('Raw Data'!$B$6:$B$1371,MATCH(A107,'Raw Data'!$A$6:$A$1371,0))</f>
        <v>17080</v>
      </c>
      <c r="C107" s="6">
        <f t="shared" si="42"/>
        <v>2205</v>
      </c>
      <c r="D107" s="6">
        <f>MOD(C107+Summary!$B$20,Summary!$B$11)</f>
        <v>2199.7416237989592</v>
      </c>
      <c r="E107" s="6">
        <f>_xlfn.XLOOKUP(D107,'Native PMKS'!$C$6:$C$366,'Native PMKS'!$C$6:$C$366,,-1)</f>
        <v>2191.666666666667</v>
      </c>
      <c r="F107" s="6">
        <f>_xlfn.XLOOKUP(D107,'Native PMKS'!$C$6:$C$366,'Native PMKS'!$C$6:$C$366,,1)</f>
        <v>2200</v>
      </c>
      <c r="G107" s="6">
        <f>_xlfn.XLOOKUP(D107,'Native PMKS'!$C$6:$C$366,'Native PMKS'!$N$6:$N$366,,-1)</f>
        <v>38.961100000000002</v>
      </c>
      <c r="H107" s="6">
        <f>_xlfn.XLOOKUP(D107,'Native PMKS'!$C$6:$C$366,'Native PMKS'!$N$6:$N$366,,1)</f>
        <v>38.445500000000003</v>
      </c>
      <c r="I107" s="6">
        <f t="shared" si="43"/>
        <v>38.461486252310777</v>
      </c>
      <c r="J107" s="6">
        <f>INDEX('Raw Data'!$F$6:$F$1371,MATCH(A107,'Raw Data'!$A$6:$A$1371,0))</f>
        <v>38.5</v>
      </c>
      <c r="K107" s="6">
        <f t="shared" si="44"/>
        <v>0.67195176201781692</v>
      </c>
      <c r="L107" s="6">
        <f t="shared" si="45"/>
        <v>0.67127957031335761</v>
      </c>
      <c r="M107" s="6">
        <f t="shared" si="46"/>
        <v>6.7219170445931287E-4</v>
      </c>
      <c r="N107" s="6">
        <f t="shared" si="47"/>
        <v>4.518416875439162E-7</v>
      </c>
      <c r="O107" s="6">
        <f>_xlfn.XLOOKUP(D107,'Instructor 360'!$B$6:$B$365,'Instructor 360'!$B$6:$B$365,,-1)</f>
        <v>2197.7715877437327</v>
      </c>
      <c r="P107" s="6">
        <f>_xlfn.XLOOKUP(D107,'Instructor 360'!$B$6:$B$365,'Instructor 360'!$B$6:$B$365,,1)</f>
        <v>2206.1281337047353</v>
      </c>
      <c r="Q107" s="6">
        <f>_xlfn.XLOOKUP(D107,'Instructor 360'!$B$6:$B$365,'Instructor 360'!$F$6:$F$365,,-1)</f>
        <v>38.583376323119779</v>
      </c>
      <c r="R107" s="6">
        <f>_xlfn.XLOOKUP(D107,'Instructor 360'!$B$6:$B$365,'Instructor 360'!$F$6:$F$365,,1)</f>
        <v>38.108403621169927</v>
      </c>
      <c r="S107" s="6">
        <f t="shared" si="48"/>
        <v>38.471402625798405</v>
      </c>
      <c r="T107" s="6">
        <f t="shared" si="49"/>
        <v>0.67145264368057411</v>
      </c>
      <c r="U107" s="6">
        <f t="shared" si="50"/>
        <v>4.9911833724280985E-4</v>
      </c>
      <c r="V107" s="6"/>
      <c r="W107" s="6">
        <f t="shared" si="51"/>
        <v>2.4911911457202725E-7</v>
      </c>
      <c r="AA107">
        <f t="shared" si="52"/>
        <v>2205</v>
      </c>
      <c r="AB107">
        <f t="shared" si="53"/>
        <v>0.67195176201781692</v>
      </c>
      <c r="AC107">
        <f t="shared" si="54"/>
        <v>0.67145264368057411</v>
      </c>
    </row>
    <row r="108" spans="1:29" ht="18.95" customHeight="1">
      <c r="A108" s="4">
        <f t="shared" si="55"/>
        <v>796</v>
      </c>
      <c r="B108" s="6">
        <f>INDEX('Raw Data'!$B$6:$B$1371,MATCH(A108,'Raw Data'!$A$6:$A$1371,0))</f>
        <v>17102</v>
      </c>
      <c r="C108" s="6">
        <f t="shared" si="42"/>
        <v>2227</v>
      </c>
      <c r="D108" s="6">
        <f>MOD(C108+Summary!$B$20,Summary!$B$11)</f>
        <v>2221.7416237989592</v>
      </c>
      <c r="E108" s="6">
        <f>_xlfn.XLOOKUP(D108,'Native PMKS'!$C$6:$C$366,'Native PMKS'!$C$6:$C$366,,-1)</f>
        <v>2216.666666666667</v>
      </c>
      <c r="F108" s="6">
        <f>_xlfn.XLOOKUP(D108,'Native PMKS'!$C$6:$C$366,'Native PMKS'!$C$6:$C$366,,1)</f>
        <v>2225</v>
      </c>
      <c r="G108" s="6">
        <f>_xlfn.XLOOKUP(D108,'Native PMKS'!$C$6:$C$366,'Native PMKS'!$N$6:$N$366,,-1)</f>
        <v>37.471400000000003</v>
      </c>
      <c r="H108" s="6">
        <f>_xlfn.XLOOKUP(D108,'Native PMKS'!$C$6:$C$366,'Native PMKS'!$N$6:$N$366,,1)</f>
        <v>36.955800000000004</v>
      </c>
      <c r="I108" s="6">
        <f t="shared" si="43"/>
        <v>37.157402252310789</v>
      </c>
      <c r="J108" s="6">
        <f>INDEX('Raw Data'!$F$6:$F$1371,MATCH(A108,'Raw Data'!$A$6:$A$1371,0))</f>
        <v>35.5625</v>
      </c>
      <c r="K108" s="6">
        <f t="shared" si="44"/>
        <v>0.62068271524048346</v>
      </c>
      <c r="L108" s="6">
        <f t="shared" si="45"/>
        <v>0.64851901079078</v>
      </c>
      <c r="M108" s="6">
        <f t="shared" si="46"/>
        <v>-2.7836295550296541E-2</v>
      </c>
      <c r="N108" s="6">
        <f t="shared" si="47"/>
        <v>7.7485934996345907E-4</v>
      </c>
      <c r="O108" s="6">
        <f>_xlfn.XLOOKUP(D108,'Instructor 360'!$B$6:$B$365,'Instructor 360'!$B$6:$B$365,,-1)</f>
        <v>2214.484679665738</v>
      </c>
      <c r="P108" s="6">
        <f>_xlfn.XLOOKUP(D108,'Instructor 360'!$B$6:$B$365,'Instructor 360'!$B$6:$B$365,,1)</f>
        <v>2222.8412256267411</v>
      </c>
      <c r="Q108" s="6">
        <f>_xlfn.XLOOKUP(D108,'Instructor 360'!$B$6:$B$365,'Instructor 360'!$F$6:$F$365,,-1)</f>
        <v>37.606430083565485</v>
      </c>
      <c r="R108" s="6">
        <f>_xlfn.XLOOKUP(D108,'Instructor 360'!$B$6:$B$365,'Instructor 360'!$F$6:$F$365,,1)</f>
        <v>37.089367688022286</v>
      </c>
      <c r="S108" s="6">
        <f t="shared" si="48"/>
        <v>37.157405697729843</v>
      </c>
      <c r="T108" s="6">
        <f t="shared" si="49"/>
        <v>0.64851907092468664</v>
      </c>
      <c r="U108" s="6">
        <f t="shared" si="50"/>
        <v>-2.7836355684203173E-2</v>
      </c>
      <c r="V108" s="6"/>
      <c r="W108" s="6">
        <f t="shared" si="51"/>
        <v>7.7486269777747032E-4</v>
      </c>
      <c r="AA108">
        <f t="shared" si="52"/>
        <v>2227</v>
      </c>
      <c r="AB108">
        <f t="shared" si="53"/>
        <v>0.62068271524048346</v>
      </c>
      <c r="AC108">
        <f t="shared" si="54"/>
        <v>0.64851907092468664</v>
      </c>
    </row>
    <row r="109" spans="1:29" ht="18.95" customHeight="1">
      <c r="A109" s="4">
        <f t="shared" si="55"/>
        <v>797</v>
      </c>
      <c r="B109" s="6">
        <f>INDEX('Raw Data'!$B$6:$B$1371,MATCH(A109,'Raw Data'!$A$6:$A$1371,0))</f>
        <v>17124</v>
      </c>
      <c r="C109" s="6">
        <f t="shared" si="42"/>
        <v>2249</v>
      </c>
      <c r="D109" s="6">
        <f>MOD(C109+Summary!$B$20,Summary!$B$11)</f>
        <v>2243.7416237989592</v>
      </c>
      <c r="E109" s="6">
        <f>_xlfn.XLOOKUP(D109,'Native PMKS'!$C$6:$C$366,'Native PMKS'!$C$6:$C$366,,-1)</f>
        <v>2241.666666666667</v>
      </c>
      <c r="F109" s="6">
        <f>_xlfn.XLOOKUP(D109,'Native PMKS'!$C$6:$C$366,'Native PMKS'!$C$6:$C$366,,1)</f>
        <v>2250</v>
      </c>
      <c r="G109" s="6">
        <f>_xlfn.XLOOKUP(D109,'Native PMKS'!$C$6:$C$366,'Native PMKS'!$N$6:$N$366,,-1)</f>
        <v>35.809899999999999</v>
      </c>
      <c r="H109" s="6">
        <f>_xlfn.XLOOKUP(D109,'Native PMKS'!$C$6:$C$366,'Native PMKS'!$N$6:$N$366,,1)</f>
        <v>35.236899999999999</v>
      </c>
      <c r="I109" s="6">
        <f t="shared" si="43"/>
        <v>35.667225947583574</v>
      </c>
      <c r="J109" s="6">
        <f>INDEX('Raw Data'!$F$6:$F$1371,MATCH(A109,'Raw Data'!$A$6:$A$1371,0))</f>
        <v>34.0625</v>
      </c>
      <c r="K109" s="6">
        <f t="shared" si="44"/>
        <v>0.59450277646056848</v>
      </c>
      <c r="L109" s="6">
        <f t="shared" si="45"/>
        <v>0.6225105278380878</v>
      </c>
      <c r="M109" s="6">
        <f t="shared" si="46"/>
        <v>-2.8007751377519319E-2</v>
      </c>
      <c r="N109" s="6">
        <f t="shared" si="47"/>
        <v>7.8443413722493528E-4</v>
      </c>
      <c r="O109" s="6">
        <f>_xlfn.XLOOKUP(D109,'Instructor 360'!$B$6:$B$365,'Instructor 360'!$B$6:$B$365,,-1)</f>
        <v>2239.5543175487464</v>
      </c>
      <c r="P109" s="6">
        <f>_xlfn.XLOOKUP(D109,'Instructor 360'!$B$6:$B$365,'Instructor 360'!$B$6:$B$365,,1)</f>
        <v>2247.9108635097491</v>
      </c>
      <c r="Q109" s="6">
        <f>_xlfn.XLOOKUP(D109,'Instructor 360'!$B$6:$B$365,'Instructor 360'!$F$6:$F$365,,-1)</f>
        <v>35.955119777158799</v>
      </c>
      <c r="R109" s="6">
        <f>_xlfn.XLOOKUP(D109,'Instructor 360'!$B$6:$B$365,'Instructor 360'!$F$6:$F$365,,1)</f>
        <v>35.380549025069655</v>
      </c>
      <c r="S109" s="6">
        <f t="shared" si="48"/>
        <v>35.667213300889784</v>
      </c>
      <c r="T109" s="6">
        <f t="shared" si="49"/>
        <v>0.62251030711164168</v>
      </c>
      <c r="U109" s="6">
        <f t="shared" si="50"/>
        <v>-2.8007530651073198E-2</v>
      </c>
      <c r="V109" s="6"/>
      <c r="W109" s="6">
        <f t="shared" si="51"/>
        <v>7.8442177317080471E-4</v>
      </c>
      <c r="AA109">
        <f t="shared" si="52"/>
        <v>2249</v>
      </c>
      <c r="AB109">
        <f t="shared" si="53"/>
        <v>0.59450277646056848</v>
      </c>
      <c r="AC109">
        <f t="shared" si="54"/>
        <v>0.62251030711164168</v>
      </c>
    </row>
    <row r="110" spans="1:29" ht="18.95" customHeight="1">
      <c r="A110" s="4">
        <f t="shared" si="55"/>
        <v>798</v>
      </c>
      <c r="B110" s="6">
        <f>INDEX('Raw Data'!$B$6:$B$1371,MATCH(A110,'Raw Data'!$A$6:$A$1371,0))</f>
        <v>17144</v>
      </c>
      <c r="C110" s="6">
        <f t="shared" si="42"/>
        <v>2269</v>
      </c>
      <c r="D110" s="6">
        <f>MOD(C110+Summary!$B$20,Summary!$B$11)</f>
        <v>2263.7416237989592</v>
      </c>
      <c r="E110" s="6">
        <f>_xlfn.XLOOKUP(D110,'Native PMKS'!$C$6:$C$366,'Native PMKS'!$C$6:$C$366,,-1)</f>
        <v>2258.3333333333335</v>
      </c>
      <c r="F110" s="6">
        <f>_xlfn.XLOOKUP(D110,'Native PMKS'!$C$6:$C$366,'Native PMKS'!$C$6:$C$366,,1)</f>
        <v>2266.666666666667</v>
      </c>
      <c r="G110" s="6">
        <f>_xlfn.XLOOKUP(D110,'Native PMKS'!$C$6:$C$366,'Native PMKS'!$N$6:$N$366,,-1)</f>
        <v>34.663899999999998</v>
      </c>
      <c r="H110" s="6">
        <f>_xlfn.XLOOKUP(D110,'Native PMKS'!$C$6:$C$366,'Native PMKS'!$N$6:$N$366,,1)</f>
        <v>34.033700000000003</v>
      </c>
      <c r="I110" s="6">
        <f t="shared" si="43"/>
        <v>34.254903441827537</v>
      </c>
      <c r="J110" s="6">
        <f>INDEX('Raw Data'!$F$6:$F$1371,MATCH(A110,'Raw Data'!$A$6:$A$1371,0))</f>
        <v>31.5</v>
      </c>
      <c r="K110" s="6">
        <f t="shared" si="44"/>
        <v>0.5497787143782138</v>
      </c>
      <c r="L110" s="6">
        <f t="shared" si="45"/>
        <v>0.59786085001262834</v>
      </c>
      <c r="M110" s="6">
        <f t="shared" si="46"/>
        <v>-4.8082135634414547E-2</v>
      </c>
      <c r="N110" s="6">
        <f t="shared" si="47"/>
        <v>2.3118917671662372E-3</v>
      </c>
      <c r="O110" s="6">
        <f>_xlfn.XLOOKUP(D110,'Instructor 360'!$B$6:$B$365,'Instructor 360'!$B$6:$B$365,,-1)</f>
        <v>2256.2674094707522</v>
      </c>
      <c r="P110" s="6">
        <f>_xlfn.XLOOKUP(D110,'Instructor 360'!$B$6:$B$365,'Instructor 360'!$B$6:$B$365,,1)</f>
        <v>2264.6239554317549</v>
      </c>
      <c r="Q110" s="6">
        <f>_xlfn.XLOOKUP(D110,'Instructor 360'!$B$6:$B$365,'Instructor 360'!$F$6:$F$365,,-1)</f>
        <v>34.805952924791086</v>
      </c>
      <c r="R110" s="6">
        <f>_xlfn.XLOOKUP(D110,'Instructor 360'!$B$6:$B$365,'Instructor 360'!$F$6:$F$365,,1)</f>
        <v>34.18817799442899</v>
      </c>
      <c r="S110" s="6">
        <f t="shared" si="48"/>
        <v>34.253406183868805</v>
      </c>
      <c r="T110" s="6">
        <f t="shared" si="49"/>
        <v>0.59783471793149678</v>
      </c>
      <c r="U110" s="6">
        <f t="shared" si="50"/>
        <v>-4.8056003553282989E-2</v>
      </c>
      <c r="V110" s="6"/>
      <c r="W110" s="6">
        <f t="shared" si="51"/>
        <v>2.3093794775131474E-3</v>
      </c>
      <c r="AA110">
        <f t="shared" si="52"/>
        <v>2269</v>
      </c>
      <c r="AB110">
        <f t="shared" si="53"/>
        <v>0.5497787143782138</v>
      </c>
      <c r="AC110">
        <f t="shared" si="54"/>
        <v>0.59783471793149678</v>
      </c>
    </row>
    <row r="111" spans="1:29" ht="18.95" customHeight="1">
      <c r="A111" s="4">
        <f t="shared" si="55"/>
        <v>799</v>
      </c>
      <c r="B111" s="6">
        <f>INDEX('Raw Data'!$B$6:$B$1371,MATCH(A111,'Raw Data'!$A$6:$A$1371,0))</f>
        <v>17164</v>
      </c>
      <c r="C111" s="6">
        <f t="shared" si="42"/>
        <v>2289</v>
      </c>
      <c r="D111" s="6">
        <f>MOD(C111+Summary!$B$20,Summary!$B$11)</f>
        <v>2283.7416237989592</v>
      </c>
      <c r="E111" s="6">
        <f>_xlfn.XLOOKUP(D111,'Native PMKS'!$C$6:$C$366,'Native PMKS'!$C$6:$C$366,,-1)</f>
        <v>2283.3333333333335</v>
      </c>
      <c r="F111" s="6">
        <f>_xlfn.XLOOKUP(D111,'Native PMKS'!$C$6:$C$366,'Native PMKS'!$C$6:$C$366,,1)</f>
        <v>2291.666666666667</v>
      </c>
      <c r="G111" s="6">
        <f>_xlfn.XLOOKUP(D111,'Native PMKS'!$C$6:$C$366,'Native PMKS'!$N$6:$N$366,,-1)</f>
        <v>32.773200000000003</v>
      </c>
      <c r="H111" s="6">
        <f>_xlfn.XLOOKUP(D111,'Native PMKS'!$C$6:$C$366,'Native PMKS'!$N$6:$N$366,,1)</f>
        <v>32.085599999999999</v>
      </c>
      <c r="I111" s="6">
        <f t="shared" si="43"/>
        <v>32.739511137100294</v>
      </c>
      <c r="J111" s="6">
        <f>INDEX('Raw Data'!$F$6:$F$1371,MATCH(A111,'Raw Data'!$A$6:$A$1371,0))</f>
        <v>29.9375</v>
      </c>
      <c r="K111" s="6">
        <f t="shared" si="44"/>
        <v>0.52250794481580243</v>
      </c>
      <c r="L111" s="6">
        <f t="shared" si="45"/>
        <v>0.5714122648357528</v>
      </c>
      <c r="M111" s="6">
        <f t="shared" si="46"/>
        <v>-4.8904320019950376E-2</v>
      </c>
      <c r="N111" s="6">
        <f t="shared" si="47"/>
        <v>2.3916325166137191E-3</v>
      </c>
      <c r="O111" s="6">
        <f>_xlfn.XLOOKUP(D111,'Instructor 360'!$B$6:$B$365,'Instructor 360'!$B$6:$B$365,,-1)</f>
        <v>2281.3370473537602</v>
      </c>
      <c r="P111" s="6">
        <f>_xlfn.XLOOKUP(D111,'Instructor 360'!$B$6:$B$365,'Instructor 360'!$B$6:$B$365,,1)</f>
        <v>2289.6935933147633</v>
      </c>
      <c r="Q111" s="6">
        <f>_xlfn.XLOOKUP(D111,'Instructor 360'!$B$6:$B$365,'Instructor 360'!$F$6:$F$365,,-1)</f>
        <v>32.924167130919244</v>
      </c>
      <c r="R111" s="6">
        <f>_xlfn.XLOOKUP(D111,'Instructor 360'!$B$6:$B$365,'Instructor 360'!$F$6:$F$365,,1)</f>
        <v>32.248402228412267</v>
      </c>
      <c r="S111" s="6">
        <f t="shared" si="48"/>
        <v>32.729717369660989</v>
      </c>
      <c r="T111" s="6">
        <f t="shared" si="49"/>
        <v>0.57124133134776223</v>
      </c>
      <c r="U111" s="6">
        <f t="shared" si="50"/>
        <v>-4.8733386531959799E-2</v>
      </c>
      <c r="V111" s="6"/>
      <c r="W111" s="6">
        <f t="shared" si="51"/>
        <v>2.3749429628734009E-3</v>
      </c>
      <c r="AA111">
        <f t="shared" si="52"/>
        <v>2289</v>
      </c>
      <c r="AB111">
        <f t="shared" si="53"/>
        <v>0.52250794481580243</v>
      </c>
      <c r="AC111">
        <f t="shared" si="54"/>
        <v>0.57124133134776223</v>
      </c>
    </row>
    <row r="112" spans="1:29" ht="18.95" customHeight="1">
      <c r="A112" s="4">
        <f t="shared" si="55"/>
        <v>800</v>
      </c>
      <c r="B112" s="6">
        <f>INDEX('Raw Data'!$B$6:$B$1371,MATCH(A112,'Raw Data'!$A$6:$A$1371,0))</f>
        <v>17185</v>
      </c>
      <c r="C112" s="6">
        <f t="shared" si="42"/>
        <v>2310</v>
      </c>
      <c r="D112" s="6">
        <f>MOD(C112+Summary!$B$20,Summary!$B$11)</f>
        <v>2304.7416237989592</v>
      </c>
      <c r="E112" s="6">
        <f>_xlfn.XLOOKUP(D112,'Native PMKS'!$C$6:$C$366,'Native PMKS'!$C$6:$C$366,,-1)</f>
        <v>2300</v>
      </c>
      <c r="F112" s="6">
        <f>_xlfn.XLOOKUP(D112,'Native PMKS'!$C$6:$C$366,'Native PMKS'!$C$6:$C$366,,1)</f>
        <v>2308.3333333333335</v>
      </c>
      <c r="G112" s="6">
        <f>_xlfn.XLOOKUP(D112,'Native PMKS'!$C$6:$C$366,'Native PMKS'!$N$6:$N$366,,-1)</f>
        <v>31.398099999999999</v>
      </c>
      <c r="H112" s="6">
        <f>_xlfn.XLOOKUP(D112,'Native PMKS'!$C$6:$C$366,'Native PMKS'!$N$6:$N$366,,1)</f>
        <v>30.7105</v>
      </c>
      <c r="I112" s="6">
        <f t="shared" si="43"/>
        <v>31.006859137100321</v>
      </c>
      <c r="J112" s="6">
        <f>INDEX('Raw Data'!$F$6:$F$1371,MATCH(A112,'Raw Data'!$A$6:$A$1371,0))</f>
        <v>27.75</v>
      </c>
      <c r="K112" s="6">
        <f t="shared" si="44"/>
        <v>0.48432886742842646</v>
      </c>
      <c r="L112" s="6">
        <f t="shared" si="45"/>
        <v>0.5411717826444884</v>
      </c>
      <c r="M112" s="6">
        <f t="shared" si="46"/>
        <v>-5.684291521606194E-2</v>
      </c>
      <c r="N112" s="6">
        <f t="shared" si="47"/>
        <v>3.2311170102604062E-3</v>
      </c>
      <c r="O112" s="6">
        <f>_xlfn.XLOOKUP(D112,'Instructor 360'!$B$6:$B$365,'Instructor 360'!$B$6:$B$365,,-1)</f>
        <v>2298.050139275766</v>
      </c>
      <c r="P112" s="6">
        <f>_xlfn.XLOOKUP(D112,'Instructor 360'!$B$6:$B$365,'Instructor 360'!$B$6:$B$365,,1)</f>
        <v>2306.4066852367687</v>
      </c>
      <c r="Q112" s="6">
        <f>_xlfn.XLOOKUP(D112,'Instructor 360'!$B$6:$B$365,'Instructor 360'!$F$6:$F$365,,-1)</f>
        <v>31.558963509749308</v>
      </c>
      <c r="R112" s="6">
        <f>_xlfn.XLOOKUP(D112,'Instructor 360'!$B$6:$B$365,'Instructor 360'!$F$6:$F$365,,1)</f>
        <v>30.869471587743753</v>
      </c>
      <c r="S112" s="6">
        <f t="shared" si="48"/>
        <v>31.006854474928247</v>
      </c>
      <c r="T112" s="6">
        <f t="shared" si="49"/>
        <v>0.54117170127423542</v>
      </c>
      <c r="U112" s="6">
        <f t="shared" si="50"/>
        <v>-5.684283384580896E-2</v>
      </c>
      <c r="V112" s="6"/>
      <c r="W112" s="6">
        <f t="shared" si="51"/>
        <v>3.2311077596222444E-3</v>
      </c>
      <c r="AA112">
        <f t="shared" si="52"/>
        <v>2310</v>
      </c>
      <c r="AB112">
        <f t="shared" si="53"/>
        <v>0.48432886742842646</v>
      </c>
      <c r="AC112">
        <f t="shared" si="54"/>
        <v>0.54117170127423542</v>
      </c>
    </row>
    <row r="113" spans="1:29" ht="18.95" customHeight="1">
      <c r="A113" s="4">
        <f t="shared" si="55"/>
        <v>801</v>
      </c>
      <c r="B113" s="6">
        <f>INDEX('Raw Data'!$B$6:$B$1371,MATCH(A113,'Raw Data'!$A$6:$A$1371,0))</f>
        <v>17205</v>
      </c>
      <c r="C113" s="6">
        <f t="shared" si="42"/>
        <v>2330</v>
      </c>
      <c r="D113" s="6">
        <f>MOD(C113+Summary!$B$20,Summary!$B$11)</f>
        <v>2324.7416237989592</v>
      </c>
      <c r="E113" s="6">
        <f>_xlfn.XLOOKUP(D113,'Native PMKS'!$C$6:$C$366,'Native PMKS'!$C$6:$C$366,,-1)</f>
        <v>2316.666666666667</v>
      </c>
      <c r="F113" s="6">
        <f>_xlfn.XLOOKUP(D113,'Native PMKS'!$C$6:$C$366,'Native PMKS'!$C$6:$C$366,,1)</f>
        <v>2325</v>
      </c>
      <c r="G113" s="6">
        <f>_xlfn.XLOOKUP(D113,'Native PMKS'!$C$6:$C$366,'Native PMKS'!$N$6:$N$366,,-1)</f>
        <v>29.965699999999998</v>
      </c>
      <c r="H113" s="6">
        <f>_xlfn.XLOOKUP(D113,'Native PMKS'!$C$6:$C$366,'Native PMKS'!$N$6:$N$366,,1)</f>
        <v>29.220800000000001</v>
      </c>
      <c r="I113" s="6">
        <f t="shared" si="43"/>
        <v>29.243895731858657</v>
      </c>
      <c r="J113" s="6">
        <f>INDEX('Raw Data'!$F$6:$F$1371,MATCH(A113,'Raw Data'!$A$6:$A$1371,0))</f>
        <v>25.75</v>
      </c>
      <c r="K113" s="6">
        <f t="shared" si="44"/>
        <v>0.44942228238853982</v>
      </c>
      <c r="L113" s="6">
        <f t="shared" si="45"/>
        <v>0.51040226663085042</v>
      </c>
      <c r="M113" s="6">
        <f t="shared" si="46"/>
        <v>-6.0979984242310603E-2</v>
      </c>
      <c r="N113" s="6">
        <f t="shared" si="47"/>
        <v>3.7185584781924495E-3</v>
      </c>
      <c r="O113" s="6">
        <f>_xlfn.XLOOKUP(D113,'Instructor 360'!$B$6:$B$365,'Instructor 360'!$B$6:$B$365,,-1)</f>
        <v>2323.1197771587745</v>
      </c>
      <c r="P113" s="6">
        <f>_xlfn.XLOOKUP(D113,'Instructor 360'!$B$6:$B$365,'Instructor 360'!$B$6:$B$365,,1)</f>
        <v>2331.4763231197771</v>
      </c>
      <c r="Q113" s="6">
        <f>_xlfn.XLOOKUP(D113,'Instructor 360'!$B$6:$B$365,'Instructor 360'!$F$6:$F$365,,-1)</f>
        <v>29.388869359331473</v>
      </c>
      <c r="R113" s="6">
        <f>_xlfn.XLOOKUP(D113,'Instructor 360'!$B$6:$B$365,'Instructor 360'!$F$6:$F$365,,1)</f>
        <v>28.641972144846807</v>
      </c>
      <c r="S113" s="6">
        <f t="shared" si="48"/>
        <v>29.243910815032393</v>
      </c>
      <c r="T113" s="6">
        <f t="shared" si="49"/>
        <v>0.51040252988189372</v>
      </c>
      <c r="U113" s="6">
        <f t="shared" si="50"/>
        <v>-6.0980247493353901E-2</v>
      </c>
      <c r="V113" s="6"/>
      <c r="W113" s="6">
        <f t="shared" si="51"/>
        <v>3.7185905843506945E-3</v>
      </c>
      <c r="AA113">
        <f t="shared" si="52"/>
        <v>2330</v>
      </c>
      <c r="AB113">
        <f t="shared" si="53"/>
        <v>0.44942228238853982</v>
      </c>
      <c r="AC113">
        <f t="shared" si="54"/>
        <v>0.51040252988189372</v>
      </c>
    </row>
    <row r="114" spans="1:29" ht="18.95" customHeight="1">
      <c r="A114" s="4">
        <f t="shared" si="55"/>
        <v>802</v>
      </c>
      <c r="B114" s="6">
        <f>INDEX('Raw Data'!$B$6:$B$1371,MATCH(A114,'Raw Data'!$A$6:$A$1371,0))</f>
        <v>17226</v>
      </c>
      <c r="C114" s="6">
        <f t="shared" si="42"/>
        <v>2351</v>
      </c>
      <c r="D114" s="6">
        <f>MOD(C114+Summary!$B$20,Summary!$B$11)</f>
        <v>2345.7416237989592</v>
      </c>
      <c r="E114" s="6">
        <f>_xlfn.XLOOKUP(D114,'Native PMKS'!$C$6:$C$366,'Native PMKS'!$C$6:$C$366,,-1)</f>
        <v>2341.666666666667</v>
      </c>
      <c r="F114" s="6">
        <f>_xlfn.XLOOKUP(D114,'Native PMKS'!$C$6:$C$366,'Native PMKS'!$C$6:$C$366,,1)</f>
        <v>2350</v>
      </c>
      <c r="G114" s="6">
        <f>_xlfn.XLOOKUP(D114,'Native PMKS'!$C$6:$C$366,'Native PMKS'!$N$6:$N$366,,-1)</f>
        <v>27.6739</v>
      </c>
      <c r="H114" s="6">
        <f>_xlfn.XLOOKUP(D114,'Native PMKS'!$C$6:$C$366,'Native PMKS'!$N$6:$N$366,,1)</f>
        <v>26.871700000000001</v>
      </c>
      <c r="I114" s="6">
        <f t="shared" si="43"/>
        <v>27.281628326616982</v>
      </c>
      <c r="J114" s="6">
        <f>INDEX('Raw Data'!$F$6:$F$1371,MATCH(A114,'Raw Data'!$A$6:$A$1371,0))</f>
        <v>23.875</v>
      </c>
      <c r="K114" s="6">
        <f t="shared" si="44"/>
        <v>0.41669735891364618</v>
      </c>
      <c r="L114" s="6">
        <f t="shared" si="45"/>
        <v>0.47615423960481729</v>
      </c>
      <c r="M114" s="6">
        <f t="shared" si="46"/>
        <v>-5.945688069117111E-2</v>
      </c>
      <c r="N114" s="6">
        <f t="shared" si="47"/>
        <v>3.5351206615241559E-3</v>
      </c>
      <c r="O114" s="6">
        <f>_xlfn.XLOOKUP(D114,'Instructor 360'!$B$6:$B$365,'Instructor 360'!$B$6:$B$365,,-1)</f>
        <v>2339.8328690807798</v>
      </c>
      <c r="P114" s="6">
        <f>_xlfn.XLOOKUP(D114,'Instructor 360'!$B$6:$B$365,'Instructor 360'!$B$6:$B$365,,1)</f>
        <v>2348.1894150417829</v>
      </c>
      <c r="Q114" s="6">
        <f>_xlfn.XLOOKUP(D114,'Instructor 360'!$B$6:$B$365,'Instructor 360'!$F$6:$F$365,,-1)</f>
        <v>27.850406685236809</v>
      </c>
      <c r="R114" s="6">
        <f>_xlfn.XLOOKUP(D114,'Instructor 360'!$B$6:$B$365,'Instructor 360'!$F$6:$F$365,,1)</f>
        <v>27.045994150417815</v>
      </c>
      <c r="S114" s="6">
        <f t="shared" si="48"/>
        <v>27.281621880766693</v>
      </c>
      <c r="T114" s="6">
        <f t="shared" si="49"/>
        <v>0.47615412710350663</v>
      </c>
      <c r="U114" s="6">
        <f t="shared" si="50"/>
        <v>-5.9456768189860454E-2</v>
      </c>
      <c r="V114" s="6"/>
      <c r="W114" s="6">
        <f t="shared" si="51"/>
        <v>3.5351072835828018E-3</v>
      </c>
      <c r="AA114">
        <f t="shared" si="52"/>
        <v>2351</v>
      </c>
      <c r="AB114">
        <f t="shared" si="53"/>
        <v>0.41669735891364618</v>
      </c>
      <c r="AC114">
        <f t="shared" si="54"/>
        <v>0.47615412710350663</v>
      </c>
    </row>
    <row r="115" spans="1:29" ht="18.95" customHeight="1">
      <c r="A115" s="4">
        <f t="shared" si="55"/>
        <v>803</v>
      </c>
      <c r="B115" s="6">
        <f>INDEX('Raw Data'!$B$6:$B$1371,MATCH(A115,'Raw Data'!$A$6:$A$1371,0))</f>
        <v>17248</v>
      </c>
      <c r="C115" s="6">
        <f t="shared" si="42"/>
        <v>2373</v>
      </c>
      <c r="D115" s="6">
        <f>MOD(C115+Summary!$B$20,Summary!$B$11)</f>
        <v>2367.7416237989592</v>
      </c>
      <c r="E115" s="6">
        <f>_xlfn.XLOOKUP(D115,'Native PMKS'!$C$6:$C$366,'Native PMKS'!$C$6:$C$366,,-1)</f>
        <v>2366.666666666667</v>
      </c>
      <c r="F115" s="6">
        <f>_xlfn.XLOOKUP(D115,'Native PMKS'!$C$6:$C$366,'Native PMKS'!$C$6:$C$366,,1)</f>
        <v>2375</v>
      </c>
      <c r="G115" s="6">
        <f>_xlfn.XLOOKUP(D115,'Native PMKS'!$C$6:$C$366,'Native PMKS'!$N$6:$N$366,,-1)</f>
        <v>25.210100000000001</v>
      </c>
      <c r="H115" s="6">
        <f>_xlfn.XLOOKUP(D115,'Native PMKS'!$C$6:$C$366,'Native PMKS'!$N$6:$N$366,,1)</f>
        <v>24.3507</v>
      </c>
      <c r="I115" s="6">
        <f t="shared" si="43"/>
        <v>25.099241820860982</v>
      </c>
      <c r="J115" s="6">
        <f>INDEX('Raw Data'!$F$6:$F$1371,MATCH(A115,'Raw Data'!$A$6:$A$1371,0))</f>
        <v>21.75</v>
      </c>
      <c r="K115" s="6">
        <f t="shared" si="44"/>
        <v>0.37960911230876665</v>
      </c>
      <c r="L115" s="6">
        <f t="shared" si="45"/>
        <v>0.43806440952828091</v>
      </c>
      <c r="M115" s="6">
        <f t="shared" si="46"/>
        <v>-5.8455297219514257E-2</v>
      </c>
      <c r="N115" s="6">
        <f t="shared" si="47"/>
        <v>3.4170217730217513E-3</v>
      </c>
      <c r="O115" s="6">
        <f>_xlfn.XLOOKUP(D115,'Instructor 360'!$B$6:$B$365,'Instructor 360'!$B$6:$B$365,,-1)</f>
        <v>2364.9025069637883</v>
      </c>
      <c r="P115" s="6">
        <f>_xlfn.XLOOKUP(D115,'Instructor 360'!$B$6:$B$365,'Instructor 360'!$B$6:$B$365,,1)</f>
        <v>2373.2590529247909</v>
      </c>
      <c r="Q115" s="6">
        <f>_xlfn.XLOOKUP(D115,'Instructor 360'!$B$6:$B$365,'Instructor 360'!$F$6:$F$365,,-1)</f>
        <v>25.379925069637913</v>
      </c>
      <c r="R115" s="6">
        <f>_xlfn.XLOOKUP(D115,'Instructor 360'!$B$6:$B$365,'Instructor 360'!$F$6:$F$365,,1)</f>
        <v>24.530240389972167</v>
      </c>
      <c r="S115" s="6">
        <f t="shared" si="48"/>
        <v>25.091246698229043</v>
      </c>
      <c r="T115" s="6">
        <f t="shared" si="49"/>
        <v>0.43792486831425287</v>
      </c>
      <c r="U115" s="6">
        <f t="shared" si="50"/>
        <v>-5.8315756005486219E-2</v>
      </c>
      <c r="V115" s="6"/>
      <c r="W115" s="6">
        <f t="shared" si="51"/>
        <v>3.4007273984914019E-3</v>
      </c>
      <c r="AA115">
        <f t="shared" si="52"/>
        <v>2373</v>
      </c>
      <c r="AB115">
        <f t="shared" si="53"/>
        <v>0.37960911230876665</v>
      </c>
      <c r="AC115">
        <f t="shared" si="54"/>
        <v>0.43792486831425287</v>
      </c>
    </row>
    <row r="116" spans="1:29" ht="18.95" customHeight="1">
      <c r="A116" s="4">
        <f t="shared" si="55"/>
        <v>804</v>
      </c>
      <c r="B116" s="6">
        <f>INDEX('Raw Data'!$B$6:$B$1371,MATCH(A116,'Raw Data'!$A$6:$A$1371,0))</f>
        <v>17268</v>
      </c>
      <c r="C116" s="6">
        <f t="shared" si="42"/>
        <v>2393</v>
      </c>
      <c r="D116" s="6">
        <f>MOD(C116+Summary!$B$20,Summary!$B$11)</f>
        <v>2387.7416237989592</v>
      </c>
      <c r="E116" s="6">
        <f>_xlfn.XLOOKUP(D116,'Native PMKS'!$C$6:$C$366,'Native PMKS'!$C$6:$C$366,,-1)</f>
        <v>2383.3333333333335</v>
      </c>
      <c r="F116" s="6">
        <f>_xlfn.XLOOKUP(D116,'Native PMKS'!$C$6:$C$366,'Native PMKS'!$C$6:$C$366,,1)</f>
        <v>2391.666666666667</v>
      </c>
      <c r="G116" s="6">
        <f>_xlfn.XLOOKUP(D116,'Native PMKS'!$C$6:$C$366,'Native PMKS'!$N$6:$N$366,,-1)</f>
        <v>23.434000000000001</v>
      </c>
      <c r="H116" s="6">
        <f>_xlfn.XLOOKUP(D116,'Native PMKS'!$C$6:$C$366,'Native PMKS'!$N$6:$N$366,,1)</f>
        <v>22.517199999999999</v>
      </c>
      <c r="I116" s="6">
        <f t="shared" si="43"/>
        <v>22.949017516133665</v>
      </c>
      <c r="J116" s="6">
        <f>INDEX('Raw Data'!$F$6:$F$1371,MATCH(A116,'Raw Data'!$A$6:$A$1371,0))</f>
        <v>19.6875</v>
      </c>
      <c r="K116" s="6">
        <f t="shared" si="44"/>
        <v>0.34361169648638362</v>
      </c>
      <c r="L116" s="6">
        <f t="shared" si="45"/>
        <v>0.40053591575438335</v>
      </c>
      <c r="M116" s="6">
        <f t="shared" si="46"/>
        <v>-5.6924219267999732E-2</v>
      </c>
      <c r="N116" s="6">
        <f t="shared" si="47"/>
        <v>3.2403667392713119E-3</v>
      </c>
      <c r="O116" s="6">
        <f>_xlfn.XLOOKUP(D116,'Instructor 360'!$B$6:$B$365,'Instructor 360'!$B$6:$B$365,,-1)</f>
        <v>2381.615598885794</v>
      </c>
      <c r="P116" s="6">
        <f>_xlfn.XLOOKUP(D116,'Instructor 360'!$B$6:$B$365,'Instructor 360'!$B$6:$B$365,,1)</f>
        <v>2389.9721448467967</v>
      </c>
      <c r="Q116" s="6">
        <f>_xlfn.XLOOKUP(D116,'Instructor 360'!$B$6:$B$365,'Instructor 360'!$F$6:$F$365,,-1)</f>
        <v>23.622957660167128</v>
      </c>
      <c r="R116" s="6">
        <f>_xlfn.XLOOKUP(D116,'Instructor 360'!$B$6:$B$365,'Instructor 360'!$F$6:$F$365,,1)</f>
        <v>22.703624512534844</v>
      </c>
      <c r="S116" s="6">
        <f t="shared" si="48"/>
        <v>22.94901201418179</v>
      </c>
      <c r="T116" s="6">
        <f t="shared" si="49"/>
        <v>0.40053581972720781</v>
      </c>
      <c r="U116" s="6">
        <f t="shared" si="50"/>
        <v>-5.6924123240824187E-2</v>
      </c>
      <c r="V116" s="6"/>
      <c r="W116" s="6">
        <f t="shared" si="51"/>
        <v>3.2403558067365403E-3</v>
      </c>
      <c r="AA116">
        <f t="shared" si="52"/>
        <v>2393</v>
      </c>
      <c r="AB116">
        <f t="shared" si="53"/>
        <v>0.34361169648638362</v>
      </c>
      <c r="AC116">
        <f t="shared" si="54"/>
        <v>0.40053581972720781</v>
      </c>
    </row>
    <row r="117" spans="1:29" ht="18.95" customHeight="1">
      <c r="A117" s="4">
        <f t="shared" si="55"/>
        <v>805</v>
      </c>
      <c r="B117" s="6">
        <f>INDEX('Raw Data'!$B$6:$B$1371,MATCH(A117,'Raw Data'!$A$6:$A$1371,0))</f>
        <v>17289</v>
      </c>
      <c r="C117" s="6">
        <f t="shared" si="42"/>
        <v>2414</v>
      </c>
      <c r="D117" s="6">
        <f>MOD(C117+Summary!$B$20,Summary!$B$11)</f>
        <v>2408.7416237989592</v>
      </c>
      <c r="E117" s="6">
        <f>_xlfn.XLOOKUP(D117,'Native PMKS'!$C$6:$C$366,'Native PMKS'!$C$6:$C$366,,-1)</f>
        <v>2408.3333333333335</v>
      </c>
      <c r="F117" s="6">
        <f>_xlfn.XLOOKUP(D117,'Native PMKS'!$C$6:$C$366,'Native PMKS'!$C$6:$C$366,,1)</f>
        <v>2416.666666666667</v>
      </c>
      <c r="G117" s="6">
        <f>_xlfn.XLOOKUP(D117,'Native PMKS'!$C$6:$C$366,'Native PMKS'!$N$6:$N$366,,-1)</f>
        <v>20.683800000000002</v>
      </c>
      <c r="H117" s="6">
        <f>_xlfn.XLOOKUP(D117,'Native PMKS'!$C$6:$C$366,'Native PMKS'!$N$6:$N$366,,1)</f>
        <v>19.709700000000002</v>
      </c>
      <c r="I117" s="6">
        <f t="shared" si="43"/>
        <v>20.636074110892082</v>
      </c>
      <c r="J117" s="6">
        <f>INDEX('Raw Data'!$F$6:$F$1371,MATCH(A117,'Raw Data'!$A$6:$A$1371,0))</f>
        <v>17.25</v>
      </c>
      <c r="K117" s="6">
        <f t="shared" si="44"/>
        <v>0.30106929596902182</v>
      </c>
      <c r="L117" s="6">
        <f t="shared" si="45"/>
        <v>0.36016743792062828</v>
      </c>
      <c r="M117" s="6">
        <f t="shared" si="46"/>
        <v>-5.9098141951606453E-2</v>
      </c>
      <c r="N117" s="6">
        <f t="shared" si="47"/>
        <v>3.4925903821322267E-3</v>
      </c>
      <c r="O117" s="6">
        <f>_xlfn.XLOOKUP(D117,'Instructor 360'!$B$6:$B$365,'Instructor 360'!$B$6:$B$365,,-1)</f>
        <v>2406.685236768802</v>
      </c>
      <c r="P117" s="6">
        <f>_xlfn.XLOOKUP(D117,'Instructor 360'!$B$6:$B$365,'Instructor 360'!$B$6:$B$365,,1)</f>
        <v>2415.0417827298052</v>
      </c>
      <c r="Q117" s="6">
        <f>_xlfn.XLOOKUP(D117,'Instructor 360'!$B$6:$B$365,'Instructor 360'!$F$6:$F$365,,-1)</f>
        <v>20.865097214484713</v>
      </c>
      <c r="R117" s="6">
        <f>_xlfn.XLOOKUP(D117,'Instructor 360'!$B$6:$B$365,'Instructor 360'!$F$6:$F$365,,1)</f>
        <v>19.89963593314765</v>
      </c>
      <c r="S117" s="6">
        <f t="shared" si="48"/>
        <v>20.627515554989827</v>
      </c>
      <c r="T117" s="6">
        <f t="shared" si="49"/>
        <v>0.36001806294091793</v>
      </c>
      <c r="U117" s="6">
        <f t="shared" si="50"/>
        <v>-5.8948766971896105E-2</v>
      </c>
      <c r="V117" s="6"/>
      <c r="W117" s="6">
        <f t="shared" si="51"/>
        <v>3.474957127506909E-3</v>
      </c>
      <c r="AA117">
        <f t="shared" si="52"/>
        <v>2414</v>
      </c>
      <c r="AB117">
        <f t="shared" si="53"/>
        <v>0.30106929596902182</v>
      </c>
      <c r="AC117">
        <f t="shared" si="54"/>
        <v>0.36001806294091793</v>
      </c>
    </row>
    <row r="118" spans="1:29" ht="18.95" customHeight="1">
      <c r="A118" s="4">
        <f t="shared" si="55"/>
        <v>806</v>
      </c>
      <c r="B118" s="6">
        <f>INDEX('Raw Data'!$B$6:$B$1371,MATCH(A118,'Raw Data'!$A$6:$A$1371,0))</f>
        <v>17309</v>
      </c>
      <c r="C118" s="6">
        <f t="shared" si="42"/>
        <v>2434</v>
      </c>
      <c r="D118" s="6">
        <f>MOD(C118+Summary!$B$20,Summary!$B$11)</f>
        <v>2428.7416237989592</v>
      </c>
      <c r="E118" s="6">
        <f>_xlfn.XLOOKUP(D118,'Native PMKS'!$C$6:$C$366,'Native PMKS'!$C$6:$C$366,,-1)</f>
        <v>2425</v>
      </c>
      <c r="F118" s="6">
        <f>_xlfn.XLOOKUP(D118,'Native PMKS'!$C$6:$C$366,'Native PMKS'!$C$6:$C$366,,1)</f>
        <v>2433.3333333333335</v>
      </c>
      <c r="G118" s="6">
        <f>_xlfn.XLOOKUP(D118,'Native PMKS'!$C$6:$C$366,'Native PMKS'!$N$6:$N$366,,-1)</f>
        <v>18.735700000000001</v>
      </c>
      <c r="H118" s="6">
        <f>_xlfn.XLOOKUP(D118,'Native PMKS'!$C$6:$C$366,'Native PMKS'!$N$6:$N$366,,1)</f>
        <v>17.7044</v>
      </c>
      <c r="I118" s="6">
        <f t="shared" si="43"/>
        <v>18.272651605136048</v>
      </c>
      <c r="J118" s="6">
        <f>INDEX('Raw Data'!$F$6:$F$1371,MATCH(A118,'Raw Data'!$A$6:$A$1371,0))</f>
        <v>15</v>
      </c>
      <c r="K118" s="6">
        <f t="shared" si="44"/>
        <v>0.26179938779914941</v>
      </c>
      <c r="L118" s="6">
        <f t="shared" si="45"/>
        <v>0.31891793357945081</v>
      </c>
      <c r="M118" s="6">
        <f t="shared" si="46"/>
        <v>-5.71185457803014E-2</v>
      </c>
      <c r="N118" s="6">
        <f t="shared" si="47"/>
        <v>3.2625282720563867E-3</v>
      </c>
      <c r="O118" s="6">
        <f>_xlfn.XLOOKUP(D118,'Instructor 360'!$B$6:$B$365,'Instructor 360'!$B$6:$B$365,,-1)</f>
        <v>2423.3983286908078</v>
      </c>
      <c r="P118" s="6">
        <f>_xlfn.XLOOKUP(D118,'Instructor 360'!$B$6:$B$365,'Instructor 360'!$B$6:$B$365,,1)</f>
        <v>2431.7548746518105</v>
      </c>
      <c r="Q118" s="6">
        <f>_xlfn.XLOOKUP(D118,'Instructor 360'!$B$6:$B$365,'Instructor 360'!$F$6:$F$365,,-1)</f>
        <v>18.92290334261839</v>
      </c>
      <c r="R118" s="6">
        <f>_xlfn.XLOOKUP(D118,'Instructor 360'!$B$6:$B$365,'Instructor 360'!$F$6:$F$365,,1)</f>
        <v>17.899743732590554</v>
      </c>
      <c r="S118" s="6">
        <f t="shared" si="48"/>
        <v>18.268680441837034</v>
      </c>
      <c r="T118" s="6">
        <f t="shared" si="49"/>
        <v>0.3188486237047487</v>
      </c>
      <c r="U118" s="6">
        <f t="shared" si="50"/>
        <v>-5.7049235905599294E-2</v>
      </c>
      <c r="V118" s="6"/>
      <c r="W118" s="6">
        <f t="shared" si="51"/>
        <v>3.2546153174127196E-3</v>
      </c>
      <c r="AA118">
        <f t="shared" si="52"/>
        <v>2434</v>
      </c>
      <c r="AB118">
        <f t="shared" si="53"/>
        <v>0.26179938779914941</v>
      </c>
      <c r="AC118">
        <f t="shared" si="54"/>
        <v>0.3188486237047487</v>
      </c>
    </row>
    <row r="119" spans="1:29" ht="18.95" customHeight="1">
      <c r="A119" s="4">
        <f t="shared" si="55"/>
        <v>807</v>
      </c>
      <c r="B119" s="6">
        <f>INDEX('Raw Data'!$B$6:$B$1371,MATCH(A119,'Raw Data'!$A$6:$A$1371,0))</f>
        <v>17331</v>
      </c>
      <c r="C119" s="6">
        <f t="shared" si="42"/>
        <v>2456</v>
      </c>
      <c r="D119" s="6">
        <f>MOD(C119+Summary!$B$20,Summary!$B$11)</f>
        <v>2450.7416237989592</v>
      </c>
      <c r="E119" s="6">
        <f>_xlfn.XLOOKUP(D119,'Native PMKS'!$C$6:$C$366,'Native PMKS'!$C$6:$C$366,,-1)</f>
        <v>2450</v>
      </c>
      <c r="F119" s="6">
        <f>_xlfn.XLOOKUP(D119,'Native PMKS'!$C$6:$C$366,'Native PMKS'!$C$6:$C$366,,1)</f>
        <v>2458.3333333333335</v>
      </c>
      <c r="G119" s="6">
        <f>_xlfn.XLOOKUP(D119,'Native PMKS'!$C$6:$C$366,'Native PMKS'!$N$6:$N$366,,-1)</f>
        <v>15.6417</v>
      </c>
      <c r="H119" s="6">
        <f>_xlfn.XLOOKUP(D119,'Native PMKS'!$C$6:$C$366,'Native PMKS'!$N$6:$N$366,,1)</f>
        <v>14.6104</v>
      </c>
      <c r="I119" s="6">
        <f t="shared" si="43"/>
        <v>15.54991960513604</v>
      </c>
      <c r="J119" s="6">
        <f>INDEX('Raw Data'!$F$6:$F$1371,MATCH(A119,'Raw Data'!$A$6:$A$1371,0))</f>
        <v>12.3125</v>
      </c>
      <c r="K119" s="6">
        <f t="shared" si="44"/>
        <v>0.21489366415180181</v>
      </c>
      <c r="L119" s="6">
        <f t="shared" si="45"/>
        <v>0.27139729553004044</v>
      </c>
      <c r="M119" s="6">
        <f t="shared" si="46"/>
        <v>-5.6503631378238633E-2</v>
      </c>
      <c r="N119" s="6">
        <f t="shared" si="47"/>
        <v>3.1926603589278735E-3</v>
      </c>
      <c r="O119" s="6">
        <f>_xlfn.XLOOKUP(D119,'Instructor 360'!$B$6:$B$365,'Instructor 360'!$B$6:$B$365,,-1)</f>
        <v>2448.4679665738163</v>
      </c>
      <c r="P119" s="6">
        <f>_xlfn.XLOOKUP(D119,'Instructor 360'!$B$6:$B$365,'Instructor 360'!$B$6:$B$365,,1)</f>
        <v>2456.824512534819</v>
      </c>
      <c r="Q119" s="6">
        <f>_xlfn.XLOOKUP(D119,'Instructor 360'!$B$6:$B$365,'Instructor 360'!$F$6:$F$365,,-1)</f>
        <v>15.831316713091914</v>
      </c>
      <c r="R119" s="6">
        <f>_xlfn.XLOOKUP(D119,'Instructor 360'!$B$6:$B$365,'Instructor 360'!$F$6:$F$365,,1)</f>
        <v>14.797125626740961</v>
      </c>
      <c r="S119" s="6">
        <f t="shared" si="48"/>
        <v>15.549932987491218</v>
      </c>
      <c r="T119" s="6">
        <f t="shared" si="49"/>
        <v>0.27139752909619996</v>
      </c>
      <c r="U119" s="6">
        <f t="shared" si="50"/>
        <v>-5.6503864944398158E-2</v>
      </c>
      <c r="V119" s="6"/>
      <c r="W119" s="6">
        <f t="shared" si="51"/>
        <v>3.1926867536547872E-3</v>
      </c>
      <c r="AA119">
        <f t="shared" si="52"/>
        <v>2456</v>
      </c>
      <c r="AB119">
        <f t="shared" si="53"/>
        <v>0.21489366415180181</v>
      </c>
      <c r="AC119">
        <f t="shared" si="54"/>
        <v>0.27139752909619996</v>
      </c>
    </row>
    <row r="120" spans="1:29" ht="18.95" customHeight="1">
      <c r="A120" s="4">
        <f t="shared" si="55"/>
        <v>808</v>
      </c>
      <c r="B120" s="6">
        <f>INDEX('Raw Data'!$B$6:$B$1371,MATCH(A120,'Raw Data'!$A$6:$A$1371,0))</f>
        <v>17352</v>
      </c>
      <c r="C120" s="6">
        <f t="shared" si="42"/>
        <v>2477</v>
      </c>
      <c r="D120" s="6">
        <f>MOD(C120+Summary!$B$20,Summary!$B$11)</f>
        <v>2471.7416237989592</v>
      </c>
      <c r="E120" s="6">
        <f>_xlfn.XLOOKUP(D120,'Native PMKS'!$C$6:$C$366,'Native PMKS'!$C$6:$C$366,,-1)</f>
        <v>2466.666666666667</v>
      </c>
      <c r="F120" s="6">
        <f>_xlfn.XLOOKUP(D120,'Native PMKS'!$C$6:$C$366,'Native PMKS'!$C$6:$C$366,,1)</f>
        <v>2475</v>
      </c>
      <c r="G120" s="6">
        <f>_xlfn.XLOOKUP(D120,'Native PMKS'!$C$6:$C$366,'Native PMKS'!$N$6:$N$366,,-1)</f>
        <v>13.521800000000001</v>
      </c>
      <c r="H120" s="6">
        <f>_xlfn.XLOOKUP(D120,'Native PMKS'!$C$6:$C$366,'Native PMKS'!$N$6:$N$366,,1)</f>
        <v>12.3759</v>
      </c>
      <c r="I120" s="6">
        <f t="shared" si="43"/>
        <v>12.823952794652712</v>
      </c>
      <c r="J120" s="6">
        <f>INDEX('Raw Data'!$F$6:$F$1371,MATCH(A120,'Raw Data'!$A$6:$A$1371,0))</f>
        <v>9.5625</v>
      </c>
      <c r="K120" s="6">
        <f t="shared" si="44"/>
        <v>0.16689710972195776</v>
      </c>
      <c r="L120" s="6">
        <f t="shared" si="45"/>
        <v>0.22382019938701808</v>
      </c>
      <c r="M120" s="6">
        <f t="shared" si="46"/>
        <v>-5.6923089665060322E-2</v>
      </c>
      <c r="N120" s="6">
        <f t="shared" si="47"/>
        <v>3.2402381370164974E-3</v>
      </c>
      <c r="O120" s="6">
        <f>_xlfn.XLOOKUP(D120,'Instructor 360'!$B$6:$B$365,'Instructor 360'!$B$6:$B$365,,-1)</f>
        <v>2465.1810584958216</v>
      </c>
      <c r="P120" s="6">
        <f>_xlfn.XLOOKUP(D120,'Instructor 360'!$B$6:$B$365,'Instructor 360'!$B$6:$B$365,,1)</f>
        <v>2473.5376044568243</v>
      </c>
      <c r="Q120" s="6">
        <f>_xlfn.XLOOKUP(D120,'Instructor 360'!$B$6:$B$365,'Instructor 360'!$F$6:$F$365,,-1)</f>
        <v>13.715867966573867</v>
      </c>
      <c r="R120" s="6">
        <f>_xlfn.XLOOKUP(D120,'Instructor 360'!$B$6:$B$365,'Instructor 360'!$F$6:$F$365,,1)</f>
        <v>12.576991086351013</v>
      </c>
      <c r="S120" s="6">
        <f t="shared" si="48"/>
        <v>12.821757387896582</v>
      </c>
      <c r="T120" s="6">
        <f t="shared" si="49"/>
        <v>0.22378188231070312</v>
      </c>
      <c r="U120" s="6">
        <f t="shared" si="50"/>
        <v>-5.6884772588745358E-2</v>
      </c>
      <c r="V120" s="6"/>
      <c r="W120" s="6">
        <f t="shared" si="51"/>
        <v>3.2358773524732752E-3</v>
      </c>
      <c r="AA120">
        <f t="shared" si="52"/>
        <v>2477</v>
      </c>
      <c r="AB120">
        <f t="shared" si="53"/>
        <v>0.16689710972195776</v>
      </c>
      <c r="AC120">
        <f t="shared" si="54"/>
        <v>0.22378188231070312</v>
      </c>
    </row>
    <row r="121" spans="1:29" ht="18.95" customHeight="1">
      <c r="A121" s="4">
        <f t="shared" si="55"/>
        <v>809</v>
      </c>
      <c r="B121" s="6">
        <f>INDEX('Raw Data'!$B$6:$B$1371,MATCH(A121,'Raw Data'!$A$6:$A$1371,0))</f>
        <v>17373</v>
      </c>
      <c r="C121" s="6">
        <f t="shared" si="42"/>
        <v>2498</v>
      </c>
      <c r="D121" s="6">
        <f>MOD(C121+Summary!$B$20,Summary!$B$11)</f>
        <v>2492.7416237989592</v>
      </c>
      <c r="E121" s="6">
        <f>_xlfn.XLOOKUP(D121,'Native PMKS'!$C$6:$C$366,'Native PMKS'!$C$6:$C$366,,-1)</f>
        <v>2491.666666666667</v>
      </c>
      <c r="F121" s="6">
        <f>_xlfn.XLOOKUP(D121,'Native PMKS'!$C$6:$C$366,'Native PMKS'!$C$6:$C$366,,1)</f>
        <v>2500</v>
      </c>
      <c r="G121" s="6">
        <f>_xlfn.XLOOKUP(D121,'Native PMKS'!$C$6:$C$366,'Native PMKS'!$N$6:$N$366,,-1)</f>
        <v>10.141400000000001</v>
      </c>
      <c r="H121" s="6">
        <f>_xlfn.XLOOKUP(D121,'Native PMKS'!$C$6:$C$366,'Native PMKS'!$N$6:$N$366,,1)</f>
        <v>8.9381000000000004</v>
      </c>
      <c r="I121" s="6">
        <f t="shared" si="43"/>
        <v>9.9861804899255731</v>
      </c>
      <c r="J121" s="6">
        <f>INDEX('Raw Data'!$F$6:$F$1371,MATCH(A121,'Raw Data'!$A$6:$A$1371,0))</f>
        <v>6.75</v>
      </c>
      <c r="K121" s="6">
        <f t="shared" si="44"/>
        <v>0.11780972450961724</v>
      </c>
      <c r="L121" s="6">
        <f t="shared" si="45"/>
        <v>0.17429172924762168</v>
      </c>
      <c r="M121" s="6">
        <f t="shared" si="46"/>
        <v>-5.6482004738004438E-2</v>
      </c>
      <c r="N121" s="6">
        <f t="shared" si="47"/>
        <v>3.1902168592239559E-3</v>
      </c>
      <c r="O121" s="6">
        <f>_xlfn.XLOOKUP(D121,'Instructor 360'!$B$6:$B$365,'Instructor 360'!$B$6:$B$365,,-1)</f>
        <v>2490.2506963788301</v>
      </c>
      <c r="P121" s="6">
        <f>_xlfn.XLOOKUP(D121,'Instructor 360'!$B$6:$B$365,'Instructor 360'!$B$6:$B$365,,1)</f>
        <v>2498.6072423398327</v>
      </c>
      <c r="Q121" s="6">
        <f>_xlfn.XLOOKUP(D121,'Instructor 360'!$B$6:$B$365,'Instructor 360'!$F$6:$F$365,,-1)</f>
        <v>10.336107242339873</v>
      </c>
      <c r="R121" s="6">
        <f>_xlfn.XLOOKUP(D121,'Instructor 360'!$B$6:$B$365,'Instructor 360'!$F$6:$F$365,,1)</f>
        <v>9.1392086350975195</v>
      </c>
      <c r="S121" s="6">
        <f t="shared" si="48"/>
        <v>9.9793345310058612</v>
      </c>
      <c r="T121" s="6">
        <f t="shared" si="49"/>
        <v>0.17417224472401643</v>
      </c>
      <c r="U121" s="6">
        <f t="shared" si="50"/>
        <v>-5.6362520214399192E-2</v>
      </c>
      <c r="V121" s="6"/>
      <c r="W121" s="6">
        <f t="shared" si="51"/>
        <v>3.1767336849185574E-3</v>
      </c>
      <c r="AA121">
        <f t="shared" si="52"/>
        <v>2498</v>
      </c>
      <c r="AB121">
        <f t="shared" si="53"/>
        <v>0.11780972450961724</v>
      </c>
      <c r="AC121">
        <f t="shared" si="54"/>
        <v>0.17417224472401643</v>
      </c>
    </row>
    <row r="122" spans="1:29" ht="18.95" customHeight="1">
      <c r="A122" s="4">
        <f t="shared" si="55"/>
        <v>810</v>
      </c>
      <c r="B122" s="6">
        <f>INDEX('Raw Data'!$B$6:$B$1371,MATCH(A122,'Raw Data'!$A$6:$A$1371,0))</f>
        <v>17402</v>
      </c>
      <c r="C122" s="6">
        <f t="shared" si="42"/>
        <v>2527</v>
      </c>
      <c r="D122" s="6">
        <f>MOD(C122+Summary!$B$20,Summary!$B$11)</f>
        <v>2521.7416237989592</v>
      </c>
      <c r="E122" s="6">
        <f>_xlfn.XLOOKUP(D122,'Native PMKS'!$C$6:$C$366,'Native PMKS'!$C$6:$C$366,,-1)</f>
        <v>2516.666666666667</v>
      </c>
      <c r="F122" s="6">
        <f>_xlfn.XLOOKUP(D122,'Native PMKS'!$C$6:$C$366,'Native PMKS'!$C$6:$C$366,,1)</f>
        <v>2525</v>
      </c>
      <c r="G122" s="6">
        <f>_xlfn.XLOOKUP(D122,'Native PMKS'!$C$6:$C$366,'Native PMKS'!$N$6:$N$366,,-1)</f>
        <v>6.5316999999999998</v>
      </c>
      <c r="H122" s="6">
        <f>_xlfn.XLOOKUP(D122,'Native PMKS'!$C$6:$C$366,'Native PMKS'!$N$6:$N$366,,1)</f>
        <v>5.3285</v>
      </c>
      <c r="I122" s="6">
        <f t="shared" si="43"/>
        <v>5.7989573894111004</v>
      </c>
      <c r="J122" s="6">
        <f>INDEX('Raw Data'!$F$6:$F$1371,MATCH(A122,'Raw Data'!$A$6:$A$1371,0))</f>
        <v>2.5</v>
      </c>
      <c r="K122" s="6">
        <f t="shared" si="44"/>
        <v>4.3633231299858237E-2</v>
      </c>
      <c r="L122" s="6">
        <f t="shared" si="45"/>
        <v>0.10121089962807867</v>
      </c>
      <c r="M122" s="6">
        <f t="shared" si="46"/>
        <v>-5.7577668328220429E-2</v>
      </c>
      <c r="N122" s="6">
        <f t="shared" si="47"/>
        <v>3.3151878901145578E-3</v>
      </c>
      <c r="O122" s="6">
        <f>_xlfn.XLOOKUP(D122,'Instructor 360'!$B$6:$B$365,'Instructor 360'!$B$6:$B$365,,-1)</f>
        <v>2515.3203342618385</v>
      </c>
      <c r="P122" s="6">
        <f>_xlfn.XLOOKUP(D122,'Instructor 360'!$B$6:$B$365,'Instructor 360'!$B$6:$B$365,,1)</f>
        <v>2523.6768802228412</v>
      </c>
      <c r="Q122" s="6">
        <f>_xlfn.XLOOKUP(D122,'Instructor 360'!$B$6:$B$365,'Instructor 360'!$F$6:$F$365,,-1)</f>
        <v>6.7260888579387466</v>
      </c>
      <c r="R122" s="6">
        <f>_xlfn.XLOOKUP(D122,'Instructor 360'!$B$6:$B$365,'Instructor 360'!$F$6:$F$365,,1)</f>
        <v>5.5195373259053042</v>
      </c>
      <c r="S122" s="6">
        <f t="shared" si="48"/>
        <v>5.7989573894111004</v>
      </c>
      <c r="T122" s="6">
        <f t="shared" si="49"/>
        <v>0.10121089962807867</v>
      </c>
      <c r="U122" s="6">
        <f t="shared" si="50"/>
        <v>-5.7577668328220429E-2</v>
      </c>
      <c r="V122" s="6"/>
      <c r="W122" s="6">
        <f t="shared" si="51"/>
        <v>3.3151878901145578E-3</v>
      </c>
      <c r="AA122">
        <f t="shared" si="52"/>
        <v>2527</v>
      </c>
      <c r="AB122">
        <f t="shared" si="53"/>
        <v>4.3633231299858237E-2</v>
      </c>
      <c r="AC122">
        <f t="shared" si="54"/>
        <v>0.10121089962807867</v>
      </c>
    </row>
    <row r="123" spans="1:29" ht="18.95" customHeight="1">
      <c r="A123" s="4">
        <f t="shared" si="55"/>
        <v>811</v>
      </c>
      <c r="B123" s="6">
        <f>INDEX('Raw Data'!$B$6:$B$1371,MATCH(A123,'Raw Data'!$A$6:$A$1371,0))</f>
        <v>17423</v>
      </c>
      <c r="C123" s="6">
        <f t="shared" si="42"/>
        <v>2548</v>
      </c>
      <c r="D123" s="6">
        <f>MOD(C123+Summary!$B$20,Summary!$B$11)</f>
        <v>2542.7416237989592</v>
      </c>
      <c r="E123" s="6">
        <f>_xlfn.XLOOKUP(D123,'Native PMKS'!$C$6:$C$366,'Native PMKS'!$C$6:$C$366,,-1)</f>
        <v>2541.666666666667</v>
      </c>
      <c r="F123" s="6">
        <f>_xlfn.XLOOKUP(D123,'Native PMKS'!$C$6:$C$366,'Native PMKS'!$C$6:$C$366,,1)</f>
        <v>2550</v>
      </c>
      <c r="G123" s="6">
        <f>_xlfn.XLOOKUP(D123,'Native PMKS'!$C$6:$C$366,'Native PMKS'!$N$6:$N$366,,-1)</f>
        <v>2.8075000000000001</v>
      </c>
      <c r="H123" s="6">
        <f>_xlfn.XLOOKUP(D123,'Native PMKS'!$C$6:$C$366,'Native PMKS'!$N$6:$N$366,,1)</f>
        <v>1.5469999999999999</v>
      </c>
      <c r="I123" s="6">
        <f t="shared" si="43"/>
        <v>2.6449019841695076</v>
      </c>
      <c r="J123" s="6">
        <f>INDEX('Raw Data'!$F$6:$F$1371,MATCH(A123,'Raw Data'!$A$6:$A$1371,0))</f>
        <v>-0.6875</v>
      </c>
      <c r="K123" s="6">
        <f t="shared" si="44"/>
        <v>-1.1999138607461015E-2</v>
      </c>
      <c r="L123" s="6">
        <f t="shared" si="45"/>
        <v>4.6162248016288848E-2</v>
      </c>
      <c r="M123" s="6">
        <f t="shared" si="46"/>
        <v>-5.8161386623749867E-2</v>
      </c>
      <c r="N123" s="6">
        <f t="shared" si="47"/>
        <v>3.3827468939973101E-3</v>
      </c>
      <c r="O123" s="6">
        <f>_xlfn.XLOOKUP(D123,'Instructor 360'!$B$6:$B$365,'Instructor 360'!$B$6:$B$365,,-1)</f>
        <v>2540.389972144847</v>
      </c>
      <c r="P123" s="6">
        <f>_xlfn.XLOOKUP(D123,'Instructor 360'!$B$6:$B$365,'Instructor 360'!$B$6:$B$365,,1)</f>
        <v>2548.7465181058496</v>
      </c>
      <c r="Q123" s="6">
        <f>_xlfn.XLOOKUP(D123,'Instructor 360'!$B$6:$B$365,'Instructor 360'!$F$6:$F$365,,-1)</f>
        <v>3.0006128133704886</v>
      </c>
      <c r="R123" s="6">
        <f>_xlfn.XLOOKUP(D123,'Instructor 360'!$B$6:$B$365,'Instructor 360'!$F$6:$F$365,,1)</f>
        <v>1.7366016713091894</v>
      </c>
      <c r="S123" s="6">
        <f t="shared" si="48"/>
        <v>2.6449019841695076</v>
      </c>
      <c r="T123" s="6">
        <f t="shared" si="49"/>
        <v>4.6162248016288848E-2</v>
      </c>
      <c r="U123" s="6">
        <f t="shared" si="50"/>
        <v>-5.8161386623749867E-2</v>
      </c>
      <c r="V123" s="6"/>
      <c r="W123" s="6">
        <f t="shared" si="51"/>
        <v>3.3827468939973101E-3</v>
      </c>
      <c r="AA123">
        <f t="shared" si="52"/>
        <v>2548</v>
      </c>
      <c r="AB123">
        <f t="shared" si="53"/>
        <v>-1.1999138607461015E-2</v>
      </c>
      <c r="AC123">
        <f t="shared" si="54"/>
        <v>4.6162248016288848E-2</v>
      </c>
    </row>
    <row r="124" spans="1:29" ht="18.95" customHeight="1">
      <c r="A124" s="4">
        <f t="shared" si="55"/>
        <v>812</v>
      </c>
      <c r="B124" s="6">
        <f>INDEX('Raw Data'!$B$6:$B$1371,MATCH(A124,'Raw Data'!$A$6:$A$1371,0))</f>
        <v>17444</v>
      </c>
      <c r="C124" s="6">
        <f t="shared" si="42"/>
        <v>2569</v>
      </c>
      <c r="D124" s="6">
        <f>MOD(C124+Summary!$B$20,Summary!$B$11)</f>
        <v>2563.7416237989592</v>
      </c>
      <c r="E124" s="6">
        <f>_xlfn.XLOOKUP(D124,'Native PMKS'!$C$6:$C$366,'Native PMKS'!$C$6:$C$366,,-1)</f>
        <v>2558.3333333333335</v>
      </c>
      <c r="F124" s="6">
        <f>_xlfn.XLOOKUP(D124,'Native PMKS'!$C$6:$C$366,'Native PMKS'!$C$6:$C$366,,1)</f>
        <v>2566.666666666667</v>
      </c>
      <c r="G124" s="6">
        <f>_xlfn.XLOOKUP(D124,'Native PMKS'!$C$6:$C$366,'Native PMKS'!$N$6:$N$366,,-1)</f>
        <v>0.22919999999999999</v>
      </c>
      <c r="H124" s="6">
        <f>_xlfn.XLOOKUP(D124,'Native PMKS'!$C$6:$C$366,'Native PMKS'!$N$6:$N$366,,1)</f>
        <v>-1.0886</v>
      </c>
      <c r="I124" s="6">
        <f t="shared" si="43"/>
        <v>-0.62604542107220595</v>
      </c>
      <c r="J124" s="6">
        <f>INDEX('Raw Data'!$F$6:$F$1371,MATCH(A124,'Raw Data'!$A$6:$A$1371,0))</f>
        <v>-5.25</v>
      </c>
      <c r="K124" s="6">
        <f t="shared" si="44"/>
        <v>-9.1629785729702304E-2</v>
      </c>
      <c r="L124" s="6">
        <f t="shared" si="45"/>
        <v>-1.0926553864744283E-2</v>
      </c>
      <c r="M124" s="6">
        <f t="shared" si="46"/>
        <v>-8.0703231864958022E-2</v>
      </c>
      <c r="N124" s="6">
        <f t="shared" si="47"/>
        <v>6.5130116334491759E-3</v>
      </c>
      <c r="O124" s="6">
        <f>_xlfn.XLOOKUP(D124,'Instructor 360'!$B$6:$B$365,'Instructor 360'!$B$6:$B$365,,-1)</f>
        <v>2557.1030640668523</v>
      </c>
      <c r="P124" s="6">
        <f>_xlfn.XLOOKUP(D124,'Instructor 360'!$B$6:$B$365,'Instructor 360'!$B$6:$B$365,,1)</f>
        <v>2565.459610027855</v>
      </c>
      <c r="Q124" s="6">
        <f>_xlfn.XLOOKUP(D124,'Instructor 360'!$B$6:$B$365,'Instructor 360'!$F$6:$F$365,,-1)</f>
        <v>0.42374986072426335</v>
      </c>
      <c r="R124" s="6">
        <f>_xlfn.XLOOKUP(D124,'Instructor 360'!$B$6:$B$365,'Instructor 360'!$F$6:$F$365,,1)</f>
        <v>-0.89772089136483035</v>
      </c>
      <c r="S124" s="6">
        <f t="shared" si="48"/>
        <v>-0.62604542107214911</v>
      </c>
      <c r="T124" s="6">
        <f t="shared" si="49"/>
        <v>-1.0926553864743291E-2</v>
      </c>
      <c r="U124" s="6">
        <f t="shared" si="50"/>
        <v>-8.0703231864959007E-2</v>
      </c>
      <c r="V124" s="6"/>
      <c r="W124" s="6">
        <f t="shared" si="51"/>
        <v>6.5130116334493346E-3</v>
      </c>
      <c r="AA124">
        <f t="shared" si="52"/>
        <v>2569</v>
      </c>
      <c r="AB124">
        <f t="shared" si="53"/>
        <v>-9.1629785729702304E-2</v>
      </c>
      <c r="AC124">
        <f t="shared" si="54"/>
        <v>-1.0926553864743291E-2</v>
      </c>
    </row>
    <row r="125" spans="1:29" ht="18.95" customHeight="1">
      <c r="A125" s="4">
        <f t="shared" si="55"/>
        <v>813</v>
      </c>
      <c r="B125" s="6">
        <f>INDEX('Raw Data'!$B$6:$B$1371,MATCH(A125,'Raw Data'!$A$6:$A$1371,0))</f>
        <v>17464</v>
      </c>
      <c r="C125" s="6">
        <f t="shared" si="42"/>
        <v>2589</v>
      </c>
      <c r="D125" s="6">
        <f>MOD(C125+Summary!$B$20,Summary!$B$11)</f>
        <v>2583.7416237989592</v>
      </c>
      <c r="E125" s="6">
        <f>_xlfn.XLOOKUP(D125,'Native PMKS'!$C$6:$C$366,'Native PMKS'!$C$6:$C$366,,-1)</f>
        <v>2583.3333333333335</v>
      </c>
      <c r="F125" s="6">
        <f>_xlfn.XLOOKUP(D125,'Native PMKS'!$C$6:$C$366,'Native PMKS'!$C$6:$C$366,,1)</f>
        <v>2591.666666666667</v>
      </c>
      <c r="G125" s="6">
        <f>_xlfn.XLOOKUP(D125,'Native PMKS'!$C$6:$C$366,'Native PMKS'!$N$6:$N$366,,-1)</f>
        <v>-3.7814999999999999</v>
      </c>
      <c r="H125" s="6">
        <f>_xlfn.XLOOKUP(D125,'Native PMKS'!$C$6:$C$366,'Native PMKS'!$N$6:$N$366,,1)</f>
        <v>-5.0993000000000004</v>
      </c>
      <c r="I125" s="6">
        <f t="shared" si="43"/>
        <v>-3.8460654210721827</v>
      </c>
      <c r="J125" s="6">
        <f>INDEX('Raw Data'!$F$6:$F$1371,MATCH(A125,'Raw Data'!$A$6:$A$1371,0))</f>
        <v>-7.3125</v>
      </c>
      <c r="K125" s="6">
        <f t="shared" si="44"/>
        <v>-0.12762720155208535</v>
      </c>
      <c r="L125" s="6">
        <f t="shared" si="45"/>
        <v>-6.7126504844811682E-2</v>
      </c>
      <c r="M125" s="6">
        <f t="shared" si="46"/>
        <v>-6.0500696707273663E-2</v>
      </c>
      <c r="N125" s="6">
        <f t="shared" si="47"/>
        <v>3.6603343020655144E-3</v>
      </c>
      <c r="O125" s="6">
        <f>_xlfn.XLOOKUP(D125,'Instructor 360'!$B$6:$B$365,'Instructor 360'!$B$6:$B$365,,-1)</f>
        <v>2582.1727019498608</v>
      </c>
      <c r="P125" s="6">
        <f>_xlfn.XLOOKUP(D125,'Instructor 360'!$B$6:$B$365,'Instructor 360'!$B$6:$B$365,,1)</f>
        <v>2590.5292479108634</v>
      </c>
      <c r="Q125" s="6">
        <f>_xlfn.XLOOKUP(D125,'Instructor 360'!$B$6:$B$365,'Instructor 360'!$F$6:$F$365,,-1)</f>
        <v>-3.5899818941504034</v>
      </c>
      <c r="R125" s="6">
        <f>_xlfn.XLOOKUP(D125,'Instructor 360'!$B$6:$B$365,'Instructor 360'!$F$6:$F$365,,1)</f>
        <v>-4.9194331476322555</v>
      </c>
      <c r="S125" s="6">
        <f t="shared" si="48"/>
        <v>-3.8395832400452719</v>
      </c>
      <c r="T125" s="6">
        <f t="shared" si="49"/>
        <v>-6.7013369443181786E-2</v>
      </c>
      <c r="U125" s="6">
        <f t="shared" si="50"/>
        <v>-6.0613832108903559E-2</v>
      </c>
      <c r="V125" s="6"/>
      <c r="W125" s="6">
        <f t="shared" si="51"/>
        <v>3.6740366429263479E-3</v>
      </c>
      <c r="AA125">
        <f t="shared" si="52"/>
        <v>2589</v>
      </c>
      <c r="AB125">
        <f t="shared" si="53"/>
        <v>-0.12762720155208535</v>
      </c>
      <c r="AC125">
        <f t="shared" si="54"/>
        <v>-6.7013369443181786E-2</v>
      </c>
    </row>
    <row r="126" spans="1:29" ht="18.95" customHeight="1">
      <c r="A126" s="4">
        <f t="shared" si="55"/>
        <v>814</v>
      </c>
      <c r="B126" s="6">
        <f>INDEX('Raw Data'!$B$6:$B$1371,MATCH(A126,'Raw Data'!$A$6:$A$1371,0))</f>
        <v>17485</v>
      </c>
      <c r="C126" s="6">
        <f t="shared" si="42"/>
        <v>2610</v>
      </c>
      <c r="D126" s="6">
        <f>MOD(C126+Summary!$B$20,Summary!$B$11)</f>
        <v>2604.7416237989592</v>
      </c>
      <c r="E126" s="6">
        <f>_xlfn.XLOOKUP(D126,'Native PMKS'!$C$6:$C$366,'Native PMKS'!$C$6:$C$366,,-1)</f>
        <v>2600</v>
      </c>
      <c r="F126" s="6">
        <f>_xlfn.XLOOKUP(D126,'Native PMKS'!$C$6:$C$366,'Native PMKS'!$C$6:$C$366,,1)</f>
        <v>2608.3333333333335</v>
      </c>
      <c r="G126" s="6">
        <f>_xlfn.XLOOKUP(D126,'Native PMKS'!$C$6:$C$366,'Native PMKS'!$N$6:$N$366,,-1)</f>
        <v>-6.4744000000000002</v>
      </c>
      <c r="H126" s="6">
        <f>_xlfn.XLOOKUP(D126,'Native PMKS'!$C$6:$C$366,'Native PMKS'!$N$6:$N$366,,1)</f>
        <v>-7.9067999999999996</v>
      </c>
      <c r="I126" s="6">
        <f t="shared" si="43"/>
        <v>-7.2894282315554619</v>
      </c>
      <c r="J126" s="6">
        <f>INDEX('Raw Data'!$F$6:$F$1371,MATCH(A126,'Raw Data'!$A$6:$A$1371,0))</f>
        <v>-12.0625</v>
      </c>
      <c r="K126" s="6">
        <f t="shared" si="44"/>
        <v>-0.210530341021816</v>
      </c>
      <c r="L126" s="6">
        <f t="shared" si="45"/>
        <v>-0.12722452322847044</v>
      </c>
      <c r="M126" s="6">
        <f t="shared" si="46"/>
        <v>-8.330581779334556E-2</v>
      </c>
      <c r="N126" s="6">
        <f t="shared" si="47"/>
        <v>6.9398592782180897E-3</v>
      </c>
      <c r="O126" s="6">
        <f>_xlfn.XLOOKUP(D126,'Instructor 360'!$B$6:$B$365,'Instructor 360'!$B$6:$B$365,,-1)</f>
        <v>2598.8857938718661</v>
      </c>
      <c r="P126" s="6">
        <f>_xlfn.XLOOKUP(D126,'Instructor 360'!$B$6:$B$365,'Instructor 360'!$B$6:$B$365,,1)</f>
        <v>2607.2423398328692</v>
      </c>
      <c r="Q126" s="6">
        <f>_xlfn.XLOOKUP(D126,'Instructor 360'!$B$6:$B$365,'Instructor 360'!$F$6:$F$365,,-1)</f>
        <v>-6.2905426183843627</v>
      </c>
      <c r="R126" s="6">
        <f>_xlfn.XLOOKUP(D126,'Instructor 360'!$B$6:$B$365,'Instructor 360'!$F$6:$F$365,,1)</f>
        <v>-7.7192713091922016</v>
      </c>
      <c r="S126" s="6">
        <f t="shared" si="48"/>
        <v>-7.2917208880154476</v>
      </c>
      <c r="T126" s="6">
        <f t="shared" si="49"/>
        <v>-0.1272645376323143</v>
      </c>
      <c r="U126" s="6">
        <f t="shared" si="50"/>
        <v>-8.3265803389501708E-2</v>
      </c>
      <c r="V126" s="6"/>
      <c r="W126" s="6">
        <f t="shared" si="51"/>
        <v>6.9331940140991543E-3</v>
      </c>
      <c r="AA126">
        <f t="shared" si="52"/>
        <v>2610</v>
      </c>
      <c r="AB126">
        <f t="shared" si="53"/>
        <v>-0.210530341021816</v>
      </c>
      <c r="AC126">
        <f t="shared" si="54"/>
        <v>-0.1272645376323143</v>
      </c>
    </row>
    <row r="127" spans="1:29" ht="18.95" customHeight="1">
      <c r="A127" s="4">
        <f t="shared" si="55"/>
        <v>815</v>
      </c>
      <c r="B127" s="6">
        <f>INDEX('Raw Data'!$B$6:$B$1371,MATCH(A127,'Raw Data'!$A$6:$A$1371,0))</f>
        <v>17507</v>
      </c>
      <c r="C127" s="6">
        <f t="shared" si="42"/>
        <v>2632</v>
      </c>
      <c r="D127" s="6">
        <f>MOD(C127+Summary!$B$20,Summary!$B$11)</f>
        <v>2626.7416237989592</v>
      </c>
      <c r="E127" s="6">
        <f>_xlfn.XLOOKUP(D127,'Native PMKS'!$C$6:$C$366,'Native PMKS'!$C$6:$C$366,,-1)</f>
        <v>2625</v>
      </c>
      <c r="F127" s="6">
        <f>_xlfn.XLOOKUP(D127,'Native PMKS'!$C$6:$C$366,'Native PMKS'!$C$6:$C$366,,1)</f>
        <v>2633.3333333333335</v>
      </c>
      <c r="G127" s="6">
        <f>_xlfn.XLOOKUP(D127,'Native PMKS'!$C$6:$C$366,'Native PMKS'!$N$6:$N$366,,-1)</f>
        <v>-10.7143</v>
      </c>
      <c r="H127" s="6">
        <f>_xlfn.XLOOKUP(D127,'Native PMKS'!$C$6:$C$366,'Native PMKS'!$N$6:$N$366,,1)</f>
        <v>-12.146699999999999</v>
      </c>
      <c r="I127" s="6">
        <f t="shared" si="43"/>
        <v>-11.013664231555481</v>
      </c>
      <c r="J127" s="6">
        <f>INDEX('Raw Data'!$F$6:$F$1371,MATCH(A127,'Raw Data'!$A$6:$A$1371,0))</f>
        <v>-15.5</v>
      </c>
      <c r="K127" s="6">
        <f t="shared" si="44"/>
        <v>-0.27052603405912107</v>
      </c>
      <c r="L127" s="6">
        <f t="shared" si="45"/>
        <v>-0.19222470354977431</v>
      </c>
      <c r="M127" s="6">
        <f t="shared" si="46"/>
        <v>-7.8301330509346762E-2</v>
      </c>
      <c r="N127" s="6">
        <f t="shared" si="47"/>
        <v>6.1310983595339579E-3</v>
      </c>
      <c r="O127" s="6">
        <f>_xlfn.XLOOKUP(D127,'Instructor 360'!$B$6:$B$365,'Instructor 360'!$B$6:$B$365,,-1)</f>
        <v>2623.9554317548746</v>
      </c>
      <c r="P127" s="6">
        <f>_xlfn.XLOOKUP(D127,'Instructor 360'!$B$6:$B$365,'Instructor 360'!$B$6:$B$365,,1)</f>
        <v>2632.3119777158772</v>
      </c>
      <c r="Q127" s="6">
        <f>_xlfn.XLOOKUP(D127,'Instructor 360'!$B$6:$B$365,'Instructor 360'!$F$6:$F$365,,-1)</f>
        <v>-10.53475125348187</v>
      </c>
      <c r="R127" s="6">
        <f>_xlfn.XLOOKUP(D127,'Instructor 360'!$B$6:$B$365,'Instructor 360'!$F$6:$F$365,,1)</f>
        <v>-11.971141225626679</v>
      </c>
      <c r="S127" s="6">
        <f t="shared" si="48"/>
        <v>-11.013664231555424</v>
      </c>
      <c r="T127" s="6">
        <f t="shared" si="49"/>
        <v>-0.19222470354977328</v>
      </c>
      <c r="U127" s="6">
        <f t="shared" si="50"/>
        <v>-7.8301330509347788E-2</v>
      </c>
      <c r="V127" s="6"/>
      <c r="W127" s="6">
        <f t="shared" si="51"/>
        <v>6.1310983595341184E-3</v>
      </c>
      <c r="AA127">
        <f t="shared" si="52"/>
        <v>2632</v>
      </c>
      <c r="AB127">
        <f t="shared" si="53"/>
        <v>-0.27052603405912107</v>
      </c>
      <c r="AC127">
        <f t="shared" si="54"/>
        <v>-0.19222470354977328</v>
      </c>
    </row>
    <row r="128" spans="1:29" ht="18.95" customHeight="1">
      <c r="A128" s="4">
        <f t="shared" si="55"/>
        <v>816</v>
      </c>
      <c r="B128" s="6">
        <f>INDEX('Raw Data'!$B$6:$B$1371,MATCH(A128,'Raw Data'!$A$6:$A$1371,0))</f>
        <v>17528</v>
      </c>
      <c r="C128" s="6">
        <f t="shared" si="42"/>
        <v>2653</v>
      </c>
      <c r="D128" s="6">
        <f>MOD(C128+Summary!$B$20,Summary!$B$11)</f>
        <v>2647.7416237989592</v>
      </c>
      <c r="E128" s="6">
        <f>_xlfn.XLOOKUP(D128,'Native PMKS'!$C$6:$C$366,'Native PMKS'!$C$6:$C$366,,-1)</f>
        <v>2641.666666666667</v>
      </c>
      <c r="F128" s="6">
        <f>_xlfn.XLOOKUP(D128,'Native PMKS'!$C$6:$C$366,'Native PMKS'!$C$6:$C$366,,1)</f>
        <v>2650</v>
      </c>
      <c r="G128" s="6">
        <f>_xlfn.XLOOKUP(D128,'Native PMKS'!$C$6:$C$366,'Native PMKS'!$N$6:$N$366,,-1)</f>
        <v>-13.5791</v>
      </c>
      <c r="H128" s="6">
        <f>_xlfn.XLOOKUP(D128,'Native PMKS'!$C$6:$C$366,'Native PMKS'!$N$6:$N$366,,1)</f>
        <v>-15.0115</v>
      </c>
      <c r="I128" s="6">
        <f t="shared" si="43"/>
        <v>-14.623312231555474</v>
      </c>
      <c r="J128" s="6">
        <f>INDEX('Raw Data'!$F$6:$F$1371,MATCH(A128,'Raw Data'!$A$6:$A$1371,0))</f>
        <v>-18.4375</v>
      </c>
      <c r="K128" s="6">
        <f t="shared" si="44"/>
        <v>-0.32179508083645453</v>
      </c>
      <c r="L128" s="6">
        <f t="shared" si="45"/>
        <v>-0.25522494598780249</v>
      </c>
      <c r="M128" s="6">
        <f t="shared" si="46"/>
        <v>-6.6570134848652041E-2</v>
      </c>
      <c r="N128" s="6">
        <f t="shared" si="47"/>
        <v>4.431582853767717E-3</v>
      </c>
      <c r="O128" s="6">
        <f>_xlfn.XLOOKUP(D128,'Instructor 360'!$B$6:$B$365,'Instructor 360'!$B$6:$B$365,,-1)</f>
        <v>2640.6685236768803</v>
      </c>
      <c r="P128" s="6">
        <f>_xlfn.XLOOKUP(D128,'Instructor 360'!$B$6:$B$365,'Instructor 360'!$B$6:$B$365,,1)</f>
        <v>2649.025069637883</v>
      </c>
      <c r="Q128" s="6">
        <f>_xlfn.XLOOKUP(D128,'Instructor 360'!$B$6:$B$365,'Instructor 360'!$F$6:$F$365,,-1)</f>
        <v>-13.40753119777156</v>
      </c>
      <c r="R128" s="6">
        <f>_xlfn.XLOOKUP(D128,'Instructor 360'!$B$6:$B$365,'Instructor 360'!$F$6:$F$365,,1)</f>
        <v>-14.843921169916428</v>
      </c>
      <c r="S128" s="6">
        <f t="shared" si="48"/>
        <v>-14.623312231555474</v>
      </c>
      <c r="T128" s="6">
        <f t="shared" si="49"/>
        <v>-0.25522494598780249</v>
      </c>
      <c r="U128" s="6">
        <f t="shared" si="50"/>
        <v>-6.6570134848652041E-2</v>
      </c>
      <c r="V128" s="6"/>
      <c r="W128" s="6">
        <f t="shared" si="51"/>
        <v>4.431582853767717E-3</v>
      </c>
      <c r="AA128">
        <f t="shared" si="52"/>
        <v>2653</v>
      </c>
      <c r="AB128">
        <f t="shared" si="53"/>
        <v>-0.32179508083645453</v>
      </c>
      <c r="AC128">
        <f t="shared" si="54"/>
        <v>-0.25522494598780249</v>
      </c>
    </row>
    <row r="129" spans="1:29" ht="18.95" customHeight="1">
      <c r="A129" s="4">
        <f t="shared" si="55"/>
        <v>817</v>
      </c>
      <c r="B129" s="6">
        <f>INDEX('Raw Data'!$B$6:$B$1371,MATCH(A129,'Raw Data'!$A$6:$A$1371,0))</f>
        <v>17548</v>
      </c>
      <c r="C129" s="6">
        <f t="shared" si="42"/>
        <v>2673</v>
      </c>
      <c r="D129" s="6">
        <f>MOD(C129+Summary!$B$20,Summary!$B$11)</f>
        <v>2667.7416237989592</v>
      </c>
      <c r="E129" s="6">
        <f>_xlfn.XLOOKUP(D129,'Native PMKS'!$C$6:$C$366,'Native PMKS'!$C$6:$C$366,,-1)</f>
        <v>2666.666666666667</v>
      </c>
      <c r="F129" s="6">
        <f>_xlfn.XLOOKUP(D129,'Native PMKS'!$C$6:$C$366,'Native PMKS'!$C$6:$C$366,,1)</f>
        <v>2675</v>
      </c>
      <c r="G129" s="6">
        <f>_xlfn.XLOOKUP(D129,'Native PMKS'!$C$6:$C$366,'Native PMKS'!$N$6:$N$366,,-1)</f>
        <v>-17.933599999999998</v>
      </c>
      <c r="H129" s="6">
        <f>_xlfn.XLOOKUP(D129,'Native PMKS'!$C$6:$C$366,'Native PMKS'!$N$6:$N$366,,1)</f>
        <v>-19.366</v>
      </c>
      <c r="I129" s="6">
        <f t="shared" si="43"/>
        <v>-18.118372231555384</v>
      </c>
      <c r="J129" s="6">
        <f>INDEX('Raw Data'!$F$6:$F$1371,MATCH(A129,'Raw Data'!$A$6:$A$1371,0))</f>
        <v>-22.1875</v>
      </c>
      <c r="K129" s="6">
        <f t="shared" si="44"/>
        <v>-0.38724492778624187</v>
      </c>
      <c r="L129" s="6">
        <f t="shared" si="45"/>
        <v>-0.3162252505425539</v>
      </c>
      <c r="M129" s="6">
        <f t="shared" si="46"/>
        <v>-7.1019677243687962E-2</v>
      </c>
      <c r="N129" s="6">
        <f t="shared" si="47"/>
        <v>5.0437945557976101E-3</v>
      </c>
      <c r="O129" s="6">
        <f>_xlfn.XLOOKUP(D129,'Instructor 360'!$B$6:$B$365,'Instructor 360'!$B$6:$B$365,,-1)</f>
        <v>2665.7381615598883</v>
      </c>
      <c r="P129" s="6">
        <f>_xlfn.XLOOKUP(D129,'Instructor 360'!$B$6:$B$365,'Instructor 360'!$B$6:$B$365,,1)</f>
        <v>2674.0947075208915</v>
      </c>
      <c r="Q129" s="6">
        <f>_xlfn.XLOOKUP(D129,'Instructor 360'!$B$6:$B$365,'Instructor 360'!$F$6:$F$365,,-1)</f>
        <v>-17.767616713091826</v>
      </c>
      <c r="R129" s="6">
        <f>_xlfn.XLOOKUP(D129,'Instructor 360'!$B$6:$B$365,'Instructor 360'!$F$6:$F$365,,1)</f>
        <v>-19.210391086350985</v>
      </c>
      <c r="S129" s="6">
        <f t="shared" si="48"/>
        <v>-18.113518475591945</v>
      </c>
      <c r="T129" s="6">
        <f t="shared" si="49"/>
        <v>-0.31614053651990359</v>
      </c>
      <c r="U129" s="6">
        <f t="shared" si="50"/>
        <v>-7.1104391266338274E-2</v>
      </c>
      <c r="V129" s="6"/>
      <c r="W129" s="6">
        <f t="shared" si="51"/>
        <v>5.0558344573565228E-3</v>
      </c>
      <c r="AA129">
        <f t="shared" si="52"/>
        <v>2673</v>
      </c>
      <c r="AB129">
        <f t="shared" si="53"/>
        <v>-0.38724492778624187</v>
      </c>
      <c r="AC129">
        <f t="shared" si="54"/>
        <v>-0.31614053651990359</v>
      </c>
    </row>
    <row r="130" spans="1:29" ht="18.95" customHeight="1">
      <c r="A130" s="4">
        <f t="shared" si="55"/>
        <v>818</v>
      </c>
      <c r="B130" s="6">
        <f>INDEX('Raw Data'!$B$6:$B$1371,MATCH(A130,'Raw Data'!$A$6:$A$1371,0))</f>
        <v>17568</v>
      </c>
      <c r="C130" s="6">
        <f t="shared" si="42"/>
        <v>2693</v>
      </c>
      <c r="D130" s="6">
        <f>MOD(C130+Summary!$B$20,Summary!$B$11)</f>
        <v>2687.7416237989592</v>
      </c>
      <c r="E130" s="6">
        <f>_xlfn.XLOOKUP(D130,'Native PMKS'!$C$6:$C$366,'Native PMKS'!$C$6:$C$366,,-1)</f>
        <v>2683.3333333333335</v>
      </c>
      <c r="F130" s="6">
        <f>_xlfn.XLOOKUP(D130,'Native PMKS'!$C$6:$C$366,'Native PMKS'!$C$6:$C$366,,1)</f>
        <v>2691.666666666667</v>
      </c>
      <c r="G130" s="6">
        <f>_xlfn.XLOOKUP(D130,'Native PMKS'!$C$6:$C$366,'Native PMKS'!$N$6:$N$366,,-1)</f>
        <v>-20.855699999999999</v>
      </c>
      <c r="H130" s="6">
        <f>_xlfn.XLOOKUP(D130,'Native PMKS'!$C$6:$C$366,'Native PMKS'!$N$6:$N$366,,1)</f>
        <v>-22.2881</v>
      </c>
      <c r="I130" s="6">
        <f t="shared" si="43"/>
        <v>-21.613432231555521</v>
      </c>
      <c r="J130" s="6">
        <f>INDEX('Raw Data'!$F$6:$F$1371,MATCH(A130,'Raw Data'!$A$6:$A$1371,0))</f>
        <v>-25.25</v>
      </c>
      <c r="K130" s="6">
        <f t="shared" si="44"/>
        <v>-0.44069563612856821</v>
      </c>
      <c r="L130" s="6">
        <f t="shared" si="45"/>
        <v>-0.37722555509730932</v>
      </c>
      <c r="M130" s="6">
        <f t="shared" si="46"/>
        <v>-6.3470081031258896E-2</v>
      </c>
      <c r="N130" s="6">
        <f t="shared" si="47"/>
        <v>4.0284511861145705E-3</v>
      </c>
      <c r="O130" s="6">
        <f>_xlfn.XLOOKUP(D130,'Instructor 360'!$B$6:$B$365,'Instructor 360'!$B$6:$B$365,,-1)</f>
        <v>2682.4512534818941</v>
      </c>
      <c r="P130" s="6">
        <f>_xlfn.XLOOKUP(D130,'Instructor 360'!$B$6:$B$365,'Instructor 360'!$B$6:$B$365,,1)</f>
        <v>2690.8077994428968</v>
      </c>
      <c r="Q130" s="6">
        <f>_xlfn.XLOOKUP(D130,'Instructor 360'!$B$6:$B$365,'Instructor 360'!$F$6:$F$365,,-1)</f>
        <v>-20.698015877437296</v>
      </c>
      <c r="R130" s="6">
        <f>_xlfn.XLOOKUP(D130,'Instructor 360'!$B$6:$B$365,'Instructor 360'!$F$6:$F$365,,1)</f>
        <v>-22.140471030640594</v>
      </c>
      <c r="S130" s="6">
        <f t="shared" si="48"/>
        <v>-21.611206801273113</v>
      </c>
      <c r="T130" s="6">
        <f t="shared" si="49"/>
        <v>-0.37718671401160769</v>
      </c>
      <c r="U130" s="6">
        <f t="shared" si="50"/>
        <v>-6.350892211696052E-2</v>
      </c>
      <c r="V130" s="6"/>
      <c r="W130" s="6">
        <f t="shared" si="51"/>
        <v>4.0333831884581568E-3</v>
      </c>
      <c r="AA130">
        <f t="shared" si="52"/>
        <v>2693</v>
      </c>
      <c r="AB130">
        <f t="shared" si="53"/>
        <v>-0.44069563612856821</v>
      </c>
      <c r="AC130">
        <f t="shared" si="54"/>
        <v>-0.37718671401160769</v>
      </c>
    </row>
    <row r="131" spans="1:29" ht="18.95" customHeight="1">
      <c r="A131" s="4">
        <f t="shared" si="55"/>
        <v>819</v>
      </c>
      <c r="B131" s="6">
        <f>INDEX('Raw Data'!$B$6:$B$1371,MATCH(A131,'Raw Data'!$A$6:$A$1371,0))</f>
        <v>17589</v>
      </c>
      <c r="C131" s="6">
        <f t="shared" si="42"/>
        <v>2714</v>
      </c>
      <c r="D131" s="6">
        <f>MOD(C131+Summary!$B$20,Summary!$B$11)</f>
        <v>2708.7416237989592</v>
      </c>
      <c r="E131" s="6">
        <f>_xlfn.XLOOKUP(D131,'Native PMKS'!$C$6:$C$366,'Native PMKS'!$C$6:$C$366,,-1)</f>
        <v>2708.3333333333335</v>
      </c>
      <c r="F131" s="6">
        <f>_xlfn.XLOOKUP(D131,'Native PMKS'!$C$6:$C$366,'Native PMKS'!$C$6:$C$366,,1)</f>
        <v>2716.666666666667</v>
      </c>
      <c r="G131" s="6">
        <f>_xlfn.XLOOKUP(D131,'Native PMKS'!$C$6:$C$366,'Native PMKS'!$N$6:$N$366,,-1)</f>
        <v>-25.210100000000001</v>
      </c>
      <c r="H131" s="6">
        <f>_xlfn.XLOOKUP(D131,'Native PMKS'!$C$6:$C$366,'Native PMKS'!$N$6:$N$366,,1)</f>
        <v>-26.6998</v>
      </c>
      <c r="I131" s="6">
        <f t="shared" si="43"/>
        <v>-25.28308763679712</v>
      </c>
      <c r="J131" s="6">
        <f>INDEX('Raw Data'!$F$6:$F$1371,MATCH(A131,'Raw Data'!$A$6:$A$1371,0))</f>
        <v>-29</v>
      </c>
      <c r="K131" s="6">
        <f t="shared" si="44"/>
        <v>-0.50614548307835561</v>
      </c>
      <c r="L131" s="6">
        <f t="shared" si="45"/>
        <v>-0.44127312433238197</v>
      </c>
      <c r="M131" s="6">
        <f t="shared" si="46"/>
        <v>-6.4872358745973635E-2</v>
      </c>
      <c r="N131" s="6">
        <f t="shared" si="47"/>
        <v>4.2084229292663018E-3</v>
      </c>
      <c r="O131" s="6">
        <f>_xlfn.XLOOKUP(D131,'Instructor 360'!$B$6:$B$365,'Instructor 360'!$B$6:$B$365,,-1)</f>
        <v>2707.5208913649026</v>
      </c>
      <c r="P131" s="6">
        <f>_xlfn.XLOOKUP(D131,'Instructor 360'!$B$6:$B$365,'Instructor 360'!$B$6:$B$365,,1)</f>
        <v>2715.8774373259052</v>
      </c>
      <c r="Q131" s="6">
        <f>_xlfn.XLOOKUP(D131,'Instructor 360'!$B$6:$B$365,'Instructor 360'!$F$6:$F$365,,-1)</f>
        <v>-25.070450974930353</v>
      </c>
      <c r="R131" s="6">
        <f>_xlfn.XLOOKUP(D131,'Instructor 360'!$B$6:$B$365,'Instructor 360'!$F$6:$F$365,,1)</f>
        <v>-26.558714206128073</v>
      </c>
      <c r="S131" s="6">
        <f t="shared" si="48"/>
        <v>-25.287857928139829</v>
      </c>
      <c r="T131" s="6">
        <f t="shared" si="49"/>
        <v>-0.44135638162259161</v>
      </c>
      <c r="U131" s="6">
        <f t="shared" si="50"/>
        <v>-6.4789101455763998E-2</v>
      </c>
      <c r="V131" s="6"/>
      <c r="W131" s="6">
        <f t="shared" si="51"/>
        <v>4.1976276674452803E-3</v>
      </c>
      <c r="AA131">
        <f t="shared" si="52"/>
        <v>2714</v>
      </c>
      <c r="AB131">
        <f t="shared" si="53"/>
        <v>-0.50614548307835561</v>
      </c>
      <c r="AC131">
        <f t="shared" si="54"/>
        <v>-0.44135638162259161</v>
      </c>
    </row>
    <row r="132" spans="1:29" ht="18.95" customHeight="1">
      <c r="A132" s="4">
        <f t="shared" si="55"/>
        <v>820</v>
      </c>
      <c r="B132" s="6">
        <f>INDEX('Raw Data'!$B$6:$B$1371,MATCH(A132,'Raw Data'!$A$6:$A$1371,0))</f>
        <v>17609</v>
      </c>
      <c r="C132" s="6">
        <f t="shared" si="42"/>
        <v>2734</v>
      </c>
      <c r="D132" s="6">
        <f>MOD(C132+Summary!$B$20,Summary!$B$11)</f>
        <v>2728.7416237989592</v>
      </c>
      <c r="E132" s="6">
        <f>_xlfn.XLOOKUP(D132,'Native PMKS'!$C$6:$C$366,'Native PMKS'!$C$6:$C$366,,-1)</f>
        <v>2725</v>
      </c>
      <c r="F132" s="6">
        <f>_xlfn.XLOOKUP(D132,'Native PMKS'!$C$6:$C$366,'Native PMKS'!$C$6:$C$366,,1)</f>
        <v>2733.3333333333335</v>
      </c>
      <c r="G132" s="6">
        <f>_xlfn.XLOOKUP(D132,'Native PMKS'!$C$6:$C$366,'Native PMKS'!$N$6:$N$366,,-1)</f>
        <v>-28.132200000000001</v>
      </c>
      <c r="H132" s="6">
        <f>_xlfn.XLOOKUP(D132,'Native PMKS'!$C$6:$C$366,'Native PMKS'!$N$6:$N$366,,1)</f>
        <v>-29.6219</v>
      </c>
      <c r="I132" s="6">
        <f t="shared" si="43"/>
        <v>-28.801067636797086</v>
      </c>
      <c r="J132" s="6">
        <f>INDEX('Raw Data'!$F$6:$F$1371,MATCH(A132,'Raw Data'!$A$6:$A$1371,0))</f>
        <v>-32.0625</v>
      </c>
      <c r="K132" s="6">
        <f t="shared" si="44"/>
        <v>-0.55959619142068195</v>
      </c>
      <c r="L132" s="6">
        <f t="shared" si="45"/>
        <v>-0.50267345835169153</v>
      </c>
      <c r="M132" s="6">
        <f t="shared" si="46"/>
        <v>-5.6922733068990428E-2</v>
      </c>
      <c r="N132" s="6">
        <f t="shared" si="47"/>
        <v>3.2401975400435366E-3</v>
      </c>
      <c r="O132" s="6">
        <f>_xlfn.XLOOKUP(D132,'Instructor 360'!$B$6:$B$365,'Instructor 360'!$B$6:$B$365,,-1)</f>
        <v>2724.2339832869079</v>
      </c>
      <c r="P132" s="6">
        <f>_xlfn.XLOOKUP(D132,'Instructor 360'!$B$6:$B$365,'Instructor 360'!$B$6:$B$365,,1)</f>
        <v>2732.590529247911</v>
      </c>
      <c r="Q132" s="6">
        <f>_xlfn.XLOOKUP(D132,'Instructor 360'!$B$6:$B$365,'Instructor 360'!$F$6:$F$365,,-1)</f>
        <v>-28.000530919220022</v>
      </c>
      <c r="R132" s="6">
        <f>_xlfn.XLOOKUP(D132,'Instructor 360'!$B$6:$B$365,'Instructor 360'!$F$6:$F$365,,1)</f>
        <v>-29.489113370473543</v>
      </c>
      <c r="S132" s="6">
        <f t="shared" si="48"/>
        <v>-28.803493601901664</v>
      </c>
      <c r="T132" s="6">
        <f t="shared" si="49"/>
        <v>-0.50271579943030487</v>
      </c>
      <c r="U132" s="6">
        <f t="shared" si="50"/>
        <v>-5.6880391990377088E-2</v>
      </c>
      <c r="V132" s="6"/>
      <c r="W132" s="6">
        <f t="shared" si="51"/>
        <v>3.235378992978954E-3</v>
      </c>
      <c r="AA132">
        <f t="shared" si="52"/>
        <v>2734</v>
      </c>
      <c r="AB132">
        <f t="shared" si="53"/>
        <v>-0.55959619142068195</v>
      </c>
      <c r="AC132">
        <f t="shared" si="54"/>
        <v>-0.50271579943030487</v>
      </c>
    </row>
    <row r="133" spans="1:29" ht="18.95" customHeight="1">
      <c r="A133" s="4">
        <f t="shared" si="55"/>
        <v>821</v>
      </c>
      <c r="B133" s="6">
        <f>INDEX('Raw Data'!$B$6:$B$1371,MATCH(A133,'Raw Data'!$A$6:$A$1371,0))</f>
        <v>17630</v>
      </c>
      <c r="C133" s="6">
        <f t="shared" si="42"/>
        <v>2755</v>
      </c>
      <c r="D133" s="6">
        <f>MOD(C133+Summary!$B$20,Summary!$B$11)</f>
        <v>2749.7416237989592</v>
      </c>
      <c r="E133" s="6">
        <f>_xlfn.XLOOKUP(D133,'Native PMKS'!$C$6:$C$366,'Native PMKS'!$C$6:$C$366,,-1)</f>
        <v>2741.666666666667</v>
      </c>
      <c r="F133" s="6">
        <f>_xlfn.XLOOKUP(D133,'Native PMKS'!$C$6:$C$366,'Native PMKS'!$C$6:$C$366,,1)</f>
        <v>2750</v>
      </c>
      <c r="G133" s="6">
        <f>_xlfn.XLOOKUP(D133,'Native PMKS'!$C$6:$C$366,'Native PMKS'!$N$6:$N$366,,-1)</f>
        <v>-31.054300000000001</v>
      </c>
      <c r="H133" s="6">
        <f>_xlfn.XLOOKUP(D133,'Native PMKS'!$C$6:$C$366,'Native PMKS'!$N$6:$N$366,,1)</f>
        <v>-32.486699999999999</v>
      </c>
      <c r="I133" s="6">
        <f t="shared" si="43"/>
        <v>-32.442288231555551</v>
      </c>
      <c r="J133" s="6">
        <f>INDEX('Raw Data'!$F$6:$F$1371,MATCH(A133,'Raw Data'!$A$6:$A$1371,0))</f>
        <v>-35.5625</v>
      </c>
      <c r="K133" s="6">
        <f t="shared" si="44"/>
        <v>-0.62068271524048346</v>
      </c>
      <c r="L133" s="6">
        <f t="shared" si="45"/>
        <v>-0.56622474652165289</v>
      </c>
      <c r="M133" s="6">
        <f t="shared" si="46"/>
        <v>-5.4457968718830574E-2</v>
      </c>
      <c r="N133" s="6">
        <f t="shared" si="47"/>
        <v>2.9656703569811292E-3</v>
      </c>
      <c r="O133" s="6">
        <f>_xlfn.XLOOKUP(D133,'Instructor 360'!$B$6:$B$365,'Instructor 360'!$B$6:$B$365,,-1)</f>
        <v>2749.3036211699164</v>
      </c>
      <c r="P133" s="6">
        <f>_xlfn.XLOOKUP(D133,'Instructor 360'!$B$6:$B$365,'Instructor 360'!$B$6:$B$365,,1)</f>
        <v>2757.660167130919</v>
      </c>
      <c r="Q133" s="6">
        <f>_xlfn.XLOOKUP(D133,'Instructor 360'!$B$6:$B$365,'Instructor 360'!$F$6:$F$365,,-1)</f>
        <v>-32.367000835654579</v>
      </c>
      <c r="R133" s="6">
        <f>_xlfn.XLOOKUP(D133,'Instructor 360'!$B$6:$B$365,'Instructor 360'!$F$6:$F$365,,1)</f>
        <v>-33.750719498607189</v>
      </c>
      <c r="S133" s="6">
        <f t="shared" si="48"/>
        <v>-32.439527500984582</v>
      </c>
      <c r="T133" s="6">
        <f t="shared" si="49"/>
        <v>-0.56617656268342897</v>
      </c>
      <c r="U133" s="6">
        <f t="shared" si="50"/>
        <v>-5.4506152557054488E-2</v>
      </c>
      <c r="V133" s="6"/>
      <c r="W133" s="6">
        <f t="shared" si="51"/>
        <v>2.9709206665728973E-3</v>
      </c>
      <c r="AA133">
        <f t="shared" si="52"/>
        <v>2755</v>
      </c>
      <c r="AB133">
        <f t="shared" si="53"/>
        <v>-0.62068271524048346</v>
      </c>
      <c r="AC133">
        <f t="shared" si="54"/>
        <v>-0.56617656268342897</v>
      </c>
    </row>
    <row r="134" spans="1:29" ht="18.95" customHeight="1">
      <c r="A134" s="4">
        <f t="shared" si="55"/>
        <v>822</v>
      </c>
      <c r="B134" s="6">
        <f>INDEX('Raw Data'!$B$6:$B$1371,MATCH(A134,'Raw Data'!$A$6:$A$1371,0))</f>
        <v>17652</v>
      </c>
      <c r="C134" s="6">
        <f t="shared" ref="C134:C165" si="56">B134-$B$6</f>
        <v>2777</v>
      </c>
      <c r="D134" s="6">
        <f>MOD(C134+Summary!$B$20,Summary!$B$11)</f>
        <v>2771.7416237989592</v>
      </c>
      <c r="E134" s="6">
        <f>_xlfn.XLOOKUP(D134,'Native PMKS'!$C$6:$C$366,'Native PMKS'!$C$6:$C$366,,-1)</f>
        <v>2766.666666666667</v>
      </c>
      <c r="F134" s="6">
        <f>_xlfn.XLOOKUP(D134,'Native PMKS'!$C$6:$C$366,'Native PMKS'!$C$6:$C$366,,1)</f>
        <v>2775</v>
      </c>
      <c r="G134" s="6">
        <f>_xlfn.XLOOKUP(D134,'Native PMKS'!$C$6:$C$366,'Native PMKS'!$N$6:$N$366,,-1)</f>
        <v>-35.294199999999996</v>
      </c>
      <c r="H134" s="6">
        <f>_xlfn.XLOOKUP(D134,'Native PMKS'!$C$6:$C$366,'Native PMKS'!$N$6:$N$366,,1)</f>
        <v>-36.6693</v>
      </c>
      <c r="I134" s="6">
        <f t="shared" ref="I134:I165" si="57">IF(E134=F134,G134,_xlfn.FORECAST.LINEAR(D134,G134:H134,E134:F134))</f>
        <v>-36.131628826313829</v>
      </c>
      <c r="J134" s="6">
        <f>INDEX('Raw Data'!$F$6:$F$1371,MATCH(A134,'Raw Data'!$A$6:$A$1371,0))</f>
        <v>-39.3125</v>
      </c>
      <c r="K134" s="6">
        <f t="shared" ref="K134:K165" si="58">J134*1*PI()/180</f>
        <v>-0.68613256219027075</v>
      </c>
      <c r="L134" s="6">
        <f t="shared" ref="L134:L140" si="59">I134*PI()/180</f>
        <v>-0.63061588712767069</v>
      </c>
      <c r="M134" s="6">
        <f t="shared" ref="M134:M165" si="60">K134-L134</f>
        <v>-5.5516675062600052E-2</v>
      </c>
      <c r="N134" s="6">
        <f t="shared" ref="N134:N165" si="61">M134^2</f>
        <v>3.0821012100063186E-3</v>
      </c>
      <c r="O134" s="6">
        <f>_xlfn.XLOOKUP(D134,'Instructor 360'!$B$6:$B$365,'Instructor 360'!$B$6:$B$365,,-1)</f>
        <v>2766.0167130919222</v>
      </c>
      <c r="P134" s="6">
        <f>_xlfn.XLOOKUP(D134,'Instructor 360'!$B$6:$B$365,'Instructor 360'!$B$6:$B$365,,1)</f>
        <v>2774.3732590529248</v>
      </c>
      <c r="Q134" s="6">
        <f>_xlfn.XLOOKUP(D134,'Instructor 360'!$B$6:$B$365,'Instructor 360'!$F$6:$F$365,,-1)</f>
        <v>-35.182480779944264</v>
      </c>
      <c r="R134" s="6">
        <f>_xlfn.XLOOKUP(D134,'Instructor 360'!$B$6:$B$365,'Instructor 360'!$F$6:$F$365,,1)</f>
        <v>-36.56588022284123</v>
      </c>
      <c r="S134" s="6">
        <f t="shared" ref="S134:S165" si="62">IF(O134=P134,Q134,_xlfn.FORECAST.LINEAR(D134,Q134:R134,O134:P134))</f>
        <v>-36.130221427779986</v>
      </c>
      <c r="T134" s="6">
        <f t="shared" ref="T134:T165" si="63">S134*PI()/180</f>
        <v>-0.63059132338936741</v>
      </c>
      <c r="U134" s="6">
        <f t="shared" ref="U134:U165" si="64">K134-T134</f>
        <v>-5.5541238800903336E-2</v>
      </c>
      <c r="V134" s="6"/>
      <c r="W134" s="6">
        <f t="shared" ref="W134:W140" si="65">U134^2</f>
        <v>3.0848292075389703E-3</v>
      </c>
      <c r="AA134">
        <f t="shared" ref="AA134:AA140" si="66">C134</f>
        <v>2777</v>
      </c>
      <c r="AB134">
        <f t="shared" ref="AB134:AB140" si="67">K134</f>
        <v>-0.68613256219027075</v>
      </c>
      <c r="AC134">
        <f t="shared" ref="AC134:AC140" si="68">T134</f>
        <v>-0.63059132338936741</v>
      </c>
    </row>
    <row r="135" spans="1:29" ht="18.95" customHeight="1">
      <c r="A135" s="4">
        <f t="shared" ref="A135:A140" si="69">A134+1</f>
        <v>823</v>
      </c>
      <c r="B135" s="6">
        <f>INDEX('Raw Data'!$B$6:$B$1371,MATCH(A135,'Raw Data'!$A$6:$A$1371,0))</f>
        <v>17673</v>
      </c>
      <c r="C135" s="6">
        <f t="shared" si="56"/>
        <v>2798</v>
      </c>
      <c r="D135" s="6">
        <f>MOD(C135+Summary!$B$20,Summary!$B$11)</f>
        <v>2792.7416237989592</v>
      </c>
      <c r="E135" s="6">
        <f>_xlfn.XLOOKUP(D135,'Native PMKS'!$C$6:$C$366,'Native PMKS'!$C$6:$C$366,,-1)</f>
        <v>2791.666666666667</v>
      </c>
      <c r="F135" s="6">
        <f>_xlfn.XLOOKUP(D135,'Native PMKS'!$C$6:$C$366,'Native PMKS'!$C$6:$C$366,,1)</f>
        <v>2800</v>
      </c>
      <c r="G135" s="6">
        <f>_xlfn.XLOOKUP(D135,'Native PMKS'!$C$6:$C$366,'Native PMKS'!$N$6:$N$366,,-1)</f>
        <v>-39.362200000000001</v>
      </c>
      <c r="H135" s="6">
        <f>_xlfn.XLOOKUP(D135,'Native PMKS'!$C$6:$C$366,'Native PMKS'!$N$6:$N$366,,1)</f>
        <v>-40.622700000000002</v>
      </c>
      <c r="I135" s="6">
        <f t="shared" si="57"/>
        <v>-39.524798015830527</v>
      </c>
      <c r="J135" s="6">
        <f>INDEX('Raw Data'!$F$6:$F$1371,MATCH(A135,'Raw Data'!$A$6:$A$1371,0))</f>
        <v>-42.375</v>
      </c>
      <c r="K135" s="6">
        <f t="shared" si="58"/>
        <v>-0.73958327053259709</v>
      </c>
      <c r="L135" s="6">
        <f t="shared" si="59"/>
        <v>-0.68983786156196458</v>
      </c>
      <c r="M135" s="6">
        <f t="shared" si="60"/>
        <v>-4.974540897063251E-2</v>
      </c>
      <c r="N135" s="6">
        <f t="shared" si="61"/>
        <v>2.4746057136554853E-3</v>
      </c>
      <c r="O135" s="6">
        <f>_xlfn.XLOOKUP(D135,'Instructor 360'!$B$6:$B$365,'Instructor 360'!$B$6:$B$365,,-1)</f>
        <v>2791.0863509749302</v>
      </c>
      <c r="P135" s="6">
        <f>_xlfn.XLOOKUP(D135,'Instructor 360'!$B$6:$B$365,'Instructor 360'!$B$6:$B$365,,1)</f>
        <v>2799.4428969359333</v>
      </c>
      <c r="Q135" s="6">
        <f>_xlfn.XLOOKUP(D135,'Instructor 360'!$B$6:$B$365,'Instructor 360'!$F$6:$F$365,,-1)</f>
        <v>-39.266440947075125</v>
      </c>
      <c r="R135" s="6">
        <f>_xlfn.XLOOKUP(D135,'Instructor 360'!$B$6:$B$365,'Instructor 360'!$F$6:$F$365,,1)</f>
        <v>-40.538432590529268</v>
      </c>
      <c r="S135" s="6">
        <f t="shared" si="62"/>
        <v>-39.51839829998471</v>
      </c>
      <c r="T135" s="6">
        <f t="shared" si="63"/>
        <v>-0.68972616544926291</v>
      </c>
      <c r="U135" s="6">
        <f t="shared" si="64"/>
        <v>-4.9857105083334186E-2</v>
      </c>
      <c r="V135" s="6"/>
      <c r="W135" s="6">
        <f t="shared" si="65"/>
        <v>2.4857309272906273E-3</v>
      </c>
      <c r="AA135">
        <f t="shared" si="66"/>
        <v>2798</v>
      </c>
      <c r="AB135">
        <f t="shared" si="67"/>
        <v>-0.73958327053259709</v>
      </c>
      <c r="AC135">
        <f t="shared" si="68"/>
        <v>-0.68972616544926291</v>
      </c>
    </row>
    <row r="136" spans="1:29" ht="18.95" customHeight="1">
      <c r="A136" s="4">
        <f t="shared" si="69"/>
        <v>824</v>
      </c>
      <c r="B136" s="6">
        <f>INDEX('Raw Data'!$B$6:$B$1371,MATCH(A136,'Raw Data'!$A$6:$A$1371,0))</f>
        <v>17693</v>
      </c>
      <c r="C136" s="6">
        <f t="shared" si="56"/>
        <v>2818</v>
      </c>
      <c r="D136" s="6">
        <f>MOD(C136+Summary!$B$20,Summary!$B$11)</f>
        <v>2812.7416237989592</v>
      </c>
      <c r="E136" s="6">
        <f>_xlfn.XLOOKUP(D136,'Native PMKS'!$C$6:$C$366,'Native PMKS'!$C$6:$C$366,,-1)</f>
        <v>2808.3333333333335</v>
      </c>
      <c r="F136" s="6">
        <f>_xlfn.XLOOKUP(D136,'Native PMKS'!$C$6:$C$366,'Native PMKS'!$C$6:$C$366,,1)</f>
        <v>2816.666666666667</v>
      </c>
      <c r="G136" s="6">
        <f>_xlfn.XLOOKUP(D136,'Native PMKS'!$C$6:$C$366,'Native PMKS'!$N$6:$N$366,,-1)</f>
        <v>-41.9405</v>
      </c>
      <c r="H136" s="6">
        <f>_xlfn.XLOOKUP(D136,'Native PMKS'!$C$6:$C$366,'Native PMKS'!$N$6:$N$366,,1)</f>
        <v>-43.201000000000001</v>
      </c>
      <c r="I136" s="6">
        <f t="shared" si="57"/>
        <v>-42.607298015830565</v>
      </c>
      <c r="J136" s="6">
        <f>INDEX('Raw Data'!$F$6:$F$1371,MATCH(A136,'Raw Data'!$A$6:$A$1371,0))</f>
        <v>-45.6875</v>
      </c>
      <c r="K136" s="6">
        <f t="shared" si="58"/>
        <v>-0.79739730200490933</v>
      </c>
      <c r="L136" s="6">
        <f t="shared" si="59"/>
        <v>-0.74363763575469033</v>
      </c>
      <c r="M136" s="6">
        <f t="shared" si="60"/>
        <v>-5.3759666250218996E-2</v>
      </c>
      <c r="N136" s="6">
        <f t="shared" si="61"/>
        <v>2.8901017153349353E-3</v>
      </c>
      <c r="O136" s="6">
        <f>_xlfn.XLOOKUP(D136,'Instructor 360'!$B$6:$B$365,'Instructor 360'!$B$6:$B$365,,-1)</f>
        <v>2807.7994428969359</v>
      </c>
      <c r="P136" s="6">
        <f>_xlfn.XLOOKUP(D136,'Instructor 360'!$B$6:$B$365,'Instructor 360'!$B$6:$B$365,,1)</f>
        <v>2816.1559888579386</v>
      </c>
      <c r="Q136" s="6">
        <f>_xlfn.XLOOKUP(D136,'Instructor 360'!$B$6:$B$365,'Instructor 360'!$F$6:$F$365,,-1)</f>
        <v>-41.856072701949842</v>
      </c>
      <c r="R136" s="6">
        <f>_xlfn.XLOOKUP(D136,'Instructor 360'!$B$6:$B$365,'Instructor 360'!$F$6:$F$365,,1)</f>
        <v>-43.123754874651752</v>
      </c>
      <c r="S136" s="6">
        <f t="shared" si="62"/>
        <v>-42.605798085260062</v>
      </c>
      <c r="T136" s="6">
        <f t="shared" si="63"/>
        <v>-0.74361145702768383</v>
      </c>
      <c r="U136" s="6">
        <f t="shared" si="64"/>
        <v>-5.3785844977225494E-2</v>
      </c>
      <c r="V136" s="6"/>
      <c r="W136" s="6">
        <f t="shared" si="65"/>
        <v>2.8929171199141329E-3</v>
      </c>
      <c r="AA136">
        <f t="shared" si="66"/>
        <v>2818</v>
      </c>
      <c r="AB136">
        <f t="shared" si="67"/>
        <v>-0.79739730200490933</v>
      </c>
      <c r="AC136">
        <f t="shared" si="68"/>
        <v>-0.74361145702768383</v>
      </c>
    </row>
    <row r="137" spans="1:29" ht="18.95" customHeight="1">
      <c r="A137" s="4">
        <f t="shared" si="69"/>
        <v>825</v>
      </c>
      <c r="B137" s="6">
        <f>INDEX('Raw Data'!$B$6:$B$1371,MATCH(A137,'Raw Data'!$A$6:$A$1371,0))</f>
        <v>17714</v>
      </c>
      <c r="C137" s="6">
        <f t="shared" si="56"/>
        <v>2839</v>
      </c>
      <c r="D137" s="6">
        <f>MOD(C137+Summary!$B$20,Summary!$B$11)</f>
        <v>2833.7416237989592</v>
      </c>
      <c r="E137" s="6">
        <f>_xlfn.XLOOKUP(D137,'Native PMKS'!$C$6:$C$366,'Native PMKS'!$C$6:$C$366,,-1)</f>
        <v>2833.3333333333335</v>
      </c>
      <c r="F137" s="6">
        <f>_xlfn.XLOOKUP(D137,'Native PMKS'!$C$6:$C$366,'Native PMKS'!$C$6:$C$366,,1)</f>
        <v>2841.666666666667</v>
      </c>
      <c r="G137" s="6">
        <f>_xlfn.XLOOKUP(D137,'Native PMKS'!$C$6:$C$366,'Native PMKS'!$N$6:$N$366,,-1)</f>
        <v>-45.607399999999998</v>
      </c>
      <c r="H137" s="6">
        <f>_xlfn.XLOOKUP(D137,'Native PMKS'!$C$6:$C$366,'Native PMKS'!$N$6:$N$366,,1)</f>
        <v>-46.753399999999999</v>
      </c>
      <c r="I137" s="6">
        <f t="shared" si="57"/>
        <v>-45.663548104832898</v>
      </c>
      <c r="J137" s="6">
        <f>INDEX('Raw Data'!$F$6:$F$1371,MATCH(A137,'Raw Data'!$A$6:$A$1371,0))</f>
        <v>-48.1875</v>
      </c>
      <c r="K137" s="6">
        <f t="shared" si="58"/>
        <v>-0.84103053330476751</v>
      </c>
      <c r="L137" s="6">
        <f t="shared" si="59"/>
        <v>-0.7969792625721509</v>
      </c>
      <c r="M137" s="6">
        <f t="shared" si="60"/>
        <v>-4.405127073261661E-2</v>
      </c>
      <c r="N137" s="6">
        <f t="shared" si="61"/>
        <v>1.9405144531582847E-3</v>
      </c>
      <c r="O137" s="6">
        <f>_xlfn.XLOOKUP(D137,'Instructor 360'!$B$6:$B$365,'Instructor 360'!$B$6:$B$365,,-1)</f>
        <v>2832.8690807799444</v>
      </c>
      <c r="P137" s="6">
        <f>_xlfn.XLOOKUP(D137,'Instructor 360'!$B$6:$B$365,'Instructor 360'!$B$6:$B$365,,1)</f>
        <v>2841.2256267409471</v>
      </c>
      <c r="Q137" s="6">
        <f>_xlfn.XLOOKUP(D137,'Instructor 360'!$B$6:$B$365,'Instructor 360'!$F$6:$F$365,,-1)</f>
        <v>-45.540369359331471</v>
      </c>
      <c r="R137" s="6">
        <f>_xlfn.XLOOKUP(D137,'Instructor 360'!$B$6:$B$365,'Instructor 360'!$F$6:$F$365,,1)</f>
        <v>-46.692748189414999</v>
      </c>
      <c r="S137" s="6">
        <f t="shared" si="62"/>
        <v>-45.660694205044308</v>
      </c>
      <c r="T137" s="6">
        <f t="shared" si="63"/>
        <v>-0.79692945262431791</v>
      </c>
      <c r="U137" s="6">
        <f t="shared" si="64"/>
        <v>-4.41010806804496E-2</v>
      </c>
      <c r="V137" s="6"/>
      <c r="W137" s="6">
        <f t="shared" si="65"/>
        <v>1.9449053171835249E-3</v>
      </c>
      <c r="AA137">
        <f t="shared" si="66"/>
        <v>2839</v>
      </c>
      <c r="AB137">
        <f t="shared" si="67"/>
        <v>-0.84103053330476751</v>
      </c>
      <c r="AC137">
        <f t="shared" si="68"/>
        <v>-0.79692945262431791</v>
      </c>
    </row>
    <row r="138" spans="1:29" ht="18.95" customHeight="1">
      <c r="A138" s="4">
        <f t="shared" si="69"/>
        <v>826</v>
      </c>
      <c r="B138" s="6">
        <f>INDEX('Raw Data'!$B$6:$B$1371,MATCH(A138,'Raw Data'!$A$6:$A$1371,0))</f>
        <v>17734</v>
      </c>
      <c r="C138" s="6">
        <f t="shared" si="56"/>
        <v>2859</v>
      </c>
      <c r="D138" s="6">
        <f>MOD(C138+Summary!$B$20,Summary!$B$11)</f>
        <v>2853.7416237989592</v>
      </c>
      <c r="E138" s="6">
        <f>_xlfn.XLOOKUP(D138,'Native PMKS'!$C$6:$C$366,'Native PMKS'!$C$6:$C$366,,-1)</f>
        <v>2850</v>
      </c>
      <c r="F138" s="6">
        <f>_xlfn.XLOOKUP(D138,'Native PMKS'!$C$6:$C$366,'Native PMKS'!$C$6:$C$366,,1)</f>
        <v>2858.3333333333335</v>
      </c>
      <c r="G138" s="6">
        <f>_xlfn.XLOOKUP(D138,'Native PMKS'!$C$6:$C$366,'Native PMKS'!$N$6:$N$366,,-1)</f>
        <v>-47.899299999999997</v>
      </c>
      <c r="H138" s="6">
        <f>_xlfn.XLOOKUP(D138,'Native PMKS'!$C$6:$C$366,'Native PMKS'!$N$6:$N$366,,1)</f>
        <v>-48.930599999999998</v>
      </c>
      <c r="I138" s="6">
        <f t="shared" si="57"/>
        <v>-48.362348394863943</v>
      </c>
      <c r="J138" s="6">
        <f>INDEX('Raw Data'!$F$6:$F$1371,MATCH(A138,'Raw Data'!$A$6:$A$1371,0))</f>
        <v>-51.6875</v>
      </c>
      <c r="K138" s="6">
        <f t="shared" si="58"/>
        <v>-0.90211705712456902</v>
      </c>
      <c r="L138" s="6">
        <f t="shared" si="59"/>
        <v>-0.84408221348697055</v>
      </c>
      <c r="M138" s="6">
        <f t="shared" si="60"/>
        <v>-5.8034843637598477E-2</v>
      </c>
      <c r="N138" s="6">
        <f t="shared" si="61"/>
        <v>3.3680430760405044E-3</v>
      </c>
      <c r="O138" s="6">
        <f>_xlfn.XLOOKUP(D138,'Instructor 360'!$B$6:$B$365,'Instructor 360'!$B$6:$B$365,,-1)</f>
        <v>2849.5821727019497</v>
      </c>
      <c r="P138" s="6">
        <f>_xlfn.XLOOKUP(D138,'Instructor 360'!$B$6:$B$365,'Instructor 360'!$B$6:$B$365,,1)</f>
        <v>2857.9387186629529</v>
      </c>
      <c r="Q138" s="6">
        <f>_xlfn.XLOOKUP(D138,'Instructor 360'!$B$6:$B$365,'Instructor 360'!$F$6:$F$365,,-1)</f>
        <v>-47.841845403899697</v>
      </c>
      <c r="R138" s="6">
        <f>_xlfn.XLOOKUP(D138,'Instructor 360'!$B$6:$B$365,'Instructor 360'!$F$6:$F$365,,1)</f>
        <v>-48.881764066852377</v>
      </c>
      <c r="S138" s="6">
        <f t="shared" si="62"/>
        <v>-48.359462472435553</v>
      </c>
      <c r="T138" s="6">
        <f t="shared" si="63"/>
        <v>-0.8440318446386379</v>
      </c>
      <c r="U138" s="6">
        <f t="shared" si="64"/>
        <v>-5.8085212485931126E-2</v>
      </c>
      <c r="V138" s="6"/>
      <c r="W138" s="6">
        <f t="shared" si="65"/>
        <v>3.3738919095357691E-3</v>
      </c>
      <c r="AA138">
        <f t="shared" si="66"/>
        <v>2859</v>
      </c>
      <c r="AB138">
        <f t="shared" si="67"/>
        <v>-0.90211705712456902</v>
      </c>
      <c r="AC138">
        <f t="shared" si="68"/>
        <v>-0.8440318446386379</v>
      </c>
    </row>
    <row r="139" spans="1:29" ht="18.95" customHeight="1">
      <c r="A139" s="4">
        <f t="shared" si="69"/>
        <v>827</v>
      </c>
      <c r="B139" s="6">
        <f>INDEX('Raw Data'!$B$6:$B$1371,MATCH(A139,'Raw Data'!$A$6:$A$1371,0))</f>
        <v>17756</v>
      </c>
      <c r="C139" s="6">
        <f t="shared" si="56"/>
        <v>2881</v>
      </c>
      <c r="D139" s="6">
        <f>MOD(C139+Summary!$B$20,Summary!$B$11)</f>
        <v>2875.7416237989592</v>
      </c>
      <c r="E139" s="6">
        <f>_xlfn.XLOOKUP(D139,'Native PMKS'!$C$6:$C$366,'Native PMKS'!$C$6:$C$366,,-1)</f>
        <v>2875</v>
      </c>
      <c r="F139" s="6">
        <f>_xlfn.XLOOKUP(D139,'Native PMKS'!$C$6:$C$366,'Native PMKS'!$C$6:$C$366,,1)</f>
        <v>2883.3333333333335</v>
      </c>
      <c r="G139" s="6">
        <f>_xlfn.XLOOKUP(D139,'Native PMKS'!$C$6:$C$366,'Native PMKS'!$N$6:$N$366,,-1)</f>
        <v>-50.993200000000002</v>
      </c>
      <c r="H139" s="6">
        <f>_xlfn.XLOOKUP(D139,'Native PMKS'!$C$6:$C$366,'Native PMKS'!$N$6:$N$366,,1)</f>
        <v>-51.91</v>
      </c>
      <c r="I139" s="6">
        <f t="shared" si="57"/>
        <v>-51.074790483866252</v>
      </c>
      <c r="J139" s="6">
        <f>INDEX('Raw Data'!$F$6:$F$1371,MATCH(A139,'Raw Data'!$A$6:$A$1371,0))</f>
        <v>-54.5625</v>
      </c>
      <c r="K139" s="6">
        <f t="shared" si="58"/>
        <v>-0.95229527311940609</v>
      </c>
      <c r="L139" s="6">
        <f t="shared" si="59"/>
        <v>-0.89142325870973393</v>
      </c>
      <c r="M139" s="6">
        <f t="shared" si="60"/>
        <v>-6.0872014409672159E-2</v>
      </c>
      <c r="N139" s="6">
        <f t="shared" si="61"/>
        <v>3.705402138291335E-3</v>
      </c>
      <c r="O139" s="6">
        <f>_xlfn.XLOOKUP(D139,'Instructor 360'!$B$6:$B$365,'Instructor 360'!$B$6:$B$365,,-1)</f>
        <v>2874.6518105849582</v>
      </c>
      <c r="P139" s="6">
        <f>_xlfn.XLOOKUP(D139,'Instructor 360'!$B$6:$B$365,'Instructor 360'!$B$6:$B$365,,1)</f>
        <v>2883.0083565459609</v>
      </c>
      <c r="Q139" s="6">
        <f>_xlfn.XLOOKUP(D139,'Instructor 360'!$B$6:$B$365,'Instructor 360'!$F$6:$F$365,,-1)</f>
        <v>-50.950109470752082</v>
      </c>
      <c r="R139" s="6">
        <f>_xlfn.XLOOKUP(D139,'Instructor 360'!$B$6:$B$365,'Instructor 360'!$F$6:$F$365,,1)</f>
        <v>-51.87424735376041</v>
      </c>
      <c r="S139" s="6">
        <f t="shared" si="62"/>
        <v>-51.070630279368629</v>
      </c>
      <c r="T139" s="6">
        <f t="shared" si="63"/>
        <v>-0.89135064944369402</v>
      </c>
      <c r="U139" s="6">
        <f t="shared" si="64"/>
        <v>-6.0944623675712073E-2</v>
      </c>
      <c r="V139" s="6"/>
      <c r="W139" s="6">
        <f t="shared" si="65"/>
        <v>3.7142471549741645E-3</v>
      </c>
      <c r="AA139">
        <f t="shared" si="66"/>
        <v>2881</v>
      </c>
      <c r="AB139">
        <f t="shared" si="67"/>
        <v>-0.95229527311940609</v>
      </c>
      <c r="AC139">
        <f t="shared" si="68"/>
        <v>-0.89135064944369402</v>
      </c>
    </row>
    <row r="140" spans="1:29" ht="18.95" customHeight="1">
      <c r="A140" s="4">
        <f t="shared" si="69"/>
        <v>828</v>
      </c>
      <c r="B140" s="6">
        <f>INDEX('Raw Data'!$B$6:$B$1371,MATCH(A140,'Raw Data'!$A$6:$A$1371,0))</f>
        <v>17778</v>
      </c>
      <c r="C140" s="6">
        <f t="shared" si="56"/>
        <v>2903</v>
      </c>
      <c r="D140" s="6">
        <f>MOD(C140+Summary!$B$20,Summary!$B$11)</f>
        <v>2897.7416237989592</v>
      </c>
      <c r="E140" s="6">
        <f>_xlfn.XLOOKUP(D140,'Native PMKS'!$C$6:$C$366,'Native PMKS'!$C$6:$C$366,,-1)</f>
        <v>2891.666666666667</v>
      </c>
      <c r="F140" s="6">
        <f>_xlfn.XLOOKUP(D140,'Native PMKS'!$C$6:$C$366,'Native PMKS'!$C$6:$C$366,,1)</f>
        <v>2900</v>
      </c>
      <c r="G140" s="6">
        <f>_xlfn.XLOOKUP(D140,'Native PMKS'!$C$6:$C$366,'Native PMKS'!$N$6:$N$366,,-1)</f>
        <v>-52.826700000000002</v>
      </c>
      <c r="H140" s="6">
        <f>_xlfn.XLOOKUP(D140,'Native PMKS'!$C$6:$C$366,'Native PMKS'!$N$6:$N$366,,1)</f>
        <v>-53.686100000000003</v>
      </c>
      <c r="I140" s="6">
        <f t="shared" si="57"/>
        <v>-53.453198179139008</v>
      </c>
      <c r="J140" s="6">
        <f>INDEX('Raw Data'!$F$6:$F$1371,MATCH(A140,'Raw Data'!$A$6:$A$1371,0))</f>
        <v>-58.9375</v>
      </c>
      <c r="K140" s="6">
        <f t="shared" si="58"/>
        <v>-1.0286534278941579</v>
      </c>
      <c r="L140" s="6">
        <f t="shared" si="59"/>
        <v>-0.93293430394701338</v>
      </c>
      <c r="M140" s="6">
        <f t="shared" si="60"/>
        <v>-9.5719123947144547E-2</v>
      </c>
      <c r="N140" s="6">
        <f t="shared" si="61"/>
        <v>9.1621506892088211E-3</v>
      </c>
      <c r="O140" s="6">
        <f>_xlfn.XLOOKUP(D140,'Instructor 360'!$B$6:$B$365,'Instructor 360'!$B$6:$B$365,,-1)</f>
        <v>2891.364902506964</v>
      </c>
      <c r="P140" s="6">
        <f>_xlfn.XLOOKUP(D140,'Instructor 360'!$B$6:$B$365,'Instructor 360'!$B$6:$B$365,,1)</f>
        <v>2899.7214484679666</v>
      </c>
      <c r="Q140" s="6">
        <f>_xlfn.XLOOKUP(D140,'Instructor 360'!$B$6:$B$365,'Instructor 360'!$F$6:$F$365,,-1)</f>
        <v>-52.793504735376032</v>
      </c>
      <c r="R140" s="6">
        <f>_xlfn.XLOOKUP(D140,'Instructor 360'!$B$6:$B$365,'Instructor 360'!$F$6:$F$365,,1)</f>
        <v>-53.657373537604464</v>
      </c>
      <c r="S140" s="6">
        <f t="shared" si="62"/>
        <v>-53.452706588673777</v>
      </c>
      <c r="T140" s="6">
        <f t="shared" si="63"/>
        <v>-0.93292572407482366</v>
      </c>
      <c r="U140" s="6">
        <f t="shared" si="64"/>
        <v>-9.5727703819334264E-2</v>
      </c>
      <c r="V140" s="6"/>
      <c r="W140" s="6">
        <f t="shared" si="65"/>
        <v>9.1637932785221844E-3</v>
      </c>
      <c r="AA140">
        <f t="shared" si="66"/>
        <v>2903</v>
      </c>
      <c r="AB140">
        <f t="shared" si="67"/>
        <v>-1.0286534278941579</v>
      </c>
      <c r="AC140">
        <f t="shared" si="68"/>
        <v>-0.93292572407482366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4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3" width="16" customWidth="1"/>
  </cols>
  <sheetData>
    <row r="1" spans="1:29" ht="18.95" customHeight="1">
      <c r="A1" s="2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9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9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9" ht="48" customHeight="1">
      <c r="A5" s="3" t="s">
        <v>27</v>
      </c>
      <c r="B5" s="3" t="s">
        <v>96</v>
      </c>
      <c r="C5" s="3" t="s">
        <v>28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105</v>
      </c>
      <c r="M5" s="3" t="s">
        <v>106</v>
      </c>
      <c r="N5" s="3" t="s">
        <v>107</v>
      </c>
      <c r="O5" s="3" t="s">
        <v>108</v>
      </c>
      <c r="P5" s="3" t="s">
        <v>109</v>
      </c>
      <c r="Q5" s="3" t="s">
        <v>110</v>
      </c>
      <c r="R5" s="3" t="s">
        <v>111</v>
      </c>
      <c r="S5" s="3" t="s">
        <v>112</v>
      </c>
      <c r="T5" s="3" t="s">
        <v>113</v>
      </c>
      <c r="U5" s="3" t="s">
        <v>114</v>
      </c>
      <c r="V5" s="3"/>
      <c r="W5" s="3" t="s">
        <v>115</v>
      </c>
      <c r="AA5" t="s">
        <v>28</v>
      </c>
      <c r="AB5" t="s">
        <v>116</v>
      </c>
      <c r="AC5" t="s">
        <v>117</v>
      </c>
    </row>
    <row r="6" spans="1:29" ht="18.95" customHeight="1">
      <c r="A6" s="4">
        <f>Summary!B21</f>
        <v>694</v>
      </c>
      <c r="B6" s="6">
        <f>INDEX('Raw Data'!$B$6:$B$1371,MATCH(A6,'Raw Data'!$A$6:$A$1371,0))</f>
        <v>14875</v>
      </c>
      <c r="C6" s="6">
        <f t="shared" ref="C6:C37" si="0">B6-$B$6</f>
        <v>0</v>
      </c>
      <c r="D6" s="6">
        <f>MOD(C6+Summary!$B$20,Summary!$B$11)</f>
        <v>2994.7416237989592</v>
      </c>
      <c r="E6" s="6">
        <f>_xlfn.XLOOKUP(D6,'Native PMKS'!$C$6:$C$366,'Native PMKS'!$C$6:$C$366,,-1)</f>
        <v>2991.666666666667</v>
      </c>
      <c r="F6" s="6">
        <f>_xlfn.XLOOKUP(D6,'Native PMKS'!$C$6:$C$366,'Native PMKS'!$C$6:$C$366,,1)</f>
        <v>3000</v>
      </c>
      <c r="G6" s="6">
        <f>_xlfn.XLOOKUP(D6,'Native PMKS'!$C$6:$C$366,'Native PMKS'!$N$6:$N$366,,-1)</f>
        <v>-59.587600000000002</v>
      </c>
      <c r="H6" s="6">
        <f>_xlfn.XLOOKUP(D6,'Native PMKS'!$C$6:$C$366,'Native PMKS'!$N$6:$N$366,,1)</f>
        <v>-59.759500000000003</v>
      </c>
      <c r="I6" s="6">
        <f t="shared" ref="I6:I37" si="1">IF(E6=F6,G6,_xlfn.FORECAST.LINEAR(D6,G6:H6,E6:F6))</f>
        <v>-59.65103021572493</v>
      </c>
      <c r="J6" s="6">
        <f>INDEX('Raw Data'!$S$6:$S$1371,MATCH(A6,'Raw Data'!$A$6:$A$1371,0))</f>
        <v>62.22802734375</v>
      </c>
      <c r="K6" s="6">
        <f t="shared" ref="K6:K37" si="2">J6*-1*PI()/180</f>
        <v>-1.0860839641694986</v>
      </c>
      <c r="L6" s="6">
        <f t="shared" ref="L6:L37" si="3">I6*PI()/180</f>
        <v>-1.0411068794710234</v>
      </c>
      <c r="M6" s="6">
        <f t="shared" ref="M6:M37" si="4">K6-L6</f>
        <v>-4.4977084698475167E-2</v>
      </c>
      <c r="N6" s="6">
        <f t="shared" ref="N6:N37" si="5">M6^2</f>
        <v>2.0229381479738092E-3</v>
      </c>
      <c r="O6" s="6">
        <f>_xlfn.XLOOKUP(D6,'Instructor 360'!$B$6:$B$365,'Instructor 360'!$B$6:$B$365,,-1)</f>
        <v>2991.6434540389973</v>
      </c>
      <c r="P6" s="6">
        <f>_xlfn.XLOOKUP(D6,'Instructor 360'!$B$6:$B$365,'Instructor 360'!$B$6:$B$365,,1)</f>
        <v>3000</v>
      </c>
      <c r="Q6" s="6">
        <f>_xlfn.XLOOKUP(D6,'Instructor 360'!$B$6:$B$365,'Instructor 360'!$F$6:$F$365,,-1)</f>
        <v>-59.586801949860721</v>
      </c>
      <c r="R6" s="6">
        <f>_xlfn.XLOOKUP(D6,'Instructor 360'!$B$6:$B$365,'Instructor 360'!$F$6:$F$365,,1)</f>
        <v>-59.759500000000003</v>
      </c>
      <c r="S6" s="6">
        <f t="shared" ref="S6:S37" si="6">IF(O6=P6,Q6,_xlfn.FORECAST.LINEAR(D6,Q6:R6,O6:P6))</f>
        <v>-59.650829345754047</v>
      </c>
      <c r="T6" s="6">
        <f t="shared" ref="T6:T37" si="7">S6*PI()/180</f>
        <v>-1.041103373628663</v>
      </c>
      <c r="U6" s="6">
        <f t="shared" ref="U6:U37" si="8">K6-T6</f>
        <v>-4.4980590540835586E-2</v>
      </c>
      <c r="V6" s="6"/>
      <c r="W6" s="6">
        <f t="shared" ref="W6:W37" si="9">U6^2</f>
        <v>2.0232535254023076E-3</v>
      </c>
      <c r="AA6">
        <f t="shared" ref="AA6:AA37" si="10">C6</f>
        <v>0</v>
      </c>
      <c r="AB6">
        <f t="shared" ref="AB6:AB37" si="11">K6</f>
        <v>-1.0860839641694986</v>
      </c>
      <c r="AC6">
        <f t="shared" ref="AC6:AC37" si="12">T6</f>
        <v>-1.041103373628663</v>
      </c>
    </row>
    <row r="7" spans="1:29" ht="18.95" customHeight="1">
      <c r="A7" s="4">
        <f t="shared" ref="A7:A38" si="13">A6+1</f>
        <v>695</v>
      </c>
      <c r="B7" s="6">
        <f>INDEX('Raw Data'!$B$6:$B$1371,MATCH(A7,'Raw Data'!$A$6:$A$1371,0))</f>
        <v>14896</v>
      </c>
      <c r="C7" s="6">
        <f t="shared" si="0"/>
        <v>21</v>
      </c>
      <c r="D7" s="6">
        <f>MOD(C7+Summary!$B$20,Summary!$B$11)</f>
        <v>15.741623798959154</v>
      </c>
      <c r="E7" s="6">
        <f>_xlfn.XLOOKUP(D7,'Native PMKS'!$C$6:$C$366,'Native PMKS'!$C$6:$C$366,,-1)</f>
        <v>8.3333333333333339</v>
      </c>
      <c r="F7" s="6">
        <f>_xlfn.XLOOKUP(D7,'Native PMKS'!$C$6:$C$366,'Native PMKS'!$C$6:$C$366,,1)</f>
        <v>16.666666666666668</v>
      </c>
      <c r="G7" s="6">
        <f>_xlfn.XLOOKUP(D7,'Native PMKS'!$C$6:$C$366,'Native PMKS'!$N$6:$N$366,,-1)</f>
        <v>-59.931399999999996</v>
      </c>
      <c r="H7" s="6">
        <f>_xlfn.XLOOKUP(D7,'Native PMKS'!$C$6:$C$366,'Native PMKS'!$N$6:$N$366,,1)</f>
        <v>-59.988700000000001</v>
      </c>
      <c r="I7" s="6">
        <f t="shared" si="1"/>
        <v>-59.982339405241646</v>
      </c>
      <c r="J7" s="6">
        <f>INDEX('Raw Data'!$S$6:$S$1371,MATCH(A7,'Raw Data'!$A$6:$A$1371,0))</f>
        <v>65.052459716796903</v>
      </c>
      <c r="K7" s="6">
        <f t="shared" si="2"/>
        <v>-1.1353796085790839</v>
      </c>
      <c r="L7" s="6">
        <f t="shared" si="3"/>
        <v>-1.0468893156702039</v>
      </c>
      <c r="M7" s="6">
        <f t="shared" si="4"/>
        <v>-8.8490292908879997E-2</v>
      </c>
      <c r="N7" s="6">
        <f t="shared" si="5"/>
        <v>7.8305319390993781E-3</v>
      </c>
      <c r="O7" s="6">
        <f>_xlfn.XLOOKUP(D7,'Instructor 360'!$B$6:$B$365,'Instructor 360'!$B$6:$B$365,,-1)</f>
        <v>8.3565459610027855</v>
      </c>
      <c r="P7" s="6">
        <f>_xlfn.XLOOKUP(D7,'Instructor 360'!$B$6:$B$365,'Instructor 360'!$B$6:$B$365,,1)</f>
        <v>16.713091922005571</v>
      </c>
      <c r="Q7" s="6">
        <f>_xlfn.XLOOKUP(D7,'Instructor 360'!$B$6:$B$365,'Instructor 360'!$F$6:$F$365,,-1)</f>
        <v>-59.931559610027854</v>
      </c>
      <c r="R7" s="6">
        <f>_xlfn.XLOOKUP(D7,'Instructor 360'!$B$6:$B$365,'Instructor 360'!$F$6:$F$365,,1)</f>
        <v>-59.98901922005571</v>
      </c>
      <c r="S7" s="6">
        <f t="shared" si="6"/>
        <v>-59.982339405241639</v>
      </c>
      <c r="T7" s="6">
        <f t="shared" si="7"/>
        <v>-1.0468893156702039</v>
      </c>
      <c r="U7" s="6">
        <f t="shared" si="8"/>
        <v>-8.8490292908879997E-2</v>
      </c>
      <c r="V7" s="6"/>
      <c r="W7" s="6">
        <f t="shared" si="9"/>
        <v>7.8305319390993781E-3</v>
      </c>
      <c r="AA7">
        <f t="shared" si="10"/>
        <v>21</v>
      </c>
      <c r="AB7">
        <f t="shared" si="11"/>
        <v>-1.1353796085790839</v>
      </c>
      <c r="AC7">
        <f t="shared" si="12"/>
        <v>-1.0468893156702039</v>
      </c>
    </row>
    <row r="8" spans="1:29" ht="18.95" customHeight="1">
      <c r="A8" s="4">
        <f t="shared" si="13"/>
        <v>696</v>
      </c>
      <c r="B8" s="6">
        <f>INDEX('Raw Data'!$B$6:$B$1371,MATCH(A8,'Raw Data'!$A$6:$A$1371,0))</f>
        <v>14916</v>
      </c>
      <c r="C8" s="6">
        <f t="shared" si="0"/>
        <v>41</v>
      </c>
      <c r="D8" s="6">
        <f>MOD(C8+Summary!$B$20,Summary!$B$11)</f>
        <v>35.741623798959154</v>
      </c>
      <c r="E8" s="6">
        <f>_xlfn.XLOOKUP(D8,'Native PMKS'!$C$6:$C$366,'Native PMKS'!$C$6:$C$366,,-1)</f>
        <v>33.333333333333336</v>
      </c>
      <c r="F8" s="6">
        <f>_xlfn.XLOOKUP(D8,'Native PMKS'!$C$6:$C$366,'Native PMKS'!$C$6:$C$366,,1)</f>
        <v>41.666666666666671</v>
      </c>
      <c r="G8" s="6">
        <f>_xlfn.XLOOKUP(D8,'Native PMKS'!$C$6:$C$366,'Native PMKS'!$N$6:$N$366,,-1)</f>
        <v>-60.045999999999999</v>
      </c>
      <c r="H8" s="6">
        <f>_xlfn.XLOOKUP(D8,'Native PMKS'!$C$6:$C$366,'Native PMKS'!$N$6:$N$366,,1)</f>
        <v>-59.988700000000001</v>
      </c>
      <c r="I8" s="6">
        <f t="shared" si="1"/>
        <v>-60.029440594758356</v>
      </c>
      <c r="J8" s="6">
        <f>INDEX('Raw Data'!$S$6:$S$1371,MATCH(A8,'Raw Data'!$A$6:$A$1371,0))</f>
        <v>64.823448181152301</v>
      </c>
      <c r="K8" s="6">
        <f t="shared" si="2"/>
        <v>-1.1313826032570373</v>
      </c>
      <c r="L8" s="6">
        <f t="shared" si="3"/>
        <v>-1.0477113865088765</v>
      </c>
      <c r="M8" s="6">
        <f t="shared" si="4"/>
        <v>-8.3671216748160804E-2</v>
      </c>
      <c r="N8" s="6">
        <f t="shared" si="5"/>
        <v>7.000872512117705E-3</v>
      </c>
      <c r="O8" s="6">
        <f>_xlfn.XLOOKUP(D8,'Instructor 360'!$B$6:$B$365,'Instructor 360'!$B$6:$B$365,,-1)</f>
        <v>33.426183844011142</v>
      </c>
      <c r="P8" s="6">
        <f>_xlfn.XLOOKUP(D8,'Instructor 360'!$B$6:$B$365,'Instructor 360'!$B$6:$B$365,,1)</f>
        <v>41.782729805013929</v>
      </c>
      <c r="Q8" s="6">
        <f>_xlfn.XLOOKUP(D8,'Instructor 360'!$B$6:$B$365,'Instructor 360'!$F$6:$F$365,,-1)</f>
        <v>-60.045361559888576</v>
      </c>
      <c r="R8" s="6">
        <f>_xlfn.XLOOKUP(D8,'Instructor 360'!$B$6:$B$365,'Instructor 360'!$F$6:$F$365,,1)</f>
        <v>-59.987103899721447</v>
      </c>
      <c r="S8" s="6">
        <f t="shared" si="6"/>
        <v>-60.029219470242658</v>
      </c>
      <c r="T8" s="6">
        <f t="shared" si="7"/>
        <v>-1.0477075271580207</v>
      </c>
      <c r="U8" s="6">
        <f t="shared" si="8"/>
        <v>-8.3675076099016588E-2</v>
      </c>
      <c r="V8" s="6"/>
      <c r="W8" s="6">
        <f t="shared" si="9"/>
        <v>7.001518360176217E-3</v>
      </c>
      <c r="AA8">
        <f t="shared" si="10"/>
        <v>41</v>
      </c>
      <c r="AB8">
        <f t="shared" si="11"/>
        <v>-1.1313826032570373</v>
      </c>
      <c r="AC8">
        <f t="shared" si="12"/>
        <v>-1.0477075271580207</v>
      </c>
    </row>
    <row r="9" spans="1:29" ht="18.95" customHeight="1">
      <c r="A9" s="4">
        <f t="shared" si="13"/>
        <v>697</v>
      </c>
      <c r="B9" s="6">
        <f>INDEX('Raw Data'!$B$6:$B$1371,MATCH(A9,'Raw Data'!$A$6:$A$1371,0))</f>
        <v>14937</v>
      </c>
      <c r="C9" s="6">
        <f t="shared" si="0"/>
        <v>62</v>
      </c>
      <c r="D9" s="6">
        <f>MOD(C9+Summary!$B$20,Summary!$B$11)</f>
        <v>56.741623798959154</v>
      </c>
      <c r="E9" s="6">
        <f>_xlfn.XLOOKUP(D9,'Native PMKS'!$C$6:$C$366,'Native PMKS'!$C$6:$C$366,,-1)</f>
        <v>50</v>
      </c>
      <c r="F9" s="6">
        <f>_xlfn.XLOOKUP(D9,'Native PMKS'!$C$6:$C$366,'Native PMKS'!$C$6:$C$366,,1)</f>
        <v>58.333333333333336</v>
      </c>
      <c r="G9" s="6">
        <f>_xlfn.XLOOKUP(D9,'Native PMKS'!$C$6:$C$366,'Native PMKS'!$N$6:$N$366,,-1)</f>
        <v>-59.874099999999999</v>
      </c>
      <c r="H9" s="6">
        <f>_xlfn.XLOOKUP(D9,'Native PMKS'!$C$6:$C$366,'Native PMKS'!$N$6:$N$366,,1)</f>
        <v>-59.702199999999998</v>
      </c>
      <c r="I9" s="6">
        <f t="shared" si="1"/>
        <v>-59.735033784275068</v>
      </c>
      <c r="J9" s="6">
        <f>INDEX('Raw Data'!$S$6:$S$1371,MATCH(A9,'Raw Data'!$A$6:$A$1371,0))</f>
        <v>66.457038879394503</v>
      </c>
      <c r="K9" s="6">
        <f t="shared" si="2"/>
        <v>-1.1598941395713169</v>
      </c>
      <c r="L9" s="6">
        <f t="shared" si="3"/>
        <v>-1.0425730183256481</v>
      </c>
      <c r="M9" s="6">
        <f t="shared" si="4"/>
        <v>-0.11732112124566885</v>
      </c>
      <c r="N9" s="6">
        <f t="shared" si="5"/>
        <v>1.3764245490340931E-2</v>
      </c>
      <c r="O9" s="6">
        <f>_xlfn.XLOOKUP(D9,'Instructor 360'!$B$6:$B$365,'Instructor 360'!$B$6:$B$365,,-1)</f>
        <v>50.139275766016709</v>
      </c>
      <c r="P9" s="6">
        <f>_xlfn.XLOOKUP(D9,'Instructor 360'!$B$6:$B$365,'Instructor 360'!$B$6:$B$365,,1)</f>
        <v>58.495821727019496</v>
      </c>
      <c r="Q9" s="6">
        <f>_xlfn.XLOOKUP(D9,'Instructor 360'!$B$6:$B$365,'Instructor 360'!$F$6:$F$365,,-1)</f>
        <v>-59.871227019498605</v>
      </c>
      <c r="R9" s="6">
        <f>_xlfn.XLOOKUP(D9,'Instructor 360'!$B$6:$B$365,'Instructor 360'!$F$6:$F$365,,1)</f>
        <v>-59.698848189415038</v>
      </c>
      <c r="S9" s="6">
        <f t="shared" si="6"/>
        <v>-59.73503378427506</v>
      </c>
      <c r="T9" s="6">
        <f t="shared" si="7"/>
        <v>-1.0425730183256479</v>
      </c>
      <c r="U9" s="6">
        <f t="shared" si="8"/>
        <v>-0.11732112124566907</v>
      </c>
      <c r="V9" s="6"/>
      <c r="W9" s="6">
        <f t="shared" si="9"/>
        <v>1.3764245490340983E-2</v>
      </c>
      <c r="AA9">
        <f t="shared" si="10"/>
        <v>62</v>
      </c>
      <c r="AB9">
        <f t="shared" si="11"/>
        <v>-1.1598941395713169</v>
      </c>
      <c r="AC9">
        <f t="shared" si="12"/>
        <v>-1.0425730183256479</v>
      </c>
    </row>
    <row r="10" spans="1:29" ht="18.95" customHeight="1">
      <c r="A10" s="4">
        <f t="shared" si="13"/>
        <v>698</v>
      </c>
      <c r="B10" s="6">
        <f>INDEX('Raw Data'!$B$6:$B$1371,MATCH(A10,'Raw Data'!$A$6:$A$1371,0))</f>
        <v>14979</v>
      </c>
      <c r="C10" s="6">
        <f t="shared" si="0"/>
        <v>104</v>
      </c>
      <c r="D10" s="6">
        <f>MOD(C10+Summary!$B$20,Summary!$B$11)</f>
        <v>98.741623798959154</v>
      </c>
      <c r="E10" s="6">
        <f>_xlfn.XLOOKUP(D10,'Native PMKS'!$C$6:$C$366,'Native PMKS'!$C$6:$C$366,,-1)</f>
        <v>91.666666666666671</v>
      </c>
      <c r="F10" s="6">
        <f>_xlfn.XLOOKUP(D10,'Native PMKS'!$C$6:$C$366,'Native PMKS'!$C$6:$C$366,,1)</f>
        <v>100</v>
      </c>
      <c r="G10" s="6">
        <f>_xlfn.XLOOKUP(D10,'Native PMKS'!$C$6:$C$366,'Native PMKS'!$N$6:$N$366,,-1)</f>
        <v>-58.670900000000003</v>
      </c>
      <c r="H10" s="6">
        <f>_xlfn.XLOOKUP(D10,'Native PMKS'!$C$6:$C$366,'Native PMKS'!$N$6:$N$366,,1)</f>
        <v>-58.269799999999996</v>
      </c>
      <c r="I10" s="6">
        <f t="shared" si="1"/>
        <v>-58.330368163308492</v>
      </c>
      <c r="J10" s="6">
        <f>INDEX('Raw Data'!$S$6:$S$1371,MATCH(A10,'Raw Data'!$A$6:$A$1371,0))</f>
        <v>66.2127685546875</v>
      </c>
      <c r="K10" s="6">
        <f t="shared" si="2"/>
        <v>-1.1556308181402639</v>
      </c>
      <c r="L10" s="6">
        <f t="shared" si="3"/>
        <v>-1.0180569783502107</v>
      </c>
      <c r="M10" s="6">
        <f t="shared" si="4"/>
        <v>-0.13757383979005322</v>
      </c>
      <c r="N10" s="6">
        <f t="shared" si="5"/>
        <v>1.8926561394579232E-2</v>
      </c>
      <c r="O10" s="6">
        <f>_xlfn.XLOOKUP(D10,'Instructor 360'!$B$6:$B$365,'Instructor 360'!$B$6:$B$365,,-1)</f>
        <v>91.922005571030638</v>
      </c>
      <c r="P10" s="6">
        <f>_xlfn.XLOOKUP(D10,'Instructor 360'!$B$6:$B$365,'Instructor 360'!$B$6:$B$365,,1)</f>
        <v>100.27855153203342</v>
      </c>
      <c r="Q10" s="6">
        <f>_xlfn.XLOOKUP(D10,'Instructor 360'!$B$6:$B$365,'Instructor 360'!$F$6:$F$365,,-1)</f>
        <v>-58.658610027855154</v>
      </c>
      <c r="R10" s="6">
        <f>_xlfn.XLOOKUP(D10,'Instructor 360'!$B$6:$B$365,'Instructor 360'!$F$6:$F$365,,1)</f>
        <v>-58.256392757660166</v>
      </c>
      <c r="S10" s="6">
        <f t="shared" si="6"/>
        <v>-58.330368163308499</v>
      </c>
      <c r="T10" s="6">
        <f t="shared" si="7"/>
        <v>-1.0180569783502107</v>
      </c>
      <c r="U10" s="6">
        <f t="shared" si="8"/>
        <v>-0.13757383979005322</v>
      </c>
      <c r="V10" s="6"/>
      <c r="W10" s="6">
        <f t="shared" si="9"/>
        <v>1.8926561394579232E-2</v>
      </c>
      <c r="AA10">
        <f t="shared" si="10"/>
        <v>104</v>
      </c>
      <c r="AB10">
        <f t="shared" si="11"/>
        <v>-1.1556308181402639</v>
      </c>
      <c r="AC10">
        <f t="shared" si="12"/>
        <v>-1.0180569783502107</v>
      </c>
    </row>
    <row r="11" spans="1:29" ht="18.95" customHeight="1">
      <c r="A11" s="4">
        <f t="shared" si="13"/>
        <v>699</v>
      </c>
      <c r="B11" s="6">
        <f>INDEX('Raw Data'!$B$6:$B$1371,MATCH(A11,'Raw Data'!$A$6:$A$1371,0))</f>
        <v>15000</v>
      </c>
      <c r="C11" s="6">
        <f t="shared" si="0"/>
        <v>125</v>
      </c>
      <c r="D11" s="6">
        <f>MOD(C11+Summary!$B$20,Summary!$B$11)</f>
        <v>119.74162379895915</v>
      </c>
      <c r="E11" s="6">
        <f>_xlfn.XLOOKUP(D11,'Native PMKS'!$C$6:$C$366,'Native PMKS'!$C$6:$C$366,,-1)</f>
        <v>116.66666666666667</v>
      </c>
      <c r="F11" s="6">
        <f>_xlfn.XLOOKUP(D11,'Native PMKS'!$C$6:$C$366,'Native PMKS'!$C$6:$C$366,,1)</f>
        <v>125.00000000000001</v>
      </c>
      <c r="G11" s="6">
        <f>_xlfn.XLOOKUP(D11,'Native PMKS'!$C$6:$C$366,'Native PMKS'!$N$6:$N$366,,-1)</f>
        <v>-57.410400000000003</v>
      </c>
      <c r="H11" s="6">
        <f>_xlfn.XLOOKUP(D11,'Native PMKS'!$C$6:$C$366,'Native PMKS'!$N$6:$N$366,,1)</f>
        <v>-56.951999999999998</v>
      </c>
      <c r="I11" s="6">
        <f t="shared" si="1"/>
        <v>-57.241252758066857</v>
      </c>
      <c r="J11" s="6">
        <f>INDEX('Raw Data'!$S$6:$S$1371,MATCH(A11,'Raw Data'!$A$6:$A$1371,0))</f>
        <v>63.586807250976598</v>
      </c>
      <c r="K11" s="6">
        <f t="shared" si="2"/>
        <v>-1.109799147360546</v>
      </c>
      <c r="L11" s="6">
        <f t="shared" si="3"/>
        <v>-0.99904832859455173</v>
      </c>
      <c r="M11" s="6">
        <f t="shared" si="4"/>
        <v>-0.11075081876599424</v>
      </c>
      <c r="N11" s="6">
        <f t="shared" si="5"/>
        <v>1.2265743857338102E-2</v>
      </c>
      <c r="O11" s="6">
        <f>_xlfn.XLOOKUP(D11,'Instructor 360'!$B$6:$B$365,'Instructor 360'!$B$6:$B$365,,-1)</f>
        <v>116.99164345403899</v>
      </c>
      <c r="P11" s="6">
        <f>_xlfn.XLOOKUP(D11,'Instructor 360'!$B$6:$B$365,'Instructor 360'!$B$6:$B$365,,1)</f>
        <v>125.34818941504179</v>
      </c>
      <c r="Q11" s="6">
        <f>_xlfn.XLOOKUP(D11,'Instructor 360'!$B$6:$B$365,'Instructor 360'!$F$6:$F$365,,-1)</f>
        <v>-57.392523676880224</v>
      </c>
      <c r="R11" s="6">
        <f>_xlfn.XLOOKUP(D11,'Instructor 360'!$B$6:$B$365,'Instructor 360'!$F$6:$F$365,,1)</f>
        <v>-56.930452646239551</v>
      </c>
      <c r="S11" s="6">
        <f t="shared" si="6"/>
        <v>-57.240464888698035</v>
      </c>
      <c r="T11" s="6">
        <f t="shared" si="7"/>
        <v>-0.99903457767999015</v>
      </c>
      <c r="U11" s="6">
        <f t="shared" si="8"/>
        <v>-0.11076456968055581</v>
      </c>
      <c r="V11" s="6"/>
      <c r="W11" s="6">
        <f t="shared" si="9"/>
        <v>1.2268789896518703E-2</v>
      </c>
      <c r="AA11">
        <f t="shared" si="10"/>
        <v>125</v>
      </c>
      <c r="AB11">
        <f t="shared" si="11"/>
        <v>-1.109799147360546</v>
      </c>
      <c r="AC11">
        <f t="shared" si="12"/>
        <v>-0.99903457767999015</v>
      </c>
    </row>
    <row r="12" spans="1:29" ht="18.95" customHeight="1">
      <c r="A12" s="4">
        <f t="shared" si="13"/>
        <v>700</v>
      </c>
      <c r="B12" s="6">
        <f>INDEX('Raw Data'!$B$6:$B$1371,MATCH(A12,'Raw Data'!$A$6:$A$1371,0))</f>
        <v>15020</v>
      </c>
      <c r="C12" s="6">
        <f t="shared" si="0"/>
        <v>145</v>
      </c>
      <c r="D12" s="6">
        <f>MOD(C12+Summary!$B$20,Summary!$B$11)</f>
        <v>139.74162379895915</v>
      </c>
      <c r="E12" s="6">
        <f>_xlfn.XLOOKUP(D12,'Native PMKS'!$C$6:$C$366,'Native PMKS'!$C$6:$C$366,,-1)</f>
        <v>133.33333333333334</v>
      </c>
      <c r="F12" s="6">
        <f>_xlfn.XLOOKUP(D12,'Native PMKS'!$C$6:$C$366,'Native PMKS'!$C$6:$C$366,,1)</f>
        <v>141.66666666666669</v>
      </c>
      <c r="G12" s="6">
        <f>_xlfn.XLOOKUP(D12,'Native PMKS'!$C$6:$C$366,'Native PMKS'!$N$6:$N$366,,-1)</f>
        <v>-56.436300000000003</v>
      </c>
      <c r="H12" s="6">
        <f>_xlfn.XLOOKUP(D12,'Native PMKS'!$C$6:$C$366,'Native PMKS'!$N$6:$N$366,,1)</f>
        <v>-55.920699999999997</v>
      </c>
      <c r="I12" s="6">
        <f t="shared" si="1"/>
        <v>-56.039806252310797</v>
      </c>
      <c r="J12" s="6">
        <f>INDEX('Raw Data'!$S$6:$S$1371,MATCH(A12,'Raw Data'!$A$6:$A$1371,0))</f>
        <v>63.128791809082003</v>
      </c>
      <c r="K12" s="6">
        <f t="shared" si="2"/>
        <v>-1.1018052698745084</v>
      </c>
      <c r="L12" s="6">
        <f t="shared" si="3"/>
        <v>-0.97807913128252755</v>
      </c>
      <c r="M12" s="6">
        <f t="shared" si="4"/>
        <v>-0.12372613859198089</v>
      </c>
      <c r="N12" s="6">
        <f t="shared" si="5"/>
        <v>1.5308157370882064E-2</v>
      </c>
      <c r="O12" s="6">
        <f>_xlfn.XLOOKUP(D12,'Instructor 360'!$B$6:$B$365,'Instructor 360'!$B$6:$B$365,,-1)</f>
        <v>133.70473537604457</v>
      </c>
      <c r="P12" s="6">
        <f>_xlfn.XLOOKUP(D12,'Instructor 360'!$B$6:$B$365,'Instructor 360'!$B$6:$B$365,,1)</f>
        <v>142.06128133704735</v>
      </c>
      <c r="Q12" s="6">
        <f>_xlfn.XLOOKUP(D12,'Instructor 360'!$B$6:$B$365,'Instructor 360'!$F$6:$F$365,,-1)</f>
        <v>-56.413320612813372</v>
      </c>
      <c r="R12" s="6">
        <f>_xlfn.XLOOKUP(D12,'Instructor 360'!$B$6:$B$365,'Instructor 360'!$F$6:$F$365,,1)</f>
        <v>-55.89356629526462</v>
      </c>
      <c r="S12" s="6">
        <f t="shared" si="6"/>
        <v>-56.03784265373644</v>
      </c>
      <c r="T12" s="6">
        <f t="shared" si="7"/>
        <v>-0.97804486002221758</v>
      </c>
      <c r="U12" s="6">
        <f t="shared" si="8"/>
        <v>-0.12376040985229086</v>
      </c>
      <c r="V12" s="6"/>
      <c r="W12" s="6">
        <f t="shared" si="9"/>
        <v>1.5316639046807013E-2</v>
      </c>
      <c r="AA12">
        <f t="shared" si="10"/>
        <v>145</v>
      </c>
      <c r="AB12">
        <f t="shared" si="11"/>
        <v>-1.1018052698745084</v>
      </c>
      <c r="AC12">
        <f t="shared" si="12"/>
        <v>-0.97804486002221758</v>
      </c>
    </row>
    <row r="13" spans="1:29" ht="18.95" customHeight="1">
      <c r="A13" s="4">
        <f t="shared" si="13"/>
        <v>701</v>
      </c>
      <c r="B13" s="6">
        <f>INDEX('Raw Data'!$B$6:$B$1371,MATCH(A13,'Raw Data'!$A$6:$A$1371,0))</f>
        <v>15041</v>
      </c>
      <c r="C13" s="6">
        <f t="shared" si="0"/>
        <v>166</v>
      </c>
      <c r="D13" s="6">
        <f>MOD(C13+Summary!$B$20,Summary!$B$11)</f>
        <v>160.74162379895915</v>
      </c>
      <c r="E13" s="6">
        <f>_xlfn.XLOOKUP(D13,'Native PMKS'!$C$6:$C$366,'Native PMKS'!$C$6:$C$366,,-1)</f>
        <v>158.33333333333334</v>
      </c>
      <c r="F13" s="6">
        <f>_xlfn.XLOOKUP(D13,'Native PMKS'!$C$6:$C$366,'Native PMKS'!$C$6:$C$366,,1)</f>
        <v>166.66666666666669</v>
      </c>
      <c r="G13" s="6">
        <f>_xlfn.XLOOKUP(D13,'Native PMKS'!$C$6:$C$366,'Native PMKS'!$N$6:$N$366,,-1)</f>
        <v>-54.774799999999999</v>
      </c>
      <c r="H13" s="6">
        <f>_xlfn.XLOOKUP(D13,'Native PMKS'!$C$6:$C$366,'Native PMKS'!$N$6:$N$366,,1)</f>
        <v>-54.144500000000001</v>
      </c>
      <c r="I13" s="6">
        <f t="shared" si="1"/>
        <v>-54.592646542341917</v>
      </c>
      <c r="J13" s="6">
        <f>INDEX('Raw Data'!$S$6:$S$1371,MATCH(A13,'Raw Data'!$A$6:$A$1371,0))</f>
        <v>59.373069763183601</v>
      </c>
      <c r="K13" s="6">
        <f t="shared" si="2"/>
        <v>-1.0362555543838439</v>
      </c>
      <c r="L13" s="6">
        <f t="shared" si="3"/>
        <v>-0.9528214295413644</v>
      </c>
      <c r="M13" s="6">
        <f t="shared" si="4"/>
        <v>-8.3434124842479473E-2</v>
      </c>
      <c r="N13" s="6">
        <f t="shared" si="5"/>
        <v>6.96125318823045E-3</v>
      </c>
      <c r="O13" s="6">
        <f>_xlfn.XLOOKUP(D13,'Instructor 360'!$B$6:$B$365,'Instructor 360'!$B$6:$B$365,,-1)</f>
        <v>158.77437325905294</v>
      </c>
      <c r="P13" s="6">
        <f>_xlfn.XLOOKUP(D13,'Instructor 360'!$B$6:$B$365,'Instructor 360'!$B$6:$B$365,,1)</f>
        <v>167.13091922005572</v>
      </c>
      <c r="Q13" s="6">
        <f>_xlfn.XLOOKUP(D13,'Instructor 360'!$B$6:$B$365,'Instructor 360'!$F$6:$F$365,,-1)</f>
        <v>-54.741441504178269</v>
      </c>
      <c r="R13" s="6">
        <f>_xlfn.XLOOKUP(D13,'Instructor 360'!$B$6:$B$365,'Instructor 360'!$F$6:$F$365,,1)</f>
        <v>-54.109391364902507</v>
      </c>
      <c r="S13" s="6">
        <f t="shared" si="6"/>
        <v>-54.592647853842287</v>
      </c>
      <c r="T13" s="6">
        <f t="shared" si="7"/>
        <v>-0.95282145243136396</v>
      </c>
      <c r="U13" s="6">
        <f t="shared" si="8"/>
        <v>-8.3434101952479911E-2</v>
      </c>
      <c r="V13" s="6"/>
      <c r="W13" s="6">
        <f t="shared" si="9"/>
        <v>6.9612493686168125E-3</v>
      </c>
      <c r="AA13">
        <f t="shared" si="10"/>
        <v>166</v>
      </c>
      <c r="AB13">
        <f t="shared" si="11"/>
        <v>-1.0362555543838439</v>
      </c>
      <c r="AC13">
        <f t="shared" si="12"/>
        <v>-0.95282145243136396</v>
      </c>
    </row>
    <row r="14" spans="1:29" ht="18.95" customHeight="1">
      <c r="A14" s="4">
        <f t="shared" si="13"/>
        <v>702</v>
      </c>
      <c r="B14" s="6">
        <f>INDEX('Raw Data'!$B$6:$B$1371,MATCH(A14,'Raw Data'!$A$6:$A$1371,0))</f>
        <v>15061</v>
      </c>
      <c r="C14" s="6">
        <f t="shared" si="0"/>
        <v>186</v>
      </c>
      <c r="D14" s="6">
        <f>MOD(C14+Summary!$B$20,Summary!$B$11)</f>
        <v>180.74162379895915</v>
      </c>
      <c r="E14" s="6">
        <f>_xlfn.XLOOKUP(D14,'Native PMKS'!$C$6:$C$366,'Native PMKS'!$C$6:$C$366,,-1)</f>
        <v>175</v>
      </c>
      <c r="F14" s="6">
        <f>_xlfn.XLOOKUP(D14,'Native PMKS'!$C$6:$C$366,'Native PMKS'!$C$6:$C$366,,1)</f>
        <v>183.33333333333334</v>
      </c>
      <c r="G14" s="6">
        <f>_xlfn.XLOOKUP(D14,'Native PMKS'!$C$6:$C$366,'Native PMKS'!$N$6:$N$366,,-1)</f>
        <v>-53.514299999999999</v>
      </c>
      <c r="H14" s="6">
        <f>_xlfn.XLOOKUP(D14,'Native PMKS'!$C$6:$C$366,'Native PMKS'!$N$6:$N$366,,1)</f>
        <v>-52.884</v>
      </c>
      <c r="I14" s="6">
        <f t="shared" si="1"/>
        <v>-53.080026542341926</v>
      </c>
      <c r="J14" s="6">
        <f>INDEX('Raw Data'!$S$6:$S$1371,MATCH(A14,'Raw Data'!$A$6:$A$1371,0))</f>
        <v>58.686042785644503</v>
      </c>
      <c r="K14" s="6">
        <f t="shared" si="2"/>
        <v>-1.0242646715757613</v>
      </c>
      <c r="L14" s="6">
        <f t="shared" si="3"/>
        <v>-0.9264212302098479</v>
      </c>
      <c r="M14" s="6">
        <f t="shared" si="4"/>
        <v>-9.7843441365913386E-2</v>
      </c>
      <c r="N14" s="6">
        <f t="shared" si="5"/>
        <v>9.5733390183249303E-3</v>
      </c>
      <c r="O14" s="6">
        <f>_xlfn.XLOOKUP(D14,'Instructor 360'!$B$6:$B$365,'Instructor 360'!$B$6:$B$365,,-1)</f>
        <v>175.4874651810585</v>
      </c>
      <c r="P14" s="6">
        <f>_xlfn.XLOOKUP(D14,'Instructor 360'!$B$6:$B$365,'Instructor 360'!$B$6:$B$365,,1)</f>
        <v>183.84401114206128</v>
      </c>
      <c r="Q14" s="6">
        <f>_xlfn.XLOOKUP(D14,'Instructor 360'!$B$6:$B$365,'Instructor 360'!$F$6:$F$365,,-1)</f>
        <v>-53.477430083565459</v>
      </c>
      <c r="R14" s="6">
        <f>_xlfn.XLOOKUP(D14,'Instructor 360'!$B$6:$B$365,'Instructor 360'!$F$6:$F$365,,1)</f>
        <v>-52.841869080779944</v>
      </c>
      <c r="S14" s="6">
        <f t="shared" si="6"/>
        <v>-53.07782259794034</v>
      </c>
      <c r="T14" s="6">
        <f t="shared" si="7"/>
        <v>-0.92638276412350928</v>
      </c>
      <c r="U14" s="6">
        <f t="shared" si="8"/>
        <v>-9.7881907452252004E-2</v>
      </c>
      <c r="V14" s="6"/>
      <c r="W14" s="6">
        <f t="shared" si="9"/>
        <v>9.5808678064912261E-3</v>
      </c>
      <c r="AA14">
        <f t="shared" si="10"/>
        <v>186</v>
      </c>
      <c r="AB14">
        <f t="shared" si="11"/>
        <v>-1.0242646715757613</v>
      </c>
      <c r="AC14">
        <f t="shared" si="12"/>
        <v>-0.92638276412350928</v>
      </c>
    </row>
    <row r="15" spans="1:29" ht="18.95" customHeight="1">
      <c r="A15" s="4">
        <f t="shared" si="13"/>
        <v>703</v>
      </c>
      <c r="B15" s="6">
        <f>INDEX('Raw Data'!$B$6:$B$1371,MATCH(A15,'Raw Data'!$A$6:$A$1371,0))</f>
        <v>15081</v>
      </c>
      <c r="C15" s="6">
        <f t="shared" si="0"/>
        <v>206</v>
      </c>
      <c r="D15" s="6">
        <f>MOD(C15+Summary!$B$20,Summary!$B$11)</f>
        <v>200.74162379895915</v>
      </c>
      <c r="E15" s="6">
        <f>_xlfn.XLOOKUP(D15,'Native PMKS'!$C$6:$C$366,'Native PMKS'!$C$6:$C$366,,-1)</f>
        <v>200</v>
      </c>
      <c r="F15" s="6">
        <f>_xlfn.XLOOKUP(D15,'Native PMKS'!$C$6:$C$366,'Native PMKS'!$C$6:$C$366,,1)</f>
        <v>208.33333333333334</v>
      </c>
      <c r="G15" s="6">
        <f>_xlfn.XLOOKUP(D15,'Native PMKS'!$C$6:$C$366,'Native PMKS'!$N$6:$N$366,,-1)</f>
        <v>-51.508899999999997</v>
      </c>
      <c r="H15" s="6">
        <f>_xlfn.XLOOKUP(D15,'Native PMKS'!$C$6:$C$366,'Native PMKS'!$N$6:$N$366,,1)</f>
        <v>-50.821399999999997</v>
      </c>
      <c r="I15" s="6">
        <f t="shared" si="1"/>
        <v>-51.447716036585874</v>
      </c>
      <c r="J15" s="6">
        <f>INDEX('Raw Data'!$S$6:$S$1371,MATCH(A15,'Raw Data'!$A$6:$A$1371,0))</f>
        <v>55.159332275390597</v>
      </c>
      <c r="K15" s="6">
        <f t="shared" si="2"/>
        <v>-0.96271196140714155</v>
      </c>
      <c r="L15" s="6">
        <f t="shared" si="3"/>
        <v>-0.897932037469511</v>
      </c>
      <c r="M15" s="6">
        <f t="shared" si="4"/>
        <v>-6.4779923937630546E-2</v>
      </c>
      <c r="N15" s="6">
        <f t="shared" si="5"/>
        <v>4.1964385453651986E-3</v>
      </c>
      <c r="O15" s="6">
        <f>_xlfn.XLOOKUP(D15,'Instructor 360'!$B$6:$B$365,'Instructor 360'!$B$6:$B$365,,-1)</f>
        <v>200.55710306406684</v>
      </c>
      <c r="P15" s="6">
        <f>_xlfn.XLOOKUP(D15,'Instructor 360'!$B$6:$B$365,'Instructor 360'!$B$6:$B$365,,1)</f>
        <v>208.91364902506965</v>
      </c>
      <c r="Q15" s="6">
        <f>_xlfn.XLOOKUP(D15,'Instructor 360'!$B$6:$B$365,'Instructor 360'!$F$6:$F$365,,-1)</f>
        <v>-51.462938997214486</v>
      </c>
      <c r="R15" s="6">
        <f>_xlfn.XLOOKUP(D15,'Instructor 360'!$B$6:$B$365,'Instructor 360'!$F$6:$F$365,,1)</f>
        <v>-50.773516991643454</v>
      </c>
      <c r="S15" s="6">
        <f t="shared" si="6"/>
        <v>-51.447715882818585</v>
      </c>
      <c r="T15" s="6">
        <f t="shared" si="7"/>
        <v>-0.89793203478576544</v>
      </c>
      <c r="U15" s="6">
        <f t="shared" si="8"/>
        <v>-6.4779926621376105E-2</v>
      </c>
      <c r="V15" s="6"/>
      <c r="W15" s="6">
        <f t="shared" si="9"/>
        <v>4.1964388930708727E-3</v>
      </c>
      <c r="AA15">
        <f t="shared" si="10"/>
        <v>206</v>
      </c>
      <c r="AB15">
        <f t="shared" si="11"/>
        <v>-0.96271196140714155</v>
      </c>
      <c r="AC15">
        <f t="shared" si="12"/>
        <v>-0.89793203478576544</v>
      </c>
    </row>
    <row r="16" spans="1:29" ht="18.95" customHeight="1">
      <c r="A16" s="4">
        <f t="shared" si="13"/>
        <v>704</v>
      </c>
      <c r="B16" s="6">
        <f>INDEX('Raw Data'!$B$6:$B$1371,MATCH(A16,'Raw Data'!$A$6:$A$1371,0))</f>
        <v>15103</v>
      </c>
      <c r="C16" s="6">
        <f t="shared" si="0"/>
        <v>228</v>
      </c>
      <c r="D16" s="6">
        <f>MOD(C16+Summary!$B$20,Summary!$B$11)</f>
        <v>222.74162379895915</v>
      </c>
      <c r="E16" s="6">
        <f>_xlfn.XLOOKUP(D16,'Native PMKS'!$C$6:$C$366,'Native PMKS'!$C$6:$C$366,,-1)</f>
        <v>216.66666666666669</v>
      </c>
      <c r="F16" s="6">
        <f>_xlfn.XLOOKUP(D16,'Native PMKS'!$C$6:$C$366,'Native PMKS'!$C$6:$C$366,,1)</f>
        <v>225.00000000000003</v>
      </c>
      <c r="G16" s="6">
        <f>_xlfn.XLOOKUP(D16,'Native PMKS'!$C$6:$C$366,'Native PMKS'!$N$6:$N$366,,-1)</f>
        <v>-50.133800000000001</v>
      </c>
      <c r="H16" s="6">
        <f>_xlfn.XLOOKUP(D16,'Native PMKS'!$C$6:$C$366,'Native PMKS'!$N$6:$N$366,,1)</f>
        <v>-49.389000000000003</v>
      </c>
      <c r="I16" s="6">
        <f t="shared" si="1"/>
        <v>-49.590844631344225</v>
      </c>
      <c r="J16" s="6">
        <f>INDEX('Raw Data'!$S$6:$S$1371,MATCH(A16,'Raw Data'!$A$6:$A$1371,0))</f>
        <v>53.907417297363303</v>
      </c>
      <c r="K16" s="6">
        <f t="shared" si="2"/>
        <v>-0.94086192308553274</v>
      </c>
      <c r="L16" s="6">
        <f t="shared" si="3"/>
        <v>-0.86552351766191027</v>
      </c>
      <c r="M16" s="6">
        <f t="shared" si="4"/>
        <v>-7.5338405423622468E-2</v>
      </c>
      <c r="N16" s="6">
        <f t="shared" si="5"/>
        <v>5.6758753317741068E-3</v>
      </c>
      <c r="O16" s="6">
        <f>_xlfn.XLOOKUP(D16,'Instructor 360'!$B$6:$B$365,'Instructor 360'!$B$6:$B$365,,-1)</f>
        <v>217.27019498607243</v>
      </c>
      <c r="P16" s="6">
        <f>_xlfn.XLOOKUP(D16,'Instructor 360'!$B$6:$B$365,'Instructor 360'!$B$6:$B$365,,1)</f>
        <v>225.62674094707521</v>
      </c>
      <c r="Q16" s="6">
        <f>_xlfn.XLOOKUP(D16,'Instructor 360'!$B$6:$B$365,'Instructor 360'!$F$6:$F$365,,-1)</f>
        <v>-50.079859052924796</v>
      </c>
      <c r="R16" s="6">
        <f>_xlfn.XLOOKUP(D16,'Instructor 360'!$B$6:$B$365,'Instructor 360'!$F$6:$F$365,,1)</f>
        <v>-49.332976880222844</v>
      </c>
      <c r="S16" s="6">
        <f t="shared" si="6"/>
        <v>-49.590839707058308</v>
      </c>
      <c r="T16" s="6">
        <f t="shared" si="7"/>
        <v>-0.86552343171690771</v>
      </c>
      <c r="U16" s="6">
        <f t="shared" si="8"/>
        <v>-7.5338491368625027E-2</v>
      </c>
      <c r="V16" s="6"/>
      <c r="W16" s="6">
        <f t="shared" si="9"/>
        <v>5.6758882817003874E-3</v>
      </c>
      <c r="AA16">
        <f t="shared" si="10"/>
        <v>228</v>
      </c>
      <c r="AB16">
        <f t="shared" si="11"/>
        <v>-0.94086192308553274</v>
      </c>
      <c r="AC16">
        <f t="shared" si="12"/>
        <v>-0.86552343171690771</v>
      </c>
    </row>
    <row r="17" spans="1:29" ht="18.95" customHeight="1">
      <c r="A17" s="4">
        <f t="shared" si="13"/>
        <v>705</v>
      </c>
      <c r="B17" s="6">
        <f>INDEX('Raw Data'!$B$6:$B$1371,MATCH(A17,'Raw Data'!$A$6:$A$1371,0))</f>
        <v>15124</v>
      </c>
      <c r="C17" s="6">
        <f t="shared" si="0"/>
        <v>249</v>
      </c>
      <c r="D17" s="6">
        <f>MOD(C17+Summary!$B$20,Summary!$B$11)</f>
        <v>243.74162379895915</v>
      </c>
      <c r="E17" s="6">
        <f>_xlfn.XLOOKUP(D17,'Native PMKS'!$C$6:$C$366,'Native PMKS'!$C$6:$C$366,,-1)</f>
        <v>241.66666666666669</v>
      </c>
      <c r="F17" s="6">
        <f>_xlfn.XLOOKUP(D17,'Native PMKS'!$C$6:$C$366,'Native PMKS'!$C$6:$C$366,,1)</f>
        <v>250.00000000000003</v>
      </c>
      <c r="G17" s="6">
        <f>_xlfn.XLOOKUP(D17,'Native PMKS'!$C$6:$C$366,'Native PMKS'!$N$6:$N$366,,-1)</f>
        <v>-47.899299999999997</v>
      </c>
      <c r="H17" s="6">
        <f>_xlfn.XLOOKUP(D17,'Native PMKS'!$C$6:$C$366,'Native PMKS'!$N$6:$N$366,,1)</f>
        <v>-47.154400000000003</v>
      </c>
      <c r="I17" s="6">
        <f t="shared" si="1"/>
        <v>-47.713823731858639</v>
      </c>
      <c r="J17" s="6">
        <f>INDEX('Raw Data'!$S$6:$S$1371,MATCH(A17,'Raw Data'!$A$6:$A$1371,0))</f>
        <v>50.747116088867202</v>
      </c>
      <c r="K17" s="6">
        <f t="shared" si="2"/>
        <v>-0.88570426164251992</v>
      </c>
      <c r="L17" s="6">
        <f t="shared" si="3"/>
        <v>-0.83276332283714127</v>
      </c>
      <c r="M17" s="6">
        <f t="shared" si="4"/>
        <v>-5.2940938805378646E-2</v>
      </c>
      <c r="N17" s="6">
        <f t="shared" si="5"/>
        <v>2.8027430015948466E-3</v>
      </c>
      <c r="O17" s="6">
        <f>_xlfn.XLOOKUP(D17,'Instructor 360'!$B$6:$B$365,'Instructor 360'!$B$6:$B$365,,-1)</f>
        <v>242.33983286908077</v>
      </c>
      <c r="P17" s="6">
        <f>_xlfn.XLOOKUP(D17,'Instructor 360'!$B$6:$B$365,'Instructor 360'!$B$6:$B$365,,1)</f>
        <v>250.69637883008357</v>
      </c>
      <c r="Q17" s="6">
        <f>_xlfn.XLOOKUP(D17,'Instructor 360'!$B$6:$B$365,'Instructor 360'!$F$6:$F$365,,-1)</f>
        <v>-47.839127019498605</v>
      </c>
      <c r="R17" s="6">
        <f>_xlfn.XLOOKUP(D17,'Instructor 360'!$B$6:$B$365,'Instructor 360'!$F$6:$F$365,,1)</f>
        <v>-47.092160445682453</v>
      </c>
      <c r="S17" s="6">
        <f t="shared" si="6"/>
        <v>-47.713825133649564</v>
      </c>
      <c r="T17" s="6">
        <f t="shared" si="7"/>
        <v>-0.83276334730300838</v>
      </c>
      <c r="U17" s="6">
        <f t="shared" si="8"/>
        <v>-5.2940914339511536E-2</v>
      </c>
      <c r="V17" s="6"/>
      <c r="W17" s="6">
        <f t="shared" si="9"/>
        <v>2.8027404111034982E-3</v>
      </c>
      <c r="AA17">
        <f t="shared" si="10"/>
        <v>249</v>
      </c>
      <c r="AB17">
        <f t="shared" si="11"/>
        <v>-0.88570426164251992</v>
      </c>
      <c r="AC17">
        <f t="shared" si="12"/>
        <v>-0.83276334730300838</v>
      </c>
    </row>
    <row r="18" spans="1:29" ht="18.95" customHeight="1">
      <c r="A18" s="4">
        <f t="shared" si="13"/>
        <v>706</v>
      </c>
      <c r="B18" s="6">
        <f>INDEX('Raw Data'!$B$6:$B$1371,MATCH(A18,'Raw Data'!$A$6:$A$1371,0))</f>
        <v>15147</v>
      </c>
      <c r="C18" s="6">
        <f t="shared" si="0"/>
        <v>272</v>
      </c>
      <c r="D18" s="6">
        <f>MOD(C18+Summary!$B$20,Summary!$B$11)</f>
        <v>266.74162379895915</v>
      </c>
      <c r="E18" s="6">
        <f>_xlfn.XLOOKUP(D18,'Native PMKS'!$C$6:$C$366,'Native PMKS'!$C$6:$C$366,,-1)</f>
        <v>266.66666666666669</v>
      </c>
      <c r="F18" s="6">
        <f>_xlfn.XLOOKUP(D18,'Native PMKS'!$C$6:$C$366,'Native PMKS'!$C$6:$C$366,,1)</f>
        <v>275</v>
      </c>
      <c r="G18" s="6">
        <f>_xlfn.XLOOKUP(D18,'Native PMKS'!$C$6:$C$366,'Native PMKS'!$N$6:$N$366,,-1)</f>
        <v>-45.664700000000003</v>
      </c>
      <c r="H18" s="6">
        <f>_xlfn.XLOOKUP(D18,'Native PMKS'!$C$6:$C$366,'Native PMKS'!$N$6:$N$366,,1)</f>
        <v>-44.919899999999998</v>
      </c>
      <c r="I18" s="6">
        <f t="shared" si="1"/>
        <v>-45.65800063134423</v>
      </c>
      <c r="J18" s="6">
        <f>INDEX('Raw Data'!$S$6:$S$1371,MATCH(A18,'Raw Data'!$A$6:$A$1371,0))</f>
        <v>49.876884460449197</v>
      </c>
      <c r="K18" s="6">
        <f t="shared" si="2"/>
        <v>-0.87051585447163393</v>
      </c>
      <c r="L18" s="6">
        <f t="shared" si="3"/>
        <v>-0.79688244089460658</v>
      </c>
      <c r="M18" s="6">
        <f t="shared" si="4"/>
        <v>-7.3633413577027351E-2</v>
      </c>
      <c r="N18" s="6">
        <f t="shared" si="5"/>
        <v>5.4218795950055562E-3</v>
      </c>
      <c r="O18" s="6">
        <f>_xlfn.XLOOKUP(D18,'Instructor 360'!$B$6:$B$365,'Instructor 360'!$B$6:$B$365,,-1)</f>
        <v>259.05292479108635</v>
      </c>
      <c r="P18" s="6">
        <f>_xlfn.XLOOKUP(D18,'Instructor 360'!$B$6:$B$365,'Instructor 360'!$B$6:$B$365,,1)</f>
        <v>267.40947075208913</v>
      </c>
      <c r="Q18" s="6">
        <f>_xlfn.XLOOKUP(D18,'Instructor 360'!$B$6:$B$365,'Instructor 360'!$F$6:$F$365,,-1)</f>
        <v>-46.345277158774373</v>
      </c>
      <c r="R18" s="6">
        <f>_xlfn.XLOOKUP(D18,'Instructor 360'!$B$6:$B$365,'Instructor 360'!$F$6:$F$365,,1)</f>
        <v>-45.598311142061284</v>
      </c>
      <c r="S18" s="6">
        <f t="shared" si="6"/>
        <v>-45.658007933137583</v>
      </c>
      <c r="T18" s="6">
        <f t="shared" si="7"/>
        <v>-0.79688256833494175</v>
      </c>
      <c r="U18" s="6">
        <f t="shared" si="8"/>
        <v>-7.3633286136692178E-2</v>
      </c>
      <c r="V18" s="6"/>
      <c r="W18" s="6">
        <f t="shared" si="9"/>
        <v>5.4218608272879843E-3</v>
      </c>
      <c r="AA18">
        <f t="shared" si="10"/>
        <v>272</v>
      </c>
      <c r="AB18">
        <f t="shared" si="11"/>
        <v>-0.87051585447163393</v>
      </c>
      <c r="AC18">
        <f t="shared" si="12"/>
        <v>-0.79688256833494175</v>
      </c>
    </row>
    <row r="19" spans="1:29" ht="18.95" customHeight="1">
      <c r="A19" s="4">
        <f t="shared" si="13"/>
        <v>707</v>
      </c>
      <c r="B19" s="6">
        <f>INDEX('Raw Data'!$B$6:$B$1371,MATCH(A19,'Raw Data'!$A$6:$A$1371,0))</f>
        <v>15167</v>
      </c>
      <c r="C19" s="6">
        <f t="shared" si="0"/>
        <v>292</v>
      </c>
      <c r="D19" s="6">
        <f>MOD(C19+Summary!$B$20,Summary!$B$11)</f>
        <v>286.74162379895915</v>
      </c>
      <c r="E19" s="6">
        <f>_xlfn.XLOOKUP(D19,'Native PMKS'!$C$6:$C$366,'Native PMKS'!$C$6:$C$366,,-1)</f>
        <v>283.33333333333337</v>
      </c>
      <c r="F19" s="6">
        <f>_xlfn.XLOOKUP(D19,'Native PMKS'!$C$6:$C$366,'Native PMKS'!$C$6:$C$366,,1)</f>
        <v>291.66666666666669</v>
      </c>
      <c r="G19" s="6">
        <f>_xlfn.XLOOKUP(D19,'Native PMKS'!$C$6:$C$366,'Native PMKS'!$N$6:$N$366,,-1)</f>
        <v>-44.174999999999997</v>
      </c>
      <c r="H19" s="6">
        <f>_xlfn.XLOOKUP(D19,'Native PMKS'!$C$6:$C$366,'Native PMKS'!$N$6:$N$366,,1)</f>
        <v>-43.430199999999999</v>
      </c>
      <c r="I19" s="6">
        <f t="shared" si="1"/>
        <v>-43.870380631344219</v>
      </c>
      <c r="J19" s="6">
        <f>INDEX('Raw Data'!$S$6:$S$1371,MATCH(A19,'Raw Data'!$A$6:$A$1371,0))</f>
        <v>45.968490600585902</v>
      </c>
      <c r="K19" s="6">
        <f t="shared" si="2"/>
        <v>-0.8023015131522897</v>
      </c>
      <c r="L19" s="6">
        <f t="shared" si="3"/>
        <v>-0.7656825861201052</v>
      </c>
      <c r="M19" s="6">
        <f t="shared" si="4"/>
        <v>-3.6618927032184501E-2</v>
      </c>
      <c r="N19" s="6">
        <f t="shared" si="5"/>
        <v>1.3409458169884527E-3</v>
      </c>
      <c r="O19" s="6">
        <f>_xlfn.XLOOKUP(D19,'Instructor 360'!$B$6:$B$365,'Instructor 360'!$B$6:$B$365,,-1)</f>
        <v>284.1225626740947</v>
      </c>
      <c r="P19" s="6">
        <f>_xlfn.XLOOKUP(D19,'Instructor 360'!$B$6:$B$365,'Instructor 360'!$B$6:$B$365,,1)</f>
        <v>292.47910863509748</v>
      </c>
      <c r="Q19" s="6">
        <f>_xlfn.XLOOKUP(D19,'Instructor 360'!$B$6:$B$365,'Instructor 360'!$F$6:$F$365,,-1)</f>
        <v>-44.104461838440116</v>
      </c>
      <c r="R19" s="6">
        <f>_xlfn.XLOOKUP(D19,'Instructor 360'!$B$6:$B$365,'Instructor 360'!$F$6:$F$365,,1)</f>
        <v>-43.3520008356546</v>
      </c>
      <c r="S19" s="6">
        <f t="shared" si="6"/>
        <v>-43.868629788982261</v>
      </c>
      <c r="T19" s="6">
        <f t="shared" si="7"/>
        <v>-0.7656520281562057</v>
      </c>
      <c r="U19" s="6">
        <f t="shared" si="8"/>
        <v>-3.6649484996084003E-2</v>
      </c>
      <c r="V19" s="6"/>
      <c r="W19" s="6">
        <f t="shared" si="9"/>
        <v>1.3431847504781864E-3</v>
      </c>
      <c r="AA19">
        <f t="shared" si="10"/>
        <v>292</v>
      </c>
      <c r="AB19">
        <f t="shared" si="11"/>
        <v>-0.8023015131522897</v>
      </c>
      <c r="AC19">
        <f t="shared" si="12"/>
        <v>-0.7656520281562057</v>
      </c>
    </row>
    <row r="20" spans="1:29" ht="18.95" customHeight="1">
      <c r="A20" s="4">
        <f t="shared" si="13"/>
        <v>708</v>
      </c>
      <c r="B20" s="6">
        <f>INDEX('Raw Data'!$B$6:$B$1371,MATCH(A20,'Raw Data'!$A$6:$A$1371,0))</f>
        <v>15190</v>
      </c>
      <c r="C20" s="6">
        <f t="shared" si="0"/>
        <v>315</v>
      </c>
      <c r="D20" s="6">
        <f>MOD(C20+Summary!$B$20,Summary!$B$11)</f>
        <v>309.74162379895915</v>
      </c>
      <c r="E20" s="6">
        <f>_xlfn.XLOOKUP(D20,'Native PMKS'!$C$6:$C$366,'Native PMKS'!$C$6:$C$366,,-1)</f>
        <v>308.33333333333337</v>
      </c>
      <c r="F20" s="6">
        <f>_xlfn.XLOOKUP(D20,'Native PMKS'!$C$6:$C$366,'Native PMKS'!$C$6:$C$366,,1)</f>
        <v>316.66666666666669</v>
      </c>
      <c r="G20" s="6">
        <f>_xlfn.XLOOKUP(D20,'Native PMKS'!$C$6:$C$366,'Native PMKS'!$N$6:$N$366,,-1)</f>
        <v>-41.883200000000002</v>
      </c>
      <c r="H20" s="6">
        <f>_xlfn.XLOOKUP(D20,'Native PMKS'!$C$6:$C$366,'Native PMKS'!$N$6:$N$366,,1)</f>
        <v>-41.138399999999997</v>
      </c>
      <c r="I20" s="6">
        <f t="shared" si="1"/>
        <v>-41.757332631344234</v>
      </c>
      <c r="J20" s="6">
        <f>INDEX('Raw Data'!$S$6:$S$1371,MATCH(A20,'Raw Data'!$A$6:$A$1371,0))</f>
        <v>42.960853576660199</v>
      </c>
      <c r="K20" s="6">
        <f t="shared" si="2"/>
        <v>-0.74980834437990262</v>
      </c>
      <c r="L20" s="6">
        <f t="shared" si="3"/>
        <v>-0.7288029412674244</v>
      </c>
      <c r="M20" s="6">
        <f t="shared" si="4"/>
        <v>-2.1005403112478227E-2</v>
      </c>
      <c r="N20" s="6">
        <f t="shared" si="5"/>
        <v>4.4122695991771001E-4</v>
      </c>
      <c r="O20" s="6">
        <f>_xlfn.XLOOKUP(D20,'Instructor 360'!$B$6:$B$365,'Instructor 360'!$B$6:$B$365,,-1)</f>
        <v>309.19220055710304</v>
      </c>
      <c r="P20" s="6">
        <f>_xlfn.XLOOKUP(D20,'Instructor 360'!$B$6:$B$365,'Instructor 360'!$B$6:$B$365,,1)</f>
        <v>317.54874651810587</v>
      </c>
      <c r="Q20" s="6">
        <f>_xlfn.XLOOKUP(D20,'Instructor 360'!$B$6:$B$365,'Instructor 360'!$F$6:$F$365,,-1)</f>
        <v>-41.806437883008364</v>
      </c>
      <c r="R20" s="6">
        <f>_xlfn.XLOOKUP(D20,'Instructor 360'!$B$6:$B$365,'Instructor 360'!$F$6:$F$365,,1)</f>
        <v>-41.059552646239553</v>
      </c>
      <c r="S20" s="6">
        <f t="shared" si="6"/>
        <v>-41.757331935408118</v>
      </c>
      <c r="T20" s="6">
        <f t="shared" si="7"/>
        <v>-0.72880292912104783</v>
      </c>
      <c r="U20" s="6">
        <f t="shared" si="8"/>
        <v>-2.1005415258854798E-2</v>
      </c>
      <c r="V20" s="6"/>
      <c r="W20" s="6">
        <f t="shared" si="9"/>
        <v>4.4122747019692998E-4</v>
      </c>
      <c r="AA20">
        <f t="shared" si="10"/>
        <v>315</v>
      </c>
      <c r="AB20">
        <f t="shared" si="11"/>
        <v>-0.74980834437990262</v>
      </c>
      <c r="AC20">
        <f t="shared" si="12"/>
        <v>-0.72880292912104783</v>
      </c>
    </row>
    <row r="21" spans="1:29" ht="18.95" customHeight="1">
      <c r="A21" s="4">
        <f t="shared" si="13"/>
        <v>709</v>
      </c>
      <c r="B21" s="6">
        <f>INDEX('Raw Data'!$B$6:$B$1371,MATCH(A21,'Raw Data'!$A$6:$A$1371,0))</f>
        <v>15211</v>
      </c>
      <c r="C21" s="6">
        <f t="shared" si="0"/>
        <v>336</v>
      </c>
      <c r="D21" s="6">
        <f>MOD(C21+Summary!$B$20,Summary!$B$11)</f>
        <v>330.74162379895915</v>
      </c>
      <c r="E21" s="6">
        <f>_xlfn.XLOOKUP(D21,'Native PMKS'!$C$6:$C$366,'Native PMKS'!$C$6:$C$366,,-1)</f>
        <v>325</v>
      </c>
      <c r="F21" s="6">
        <f>_xlfn.XLOOKUP(D21,'Native PMKS'!$C$6:$C$366,'Native PMKS'!$C$6:$C$366,,1)</f>
        <v>333.33333333333337</v>
      </c>
      <c r="G21" s="6">
        <f>_xlfn.XLOOKUP(D21,'Native PMKS'!$C$6:$C$366,'Native PMKS'!$N$6:$N$366,,-1)</f>
        <v>-40.393500000000003</v>
      </c>
      <c r="H21" s="6">
        <f>_xlfn.XLOOKUP(D21,'Native PMKS'!$C$6:$C$366,'Native PMKS'!$N$6:$N$366,,1)</f>
        <v>-39.648699999999998</v>
      </c>
      <c r="I21" s="6">
        <f t="shared" si="1"/>
        <v>-39.880336631344235</v>
      </c>
      <c r="J21" s="6">
        <f>INDEX('Raw Data'!$S$6:$S$1371,MATCH(A21,'Raw Data'!$A$6:$A$1371,0))</f>
        <v>40.395973205566399</v>
      </c>
      <c r="K21" s="6">
        <f t="shared" si="2"/>
        <v>-0.70504273698454178</v>
      </c>
      <c r="L21" s="6">
        <f t="shared" si="3"/>
        <v>-0.69604318102066087</v>
      </c>
      <c r="M21" s="6">
        <f t="shared" si="4"/>
        <v>-8.9995559638809119E-3</v>
      </c>
      <c r="N21" s="6">
        <f t="shared" si="5"/>
        <v>8.0992007547024488E-5</v>
      </c>
      <c r="O21" s="6">
        <f>_xlfn.XLOOKUP(D21,'Instructor 360'!$B$6:$B$365,'Instructor 360'!$B$6:$B$365,,-1)</f>
        <v>325.90529247910865</v>
      </c>
      <c r="P21" s="6">
        <f>_xlfn.XLOOKUP(D21,'Instructor 360'!$B$6:$B$365,'Instructor 360'!$B$6:$B$365,,1)</f>
        <v>334.26183844011143</v>
      </c>
      <c r="Q21" s="6">
        <f>_xlfn.XLOOKUP(D21,'Instructor 360'!$B$6:$B$365,'Instructor 360'!$F$6:$F$365,,-1)</f>
        <v>-40.312588579387189</v>
      </c>
      <c r="R21" s="6">
        <f>_xlfn.XLOOKUP(D21,'Instructor 360'!$B$6:$B$365,'Instructor 360'!$F$6:$F$365,,1)</f>
        <v>-39.56570278551532</v>
      </c>
      <c r="S21" s="6">
        <f t="shared" si="6"/>
        <v>-39.880330182902469</v>
      </c>
      <c r="T21" s="6">
        <f t="shared" si="7"/>
        <v>-0.69604306847412045</v>
      </c>
      <c r="U21" s="6">
        <f t="shared" si="8"/>
        <v>-8.9996685104213325E-3</v>
      </c>
      <c r="V21" s="6"/>
      <c r="W21" s="6">
        <f t="shared" si="9"/>
        <v>8.0994033297469332E-5</v>
      </c>
      <c r="AA21">
        <f t="shared" si="10"/>
        <v>336</v>
      </c>
      <c r="AB21">
        <f t="shared" si="11"/>
        <v>-0.70504273698454178</v>
      </c>
      <c r="AC21">
        <f t="shared" si="12"/>
        <v>-0.69604306847412045</v>
      </c>
    </row>
    <row r="22" spans="1:29" ht="18.95" customHeight="1">
      <c r="A22" s="4">
        <f t="shared" si="13"/>
        <v>710</v>
      </c>
      <c r="B22" s="6">
        <f>INDEX('Raw Data'!$B$6:$B$1371,MATCH(A22,'Raw Data'!$A$6:$A$1371,0))</f>
        <v>15231</v>
      </c>
      <c r="C22" s="6">
        <f t="shared" si="0"/>
        <v>356</v>
      </c>
      <c r="D22" s="6">
        <f>MOD(C22+Summary!$B$20,Summary!$B$11)</f>
        <v>350.74162379895915</v>
      </c>
      <c r="E22" s="6">
        <f>_xlfn.XLOOKUP(D22,'Native PMKS'!$C$6:$C$366,'Native PMKS'!$C$6:$C$366,,-1)</f>
        <v>350</v>
      </c>
      <c r="F22" s="6">
        <f>_xlfn.XLOOKUP(D22,'Native PMKS'!$C$6:$C$366,'Native PMKS'!$C$6:$C$366,,1)</f>
        <v>358.33333333333337</v>
      </c>
      <c r="G22" s="6">
        <f>_xlfn.XLOOKUP(D22,'Native PMKS'!$C$6:$C$366,'Native PMKS'!$N$6:$N$366,,-1)</f>
        <v>-38.158999999999999</v>
      </c>
      <c r="H22" s="6">
        <f>_xlfn.XLOOKUP(D22,'Native PMKS'!$C$6:$C$366,'Native PMKS'!$N$6:$N$366,,1)</f>
        <v>-37.414099999999998</v>
      </c>
      <c r="I22" s="6">
        <f t="shared" si="1"/>
        <v>-38.092707731858638</v>
      </c>
      <c r="J22" s="6">
        <f>INDEX('Raw Data'!$S$6:$S$1371,MATCH(A22,'Raw Data'!$A$6:$A$1371,0))</f>
        <v>39.144058227539098</v>
      </c>
      <c r="K22" s="6">
        <f t="shared" si="2"/>
        <v>-0.68319269866293297</v>
      </c>
      <c r="L22" s="6">
        <f t="shared" si="3"/>
        <v>-0.66484317092083445</v>
      </c>
      <c r="M22" s="6">
        <f t="shared" si="4"/>
        <v>-1.8349527742098526E-2</v>
      </c>
      <c r="N22" s="6">
        <f t="shared" si="5"/>
        <v>3.367051683580434E-4</v>
      </c>
      <c r="O22" s="6">
        <f>_xlfn.XLOOKUP(D22,'Instructor 360'!$B$6:$B$365,'Instructor 360'!$B$6:$B$365,,-1)</f>
        <v>342.61838440111421</v>
      </c>
      <c r="P22" s="6">
        <f>_xlfn.XLOOKUP(D22,'Instructor 360'!$B$6:$B$365,'Instructor 360'!$B$6:$B$365,,1)</f>
        <v>350.97493036211699</v>
      </c>
      <c r="Q22" s="6">
        <f>_xlfn.XLOOKUP(D22,'Instructor 360'!$B$6:$B$365,'Instructor 360'!$F$6:$F$365,,-1)</f>
        <v>-38.818739275766013</v>
      </c>
      <c r="R22" s="6">
        <f>_xlfn.XLOOKUP(D22,'Instructor 360'!$B$6:$B$365,'Instructor 360'!$F$6:$F$365,,1)</f>
        <v>-38.071852924791088</v>
      </c>
      <c r="S22" s="6">
        <f t="shared" si="6"/>
        <v>-38.092705258809076</v>
      </c>
      <c r="T22" s="6">
        <f t="shared" si="7"/>
        <v>-0.66484312775797705</v>
      </c>
      <c r="U22" s="6">
        <f t="shared" si="8"/>
        <v>-1.8349570904955925E-2</v>
      </c>
      <c r="V22" s="6"/>
      <c r="W22" s="6">
        <f t="shared" si="9"/>
        <v>3.3670675239600502E-4</v>
      </c>
      <c r="AA22">
        <f t="shared" si="10"/>
        <v>356</v>
      </c>
      <c r="AB22">
        <f t="shared" si="11"/>
        <v>-0.68319269866293297</v>
      </c>
      <c r="AC22">
        <f t="shared" si="12"/>
        <v>-0.66484312775797705</v>
      </c>
    </row>
    <row r="23" spans="1:29" ht="18.95" customHeight="1">
      <c r="A23" s="4">
        <f t="shared" si="13"/>
        <v>711</v>
      </c>
      <c r="B23" s="6">
        <f>INDEX('Raw Data'!$B$6:$B$1371,MATCH(A23,'Raw Data'!$A$6:$A$1371,0))</f>
        <v>15252</v>
      </c>
      <c r="C23" s="6">
        <f t="shared" si="0"/>
        <v>377</v>
      </c>
      <c r="D23" s="6">
        <f>MOD(C23+Summary!$B$20,Summary!$B$11)</f>
        <v>371.74162379895915</v>
      </c>
      <c r="E23" s="6">
        <f>_xlfn.XLOOKUP(D23,'Native PMKS'!$C$6:$C$366,'Native PMKS'!$C$6:$C$366,,-1)</f>
        <v>366.66666666666669</v>
      </c>
      <c r="F23" s="6">
        <f>_xlfn.XLOOKUP(D23,'Native PMKS'!$C$6:$C$366,'Native PMKS'!$C$6:$C$366,,1)</f>
        <v>375</v>
      </c>
      <c r="G23" s="6">
        <f>_xlfn.XLOOKUP(D23,'Native PMKS'!$C$6:$C$366,'Native PMKS'!$N$6:$N$366,,-1)</f>
        <v>-36.726599999999998</v>
      </c>
      <c r="H23" s="6">
        <f>_xlfn.XLOOKUP(D23,'Native PMKS'!$C$6:$C$366,'Native PMKS'!$N$6:$N$366,,1)</f>
        <v>-35.981699999999996</v>
      </c>
      <c r="I23" s="6">
        <f t="shared" si="1"/>
        <v>-36.272959731858641</v>
      </c>
      <c r="J23" s="6">
        <f>INDEX('Raw Data'!$S$6:$S$1371,MATCH(A23,'Raw Data'!$A$6:$A$1371,0))</f>
        <v>36.731849670410199</v>
      </c>
      <c r="K23" s="6">
        <f t="shared" si="2"/>
        <v>-0.6410917170962519</v>
      </c>
      <c r="L23" s="6">
        <f t="shared" si="3"/>
        <v>-0.63308257676425272</v>
      </c>
      <c r="M23" s="6">
        <f t="shared" si="4"/>
        <v>-8.0091403319991761E-3</v>
      </c>
      <c r="N23" s="6">
        <f t="shared" si="5"/>
        <v>6.4146328857655875E-5</v>
      </c>
      <c r="O23" s="6">
        <f>_xlfn.XLOOKUP(D23,'Instructor 360'!$B$6:$B$365,'Instructor 360'!$B$6:$B$365,,-1)</f>
        <v>367.68802228412255</v>
      </c>
      <c r="P23" s="6">
        <f>_xlfn.XLOOKUP(D23,'Instructor 360'!$B$6:$B$365,'Instructor 360'!$B$6:$B$365,,1)</f>
        <v>376.04456824512533</v>
      </c>
      <c r="Q23" s="6">
        <f>_xlfn.XLOOKUP(D23,'Instructor 360'!$B$6:$B$365,'Instructor 360'!$F$6:$F$365,,-1)</f>
        <v>-36.635303064066854</v>
      </c>
      <c r="R23" s="6">
        <f>_xlfn.XLOOKUP(D23,'Instructor 360'!$B$6:$B$365,'Instructor 360'!$F$6:$F$365,,1)</f>
        <v>-35.89552311977716</v>
      </c>
      <c r="S23" s="6">
        <f t="shared" si="6"/>
        <v>-36.276449882762911</v>
      </c>
      <c r="T23" s="6">
        <f t="shared" si="7"/>
        <v>-0.63314349138892367</v>
      </c>
      <c r="U23" s="6">
        <f t="shared" si="8"/>
        <v>-7.948225707328227E-3</v>
      </c>
      <c r="V23" s="6"/>
      <c r="W23" s="6">
        <f t="shared" si="9"/>
        <v>6.317429189463329E-5</v>
      </c>
      <c r="AA23">
        <f t="shared" si="10"/>
        <v>377</v>
      </c>
      <c r="AB23">
        <f t="shared" si="11"/>
        <v>-0.6410917170962519</v>
      </c>
      <c r="AC23">
        <f t="shared" si="12"/>
        <v>-0.63314349138892367</v>
      </c>
    </row>
    <row r="24" spans="1:29" ht="18.95" customHeight="1">
      <c r="A24" s="4">
        <f t="shared" si="13"/>
        <v>712</v>
      </c>
      <c r="B24" s="6">
        <f>INDEX('Raw Data'!$B$6:$B$1371,MATCH(A24,'Raw Data'!$A$6:$A$1371,0))</f>
        <v>15274</v>
      </c>
      <c r="C24" s="6">
        <f t="shared" si="0"/>
        <v>399</v>
      </c>
      <c r="D24" s="6">
        <f>MOD(C24+Summary!$B$20,Summary!$B$11)</f>
        <v>393.74162379895915</v>
      </c>
      <c r="E24" s="6">
        <f>_xlfn.XLOOKUP(D24,'Native PMKS'!$C$6:$C$366,'Native PMKS'!$C$6:$C$366,,-1)</f>
        <v>391.66666666666669</v>
      </c>
      <c r="F24" s="6">
        <f>_xlfn.XLOOKUP(D24,'Native PMKS'!$C$6:$C$366,'Native PMKS'!$C$6:$C$366,,1)</f>
        <v>400</v>
      </c>
      <c r="G24" s="6">
        <f>_xlfn.XLOOKUP(D24,'Native PMKS'!$C$6:$C$366,'Native PMKS'!$N$6:$N$366,,-1)</f>
        <v>-34.549399999999999</v>
      </c>
      <c r="H24" s="6">
        <f>_xlfn.XLOOKUP(D24,'Native PMKS'!$C$6:$C$366,'Native PMKS'!$N$6:$N$366,,1)</f>
        <v>-33.861800000000002</v>
      </c>
      <c r="I24" s="6">
        <f t="shared" si="1"/>
        <v>-34.378191137100288</v>
      </c>
      <c r="J24" s="6">
        <f>INDEX('Raw Data'!$S$6:$S$1371,MATCH(A24,'Raw Data'!$A$6:$A$1371,0))</f>
        <v>34.609710693359403</v>
      </c>
      <c r="K24" s="6">
        <f t="shared" si="2"/>
        <v>-0.60405340476181113</v>
      </c>
      <c r="L24" s="6">
        <f t="shared" si="3"/>
        <v>-0.60001262622233331</v>
      </c>
      <c r="M24" s="6">
        <f t="shared" si="4"/>
        <v>-4.0407785394778184E-3</v>
      </c>
      <c r="N24" s="6">
        <f t="shared" si="5"/>
        <v>1.632789120510449E-5</v>
      </c>
      <c r="O24" s="6">
        <f>_xlfn.XLOOKUP(D24,'Instructor 360'!$B$6:$B$365,'Instructor 360'!$B$6:$B$365,,-1)</f>
        <v>392.75766016713089</v>
      </c>
      <c r="P24" s="6">
        <f>_xlfn.XLOOKUP(D24,'Instructor 360'!$B$6:$B$365,'Instructor 360'!$B$6:$B$365,,1)</f>
        <v>401.11420612813367</v>
      </c>
      <c r="Q24" s="6">
        <f>_xlfn.XLOOKUP(D24,'Instructor 360'!$B$6:$B$365,'Instructor 360'!$F$6:$F$365,,-1)</f>
        <v>-34.459379944289694</v>
      </c>
      <c r="R24" s="6">
        <f>_xlfn.XLOOKUP(D24,'Instructor 360'!$B$6:$B$365,'Instructor 360'!$F$6:$F$365,,1)</f>
        <v>-33.769877994428974</v>
      </c>
      <c r="S24" s="6">
        <f t="shared" si="6"/>
        <v>-34.378192711442075</v>
      </c>
      <c r="T24" s="6">
        <f t="shared" si="7"/>
        <v>-0.60001265369978107</v>
      </c>
      <c r="U24" s="6">
        <f t="shared" si="8"/>
        <v>-4.0407510620300569E-3</v>
      </c>
      <c r="V24" s="6"/>
      <c r="W24" s="6">
        <f t="shared" si="9"/>
        <v>1.6327669145297031E-5</v>
      </c>
      <c r="AA24">
        <f t="shared" si="10"/>
        <v>399</v>
      </c>
      <c r="AB24">
        <f t="shared" si="11"/>
        <v>-0.60405340476181113</v>
      </c>
      <c r="AC24">
        <f t="shared" si="12"/>
        <v>-0.60001265369978107</v>
      </c>
    </row>
    <row r="25" spans="1:29" ht="18.95" customHeight="1">
      <c r="A25" s="4">
        <f t="shared" si="13"/>
        <v>713</v>
      </c>
      <c r="B25" s="6">
        <f>INDEX('Raw Data'!$B$6:$B$1371,MATCH(A25,'Raw Data'!$A$6:$A$1371,0))</f>
        <v>15296</v>
      </c>
      <c r="C25" s="6">
        <f t="shared" si="0"/>
        <v>421</v>
      </c>
      <c r="D25" s="6">
        <f>MOD(C25+Summary!$B$20,Summary!$B$11)</f>
        <v>415.74162379895915</v>
      </c>
      <c r="E25" s="6">
        <f>_xlfn.XLOOKUP(D25,'Native PMKS'!$C$6:$C$366,'Native PMKS'!$C$6:$C$366,,-1)</f>
        <v>408.33333333333337</v>
      </c>
      <c r="F25" s="6">
        <f>_xlfn.XLOOKUP(D25,'Native PMKS'!$C$6:$C$366,'Native PMKS'!$C$6:$C$366,,1)</f>
        <v>416.66666666666669</v>
      </c>
      <c r="G25" s="6">
        <f>_xlfn.XLOOKUP(D25,'Native PMKS'!$C$6:$C$366,'Native PMKS'!$N$6:$N$366,,-1)</f>
        <v>-33.174300000000002</v>
      </c>
      <c r="H25" s="6">
        <f>_xlfn.XLOOKUP(D25,'Native PMKS'!$C$6:$C$366,'Native PMKS'!$N$6:$N$366,,1)</f>
        <v>-32.486699999999999</v>
      </c>
      <c r="I25" s="6">
        <f t="shared" si="1"/>
        <v>-32.563027137100278</v>
      </c>
      <c r="J25" s="6">
        <f>INDEX('Raw Data'!$S$6:$S$1371,MATCH(A25,'Raw Data'!$A$6:$A$1371,0))</f>
        <v>32.533374786377003</v>
      </c>
      <c r="K25" s="6">
        <f t="shared" si="2"/>
        <v>-0.5678145068075855</v>
      </c>
      <c r="L25" s="6">
        <f t="shared" si="3"/>
        <v>-0.56833203795866283</v>
      </c>
      <c r="M25" s="6">
        <f t="shared" si="4"/>
        <v>5.1753115107733283E-4</v>
      </c>
      <c r="N25" s="6">
        <f t="shared" si="5"/>
        <v>2.678384923354291E-7</v>
      </c>
      <c r="O25" s="6">
        <f>_xlfn.XLOOKUP(D25,'Instructor 360'!$B$6:$B$365,'Instructor 360'!$B$6:$B$365,,-1)</f>
        <v>409.47075208913651</v>
      </c>
      <c r="P25" s="6">
        <f>_xlfn.XLOOKUP(D25,'Instructor 360'!$B$6:$B$365,'Instructor 360'!$B$6:$B$365,,1)</f>
        <v>417.82729805013929</v>
      </c>
      <c r="Q25" s="6">
        <f>_xlfn.XLOOKUP(D25,'Instructor 360'!$B$6:$B$365,'Instructor 360'!$F$6:$F$365,,-1)</f>
        <v>-33.080449303621172</v>
      </c>
      <c r="R25" s="6">
        <f>_xlfn.XLOOKUP(D25,'Instructor 360'!$B$6:$B$365,'Instructor 360'!$F$6:$F$365,,1)</f>
        <v>-32.39094791086351</v>
      </c>
      <c r="S25" s="6">
        <f t="shared" si="6"/>
        <v>-32.563037588553129</v>
      </c>
      <c r="T25" s="6">
        <f t="shared" si="7"/>
        <v>-0.56833222037092668</v>
      </c>
      <c r="U25" s="6">
        <f t="shared" si="8"/>
        <v>5.1771356334118224E-4</v>
      </c>
      <c r="V25" s="6"/>
      <c r="W25" s="6">
        <f t="shared" si="9"/>
        <v>2.6802733366742433E-7</v>
      </c>
      <c r="AA25">
        <f t="shared" si="10"/>
        <v>421</v>
      </c>
      <c r="AB25">
        <f t="shared" si="11"/>
        <v>-0.5678145068075855</v>
      </c>
      <c r="AC25">
        <f t="shared" si="12"/>
        <v>-0.56833222037092668</v>
      </c>
    </row>
    <row r="26" spans="1:29" ht="18.95" customHeight="1">
      <c r="A26" s="4">
        <f t="shared" si="13"/>
        <v>714</v>
      </c>
      <c r="B26" s="6">
        <f>INDEX('Raw Data'!$B$6:$B$1371,MATCH(A26,'Raw Data'!$A$6:$A$1371,0))</f>
        <v>15318</v>
      </c>
      <c r="C26" s="6">
        <f t="shared" si="0"/>
        <v>443</v>
      </c>
      <c r="D26" s="6">
        <f>MOD(C26+Summary!$B$20,Summary!$B$11)</f>
        <v>437.74162379895915</v>
      </c>
      <c r="E26" s="6">
        <f>_xlfn.XLOOKUP(D26,'Native PMKS'!$C$6:$C$366,'Native PMKS'!$C$6:$C$366,,-1)</f>
        <v>433.33333333333337</v>
      </c>
      <c r="F26" s="6">
        <f>_xlfn.XLOOKUP(D26,'Native PMKS'!$C$6:$C$366,'Native PMKS'!$C$6:$C$366,,1)</f>
        <v>441.66666666666669</v>
      </c>
      <c r="G26" s="6">
        <f>_xlfn.XLOOKUP(D26,'Native PMKS'!$C$6:$C$366,'Native PMKS'!$N$6:$N$366,,-1)</f>
        <v>-31.168900000000001</v>
      </c>
      <c r="H26" s="6">
        <f>_xlfn.XLOOKUP(D26,'Native PMKS'!$C$6:$C$366,'Native PMKS'!$N$6:$N$366,,1)</f>
        <v>-30.481400000000001</v>
      </c>
      <c r="I26" s="6">
        <f t="shared" si="1"/>
        <v>-30.805216036585868</v>
      </c>
      <c r="J26" s="6">
        <f>INDEX('Raw Data'!$S$6:$S$1371,MATCH(A26,'Raw Data'!$A$6:$A$1371,0))</f>
        <v>30.304367065429702</v>
      </c>
      <c r="K26" s="6">
        <f t="shared" si="2"/>
        <v>-0.5289109830246802</v>
      </c>
      <c r="L26" s="6">
        <f t="shared" si="3"/>
        <v>-0.53765244662658129</v>
      </c>
      <c r="M26" s="6">
        <f t="shared" si="4"/>
        <v>8.7414636019010894E-3</v>
      </c>
      <c r="N26" s="6">
        <f t="shared" si="5"/>
        <v>7.6413185903361568E-5</v>
      </c>
      <c r="O26" s="6">
        <f>_xlfn.XLOOKUP(D26,'Instructor 360'!$B$6:$B$365,'Instructor 360'!$B$6:$B$365,,-1)</f>
        <v>434.54038997214485</v>
      </c>
      <c r="P26" s="6">
        <f>_xlfn.XLOOKUP(D26,'Instructor 360'!$B$6:$B$365,'Instructor 360'!$B$6:$B$365,,1)</f>
        <v>442.89693593314763</v>
      </c>
      <c r="Q26" s="6">
        <f>_xlfn.XLOOKUP(D26,'Instructor 360'!$B$6:$B$365,'Instructor 360'!$F$6:$F$365,,-1)</f>
        <v>-31.069317827298054</v>
      </c>
      <c r="R26" s="6">
        <f>_xlfn.XLOOKUP(D26,'Instructor 360'!$B$6:$B$365,'Instructor 360'!$F$6:$F$365,,1)</f>
        <v>-30.388347353760448</v>
      </c>
      <c r="S26" s="6">
        <f t="shared" si="6"/>
        <v>-30.80845099007567</v>
      </c>
      <c r="T26" s="6">
        <f t="shared" si="7"/>
        <v>-0.5377089072161273</v>
      </c>
      <c r="U26" s="6">
        <f t="shared" si="8"/>
        <v>8.7979241914470929E-3</v>
      </c>
      <c r="V26" s="6"/>
      <c r="W26" s="6">
        <f t="shared" si="9"/>
        <v>7.7403470078449979E-5</v>
      </c>
      <c r="AA26">
        <f t="shared" si="10"/>
        <v>443</v>
      </c>
      <c r="AB26">
        <f t="shared" si="11"/>
        <v>-0.5289109830246802</v>
      </c>
      <c r="AC26">
        <f t="shared" si="12"/>
        <v>-0.5377089072161273</v>
      </c>
    </row>
    <row r="27" spans="1:29" ht="18.95" customHeight="1">
      <c r="A27" s="4">
        <f t="shared" si="13"/>
        <v>715</v>
      </c>
      <c r="B27" s="6">
        <f>INDEX('Raw Data'!$B$6:$B$1371,MATCH(A27,'Raw Data'!$A$6:$A$1371,0))</f>
        <v>15340</v>
      </c>
      <c r="C27" s="6">
        <f t="shared" si="0"/>
        <v>465</v>
      </c>
      <c r="D27" s="6">
        <f>MOD(C27+Summary!$B$20,Summary!$B$11)</f>
        <v>459.74162379895915</v>
      </c>
      <c r="E27" s="6">
        <f>_xlfn.XLOOKUP(D27,'Native PMKS'!$C$6:$C$366,'Native PMKS'!$C$6:$C$366,,-1)</f>
        <v>458.33333333333337</v>
      </c>
      <c r="F27" s="6">
        <f>_xlfn.XLOOKUP(D27,'Native PMKS'!$C$6:$C$366,'Native PMKS'!$C$6:$C$366,,1)</f>
        <v>466.66666666666669</v>
      </c>
      <c r="G27" s="6">
        <f>_xlfn.XLOOKUP(D27,'Native PMKS'!$C$6:$C$366,'Native PMKS'!$N$6:$N$366,,-1)</f>
        <v>-29.220800000000001</v>
      </c>
      <c r="H27" s="6">
        <f>_xlfn.XLOOKUP(D27,'Native PMKS'!$C$6:$C$366,'Native PMKS'!$N$6:$N$366,,1)</f>
        <v>-28.590599999999998</v>
      </c>
      <c r="I27" s="6">
        <f t="shared" si="1"/>
        <v>-29.114299441827512</v>
      </c>
      <c r="J27" s="6">
        <f>INDEX('Raw Data'!$S$6:$S$1371,MATCH(A27,'Raw Data'!$A$6:$A$1371,0))</f>
        <v>28.6860466003418</v>
      </c>
      <c r="K27" s="6">
        <f t="shared" si="2"/>
        <v>-0.50066596255649032</v>
      </c>
      <c r="L27" s="6">
        <f t="shared" si="3"/>
        <v>-0.50814038467143741</v>
      </c>
      <c r="M27" s="6">
        <f t="shared" si="4"/>
        <v>7.474422114947088E-3</v>
      </c>
      <c r="N27" s="6">
        <f t="shared" si="5"/>
        <v>5.5866985952410098E-5</v>
      </c>
      <c r="O27" s="6">
        <f>_xlfn.XLOOKUP(D27,'Instructor 360'!$B$6:$B$365,'Instructor 360'!$B$6:$B$365,,-1)</f>
        <v>459.61002785515319</v>
      </c>
      <c r="P27" s="6">
        <f>_xlfn.XLOOKUP(D27,'Instructor 360'!$B$6:$B$365,'Instructor 360'!$B$6:$B$365,,1)</f>
        <v>467.96657381615597</v>
      </c>
      <c r="Q27" s="6">
        <f>_xlfn.XLOOKUP(D27,'Instructor 360'!$B$6:$B$365,'Instructor 360'!$F$6:$F$365,,-1)</f>
        <v>-29.124251253481898</v>
      </c>
      <c r="R27" s="6">
        <f>_xlfn.XLOOKUP(D27,'Instructor 360'!$B$6:$B$365,'Instructor 360'!$F$6:$F$365,,1)</f>
        <v>-28.492280222841227</v>
      </c>
      <c r="S27" s="6">
        <f t="shared" si="6"/>
        <v>-29.114299196181754</v>
      </c>
      <c r="T27" s="6">
        <f t="shared" si="7"/>
        <v>-0.50814038038411014</v>
      </c>
      <c r="U27" s="6">
        <f t="shared" si="8"/>
        <v>7.474417827619817E-3</v>
      </c>
      <c r="V27" s="6"/>
      <c r="W27" s="6">
        <f t="shared" si="9"/>
        <v>5.5866921861840943E-5</v>
      </c>
      <c r="AA27">
        <f t="shared" si="10"/>
        <v>465</v>
      </c>
      <c r="AB27">
        <f t="shared" si="11"/>
        <v>-0.50066596255649032</v>
      </c>
      <c r="AC27">
        <f t="shared" si="12"/>
        <v>-0.50814038038411014</v>
      </c>
    </row>
    <row r="28" spans="1:29" ht="18.95" customHeight="1">
      <c r="A28" s="4">
        <f t="shared" si="13"/>
        <v>716</v>
      </c>
      <c r="B28" s="6">
        <f>INDEX('Raw Data'!$B$6:$B$1371,MATCH(A28,'Raw Data'!$A$6:$A$1371,0))</f>
        <v>15380</v>
      </c>
      <c r="C28" s="6">
        <f t="shared" si="0"/>
        <v>505</v>
      </c>
      <c r="D28" s="6">
        <f>MOD(C28+Summary!$B$20,Summary!$B$11)</f>
        <v>499.74162379895915</v>
      </c>
      <c r="E28" s="6">
        <f>_xlfn.XLOOKUP(D28,'Native PMKS'!$C$6:$C$366,'Native PMKS'!$C$6:$C$366,,-1)</f>
        <v>491.66666666666669</v>
      </c>
      <c r="F28" s="6">
        <f>_xlfn.XLOOKUP(D28,'Native PMKS'!$C$6:$C$366,'Native PMKS'!$C$6:$C$366,,1)</f>
        <v>500.00000000000006</v>
      </c>
      <c r="G28" s="6">
        <f>_xlfn.XLOOKUP(D28,'Native PMKS'!$C$6:$C$366,'Native PMKS'!$N$6:$N$366,,-1)</f>
        <v>-26.757100000000001</v>
      </c>
      <c r="H28" s="6">
        <f>_xlfn.XLOOKUP(D28,'Native PMKS'!$C$6:$C$366,'Native PMKS'!$N$6:$N$366,,1)</f>
        <v>-26.126899999999999</v>
      </c>
      <c r="I28" s="6">
        <f t="shared" si="1"/>
        <v>-26.146439441827518</v>
      </c>
      <c r="J28" s="6">
        <f>INDEX('Raw Data'!$S$6:$S$1371,MATCH(A28,'Raw Data'!$A$6:$A$1371,0))</f>
        <v>24.655511856079102</v>
      </c>
      <c r="K28" s="6">
        <f t="shared" si="2"/>
        <v>-0.43031986065307865</v>
      </c>
      <c r="L28" s="6">
        <f t="shared" si="3"/>
        <v>-0.45634145593319853</v>
      </c>
      <c r="M28" s="6">
        <f t="shared" si="4"/>
        <v>2.602159528011988E-2</v>
      </c>
      <c r="N28" s="6">
        <f t="shared" si="5"/>
        <v>6.7712342092235726E-4</v>
      </c>
      <c r="O28" s="6">
        <f>_xlfn.XLOOKUP(D28,'Instructor 360'!$B$6:$B$365,'Instructor 360'!$B$6:$B$365,,-1)</f>
        <v>493.03621169916437</v>
      </c>
      <c r="P28" s="6">
        <f>_xlfn.XLOOKUP(D28,'Instructor 360'!$B$6:$B$365,'Instructor 360'!$B$6:$B$365,,1)</f>
        <v>501.39275766016715</v>
      </c>
      <c r="Q28" s="6">
        <f>_xlfn.XLOOKUP(D28,'Instructor 360'!$B$6:$B$365,'Instructor 360'!$F$6:$F$365,,-1)</f>
        <v>-26.653529526462396</v>
      </c>
      <c r="R28" s="6">
        <f>_xlfn.XLOOKUP(D28,'Instructor 360'!$B$6:$B$365,'Instructor 360'!$F$6:$F$365,,1)</f>
        <v>-26.03113398328691</v>
      </c>
      <c r="S28" s="6">
        <f t="shared" si="6"/>
        <v>-26.154110433269679</v>
      </c>
      <c r="T28" s="6">
        <f t="shared" si="7"/>
        <v>-0.45647533999075657</v>
      </c>
      <c r="U28" s="6">
        <f t="shared" si="8"/>
        <v>2.6155479337677923E-2</v>
      </c>
      <c r="V28" s="6"/>
      <c r="W28" s="6">
        <f t="shared" si="9"/>
        <v>6.8410909938369671E-4</v>
      </c>
      <c r="AA28">
        <f t="shared" si="10"/>
        <v>505</v>
      </c>
      <c r="AB28">
        <f t="shared" si="11"/>
        <v>-0.43031986065307865</v>
      </c>
      <c r="AC28">
        <f t="shared" si="12"/>
        <v>-0.45647533999075657</v>
      </c>
    </row>
    <row r="29" spans="1:29" ht="18.95" customHeight="1">
      <c r="A29" s="4">
        <f t="shared" si="13"/>
        <v>717</v>
      </c>
      <c r="B29" s="6">
        <f>INDEX('Raw Data'!$B$6:$B$1371,MATCH(A29,'Raw Data'!$A$6:$A$1371,0))</f>
        <v>15403</v>
      </c>
      <c r="C29" s="6">
        <f t="shared" si="0"/>
        <v>528</v>
      </c>
      <c r="D29" s="6">
        <f>MOD(C29+Summary!$B$20,Summary!$B$11)</f>
        <v>522.74162379895915</v>
      </c>
      <c r="E29" s="6">
        <f>_xlfn.XLOOKUP(D29,'Native PMKS'!$C$6:$C$366,'Native PMKS'!$C$6:$C$366,,-1)</f>
        <v>516.66666666666674</v>
      </c>
      <c r="F29" s="6">
        <f>_xlfn.XLOOKUP(D29,'Native PMKS'!$C$6:$C$366,'Native PMKS'!$C$6:$C$366,,1)</f>
        <v>525</v>
      </c>
      <c r="G29" s="6">
        <f>_xlfn.XLOOKUP(D29,'Native PMKS'!$C$6:$C$366,'Native PMKS'!$N$6:$N$366,,-1)</f>
        <v>-24.981000000000002</v>
      </c>
      <c r="H29" s="6">
        <f>_xlfn.XLOOKUP(D29,'Native PMKS'!$C$6:$C$366,'Native PMKS'!$N$6:$N$366,,1)</f>
        <v>-24.408000000000001</v>
      </c>
      <c r="I29" s="6">
        <f t="shared" si="1"/>
        <v>-24.563285947583566</v>
      </c>
      <c r="J29" s="6">
        <f>INDEX('Raw Data'!$S$6:$S$1371,MATCH(A29,'Raw Data'!$A$6:$A$1371,0))</f>
        <v>23.525741577148398</v>
      </c>
      <c r="K29" s="6">
        <f t="shared" si="2"/>
        <v>-0.41060164949456313</v>
      </c>
      <c r="L29" s="6">
        <f t="shared" si="3"/>
        <v>-0.42871021489418853</v>
      </c>
      <c r="M29" s="6">
        <f t="shared" si="4"/>
        <v>1.8108565399625409E-2</v>
      </c>
      <c r="N29" s="6">
        <f t="shared" si="5"/>
        <v>3.2792014083251057E-4</v>
      </c>
      <c r="O29" s="6">
        <f>_xlfn.XLOOKUP(D29,'Instructor 360'!$B$6:$B$365,'Instructor 360'!$B$6:$B$365,,-1)</f>
        <v>518.10584958217271</v>
      </c>
      <c r="P29" s="6">
        <f>_xlfn.XLOOKUP(D29,'Instructor 360'!$B$6:$B$365,'Instructor 360'!$B$6:$B$365,,1)</f>
        <v>526.46239554317549</v>
      </c>
      <c r="Q29" s="6">
        <f>_xlfn.XLOOKUP(D29,'Instructor 360'!$B$6:$B$365,'Instructor 360'!$F$6:$F$365,,-1)</f>
        <v>-24.882041782729811</v>
      </c>
      <c r="R29" s="6">
        <f>_xlfn.XLOOKUP(D29,'Instructor 360'!$B$6:$B$365,'Instructor 360'!$F$6:$F$365,,1)</f>
        <v>-24.307445682451256</v>
      </c>
      <c r="S29" s="6">
        <f t="shared" si="6"/>
        <v>-24.56328594758358</v>
      </c>
      <c r="T29" s="6">
        <f t="shared" si="7"/>
        <v>-0.42871021489418876</v>
      </c>
      <c r="U29" s="6">
        <f t="shared" si="8"/>
        <v>1.8108565399625631E-2</v>
      </c>
      <c r="V29" s="6"/>
      <c r="W29" s="6">
        <f t="shared" si="9"/>
        <v>3.279201408325186E-4</v>
      </c>
      <c r="AA29">
        <f t="shared" si="10"/>
        <v>528</v>
      </c>
      <c r="AB29">
        <f t="shared" si="11"/>
        <v>-0.41060164949456313</v>
      </c>
      <c r="AC29">
        <f t="shared" si="12"/>
        <v>-0.42871021489418876</v>
      </c>
    </row>
    <row r="30" spans="1:29" ht="18.95" customHeight="1">
      <c r="A30" s="4">
        <f t="shared" si="13"/>
        <v>718</v>
      </c>
      <c r="B30" s="6">
        <f>INDEX('Raw Data'!$B$6:$B$1371,MATCH(A30,'Raw Data'!$A$6:$A$1371,0))</f>
        <v>15424</v>
      </c>
      <c r="C30" s="6">
        <f t="shared" si="0"/>
        <v>549</v>
      </c>
      <c r="D30" s="6">
        <f>MOD(C30+Summary!$B$20,Summary!$B$11)</f>
        <v>543.74162379895915</v>
      </c>
      <c r="E30" s="6">
        <f>_xlfn.XLOOKUP(D30,'Native PMKS'!$C$6:$C$366,'Native PMKS'!$C$6:$C$366,,-1)</f>
        <v>541.66666666666674</v>
      </c>
      <c r="F30" s="6">
        <f>_xlfn.XLOOKUP(D30,'Native PMKS'!$C$6:$C$366,'Native PMKS'!$C$6:$C$366,,1)</f>
        <v>550</v>
      </c>
      <c r="G30" s="6">
        <f>_xlfn.XLOOKUP(D30,'Native PMKS'!$C$6:$C$366,'Native PMKS'!$N$6:$N$366,,-1)</f>
        <v>-23.2621</v>
      </c>
      <c r="H30" s="6">
        <f>_xlfn.XLOOKUP(D30,'Native PMKS'!$C$6:$C$366,'Native PMKS'!$N$6:$N$366,,1)</f>
        <v>-22.6891</v>
      </c>
      <c r="I30" s="6">
        <f t="shared" si="1"/>
        <v>-23.119425947583572</v>
      </c>
      <c r="J30" s="6">
        <f>INDEX('Raw Data'!$S$6:$S$1371,MATCH(A30,'Raw Data'!$A$6:$A$1371,0))</f>
        <v>22.014289855956999</v>
      </c>
      <c r="K30" s="6">
        <f t="shared" si="2"/>
        <v>-0.38422184047483787</v>
      </c>
      <c r="L30" s="6">
        <f t="shared" si="3"/>
        <v>-0.40351010395634329</v>
      </c>
      <c r="M30" s="6">
        <f t="shared" si="4"/>
        <v>1.9288263481505419E-2</v>
      </c>
      <c r="N30" s="6">
        <f t="shared" si="5"/>
        <v>3.7203710813197552E-4</v>
      </c>
      <c r="O30" s="6">
        <f>_xlfn.XLOOKUP(D30,'Instructor 360'!$B$6:$B$365,'Instructor 360'!$B$6:$B$365,,-1)</f>
        <v>543.17548746518105</v>
      </c>
      <c r="P30" s="6">
        <f>_xlfn.XLOOKUP(D30,'Instructor 360'!$B$6:$B$365,'Instructor 360'!$B$6:$B$365,,1)</f>
        <v>551.53203342618383</v>
      </c>
      <c r="Q30" s="6">
        <f>_xlfn.XLOOKUP(D30,'Instructor 360'!$B$6:$B$365,'Instructor 360'!$F$6:$F$365,,-1)</f>
        <v>-23.158353481894157</v>
      </c>
      <c r="R30" s="6">
        <f>_xlfn.XLOOKUP(D30,'Instructor 360'!$B$6:$B$365,'Instructor 360'!$F$6:$F$365,,1)</f>
        <v>-22.594310027855155</v>
      </c>
      <c r="S30" s="6">
        <f t="shared" si="6"/>
        <v>-23.120140864545867</v>
      </c>
      <c r="T30" s="6">
        <f t="shared" si="7"/>
        <v>-0.40352258161121368</v>
      </c>
      <c r="U30" s="6">
        <f t="shared" si="8"/>
        <v>1.930074113637581E-2</v>
      </c>
      <c r="V30" s="6"/>
      <c r="W30" s="6">
        <f t="shared" si="9"/>
        <v>3.725186084133894E-4</v>
      </c>
      <c r="AA30">
        <f t="shared" si="10"/>
        <v>549</v>
      </c>
      <c r="AB30">
        <f t="shared" si="11"/>
        <v>-0.38422184047483787</v>
      </c>
      <c r="AC30">
        <f t="shared" si="12"/>
        <v>-0.40352258161121368</v>
      </c>
    </row>
    <row r="31" spans="1:29" ht="18.95" customHeight="1">
      <c r="A31" s="4">
        <f t="shared" si="13"/>
        <v>719</v>
      </c>
      <c r="B31" s="6">
        <f>INDEX('Raw Data'!$B$6:$B$1371,MATCH(A31,'Raw Data'!$A$6:$A$1371,0))</f>
        <v>15444</v>
      </c>
      <c r="C31" s="6">
        <f t="shared" si="0"/>
        <v>569</v>
      </c>
      <c r="D31" s="6">
        <f>MOD(C31+Summary!$B$20,Summary!$B$11)</f>
        <v>563.74162379895915</v>
      </c>
      <c r="E31" s="6">
        <f>_xlfn.XLOOKUP(D31,'Native PMKS'!$C$6:$C$366,'Native PMKS'!$C$6:$C$366,,-1)</f>
        <v>558.33333333333337</v>
      </c>
      <c r="F31" s="6">
        <f>_xlfn.XLOOKUP(D31,'Native PMKS'!$C$6:$C$366,'Native PMKS'!$C$6:$C$366,,1)</f>
        <v>566.66666666666674</v>
      </c>
      <c r="G31" s="6">
        <f>_xlfn.XLOOKUP(D31,'Native PMKS'!$C$6:$C$366,'Native PMKS'!$N$6:$N$366,,-1)</f>
        <v>-22.173500000000001</v>
      </c>
      <c r="H31" s="6">
        <f>_xlfn.XLOOKUP(D31,'Native PMKS'!$C$6:$C$366,'Native PMKS'!$N$6:$N$366,,1)</f>
        <v>-21.657800000000002</v>
      </c>
      <c r="I31" s="6">
        <f t="shared" si="1"/>
        <v>-21.838813352825206</v>
      </c>
      <c r="J31" s="6">
        <f>INDEX('Raw Data'!$S$6:$S$1371,MATCH(A31,'Raw Data'!$A$6:$A$1371,0))</f>
        <v>21.250932693481399</v>
      </c>
      <c r="K31" s="6">
        <f t="shared" si="2"/>
        <v>-0.37089874462095734</v>
      </c>
      <c r="L31" s="6">
        <f t="shared" si="3"/>
        <v>-0.38115919773530188</v>
      </c>
      <c r="M31" s="6">
        <f t="shared" si="4"/>
        <v>1.0260453114344537E-2</v>
      </c>
      <c r="N31" s="6">
        <f t="shared" si="5"/>
        <v>1.052768981116625E-4</v>
      </c>
      <c r="O31" s="6">
        <f>_xlfn.XLOOKUP(D31,'Instructor 360'!$B$6:$B$365,'Instructor 360'!$B$6:$B$365,,-1)</f>
        <v>559.88857938718661</v>
      </c>
      <c r="P31" s="6">
        <f>_xlfn.XLOOKUP(D31,'Instructor 360'!$B$6:$B$365,'Instructor 360'!$B$6:$B$365,,1)</f>
        <v>568.24512534818939</v>
      </c>
      <c r="Q31" s="6">
        <f>_xlfn.XLOOKUP(D31,'Instructor 360'!$B$6:$B$365,'Instructor 360'!$F$6:$F$365,,-1)</f>
        <v>-22.077255153203346</v>
      </c>
      <c r="R31" s="6">
        <f>_xlfn.XLOOKUP(D31,'Instructor 360'!$B$6:$B$365,'Instructor 360'!$F$6:$F$365,,1)</f>
        <v>-21.549265181058502</v>
      </c>
      <c r="S31" s="6">
        <f t="shared" si="6"/>
        <v>-21.833809018743203</v>
      </c>
      <c r="T31" s="6">
        <f t="shared" si="7"/>
        <v>-0.38107185562870122</v>
      </c>
      <c r="U31" s="6">
        <f t="shared" si="8"/>
        <v>1.0173111007743874E-2</v>
      </c>
      <c r="V31" s="6"/>
      <c r="W31" s="6">
        <f t="shared" si="9"/>
        <v>1.0349218757587957E-4</v>
      </c>
      <c r="AA31">
        <f t="shared" si="10"/>
        <v>569</v>
      </c>
      <c r="AB31">
        <f t="shared" si="11"/>
        <v>-0.37089874462095734</v>
      </c>
      <c r="AC31">
        <f t="shared" si="12"/>
        <v>-0.38107185562870122</v>
      </c>
    </row>
    <row r="32" spans="1:29" ht="18.95" customHeight="1">
      <c r="A32" s="4">
        <f t="shared" si="13"/>
        <v>720</v>
      </c>
      <c r="B32" s="6">
        <f>INDEX('Raw Data'!$B$6:$B$1371,MATCH(A32,'Raw Data'!$A$6:$A$1371,0))</f>
        <v>15465</v>
      </c>
      <c r="C32" s="6">
        <f t="shared" si="0"/>
        <v>590</v>
      </c>
      <c r="D32" s="6">
        <f>MOD(C32+Summary!$B$20,Summary!$B$11)</f>
        <v>584.74162379895915</v>
      </c>
      <c r="E32" s="6">
        <f>_xlfn.XLOOKUP(D32,'Native PMKS'!$C$6:$C$366,'Native PMKS'!$C$6:$C$366,,-1)</f>
        <v>583.33333333333337</v>
      </c>
      <c r="F32" s="6">
        <f>_xlfn.XLOOKUP(D32,'Native PMKS'!$C$6:$C$366,'Native PMKS'!$C$6:$C$366,,1)</f>
        <v>591.66666666666674</v>
      </c>
      <c r="G32" s="6">
        <f>_xlfn.XLOOKUP(D32,'Native PMKS'!$C$6:$C$366,'Native PMKS'!$N$6:$N$366,,-1)</f>
        <v>-20.569199999999999</v>
      </c>
      <c r="H32" s="6">
        <f>_xlfn.XLOOKUP(D32,'Native PMKS'!$C$6:$C$366,'Native PMKS'!$N$6:$N$366,,1)</f>
        <v>-20.0535</v>
      </c>
      <c r="I32" s="6">
        <f t="shared" si="1"/>
        <v>-20.482049352825207</v>
      </c>
      <c r="J32" s="6">
        <f>INDEX('Raw Data'!$S$6:$S$1371,MATCH(A32,'Raw Data'!$A$6:$A$1371,0))</f>
        <v>19.541007995605501</v>
      </c>
      <c r="K32" s="6">
        <f t="shared" si="2"/>
        <v>-0.34105492868185361</v>
      </c>
      <c r="L32" s="6">
        <f t="shared" si="3"/>
        <v>-0.35747919876277362</v>
      </c>
      <c r="M32" s="6">
        <f t="shared" si="4"/>
        <v>1.6424270080920012E-2</v>
      </c>
      <c r="N32" s="6">
        <f t="shared" si="5"/>
        <v>2.6975664769100425E-4</v>
      </c>
      <c r="O32" s="6">
        <f>_xlfn.XLOOKUP(D32,'Instructor 360'!$B$6:$B$365,'Instructor 360'!$B$6:$B$365,,-1)</f>
        <v>576.60167130919217</v>
      </c>
      <c r="P32" s="6">
        <f>_xlfn.XLOOKUP(D32,'Instructor 360'!$B$6:$B$365,'Instructor 360'!$B$6:$B$365,,1)</f>
        <v>584.95821727019495</v>
      </c>
      <c r="Q32" s="6">
        <f>_xlfn.XLOOKUP(D32,'Instructor 360'!$B$6:$B$365,'Instructor 360'!$F$6:$F$365,,-1)</f>
        <v>-20.985701392757662</v>
      </c>
      <c r="R32" s="6">
        <f>_xlfn.XLOOKUP(D32,'Instructor 360'!$B$6:$B$365,'Instructor 360'!$F$6:$F$365,,1)</f>
        <v>-20.468645682451257</v>
      </c>
      <c r="S32" s="6">
        <f t="shared" si="6"/>
        <v>-20.482047259088318</v>
      </c>
      <c r="T32" s="6">
        <f t="shared" si="7"/>
        <v>-0.35747916222017123</v>
      </c>
      <c r="U32" s="6">
        <f t="shared" si="8"/>
        <v>1.6424233538317623E-2</v>
      </c>
      <c r="V32" s="6"/>
      <c r="W32" s="6">
        <f t="shared" si="9"/>
        <v>2.6975544732119744E-4</v>
      </c>
      <c r="AA32">
        <f t="shared" si="10"/>
        <v>590</v>
      </c>
      <c r="AB32">
        <f t="shared" si="11"/>
        <v>-0.34105492868185361</v>
      </c>
      <c r="AC32">
        <f t="shared" si="12"/>
        <v>-0.35747916222017123</v>
      </c>
    </row>
    <row r="33" spans="1:29" ht="18.95" customHeight="1">
      <c r="A33" s="4">
        <f t="shared" si="13"/>
        <v>721</v>
      </c>
      <c r="B33" s="6">
        <f>INDEX('Raw Data'!$B$6:$B$1371,MATCH(A33,'Raw Data'!$A$6:$A$1371,0))</f>
        <v>15485</v>
      </c>
      <c r="C33" s="6">
        <f t="shared" si="0"/>
        <v>610</v>
      </c>
      <c r="D33" s="6">
        <f>MOD(C33+Summary!$B$20,Summary!$B$11)</f>
        <v>604.74162379895915</v>
      </c>
      <c r="E33" s="6">
        <f>_xlfn.XLOOKUP(D33,'Native PMKS'!$C$6:$C$366,'Native PMKS'!$C$6:$C$366,,-1)</f>
        <v>600</v>
      </c>
      <c r="F33" s="6">
        <f>_xlfn.XLOOKUP(D33,'Native PMKS'!$C$6:$C$366,'Native PMKS'!$C$6:$C$366,,1)</f>
        <v>608.33333333333337</v>
      </c>
      <c r="G33" s="6">
        <f>_xlfn.XLOOKUP(D33,'Native PMKS'!$C$6:$C$366,'Native PMKS'!$N$6:$N$366,,-1)</f>
        <v>-19.5379</v>
      </c>
      <c r="H33" s="6">
        <f>_xlfn.XLOOKUP(D33,'Native PMKS'!$C$6:$C$366,'Native PMKS'!$N$6:$N$366,,1)</f>
        <v>-19.079499999999999</v>
      </c>
      <c r="I33" s="6">
        <f t="shared" si="1"/>
        <v>-19.277072758066858</v>
      </c>
      <c r="J33" s="6">
        <f>INDEX('Raw Data'!$S$6:$S$1371,MATCH(A33,'Raw Data'!$A$6:$A$1371,0))</f>
        <v>18.7013130187988</v>
      </c>
      <c r="K33" s="6">
        <f t="shared" si="2"/>
        <v>-0.32639948662411927</v>
      </c>
      <c r="L33" s="6">
        <f t="shared" si="3"/>
        <v>-0.33644838977477093</v>
      </c>
      <c r="M33" s="6">
        <f t="shared" si="4"/>
        <v>1.0048903150651656E-2</v>
      </c>
      <c r="N33" s="6">
        <f t="shared" si="5"/>
        <v>1.0098045453117677E-4</v>
      </c>
      <c r="O33" s="6">
        <f>_xlfn.XLOOKUP(D33,'Instructor 360'!$B$6:$B$365,'Instructor 360'!$B$6:$B$365,,-1)</f>
        <v>601.67130919220051</v>
      </c>
      <c r="P33" s="6">
        <f>_xlfn.XLOOKUP(D33,'Instructor 360'!$B$6:$B$365,'Instructor 360'!$B$6:$B$365,,1)</f>
        <v>610.02785515320329</v>
      </c>
      <c r="Q33" s="6">
        <f>_xlfn.XLOOKUP(D33,'Instructor 360'!$B$6:$B$365,'Instructor 360'!$F$6:$F$365,,-1)</f>
        <v>-19.445964623955437</v>
      </c>
      <c r="R33" s="6">
        <f>_xlfn.XLOOKUP(D33,'Instructor 360'!$B$6:$B$365,'Instructor 360'!$F$6:$F$365,,1)</f>
        <v>-18.97463621169917</v>
      </c>
      <c r="S33" s="6">
        <f t="shared" si="6"/>
        <v>-19.27279181841066</v>
      </c>
      <c r="T33" s="6">
        <f t="shared" si="7"/>
        <v>-0.33637367328269108</v>
      </c>
      <c r="U33" s="6">
        <f t="shared" si="8"/>
        <v>9.9741866585718042E-3</v>
      </c>
      <c r="V33" s="6"/>
      <c r="W33" s="6">
        <f t="shared" si="9"/>
        <v>9.9484399500031768E-5</v>
      </c>
      <c r="AA33">
        <f t="shared" si="10"/>
        <v>610</v>
      </c>
      <c r="AB33">
        <f t="shared" si="11"/>
        <v>-0.32639948662411927</v>
      </c>
      <c r="AC33">
        <f t="shared" si="12"/>
        <v>-0.33637367328269108</v>
      </c>
    </row>
    <row r="34" spans="1:29" ht="18.95" customHeight="1">
      <c r="A34" s="4">
        <f t="shared" si="13"/>
        <v>722</v>
      </c>
      <c r="B34" s="6">
        <f>INDEX('Raw Data'!$B$6:$B$1371,MATCH(A34,'Raw Data'!$A$6:$A$1371,0))</f>
        <v>15505</v>
      </c>
      <c r="C34" s="6">
        <f t="shared" si="0"/>
        <v>630</v>
      </c>
      <c r="D34" s="6">
        <f>MOD(C34+Summary!$B$20,Summary!$B$11)</f>
        <v>624.74162379895915</v>
      </c>
      <c r="E34" s="6">
        <f>_xlfn.XLOOKUP(D34,'Native PMKS'!$C$6:$C$366,'Native PMKS'!$C$6:$C$366,,-1)</f>
        <v>616.66666666666674</v>
      </c>
      <c r="F34" s="6">
        <f>_xlfn.XLOOKUP(D34,'Native PMKS'!$C$6:$C$366,'Native PMKS'!$C$6:$C$366,,1)</f>
        <v>625</v>
      </c>
      <c r="G34" s="6">
        <f>_xlfn.XLOOKUP(D34,'Native PMKS'!$C$6:$C$366,'Native PMKS'!$N$6:$N$366,,-1)</f>
        <v>-18.563800000000001</v>
      </c>
      <c r="H34" s="6">
        <f>_xlfn.XLOOKUP(D34,'Native PMKS'!$C$6:$C$366,'Native PMKS'!$N$6:$N$366,,1)</f>
        <v>-18.048200000000001</v>
      </c>
      <c r="I34" s="6">
        <f t="shared" si="1"/>
        <v>-18.064186252310805</v>
      </c>
      <c r="J34" s="6">
        <f>INDEX('Raw Data'!$S$6:$S$1371,MATCH(A34,'Raw Data'!$A$6:$A$1371,0))</f>
        <v>17.510473251342798</v>
      </c>
      <c r="K34" s="6">
        <f t="shared" si="2"/>
        <v>-0.30561541181832841</v>
      </c>
      <c r="L34" s="6">
        <f t="shared" si="3"/>
        <v>-0.31527952679631865</v>
      </c>
      <c r="M34" s="6">
        <f t="shared" si="4"/>
        <v>9.6641149779902458E-3</v>
      </c>
      <c r="N34" s="6">
        <f t="shared" si="5"/>
        <v>9.3395118307815404E-5</v>
      </c>
      <c r="O34" s="6">
        <f>_xlfn.XLOOKUP(D34,'Instructor 360'!$B$6:$B$365,'Instructor 360'!$B$6:$B$365,,-1)</f>
        <v>618.38440111420607</v>
      </c>
      <c r="P34" s="6">
        <f>_xlfn.XLOOKUP(D34,'Instructor 360'!$B$6:$B$365,'Instructor 360'!$B$6:$B$365,,1)</f>
        <v>626.74094707520896</v>
      </c>
      <c r="Q34" s="6">
        <f>_xlfn.XLOOKUP(D34,'Instructor 360'!$B$6:$B$365,'Instructor 360'!$F$6:$F$365,,-1)</f>
        <v>-18.457520334261847</v>
      </c>
      <c r="R34" s="6">
        <f>_xlfn.XLOOKUP(D34,'Instructor 360'!$B$6:$B$365,'Instructor 360'!$F$6:$F$365,,1)</f>
        <v>-17.952433983286905</v>
      </c>
      <c r="S34" s="6">
        <f t="shared" si="6"/>
        <v>-18.073277080749996</v>
      </c>
      <c r="T34" s="6">
        <f t="shared" si="7"/>
        <v>-0.31543819168431653</v>
      </c>
      <c r="U34" s="6">
        <f t="shared" si="8"/>
        <v>9.8227798659881183E-3</v>
      </c>
      <c r="V34" s="6"/>
      <c r="W34" s="6">
        <f t="shared" si="9"/>
        <v>9.648700429566155E-5</v>
      </c>
      <c r="AA34">
        <f t="shared" si="10"/>
        <v>630</v>
      </c>
      <c r="AB34">
        <f t="shared" si="11"/>
        <v>-0.30561541181832841</v>
      </c>
      <c r="AC34">
        <f t="shared" si="12"/>
        <v>-0.31543819168431653</v>
      </c>
    </row>
    <row r="35" spans="1:29" ht="18.95" customHeight="1">
      <c r="A35" s="4">
        <f t="shared" si="13"/>
        <v>723</v>
      </c>
      <c r="B35" s="6">
        <f>INDEX('Raw Data'!$B$6:$B$1371,MATCH(A35,'Raw Data'!$A$6:$A$1371,0))</f>
        <v>15526</v>
      </c>
      <c r="C35" s="6">
        <f t="shared" si="0"/>
        <v>651</v>
      </c>
      <c r="D35" s="6">
        <f>MOD(C35+Summary!$B$20,Summary!$B$11)</f>
        <v>645.74162379895915</v>
      </c>
      <c r="E35" s="6">
        <f>_xlfn.XLOOKUP(D35,'Native PMKS'!$C$6:$C$366,'Native PMKS'!$C$6:$C$366,,-1)</f>
        <v>641.66666666666674</v>
      </c>
      <c r="F35" s="6">
        <f>_xlfn.XLOOKUP(D35,'Native PMKS'!$C$6:$C$366,'Native PMKS'!$C$6:$C$366,,1)</f>
        <v>650</v>
      </c>
      <c r="G35" s="6">
        <f>_xlfn.XLOOKUP(D35,'Native PMKS'!$C$6:$C$366,'Native PMKS'!$N$6:$N$366,,-1)</f>
        <v>-17.131399999999999</v>
      </c>
      <c r="H35" s="6">
        <f>_xlfn.XLOOKUP(D35,'Native PMKS'!$C$6:$C$366,'Native PMKS'!$N$6:$N$366,,1)</f>
        <v>-16.6158</v>
      </c>
      <c r="I35" s="6">
        <f t="shared" si="1"/>
        <v>-16.879274252310793</v>
      </c>
      <c r="J35" s="6">
        <f>INDEX('Raw Data'!$S$6:$S$1371,MATCH(A35,'Raw Data'!$A$6:$A$1371,0))</f>
        <v>16.579175949096701</v>
      </c>
      <c r="K35" s="6">
        <f t="shared" si="2"/>
        <v>-0.28936120757919326</v>
      </c>
      <c r="L35" s="6">
        <f t="shared" si="3"/>
        <v>-0.29459891104992741</v>
      </c>
      <c r="M35" s="6">
        <f t="shared" si="4"/>
        <v>5.2377034707341563E-3</v>
      </c>
      <c r="N35" s="6">
        <f t="shared" si="5"/>
        <v>2.7433537647340626E-5</v>
      </c>
      <c r="O35" s="6">
        <f>_xlfn.XLOOKUP(D35,'Instructor 360'!$B$6:$B$365,'Instructor 360'!$B$6:$B$365,,-1)</f>
        <v>643.45403899721452</v>
      </c>
      <c r="P35" s="6">
        <f>_xlfn.XLOOKUP(D35,'Instructor 360'!$B$6:$B$365,'Instructor 360'!$B$6:$B$365,,1)</f>
        <v>651.81058495821731</v>
      </c>
      <c r="Q35" s="6">
        <f>_xlfn.XLOOKUP(D35,'Instructor 360'!$B$6:$B$365,'Instructor 360'!$F$6:$F$365,,-1)</f>
        <v>-17.020811699164344</v>
      </c>
      <c r="R35" s="6">
        <f>_xlfn.XLOOKUP(D35,'Instructor 360'!$B$6:$B$365,'Instructor 360'!$F$6:$F$365,,1)</f>
        <v>-16.516203342618383</v>
      </c>
      <c r="S35" s="6">
        <f t="shared" si="6"/>
        <v>-16.882676348427957</v>
      </c>
      <c r="T35" s="6">
        <f t="shared" si="7"/>
        <v>-0.29465828882864126</v>
      </c>
      <c r="U35" s="6">
        <f t="shared" si="8"/>
        <v>5.2970812494479991E-3</v>
      </c>
      <c r="V35" s="6"/>
      <c r="W35" s="6">
        <f t="shared" si="9"/>
        <v>2.8059069763253575E-5</v>
      </c>
      <c r="AA35">
        <f t="shared" si="10"/>
        <v>651</v>
      </c>
      <c r="AB35">
        <f t="shared" si="11"/>
        <v>-0.28936120757919326</v>
      </c>
      <c r="AC35">
        <f t="shared" si="12"/>
        <v>-0.29465828882864126</v>
      </c>
    </row>
    <row r="36" spans="1:29" ht="18.95" customHeight="1">
      <c r="A36" s="4">
        <f t="shared" si="13"/>
        <v>724</v>
      </c>
      <c r="B36" s="6">
        <f>INDEX('Raw Data'!$B$6:$B$1371,MATCH(A36,'Raw Data'!$A$6:$A$1371,0))</f>
        <v>15547</v>
      </c>
      <c r="C36" s="6">
        <f t="shared" si="0"/>
        <v>672</v>
      </c>
      <c r="D36" s="6">
        <f>MOD(C36+Summary!$B$20,Summary!$B$11)</f>
        <v>666.74162379895915</v>
      </c>
      <c r="E36" s="6">
        <f>_xlfn.XLOOKUP(D36,'Native PMKS'!$C$6:$C$366,'Native PMKS'!$C$6:$C$366,,-1)</f>
        <v>666.66666666666674</v>
      </c>
      <c r="F36" s="6">
        <f>_xlfn.XLOOKUP(D36,'Native PMKS'!$C$6:$C$366,'Native PMKS'!$C$6:$C$366,,1)</f>
        <v>675</v>
      </c>
      <c r="G36" s="6">
        <f>_xlfn.XLOOKUP(D36,'Native PMKS'!$C$6:$C$366,'Native PMKS'!$N$6:$N$366,,-1)</f>
        <v>-15.699</v>
      </c>
      <c r="H36" s="6">
        <f>_xlfn.XLOOKUP(D36,'Native PMKS'!$C$6:$C$366,'Native PMKS'!$N$6:$N$366,,1)</f>
        <v>-15.2407</v>
      </c>
      <c r="I36" s="6">
        <f t="shared" si="1"/>
        <v>-15.694877657552446</v>
      </c>
      <c r="J36" s="6">
        <f>INDEX('Raw Data'!$S$6:$S$1371,MATCH(A36,'Raw Data'!$A$6:$A$1371,0))</f>
        <v>14.716580390930201</v>
      </c>
      <c r="K36" s="6">
        <f t="shared" si="2"/>
        <v>-0.25685278245616627</v>
      </c>
      <c r="L36" s="6">
        <f t="shared" si="3"/>
        <v>-0.27392729082198525</v>
      </c>
      <c r="M36" s="6">
        <f t="shared" si="4"/>
        <v>1.7074508365818974E-2</v>
      </c>
      <c r="N36" s="6">
        <f t="shared" si="5"/>
        <v>2.9153883593442215E-4</v>
      </c>
      <c r="O36" s="6">
        <f>_xlfn.XLOOKUP(D36,'Instructor 360'!$B$6:$B$365,'Instructor 360'!$B$6:$B$365,,-1)</f>
        <v>660.16713091922009</v>
      </c>
      <c r="P36" s="6">
        <f>_xlfn.XLOOKUP(D36,'Instructor 360'!$B$6:$B$365,'Instructor 360'!$B$6:$B$365,,1)</f>
        <v>668.52367688022287</v>
      </c>
      <c r="Q36" s="6">
        <f>_xlfn.XLOOKUP(D36,'Instructor 360'!$B$6:$B$365,'Instructor 360'!$F$6:$F$365,,-1)</f>
        <v>-16.056526462395542</v>
      </c>
      <c r="R36" s="6">
        <f>_xlfn.XLOOKUP(D36,'Instructor 360'!$B$6:$B$365,'Instructor 360'!$F$6:$F$365,,1)</f>
        <v>-15.596871866295267</v>
      </c>
      <c r="S36" s="6">
        <f t="shared" si="6"/>
        <v>-15.694894290047877</v>
      </c>
      <c r="T36" s="6">
        <f t="shared" si="7"/>
        <v>-0.27392758111379334</v>
      </c>
      <c r="U36" s="6">
        <f t="shared" si="8"/>
        <v>1.7074798657627066E-2</v>
      </c>
      <c r="V36" s="6"/>
      <c r="W36" s="6">
        <f t="shared" si="9"/>
        <v>2.9154874919850308E-4</v>
      </c>
      <c r="AA36">
        <f t="shared" si="10"/>
        <v>672</v>
      </c>
      <c r="AB36">
        <f t="shared" si="11"/>
        <v>-0.25685278245616627</v>
      </c>
      <c r="AC36">
        <f t="shared" si="12"/>
        <v>-0.27392758111379334</v>
      </c>
    </row>
    <row r="37" spans="1:29" ht="18.95" customHeight="1">
      <c r="A37" s="4">
        <f t="shared" si="13"/>
        <v>725</v>
      </c>
      <c r="B37" s="6">
        <f>INDEX('Raw Data'!$B$6:$B$1371,MATCH(A37,'Raw Data'!$A$6:$A$1371,0))</f>
        <v>15568</v>
      </c>
      <c r="C37" s="6">
        <f t="shared" si="0"/>
        <v>693</v>
      </c>
      <c r="D37" s="6">
        <f>MOD(C37+Summary!$B$20,Summary!$B$11)</f>
        <v>687.74162379895915</v>
      </c>
      <c r="E37" s="6">
        <f>_xlfn.XLOOKUP(D37,'Native PMKS'!$C$6:$C$366,'Native PMKS'!$C$6:$C$366,,-1)</f>
        <v>683.33333333333337</v>
      </c>
      <c r="F37" s="6">
        <f>_xlfn.XLOOKUP(D37,'Native PMKS'!$C$6:$C$366,'Native PMKS'!$C$6:$C$366,,1)</f>
        <v>691.66666666666674</v>
      </c>
      <c r="G37" s="6">
        <f>_xlfn.XLOOKUP(D37,'Native PMKS'!$C$6:$C$366,'Native PMKS'!$N$6:$N$366,,-1)</f>
        <v>-14.782299999999999</v>
      </c>
      <c r="H37" s="6">
        <f>_xlfn.XLOOKUP(D37,'Native PMKS'!$C$6:$C$366,'Native PMKS'!$N$6:$N$366,,1)</f>
        <v>-14.3812</v>
      </c>
      <c r="I37" s="6">
        <f t="shared" si="1"/>
        <v>-14.570120163308495</v>
      </c>
      <c r="J37" s="6">
        <f>INDEX('Raw Data'!$S$6:$S$1371,MATCH(A37,'Raw Data'!$A$6:$A$1371,0))</f>
        <v>14.029558181762701</v>
      </c>
      <c r="K37" s="6">
        <f t="shared" si="2"/>
        <v>-0.24486198287186817</v>
      </c>
      <c r="L37" s="6">
        <f t="shared" si="3"/>
        <v>-0.25429656926094713</v>
      </c>
      <c r="M37" s="6">
        <f t="shared" si="4"/>
        <v>9.4345863890789583E-3</v>
      </c>
      <c r="N37" s="6">
        <f t="shared" si="5"/>
        <v>8.9011420332993935E-5</v>
      </c>
      <c r="O37" s="6">
        <f>_xlfn.XLOOKUP(D37,'Instructor 360'!$B$6:$B$365,'Instructor 360'!$B$6:$B$365,,-1)</f>
        <v>685.23676880222843</v>
      </c>
      <c r="P37" s="6">
        <f>_xlfn.XLOOKUP(D37,'Instructor 360'!$B$6:$B$365,'Instructor 360'!$B$6:$B$365,,1)</f>
        <v>693.59331476323121</v>
      </c>
      <c r="Q37" s="6">
        <f>_xlfn.XLOOKUP(D37,'Instructor 360'!$B$6:$B$365,'Instructor 360'!$F$6:$F$365,,-1)</f>
        <v>-14.690683844011144</v>
      </c>
      <c r="R37" s="6">
        <f>_xlfn.XLOOKUP(D37,'Instructor 360'!$B$6:$B$365,'Instructor 360'!$F$6:$F$365,,1)</f>
        <v>-14.27524206128134</v>
      </c>
      <c r="S37" s="6">
        <f t="shared" si="6"/>
        <v>-14.566156146781005</v>
      </c>
      <c r="T37" s="6">
        <f t="shared" si="7"/>
        <v>-0.25422738412093893</v>
      </c>
      <c r="U37" s="6">
        <f t="shared" si="8"/>
        <v>9.3654012490707594E-3</v>
      </c>
      <c r="V37" s="6"/>
      <c r="W37" s="6">
        <f t="shared" si="9"/>
        <v>8.771074055609614E-5</v>
      </c>
      <c r="AA37">
        <f t="shared" si="10"/>
        <v>693</v>
      </c>
      <c r="AB37">
        <f t="shared" si="11"/>
        <v>-0.24486198287186817</v>
      </c>
      <c r="AC37">
        <f t="shared" si="12"/>
        <v>-0.25422738412093893</v>
      </c>
    </row>
    <row r="38" spans="1:29" ht="18.95" customHeight="1">
      <c r="A38" s="4">
        <f t="shared" si="13"/>
        <v>726</v>
      </c>
      <c r="B38" s="6">
        <f>INDEX('Raw Data'!$B$6:$B$1371,MATCH(A38,'Raw Data'!$A$6:$A$1371,0))</f>
        <v>15588</v>
      </c>
      <c r="C38" s="6">
        <f t="shared" ref="C38:C69" si="14">B38-$B$6</f>
        <v>713</v>
      </c>
      <c r="D38" s="6">
        <f>MOD(C38+Summary!$B$20,Summary!$B$11)</f>
        <v>707.74162379895915</v>
      </c>
      <c r="E38" s="6">
        <f>_xlfn.XLOOKUP(D38,'Native PMKS'!$C$6:$C$366,'Native PMKS'!$C$6:$C$366,,-1)</f>
        <v>700</v>
      </c>
      <c r="F38" s="6">
        <f>_xlfn.XLOOKUP(D38,'Native PMKS'!$C$6:$C$366,'Native PMKS'!$C$6:$C$366,,1)</f>
        <v>708.33333333333337</v>
      </c>
      <c r="G38" s="6">
        <f>_xlfn.XLOOKUP(D38,'Native PMKS'!$C$6:$C$366,'Native PMKS'!$N$6:$N$366,,-1)</f>
        <v>-13.9229</v>
      </c>
      <c r="H38" s="6">
        <f>_xlfn.XLOOKUP(D38,'Native PMKS'!$C$6:$C$366,'Native PMKS'!$N$6:$N$366,,1)</f>
        <v>-13.464499999999999</v>
      </c>
      <c r="I38" s="6">
        <f t="shared" ref="I38:I69" si="15">IF(E38=F38,G38,_xlfn.FORECAST.LINEAR(D38,G38:H38,E38:F38))</f>
        <v>-13.49704875806686</v>
      </c>
      <c r="J38" s="6">
        <f>INDEX('Raw Data'!$S$6:$S$1371,MATCH(A38,'Raw Data'!$A$6:$A$1371,0))</f>
        <v>13.3425350189209</v>
      </c>
      <c r="K38" s="6">
        <f t="shared" ref="K38:K69" si="16">J38*-1*PI()/180</f>
        <v>-0.23287116664281363</v>
      </c>
      <c r="L38" s="6">
        <f t="shared" ref="L38:L69" si="17">I38*PI()/180</f>
        <v>-0.23556794013047827</v>
      </c>
      <c r="M38" s="6">
        <f t="shared" ref="M38:M69" si="18">K38-L38</f>
        <v>2.6967734876646443E-3</v>
      </c>
      <c r="N38" s="6">
        <f t="shared" ref="N38:N69" si="19">M38^2</f>
        <v>7.2725872437709296E-6</v>
      </c>
      <c r="O38" s="6">
        <f>_xlfn.XLOOKUP(D38,'Instructor 360'!$B$6:$B$365,'Instructor 360'!$B$6:$B$365,,-1)</f>
        <v>701.94986072423399</v>
      </c>
      <c r="P38" s="6">
        <f>_xlfn.XLOOKUP(D38,'Instructor 360'!$B$6:$B$365,'Instructor 360'!$B$6:$B$365,,1)</f>
        <v>710.30640668523677</v>
      </c>
      <c r="Q38" s="6">
        <f>_xlfn.XLOOKUP(D38,'Instructor 360'!$B$6:$B$365,'Instructor 360'!$F$6:$F$365,,-1)</f>
        <v>-13.815642061281338</v>
      </c>
      <c r="R38" s="6">
        <f>_xlfn.XLOOKUP(D38,'Instructor 360'!$B$6:$B$365,'Instructor 360'!$F$6:$F$365,,1)</f>
        <v>-13.369532033426186</v>
      </c>
      <c r="S38" s="6">
        <f t="shared" ref="S38:S69" si="20">IF(O38=P38,Q38,_xlfn.FORECAST.LINEAR(D38,Q38:R38,O38:P38))</f>
        <v>-13.506451685418668</v>
      </c>
      <c r="T38" s="6">
        <f t="shared" ref="T38:T69" si="21">S38*PI()/180</f>
        <v>-0.23573205217209317</v>
      </c>
      <c r="U38" s="6">
        <f t="shared" ref="U38:U69" si="22">K38-T38</f>
        <v>2.8608855292795443E-3</v>
      </c>
      <c r="V38" s="6"/>
      <c r="W38" s="6">
        <f t="shared" ref="W38:W69" si="23">U38^2</f>
        <v>8.1846660116410991E-6</v>
      </c>
      <c r="AA38">
        <f t="shared" ref="AA38:AA69" si="24">C38</f>
        <v>713</v>
      </c>
      <c r="AB38">
        <f t="shared" ref="AB38:AB69" si="25">K38</f>
        <v>-0.23287116664281363</v>
      </c>
      <c r="AC38">
        <f t="shared" ref="AC38:AC69" si="26">T38</f>
        <v>-0.23573205217209317</v>
      </c>
    </row>
    <row r="39" spans="1:29" ht="18.95" customHeight="1">
      <c r="A39" s="4">
        <f t="shared" ref="A39:A70" si="27">A38+1</f>
        <v>727</v>
      </c>
      <c r="B39" s="6">
        <f>INDEX('Raw Data'!$B$6:$B$1371,MATCH(A39,'Raw Data'!$A$6:$A$1371,0))</f>
        <v>15608</v>
      </c>
      <c r="C39" s="6">
        <f t="shared" si="14"/>
        <v>733</v>
      </c>
      <c r="D39" s="6">
        <f>MOD(C39+Summary!$B$20,Summary!$B$11)</f>
        <v>727.74162379895915</v>
      </c>
      <c r="E39" s="6">
        <f>_xlfn.XLOOKUP(D39,'Native PMKS'!$C$6:$C$366,'Native PMKS'!$C$6:$C$366,,-1)</f>
        <v>725</v>
      </c>
      <c r="F39" s="6">
        <f>_xlfn.XLOOKUP(D39,'Native PMKS'!$C$6:$C$366,'Native PMKS'!$C$6:$C$366,,1)</f>
        <v>733.33333333333337</v>
      </c>
      <c r="G39" s="6">
        <f>_xlfn.XLOOKUP(D39,'Native PMKS'!$C$6:$C$366,'Native PMKS'!$N$6:$N$366,,-1)</f>
        <v>-12.6051</v>
      </c>
      <c r="H39" s="6">
        <f>_xlfn.XLOOKUP(D39,'Native PMKS'!$C$6:$C$366,'Native PMKS'!$N$6:$N$366,,1)</f>
        <v>-12.204000000000001</v>
      </c>
      <c r="I39" s="6">
        <f t="shared" si="15"/>
        <v>-12.4731401633085</v>
      </c>
      <c r="J39" s="6">
        <f>INDEX('Raw Data'!$S$6:$S$1371,MATCH(A39,'Raw Data'!$A$6:$A$1371,0))</f>
        <v>12.2127637863159</v>
      </c>
      <c r="K39" s="6">
        <f t="shared" si="16"/>
        <v>-0.21315293883954164</v>
      </c>
      <c r="L39" s="6">
        <f t="shared" si="17"/>
        <v>-0.21769736391247652</v>
      </c>
      <c r="M39" s="6">
        <f t="shared" si="18"/>
        <v>4.5444250729348712E-3</v>
      </c>
      <c r="N39" s="6">
        <f t="shared" si="19"/>
        <v>2.0651799243519111E-5</v>
      </c>
      <c r="O39" s="6">
        <f>_xlfn.XLOOKUP(D39,'Instructor 360'!$B$6:$B$365,'Instructor 360'!$B$6:$B$365,,-1)</f>
        <v>727.01949860724233</v>
      </c>
      <c r="P39" s="6">
        <f>_xlfn.XLOOKUP(D39,'Instructor 360'!$B$6:$B$365,'Instructor 360'!$B$6:$B$365,,1)</f>
        <v>735.37604456824511</v>
      </c>
      <c r="Q39" s="6">
        <f>_xlfn.XLOOKUP(D39,'Instructor 360'!$B$6:$B$365,'Instructor 360'!$F$6:$F$365,,-1)</f>
        <v>-12.507897493036213</v>
      </c>
      <c r="R39" s="6">
        <f>_xlfn.XLOOKUP(D39,'Instructor 360'!$B$6:$B$365,'Instructor 360'!$F$6:$F$365,,1)</f>
        <v>-12.105680222841229</v>
      </c>
      <c r="S39" s="6">
        <f t="shared" si="20"/>
        <v>-12.4731401633085</v>
      </c>
      <c r="T39" s="6">
        <f t="shared" si="21"/>
        <v>-0.21769736391247652</v>
      </c>
      <c r="U39" s="6">
        <f t="shared" si="22"/>
        <v>4.5444250729348712E-3</v>
      </c>
      <c r="V39" s="6"/>
      <c r="W39" s="6">
        <f t="shared" si="23"/>
        <v>2.0651799243519111E-5</v>
      </c>
      <c r="AA39">
        <f t="shared" si="24"/>
        <v>733</v>
      </c>
      <c r="AB39">
        <f t="shared" si="25"/>
        <v>-0.21315293883954164</v>
      </c>
      <c r="AC39">
        <f t="shared" si="26"/>
        <v>-0.21769736391247652</v>
      </c>
    </row>
    <row r="40" spans="1:29" ht="18.95" customHeight="1">
      <c r="A40" s="4">
        <f t="shared" si="27"/>
        <v>728</v>
      </c>
      <c r="B40" s="6">
        <f>INDEX('Raw Data'!$B$6:$B$1371,MATCH(A40,'Raw Data'!$A$6:$A$1371,0))</f>
        <v>15628</v>
      </c>
      <c r="C40" s="6">
        <f t="shared" si="14"/>
        <v>753</v>
      </c>
      <c r="D40" s="6">
        <f>MOD(C40+Summary!$B$20,Summary!$B$11)</f>
        <v>747.74162379895915</v>
      </c>
      <c r="E40" s="6">
        <f>_xlfn.XLOOKUP(D40,'Native PMKS'!$C$6:$C$366,'Native PMKS'!$C$6:$C$366,,-1)</f>
        <v>741.66666666666674</v>
      </c>
      <c r="F40" s="6">
        <f>_xlfn.XLOOKUP(D40,'Native PMKS'!$C$6:$C$366,'Native PMKS'!$C$6:$C$366,,1)</f>
        <v>750</v>
      </c>
      <c r="G40" s="6">
        <f>_xlfn.XLOOKUP(D40,'Native PMKS'!$C$6:$C$366,'Native PMKS'!$N$6:$N$366,,-1)</f>
        <v>-11.802899999999999</v>
      </c>
      <c r="H40" s="6">
        <f>_xlfn.XLOOKUP(D40,'Native PMKS'!$C$6:$C$366,'Native PMKS'!$N$6:$N$366,,1)</f>
        <v>-11.3446</v>
      </c>
      <c r="I40" s="6">
        <f t="shared" si="15"/>
        <v>-11.46880165755244</v>
      </c>
      <c r="J40" s="6">
        <f>INDEX('Raw Data'!$S$6:$S$1371,MATCH(A40,'Raw Data'!$A$6:$A$1371,0))</f>
        <v>10.9608554840088</v>
      </c>
      <c r="K40" s="6">
        <f t="shared" si="16"/>
        <v>-0.19130301703123023</v>
      </c>
      <c r="L40" s="6">
        <f t="shared" si="17"/>
        <v>-0.20016835018247328</v>
      </c>
      <c r="M40" s="6">
        <f t="shared" si="18"/>
        <v>8.8653331512430489E-3</v>
      </c>
      <c r="N40" s="6">
        <f t="shared" si="19"/>
        <v>7.8594131882529013E-5</v>
      </c>
      <c r="O40" s="6">
        <f>_xlfn.XLOOKUP(D40,'Instructor 360'!$B$6:$B$365,'Instructor 360'!$B$6:$B$365,,-1)</f>
        <v>743.73259052924789</v>
      </c>
      <c r="P40" s="6">
        <f>_xlfn.XLOOKUP(D40,'Instructor 360'!$B$6:$B$365,'Instructor 360'!$B$6:$B$365,,1)</f>
        <v>752.08913649025067</v>
      </c>
      <c r="Q40" s="6">
        <f>_xlfn.XLOOKUP(D40,'Instructor 360'!$B$6:$B$365,'Instructor 360'!$F$6:$F$365,,-1)</f>
        <v>-11.689282451253487</v>
      </c>
      <c r="R40" s="6">
        <f>_xlfn.XLOOKUP(D40,'Instructor 360'!$B$6:$B$365,'Instructor 360'!$F$6:$F$365,,1)</f>
        <v>-11.244045682451254</v>
      </c>
      <c r="S40" s="6">
        <f t="shared" si="20"/>
        <v>-11.475681158643269</v>
      </c>
      <c r="T40" s="6">
        <f t="shared" si="21"/>
        <v>-0.20028842012740278</v>
      </c>
      <c r="U40" s="6">
        <f t="shared" si="22"/>
        <v>8.9854030961725451E-3</v>
      </c>
      <c r="V40" s="6"/>
      <c r="W40" s="6">
        <f t="shared" si="23"/>
        <v>8.0737468800707153E-5</v>
      </c>
      <c r="AA40">
        <f t="shared" si="24"/>
        <v>753</v>
      </c>
      <c r="AB40">
        <f t="shared" si="25"/>
        <v>-0.19130301703123023</v>
      </c>
      <c r="AC40">
        <f t="shared" si="26"/>
        <v>-0.20028842012740278</v>
      </c>
    </row>
    <row r="41" spans="1:29" ht="18.95" customHeight="1">
      <c r="A41" s="4">
        <f t="shared" si="27"/>
        <v>729</v>
      </c>
      <c r="B41" s="6">
        <f>INDEX('Raw Data'!$B$6:$B$1371,MATCH(A41,'Raw Data'!$A$6:$A$1371,0))</f>
        <v>15648</v>
      </c>
      <c r="C41" s="6">
        <f t="shared" si="14"/>
        <v>773</v>
      </c>
      <c r="D41" s="6">
        <f>MOD(C41+Summary!$B$20,Summary!$B$11)</f>
        <v>767.74162379895915</v>
      </c>
      <c r="E41" s="6">
        <f>_xlfn.XLOOKUP(D41,'Native PMKS'!$C$6:$C$366,'Native PMKS'!$C$6:$C$366,,-1)</f>
        <v>766.66666666666674</v>
      </c>
      <c r="F41" s="6">
        <f>_xlfn.XLOOKUP(D41,'Native PMKS'!$C$6:$C$366,'Native PMKS'!$C$6:$C$366,,1)</f>
        <v>775</v>
      </c>
      <c r="G41" s="6">
        <f>_xlfn.XLOOKUP(D41,'Native PMKS'!$C$6:$C$366,'Native PMKS'!$N$6:$N$366,,-1)</f>
        <v>-10.542400000000001</v>
      </c>
      <c r="H41" s="6">
        <f>_xlfn.XLOOKUP(D41,'Native PMKS'!$C$6:$C$366,'Native PMKS'!$N$6:$N$366,,1)</f>
        <v>-10.141400000000001</v>
      </c>
      <c r="I41" s="6">
        <f t="shared" si="15"/>
        <v>-10.490673062794095</v>
      </c>
      <c r="J41" s="6">
        <f>INDEX('Raw Data'!$S$6:$S$1371,MATCH(A41,'Raw Data'!$A$6:$A$1371,0))</f>
        <v>9.9074201583862305</v>
      </c>
      <c r="K41" s="6">
        <f t="shared" si="16"/>
        <v>-0.1729171021422978</v>
      </c>
      <c r="L41" s="6">
        <f t="shared" si="17"/>
        <v>-0.1830967856960348</v>
      </c>
      <c r="M41" s="6">
        <f t="shared" si="18"/>
        <v>1.0179683553736996E-2</v>
      </c>
      <c r="N41" s="6">
        <f t="shared" si="19"/>
        <v>1.0362595725422346E-4</v>
      </c>
      <c r="O41" s="6">
        <f>_xlfn.XLOOKUP(D41,'Instructor 360'!$B$6:$B$365,'Instructor 360'!$B$6:$B$365,,-1)</f>
        <v>760.44568245125345</v>
      </c>
      <c r="P41" s="6">
        <f>_xlfn.XLOOKUP(D41,'Instructor 360'!$B$6:$B$365,'Instructor 360'!$B$6:$B$365,,1)</f>
        <v>768.80222841225623</v>
      </c>
      <c r="Q41" s="6">
        <f>_xlfn.XLOOKUP(D41,'Instructor 360'!$B$6:$B$365,'Instructor 360'!$F$6:$F$365,,-1)</f>
        <v>-10.841828412256271</v>
      </c>
      <c r="R41" s="6">
        <f>_xlfn.XLOOKUP(D41,'Instructor 360'!$B$6:$B$365,'Instructor 360'!$F$6:$F$365,,1)</f>
        <v>-10.439636768802234</v>
      </c>
      <c r="S41" s="6">
        <f t="shared" si="20"/>
        <v>-10.490682537528635</v>
      </c>
      <c r="T41" s="6">
        <f t="shared" si="21"/>
        <v>-0.18309695106134827</v>
      </c>
      <c r="U41" s="6">
        <f t="shared" si="22"/>
        <v>1.0179848919050466E-2</v>
      </c>
      <c r="V41" s="6"/>
      <c r="W41" s="6">
        <f t="shared" si="23"/>
        <v>1.0362932401469294E-4</v>
      </c>
      <c r="AA41">
        <f t="shared" si="24"/>
        <v>773</v>
      </c>
      <c r="AB41">
        <f t="shared" si="25"/>
        <v>-0.1729171021422978</v>
      </c>
      <c r="AC41">
        <f t="shared" si="26"/>
        <v>-0.18309695106134827</v>
      </c>
    </row>
    <row r="42" spans="1:29" ht="18.95" customHeight="1">
      <c r="A42" s="4">
        <f t="shared" si="27"/>
        <v>730</v>
      </c>
      <c r="B42" s="6">
        <f>INDEX('Raw Data'!$B$6:$B$1371,MATCH(A42,'Raw Data'!$A$6:$A$1371,0))</f>
        <v>15670</v>
      </c>
      <c r="C42" s="6">
        <f t="shared" si="14"/>
        <v>795</v>
      </c>
      <c r="D42" s="6">
        <f>MOD(C42+Summary!$B$20,Summary!$B$11)</f>
        <v>789.74162379895915</v>
      </c>
      <c r="E42" s="6">
        <f>_xlfn.XLOOKUP(D42,'Native PMKS'!$C$6:$C$366,'Native PMKS'!$C$6:$C$366,,-1)</f>
        <v>783.33333333333337</v>
      </c>
      <c r="F42" s="6">
        <f>_xlfn.XLOOKUP(D42,'Native PMKS'!$C$6:$C$366,'Native PMKS'!$C$6:$C$366,,1)</f>
        <v>791.66666666666674</v>
      </c>
      <c r="G42" s="6">
        <f>_xlfn.XLOOKUP(D42,'Native PMKS'!$C$6:$C$366,'Native PMKS'!$N$6:$N$366,,-1)</f>
        <v>-9.7402999999999995</v>
      </c>
      <c r="H42" s="6">
        <f>_xlfn.XLOOKUP(D42,'Native PMKS'!$C$6:$C$366,'Native PMKS'!$N$6:$N$366,,1)</f>
        <v>-9.3391999999999999</v>
      </c>
      <c r="I42" s="6">
        <f t="shared" si="15"/>
        <v>-9.4318561633084954</v>
      </c>
      <c r="J42" s="6">
        <f>INDEX('Raw Data'!$S$6:$S$1371,MATCH(A42,'Raw Data'!$A$6:$A$1371,0))</f>
        <v>9.0524587631225604</v>
      </c>
      <c r="K42" s="6">
        <f t="shared" si="16"/>
        <v>-0.15799521081750212</v>
      </c>
      <c r="L42" s="6">
        <f t="shared" si="17"/>
        <v>-0.16461694462425325</v>
      </c>
      <c r="M42" s="6">
        <f t="shared" si="18"/>
        <v>6.6217338067511289E-3</v>
      </c>
      <c r="N42" s="6">
        <f t="shared" si="19"/>
        <v>4.3847358607470794E-5</v>
      </c>
      <c r="O42" s="6">
        <f>_xlfn.XLOOKUP(D42,'Instructor 360'!$B$6:$B$365,'Instructor 360'!$B$6:$B$365,,-1)</f>
        <v>785.51532033426179</v>
      </c>
      <c r="P42" s="6">
        <f>_xlfn.XLOOKUP(D42,'Instructor 360'!$B$6:$B$365,'Instructor 360'!$B$6:$B$365,,1)</f>
        <v>793.87186629526457</v>
      </c>
      <c r="Q42" s="6">
        <f>_xlfn.XLOOKUP(D42,'Instructor 360'!$B$6:$B$365,'Instructor 360'!$F$6:$F$365,,-1)</f>
        <v>-9.6352766016713129</v>
      </c>
      <c r="R42" s="6">
        <f>_xlfn.XLOOKUP(D42,'Instructor 360'!$B$6:$B$365,'Instructor 360'!$F$6:$F$365,,1)</f>
        <v>-9.2330593314763281</v>
      </c>
      <c r="S42" s="6">
        <f t="shared" si="20"/>
        <v>-9.4318561633084954</v>
      </c>
      <c r="T42" s="6">
        <f t="shared" si="21"/>
        <v>-0.16461694462425325</v>
      </c>
      <c r="U42" s="6">
        <f t="shared" si="22"/>
        <v>6.6217338067511289E-3</v>
      </c>
      <c r="V42" s="6"/>
      <c r="W42" s="6">
        <f t="shared" si="23"/>
        <v>4.3847358607470794E-5</v>
      </c>
      <c r="AA42">
        <f t="shared" si="24"/>
        <v>795</v>
      </c>
      <c r="AB42">
        <f t="shared" si="25"/>
        <v>-0.15799521081750212</v>
      </c>
      <c r="AC42">
        <f t="shared" si="26"/>
        <v>-0.16461694462425325</v>
      </c>
    </row>
    <row r="43" spans="1:29" ht="18.95" customHeight="1">
      <c r="A43" s="4">
        <f t="shared" si="27"/>
        <v>731</v>
      </c>
      <c r="B43" s="6">
        <f>INDEX('Raw Data'!$B$6:$B$1371,MATCH(A43,'Raw Data'!$A$6:$A$1371,0))</f>
        <v>15691</v>
      </c>
      <c r="C43" s="6">
        <f t="shared" si="14"/>
        <v>816</v>
      </c>
      <c r="D43" s="6">
        <f>MOD(C43+Summary!$B$20,Summary!$B$11)</f>
        <v>810.74162379895915</v>
      </c>
      <c r="E43" s="6">
        <f>_xlfn.XLOOKUP(D43,'Native PMKS'!$C$6:$C$366,'Native PMKS'!$C$6:$C$366,,-1)</f>
        <v>808.33333333333337</v>
      </c>
      <c r="F43" s="6">
        <f>_xlfn.XLOOKUP(D43,'Native PMKS'!$C$6:$C$366,'Native PMKS'!$C$6:$C$366,,1)</f>
        <v>816.66666666666674</v>
      </c>
      <c r="G43" s="6">
        <f>_xlfn.XLOOKUP(D43,'Native PMKS'!$C$6:$C$366,'Native PMKS'!$N$6:$N$366,,-1)</f>
        <v>-8.5371000000000006</v>
      </c>
      <c r="H43" s="6">
        <f>_xlfn.XLOOKUP(D43,'Native PMKS'!$C$6:$C$366,'Native PMKS'!$N$6:$N$366,,1)</f>
        <v>-8.1359999999999992</v>
      </c>
      <c r="I43" s="6">
        <f t="shared" si="15"/>
        <v>-8.4211841633085029</v>
      </c>
      <c r="J43" s="6">
        <f>INDEX('Raw Data'!$S$6:$S$1371,MATCH(A43,'Raw Data'!$A$6:$A$1371,0))</f>
        <v>7.0829930305481001</v>
      </c>
      <c r="K43" s="6">
        <f t="shared" si="16"/>
        <v>-0.12362154927887564</v>
      </c>
      <c r="L43" s="6">
        <f t="shared" si="17"/>
        <v>-0.14697739056653722</v>
      </c>
      <c r="M43" s="6">
        <f t="shared" si="18"/>
        <v>2.3355841287661577E-2</v>
      </c>
      <c r="N43" s="6">
        <f t="shared" si="19"/>
        <v>5.4549532225443723E-4</v>
      </c>
      <c r="O43" s="6">
        <f>_xlfn.XLOOKUP(D43,'Instructor 360'!$B$6:$B$365,'Instructor 360'!$B$6:$B$365,,-1)</f>
        <v>810.58495821727024</v>
      </c>
      <c r="P43" s="6">
        <f>_xlfn.XLOOKUP(D43,'Instructor 360'!$B$6:$B$365,'Instructor 360'!$B$6:$B$365,,1)</f>
        <v>818.94150417827302</v>
      </c>
      <c r="Q43" s="6">
        <f>_xlfn.XLOOKUP(D43,'Instructor 360'!$B$6:$B$365,'Instructor 360'!$F$6:$F$365,,-1)</f>
        <v>-8.428724791086351</v>
      </c>
      <c r="R43" s="6">
        <f>_xlfn.XLOOKUP(D43,'Instructor 360'!$B$6:$B$365,'Instructor 360'!$F$6:$F$365,,1)</f>
        <v>-8.0265075208913661</v>
      </c>
      <c r="S43" s="6">
        <f t="shared" si="20"/>
        <v>-8.4211841633084958</v>
      </c>
      <c r="T43" s="6">
        <f t="shared" si="21"/>
        <v>-0.14697739056653711</v>
      </c>
      <c r="U43" s="6">
        <f t="shared" si="22"/>
        <v>2.3355841287661466E-2</v>
      </c>
      <c r="V43" s="6"/>
      <c r="W43" s="6">
        <f t="shared" si="23"/>
        <v>5.4549532225443202E-4</v>
      </c>
      <c r="AA43">
        <f t="shared" si="24"/>
        <v>816</v>
      </c>
      <c r="AB43">
        <f t="shared" si="25"/>
        <v>-0.12362154927887564</v>
      </c>
      <c r="AC43">
        <f t="shared" si="26"/>
        <v>-0.14697739056653711</v>
      </c>
    </row>
    <row r="44" spans="1:29" ht="18.95" customHeight="1">
      <c r="A44" s="4">
        <f t="shared" si="27"/>
        <v>732</v>
      </c>
      <c r="B44" s="6">
        <f>INDEX('Raw Data'!$B$6:$B$1371,MATCH(A44,'Raw Data'!$A$6:$A$1371,0))</f>
        <v>15711</v>
      </c>
      <c r="C44" s="6">
        <f t="shared" si="14"/>
        <v>836</v>
      </c>
      <c r="D44" s="6">
        <f>MOD(C44+Summary!$B$20,Summary!$B$11)</f>
        <v>830.74162379895915</v>
      </c>
      <c r="E44" s="6">
        <f>_xlfn.XLOOKUP(D44,'Native PMKS'!$C$6:$C$366,'Native PMKS'!$C$6:$C$366,,-1)</f>
        <v>825.00000000000011</v>
      </c>
      <c r="F44" s="6">
        <f>_xlfn.XLOOKUP(D44,'Native PMKS'!$C$6:$C$366,'Native PMKS'!$C$6:$C$366,,1)</f>
        <v>833.33333333333337</v>
      </c>
      <c r="G44" s="6">
        <f>_xlfn.XLOOKUP(D44,'Native PMKS'!$C$6:$C$366,'Native PMKS'!$N$6:$N$366,,-1)</f>
        <v>-7.7348999999999997</v>
      </c>
      <c r="H44" s="6">
        <f>_xlfn.XLOOKUP(D44,'Native PMKS'!$C$6:$C$366,'Native PMKS'!$N$6:$N$366,,1)</f>
        <v>-7.3338999999999999</v>
      </c>
      <c r="I44" s="6">
        <f t="shared" si="15"/>
        <v>-7.4586130627940861</v>
      </c>
      <c r="J44" s="6">
        <f>INDEX('Raw Data'!$S$6:$S$1371,MATCH(A44,'Raw Data'!$A$6:$A$1371,0))</f>
        <v>6.5486416816711399</v>
      </c>
      <c r="K44" s="6">
        <f t="shared" si="16"/>
        <v>-0.11429535887849977</v>
      </c>
      <c r="L44" s="6">
        <f t="shared" si="17"/>
        <v>-0.13017735557801538</v>
      </c>
      <c r="M44" s="6">
        <f t="shared" si="18"/>
        <v>1.5881996699515608E-2</v>
      </c>
      <c r="N44" s="6">
        <f t="shared" si="19"/>
        <v>2.5223781916342464E-4</v>
      </c>
      <c r="O44" s="6">
        <f>_xlfn.XLOOKUP(D44,'Instructor 360'!$B$6:$B$365,'Instructor 360'!$B$6:$B$365,,-1)</f>
        <v>827.2980501392758</v>
      </c>
      <c r="P44" s="6">
        <f>_xlfn.XLOOKUP(D44,'Instructor 360'!$B$6:$B$365,'Instructor 360'!$B$6:$B$365,,1)</f>
        <v>835.65459610027858</v>
      </c>
      <c r="Q44" s="6">
        <f>_xlfn.XLOOKUP(D44,'Instructor 360'!$B$6:$B$365,'Instructor 360'!$F$6:$F$365,,-1)</f>
        <v>-7.6243178272980527</v>
      </c>
      <c r="R44" s="6">
        <f>_xlfn.XLOOKUP(D44,'Instructor 360'!$B$6:$B$365,'Instructor 360'!$F$6:$F$365,,1)</f>
        <v>-7.2221729805013934</v>
      </c>
      <c r="S44" s="6">
        <f t="shared" si="20"/>
        <v>-7.4586015842152236</v>
      </c>
      <c r="T44" s="6">
        <f t="shared" si="21"/>
        <v>-0.13017715523902076</v>
      </c>
      <c r="U44" s="6">
        <f t="shared" si="22"/>
        <v>1.5881796360520992E-2</v>
      </c>
      <c r="V44" s="6"/>
      <c r="W44" s="6">
        <f t="shared" si="23"/>
        <v>2.5223145563705782E-4</v>
      </c>
      <c r="AA44">
        <f t="shared" si="24"/>
        <v>836</v>
      </c>
      <c r="AB44">
        <f t="shared" si="25"/>
        <v>-0.11429535887849977</v>
      </c>
      <c r="AC44">
        <f t="shared" si="26"/>
        <v>-0.13017715523902076</v>
      </c>
    </row>
    <row r="45" spans="1:29" ht="18.95" customHeight="1">
      <c r="A45" s="4">
        <f t="shared" si="27"/>
        <v>733</v>
      </c>
      <c r="B45" s="6">
        <f>INDEX('Raw Data'!$B$6:$B$1371,MATCH(A45,'Raw Data'!$A$6:$A$1371,0))</f>
        <v>15733</v>
      </c>
      <c r="C45" s="6">
        <f t="shared" si="14"/>
        <v>858</v>
      </c>
      <c r="D45" s="6">
        <f>MOD(C45+Summary!$B$20,Summary!$B$11)</f>
        <v>852.74162379895915</v>
      </c>
      <c r="E45" s="6">
        <f>_xlfn.XLOOKUP(D45,'Native PMKS'!$C$6:$C$366,'Native PMKS'!$C$6:$C$366,,-1)</f>
        <v>850.00000000000011</v>
      </c>
      <c r="F45" s="6">
        <f>_xlfn.XLOOKUP(D45,'Native PMKS'!$C$6:$C$366,'Native PMKS'!$C$6:$C$366,,1)</f>
        <v>858.33333333333337</v>
      </c>
      <c r="G45" s="6">
        <f>_xlfn.XLOOKUP(D45,'Native PMKS'!$C$6:$C$366,'Native PMKS'!$N$6:$N$366,,-1)</f>
        <v>-6.5316999999999998</v>
      </c>
      <c r="H45" s="6">
        <f>_xlfn.XLOOKUP(D45,'Native PMKS'!$C$6:$C$366,'Native PMKS'!$N$6:$N$366,,1)</f>
        <v>-6.1306000000000003</v>
      </c>
      <c r="I45" s="6">
        <f t="shared" si="15"/>
        <v>-6.3997401633085076</v>
      </c>
      <c r="J45" s="6">
        <f>INDEX('Raw Data'!$S$6:$S$1371,MATCH(A45,'Raw Data'!$A$6:$A$1371,0))</f>
        <v>5.5257411003112802</v>
      </c>
      <c r="K45" s="6">
        <f t="shared" si="16"/>
        <v>-9.644237581320611E-2</v>
      </c>
      <c r="L45" s="6">
        <f t="shared" si="17"/>
        <v>-0.11169653712185305</v>
      </c>
      <c r="M45" s="6">
        <f t="shared" si="18"/>
        <v>1.5254161308646944E-2</v>
      </c>
      <c r="N45" s="6">
        <f t="shared" si="19"/>
        <v>2.3268943723022144E-4</v>
      </c>
      <c r="O45" s="6">
        <f>_xlfn.XLOOKUP(D45,'Instructor 360'!$B$6:$B$365,'Instructor 360'!$B$6:$B$365,,-1)</f>
        <v>852.36768802228414</v>
      </c>
      <c r="P45" s="6">
        <f>_xlfn.XLOOKUP(D45,'Instructor 360'!$B$6:$B$365,'Instructor 360'!$B$6:$B$365,,1)</f>
        <v>860.72423398328692</v>
      </c>
      <c r="Q45" s="6">
        <f>_xlfn.XLOOKUP(D45,'Instructor 360'!$B$6:$B$365,'Instructor 360'!$F$6:$F$365,,-1)</f>
        <v>-6.4177384401114237</v>
      </c>
      <c r="R45" s="6">
        <f>_xlfn.XLOOKUP(D45,'Instructor 360'!$B$6:$B$365,'Instructor 360'!$F$6:$F$365,,1)</f>
        <v>-6.0319896935933164</v>
      </c>
      <c r="S45" s="6">
        <f t="shared" si="20"/>
        <v>-6.4004770910081277</v>
      </c>
      <c r="T45" s="6">
        <f t="shared" si="21"/>
        <v>-0.11170939893656057</v>
      </c>
      <c r="U45" s="6">
        <f t="shared" si="22"/>
        <v>1.5267023123354456E-2</v>
      </c>
      <c r="V45" s="6"/>
      <c r="W45" s="6">
        <f t="shared" si="23"/>
        <v>2.3308199504903967E-4</v>
      </c>
      <c r="AA45">
        <f t="shared" si="24"/>
        <v>858</v>
      </c>
      <c r="AB45">
        <f t="shared" si="25"/>
        <v>-9.644237581320611E-2</v>
      </c>
      <c r="AC45">
        <f t="shared" si="26"/>
        <v>-0.11170939893656057</v>
      </c>
    </row>
    <row r="46" spans="1:29" ht="18.95" customHeight="1">
      <c r="A46" s="4">
        <f t="shared" si="27"/>
        <v>734</v>
      </c>
      <c r="B46" s="6">
        <f>INDEX('Raw Data'!$B$6:$B$1371,MATCH(A46,'Raw Data'!$A$6:$A$1371,0))</f>
        <v>15755</v>
      </c>
      <c r="C46" s="6">
        <f t="shared" si="14"/>
        <v>880</v>
      </c>
      <c r="D46" s="6">
        <f>MOD(C46+Summary!$B$20,Summary!$B$11)</f>
        <v>874.74162379895915</v>
      </c>
      <c r="E46" s="6">
        <f>_xlfn.XLOOKUP(D46,'Native PMKS'!$C$6:$C$366,'Native PMKS'!$C$6:$C$366,,-1)</f>
        <v>866.66666666666674</v>
      </c>
      <c r="F46" s="6">
        <f>_xlfn.XLOOKUP(D46,'Native PMKS'!$C$6:$C$366,'Native PMKS'!$C$6:$C$366,,1)</f>
        <v>875.00000000000011</v>
      </c>
      <c r="G46" s="6">
        <f>_xlfn.XLOOKUP(D46,'Native PMKS'!$C$6:$C$366,'Native PMKS'!$N$6:$N$366,,-1)</f>
        <v>-5.7869000000000002</v>
      </c>
      <c r="H46" s="6">
        <f>_xlfn.XLOOKUP(D46,'Native PMKS'!$C$6:$C$366,'Native PMKS'!$N$6:$N$366,,1)</f>
        <v>-5.3857999999999997</v>
      </c>
      <c r="I46" s="6">
        <f t="shared" si="15"/>
        <v>-5.3982361633085105</v>
      </c>
      <c r="J46" s="6">
        <f>INDEX('Raw Data'!$S$6:$S$1371,MATCH(A46,'Raw Data'!$A$6:$A$1371,0))</f>
        <v>4.3959703445434597</v>
      </c>
      <c r="K46" s="6">
        <f t="shared" si="16"/>
        <v>-7.6724156332312915E-2</v>
      </c>
      <c r="L46" s="6">
        <f t="shared" si="17"/>
        <v>-9.4216994849959823E-2</v>
      </c>
      <c r="M46" s="6">
        <f t="shared" si="18"/>
        <v>1.7492838517646908E-2</v>
      </c>
      <c r="N46" s="6">
        <f t="shared" si="19"/>
        <v>3.059993994044713E-4</v>
      </c>
      <c r="O46" s="6">
        <f>_xlfn.XLOOKUP(D46,'Instructor 360'!$B$6:$B$365,'Instructor 360'!$B$6:$B$365,,-1)</f>
        <v>869.0807799442897</v>
      </c>
      <c r="P46" s="6">
        <f>_xlfn.XLOOKUP(D46,'Instructor 360'!$B$6:$B$365,'Instructor 360'!$B$6:$B$365,,1)</f>
        <v>877.43732590529248</v>
      </c>
      <c r="Q46" s="6">
        <f>_xlfn.XLOOKUP(D46,'Instructor 360'!$B$6:$B$365,'Instructor 360'!$F$6:$F$365,,-1)</f>
        <v>-5.6707038997214525</v>
      </c>
      <c r="R46" s="6">
        <f>_xlfn.XLOOKUP(D46,'Instructor 360'!$B$6:$B$365,'Instructor 360'!$F$6:$F$365,,1)</f>
        <v>-5.2684866295264667</v>
      </c>
      <c r="S46" s="6">
        <f t="shared" si="20"/>
        <v>-5.3982361633085105</v>
      </c>
      <c r="T46" s="6">
        <f t="shared" si="21"/>
        <v>-9.4216994849959823E-2</v>
      </c>
      <c r="U46" s="6">
        <f t="shared" si="22"/>
        <v>1.7492838517646908E-2</v>
      </c>
      <c r="V46" s="6"/>
      <c r="W46" s="6">
        <f t="shared" si="23"/>
        <v>3.059993994044713E-4</v>
      </c>
      <c r="AA46">
        <f t="shared" si="24"/>
        <v>880</v>
      </c>
      <c r="AB46">
        <f t="shared" si="25"/>
        <v>-7.6724156332312915E-2</v>
      </c>
      <c r="AC46">
        <f t="shared" si="26"/>
        <v>-9.4216994849959823E-2</v>
      </c>
    </row>
    <row r="47" spans="1:29" ht="18.95" customHeight="1">
      <c r="A47" s="4">
        <f t="shared" si="27"/>
        <v>735</v>
      </c>
      <c r="B47" s="6">
        <f>INDEX('Raw Data'!$B$6:$B$1371,MATCH(A47,'Raw Data'!$A$6:$A$1371,0))</f>
        <v>15785</v>
      </c>
      <c r="C47" s="6">
        <f t="shared" si="14"/>
        <v>910</v>
      </c>
      <c r="D47" s="6">
        <f>MOD(C47+Summary!$B$20,Summary!$B$11)</f>
        <v>904.74162379895915</v>
      </c>
      <c r="E47" s="6">
        <f>_xlfn.XLOOKUP(D47,'Native PMKS'!$C$6:$C$366,'Native PMKS'!$C$6:$C$366,,-1)</f>
        <v>900.00000000000011</v>
      </c>
      <c r="F47" s="6">
        <f>_xlfn.XLOOKUP(D47,'Native PMKS'!$C$6:$C$366,'Native PMKS'!$C$6:$C$366,,1)</f>
        <v>908.33333333333337</v>
      </c>
      <c r="G47" s="6">
        <f>_xlfn.XLOOKUP(D47,'Native PMKS'!$C$6:$C$366,'Native PMKS'!$N$6:$N$366,,-1)</f>
        <v>-4.1825999999999999</v>
      </c>
      <c r="H47" s="6">
        <f>_xlfn.XLOOKUP(D47,'Native PMKS'!$C$6:$C$366,'Native PMKS'!$N$6:$N$366,,1)</f>
        <v>-3.8388</v>
      </c>
      <c r="I47" s="6">
        <f t="shared" si="15"/>
        <v>-3.9869795685501472</v>
      </c>
      <c r="J47" s="6">
        <f>INDEX('Raw Data'!$S$6:$S$1371,MATCH(A47,'Raw Data'!$A$6:$A$1371,0))</f>
        <v>3.03719139099121</v>
      </c>
      <c r="K47" s="6">
        <f t="shared" si="16"/>
        <v>-5.3008989786023059E-2</v>
      </c>
      <c r="L47" s="6">
        <f t="shared" si="17"/>
        <v>-6.9585920680943034E-2</v>
      </c>
      <c r="M47" s="6">
        <f t="shared" si="18"/>
        <v>1.6576930894919975E-2</v>
      </c>
      <c r="N47" s="6">
        <f t="shared" si="19"/>
        <v>2.7479463789495238E-4</v>
      </c>
      <c r="O47" s="6">
        <f>_xlfn.XLOOKUP(D47,'Instructor 360'!$B$6:$B$365,'Instructor 360'!$B$6:$B$365,,-1)</f>
        <v>902.50696378830082</v>
      </c>
      <c r="P47" s="6">
        <f>_xlfn.XLOOKUP(D47,'Instructor 360'!$B$6:$B$365,'Instructor 360'!$B$6:$B$365,,1)</f>
        <v>910.8635097493036</v>
      </c>
      <c r="Q47" s="6">
        <f>_xlfn.XLOOKUP(D47,'Instructor 360'!$B$6:$B$365,'Instructor 360'!$F$6:$F$365,,-1)</f>
        <v>-4.0791727019498651</v>
      </c>
      <c r="R47" s="6">
        <f>_xlfn.XLOOKUP(D47,'Instructor 360'!$B$6:$B$365,'Instructor 360'!$F$6:$F$365,,1)</f>
        <v>-3.7170175487465213</v>
      </c>
      <c r="S47" s="6">
        <f t="shared" si="20"/>
        <v>-3.9823272298739596</v>
      </c>
      <c r="T47" s="6">
        <f t="shared" si="21"/>
        <v>-6.9504722053125675E-2</v>
      </c>
      <c r="U47" s="6">
        <f t="shared" si="22"/>
        <v>1.6495732267102617E-2</v>
      </c>
      <c r="V47" s="6"/>
      <c r="W47" s="6">
        <f t="shared" si="23"/>
        <v>2.7210918302793046E-4</v>
      </c>
      <c r="AA47">
        <f t="shared" si="24"/>
        <v>910</v>
      </c>
      <c r="AB47">
        <f t="shared" si="25"/>
        <v>-5.3008989786023059E-2</v>
      </c>
      <c r="AC47">
        <f t="shared" si="26"/>
        <v>-6.9504722053125675E-2</v>
      </c>
    </row>
    <row r="48" spans="1:29" ht="18.95" customHeight="1">
      <c r="A48" s="4">
        <f t="shared" si="27"/>
        <v>736</v>
      </c>
      <c r="B48" s="6">
        <f>INDEX('Raw Data'!$B$6:$B$1371,MATCH(A48,'Raw Data'!$A$6:$A$1371,0))</f>
        <v>15805</v>
      </c>
      <c r="C48" s="6">
        <f t="shared" si="14"/>
        <v>930</v>
      </c>
      <c r="D48" s="6">
        <f>MOD(C48+Summary!$B$20,Summary!$B$11)</f>
        <v>924.74162379895915</v>
      </c>
      <c r="E48" s="6">
        <f>_xlfn.XLOOKUP(D48,'Native PMKS'!$C$6:$C$366,'Native PMKS'!$C$6:$C$366,,-1)</f>
        <v>916.66666666666674</v>
      </c>
      <c r="F48" s="6">
        <f>_xlfn.XLOOKUP(D48,'Native PMKS'!$C$6:$C$366,'Native PMKS'!$C$6:$C$366,,1)</f>
        <v>925.00000000000011</v>
      </c>
      <c r="G48" s="6">
        <f>_xlfn.XLOOKUP(D48,'Native PMKS'!$C$6:$C$366,'Native PMKS'!$N$6:$N$366,,-1)</f>
        <v>-3.4377</v>
      </c>
      <c r="H48" s="6">
        <f>_xlfn.XLOOKUP(D48,'Native PMKS'!$C$6:$C$366,'Native PMKS'!$N$6:$N$366,,1)</f>
        <v>-3.0367000000000002</v>
      </c>
      <c r="I48" s="6">
        <f t="shared" si="15"/>
        <v>-3.0491330627940911</v>
      </c>
      <c r="J48" s="6">
        <f>INDEX('Raw Data'!$S$6:$S$1371,MATCH(A48,'Raw Data'!$A$6:$A$1371,0))</f>
        <v>2.1058936119079599</v>
      </c>
      <c r="K48" s="6">
        <f t="shared" si="16"/>
        <v>-3.6754777224509566E-2</v>
      </c>
      <c r="L48" s="6">
        <f t="shared" si="17"/>
        <v>-5.3217411277175899E-2</v>
      </c>
      <c r="M48" s="6">
        <f t="shared" si="18"/>
        <v>1.6462634052666333E-2</v>
      </c>
      <c r="N48" s="6">
        <f t="shared" si="19"/>
        <v>2.7101831995200915E-4</v>
      </c>
      <c r="O48" s="6">
        <f>_xlfn.XLOOKUP(D48,'Instructor 360'!$B$6:$B$365,'Instructor 360'!$B$6:$B$365,,-1)</f>
        <v>919.22005571030638</v>
      </c>
      <c r="P48" s="6">
        <f>_xlfn.XLOOKUP(D48,'Instructor 360'!$B$6:$B$365,'Instructor 360'!$B$6:$B$365,,1)</f>
        <v>927.57660167130916</v>
      </c>
      <c r="Q48" s="6">
        <f>_xlfn.XLOOKUP(D48,'Instructor 360'!$B$6:$B$365,'Instructor 360'!$F$6:$F$365,,-1)</f>
        <v>-3.3148309192200611</v>
      </c>
      <c r="R48" s="6">
        <f>_xlfn.XLOOKUP(D48,'Instructor 360'!$B$6:$B$365,'Instructor 360'!$F$6:$F$365,,1)</f>
        <v>-2.9126830083565518</v>
      </c>
      <c r="S48" s="6">
        <f t="shared" si="20"/>
        <v>-3.0491126329921627</v>
      </c>
      <c r="T48" s="6">
        <f t="shared" si="21"/>
        <v>-5.3217054709866721E-2</v>
      </c>
      <c r="U48" s="6">
        <f t="shared" si="22"/>
        <v>1.6462277485357155E-2</v>
      </c>
      <c r="V48" s="6"/>
      <c r="W48" s="6">
        <f t="shared" si="23"/>
        <v>2.710065800048971E-4</v>
      </c>
      <c r="AA48">
        <f t="shared" si="24"/>
        <v>930</v>
      </c>
      <c r="AB48">
        <f t="shared" si="25"/>
        <v>-3.6754777224509566E-2</v>
      </c>
      <c r="AC48">
        <f t="shared" si="26"/>
        <v>-5.3217054709866721E-2</v>
      </c>
    </row>
    <row r="49" spans="1:29" ht="18.95" customHeight="1">
      <c r="A49" s="4">
        <f t="shared" si="27"/>
        <v>737</v>
      </c>
      <c r="B49" s="6">
        <f>INDEX('Raw Data'!$B$6:$B$1371,MATCH(A49,'Raw Data'!$A$6:$A$1371,0))</f>
        <v>15828</v>
      </c>
      <c r="C49" s="6">
        <f t="shared" si="14"/>
        <v>953</v>
      </c>
      <c r="D49" s="6">
        <f>MOD(C49+Summary!$B$20,Summary!$B$11)</f>
        <v>947.74162379895915</v>
      </c>
      <c r="E49" s="6">
        <f>_xlfn.XLOOKUP(D49,'Native PMKS'!$C$6:$C$366,'Native PMKS'!$C$6:$C$366,,-1)</f>
        <v>941.66666666666674</v>
      </c>
      <c r="F49" s="6">
        <f>_xlfn.XLOOKUP(D49,'Native PMKS'!$C$6:$C$366,'Native PMKS'!$C$6:$C$366,,1)</f>
        <v>950.00000000000011</v>
      </c>
      <c r="G49" s="6">
        <f>_xlfn.XLOOKUP(D49,'Native PMKS'!$C$6:$C$366,'Native PMKS'!$N$6:$N$366,,-1)</f>
        <v>-2.2345000000000002</v>
      </c>
      <c r="H49" s="6">
        <f>_xlfn.XLOOKUP(D49,'Native PMKS'!$C$6:$C$366,'Native PMKS'!$N$6:$N$366,,1)</f>
        <v>-1.8908</v>
      </c>
      <c r="I49" s="6">
        <f t="shared" si="15"/>
        <v>-1.9839444680357374</v>
      </c>
      <c r="J49" s="6">
        <f>INDEX('Raw Data'!$S$6:$S$1371,MATCH(A49,'Raw Data'!$A$6:$A$1371,0))</f>
        <v>1.1135272979736299</v>
      </c>
      <c r="K49" s="6">
        <f t="shared" si="16"/>
        <v>-1.9434717660475824E-2</v>
      </c>
      <c r="L49" s="6">
        <f t="shared" si="17"/>
        <v>-3.4626363143951018E-2</v>
      </c>
      <c r="M49" s="6">
        <f t="shared" si="18"/>
        <v>1.5191645483475194E-2</v>
      </c>
      <c r="N49" s="6">
        <f t="shared" si="19"/>
        <v>2.3078609249559226E-4</v>
      </c>
      <c r="O49" s="6">
        <f>_xlfn.XLOOKUP(D49,'Instructor 360'!$B$6:$B$365,'Instructor 360'!$B$6:$B$365,,-1)</f>
        <v>944.28969359331472</v>
      </c>
      <c r="P49" s="6">
        <f>_xlfn.XLOOKUP(D49,'Instructor 360'!$B$6:$B$365,'Instructor 360'!$B$6:$B$365,,1)</f>
        <v>952.6462395543175</v>
      </c>
      <c r="Q49" s="6">
        <f>_xlfn.XLOOKUP(D49,'Instructor 360'!$B$6:$B$365,'Instructor 360'!$F$6:$F$365,,-1)</f>
        <v>-2.1263158774373312</v>
      </c>
      <c r="R49" s="6">
        <f>_xlfn.XLOOKUP(D49,'Instructor 360'!$B$6:$B$365,'Instructor 360'!$F$6:$F$365,,1)</f>
        <v>-1.7634311977715942</v>
      </c>
      <c r="S49" s="6">
        <f t="shared" si="20"/>
        <v>-1.9764151178711771</v>
      </c>
      <c r="T49" s="6">
        <f t="shared" si="21"/>
        <v>-3.4494951193043862E-2</v>
      </c>
      <c r="U49" s="6">
        <f t="shared" si="22"/>
        <v>1.5060233532568038E-2</v>
      </c>
      <c r="V49" s="6"/>
      <c r="W49" s="6">
        <f t="shared" si="23"/>
        <v>2.2681063405548675E-4</v>
      </c>
      <c r="AA49">
        <f t="shared" si="24"/>
        <v>953</v>
      </c>
      <c r="AB49">
        <f t="shared" si="25"/>
        <v>-1.9434717660475824E-2</v>
      </c>
      <c r="AC49">
        <f t="shared" si="26"/>
        <v>-3.4494951193043862E-2</v>
      </c>
    </row>
    <row r="50" spans="1:29" ht="18.95" customHeight="1">
      <c r="A50" s="4">
        <f t="shared" si="27"/>
        <v>738</v>
      </c>
      <c r="B50" s="6">
        <f>INDEX('Raw Data'!$B$6:$B$1371,MATCH(A50,'Raw Data'!$A$6:$A$1371,0))</f>
        <v>15848</v>
      </c>
      <c r="C50" s="6">
        <f t="shared" si="14"/>
        <v>973</v>
      </c>
      <c r="D50" s="6">
        <f>MOD(C50+Summary!$B$20,Summary!$B$11)</f>
        <v>967.74162379895915</v>
      </c>
      <c r="E50" s="6">
        <f>_xlfn.XLOOKUP(D50,'Native PMKS'!$C$6:$C$366,'Native PMKS'!$C$6:$C$366,,-1)</f>
        <v>966.66666666666674</v>
      </c>
      <c r="F50" s="6">
        <f>_xlfn.XLOOKUP(D50,'Native PMKS'!$C$6:$C$366,'Native PMKS'!$C$6:$C$366,,1)</f>
        <v>975.00000000000011</v>
      </c>
      <c r="G50" s="6">
        <f>_xlfn.XLOOKUP(D50,'Native PMKS'!$C$6:$C$366,'Native PMKS'!$N$6:$N$366,,-1)</f>
        <v>-1.0886</v>
      </c>
      <c r="H50" s="6">
        <f>_xlfn.XLOOKUP(D50,'Native PMKS'!$C$6:$C$366,'Native PMKS'!$N$6:$N$366,,1)</f>
        <v>-0.6875</v>
      </c>
      <c r="I50" s="6">
        <f t="shared" si="15"/>
        <v>-1.0368601633085035</v>
      </c>
      <c r="J50" s="6">
        <f>INDEX('Raw Data'!$S$6:$S$1371,MATCH(A50,'Raw Data'!$A$6:$A$1371,0))</f>
        <v>-0.107846736907959</v>
      </c>
      <c r="K50" s="6">
        <f t="shared" si="16"/>
        <v>1.8822806465759734E-3</v>
      </c>
      <c r="L50" s="6">
        <f t="shared" si="17"/>
        <v>-1.8096623732499487E-2</v>
      </c>
      <c r="M50" s="6">
        <f t="shared" si="18"/>
        <v>1.9978904379075461E-2</v>
      </c>
      <c r="N50" s="6">
        <f t="shared" si="19"/>
        <v>3.9915662018824062E-4</v>
      </c>
      <c r="O50" s="6">
        <f>_xlfn.XLOOKUP(D50,'Instructor 360'!$B$6:$B$365,'Instructor 360'!$B$6:$B$365,,-1)</f>
        <v>961.00278551532028</v>
      </c>
      <c r="P50" s="6">
        <f>_xlfn.XLOOKUP(D50,'Instructor 360'!$B$6:$B$365,'Instructor 360'!$B$6:$B$365,,1)</f>
        <v>969.35933147632306</v>
      </c>
      <c r="Q50" s="6">
        <f>_xlfn.XLOOKUP(D50,'Instructor 360'!$B$6:$B$365,'Instructor 360'!$F$6:$F$365,,-1)</f>
        <v>-1.3612139275766066</v>
      </c>
      <c r="R50" s="6">
        <f>_xlfn.XLOOKUP(D50,'Instructor 360'!$B$6:$B$365,'Instructor 360'!$F$6:$F$365,,1)</f>
        <v>-0.95899665738162254</v>
      </c>
      <c r="S50" s="6">
        <f t="shared" si="20"/>
        <v>-1.0368601633084964</v>
      </c>
      <c r="T50" s="6">
        <f t="shared" si="21"/>
        <v>-1.8096623732499366E-2</v>
      </c>
      <c r="U50" s="6">
        <f t="shared" si="22"/>
        <v>1.9978904379075339E-2</v>
      </c>
      <c r="V50" s="6"/>
      <c r="W50" s="6">
        <f t="shared" si="23"/>
        <v>3.9915662018823579E-4</v>
      </c>
      <c r="AA50">
        <f t="shared" si="24"/>
        <v>973</v>
      </c>
      <c r="AB50">
        <f t="shared" si="25"/>
        <v>1.8822806465759734E-3</v>
      </c>
      <c r="AC50">
        <f t="shared" si="26"/>
        <v>-1.8096623732499366E-2</v>
      </c>
    </row>
    <row r="51" spans="1:29" ht="18.95" customHeight="1">
      <c r="A51" s="4">
        <f t="shared" si="27"/>
        <v>739</v>
      </c>
      <c r="B51" s="6">
        <f>INDEX('Raw Data'!$B$6:$B$1371,MATCH(A51,'Raw Data'!$A$6:$A$1371,0))</f>
        <v>15869</v>
      </c>
      <c r="C51" s="6">
        <f t="shared" si="14"/>
        <v>994</v>
      </c>
      <c r="D51" s="6">
        <f>MOD(C51+Summary!$B$20,Summary!$B$11)</f>
        <v>988.74162379895915</v>
      </c>
      <c r="E51" s="6">
        <f>_xlfn.XLOOKUP(D51,'Native PMKS'!$C$6:$C$366,'Native PMKS'!$C$6:$C$366,,-1)</f>
        <v>983.33333333333337</v>
      </c>
      <c r="F51" s="6">
        <f>_xlfn.XLOOKUP(D51,'Native PMKS'!$C$6:$C$366,'Native PMKS'!$C$6:$C$366,,1)</f>
        <v>991.66666666666674</v>
      </c>
      <c r="G51" s="6">
        <f>_xlfn.XLOOKUP(D51,'Native PMKS'!$C$6:$C$366,'Native PMKS'!$N$6:$N$366,,-1)</f>
        <v>-0.28649999999999998</v>
      </c>
      <c r="H51" s="6">
        <f>_xlfn.XLOOKUP(D51,'Native PMKS'!$C$6:$C$366,'Native PMKS'!$N$6:$N$366,,1)</f>
        <v>0.11459999999999999</v>
      </c>
      <c r="I51" s="6">
        <f t="shared" si="15"/>
        <v>-2.6188163308496826E-2</v>
      </c>
      <c r="J51" s="6">
        <f>INDEX('Raw Data'!$S$6:$S$1371,MATCH(A51,'Raw Data'!$A$6:$A$1371,0))</f>
        <v>-1.1460146903991699</v>
      </c>
      <c r="K51" s="6">
        <f t="shared" si="16"/>
        <v>2.0001729623688961E-2</v>
      </c>
      <c r="L51" s="6">
        <f t="shared" si="17"/>
        <v>-4.5706967478324111E-4</v>
      </c>
      <c r="M51" s="6">
        <f t="shared" si="18"/>
        <v>2.0458799298472202E-2</v>
      </c>
      <c r="N51" s="6">
        <f t="shared" si="19"/>
        <v>4.1856246873516666E-4</v>
      </c>
      <c r="O51" s="6">
        <f>_xlfn.XLOOKUP(D51,'Instructor 360'!$B$6:$B$365,'Instructor 360'!$B$6:$B$365,,-1)</f>
        <v>986.07242339832874</v>
      </c>
      <c r="P51" s="6">
        <f>_xlfn.XLOOKUP(D51,'Instructor 360'!$B$6:$B$365,'Instructor 360'!$B$6:$B$365,,1)</f>
        <v>994.42896935933152</v>
      </c>
      <c r="Q51" s="6">
        <f>_xlfn.XLOOKUP(D51,'Instructor 360'!$B$6:$B$365,'Instructor 360'!$F$6:$F$365,,-1)</f>
        <v>-0.15466211699164362</v>
      </c>
      <c r="R51" s="6">
        <f>_xlfn.XLOOKUP(D51,'Instructor 360'!$B$6:$B$365,'Instructor 360'!$F$6:$F$365,,1)</f>
        <v>0.24755515320334037</v>
      </c>
      <c r="S51" s="6">
        <f t="shared" si="20"/>
        <v>-2.6188163308496826E-2</v>
      </c>
      <c r="T51" s="6">
        <f t="shared" si="21"/>
        <v>-4.5706967478324111E-4</v>
      </c>
      <c r="U51" s="6">
        <f t="shared" si="22"/>
        <v>2.0458799298472202E-2</v>
      </c>
      <c r="V51" s="6"/>
      <c r="W51" s="6">
        <f t="shared" si="23"/>
        <v>4.1856246873516666E-4</v>
      </c>
      <c r="AA51">
        <f t="shared" si="24"/>
        <v>994</v>
      </c>
      <c r="AB51">
        <f t="shared" si="25"/>
        <v>2.0001729623688961E-2</v>
      </c>
      <c r="AC51">
        <f t="shared" si="26"/>
        <v>-4.5706967478324111E-4</v>
      </c>
    </row>
    <row r="52" spans="1:29" ht="18.95" customHeight="1">
      <c r="A52" s="4">
        <f t="shared" si="27"/>
        <v>740</v>
      </c>
      <c r="B52" s="6">
        <f>INDEX('Raw Data'!$B$6:$B$1371,MATCH(A52,'Raw Data'!$A$6:$A$1371,0))</f>
        <v>15891</v>
      </c>
      <c r="C52" s="6">
        <f t="shared" si="14"/>
        <v>1016</v>
      </c>
      <c r="D52" s="6">
        <f>MOD(C52+Summary!$B$20,Summary!$B$11)</f>
        <v>1010.7416237989592</v>
      </c>
      <c r="E52" s="6">
        <f>_xlfn.XLOOKUP(D52,'Native PMKS'!$C$6:$C$366,'Native PMKS'!$C$6:$C$366,,-1)</f>
        <v>1008.3333333333334</v>
      </c>
      <c r="F52" s="6">
        <f>_xlfn.XLOOKUP(D52,'Native PMKS'!$C$6:$C$366,'Native PMKS'!$C$6:$C$366,,1)</f>
        <v>1016.6666666666667</v>
      </c>
      <c r="G52" s="6">
        <f>_xlfn.XLOOKUP(D52,'Native PMKS'!$C$6:$C$366,'Native PMKS'!$N$6:$N$366,,-1)</f>
        <v>0.91669999999999996</v>
      </c>
      <c r="H52" s="6">
        <f>_xlfn.XLOOKUP(D52,'Native PMKS'!$C$6:$C$366,'Native PMKS'!$N$6:$N$366,,1)</f>
        <v>1.3178000000000001</v>
      </c>
      <c r="I52" s="6">
        <f t="shared" si="15"/>
        <v>1.0326158366914981</v>
      </c>
      <c r="J52" s="6">
        <f>INDEX('Raw Data'!$S$6:$S$1371,MATCH(A52,'Raw Data'!$A$6:$A$1371,0))</f>
        <v>-2.0315108299255402</v>
      </c>
      <c r="K52" s="6">
        <f t="shared" si="16"/>
        <v>3.5456552772123229E-2</v>
      </c>
      <c r="L52" s="6">
        <f t="shared" si="17"/>
        <v>1.8022546258502713E-2</v>
      </c>
      <c r="M52" s="6">
        <f t="shared" si="18"/>
        <v>1.7434006513620516E-2</v>
      </c>
      <c r="N52" s="6">
        <f t="shared" si="19"/>
        <v>3.039445831169626E-4</v>
      </c>
      <c r="O52" s="6">
        <f>_xlfn.XLOOKUP(D52,'Instructor 360'!$B$6:$B$365,'Instructor 360'!$B$6:$B$365,,-1)</f>
        <v>1002.7855153203343</v>
      </c>
      <c r="P52" s="6">
        <f>_xlfn.XLOOKUP(D52,'Instructor 360'!$B$6:$B$365,'Instructor 360'!$B$6:$B$365,,1)</f>
        <v>1011.1420612813371</v>
      </c>
      <c r="Q52" s="6">
        <f>_xlfn.XLOOKUP(D52,'Instructor 360'!$B$6:$B$365,'Instructor 360'!$F$6:$F$365,,-1)</f>
        <v>0.64973899721448225</v>
      </c>
      <c r="R52" s="6">
        <f>_xlfn.XLOOKUP(D52,'Instructor 360'!$B$6:$B$365,'Instructor 360'!$F$6:$F$365,,1)</f>
        <v>1.0518896935933137</v>
      </c>
      <c r="S52" s="6">
        <f t="shared" si="20"/>
        <v>1.0326190268434416</v>
      </c>
      <c r="T52" s="6">
        <f t="shared" si="21"/>
        <v>1.8022601937157764E-2</v>
      </c>
      <c r="U52" s="6">
        <f t="shared" si="22"/>
        <v>1.7433950834965465E-2</v>
      </c>
      <c r="V52" s="6"/>
      <c r="W52" s="6">
        <f t="shared" si="23"/>
        <v>3.0394264171599303E-4</v>
      </c>
      <c r="AA52">
        <f t="shared" si="24"/>
        <v>1016</v>
      </c>
      <c r="AB52">
        <f t="shared" si="25"/>
        <v>3.5456552772123229E-2</v>
      </c>
      <c r="AC52">
        <f t="shared" si="26"/>
        <v>1.8022601937157764E-2</v>
      </c>
    </row>
    <row r="53" spans="1:29" ht="18.95" customHeight="1">
      <c r="A53" s="4">
        <f t="shared" si="27"/>
        <v>741</v>
      </c>
      <c r="B53" s="6">
        <f>INDEX('Raw Data'!$B$6:$B$1371,MATCH(A53,'Raw Data'!$A$6:$A$1371,0))</f>
        <v>15911</v>
      </c>
      <c r="C53" s="6">
        <f t="shared" si="14"/>
        <v>1036</v>
      </c>
      <c r="D53" s="6">
        <f>MOD(C53+Summary!$B$20,Summary!$B$11)</f>
        <v>1030.7416237989592</v>
      </c>
      <c r="E53" s="6">
        <f>_xlfn.XLOOKUP(D53,'Native PMKS'!$C$6:$C$366,'Native PMKS'!$C$6:$C$366,,-1)</f>
        <v>1025</v>
      </c>
      <c r="F53" s="6">
        <f>_xlfn.XLOOKUP(D53,'Native PMKS'!$C$6:$C$366,'Native PMKS'!$C$6:$C$366,,1)</f>
        <v>1033.3333333333335</v>
      </c>
      <c r="G53" s="6">
        <f>_xlfn.XLOOKUP(D53,'Native PMKS'!$C$6:$C$366,'Native PMKS'!$N$6:$N$366,,-1)</f>
        <v>1.7189000000000001</v>
      </c>
      <c r="H53" s="6">
        <f>_xlfn.XLOOKUP(D53,'Native PMKS'!$C$6:$C$366,'Native PMKS'!$N$6:$N$366,,1)</f>
        <v>2.1198999999999999</v>
      </c>
      <c r="I53" s="6">
        <f t="shared" si="15"/>
        <v>1.9951869372059079</v>
      </c>
      <c r="J53" s="6">
        <f>INDEX('Raw Data'!$S$6:$S$1371,MATCH(A53,'Raw Data'!$A$6:$A$1371,0))</f>
        <v>-3.0544114112853999</v>
      </c>
      <c r="K53" s="6">
        <f t="shared" si="16"/>
        <v>5.3309535837416919E-2</v>
      </c>
      <c r="L53" s="6">
        <f t="shared" si="17"/>
        <v>3.4822581247024448E-2</v>
      </c>
      <c r="M53" s="6">
        <f t="shared" si="18"/>
        <v>1.8486954590392471E-2</v>
      </c>
      <c r="N53" s="6">
        <f t="shared" si="19"/>
        <v>3.4176749002723324E-4</v>
      </c>
      <c r="O53" s="6">
        <f>_xlfn.XLOOKUP(D53,'Instructor 360'!$B$6:$B$365,'Instructor 360'!$B$6:$B$365,,-1)</f>
        <v>1027.8551532033425</v>
      </c>
      <c r="P53" s="6">
        <f>_xlfn.XLOOKUP(D53,'Instructor 360'!$B$6:$B$365,'Instructor 360'!$B$6:$B$365,,1)</f>
        <v>1036.2116991643454</v>
      </c>
      <c r="Q53" s="6">
        <f>_xlfn.XLOOKUP(D53,'Instructor 360'!$B$6:$B$365,'Instructor 360'!$F$6:$F$365,,-1)</f>
        <v>1.8562899721448398</v>
      </c>
      <c r="R53" s="6">
        <f>_xlfn.XLOOKUP(D53,'Instructor 360'!$B$6:$B$365,'Instructor 360'!$F$6:$F$365,,1)</f>
        <v>2.2584415041782675</v>
      </c>
      <c r="S53" s="6">
        <f t="shared" si="20"/>
        <v>1.9951988679510393</v>
      </c>
      <c r="T53" s="6">
        <f t="shared" si="21"/>
        <v>3.4822789477809202E-2</v>
      </c>
      <c r="U53" s="6">
        <f t="shared" si="22"/>
        <v>1.8486746359607717E-2</v>
      </c>
      <c r="V53" s="6"/>
      <c r="W53" s="6">
        <f t="shared" si="23"/>
        <v>3.4175979096446918E-4</v>
      </c>
      <c r="AA53">
        <f t="shared" si="24"/>
        <v>1036</v>
      </c>
      <c r="AB53">
        <f t="shared" si="25"/>
        <v>5.3309535837416919E-2</v>
      </c>
      <c r="AC53">
        <f t="shared" si="26"/>
        <v>3.4822789477809202E-2</v>
      </c>
    </row>
    <row r="54" spans="1:29" ht="18.95" customHeight="1">
      <c r="A54" s="4">
        <f t="shared" si="27"/>
        <v>742</v>
      </c>
      <c r="B54" s="6">
        <f>INDEX('Raw Data'!$B$6:$B$1371,MATCH(A54,'Raw Data'!$A$6:$A$1371,0))</f>
        <v>15931</v>
      </c>
      <c r="C54" s="6">
        <f t="shared" si="14"/>
        <v>1056</v>
      </c>
      <c r="D54" s="6">
        <f>MOD(C54+Summary!$B$20,Summary!$B$11)</f>
        <v>1050.7416237989592</v>
      </c>
      <c r="E54" s="6">
        <f>_xlfn.XLOOKUP(D54,'Native PMKS'!$C$6:$C$366,'Native PMKS'!$C$6:$C$366,,-1)</f>
        <v>1050</v>
      </c>
      <c r="F54" s="6">
        <f>_xlfn.XLOOKUP(D54,'Native PMKS'!$C$6:$C$366,'Native PMKS'!$C$6:$C$366,,1)</f>
        <v>1058.3333333333335</v>
      </c>
      <c r="G54" s="6">
        <f>_xlfn.XLOOKUP(D54,'Native PMKS'!$C$6:$C$366,'Native PMKS'!$N$6:$N$366,,-1)</f>
        <v>2.9220999999999999</v>
      </c>
      <c r="H54" s="6">
        <f>_xlfn.XLOOKUP(D54,'Native PMKS'!$C$6:$C$366,'Native PMKS'!$N$6:$N$366,,1)</f>
        <v>3.3805000000000001</v>
      </c>
      <c r="I54" s="6">
        <f t="shared" si="15"/>
        <v>2.9628952419331398</v>
      </c>
      <c r="J54" s="6">
        <f>INDEX('Raw Data'!$S$6:$S$1371,MATCH(A54,'Raw Data'!$A$6:$A$1371,0))</f>
        <v>-4.1536483764648402</v>
      </c>
      <c r="K54" s="6">
        <f t="shared" si="16"/>
        <v>7.2494840139428404E-2</v>
      </c>
      <c r="L54" s="6">
        <f t="shared" si="17"/>
        <v>5.171227736340725E-2</v>
      </c>
      <c r="M54" s="6">
        <f t="shared" si="18"/>
        <v>2.0782562776021155E-2</v>
      </c>
      <c r="N54" s="6">
        <f t="shared" si="19"/>
        <v>4.3191491553926011E-4</v>
      </c>
      <c r="O54" s="6">
        <f>_xlfn.XLOOKUP(D54,'Instructor 360'!$B$6:$B$365,'Instructor 360'!$B$6:$B$365,,-1)</f>
        <v>1044.5682451253481</v>
      </c>
      <c r="P54" s="6">
        <f>_xlfn.XLOOKUP(D54,'Instructor 360'!$B$6:$B$365,'Instructor 360'!$B$6:$B$365,,1)</f>
        <v>1052.924791086351</v>
      </c>
      <c r="Q54" s="6">
        <f>_xlfn.XLOOKUP(D54,'Instructor 360'!$B$6:$B$365,'Instructor 360'!$F$6:$F$365,,-1)</f>
        <v>2.6606587743732515</v>
      </c>
      <c r="R54" s="6">
        <f>_xlfn.XLOOKUP(D54,'Instructor 360'!$B$6:$B$365,'Instructor 360'!$F$6:$F$365,,1)</f>
        <v>3.0829869080779915</v>
      </c>
      <c r="S54" s="6">
        <f t="shared" si="20"/>
        <v>2.9726526898074042</v>
      </c>
      <c r="T54" s="6">
        <f t="shared" si="21"/>
        <v>5.1882576955404887E-2</v>
      </c>
      <c r="U54" s="6">
        <f t="shared" si="22"/>
        <v>2.0612263184023517E-2</v>
      </c>
      <c r="V54" s="6"/>
      <c r="W54" s="6">
        <f t="shared" si="23"/>
        <v>4.2486539356745133E-4</v>
      </c>
      <c r="AA54">
        <f t="shared" si="24"/>
        <v>1056</v>
      </c>
      <c r="AB54">
        <f t="shared" si="25"/>
        <v>7.2494840139428404E-2</v>
      </c>
      <c r="AC54">
        <f t="shared" si="26"/>
        <v>5.1882576955404887E-2</v>
      </c>
    </row>
    <row r="55" spans="1:29" ht="18.95" customHeight="1">
      <c r="A55" s="4">
        <f t="shared" si="27"/>
        <v>743</v>
      </c>
      <c r="B55" s="6">
        <f>INDEX('Raw Data'!$B$6:$B$1371,MATCH(A55,'Raw Data'!$A$6:$A$1371,0))</f>
        <v>15951</v>
      </c>
      <c r="C55" s="6">
        <f t="shared" si="14"/>
        <v>1076</v>
      </c>
      <c r="D55" s="6">
        <f>MOD(C55+Summary!$B$20,Summary!$B$11)</f>
        <v>1070.7416237989592</v>
      </c>
      <c r="E55" s="6">
        <f>_xlfn.XLOOKUP(D55,'Native PMKS'!$C$6:$C$366,'Native PMKS'!$C$6:$C$366,,-1)</f>
        <v>1066.6666666666667</v>
      </c>
      <c r="F55" s="6">
        <f>_xlfn.XLOOKUP(D55,'Native PMKS'!$C$6:$C$366,'Native PMKS'!$C$6:$C$366,,1)</f>
        <v>1075</v>
      </c>
      <c r="G55" s="6">
        <f>_xlfn.XLOOKUP(D55,'Native PMKS'!$C$6:$C$366,'Native PMKS'!$N$6:$N$366,,-1)</f>
        <v>3.7814999999999999</v>
      </c>
      <c r="H55" s="6">
        <f>_xlfn.XLOOKUP(D55,'Native PMKS'!$C$6:$C$366,'Native PMKS'!$N$6:$N$366,,1)</f>
        <v>4.1825999999999999</v>
      </c>
      <c r="I55" s="6">
        <f t="shared" si="15"/>
        <v>3.9776358366914977</v>
      </c>
      <c r="J55" s="6">
        <f>INDEX('Raw Data'!$S$6:$S$1371,MATCH(A55,'Raw Data'!$A$6:$A$1371,0))</f>
        <v>-4.8101367950439498</v>
      </c>
      <c r="K55" s="6">
        <f t="shared" si="16"/>
        <v>8.3952724544844579E-2</v>
      </c>
      <c r="L55" s="6">
        <f t="shared" si="17"/>
        <v>6.942284179558611E-2</v>
      </c>
      <c r="M55" s="6">
        <f t="shared" si="18"/>
        <v>1.4529882749258469E-2</v>
      </c>
      <c r="N55" s="6">
        <f t="shared" si="19"/>
        <v>2.1111749270719883E-4</v>
      </c>
      <c r="O55" s="6">
        <f>_xlfn.XLOOKUP(D55,'Instructor 360'!$B$6:$B$365,'Instructor 360'!$B$6:$B$365,,-1)</f>
        <v>1069.6378830083565</v>
      </c>
      <c r="P55" s="6">
        <f>_xlfn.XLOOKUP(D55,'Instructor 360'!$B$6:$B$365,'Instructor 360'!$B$6:$B$365,,1)</f>
        <v>1077.9944289693594</v>
      </c>
      <c r="Q55" s="6">
        <f>_xlfn.XLOOKUP(D55,'Instructor 360'!$B$6:$B$365,'Instructor 360'!$F$6:$F$365,,-1)</f>
        <v>3.9245105849582145</v>
      </c>
      <c r="R55" s="6">
        <f>_xlfn.XLOOKUP(D55,'Instructor 360'!$B$6:$B$365,'Instructor 360'!$F$6:$F$365,,1)</f>
        <v>4.3473175487465205</v>
      </c>
      <c r="S55" s="6">
        <f t="shared" si="20"/>
        <v>3.9803553436254617</v>
      </c>
      <c r="T55" s="6">
        <f t="shared" si="21"/>
        <v>6.9470306145614599E-2</v>
      </c>
      <c r="U55" s="6">
        <f t="shared" si="22"/>
        <v>1.4482418399229979E-2</v>
      </c>
      <c r="V55" s="6"/>
      <c r="W55" s="6">
        <f t="shared" si="23"/>
        <v>2.0974044269035503E-4</v>
      </c>
      <c r="AA55">
        <f t="shared" si="24"/>
        <v>1076</v>
      </c>
      <c r="AB55">
        <f t="shared" si="25"/>
        <v>8.3952724544844579E-2</v>
      </c>
      <c r="AC55">
        <f t="shared" si="26"/>
        <v>6.9470306145614599E-2</v>
      </c>
    </row>
    <row r="56" spans="1:29" ht="18.95" customHeight="1">
      <c r="A56" s="4">
        <f t="shared" si="27"/>
        <v>744</v>
      </c>
      <c r="B56" s="6">
        <f>INDEX('Raw Data'!$B$6:$B$1371,MATCH(A56,'Raw Data'!$A$6:$A$1371,0))</f>
        <v>15972</v>
      </c>
      <c r="C56" s="6">
        <f t="shared" si="14"/>
        <v>1097</v>
      </c>
      <c r="D56" s="6">
        <f>MOD(C56+Summary!$B$20,Summary!$B$11)</f>
        <v>1091.7416237989592</v>
      </c>
      <c r="E56" s="6">
        <f>_xlfn.XLOOKUP(D56,'Native PMKS'!$C$6:$C$366,'Native PMKS'!$C$6:$C$366,,-1)</f>
        <v>1091.6666666666667</v>
      </c>
      <c r="F56" s="6">
        <f>_xlfn.XLOOKUP(D56,'Native PMKS'!$C$6:$C$366,'Native PMKS'!$C$6:$C$366,,1)</f>
        <v>1100</v>
      </c>
      <c r="G56" s="6">
        <f>_xlfn.XLOOKUP(D56,'Native PMKS'!$C$6:$C$366,'Native PMKS'!$N$6:$N$366,,-1)</f>
        <v>5.0419999999999998</v>
      </c>
      <c r="H56" s="6">
        <f>_xlfn.XLOOKUP(D56,'Native PMKS'!$C$6:$C$366,'Native PMKS'!$N$6:$N$366,,1)</f>
        <v>5.5004</v>
      </c>
      <c r="I56" s="6">
        <f t="shared" si="15"/>
        <v>5.0461232419331381</v>
      </c>
      <c r="J56" s="6">
        <f>INDEX('Raw Data'!$S$6:$S$1371,MATCH(A56,'Raw Data'!$A$6:$A$1371,0))</f>
        <v>-5.9704422950744602</v>
      </c>
      <c r="K56" s="6">
        <f t="shared" si="16"/>
        <v>0.10420387584937617</v>
      </c>
      <c r="L56" s="6">
        <f t="shared" si="17"/>
        <v>8.8071465033143656E-2</v>
      </c>
      <c r="M56" s="6">
        <f t="shared" si="18"/>
        <v>1.6132410816232512E-2</v>
      </c>
      <c r="N56" s="6">
        <f t="shared" si="19"/>
        <v>2.6025467874369576E-4</v>
      </c>
      <c r="O56" s="6">
        <f>_xlfn.XLOOKUP(D56,'Instructor 360'!$B$6:$B$365,'Instructor 360'!$B$6:$B$365,,-1)</f>
        <v>1086.3509749303621</v>
      </c>
      <c r="P56" s="6">
        <f>_xlfn.XLOOKUP(D56,'Instructor 360'!$B$6:$B$365,'Instructor 360'!$B$6:$B$365,,1)</f>
        <v>1094.707520891365</v>
      </c>
      <c r="Q56" s="6">
        <f>_xlfn.XLOOKUP(D56,'Instructor 360'!$B$6:$B$365,'Instructor 360'!$F$6:$F$365,,-1)</f>
        <v>4.786208913649018</v>
      </c>
      <c r="R56" s="6">
        <f>_xlfn.XLOOKUP(D56,'Instructor 360'!$B$6:$B$365,'Instructor 360'!$F$6:$F$365,,1)</f>
        <v>5.2092713091922027</v>
      </c>
      <c r="S56" s="6">
        <f t="shared" si="20"/>
        <v>5.0591184189067633</v>
      </c>
      <c r="T56" s="6">
        <f t="shared" si="21"/>
        <v>8.8298273658212759E-2</v>
      </c>
      <c r="U56" s="6">
        <f t="shared" si="22"/>
        <v>1.5905602191163409E-2</v>
      </c>
      <c r="V56" s="6"/>
      <c r="W56" s="6">
        <f t="shared" si="23"/>
        <v>2.5298818106354225E-4</v>
      </c>
      <c r="AA56">
        <f t="shared" si="24"/>
        <v>1097</v>
      </c>
      <c r="AB56">
        <f t="shared" si="25"/>
        <v>0.10420387584937617</v>
      </c>
      <c r="AC56">
        <f t="shared" si="26"/>
        <v>8.8298273658212759E-2</v>
      </c>
    </row>
    <row r="57" spans="1:29" ht="18.95" customHeight="1">
      <c r="A57" s="4">
        <f t="shared" si="27"/>
        <v>745</v>
      </c>
      <c r="B57" s="6">
        <f>INDEX('Raw Data'!$B$6:$B$1371,MATCH(A57,'Raw Data'!$A$6:$A$1371,0))</f>
        <v>15992</v>
      </c>
      <c r="C57" s="6">
        <f t="shared" si="14"/>
        <v>1117</v>
      </c>
      <c r="D57" s="6">
        <f>MOD(C57+Summary!$B$20,Summary!$B$11)</f>
        <v>1111.7416237989592</v>
      </c>
      <c r="E57" s="6">
        <f>_xlfn.XLOOKUP(D57,'Native PMKS'!$C$6:$C$366,'Native PMKS'!$C$6:$C$366,,-1)</f>
        <v>1108.3333333333335</v>
      </c>
      <c r="F57" s="6">
        <f>_xlfn.XLOOKUP(D57,'Native PMKS'!$C$6:$C$366,'Native PMKS'!$C$6:$C$366,,1)</f>
        <v>1116.6666666666667</v>
      </c>
      <c r="G57" s="6">
        <f>_xlfn.XLOOKUP(D57,'Native PMKS'!$C$6:$C$366,'Native PMKS'!$N$6:$N$366,,-1)</f>
        <v>5.9015000000000004</v>
      </c>
      <c r="H57" s="6">
        <f>_xlfn.XLOOKUP(D57,'Native PMKS'!$C$6:$C$366,'Native PMKS'!$N$6:$N$366,,1)</f>
        <v>6.3597999999999999</v>
      </c>
      <c r="I57" s="6">
        <f t="shared" si="15"/>
        <v>6.0889423424475595</v>
      </c>
      <c r="J57" s="6">
        <f>INDEX('Raw Data'!$S$6:$S$1371,MATCH(A57,'Raw Data'!$A$6:$A$1371,0))</f>
        <v>-7.2070837020873997</v>
      </c>
      <c r="K57" s="6">
        <f t="shared" si="16"/>
        <v>0.12578734006824724</v>
      </c>
      <c r="L57" s="6">
        <f t="shared" si="17"/>
        <v>0.106272091839806</v>
      </c>
      <c r="M57" s="6">
        <f t="shared" si="18"/>
        <v>1.9515248228441237E-2</v>
      </c>
      <c r="N57" s="6">
        <f t="shared" si="19"/>
        <v>3.8084491341767882E-4</v>
      </c>
      <c r="O57" s="6">
        <f>_xlfn.XLOOKUP(D57,'Instructor 360'!$B$6:$B$365,'Instructor 360'!$B$6:$B$365,,-1)</f>
        <v>1111.4206128133706</v>
      </c>
      <c r="P57" s="6">
        <f>_xlfn.XLOOKUP(D57,'Instructor 360'!$B$6:$B$365,'Instructor 360'!$B$6:$B$365,,1)</f>
        <v>1119.7771587743732</v>
      </c>
      <c r="Q57" s="6">
        <f>_xlfn.XLOOKUP(D57,'Instructor 360'!$B$6:$B$365,'Instructor 360'!$F$6:$F$365,,-1)</f>
        <v>6.0712880222841203</v>
      </c>
      <c r="R57" s="6">
        <f>_xlfn.XLOOKUP(D57,'Instructor 360'!$B$6:$B$365,'Instructor 360'!$F$6:$F$365,,1)</f>
        <v>6.530901949860719</v>
      </c>
      <c r="S57" s="6">
        <f t="shared" si="20"/>
        <v>6.0889437762966239</v>
      </c>
      <c r="T57" s="6">
        <f t="shared" si="21"/>
        <v>0.10627211686519315</v>
      </c>
      <c r="U57" s="6">
        <f t="shared" si="22"/>
        <v>1.9515223203054086E-2</v>
      </c>
      <c r="V57" s="6"/>
      <c r="W57" s="6">
        <f t="shared" si="23"/>
        <v>3.8084393666502057E-4</v>
      </c>
      <c r="AA57">
        <f t="shared" si="24"/>
        <v>1117</v>
      </c>
      <c r="AB57">
        <f t="shared" si="25"/>
        <v>0.12578734006824724</v>
      </c>
      <c r="AC57">
        <f t="shared" si="26"/>
        <v>0.10627211686519315</v>
      </c>
    </row>
    <row r="58" spans="1:29" ht="18.95" customHeight="1">
      <c r="A58" s="4">
        <f t="shared" si="27"/>
        <v>746</v>
      </c>
      <c r="B58" s="6">
        <f>INDEX('Raw Data'!$B$6:$B$1371,MATCH(A58,'Raw Data'!$A$6:$A$1371,0))</f>
        <v>16013</v>
      </c>
      <c r="C58" s="6">
        <f t="shared" si="14"/>
        <v>1138</v>
      </c>
      <c r="D58" s="6">
        <f>MOD(C58+Summary!$B$20,Summary!$B$11)</f>
        <v>1132.7416237989592</v>
      </c>
      <c r="E58" s="6">
        <f>_xlfn.XLOOKUP(D58,'Native PMKS'!$C$6:$C$366,'Native PMKS'!$C$6:$C$366,,-1)</f>
        <v>1125</v>
      </c>
      <c r="F58" s="6">
        <f>_xlfn.XLOOKUP(D58,'Native PMKS'!$C$6:$C$366,'Native PMKS'!$C$6:$C$366,,1)</f>
        <v>1133.3333333333335</v>
      </c>
      <c r="G58" s="6">
        <f>_xlfn.XLOOKUP(D58,'Native PMKS'!$C$6:$C$366,'Native PMKS'!$N$6:$N$366,,-1)</f>
        <v>6.8182</v>
      </c>
      <c r="H58" s="6">
        <f>_xlfn.XLOOKUP(D58,'Native PMKS'!$C$6:$C$366,'Native PMKS'!$N$6:$N$366,,1)</f>
        <v>7.2766000000000002</v>
      </c>
      <c r="I58" s="6">
        <f t="shared" si="15"/>
        <v>7.2440512419331355</v>
      </c>
      <c r="J58" s="6">
        <f>INDEX('Raw Data'!$S$6:$S$1371,MATCH(A58,'Raw Data'!$A$6:$A$1371,0))</f>
        <v>-8.0620450973510707</v>
      </c>
      <c r="K58" s="6">
        <f t="shared" si="16"/>
        <v>0.14070923139304295</v>
      </c>
      <c r="L58" s="6">
        <f t="shared" si="17"/>
        <v>0.12643254535491755</v>
      </c>
      <c r="M58" s="6">
        <f t="shared" si="18"/>
        <v>1.4276686038125402E-2</v>
      </c>
      <c r="N58" s="6">
        <f t="shared" si="19"/>
        <v>2.038237642312048E-4</v>
      </c>
      <c r="O58" s="6">
        <f>_xlfn.XLOOKUP(D58,'Instructor 360'!$B$6:$B$365,'Instructor 360'!$B$6:$B$365,,-1)</f>
        <v>1128.1337047353761</v>
      </c>
      <c r="P58" s="6">
        <f>_xlfn.XLOOKUP(D58,'Instructor 360'!$B$6:$B$365,'Instructor 360'!$B$6:$B$365,,1)</f>
        <v>1136.4902506963788</v>
      </c>
      <c r="Q58" s="6">
        <f>_xlfn.XLOOKUP(D58,'Instructor 360'!$B$6:$B$365,'Instructor 360'!$F$6:$F$365,,-1)</f>
        <v>6.9905788300835665</v>
      </c>
      <c r="R58" s="6">
        <f>_xlfn.XLOOKUP(D58,'Instructor 360'!$B$6:$B$365,'Instructor 360'!$F$6:$F$365,,1)</f>
        <v>7.4285108635097412</v>
      </c>
      <c r="S58" s="6">
        <f t="shared" si="20"/>
        <v>7.2320608221404896</v>
      </c>
      <c r="T58" s="6">
        <f t="shared" si="21"/>
        <v>0.12622327305083955</v>
      </c>
      <c r="U58" s="6">
        <f t="shared" si="22"/>
        <v>1.4485958342203398E-2</v>
      </c>
      <c r="V58" s="6"/>
      <c r="W58" s="6">
        <f t="shared" si="23"/>
        <v>2.098429890920522E-4</v>
      </c>
      <c r="AA58">
        <f t="shared" si="24"/>
        <v>1138</v>
      </c>
      <c r="AB58">
        <f t="shared" si="25"/>
        <v>0.14070923139304295</v>
      </c>
      <c r="AC58">
        <f t="shared" si="26"/>
        <v>0.12622327305083955</v>
      </c>
    </row>
    <row r="59" spans="1:29" ht="18.95" customHeight="1">
      <c r="A59" s="4">
        <f t="shared" si="27"/>
        <v>747</v>
      </c>
      <c r="B59" s="6">
        <f>INDEX('Raw Data'!$B$6:$B$1371,MATCH(A59,'Raw Data'!$A$6:$A$1371,0))</f>
        <v>16034</v>
      </c>
      <c r="C59" s="6">
        <f t="shared" si="14"/>
        <v>1159</v>
      </c>
      <c r="D59" s="6">
        <f>MOD(C59+Summary!$B$20,Summary!$B$11)</f>
        <v>1153.7416237989592</v>
      </c>
      <c r="E59" s="6">
        <f>_xlfn.XLOOKUP(D59,'Native PMKS'!$C$6:$C$366,'Native PMKS'!$C$6:$C$366,,-1)</f>
        <v>1150</v>
      </c>
      <c r="F59" s="6">
        <f>_xlfn.XLOOKUP(D59,'Native PMKS'!$C$6:$C$366,'Native PMKS'!$C$6:$C$366,,1)</f>
        <v>1158.3333333333335</v>
      </c>
      <c r="G59" s="6">
        <f>_xlfn.XLOOKUP(D59,'Native PMKS'!$C$6:$C$366,'Native PMKS'!$N$6:$N$366,,-1)</f>
        <v>8.1359999999999992</v>
      </c>
      <c r="H59" s="6">
        <f>_xlfn.XLOOKUP(D59,'Native PMKS'!$C$6:$C$366,'Native PMKS'!$N$6:$N$366,,1)</f>
        <v>8.5944000000000003</v>
      </c>
      <c r="I59" s="6">
        <f t="shared" si="15"/>
        <v>8.3418192419331447</v>
      </c>
      <c r="J59" s="6">
        <f>INDEX('Raw Data'!$S$6:$S$1371,MATCH(A59,'Raw Data'!$A$6:$A$1371,0))</f>
        <v>-9.6498317718505895</v>
      </c>
      <c r="K59" s="6">
        <f t="shared" si="16"/>
        <v>0.16842133668235107</v>
      </c>
      <c r="L59" s="6">
        <f t="shared" si="17"/>
        <v>0.14559221137795081</v>
      </c>
      <c r="M59" s="6">
        <f t="shared" si="18"/>
        <v>2.2829125304400261E-2</v>
      </c>
      <c r="N59" s="6">
        <f t="shared" si="19"/>
        <v>5.2116896216400832E-4</v>
      </c>
      <c r="O59" s="6">
        <f>_xlfn.XLOOKUP(D59,'Instructor 360'!$B$6:$B$365,'Instructor 360'!$B$6:$B$365,,-1)</f>
        <v>1153.2033426183843</v>
      </c>
      <c r="P59" s="6">
        <f>_xlfn.XLOOKUP(D59,'Instructor 360'!$B$6:$B$365,'Instructor 360'!$B$6:$B$365,,1)</f>
        <v>1161.5598885793872</v>
      </c>
      <c r="Q59" s="6">
        <f>_xlfn.XLOOKUP(D59,'Instructor 360'!$B$6:$B$365,'Instructor 360'!$F$6:$F$365,,-1)</f>
        <v>8.3122094707520819</v>
      </c>
      <c r="R59" s="6">
        <f>_xlfn.XLOOKUP(D59,'Instructor 360'!$B$6:$B$365,'Instructor 360'!$F$6:$F$365,,1)</f>
        <v>8.7718476323119745</v>
      </c>
      <c r="S59" s="6">
        <f t="shared" si="20"/>
        <v>8.3418167478970133</v>
      </c>
      <c r="T59" s="6">
        <f t="shared" si="21"/>
        <v>0.14559216784880866</v>
      </c>
      <c r="U59" s="6">
        <f t="shared" si="22"/>
        <v>2.2829168833542413E-2</v>
      </c>
      <c r="V59" s="6"/>
      <c r="W59" s="6">
        <f t="shared" si="23"/>
        <v>5.2117094963038426E-4</v>
      </c>
      <c r="AA59">
        <f t="shared" si="24"/>
        <v>1159</v>
      </c>
      <c r="AB59">
        <f t="shared" si="25"/>
        <v>0.16842133668235107</v>
      </c>
      <c r="AC59">
        <f t="shared" si="26"/>
        <v>0.14559216784880866</v>
      </c>
    </row>
    <row r="60" spans="1:29" ht="18.95" customHeight="1">
      <c r="A60" s="4">
        <f t="shared" si="27"/>
        <v>748</v>
      </c>
      <c r="B60" s="6">
        <f>INDEX('Raw Data'!$B$6:$B$1371,MATCH(A60,'Raw Data'!$A$6:$A$1371,0))</f>
        <v>16056</v>
      </c>
      <c r="C60" s="6">
        <f t="shared" si="14"/>
        <v>1181</v>
      </c>
      <c r="D60" s="6">
        <f>MOD(C60+Summary!$B$20,Summary!$B$11)</f>
        <v>1175.7416237989592</v>
      </c>
      <c r="E60" s="6">
        <f>_xlfn.XLOOKUP(D60,'Native PMKS'!$C$6:$C$366,'Native PMKS'!$C$6:$C$366,,-1)</f>
        <v>1175</v>
      </c>
      <c r="F60" s="6">
        <f>_xlfn.XLOOKUP(D60,'Native PMKS'!$C$6:$C$366,'Native PMKS'!$C$6:$C$366,,1)</f>
        <v>1183.3333333333335</v>
      </c>
      <c r="G60" s="6">
        <f>_xlfn.XLOOKUP(D60,'Native PMKS'!$C$6:$C$366,'Native PMKS'!$N$6:$N$366,,-1)</f>
        <v>9.5111000000000008</v>
      </c>
      <c r="H60" s="6">
        <f>_xlfn.XLOOKUP(D60,'Native PMKS'!$C$6:$C$366,'Native PMKS'!$N$6:$N$366,,1)</f>
        <v>10.0268</v>
      </c>
      <c r="I60" s="6">
        <f t="shared" si="15"/>
        <v>9.5569946471747897</v>
      </c>
      <c r="J60" s="6">
        <f>INDEX('Raw Data'!$S$6:$S$1371,MATCH(A60,'Raw Data'!$A$6:$A$1371,0))</f>
        <v>-11.0086097717285</v>
      </c>
      <c r="K60" s="6">
        <f t="shared" si="16"/>
        <v>0.19213648658388369</v>
      </c>
      <c r="L60" s="6">
        <f t="shared" si="17"/>
        <v>0.16680102318867387</v>
      </c>
      <c r="M60" s="6">
        <f t="shared" si="18"/>
        <v>2.5335463395209812E-2</v>
      </c>
      <c r="N60" s="6">
        <f t="shared" si="19"/>
        <v>6.4188570545001624E-4</v>
      </c>
      <c r="O60" s="6">
        <f>_xlfn.XLOOKUP(D60,'Instructor 360'!$B$6:$B$365,'Instructor 360'!$B$6:$B$365,,-1)</f>
        <v>1169.9164345403899</v>
      </c>
      <c r="P60" s="6">
        <f>_xlfn.XLOOKUP(D60,'Instructor 360'!$B$6:$B$365,'Instructor 360'!$B$6:$B$365,,1)</f>
        <v>1178.2729805013928</v>
      </c>
      <c r="Q60" s="6">
        <f>_xlfn.XLOOKUP(D60,'Instructor 360'!$B$6:$B$365,'Instructor 360'!$F$6:$F$365,,-1)</f>
        <v>9.2314632311977647</v>
      </c>
      <c r="R60" s="6">
        <f>_xlfn.XLOOKUP(D60,'Instructor 360'!$B$6:$B$365,'Instructor 360'!$F$6:$F$365,,1)</f>
        <v>9.7136451253481884</v>
      </c>
      <c r="S60" s="6">
        <f t="shared" si="20"/>
        <v>9.5675830591253828</v>
      </c>
      <c r="T60" s="6">
        <f t="shared" si="21"/>
        <v>0.16698582583976923</v>
      </c>
      <c r="U60" s="6">
        <f t="shared" si="22"/>
        <v>2.5150660744114456E-2</v>
      </c>
      <c r="V60" s="6"/>
      <c r="W60" s="6">
        <f t="shared" si="23"/>
        <v>6.3255573586553987E-4</v>
      </c>
      <c r="AA60">
        <f t="shared" si="24"/>
        <v>1181</v>
      </c>
      <c r="AB60">
        <f t="shared" si="25"/>
        <v>0.19213648658388369</v>
      </c>
      <c r="AC60">
        <f t="shared" si="26"/>
        <v>0.16698582583976923</v>
      </c>
    </row>
    <row r="61" spans="1:29" ht="18.95" customHeight="1">
      <c r="A61" s="4">
        <f t="shared" si="27"/>
        <v>749</v>
      </c>
      <c r="B61" s="6">
        <f>INDEX('Raw Data'!$B$6:$B$1371,MATCH(A61,'Raw Data'!$A$6:$A$1371,0))</f>
        <v>16077</v>
      </c>
      <c r="C61" s="6">
        <f t="shared" si="14"/>
        <v>1202</v>
      </c>
      <c r="D61" s="6">
        <f>MOD(C61+Summary!$B$20,Summary!$B$11)</f>
        <v>1196.7416237989592</v>
      </c>
      <c r="E61" s="6">
        <f>_xlfn.XLOOKUP(D61,'Native PMKS'!$C$6:$C$366,'Native PMKS'!$C$6:$C$366,,-1)</f>
        <v>1191.6666666666667</v>
      </c>
      <c r="F61" s="6">
        <f>_xlfn.XLOOKUP(D61,'Native PMKS'!$C$6:$C$366,'Native PMKS'!$C$6:$C$366,,1)</f>
        <v>1200</v>
      </c>
      <c r="G61" s="6">
        <f>_xlfn.XLOOKUP(D61,'Native PMKS'!$C$6:$C$366,'Native PMKS'!$N$6:$N$366,,-1)</f>
        <v>10.485099999999999</v>
      </c>
      <c r="H61" s="6">
        <f>_xlfn.XLOOKUP(D61,'Native PMKS'!$C$6:$C$366,'Native PMKS'!$N$6:$N$366,,1)</f>
        <v>10.9435</v>
      </c>
      <c r="I61" s="6">
        <f t="shared" si="15"/>
        <v>10.764263241933143</v>
      </c>
      <c r="J61" s="6">
        <f>INDEX('Raw Data'!$S$6:$S$1371,MATCH(A61,'Raw Data'!$A$6:$A$1371,0))</f>
        <v>-12.229984283447299</v>
      </c>
      <c r="K61" s="6">
        <f t="shared" si="16"/>
        <v>0.2134534932133148</v>
      </c>
      <c r="L61" s="6">
        <f t="shared" si="17"/>
        <v>0.1878718351231323</v>
      </c>
      <c r="M61" s="6">
        <f t="shared" si="18"/>
        <v>2.5581658090182507E-2</v>
      </c>
      <c r="N61" s="6">
        <f t="shared" si="19"/>
        <v>6.5442123064300012E-4</v>
      </c>
      <c r="O61" s="6">
        <f>_xlfn.XLOOKUP(D61,'Instructor 360'!$B$6:$B$365,'Instructor 360'!$B$6:$B$365,,-1)</f>
        <v>1194.9860724233984</v>
      </c>
      <c r="P61" s="6">
        <f>_xlfn.XLOOKUP(D61,'Instructor 360'!$B$6:$B$365,'Instructor 360'!$B$6:$B$365,,1)</f>
        <v>1203.342618384401</v>
      </c>
      <c r="Q61" s="6">
        <f>_xlfn.XLOOKUP(D61,'Instructor 360'!$B$6:$B$365,'Instructor 360'!$F$6:$F$365,,-1)</f>
        <v>10.667693871866295</v>
      </c>
      <c r="R61" s="6">
        <f>_xlfn.XLOOKUP(D61,'Instructor 360'!$B$6:$B$365,'Instructor 360'!$F$6:$F$365,,1)</f>
        <v>11.127370752089128</v>
      </c>
      <c r="S61" s="6">
        <f t="shared" si="20"/>
        <v>10.764263241933136</v>
      </c>
      <c r="T61" s="6">
        <f t="shared" si="21"/>
        <v>0.18787183512313219</v>
      </c>
      <c r="U61" s="6">
        <f t="shared" si="22"/>
        <v>2.5581658090182618E-2</v>
      </c>
      <c r="V61" s="6"/>
      <c r="W61" s="6">
        <f t="shared" si="23"/>
        <v>6.5442123064300586E-4</v>
      </c>
      <c r="AA61">
        <f t="shared" si="24"/>
        <v>1202</v>
      </c>
      <c r="AB61">
        <f t="shared" si="25"/>
        <v>0.2134534932133148</v>
      </c>
      <c r="AC61">
        <f t="shared" si="26"/>
        <v>0.18787183512313219</v>
      </c>
    </row>
    <row r="62" spans="1:29" ht="18.95" customHeight="1">
      <c r="A62" s="4">
        <f t="shared" si="27"/>
        <v>750</v>
      </c>
      <c r="B62" s="6">
        <f>INDEX('Raw Data'!$B$6:$B$1371,MATCH(A62,'Raw Data'!$A$6:$A$1371,0))</f>
        <v>16098</v>
      </c>
      <c r="C62" s="6">
        <f t="shared" si="14"/>
        <v>1223</v>
      </c>
      <c r="D62" s="6">
        <f>MOD(C62+Summary!$B$20,Summary!$B$11)</f>
        <v>1217.7416237989592</v>
      </c>
      <c r="E62" s="6">
        <f>_xlfn.XLOOKUP(D62,'Native PMKS'!$C$6:$C$366,'Native PMKS'!$C$6:$C$366,,-1)</f>
        <v>1216.6666666666667</v>
      </c>
      <c r="F62" s="6">
        <f>_xlfn.XLOOKUP(D62,'Native PMKS'!$C$6:$C$366,'Native PMKS'!$C$6:$C$366,,1)</f>
        <v>1225</v>
      </c>
      <c r="G62" s="6">
        <f>_xlfn.XLOOKUP(D62,'Native PMKS'!$C$6:$C$366,'Native PMKS'!$N$6:$N$366,,-1)</f>
        <v>11.9175</v>
      </c>
      <c r="H62" s="6">
        <f>_xlfn.XLOOKUP(D62,'Native PMKS'!$C$6:$C$366,'Native PMKS'!$N$6:$N$366,,1)</f>
        <v>12.3759</v>
      </c>
      <c r="I62" s="6">
        <f t="shared" si="15"/>
        <v>11.976631241933134</v>
      </c>
      <c r="J62" s="6">
        <f>INDEX('Raw Data'!$S$6:$S$1371,MATCH(A62,'Raw Data'!$A$6:$A$1371,0))</f>
        <v>-13.3139533996582</v>
      </c>
      <c r="K62" s="6">
        <f t="shared" si="16"/>
        <v>0.23237232328112806</v>
      </c>
      <c r="L62" s="6">
        <f t="shared" si="17"/>
        <v>0.20903164846895075</v>
      </c>
      <c r="M62" s="6">
        <f t="shared" si="18"/>
        <v>2.3340674812177303E-2</v>
      </c>
      <c r="N62" s="6">
        <f t="shared" si="19"/>
        <v>5.4478710068780794E-4</v>
      </c>
      <c r="O62" s="6">
        <f>_xlfn.XLOOKUP(D62,'Instructor 360'!$B$6:$B$365,'Instructor 360'!$B$6:$B$365,,-1)</f>
        <v>1211.6991643454039</v>
      </c>
      <c r="P62" s="6">
        <f>_xlfn.XLOOKUP(D62,'Instructor 360'!$B$6:$B$365,'Instructor 360'!$B$6:$B$365,,1)</f>
        <v>1220.0557103064066</v>
      </c>
      <c r="Q62" s="6">
        <f>_xlfn.XLOOKUP(D62,'Instructor 360'!$B$6:$B$365,'Instructor 360'!$F$6:$F$365,,-1)</f>
        <v>11.610150696378824</v>
      </c>
      <c r="R62" s="6">
        <f>_xlfn.XLOOKUP(D62,'Instructor 360'!$B$6:$B$365,'Instructor 360'!$F$6:$F$365,,1)</f>
        <v>12.10392451253481</v>
      </c>
      <c r="S62" s="6">
        <f t="shared" si="20"/>
        <v>11.967189151893024</v>
      </c>
      <c r="T62" s="6">
        <f t="shared" si="21"/>
        <v>0.20886685290948104</v>
      </c>
      <c r="U62" s="6">
        <f t="shared" si="22"/>
        <v>2.3505470371647019E-2</v>
      </c>
      <c r="V62" s="6"/>
      <c r="W62" s="6">
        <f t="shared" si="23"/>
        <v>5.5250713739237584E-4</v>
      </c>
      <c r="AA62">
        <f t="shared" si="24"/>
        <v>1223</v>
      </c>
      <c r="AB62">
        <f t="shared" si="25"/>
        <v>0.23237232328112806</v>
      </c>
      <c r="AC62">
        <f t="shared" si="26"/>
        <v>0.20886685290948104</v>
      </c>
    </row>
    <row r="63" spans="1:29" ht="18.95" customHeight="1">
      <c r="A63" s="4">
        <f t="shared" si="27"/>
        <v>751</v>
      </c>
      <c r="B63" s="6">
        <f>INDEX('Raw Data'!$B$6:$B$1371,MATCH(A63,'Raw Data'!$A$6:$A$1371,0))</f>
        <v>16118</v>
      </c>
      <c r="C63" s="6">
        <f t="shared" si="14"/>
        <v>1243</v>
      </c>
      <c r="D63" s="6">
        <f>MOD(C63+Summary!$B$20,Summary!$B$11)</f>
        <v>1237.7416237989592</v>
      </c>
      <c r="E63" s="6">
        <f>_xlfn.XLOOKUP(D63,'Native PMKS'!$C$6:$C$366,'Native PMKS'!$C$6:$C$366,,-1)</f>
        <v>1233.3333333333335</v>
      </c>
      <c r="F63" s="6">
        <f>_xlfn.XLOOKUP(D63,'Native PMKS'!$C$6:$C$366,'Native PMKS'!$C$6:$C$366,,1)</f>
        <v>1241.6666666666667</v>
      </c>
      <c r="G63" s="6">
        <f>_xlfn.XLOOKUP(D63,'Native PMKS'!$C$6:$C$366,'Native PMKS'!$N$6:$N$366,,-1)</f>
        <v>12.8916</v>
      </c>
      <c r="H63" s="6">
        <f>_xlfn.XLOOKUP(D63,'Native PMKS'!$C$6:$C$366,'Native PMKS'!$N$6:$N$366,,1)</f>
        <v>13.4072</v>
      </c>
      <c r="I63" s="6">
        <f t="shared" si="15"/>
        <v>13.164349747689201</v>
      </c>
      <c r="J63" s="6">
        <f>INDEX('Raw Data'!$S$6:$S$1371,MATCH(A63,'Raw Data'!$A$6:$A$1371,0))</f>
        <v>-14.9475421905518</v>
      </c>
      <c r="K63" s="6">
        <f t="shared" si="16"/>
        <v>0.26088382630589457</v>
      </c>
      <c r="L63" s="6">
        <f t="shared" si="17"/>
        <v>0.22976124698126132</v>
      </c>
      <c r="M63" s="6">
        <f t="shared" si="18"/>
        <v>3.1122579324633248E-2</v>
      </c>
      <c r="N63" s="6">
        <f t="shared" si="19"/>
        <v>9.6861494381808892E-4</v>
      </c>
      <c r="O63" s="6">
        <f>_xlfn.XLOOKUP(D63,'Instructor 360'!$B$6:$B$365,'Instructor 360'!$B$6:$B$365,,-1)</f>
        <v>1236.7688022284121</v>
      </c>
      <c r="P63" s="6">
        <f>_xlfn.XLOOKUP(D63,'Instructor 360'!$B$6:$B$365,'Instructor 360'!$B$6:$B$365,,1)</f>
        <v>1245.125348189415</v>
      </c>
      <c r="Q63" s="6">
        <f>_xlfn.XLOOKUP(D63,'Instructor 360'!$B$6:$B$365,'Instructor 360'!$F$6:$F$365,,-1)</f>
        <v>13.104159331476309</v>
      </c>
      <c r="R63" s="6">
        <f>_xlfn.XLOOKUP(D63,'Instructor 360'!$B$6:$B$365,'Instructor 360'!$F$6:$F$365,,1)</f>
        <v>13.59745515320334</v>
      </c>
      <c r="S63" s="6">
        <f t="shared" si="20"/>
        <v>13.161586026462047</v>
      </c>
      <c r="T63" s="6">
        <f t="shared" si="21"/>
        <v>0.22971301094624022</v>
      </c>
      <c r="U63" s="6">
        <f t="shared" si="22"/>
        <v>3.1170815359654352E-2</v>
      </c>
      <c r="V63" s="6"/>
      <c r="W63" s="6">
        <f t="shared" si="23"/>
        <v>9.7161973018566373E-4</v>
      </c>
      <c r="AA63">
        <f t="shared" si="24"/>
        <v>1243</v>
      </c>
      <c r="AB63">
        <f t="shared" si="25"/>
        <v>0.26088382630589457</v>
      </c>
      <c r="AC63">
        <f t="shared" si="26"/>
        <v>0.22971301094624022</v>
      </c>
    </row>
    <row r="64" spans="1:29" ht="18.95" customHeight="1">
      <c r="A64" s="4">
        <f t="shared" si="27"/>
        <v>752</v>
      </c>
      <c r="B64" s="6">
        <f>INDEX('Raw Data'!$B$6:$B$1371,MATCH(A64,'Raw Data'!$A$6:$A$1371,0))</f>
        <v>16138</v>
      </c>
      <c r="C64" s="6">
        <f t="shared" si="14"/>
        <v>1263</v>
      </c>
      <c r="D64" s="6">
        <f>MOD(C64+Summary!$B$20,Summary!$B$11)</f>
        <v>1257.7416237989592</v>
      </c>
      <c r="E64" s="6">
        <f>_xlfn.XLOOKUP(D64,'Native PMKS'!$C$6:$C$366,'Native PMKS'!$C$6:$C$366,,-1)</f>
        <v>1250</v>
      </c>
      <c r="F64" s="6">
        <f>_xlfn.XLOOKUP(D64,'Native PMKS'!$C$6:$C$366,'Native PMKS'!$C$6:$C$366,,1)</f>
        <v>1258.3333333333335</v>
      </c>
      <c r="G64" s="6">
        <f>_xlfn.XLOOKUP(D64,'Native PMKS'!$C$6:$C$366,'Native PMKS'!$N$6:$N$366,,-1)</f>
        <v>13.865600000000001</v>
      </c>
      <c r="H64" s="6">
        <f>_xlfn.XLOOKUP(D64,'Native PMKS'!$C$6:$C$366,'Native PMKS'!$N$6:$N$366,,1)</f>
        <v>14.3812</v>
      </c>
      <c r="I64" s="6">
        <f t="shared" si="15"/>
        <v>14.344589747689199</v>
      </c>
      <c r="J64" s="6">
        <f>INDEX('Raw Data'!$S$6:$S$1371,MATCH(A64,'Raw Data'!$A$6:$A$1371,0))</f>
        <v>-15.970441818237299</v>
      </c>
      <c r="K64" s="6">
        <f t="shared" si="16"/>
        <v>0.27873679272643065</v>
      </c>
      <c r="L64" s="6">
        <f t="shared" si="17"/>
        <v>0.25036032094499916</v>
      </c>
      <c r="M64" s="6">
        <f t="shared" si="18"/>
        <v>2.8376471781431489E-2</v>
      </c>
      <c r="N64" s="6">
        <f t="shared" si="19"/>
        <v>8.0522415076237763E-4</v>
      </c>
      <c r="O64" s="6">
        <f>_xlfn.XLOOKUP(D64,'Instructor 360'!$B$6:$B$365,'Instructor 360'!$B$6:$B$365,,-1)</f>
        <v>1253.4818941504179</v>
      </c>
      <c r="P64" s="6">
        <f>_xlfn.XLOOKUP(D64,'Instructor 360'!$B$6:$B$365,'Instructor 360'!$B$6:$B$365,,1)</f>
        <v>1261.8384401114206</v>
      </c>
      <c r="Q64" s="6">
        <f>_xlfn.XLOOKUP(D64,'Instructor 360'!$B$6:$B$365,'Instructor 360'!$F$6:$F$365,,-1)</f>
        <v>14.081031754874655</v>
      </c>
      <c r="R64" s="6">
        <f>_xlfn.XLOOKUP(D64,'Instructor 360'!$B$6:$B$365,'Instructor 360'!$F$6:$F$365,,1)</f>
        <v>14.598110027855144</v>
      </c>
      <c r="S64" s="6">
        <f t="shared" si="20"/>
        <v>14.344611188328429</v>
      </c>
      <c r="T64" s="6">
        <f t="shared" si="21"/>
        <v>0.25036069515474746</v>
      </c>
      <c r="U64" s="6">
        <f t="shared" si="22"/>
        <v>2.837609757168319E-2</v>
      </c>
      <c r="V64" s="6"/>
      <c r="W64" s="6">
        <f t="shared" si="23"/>
        <v>8.0520291339768462E-4</v>
      </c>
      <c r="AA64">
        <f t="shared" si="24"/>
        <v>1263</v>
      </c>
      <c r="AB64">
        <f t="shared" si="25"/>
        <v>0.27873679272643065</v>
      </c>
      <c r="AC64">
        <f t="shared" si="26"/>
        <v>0.25036069515474746</v>
      </c>
    </row>
    <row r="65" spans="1:29" ht="18.95" customHeight="1">
      <c r="A65" s="4">
        <f t="shared" si="27"/>
        <v>753</v>
      </c>
      <c r="B65" s="6">
        <f>INDEX('Raw Data'!$B$6:$B$1371,MATCH(A65,'Raw Data'!$A$6:$A$1371,0))</f>
        <v>16160</v>
      </c>
      <c r="C65" s="6">
        <f t="shared" si="14"/>
        <v>1285</v>
      </c>
      <c r="D65" s="6">
        <f>MOD(C65+Summary!$B$20,Summary!$B$11)</f>
        <v>1279.7416237989592</v>
      </c>
      <c r="E65" s="6">
        <f>_xlfn.XLOOKUP(D65,'Native PMKS'!$C$6:$C$366,'Native PMKS'!$C$6:$C$366,,-1)</f>
        <v>1275</v>
      </c>
      <c r="F65" s="6">
        <f>_xlfn.XLOOKUP(D65,'Native PMKS'!$C$6:$C$366,'Native PMKS'!$C$6:$C$366,,1)</f>
        <v>1283.3333333333335</v>
      </c>
      <c r="G65" s="6">
        <f>_xlfn.XLOOKUP(D65,'Native PMKS'!$C$6:$C$366,'Native PMKS'!$N$6:$N$366,,-1)</f>
        <v>15.412599999999999</v>
      </c>
      <c r="H65" s="6">
        <f>_xlfn.XLOOKUP(D65,'Native PMKS'!$C$6:$C$366,'Native PMKS'!$N$6:$N$366,,1)</f>
        <v>15.9282</v>
      </c>
      <c r="I65" s="6">
        <f t="shared" si="15"/>
        <v>15.7059737476892</v>
      </c>
      <c r="J65" s="6">
        <f>INDEX('Raw Data'!$S$6:$S$1371,MATCH(A65,'Raw Data'!$A$6:$A$1371,0))</f>
        <v>-17.2070827484131</v>
      </c>
      <c r="K65" s="6">
        <f t="shared" si="16"/>
        <v>0.30032024862292367</v>
      </c>
      <c r="L65" s="6">
        <f t="shared" si="17"/>
        <v>0.2741209541289697</v>
      </c>
      <c r="M65" s="6">
        <f t="shared" si="18"/>
        <v>2.6199294493953973E-2</v>
      </c>
      <c r="N65" s="6">
        <f t="shared" si="19"/>
        <v>6.8640303198092695E-4</v>
      </c>
      <c r="O65" s="6">
        <f>_xlfn.XLOOKUP(D65,'Instructor 360'!$B$6:$B$365,'Instructor 360'!$B$6:$B$365,,-1)</f>
        <v>1278.5515320334262</v>
      </c>
      <c r="P65" s="6">
        <f>_xlfn.XLOOKUP(D65,'Instructor 360'!$B$6:$B$365,'Instructor 360'!$B$6:$B$365,,1)</f>
        <v>1286.908077994429</v>
      </c>
      <c r="Q65" s="6">
        <f>_xlfn.XLOOKUP(D65,'Instructor 360'!$B$6:$B$365,'Instructor 360'!$F$6:$F$365,,-1)</f>
        <v>15.632340389972139</v>
      </c>
      <c r="R65" s="6">
        <f>_xlfn.XLOOKUP(D65,'Instructor 360'!$B$6:$B$365,'Instructor 360'!$F$6:$F$365,,1)</f>
        <v>16.149419498607241</v>
      </c>
      <c r="S65" s="6">
        <f t="shared" si="20"/>
        <v>15.705979856826943</v>
      </c>
      <c r="T65" s="6">
        <f t="shared" si="21"/>
        <v>0.27412106075353776</v>
      </c>
      <c r="U65" s="6">
        <f t="shared" si="22"/>
        <v>2.6199187869385909E-2</v>
      </c>
      <c r="V65" s="6"/>
      <c r="W65" s="6">
        <f t="shared" si="23"/>
        <v>6.8639744501537779E-4</v>
      </c>
      <c r="AA65">
        <f t="shared" si="24"/>
        <v>1285</v>
      </c>
      <c r="AB65">
        <f t="shared" si="25"/>
        <v>0.30032024862292367</v>
      </c>
      <c r="AC65">
        <f t="shared" si="26"/>
        <v>0.27412106075353776</v>
      </c>
    </row>
    <row r="66" spans="1:29" ht="18.95" customHeight="1">
      <c r="A66" s="4">
        <f t="shared" si="27"/>
        <v>754</v>
      </c>
      <c r="B66" s="6">
        <f>INDEX('Raw Data'!$B$6:$B$1371,MATCH(A66,'Raw Data'!$A$6:$A$1371,0))</f>
        <v>16190</v>
      </c>
      <c r="C66" s="6">
        <f t="shared" si="14"/>
        <v>1315</v>
      </c>
      <c r="D66" s="6">
        <f>MOD(C66+Summary!$B$20,Summary!$B$11)</f>
        <v>1309.7416237989592</v>
      </c>
      <c r="E66" s="6">
        <f>_xlfn.XLOOKUP(D66,'Native PMKS'!$C$6:$C$366,'Native PMKS'!$C$6:$C$366,,-1)</f>
        <v>1308.3333333333335</v>
      </c>
      <c r="F66" s="6">
        <f>_xlfn.XLOOKUP(D66,'Native PMKS'!$C$6:$C$366,'Native PMKS'!$C$6:$C$366,,1)</f>
        <v>1316.6666666666667</v>
      </c>
      <c r="G66" s="6">
        <f>_xlfn.XLOOKUP(D66,'Native PMKS'!$C$6:$C$366,'Native PMKS'!$N$6:$N$366,,-1)</f>
        <v>17.475200000000001</v>
      </c>
      <c r="H66" s="6">
        <f>_xlfn.XLOOKUP(D66,'Native PMKS'!$C$6:$C$366,'Native PMKS'!$N$6:$N$366,,1)</f>
        <v>17.9909</v>
      </c>
      <c r="I66" s="6">
        <f t="shared" si="15"/>
        <v>17.562350647174775</v>
      </c>
      <c r="J66" s="6">
        <f>INDEX('Raw Data'!$S$6:$S$1371,MATCH(A66,'Raw Data'!$A$6:$A$1371,0))</f>
        <v>-19.6498317718506</v>
      </c>
      <c r="K66" s="6">
        <f t="shared" si="16"/>
        <v>0.34295426188178418</v>
      </c>
      <c r="L66" s="6">
        <f t="shared" si="17"/>
        <v>0.3065208431829568</v>
      </c>
      <c r="M66" s="6">
        <f t="shared" si="18"/>
        <v>3.643341869882738E-2</v>
      </c>
      <c r="N66" s="6">
        <f t="shared" si="19"/>
        <v>1.3273939980840647E-3</v>
      </c>
      <c r="O66" s="6">
        <f>_xlfn.XLOOKUP(D66,'Instructor 360'!$B$6:$B$365,'Instructor 360'!$B$6:$B$365,,-1)</f>
        <v>1303.6211699164346</v>
      </c>
      <c r="P66" s="6">
        <f>_xlfn.XLOOKUP(D66,'Instructor 360'!$B$6:$B$365,'Instructor 360'!$B$6:$B$365,,1)</f>
        <v>1311.9777158774373</v>
      </c>
      <c r="Q66" s="6">
        <f>_xlfn.XLOOKUP(D66,'Instructor 360'!$B$6:$B$365,'Instructor 360'!$F$6:$F$365,,-1)</f>
        <v>17.183649025069638</v>
      </c>
      <c r="R66" s="6">
        <f>_xlfn.XLOOKUP(D66,'Instructor 360'!$B$6:$B$365,'Instructor 360'!$F$6:$F$365,,1)</f>
        <v>17.700728969359321</v>
      </c>
      <c r="S66" s="6">
        <f t="shared" si="20"/>
        <v>17.56236577806451</v>
      </c>
      <c r="T66" s="6">
        <f t="shared" si="21"/>
        <v>0.30652110726680143</v>
      </c>
      <c r="U66" s="6">
        <f t="shared" si="22"/>
        <v>3.6433154614982755E-2</v>
      </c>
      <c r="V66" s="6"/>
      <c r="W66" s="6">
        <f t="shared" si="23"/>
        <v>1.3273747551992392E-3</v>
      </c>
      <c r="AA66">
        <f t="shared" si="24"/>
        <v>1315</v>
      </c>
      <c r="AB66">
        <f t="shared" si="25"/>
        <v>0.34295426188178418</v>
      </c>
      <c r="AC66">
        <f t="shared" si="26"/>
        <v>0.30652110726680143</v>
      </c>
    </row>
    <row r="67" spans="1:29" ht="18.95" customHeight="1">
      <c r="A67" s="4">
        <f t="shared" si="27"/>
        <v>755</v>
      </c>
      <c r="B67" s="6">
        <f>INDEX('Raw Data'!$B$6:$B$1371,MATCH(A67,'Raw Data'!$A$6:$A$1371,0))</f>
        <v>16210</v>
      </c>
      <c r="C67" s="6">
        <f t="shared" si="14"/>
        <v>1335</v>
      </c>
      <c r="D67" s="6">
        <f>MOD(C67+Summary!$B$20,Summary!$B$11)</f>
        <v>1329.7416237989592</v>
      </c>
      <c r="E67" s="6">
        <f>_xlfn.XLOOKUP(D67,'Native PMKS'!$C$6:$C$366,'Native PMKS'!$C$6:$C$366,,-1)</f>
        <v>1325</v>
      </c>
      <c r="F67" s="6">
        <f>_xlfn.XLOOKUP(D67,'Native PMKS'!$C$6:$C$366,'Native PMKS'!$C$6:$C$366,,1)</f>
        <v>1333.3333333333335</v>
      </c>
      <c r="G67" s="6">
        <f>_xlfn.XLOOKUP(D67,'Native PMKS'!$C$6:$C$366,'Native PMKS'!$N$6:$N$366,,-1)</f>
        <v>18.563800000000001</v>
      </c>
      <c r="H67" s="6">
        <f>_xlfn.XLOOKUP(D67,'Native PMKS'!$C$6:$C$366,'Native PMKS'!$N$6:$N$366,,1)</f>
        <v>19.079499999999999</v>
      </c>
      <c r="I67" s="6">
        <f t="shared" si="15"/>
        <v>18.857230647174781</v>
      </c>
      <c r="J67" s="6">
        <f>INDEX('Raw Data'!$S$6:$S$1371,MATCH(A67,'Raw Data'!$A$6:$A$1371,0))</f>
        <v>-20.7796020507812</v>
      </c>
      <c r="K67" s="6">
        <f t="shared" si="16"/>
        <v>0.36267247304029787</v>
      </c>
      <c r="L67" s="6">
        <f t="shared" si="17"/>
        <v>0.32912076260118106</v>
      </c>
      <c r="M67" s="6">
        <f t="shared" si="18"/>
        <v>3.3551710439116811E-2</v>
      </c>
      <c r="N67" s="6">
        <f t="shared" si="19"/>
        <v>1.1257172733903399E-3</v>
      </c>
      <c r="O67" s="6">
        <f>_xlfn.XLOOKUP(D67,'Instructor 360'!$B$6:$B$365,'Instructor 360'!$B$6:$B$365,,-1)</f>
        <v>1328.6908077994428</v>
      </c>
      <c r="P67" s="6">
        <f>_xlfn.XLOOKUP(D67,'Instructor 360'!$B$6:$B$365,'Instructor 360'!$B$6:$B$365,,1)</f>
        <v>1337.0473537604457</v>
      </c>
      <c r="Q67" s="6">
        <f>_xlfn.XLOOKUP(D67,'Instructor 360'!$B$6:$B$365,'Instructor 360'!$F$6:$F$365,,-1)</f>
        <v>18.792201949860715</v>
      </c>
      <c r="R67" s="6">
        <f>_xlfn.XLOOKUP(D67,'Instructor 360'!$B$6:$B$365,'Instructor 360'!$F$6:$F$365,,1)</f>
        <v>19.309338440111414</v>
      </c>
      <c r="S67" s="6">
        <f t="shared" si="20"/>
        <v>18.857230647174767</v>
      </c>
      <c r="T67" s="6">
        <f t="shared" si="21"/>
        <v>0.32912076260118084</v>
      </c>
      <c r="U67" s="6">
        <f t="shared" si="22"/>
        <v>3.3551710439117033E-2</v>
      </c>
      <c r="V67" s="6"/>
      <c r="W67" s="6">
        <f t="shared" si="23"/>
        <v>1.1257172733903549E-3</v>
      </c>
      <c r="AA67">
        <f t="shared" si="24"/>
        <v>1335</v>
      </c>
      <c r="AB67">
        <f t="shared" si="25"/>
        <v>0.36267247304029787</v>
      </c>
      <c r="AC67">
        <f t="shared" si="26"/>
        <v>0.32912076260118084</v>
      </c>
    </row>
    <row r="68" spans="1:29" ht="18.95" customHeight="1">
      <c r="A68" s="4">
        <f t="shared" si="27"/>
        <v>756</v>
      </c>
      <c r="B68" s="6">
        <f>INDEX('Raw Data'!$B$6:$B$1371,MATCH(A68,'Raw Data'!$A$6:$A$1371,0))</f>
        <v>16230</v>
      </c>
      <c r="C68" s="6">
        <f t="shared" si="14"/>
        <v>1355</v>
      </c>
      <c r="D68" s="6">
        <f>MOD(C68+Summary!$B$20,Summary!$B$11)</f>
        <v>1349.7416237989592</v>
      </c>
      <c r="E68" s="6">
        <f>_xlfn.XLOOKUP(D68,'Native PMKS'!$C$6:$C$366,'Native PMKS'!$C$6:$C$366,,-1)</f>
        <v>1341.6666666666667</v>
      </c>
      <c r="F68" s="6">
        <f>_xlfn.XLOOKUP(D68,'Native PMKS'!$C$6:$C$366,'Native PMKS'!$C$6:$C$366,,1)</f>
        <v>1350</v>
      </c>
      <c r="G68" s="6">
        <f>_xlfn.XLOOKUP(D68,'Native PMKS'!$C$6:$C$366,'Native PMKS'!$N$6:$N$366,,-1)</f>
        <v>19.595199999999998</v>
      </c>
      <c r="H68" s="6">
        <f>_xlfn.XLOOKUP(D68,'Native PMKS'!$C$6:$C$366,'Native PMKS'!$N$6:$N$366,,1)</f>
        <v>20.168099999999999</v>
      </c>
      <c r="I68" s="6">
        <f t="shared" si="15"/>
        <v>20.150337152930817</v>
      </c>
      <c r="J68" s="6">
        <f>INDEX('Raw Data'!$S$6:$S$1371,MATCH(A68,'Raw Data'!$A$6:$A$1371,0))</f>
        <v>-22.825403213501001</v>
      </c>
      <c r="K68" s="6">
        <f t="shared" si="16"/>
        <v>0.39837843917088672</v>
      </c>
      <c r="L68" s="6">
        <f t="shared" si="17"/>
        <v>0.3516897287055829</v>
      </c>
      <c r="M68" s="6">
        <f t="shared" si="18"/>
        <v>4.6688710465303818E-2</v>
      </c>
      <c r="N68" s="6">
        <f t="shared" si="19"/>
        <v>2.1798356849129703E-3</v>
      </c>
      <c r="O68" s="6">
        <f>_xlfn.XLOOKUP(D68,'Instructor 360'!$B$6:$B$365,'Instructor 360'!$B$6:$B$365,,-1)</f>
        <v>1345.4038997214484</v>
      </c>
      <c r="P68" s="6">
        <f>_xlfn.XLOOKUP(D68,'Instructor 360'!$B$6:$B$365,'Instructor 360'!$B$6:$B$365,,1)</f>
        <v>1353.7604456824513</v>
      </c>
      <c r="Q68" s="6">
        <f>_xlfn.XLOOKUP(D68,'Instructor 360'!$B$6:$B$365,'Instructor 360'!$F$6:$F$365,,-1)</f>
        <v>19.852127298050132</v>
      </c>
      <c r="R68" s="6">
        <f>_xlfn.XLOOKUP(D68,'Instructor 360'!$B$6:$B$365,'Instructor 360'!$F$6:$F$365,,1)</f>
        <v>20.400811420612811</v>
      </c>
      <c r="S68" s="6">
        <f t="shared" si="20"/>
        <v>20.136938790800244</v>
      </c>
      <c r="T68" s="6">
        <f t="shared" si="21"/>
        <v>0.35145588317202986</v>
      </c>
      <c r="U68" s="6">
        <f t="shared" si="22"/>
        <v>4.6922555998856863E-2</v>
      </c>
      <c r="V68" s="6"/>
      <c r="W68" s="6">
        <f t="shared" si="23"/>
        <v>2.2017262614658583E-3</v>
      </c>
      <c r="AA68">
        <f t="shared" si="24"/>
        <v>1355</v>
      </c>
      <c r="AB68">
        <f t="shared" si="25"/>
        <v>0.39837843917088672</v>
      </c>
      <c r="AC68">
        <f t="shared" si="26"/>
        <v>0.35145588317202986</v>
      </c>
    </row>
    <row r="69" spans="1:29" ht="18.95" customHeight="1">
      <c r="A69" s="4">
        <f t="shared" si="27"/>
        <v>757</v>
      </c>
      <c r="B69" s="6">
        <f>INDEX('Raw Data'!$B$6:$B$1371,MATCH(A69,'Raw Data'!$A$6:$A$1371,0))</f>
        <v>16252</v>
      </c>
      <c r="C69" s="6">
        <f t="shared" si="14"/>
        <v>1377</v>
      </c>
      <c r="D69" s="6">
        <f>MOD(C69+Summary!$B$20,Summary!$B$11)</f>
        <v>1371.7416237989592</v>
      </c>
      <c r="E69" s="6">
        <f>_xlfn.XLOOKUP(D69,'Native PMKS'!$C$6:$C$366,'Native PMKS'!$C$6:$C$366,,-1)</f>
        <v>1366.6666666666667</v>
      </c>
      <c r="F69" s="6">
        <f>_xlfn.XLOOKUP(D69,'Native PMKS'!$C$6:$C$366,'Native PMKS'!$C$6:$C$366,,1)</f>
        <v>1375</v>
      </c>
      <c r="G69" s="6">
        <f>_xlfn.XLOOKUP(D69,'Native PMKS'!$C$6:$C$366,'Native PMKS'!$N$6:$N$366,,-1)</f>
        <v>21.256699999999999</v>
      </c>
      <c r="H69" s="6">
        <f>_xlfn.XLOOKUP(D69,'Native PMKS'!$C$6:$C$366,'Native PMKS'!$N$6:$N$366,,1)</f>
        <v>21.772400000000001</v>
      </c>
      <c r="I69" s="6">
        <f t="shared" si="15"/>
        <v>21.57075864717477</v>
      </c>
      <c r="J69" s="6">
        <f>INDEX('Raw Data'!$S$6:$S$1371,MATCH(A69,'Raw Data'!$A$6:$A$1371,0))</f>
        <v>-24.1841831207275</v>
      </c>
      <c r="K69" s="6">
        <f t="shared" si="16"/>
        <v>0.42209362236193215</v>
      </c>
      <c r="L69" s="6">
        <f t="shared" si="17"/>
        <v>0.37648076054623758</v>
      </c>
      <c r="M69" s="6">
        <f t="shared" si="18"/>
        <v>4.5612861815694572E-2</v>
      </c>
      <c r="N69" s="6">
        <f t="shared" si="19"/>
        <v>2.0805331630176479E-3</v>
      </c>
      <c r="O69" s="6">
        <f>_xlfn.XLOOKUP(D69,'Instructor 360'!$B$6:$B$365,'Instructor 360'!$B$6:$B$365,,-1)</f>
        <v>1370.4735376044569</v>
      </c>
      <c r="P69" s="6">
        <f>_xlfn.XLOOKUP(D69,'Instructor 360'!$B$6:$B$365,'Instructor 360'!$B$6:$B$365,,1)</f>
        <v>1378.8300835654595</v>
      </c>
      <c r="Q69" s="6">
        <f>_xlfn.XLOOKUP(D69,'Instructor 360'!$B$6:$B$365,'Instructor 360'!$F$6:$F$365,,-1)</f>
        <v>21.492284401114205</v>
      </c>
      <c r="R69" s="6">
        <f>_xlfn.XLOOKUP(D69,'Instructor 360'!$B$6:$B$365,'Instructor 360'!$F$6:$F$365,,1)</f>
        <v>22.035756545960993</v>
      </c>
      <c r="S69" s="6">
        <f t="shared" si="20"/>
        <v>21.574755020816752</v>
      </c>
      <c r="T69" s="6">
        <f t="shared" si="21"/>
        <v>0.37655051042443011</v>
      </c>
      <c r="U69" s="6">
        <f t="shared" si="22"/>
        <v>4.5543111937502045E-2</v>
      </c>
      <c r="V69" s="6"/>
      <c r="W69" s="6">
        <f t="shared" si="23"/>
        <v>2.0741750449518414E-3</v>
      </c>
      <c r="AA69">
        <f t="shared" si="24"/>
        <v>1377</v>
      </c>
      <c r="AB69">
        <f t="shared" si="25"/>
        <v>0.42209362236193215</v>
      </c>
      <c r="AC69">
        <f t="shared" si="26"/>
        <v>0.37655051042443011</v>
      </c>
    </row>
    <row r="70" spans="1:29" ht="18.95" customHeight="1">
      <c r="A70" s="4">
        <f t="shared" si="27"/>
        <v>758</v>
      </c>
      <c r="B70" s="6">
        <f>INDEX('Raw Data'!$B$6:$B$1371,MATCH(A70,'Raw Data'!$A$6:$A$1371,0))</f>
        <v>16274</v>
      </c>
      <c r="C70" s="6">
        <f t="shared" ref="C70:C101" si="28">B70-$B$6</f>
        <v>1399</v>
      </c>
      <c r="D70" s="6">
        <f>MOD(C70+Summary!$B$20,Summary!$B$11)</f>
        <v>1393.7416237989592</v>
      </c>
      <c r="E70" s="6">
        <f>_xlfn.XLOOKUP(D70,'Native PMKS'!$C$6:$C$366,'Native PMKS'!$C$6:$C$366,,-1)</f>
        <v>1391.6666666666667</v>
      </c>
      <c r="F70" s="6">
        <f>_xlfn.XLOOKUP(D70,'Native PMKS'!$C$6:$C$366,'Native PMKS'!$C$6:$C$366,,1)</f>
        <v>1400</v>
      </c>
      <c r="G70" s="6">
        <f>_xlfn.XLOOKUP(D70,'Native PMKS'!$C$6:$C$366,'Native PMKS'!$N$6:$N$366,,-1)</f>
        <v>22.861000000000001</v>
      </c>
      <c r="H70" s="6">
        <f>_xlfn.XLOOKUP(D70,'Native PMKS'!$C$6:$C$366,'Native PMKS'!$N$6:$N$366,,1)</f>
        <v>23.434000000000001</v>
      </c>
      <c r="I70" s="6">
        <f t="shared" ref="I70:I101" si="29">IF(E70=F70,G70,_xlfn.FORECAST.LINEAR(D70,G70:H70,E70:F70))</f>
        <v>23.003674052416414</v>
      </c>
      <c r="J70" s="6">
        <f>INDEX('Raw Data'!$S$6:$S$1371,MATCH(A70,'Raw Data'!$A$6:$A$1371,0))</f>
        <v>-25.329219818115199</v>
      </c>
      <c r="K70" s="6">
        <f t="shared" ref="K70:K101" si="30">J70*-1*PI()/180</f>
        <v>0.44207828278750944</v>
      </c>
      <c r="L70" s="6">
        <f t="shared" ref="L70:L101" si="31">I70*PI()/180</f>
        <v>0.40148985227025308</v>
      </c>
      <c r="M70" s="6">
        <f t="shared" ref="M70:M101" si="32">K70-L70</f>
        <v>4.0588430517256358E-2</v>
      </c>
      <c r="N70" s="6">
        <f t="shared" ref="N70:N101" si="33">M70^2</f>
        <v>1.6474206918541472E-3</v>
      </c>
      <c r="O70" s="6">
        <f>_xlfn.XLOOKUP(D70,'Instructor 360'!$B$6:$B$365,'Instructor 360'!$B$6:$B$365,,-1)</f>
        <v>1387.1866295264624</v>
      </c>
      <c r="P70" s="6">
        <f>_xlfn.XLOOKUP(D70,'Instructor 360'!$B$6:$B$365,'Instructor 360'!$B$6:$B$365,,1)</f>
        <v>1395.5431754874651</v>
      </c>
      <c r="Q70" s="6">
        <f>_xlfn.XLOOKUP(D70,'Instructor 360'!$B$6:$B$365,'Instructor 360'!$F$6:$F$365,,-1)</f>
        <v>22.583811142061275</v>
      </c>
      <c r="R70" s="6">
        <f>_xlfn.XLOOKUP(D70,'Instructor 360'!$B$6:$B$365,'Instructor 360'!$F$6:$F$365,,1)</f>
        <v>23.127548746518098</v>
      </c>
      <c r="S70" s="6">
        <f t="shared" ref="S70:S101" si="34">IF(O70=P70,Q70,_xlfn.FORECAST.LINEAR(D70,Q70:R70,O70:P70))</f>
        <v>23.010326702388298</v>
      </c>
      <c r="T70" s="6">
        <f t="shared" ref="T70:T101" si="35">S70*PI()/180</f>
        <v>0.40160596291624517</v>
      </c>
      <c r="U70" s="6">
        <f t="shared" ref="U70:U101" si="36">K70-T70</f>
        <v>4.0472319871264262E-2</v>
      </c>
      <c r="V70" s="6"/>
      <c r="W70" s="6">
        <f t="shared" ref="W70:W101" si="37">U70^2</f>
        <v>1.6380086757619321E-3</v>
      </c>
      <c r="AA70">
        <f t="shared" ref="AA70:AA101" si="38">C70</f>
        <v>1399</v>
      </c>
      <c r="AB70">
        <f t="shared" ref="AB70:AB101" si="39">K70</f>
        <v>0.44207828278750944</v>
      </c>
      <c r="AC70">
        <f t="shared" ref="AC70:AC101" si="40">T70</f>
        <v>0.40160596291624517</v>
      </c>
    </row>
    <row r="71" spans="1:29" ht="18.95" customHeight="1">
      <c r="A71" s="4">
        <f t="shared" ref="A71:A102" si="41">A70+1</f>
        <v>759</v>
      </c>
      <c r="B71" s="6">
        <f>INDEX('Raw Data'!$B$6:$B$1371,MATCH(A71,'Raw Data'!$A$6:$A$1371,0))</f>
        <v>16294</v>
      </c>
      <c r="C71" s="6">
        <f t="shared" si="28"/>
        <v>1419</v>
      </c>
      <c r="D71" s="6">
        <f>MOD(C71+Summary!$B$20,Summary!$B$11)</f>
        <v>1413.7416237989592</v>
      </c>
      <c r="E71" s="6">
        <f>_xlfn.XLOOKUP(D71,'Native PMKS'!$C$6:$C$366,'Native PMKS'!$C$6:$C$366,,-1)</f>
        <v>1408.3333333333335</v>
      </c>
      <c r="F71" s="6">
        <f>_xlfn.XLOOKUP(D71,'Native PMKS'!$C$6:$C$366,'Native PMKS'!$C$6:$C$366,,1)</f>
        <v>1416.6666666666667</v>
      </c>
      <c r="G71" s="6">
        <f>_xlfn.XLOOKUP(D71,'Native PMKS'!$C$6:$C$366,'Native PMKS'!$N$6:$N$366,,-1)</f>
        <v>23.9496</v>
      </c>
      <c r="H71" s="6">
        <f>_xlfn.XLOOKUP(D71,'Native PMKS'!$C$6:$C$366,'Native PMKS'!$N$6:$N$366,,1)</f>
        <v>24.522600000000001</v>
      </c>
      <c r="I71" s="6">
        <f t="shared" si="29"/>
        <v>24.32147405241642</v>
      </c>
      <c r="J71" s="6">
        <f>INDEX('Raw Data'!$S$6:$S$1371,MATCH(A71,'Raw Data'!$A$6:$A$1371,0))</f>
        <v>-27.451358795166001</v>
      </c>
      <c r="K71" s="6">
        <f t="shared" si="30"/>
        <v>0.47911659512195037</v>
      </c>
      <c r="L71" s="6">
        <f t="shared" si="31"/>
        <v>0.42448980115303442</v>
      </c>
      <c r="M71" s="6">
        <f t="shared" si="32"/>
        <v>5.4626793968915954E-2</v>
      </c>
      <c r="N71" s="6">
        <f t="shared" si="33"/>
        <v>2.9840866193223924E-3</v>
      </c>
      <c r="O71" s="6">
        <f>_xlfn.XLOOKUP(D71,'Instructor 360'!$B$6:$B$365,'Instructor 360'!$B$6:$B$365,,-1)</f>
        <v>1412.2562674094706</v>
      </c>
      <c r="P71" s="6">
        <f>_xlfn.XLOOKUP(D71,'Instructor 360'!$B$6:$B$365,'Instructor 360'!$B$6:$B$365,,1)</f>
        <v>1420.6128133704735</v>
      </c>
      <c r="Q71" s="6">
        <f>_xlfn.XLOOKUP(D71,'Instructor 360'!$B$6:$B$365,'Instructor 360'!$F$6:$F$365,,-1)</f>
        <v>24.219340947075192</v>
      </c>
      <c r="R71" s="6">
        <f>_xlfn.XLOOKUP(D71,'Instructor 360'!$B$6:$B$365,'Instructor 360'!$F$6:$F$365,,1)</f>
        <v>24.766803342618381</v>
      </c>
      <c r="S71" s="6">
        <f t="shared" si="34"/>
        <v>24.316651100219758</v>
      </c>
      <c r="T71" s="6">
        <f t="shared" si="35"/>
        <v>0.42440562475753646</v>
      </c>
      <c r="U71" s="6">
        <f t="shared" si="36"/>
        <v>5.4710970364413913E-2</v>
      </c>
      <c r="V71" s="6"/>
      <c r="W71" s="6">
        <f t="shared" si="37"/>
        <v>2.9932902782157777E-3</v>
      </c>
      <c r="AA71">
        <f t="shared" si="38"/>
        <v>1419</v>
      </c>
      <c r="AB71">
        <f t="shared" si="39"/>
        <v>0.47911659512195037</v>
      </c>
      <c r="AC71">
        <f t="shared" si="40"/>
        <v>0.42440562475753646</v>
      </c>
    </row>
    <row r="72" spans="1:29" ht="18.95" customHeight="1">
      <c r="A72" s="4">
        <f t="shared" si="41"/>
        <v>760</v>
      </c>
      <c r="B72" s="6">
        <f>INDEX('Raw Data'!$B$6:$B$1371,MATCH(A72,'Raw Data'!$A$6:$A$1371,0))</f>
        <v>16315</v>
      </c>
      <c r="C72" s="6">
        <f t="shared" si="28"/>
        <v>1440</v>
      </c>
      <c r="D72" s="6">
        <f>MOD(C72+Summary!$B$20,Summary!$B$11)</f>
        <v>1434.7416237989592</v>
      </c>
      <c r="E72" s="6">
        <f>_xlfn.XLOOKUP(D72,'Native PMKS'!$C$6:$C$366,'Native PMKS'!$C$6:$C$366,,-1)</f>
        <v>1433.3333333333335</v>
      </c>
      <c r="F72" s="6">
        <f>_xlfn.XLOOKUP(D72,'Native PMKS'!$C$6:$C$366,'Native PMKS'!$C$6:$C$366,,1)</f>
        <v>1441.6666666666667</v>
      </c>
      <c r="G72" s="6">
        <f>_xlfn.XLOOKUP(D72,'Native PMKS'!$C$6:$C$366,'Native PMKS'!$N$6:$N$366,,-1)</f>
        <v>25.6112</v>
      </c>
      <c r="H72" s="6">
        <f>_xlfn.XLOOKUP(D72,'Native PMKS'!$C$6:$C$366,'Native PMKS'!$N$6:$N$366,,1)</f>
        <v>26.184200000000001</v>
      </c>
      <c r="I72" s="6">
        <f t="shared" si="29"/>
        <v>25.708034052416437</v>
      </c>
      <c r="J72" s="6">
        <f>INDEX('Raw Data'!$S$6:$S$1371,MATCH(A72,'Raw Data'!$A$6:$A$1371,0))</f>
        <v>-29.237617492675799</v>
      </c>
      <c r="K72" s="6">
        <f t="shared" si="30"/>
        <v>0.51029269068588179</v>
      </c>
      <c r="L72" s="6">
        <f t="shared" si="31"/>
        <v>0.44868983842948734</v>
      </c>
      <c r="M72" s="6">
        <f t="shared" si="32"/>
        <v>6.1602852256394447E-2</v>
      </c>
      <c r="N72" s="6">
        <f t="shared" si="33"/>
        <v>3.7949114061231622E-3</v>
      </c>
      <c r="O72" s="6">
        <f>_xlfn.XLOOKUP(D72,'Instructor 360'!$B$6:$B$365,'Instructor 360'!$B$6:$B$365,,-1)</f>
        <v>1428.9693593314764</v>
      </c>
      <c r="P72" s="6">
        <f>_xlfn.XLOOKUP(D72,'Instructor 360'!$B$6:$B$365,'Instructor 360'!$B$6:$B$365,,1)</f>
        <v>1437.3259052924791</v>
      </c>
      <c r="Q72" s="6">
        <f>_xlfn.XLOOKUP(D72,'Instructor 360'!$B$6:$B$365,'Instructor 360'!$F$6:$F$365,,-1)</f>
        <v>25.311185515320336</v>
      </c>
      <c r="R72" s="6">
        <f>_xlfn.XLOOKUP(D72,'Instructor 360'!$B$6:$B$365,'Instructor 360'!$F$6:$F$365,,1)</f>
        <v>25.885729247910856</v>
      </c>
      <c r="S72" s="6">
        <f t="shared" si="34"/>
        <v>25.708050247247115</v>
      </c>
      <c r="T72" s="6">
        <f t="shared" si="35"/>
        <v>0.44869012108260448</v>
      </c>
      <c r="U72" s="6">
        <f t="shared" si="36"/>
        <v>6.1602569603277313E-2</v>
      </c>
      <c r="V72" s="6"/>
      <c r="W72" s="6">
        <f t="shared" si="37"/>
        <v>3.794876581726626E-3</v>
      </c>
      <c r="AA72">
        <f t="shared" si="38"/>
        <v>1440</v>
      </c>
      <c r="AB72">
        <f t="shared" si="39"/>
        <v>0.51029269068588179</v>
      </c>
      <c r="AC72">
        <f t="shared" si="40"/>
        <v>0.44869012108260448</v>
      </c>
    </row>
    <row r="73" spans="1:29" ht="18.95" customHeight="1">
      <c r="A73" s="4">
        <f t="shared" si="41"/>
        <v>761</v>
      </c>
      <c r="B73" s="6">
        <f>INDEX('Raw Data'!$B$6:$B$1371,MATCH(A73,'Raw Data'!$A$6:$A$1371,0))</f>
        <v>16336</v>
      </c>
      <c r="C73" s="6">
        <f t="shared" si="28"/>
        <v>1461</v>
      </c>
      <c r="D73" s="6">
        <f>MOD(C73+Summary!$B$20,Summary!$B$11)</f>
        <v>1455.7416237989592</v>
      </c>
      <c r="E73" s="6">
        <f>_xlfn.XLOOKUP(D73,'Native PMKS'!$C$6:$C$366,'Native PMKS'!$C$6:$C$366,,-1)</f>
        <v>1450</v>
      </c>
      <c r="F73" s="6">
        <f>_xlfn.XLOOKUP(D73,'Native PMKS'!$C$6:$C$366,'Native PMKS'!$C$6:$C$366,,1)</f>
        <v>1458.3333333333335</v>
      </c>
      <c r="G73" s="6">
        <f>_xlfn.XLOOKUP(D73,'Native PMKS'!$C$6:$C$366,'Native PMKS'!$N$6:$N$366,,-1)</f>
        <v>26.6998</v>
      </c>
      <c r="H73" s="6">
        <f>_xlfn.XLOOKUP(D73,'Native PMKS'!$C$6:$C$366,'Native PMKS'!$N$6:$N$366,,1)</f>
        <v>27.2728</v>
      </c>
      <c r="I73" s="6">
        <f t="shared" si="29"/>
        <v>27.094594052416426</v>
      </c>
      <c r="J73" s="6">
        <f>INDEX('Raw Data'!$S$6:$S$1371,MATCH(A73,'Raw Data'!$A$6:$A$1371,0))</f>
        <v>-30.657464981079102</v>
      </c>
      <c r="K73" s="6">
        <f t="shared" si="30"/>
        <v>0.53507370423469136</v>
      </c>
      <c r="L73" s="6">
        <f t="shared" si="31"/>
        <v>0.47288987570593966</v>
      </c>
      <c r="M73" s="6">
        <f t="shared" si="32"/>
        <v>6.2183828528751706E-2</v>
      </c>
      <c r="N73" s="6">
        <f t="shared" si="33"/>
        <v>3.8668285304931946E-3</v>
      </c>
      <c r="O73" s="6">
        <f>_xlfn.XLOOKUP(D73,'Instructor 360'!$B$6:$B$365,'Instructor 360'!$B$6:$B$365,,-1)</f>
        <v>1454.0389972144847</v>
      </c>
      <c r="P73" s="6">
        <f>_xlfn.XLOOKUP(D73,'Instructor 360'!$B$6:$B$365,'Instructor 360'!$B$6:$B$365,,1)</f>
        <v>1462.3955431754875</v>
      </c>
      <c r="Q73" s="6">
        <f>_xlfn.XLOOKUP(D73,'Instructor 360'!$B$6:$B$365,'Instructor 360'!$F$6:$F$365,,-1)</f>
        <v>26.977521448467961</v>
      </c>
      <c r="R73" s="6">
        <f>_xlfn.XLOOKUP(D73,'Instructor 360'!$B$6:$B$365,'Instructor 360'!$F$6:$F$365,,1)</f>
        <v>27.524185793871865</v>
      </c>
      <c r="S73" s="6">
        <f t="shared" si="34"/>
        <v>27.08890302305781</v>
      </c>
      <c r="T73" s="6">
        <f t="shared" si="35"/>
        <v>0.47279054850580421</v>
      </c>
      <c r="U73" s="6">
        <f t="shared" si="36"/>
        <v>6.2283155728887152E-2</v>
      </c>
      <c r="V73" s="6"/>
      <c r="W73" s="6">
        <f t="shared" si="37"/>
        <v>3.8791914875488083E-3</v>
      </c>
      <c r="AA73">
        <f t="shared" si="38"/>
        <v>1461</v>
      </c>
      <c r="AB73">
        <f t="shared" si="39"/>
        <v>0.53507370423469136</v>
      </c>
      <c r="AC73">
        <f t="shared" si="40"/>
        <v>0.47279054850580421</v>
      </c>
    </row>
    <row r="74" spans="1:29" ht="18.95" customHeight="1">
      <c r="A74" s="4">
        <f t="shared" si="41"/>
        <v>762</v>
      </c>
      <c r="B74" s="6">
        <f>INDEX('Raw Data'!$B$6:$B$1371,MATCH(A74,'Raw Data'!$A$6:$A$1371,0))</f>
        <v>16357</v>
      </c>
      <c r="C74" s="6">
        <f t="shared" si="28"/>
        <v>1482</v>
      </c>
      <c r="D74" s="6">
        <f>MOD(C74+Summary!$B$20,Summary!$B$11)</f>
        <v>1476.7416237989592</v>
      </c>
      <c r="E74" s="6">
        <f>_xlfn.XLOOKUP(D74,'Native PMKS'!$C$6:$C$366,'Native PMKS'!$C$6:$C$366,,-1)</f>
        <v>1475</v>
      </c>
      <c r="F74" s="6">
        <f>_xlfn.XLOOKUP(D74,'Native PMKS'!$C$6:$C$366,'Native PMKS'!$C$6:$C$366,,1)</f>
        <v>1483.3333333333335</v>
      </c>
      <c r="G74" s="6">
        <f>_xlfn.XLOOKUP(D74,'Native PMKS'!$C$6:$C$366,'Native PMKS'!$N$6:$N$366,,-1)</f>
        <v>28.3614</v>
      </c>
      <c r="H74" s="6">
        <f>_xlfn.XLOOKUP(D74,'Native PMKS'!$C$6:$C$366,'Native PMKS'!$N$6:$N$366,,1)</f>
        <v>28.877099999999999</v>
      </c>
      <c r="I74" s="6">
        <f t="shared" si="29"/>
        <v>28.469178647174793</v>
      </c>
      <c r="J74" s="6">
        <f>INDEX('Raw Data'!$S$6:$S$1371,MATCH(A74,'Raw Data'!$A$6:$A$1371,0))</f>
        <v>-32.077308654785199</v>
      </c>
      <c r="K74" s="6">
        <f t="shared" si="30"/>
        <v>0.55985465120447486</v>
      </c>
      <c r="L74" s="6">
        <f t="shared" si="31"/>
        <v>0.49688090273166524</v>
      </c>
      <c r="M74" s="6">
        <f t="shared" si="32"/>
        <v>6.2973748472809621E-2</v>
      </c>
      <c r="N74" s="6">
        <f t="shared" si="33"/>
        <v>3.9656929967166916E-3</v>
      </c>
      <c r="O74" s="6">
        <f>_xlfn.XLOOKUP(D74,'Instructor 360'!$B$6:$B$365,'Instructor 360'!$B$6:$B$365,,-1)</f>
        <v>1470.7520891364902</v>
      </c>
      <c r="P74" s="6">
        <f>_xlfn.XLOOKUP(D74,'Instructor 360'!$B$6:$B$365,'Instructor 360'!$B$6:$B$365,,1)</f>
        <v>1479.1086350974931</v>
      </c>
      <c r="Q74" s="6">
        <f>_xlfn.XLOOKUP(D74,'Instructor 360'!$B$6:$B$365,'Instructor 360'!$F$6:$F$365,,-1)</f>
        <v>28.069364623955426</v>
      </c>
      <c r="R74" s="6">
        <f>_xlfn.XLOOKUP(D74,'Instructor 360'!$B$6:$B$365,'Instructor 360'!$F$6:$F$365,,1)</f>
        <v>28.615658774373259</v>
      </c>
      <c r="S74" s="6">
        <f t="shared" si="34"/>
        <v>28.460919671351945</v>
      </c>
      <c r="T74" s="6">
        <f t="shared" si="35"/>
        <v>0.49673675641071385</v>
      </c>
      <c r="U74" s="6">
        <f t="shared" si="36"/>
        <v>6.3117894793761009E-2</v>
      </c>
      <c r="V74" s="6"/>
      <c r="W74" s="6">
        <f t="shared" si="37"/>
        <v>3.9838686431962833E-3</v>
      </c>
      <c r="AA74">
        <f t="shared" si="38"/>
        <v>1482</v>
      </c>
      <c r="AB74">
        <f t="shared" si="39"/>
        <v>0.55985465120447486</v>
      </c>
      <c r="AC74">
        <f t="shared" si="40"/>
        <v>0.49673675641071385</v>
      </c>
    </row>
    <row r="75" spans="1:29" ht="18.95" customHeight="1">
      <c r="A75" s="4">
        <f t="shared" si="41"/>
        <v>763</v>
      </c>
      <c r="B75" s="6">
        <f>INDEX('Raw Data'!$B$6:$B$1371,MATCH(A75,'Raw Data'!$A$6:$A$1371,0))</f>
        <v>16379</v>
      </c>
      <c r="C75" s="6">
        <f t="shared" si="28"/>
        <v>1504</v>
      </c>
      <c r="D75" s="6">
        <f>MOD(C75+Summary!$B$20,Summary!$B$11)</f>
        <v>1498.7416237989592</v>
      </c>
      <c r="E75" s="6">
        <f>_xlfn.XLOOKUP(D75,'Native PMKS'!$C$6:$C$366,'Native PMKS'!$C$6:$C$366,,-1)</f>
        <v>1491.6666666666667</v>
      </c>
      <c r="F75" s="6">
        <f>_xlfn.XLOOKUP(D75,'Native PMKS'!$C$6:$C$366,'Native PMKS'!$C$6:$C$366,,1)</f>
        <v>1500</v>
      </c>
      <c r="G75" s="6">
        <f>_xlfn.XLOOKUP(D75,'Native PMKS'!$C$6:$C$366,'Native PMKS'!$N$6:$N$366,,-1)</f>
        <v>29.392700000000001</v>
      </c>
      <c r="H75" s="6">
        <f>_xlfn.XLOOKUP(D75,'Native PMKS'!$C$6:$C$366,'Native PMKS'!$N$6:$N$366,,1)</f>
        <v>29.965699999999998</v>
      </c>
      <c r="I75" s="6">
        <f t="shared" si="29"/>
        <v>29.879174052416417</v>
      </c>
      <c r="J75" s="6">
        <f>INDEX('Raw Data'!$S$6:$S$1371,MATCH(A75,'Raw Data'!$A$6:$A$1371,0))</f>
        <v>-34.214714050292997</v>
      </c>
      <c r="K75" s="6">
        <f t="shared" si="30"/>
        <v>0.59715941280597751</v>
      </c>
      <c r="L75" s="6">
        <f t="shared" si="31"/>
        <v>0.52148996499112321</v>
      </c>
      <c r="M75" s="6">
        <f t="shared" si="32"/>
        <v>7.5669447814854296E-2</v>
      </c>
      <c r="N75" s="6">
        <f t="shared" si="33"/>
        <v>5.7258653326049576E-3</v>
      </c>
      <c r="O75" s="6">
        <f>_xlfn.XLOOKUP(D75,'Instructor 360'!$B$6:$B$365,'Instructor 360'!$B$6:$B$365,,-1)</f>
        <v>1495.8217270194987</v>
      </c>
      <c r="P75" s="6">
        <f>_xlfn.XLOOKUP(D75,'Instructor 360'!$B$6:$B$365,'Instructor 360'!$B$6:$B$365,,1)</f>
        <v>1504.1782729805013</v>
      </c>
      <c r="Q75" s="6">
        <f>_xlfn.XLOOKUP(D75,'Instructor 360'!$B$6:$B$365,'Instructor 360'!$F$6:$F$365,,-1)</f>
        <v>29.678401949860724</v>
      </c>
      <c r="R75" s="6">
        <f>_xlfn.XLOOKUP(D75,'Instructor 360'!$B$6:$B$365,'Instructor 360'!$F$6:$F$365,,1)</f>
        <v>30.224268245125341</v>
      </c>
      <c r="S75" s="6">
        <f t="shared" si="34"/>
        <v>29.869135447288627</v>
      </c>
      <c r="T75" s="6">
        <f t="shared" si="35"/>
        <v>0.52131475827933571</v>
      </c>
      <c r="U75" s="6">
        <f t="shared" si="36"/>
        <v>7.5844654526641797E-2</v>
      </c>
      <c r="V75" s="6"/>
      <c r="W75" s="6">
        <f t="shared" si="37"/>
        <v>5.7524116202656459E-3</v>
      </c>
      <c r="AA75">
        <f t="shared" si="38"/>
        <v>1504</v>
      </c>
      <c r="AB75">
        <f t="shared" si="39"/>
        <v>0.59715941280597751</v>
      </c>
      <c r="AC75">
        <f t="shared" si="40"/>
        <v>0.52131475827933571</v>
      </c>
    </row>
    <row r="76" spans="1:29" ht="18.95" customHeight="1">
      <c r="A76" s="4">
        <f t="shared" si="41"/>
        <v>764</v>
      </c>
      <c r="B76" s="6">
        <f>INDEX('Raw Data'!$B$6:$B$1371,MATCH(A76,'Raw Data'!$A$6:$A$1371,0))</f>
        <v>16401</v>
      </c>
      <c r="C76" s="6">
        <f t="shared" si="28"/>
        <v>1526</v>
      </c>
      <c r="D76" s="6">
        <f>MOD(C76+Summary!$B$20,Summary!$B$11)</f>
        <v>1520.7416237989592</v>
      </c>
      <c r="E76" s="6">
        <f>_xlfn.XLOOKUP(D76,'Native PMKS'!$C$6:$C$366,'Native PMKS'!$C$6:$C$366,,-1)</f>
        <v>1516.6666666666667</v>
      </c>
      <c r="F76" s="6">
        <f>_xlfn.XLOOKUP(D76,'Native PMKS'!$C$6:$C$366,'Native PMKS'!$C$6:$C$366,,1)</f>
        <v>1525</v>
      </c>
      <c r="G76" s="6">
        <f>_xlfn.XLOOKUP(D76,'Native PMKS'!$C$6:$C$366,'Native PMKS'!$N$6:$N$366,,-1)</f>
        <v>30.997</v>
      </c>
      <c r="H76" s="6">
        <f>_xlfn.XLOOKUP(D76,'Native PMKS'!$C$6:$C$366,'Native PMKS'!$N$6:$N$366,,1)</f>
        <v>31.512699999999999</v>
      </c>
      <c r="I76" s="6">
        <f t="shared" si="29"/>
        <v>31.249174647174776</v>
      </c>
      <c r="J76" s="6">
        <f>INDEX('Raw Data'!$S$6:$S$1371,MATCH(A76,'Raw Data'!$A$6:$A$1371,0))</f>
        <v>-35.741432189941399</v>
      </c>
      <c r="K76" s="6">
        <f t="shared" si="30"/>
        <v>0.62380567109276475</v>
      </c>
      <c r="L76" s="6">
        <f t="shared" si="31"/>
        <v>0.54540098612393717</v>
      </c>
      <c r="M76" s="6">
        <f t="shared" si="32"/>
        <v>7.8404684968827576E-2</v>
      </c>
      <c r="N76" s="6">
        <f t="shared" si="33"/>
        <v>6.1472946250610968E-3</v>
      </c>
      <c r="O76" s="6">
        <f>_xlfn.XLOOKUP(D76,'Instructor 360'!$B$6:$B$365,'Instructor 360'!$B$6:$B$365,,-1)</f>
        <v>1512.5348189415042</v>
      </c>
      <c r="P76" s="6">
        <f>_xlfn.XLOOKUP(D76,'Instructor 360'!$B$6:$B$365,'Instructor 360'!$B$6:$B$365,,1)</f>
        <v>1520.8913649025069</v>
      </c>
      <c r="Q76" s="6">
        <f>_xlfn.XLOOKUP(D76,'Instructor 360'!$B$6:$B$365,'Instructor 360'!$F$6:$F$365,,-1)</f>
        <v>30.741354317548744</v>
      </c>
      <c r="R76" s="6">
        <f>_xlfn.XLOOKUP(D76,'Instructor 360'!$B$6:$B$365,'Instructor 360'!$F$6:$F$365,,1)</f>
        <v>31.258441225626733</v>
      </c>
      <c r="S76" s="6">
        <f t="shared" si="34"/>
        <v>31.24917553563867</v>
      </c>
      <c r="T76" s="6">
        <f t="shared" si="35"/>
        <v>0.54540100163055738</v>
      </c>
      <c r="U76" s="6">
        <f t="shared" si="36"/>
        <v>7.8404669462207366E-2</v>
      </c>
      <c r="V76" s="6"/>
      <c r="W76" s="6">
        <f t="shared" si="37"/>
        <v>6.1472921934779927E-3</v>
      </c>
      <c r="AA76">
        <f t="shared" si="38"/>
        <v>1526</v>
      </c>
      <c r="AB76">
        <f t="shared" si="39"/>
        <v>0.62380567109276475</v>
      </c>
      <c r="AC76">
        <f t="shared" si="40"/>
        <v>0.54540100163055738</v>
      </c>
    </row>
    <row r="77" spans="1:29" ht="18.95" customHeight="1">
      <c r="A77" s="4">
        <f t="shared" si="41"/>
        <v>765</v>
      </c>
      <c r="B77" s="6">
        <f>INDEX('Raw Data'!$B$6:$B$1371,MATCH(A77,'Raw Data'!$A$6:$A$1371,0))</f>
        <v>16422</v>
      </c>
      <c r="C77" s="6">
        <f t="shared" si="28"/>
        <v>1547</v>
      </c>
      <c r="D77" s="6">
        <f>MOD(C77+Summary!$B$20,Summary!$B$11)</f>
        <v>1541.7416237989592</v>
      </c>
      <c r="E77" s="6">
        <f>_xlfn.XLOOKUP(D77,'Native PMKS'!$C$6:$C$366,'Native PMKS'!$C$6:$C$366,,-1)</f>
        <v>1541.6666666666667</v>
      </c>
      <c r="F77" s="6">
        <f>_xlfn.XLOOKUP(D77,'Native PMKS'!$C$6:$C$366,'Native PMKS'!$C$6:$C$366,,1)</f>
        <v>1550</v>
      </c>
      <c r="G77" s="6">
        <f>_xlfn.XLOOKUP(D77,'Native PMKS'!$C$6:$C$366,'Native PMKS'!$N$6:$N$366,,-1)</f>
        <v>32.543999999999997</v>
      </c>
      <c r="H77" s="6">
        <f>_xlfn.XLOOKUP(D77,'Native PMKS'!$C$6:$C$366,'Native PMKS'!$N$6:$N$366,,1)</f>
        <v>33.059699999999999</v>
      </c>
      <c r="I77" s="6">
        <f t="shared" si="29"/>
        <v>32.548638647174784</v>
      </c>
      <c r="J77" s="6">
        <f>INDEX('Raw Data'!$S$6:$S$1371,MATCH(A77,'Raw Data'!$A$6:$A$1371,0))</f>
        <v>-36.962806701660199</v>
      </c>
      <c r="K77" s="6">
        <f t="shared" si="30"/>
        <v>0.64512267772219589</v>
      </c>
      <c r="L77" s="6">
        <f t="shared" si="31"/>
        <v>0.56808091143507289</v>
      </c>
      <c r="M77" s="6">
        <f t="shared" si="32"/>
        <v>7.7041766287123004E-2</v>
      </c>
      <c r="N77" s="6">
        <f t="shared" si="33"/>
        <v>5.9354337526396827E-3</v>
      </c>
      <c r="O77" s="6">
        <f>_xlfn.XLOOKUP(D77,'Instructor 360'!$B$6:$B$365,'Instructor 360'!$B$6:$B$365,,-1)</f>
        <v>1537.6044568245125</v>
      </c>
      <c r="P77" s="6">
        <f>_xlfn.XLOOKUP(D77,'Instructor 360'!$B$6:$B$365,'Instructor 360'!$B$6:$B$365,,1)</f>
        <v>1545.9610027855153</v>
      </c>
      <c r="Q77" s="6">
        <f>_xlfn.XLOOKUP(D77,'Instructor 360'!$B$6:$B$365,'Instructor 360'!$F$6:$F$365,,-1)</f>
        <v>32.292614206128121</v>
      </c>
      <c r="R77" s="6">
        <f>_xlfn.XLOOKUP(D77,'Instructor 360'!$B$6:$B$365,'Instructor 360'!$F$6:$F$365,,1)</f>
        <v>32.809750696378828</v>
      </c>
      <c r="S77" s="6">
        <f t="shared" si="34"/>
        <v>32.548638647174791</v>
      </c>
      <c r="T77" s="6">
        <f t="shared" si="35"/>
        <v>0.56808091143507311</v>
      </c>
      <c r="U77" s="6">
        <f t="shared" si="36"/>
        <v>7.7041766287122782E-2</v>
      </c>
      <c r="V77" s="6"/>
      <c r="W77" s="6">
        <f t="shared" si="37"/>
        <v>5.935433752639648E-3</v>
      </c>
      <c r="AA77">
        <f t="shared" si="38"/>
        <v>1547</v>
      </c>
      <c r="AB77">
        <f t="shared" si="39"/>
        <v>0.64512267772219589</v>
      </c>
      <c r="AC77">
        <f t="shared" si="40"/>
        <v>0.56808091143507311</v>
      </c>
    </row>
    <row r="78" spans="1:29" ht="18.95" customHeight="1">
      <c r="A78" s="4">
        <f t="shared" si="41"/>
        <v>766</v>
      </c>
      <c r="B78" s="6">
        <f>INDEX('Raw Data'!$B$6:$B$1371,MATCH(A78,'Raw Data'!$A$6:$A$1371,0))</f>
        <v>16444</v>
      </c>
      <c r="C78" s="6">
        <f t="shared" si="28"/>
        <v>1569</v>
      </c>
      <c r="D78" s="6">
        <f>MOD(C78+Summary!$B$20,Summary!$B$11)</f>
        <v>1563.7416237989592</v>
      </c>
      <c r="E78" s="6">
        <f>_xlfn.XLOOKUP(D78,'Native PMKS'!$C$6:$C$366,'Native PMKS'!$C$6:$C$366,,-1)</f>
        <v>1558.3333333333335</v>
      </c>
      <c r="F78" s="6">
        <f>_xlfn.XLOOKUP(D78,'Native PMKS'!$C$6:$C$366,'Native PMKS'!$C$6:$C$366,,1)</f>
        <v>1566.6666666666667</v>
      </c>
      <c r="G78" s="6">
        <f>_xlfn.XLOOKUP(D78,'Native PMKS'!$C$6:$C$366,'Native PMKS'!$N$6:$N$366,,-1)</f>
        <v>33.575299999999999</v>
      </c>
      <c r="H78" s="6">
        <f>_xlfn.XLOOKUP(D78,'Native PMKS'!$C$6:$C$366,'Native PMKS'!$N$6:$N$366,,1)</f>
        <v>34.033700000000003</v>
      </c>
      <c r="I78" s="6">
        <f t="shared" si="29"/>
        <v>33.872799241933151</v>
      </c>
      <c r="J78" s="6">
        <f>INDEX('Raw Data'!$S$6:$S$1371,MATCH(A78,'Raw Data'!$A$6:$A$1371,0))</f>
        <v>-37.604026794433601</v>
      </c>
      <c r="K78" s="6">
        <f t="shared" si="30"/>
        <v>0.65631407957103516</v>
      </c>
      <c r="L78" s="6">
        <f t="shared" si="31"/>
        <v>0.59119187363877279</v>
      </c>
      <c r="M78" s="6">
        <f t="shared" si="32"/>
        <v>6.5122205932262367E-2</v>
      </c>
      <c r="N78" s="6">
        <f t="shared" si="33"/>
        <v>4.2409017054839881E-3</v>
      </c>
      <c r="O78" s="6">
        <f>_xlfn.XLOOKUP(D78,'Instructor 360'!$B$6:$B$365,'Instructor 360'!$B$6:$B$365,,-1)</f>
        <v>1562.6740947075209</v>
      </c>
      <c r="P78" s="6">
        <f>_xlfn.XLOOKUP(D78,'Instructor 360'!$B$6:$B$365,'Instructor 360'!$B$6:$B$365,,1)</f>
        <v>1571.0306406685236</v>
      </c>
      <c r="Q78" s="6">
        <f>_xlfn.XLOOKUP(D78,'Instructor 360'!$B$6:$B$365,'Instructor 360'!$F$6:$F$365,,-1)</f>
        <v>33.814076601671303</v>
      </c>
      <c r="R78" s="6">
        <f>_xlfn.XLOOKUP(D78,'Instructor 360'!$B$6:$B$365,'Instructor 360'!$F$6:$F$365,,1)</f>
        <v>34.30376016713091</v>
      </c>
      <c r="S78" s="6">
        <f t="shared" si="34"/>
        <v>33.876632525394683</v>
      </c>
      <c r="T78" s="6">
        <f t="shared" si="35"/>
        <v>0.59125877705633878</v>
      </c>
      <c r="U78" s="6">
        <f t="shared" si="36"/>
        <v>6.5055302514696378E-2</v>
      </c>
      <c r="V78" s="6"/>
      <c r="W78" s="6">
        <f t="shared" si="37"/>
        <v>4.2321923852786606E-3</v>
      </c>
      <c r="AA78">
        <f t="shared" si="38"/>
        <v>1569</v>
      </c>
      <c r="AB78">
        <f t="shared" si="39"/>
        <v>0.65631407957103516</v>
      </c>
      <c r="AC78">
        <f t="shared" si="40"/>
        <v>0.59125877705633878</v>
      </c>
    </row>
    <row r="79" spans="1:29" ht="18.95" customHeight="1">
      <c r="A79" s="4">
        <f t="shared" si="41"/>
        <v>767</v>
      </c>
      <c r="B79" s="6">
        <f>INDEX('Raw Data'!$B$6:$B$1371,MATCH(A79,'Raw Data'!$A$6:$A$1371,0))</f>
        <v>16464</v>
      </c>
      <c r="C79" s="6">
        <f t="shared" si="28"/>
        <v>1589</v>
      </c>
      <c r="D79" s="6">
        <f>MOD(C79+Summary!$B$20,Summary!$B$11)</f>
        <v>1583.7416237989592</v>
      </c>
      <c r="E79" s="6">
        <f>_xlfn.XLOOKUP(D79,'Native PMKS'!$C$6:$C$366,'Native PMKS'!$C$6:$C$366,,-1)</f>
        <v>1583.3333333333335</v>
      </c>
      <c r="F79" s="6">
        <f>_xlfn.XLOOKUP(D79,'Native PMKS'!$C$6:$C$366,'Native PMKS'!$C$6:$C$366,,1)</f>
        <v>1591.6666666666667</v>
      </c>
      <c r="G79" s="6">
        <f>_xlfn.XLOOKUP(D79,'Native PMKS'!$C$6:$C$366,'Native PMKS'!$N$6:$N$366,,-1)</f>
        <v>35.0077</v>
      </c>
      <c r="H79" s="6">
        <f>_xlfn.XLOOKUP(D79,'Native PMKS'!$C$6:$C$366,'Native PMKS'!$N$6:$N$366,,1)</f>
        <v>35.523400000000002</v>
      </c>
      <c r="I79" s="6">
        <f t="shared" si="29"/>
        <v>35.032966647174788</v>
      </c>
      <c r="J79" s="6">
        <f>INDEX('Raw Data'!$S$6:$S$1371,MATCH(A79,'Raw Data'!$A$6:$A$1371,0))</f>
        <v>-40.077308654785199</v>
      </c>
      <c r="K79" s="6">
        <f t="shared" si="30"/>
        <v>0.6994809913640212</v>
      </c>
      <c r="L79" s="6">
        <f t="shared" si="31"/>
        <v>0.61144061473455869</v>
      </c>
      <c r="M79" s="6">
        <f t="shared" si="32"/>
        <v>8.8040376629462513E-2</v>
      </c>
      <c r="N79" s="6">
        <f t="shared" si="33"/>
        <v>7.7511079170576088E-3</v>
      </c>
      <c r="O79" s="6">
        <f>_xlfn.XLOOKUP(D79,'Instructor 360'!$B$6:$B$365,'Instructor 360'!$B$6:$B$365,,-1)</f>
        <v>1579.3871866295265</v>
      </c>
      <c r="P79" s="6">
        <f>_xlfn.XLOOKUP(D79,'Instructor 360'!$B$6:$B$365,'Instructor 360'!$B$6:$B$365,,1)</f>
        <v>1587.7437325905291</v>
      </c>
      <c r="Q79" s="6">
        <f>_xlfn.XLOOKUP(D79,'Instructor 360'!$B$6:$B$365,'Instructor 360'!$F$6:$F$365,,-1)</f>
        <v>34.790677715877429</v>
      </c>
      <c r="R79" s="6">
        <f>_xlfn.XLOOKUP(D79,'Instructor 360'!$B$6:$B$365,'Instructor 360'!$F$6:$F$365,,1)</f>
        <v>35.280633147632301</v>
      </c>
      <c r="S79" s="6">
        <f t="shared" si="34"/>
        <v>35.045984173037482</v>
      </c>
      <c r="T79" s="6">
        <f t="shared" si="35"/>
        <v>0.61166781342132615</v>
      </c>
      <c r="U79" s="6">
        <f t="shared" si="36"/>
        <v>8.7813177942695053E-2</v>
      </c>
      <c r="V79" s="6"/>
      <c r="W79" s="6">
        <f t="shared" si="37"/>
        <v>7.7111542203954246E-3</v>
      </c>
      <c r="AA79">
        <f t="shared" si="38"/>
        <v>1589</v>
      </c>
      <c r="AB79">
        <f t="shared" si="39"/>
        <v>0.6994809913640212</v>
      </c>
      <c r="AC79">
        <f t="shared" si="40"/>
        <v>0.61166781342132615</v>
      </c>
    </row>
    <row r="80" spans="1:29" ht="18.95" customHeight="1">
      <c r="A80" s="4">
        <f t="shared" si="41"/>
        <v>768</v>
      </c>
      <c r="B80" s="6">
        <f>INDEX('Raw Data'!$B$6:$B$1371,MATCH(A80,'Raw Data'!$A$6:$A$1371,0))</f>
        <v>16486</v>
      </c>
      <c r="C80" s="6">
        <f t="shared" si="28"/>
        <v>1611</v>
      </c>
      <c r="D80" s="6">
        <f>MOD(C80+Summary!$B$20,Summary!$B$11)</f>
        <v>1605.7416237989592</v>
      </c>
      <c r="E80" s="6">
        <f>_xlfn.XLOOKUP(D80,'Native PMKS'!$C$6:$C$366,'Native PMKS'!$C$6:$C$366,,-1)</f>
        <v>1600</v>
      </c>
      <c r="F80" s="6">
        <f>_xlfn.XLOOKUP(D80,'Native PMKS'!$C$6:$C$366,'Native PMKS'!$C$6:$C$366,,1)</f>
        <v>1608.3333333333335</v>
      </c>
      <c r="G80" s="6">
        <f>_xlfn.XLOOKUP(D80,'Native PMKS'!$C$6:$C$366,'Native PMKS'!$N$6:$N$366,,-1)</f>
        <v>35.981699999999996</v>
      </c>
      <c r="H80" s="6">
        <f>_xlfn.XLOOKUP(D80,'Native PMKS'!$C$6:$C$366,'Native PMKS'!$N$6:$N$366,,1)</f>
        <v>36.440100000000001</v>
      </c>
      <c r="I80" s="6">
        <f t="shared" si="29"/>
        <v>36.297535241933133</v>
      </c>
      <c r="J80" s="6">
        <f>INDEX('Raw Data'!$S$6:$S$1371,MATCH(A80,'Raw Data'!$A$6:$A$1371,0))</f>
        <v>-41.176551818847699</v>
      </c>
      <c r="K80" s="6">
        <f t="shared" si="30"/>
        <v>0.71866640385695213</v>
      </c>
      <c r="L80" s="6">
        <f t="shared" si="31"/>
        <v>0.6335115003304097</v>
      </c>
      <c r="M80" s="6">
        <f t="shared" si="32"/>
        <v>8.5154903526542425E-2</v>
      </c>
      <c r="N80" s="6">
        <f t="shared" si="33"/>
        <v>7.2513575946147471E-3</v>
      </c>
      <c r="O80" s="6">
        <f>_xlfn.XLOOKUP(D80,'Instructor 360'!$B$6:$B$365,'Instructor 360'!$B$6:$B$365,,-1)</f>
        <v>1604.4568245125347</v>
      </c>
      <c r="P80" s="6">
        <f>_xlfn.XLOOKUP(D80,'Instructor 360'!$B$6:$B$365,'Instructor 360'!$B$6:$B$365,,1)</f>
        <v>1612.8133704735376</v>
      </c>
      <c r="Q80" s="6">
        <f>_xlfn.XLOOKUP(D80,'Instructor 360'!$B$6:$B$365,'Instructor 360'!$F$6:$F$365,,-1)</f>
        <v>36.226861002785505</v>
      </c>
      <c r="R80" s="6">
        <f>_xlfn.XLOOKUP(D80,'Instructor 360'!$B$6:$B$365,'Instructor 360'!$F$6:$F$365,,1)</f>
        <v>36.686537883008349</v>
      </c>
      <c r="S80" s="6">
        <f t="shared" si="34"/>
        <v>36.29753524193314</v>
      </c>
      <c r="T80" s="6">
        <f t="shared" si="35"/>
        <v>0.63351150033040982</v>
      </c>
      <c r="U80" s="6">
        <f t="shared" si="36"/>
        <v>8.5154903526542314E-2</v>
      </c>
      <c r="V80" s="6"/>
      <c r="W80" s="6">
        <f t="shared" si="37"/>
        <v>7.2513575946147289E-3</v>
      </c>
      <c r="AA80">
        <f t="shared" si="38"/>
        <v>1611</v>
      </c>
      <c r="AB80">
        <f t="shared" si="39"/>
        <v>0.71866640385695213</v>
      </c>
      <c r="AC80">
        <f t="shared" si="40"/>
        <v>0.63351150033040982</v>
      </c>
    </row>
    <row r="81" spans="1:29" ht="18.95" customHeight="1">
      <c r="A81" s="4">
        <f t="shared" si="41"/>
        <v>769</v>
      </c>
      <c r="B81" s="6">
        <f>INDEX('Raw Data'!$B$6:$B$1371,MATCH(A81,'Raw Data'!$A$6:$A$1371,0))</f>
        <v>16507</v>
      </c>
      <c r="C81" s="6">
        <f t="shared" si="28"/>
        <v>1632</v>
      </c>
      <c r="D81" s="6">
        <f>MOD(C81+Summary!$B$20,Summary!$B$11)</f>
        <v>1626.7416237989592</v>
      </c>
      <c r="E81" s="6">
        <f>_xlfn.XLOOKUP(D81,'Native PMKS'!$C$6:$C$366,'Native PMKS'!$C$6:$C$366,,-1)</f>
        <v>1625.0000000000002</v>
      </c>
      <c r="F81" s="6">
        <f>_xlfn.XLOOKUP(D81,'Native PMKS'!$C$6:$C$366,'Native PMKS'!$C$6:$C$366,,1)</f>
        <v>1633.3333333333335</v>
      </c>
      <c r="G81" s="6">
        <f>_xlfn.XLOOKUP(D81,'Native PMKS'!$C$6:$C$366,'Native PMKS'!$N$6:$N$366,,-1)</f>
        <v>37.3568</v>
      </c>
      <c r="H81" s="6">
        <f>_xlfn.XLOOKUP(D81,'Native PMKS'!$C$6:$C$366,'Native PMKS'!$N$6:$N$366,,1)</f>
        <v>37.757899999999999</v>
      </c>
      <c r="I81" s="6">
        <f t="shared" si="29"/>
        <v>37.44062783669149</v>
      </c>
      <c r="J81" s="6">
        <f>INDEX('Raw Data'!$S$6:$S$1371,MATCH(A81,'Raw Data'!$A$6:$A$1371,0))</f>
        <v>-42.4437255859375</v>
      </c>
      <c r="K81" s="6">
        <f t="shared" si="30"/>
        <v>0.74078275828756879</v>
      </c>
      <c r="L81" s="6">
        <f t="shared" si="31"/>
        <v>0.65346222976410828</v>
      </c>
      <c r="M81" s="6">
        <f t="shared" si="32"/>
        <v>8.7320528523460506E-2</v>
      </c>
      <c r="N81" s="6">
        <f t="shared" si="33"/>
        <v>7.6248747016164796E-3</v>
      </c>
      <c r="O81" s="6">
        <f>_xlfn.XLOOKUP(D81,'Instructor 360'!$B$6:$B$365,'Instructor 360'!$B$6:$B$365,,-1)</f>
        <v>1621.1699164345405</v>
      </c>
      <c r="P81" s="6">
        <f>_xlfn.XLOOKUP(D81,'Instructor 360'!$B$6:$B$365,'Instructor 360'!$B$6:$B$365,,1)</f>
        <v>1629.5264623955431</v>
      </c>
      <c r="Q81" s="6">
        <f>_xlfn.XLOOKUP(D81,'Instructor 360'!$B$6:$B$365,'Instructor 360'!$F$6:$F$365,,-1)</f>
        <v>37.14616072423398</v>
      </c>
      <c r="R81" s="6">
        <f>_xlfn.XLOOKUP(D81,'Instructor 360'!$B$6:$B$365,'Instructor 360'!$F$6:$F$365,,1)</f>
        <v>37.574667688022274</v>
      </c>
      <c r="S81" s="6">
        <f t="shared" si="34"/>
        <v>37.431866734466638</v>
      </c>
      <c r="T81" s="6">
        <f t="shared" si="35"/>
        <v>0.65330931968418082</v>
      </c>
      <c r="U81" s="6">
        <f t="shared" si="36"/>
        <v>8.7473438603387965E-2</v>
      </c>
      <c r="V81" s="6"/>
      <c r="W81" s="6">
        <f t="shared" si="37"/>
        <v>7.6516024611006841E-3</v>
      </c>
      <c r="AA81">
        <f t="shared" si="38"/>
        <v>1632</v>
      </c>
      <c r="AB81">
        <f t="shared" si="39"/>
        <v>0.74078275828756879</v>
      </c>
      <c r="AC81">
        <f t="shared" si="40"/>
        <v>0.65330931968418082</v>
      </c>
    </row>
    <row r="82" spans="1:29" ht="18.95" customHeight="1">
      <c r="A82" s="4">
        <f t="shared" si="41"/>
        <v>770</v>
      </c>
      <c r="B82" s="6">
        <f>INDEX('Raw Data'!$B$6:$B$1371,MATCH(A82,'Raw Data'!$A$6:$A$1371,0))</f>
        <v>16527</v>
      </c>
      <c r="C82" s="6">
        <f t="shared" si="28"/>
        <v>1652</v>
      </c>
      <c r="D82" s="6">
        <f>MOD(C82+Summary!$B$20,Summary!$B$11)</f>
        <v>1646.7416237989592</v>
      </c>
      <c r="E82" s="6">
        <f>_xlfn.XLOOKUP(D82,'Native PMKS'!$C$6:$C$366,'Native PMKS'!$C$6:$C$366,,-1)</f>
        <v>1641.6666666666667</v>
      </c>
      <c r="F82" s="6">
        <f>_xlfn.XLOOKUP(D82,'Native PMKS'!$C$6:$C$366,'Native PMKS'!$C$6:$C$366,,1)</f>
        <v>1650.0000000000002</v>
      </c>
      <c r="G82" s="6">
        <f>_xlfn.XLOOKUP(D82,'Native PMKS'!$C$6:$C$366,'Native PMKS'!$N$6:$N$366,,-1)</f>
        <v>38.216299999999997</v>
      </c>
      <c r="H82" s="6">
        <f>_xlfn.XLOOKUP(D82,'Native PMKS'!$C$6:$C$366,'Native PMKS'!$N$6:$N$366,,1)</f>
        <v>38.617400000000004</v>
      </c>
      <c r="I82" s="6">
        <f t="shared" si="29"/>
        <v>38.460567836691496</v>
      </c>
      <c r="J82" s="6">
        <f>INDEX('Raw Data'!$S$6:$S$1371,MATCH(A82,'Raw Data'!$A$6:$A$1371,0))</f>
        <v>-43.6651000976562</v>
      </c>
      <c r="K82" s="6">
        <f t="shared" si="30"/>
        <v>0.76209976491699827</v>
      </c>
      <c r="L82" s="6">
        <f t="shared" si="31"/>
        <v>0.67126354093689933</v>
      </c>
      <c r="M82" s="6">
        <f t="shared" si="32"/>
        <v>9.083622398009894E-2</v>
      </c>
      <c r="N82" s="6">
        <f t="shared" si="33"/>
        <v>8.2512195869627013E-3</v>
      </c>
      <c r="O82" s="6">
        <f>_xlfn.XLOOKUP(D82,'Instructor 360'!$B$6:$B$365,'Instructor 360'!$B$6:$B$365,,-1)</f>
        <v>1646.2395543175487</v>
      </c>
      <c r="P82" s="6">
        <f>_xlfn.XLOOKUP(D82,'Instructor 360'!$B$6:$B$365,'Instructor 360'!$B$6:$B$365,,1)</f>
        <v>1654.5961002785516</v>
      </c>
      <c r="Q82" s="6">
        <f>_xlfn.XLOOKUP(D82,'Instructor 360'!$B$6:$B$365,'Instructor 360'!$F$6:$F$365,,-1)</f>
        <v>38.436402228412248</v>
      </c>
      <c r="R82" s="6">
        <f>_xlfn.XLOOKUP(D82,'Instructor 360'!$B$6:$B$365,'Instructor 360'!$F$6:$F$365,,1)</f>
        <v>38.838564345403896</v>
      </c>
      <c r="S82" s="6">
        <f t="shared" si="34"/>
        <v>38.460564523032907</v>
      </c>
      <c r="T82" s="6">
        <f t="shared" si="35"/>
        <v>0.67126348310264672</v>
      </c>
      <c r="U82" s="6">
        <f t="shared" si="36"/>
        <v>9.0836281814351549E-2</v>
      </c>
      <c r="V82" s="6"/>
      <c r="W82" s="6">
        <f t="shared" si="37"/>
        <v>8.2512300938562943E-3</v>
      </c>
      <c r="AA82">
        <f t="shared" si="38"/>
        <v>1652</v>
      </c>
      <c r="AB82">
        <f t="shared" si="39"/>
        <v>0.76209976491699827</v>
      </c>
      <c r="AC82">
        <f t="shared" si="40"/>
        <v>0.67126348310264672</v>
      </c>
    </row>
    <row r="83" spans="1:29" ht="18.95" customHeight="1">
      <c r="A83" s="4">
        <f t="shared" si="41"/>
        <v>771</v>
      </c>
      <c r="B83" s="6">
        <f>INDEX('Raw Data'!$B$6:$B$1371,MATCH(A83,'Raw Data'!$A$6:$A$1371,0))</f>
        <v>16547</v>
      </c>
      <c r="C83" s="6">
        <f t="shared" si="28"/>
        <v>1672</v>
      </c>
      <c r="D83" s="6">
        <f>MOD(C83+Summary!$B$20,Summary!$B$11)</f>
        <v>1666.7416237989592</v>
      </c>
      <c r="E83" s="6">
        <f>_xlfn.XLOOKUP(D83,'Native PMKS'!$C$6:$C$366,'Native PMKS'!$C$6:$C$366,,-1)</f>
        <v>1666.6666666666667</v>
      </c>
      <c r="F83" s="6">
        <f>_xlfn.XLOOKUP(D83,'Native PMKS'!$C$6:$C$366,'Native PMKS'!$C$6:$C$366,,1)</f>
        <v>1675.0000000000002</v>
      </c>
      <c r="G83" s="6">
        <f>_xlfn.XLOOKUP(D83,'Native PMKS'!$C$6:$C$366,'Native PMKS'!$N$6:$N$366,,-1)</f>
        <v>39.419499999999999</v>
      </c>
      <c r="H83" s="6">
        <f>_xlfn.XLOOKUP(D83,'Native PMKS'!$C$6:$C$366,'Native PMKS'!$N$6:$N$366,,1)</f>
        <v>39.820599999999999</v>
      </c>
      <c r="I83" s="6">
        <f t="shared" si="29"/>
        <v>39.423107836691493</v>
      </c>
      <c r="J83" s="6">
        <f>INDEX('Raw Data'!$S$6:$S$1371,MATCH(A83,'Raw Data'!$A$6:$A$1371,0))</f>
        <v>-45.390289306640597</v>
      </c>
      <c r="K83" s="6">
        <f t="shared" si="30"/>
        <v>0.79220999683365245</v>
      </c>
      <c r="L83" s="6">
        <f t="shared" si="31"/>
        <v>0.68806303311904549</v>
      </c>
      <c r="M83" s="6">
        <f t="shared" si="32"/>
        <v>0.10414696371460697</v>
      </c>
      <c r="N83" s="6">
        <f t="shared" si="33"/>
        <v>1.0846590050971661E-2</v>
      </c>
      <c r="O83" s="6">
        <f>_xlfn.XLOOKUP(D83,'Instructor 360'!$B$6:$B$365,'Instructor 360'!$B$6:$B$365,,-1)</f>
        <v>1662.9526462395543</v>
      </c>
      <c r="P83" s="6">
        <f>_xlfn.XLOOKUP(D83,'Instructor 360'!$B$6:$B$365,'Instructor 360'!$B$6:$B$365,,1)</f>
        <v>1671.3091922005572</v>
      </c>
      <c r="Q83" s="6">
        <f>_xlfn.XLOOKUP(D83,'Instructor 360'!$B$6:$B$365,'Instructor 360'!$F$6:$F$365,,-1)</f>
        <v>39.240736768802222</v>
      </c>
      <c r="R83" s="6">
        <f>_xlfn.XLOOKUP(D83,'Instructor 360'!$B$6:$B$365,'Instructor 360'!$F$6:$F$365,,1)</f>
        <v>39.64295403899721</v>
      </c>
      <c r="S83" s="6">
        <f t="shared" si="34"/>
        <v>39.4231078366915</v>
      </c>
      <c r="T83" s="6">
        <f t="shared" si="35"/>
        <v>0.68806303311904571</v>
      </c>
      <c r="U83" s="6">
        <f t="shared" si="36"/>
        <v>0.10414696371460674</v>
      </c>
      <c r="V83" s="6"/>
      <c r="W83" s="6">
        <f t="shared" si="37"/>
        <v>1.0846590050971614E-2</v>
      </c>
      <c r="AA83">
        <f t="shared" si="38"/>
        <v>1672</v>
      </c>
      <c r="AB83">
        <f t="shared" si="39"/>
        <v>0.79220999683365245</v>
      </c>
      <c r="AC83">
        <f t="shared" si="40"/>
        <v>0.68806303311904571</v>
      </c>
    </row>
    <row r="84" spans="1:29" ht="18.95" customHeight="1">
      <c r="A84" s="4">
        <f t="shared" si="41"/>
        <v>772</v>
      </c>
      <c r="B84" s="6">
        <f>INDEX('Raw Data'!$B$6:$B$1371,MATCH(A84,'Raw Data'!$A$6:$A$1371,0))</f>
        <v>16567</v>
      </c>
      <c r="C84" s="6">
        <f t="shared" si="28"/>
        <v>1692</v>
      </c>
      <c r="D84" s="6">
        <f>MOD(C84+Summary!$B$20,Summary!$B$11)</f>
        <v>1686.7416237989592</v>
      </c>
      <c r="E84" s="6">
        <f>_xlfn.XLOOKUP(D84,'Native PMKS'!$C$6:$C$366,'Native PMKS'!$C$6:$C$366,,-1)</f>
        <v>1683.3333333333335</v>
      </c>
      <c r="F84" s="6">
        <f>_xlfn.XLOOKUP(D84,'Native PMKS'!$C$6:$C$366,'Native PMKS'!$C$6:$C$366,,1)</f>
        <v>1691.6666666666667</v>
      </c>
      <c r="G84" s="6">
        <f>_xlfn.XLOOKUP(D84,'Native PMKS'!$C$6:$C$366,'Native PMKS'!$N$6:$N$366,,-1)</f>
        <v>40.164299999999997</v>
      </c>
      <c r="H84" s="6">
        <f>_xlfn.XLOOKUP(D84,'Native PMKS'!$C$6:$C$366,'Native PMKS'!$N$6:$N$366,,1)</f>
        <v>40.565399999999997</v>
      </c>
      <c r="I84" s="6">
        <f t="shared" si="29"/>
        <v>40.328347836691499</v>
      </c>
      <c r="J84" s="6">
        <f>INDEX('Raw Data'!$S$6:$S$1371,MATCH(A84,'Raw Data'!$A$6:$A$1371,0))</f>
        <v>-46.504791259765597</v>
      </c>
      <c r="K84" s="6">
        <f t="shared" si="30"/>
        <v>0.81166172543559123</v>
      </c>
      <c r="L84" s="6">
        <f t="shared" si="31"/>
        <v>0.7038624516397991</v>
      </c>
      <c r="M84" s="6">
        <f t="shared" si="32"/>
        <v>0.10779927379579213</v>
      </c>
      <c r="N84" s="6">
        <f t="shared" si="33"/>
        <v>1.1620683430900156E-2</v>
      </c>
      <c r="O84" s="6">
        <f>_xlfn.XLOOKUP(D84,'Instructor 360'!$B$6:$B$365,'Instructor 360'!$B$6:$B$365,,-1)</f>
        <v>1679.6657381615598</v>
      </c>
      <c r="P84" s="6">
        <f>_xlfn.XLOOKUP(D84,'Instructor 360'!$B$6:$B$365,'Instructor 360'!$B$6:$B$365,,1)</f>
        <v>1688.0222841225627</v>
      </c>
      <c r="Q84" s="6">
        <f>_xlfn.XLOOKUP(D84,'Instructor 360'!$B$6:$B$365,'Instructor 360'!$F$6:$F$365,,-1)</f>
        <v>40.013033704735363</v>
      </c>
      <c r="R84" s="6">
        <f>_xlfn.XLOOKUP(D84,'Instructor 360'!$B$6:$B$365,'Instructor 360'!$F$6:$F$365,,1)</f>
        <v>40.389988579387179</v>
      </c>
      <c r="S84" s="6">
        <f t="shared" si="34"/>
        <v>40.332219358227086</v>
      </c>
      <c r="T84" s="6">
        <f t="shared" si="35"/>
        <v>0.7039300224376569</v>
      </c>
      <c r="U84" s="6">
        <f t="shared" si="36"/>
        <v>0.10773170299793433</v>
      </c>
      <c r="V84" s="6"/>
      <c r="W84" s="6">
        <f t="shared" si="37"/>
        <v>1.1606119830835133E-2</v>
      </c>
      <c r="AA84">
        <f t="shared" si="38"/>
        <v>1692</v>
      </c>
      <c r="AB84">
        <f t="shared" si="39"/>
        <v>0.81166172543559123</v>
      </c>
      <c r="AC84">
        <f t="shared" si="40"/>
        <v>0.7039300224376569</v>
      </c>
    </row>
    <row r="85" spans="1:29" ht="18.95" customHeight="1">
      <c r="A85" s="4">
        <f t="shared" si="41"/>
        <v>773</v>
      </c>
      <c r="B85" s="6">
        <f>INDEX('Raw Data'!$B$6:$B$1371,MATCH(A85,'Raw Data'!$A$6:$A$1371,0))</f>
        <v>16598</v>
      </c>
      <c r="C85" s="6">
        <f t="shared" si="28"/>
        <v>1723</v>
      </c>
      <c r="D85" s="6">
        <f>MOD(C85+Summary!$B$20,Summary!$B$11)</f>
        <v>1717.7416237989592</v>
      </c>
      <c r="E85" s="6">
        <f>_xlfn.XLOOKUP(D85,'Native PMKS'!$C$6:$C$366,'Native PMKS'!$C$6:$C$366,,-1)</f>
        <v>1716.6666666666667</v>
      </c>
      <c r="F85" s="6">
        <f>_xlfn.XLOOKUP(D85,'Native PMKS'!$C$6:$C$366,'Native PMKS'!$C$6:$C$366,,1)</f>
        <v>1725.0000000000002</v>
      </c>
      <c r="G85" s="6">
        <f>_xlfn.XLOOKUP(D85,'Native PMKS'!$C$6:$C$366,'Native PMKS'!$N$6:$N$366,,-1)</f>
        <v>41.596699999999998</v>
      </c>
      <c r="H85" s="6">
        <f>_xlfn.XLOOKUP(D85,'Native PMKS'!$C$6:$C$366,'Native PMKS'!$N$6:$N$366,,1)</f>
        <v>41.9405</v>
      </c>
      <c r="I85" s="6">
        <f t="shared" si="29"/>
        <v>41.641048431449853</v>
      </c>
      <c r="J85" s="6">
        <f>INDEX('Raw Data'!$S$6:$S$1371,MATCH(A85,'Raw Data'!$A$6:$A$1371,0))</f>
        <v>-46.428459167480497</v>
      </c>
      <c r="K85" s="6">
        <f t="shared" si="30"/>
        <v>0.81032947910028008</v>
      </c>
      <c r="L85" s="6">
        <f t="shared" si="31"/>
        <v>0.7267733991112203</v>
      </c>
      <c r="M85" s="6">
        <f t="shared" si="32"/>
        <v>8.3556079989059784E-2</v>
      </c>
      <c r="N85" s="6">
        <f t="shared" si="33"/>
        <v>6.9816185031381572E-3</v>
      </c>
      <c r="O85" s="6">
        <f>_xlfn.XLOOKUP(D85,'Instructor 360'!$B$6:$B$365,'Instructor 360'!$B$6:$B$365,,-1)</f>
        <v>1713.091922005571</v>
      </c>
      <c r="P85" s="6">
        <f>_xlfn.XLOOKUP(D85,'Instructor 360'!$B$6:$B$365,'Instructor 360'!$B$6:$B$365,,1)</f>
        <v>1721.4484679665738</v>
      </c>
      <c r="Q85" s="6">
        <f>_xlfn.XLOOKUP(D85,'Instructor 360'!$B$6:$B$365,'Instructor 360'!$F$6:$F$365,,-1)</f>
        <v>41.449263231197762</v>
      </c>
      <c r="R85" s="6">
        <f>_xlfn.XLOOKUP(D85,'Instructor 360'!$B$6:$B$365,'Instructor 360'!$F$6:$F$365,,1)</f>
        <v>41.793977994428964</v>
      </c>
      <c r="S85" s="6">
        <f t="shared" si="34"/>
        <v>41.64106745991657</v>
      </c>
      <c r="T85" s="6">
        <f t="shared" si="35"/>
        <v>0.72677373122061606</v>
      </c>
      <c r="U85" s="6">
        <f t="shared" si="36"/>
        <v>8.3555747879664022E-2</v>
      </c>
      <c r="V85" s="6"/>
      <c r="W85" s="6">
        <f t="shared" si="37"/>
        <v>6.9815630037299787E-3</v>
      </c>
      <c r="AA85">
        <f t="shared" si="38"/>
        <v>1723</v>
      </c>
      <c r="AB85">
        <f t="shared" si="39"/>
        <v>0.81032947910028008</v>
      </c>
      <c r="AC85">
        <f t="shared" si="40"/>
        <v>0.72677373122061606</v>
      </c>
    </row>
    <row r="86" spans="1:29" ht="18.95" customHeight="1">
      <c r="A86" s="4">
        <f t="shared" si="41"/>
        <v>774</v>
      </c>
      <c r="B86" s="6">
        <f>INDEX('Raw Data'!$B$6:$B$1371,MATCH(A86,'Raw Data'!$A$6:$A$1371,0))</f>
        <v>16620</v>
      </c>
      <c r="C86" s="6">
        <f t="shared" si="28"/>
        <v>1745</v>
      </c>
      <c r="D86" s="6">
        <f>MOD(C86+Summary!$B$20,Summary!$B$11)</f>
        <v>1739.7416237989592</v>
      </c>
      <c r="E86" s="6">
        <f>_xlfn.XLOOKUP(D86,'Native PMKS'!$C$6:$C$366,'Native PMKS'!$C$6:$C$366,,-1)</f>
        <v>1733.3333333333335</v>
      </c>
      <c r="F86" s="6">
        <f>_xlfn.XLOOKUP(D86,'Native PMKS'!$C$6:$C$366,'Native PMKS'!$C$6:$C$366,,1)</f>
        <v>1741.6666666666667</v>
      </c>
      <c r="G86" s="6">
        <f>_xlfn.XLOOKUP(D86,'Native PMKS'!$C$6:$C$366,'Native PMKS'!$N$6:$N$366,,-1)</f>
        <v>42.226999999999997</v>
      </c>
      <c r="H86" s="6">
        <f>_xlfn.XLOOKUP(D86,'Native PMKS'!$C$6:$C$366,'Native PMKS'!$N$6:$N$366,,1)</f>
        <v>42.513500000000001</v>
      </c>
      <c r="I86" s="6">
        <f t="shared" si="29"/>
        <v>42.447317026208218</v>
      </c>
      <c r="J86" s="6">
        <f>INDEX('Raw Data'!$S$6:$S$1371,MATCH(A86,'Raw Data'!$A$6:$A$1371,0))</f>
        <v>-48.1078491210938</v>
      </c>
      <c r="K86" s="6">
        <f t="shared" si="30"/>
        <v>0.83964036321574709</v>
      </c>
      <c r="L86" s="6">
        <f t="shared" si="31"/>
        <v>0.74084544074518155</v>
      </c>
      <c r="M86" s="6">
        <f t="shared" si="32"/>
        <v>9.8794922470565538E-2</v>
      </c>
      <c r="N86" s="6">
        <f t="shared" si="33"/>
        <v>9.7604367059650563E-3</v>
      </c>
      <c r="O86" s="6">
        <f>_xlfn.XLOOKUP(D86,'Instructor 360'!$B$6:$B$365,'Instructor 360'!$B$6:$B$365,,-1)</f>
        <v>1738.1615598885794</v>
      </c>
      <c r="P86" s="6">
        <f>_xlfn.XLOOKUP(D86,'Instructor 360'!$B$6:$B$365,'Instructor 360'!$B$6:$B$365,,1)</f>
        <v>1746.5181058495821</v>
      </c>
      <c r="Q86" s="6">
        <f>_xlfn.XLOOKUP(D86,'Instructor 360'!$B$6:$B$365,'Instructor 360'!$F$6:$F$365,,-1)</f>
        <v>42.392994428969352</v>
      </c>
      <c r="R86" s="6">
        <f>_xlfn.XLOOKUP(D86,'Instructor 360'!$B$6:$B$365,'Instructor 360'!$F$6:$F$365,,1)</f>
        <v>42.680234261838429</v>
      </c>
      <c r="S86" s="6">
        <f t="shared" si="34"/>
        <v>42.447306018429629</v>
      </c>
      <c r="T86" s="6">
        <f t="shared" si="35"/>
        <v>0.74084524862320189</v>
      </c>
      <c r="U86" s="6">
        <f t="shared" si="36"/>
        <v>9.8795114592545197E-2</v>
      </c>
      <c r="V86" s="6"/>
      <c r="W86" s="6">
        <f t="shared" si="37"/>
        <v>9.7604746673541371E-3</v>
      </c>
      <c r="AA86">
        <f t="shared" si="38"/>
        <v>1745</v>
      </c>
      <c r="AB86">
        <f t="shared" si="39"/>
        <v>0.83964036321574709</v>
      </c>
      <c r="AC86">
        <f t="shared" si="40"/>
        <v>0.74084524862320189</v>
      </c>
    </row>
    <row r="87" spans="1:29" ht="18.95" customHeight="1">
      <c r="A87" s="4">
        <f t="shared" si="41"/>
        <v>775</v>
      </c>
      <c r="B87" s="6">
        <f>INDEX('Raw Data'!$B$6:$B$1371,MATCH(A87,'Raw Data'!$A$6:$A$1371,0))</f>
        <v>16640</v>
      </c>
      <c r="C87" s="6">
        <f t="shared" si="28"/>
        <v>1765</v>
      </c>
      <c r="D87" s="6">
        <f>MOD(C87+Summary!$B$20,Summary!$B$11)</f>
        <v>1759.7416237989592</v>
      </c>
      <c r="E87" s="6">
        <f>_xlfn.XLOOKUP(D87,'Native PMKS'!$C$6:$C$366,'Native PMKS'!$C$6:$C$366,,-1)</f>
        <v>1758.3333333333335</v>
      </c>
      <c r="F87" s="6">
        <f>_xlfn.XLOOKUP(D87,'Native PMKS'!$C$6:$C$366,'Native PMKS'!$C$6:$C$366,,1)</f>
        <v>1766.6666666666667</v>
      </c>
      <c r="G87" s="6">
        <f>_xlfn.XLOOKUP(D87,'Native PMKS'!$C$6:$C$366,'Native PMKS'!$N$6:$N$366,,-1)</f>
        <v>43.086399999999998</v>
      </c>
      <c r="H87" s="6">
        <f>_xlfn.XLOOKUP(D87,'Native PMKS'!$C$6:$C$366,'Native PMKS'!$N$6:$N$366,,1)</f>
        <v>43.372900000000001</v>
      </c>
      <c r="I87" s="6">
        <f t="shared" si="29"/>
        <v>43.134817026208211</v>
      </c>
      <c r="J87" s="6">
        <f>INDEX('Raw Data'!$S$6:$S$1371,MATCH(A87,'Raw Data'!$A$6:$A$1371,0))</f>
        <v>-47.924636840820298</v>
      </c>
      <c r="K87" s="6">
        <f t="shared" si="30"/>
        <v>0.83644270569488777</v>
      </c>
      <c r="L87" s="6">
        <f t="shared" si="31"/>
        <v>0.75284457935264248</v>
      </c>
      <c r="M87" s="6">
        <f t="shared" si="32"/>
        <v>8.3598126342245282E-2</v>
      </c>
      <c r="N87" s="6">
        <f t="shared" si="33"/>
        <v>6.988646727934005E-3</v>
      </c>
      <c r="O87" s="6">
        <f>_xlfn.XLOOKUP(D87,'Instructor 360'!$B$6:$B$365,'Instructor 360'!$B$6:$B$365,,-1)</f>
        <v>1754.874651810585</v>
      </c>
      <c r="P87" s="6">
        <f>_xlfn.XLOOKUP(D87,'Instructor 360'!$B$6:$B$365,'Instructor 360'!$B$6:$B$365,,1)</f>
        <v>1763.2311977715876</v>
      </c>
      <c r="Q87" s="6">
        <f>_xlfn.XLOOKUP(D87,'Instructor 360'!$B$6:$B$365,'Instructor 360'!$F$6:$F$365,,-1)</f>
        <v>42.967490529247904</v>
      </c>
      <c r="R87" s="6">
        <f>_xlfn.XLOOKUP(D87,'Instructor 360'!$B$6:$B$365,'Instructor 360'!$F$6:$F$365,,1)</f>
        <v>43.254788579387181</v>
      </c>
      <c r="S87" s="6">
        <f t="shared" si="34"/>
        <v>43.134817026208218</v>
      </c>
      <c r="T87" s="6">
        <f t="shared" si="35"/>
        <v>0.75284457935264248</v>
      </c>
      <c r="U87" s="6">
        <f t="shared" si="36"/>
        <v>8.3598126342245282E-2</v>
      </c>
      <c r="V87" s="6"/>
      <c r="W87" s="6">
        <f t="shared" si="37"/>
        <v>6.988646727934005E-3</v>
      </c>
      <c r="AA87">
        <f t="shared" si="38"/>
        <v>1765</v>
      </c>
      <c r="AB87">
        <f t="shared" si="39"/>
        <v>0.83644270569488777</v>
      </c>
      <c r="AC87">
        <f t="shared" si="40"/>
        <v>0.75284457935264248</v>
      </c>
    </row>
    <row r="88" spans="1:29" ht="18.95" customHeight="1">
      <c r="A88" s="4">
        <f t="shared" si="41"/>
        <v>776</v>
      </c>
      <c r="B88" s="6">
        <f>INDEX('Raw Data'!$B$6:$B$1371,MATCH(A88,'Raw Data'!$A$6:$A$1371,0))</f>
        <v>16661</v>
      </c>
      <c r="C88" s="6">
        <f t="shared" si="28"/>
        <v>1786</v>
      </c>
      <c r="D88" s="6">
        <f>MOD(C88+Summary!$B$20,Summary!$B$11)</f>
        <v>1780.7416237989592</v>
      </c>
      <c r="E88" s="6">
        <f>_xlfn.XLOOKUP(D88,'Native PMKS'!$C$6:$C$366,'Native PMKS'!$C$6:$C$366,,-1)</f>
        <v>1775.0000000000002</v>
      </c>
      <c r="F88" s="6">
        <f>_xlfn.XLOOKUP(D88,'Native PMKS'!$C$6:$C$366,'Native PMKS'!$C$6:$C$366,,1)</f>
        <v>1783.3333333333335</v>
      </c>
      <c r="G88" s="6">
        <f>_xlfn.XLOOKUP(D88,'Native PMKS'!$C$6:$C$366,'Native PMKS'!$N$6:$N$366,,-1)</f>
        <v>43.6021</v>
      </c>
      <c r="H88" s="6">
        <f>_xlfn.XLOOKUP(D88,'Native PMKS'!$C$6:$C$366,'Native PMKS'!$N$6:$N$366,,1)</f>
        <v>43.888599999999997</v>
      </c>
      <c r="I88" s="6">
        <f t="shared" si="29"/>
        <v>43.799497026208208</v>
      </c>
      <c r="J88" s="6">
        <f>INDEX('Raw Data'!$S$6:$S$1371,MATCH(A88,'Raw Data'!$A$6:$A$1371,0))</f>
        <v>-49.481895446777301</v>
      </c>
      <c r="K88" s="6">
        <f t="shared" si="30"/>
        <v>0.86362199567385445</v>
      </c>
      <c r="L88" s="6">
        <f t="shared" si="31"/>
        <v>0.76444543382479835</v>
      </c>
      <c r="M88" s="6">
        <f t="shared" si="32"/>
        <v>9.91765618490561E-2</v>
      </c>
      <c r="N88" s="6">
        <f t="shared" si="33"/>
        <v>9.8359904201996504E-3</v>
      </c>
      <c r="O88" s="6">
        <f>_xlfn.XLOOKUP(D88,'Instructor 360'!$B$6:$B$365,'Instructor 360'!$B$6:$B$365,,-1)</f>
        <v>1779.9442896935932</v>
      </c>
      <c r="P88" s="6">
        <f>_xlfn.XLOOKUP(D88,'Instructor 360'!$B$6:$B$365,'Instructor 360'!$B$6:$B$365,,1)</f>
        <v>1788.3008356545961</v>
      </c>
      <c r="Q88" s="6">
        <f>_xlfn.XLOOKUP(D88,'Instructor 360'!$B$6:$B$365,'Instructor 360'!$F$6:$F$365,,-1)</f>
        <v>43.772084679665724</v>
      </c>
      <c r="R88" s="6">
        <f>_xlfn.XLOOKUP(D88,'Instructor 360'!$B$6:$B$365,'Instructor 360'!$F$6:$F$365,,1)</f>
        <v>44.025226183844005</v>
      </c>
      <c r="S88" s="6">
        <f t="shared" si="34"/>
        <v>43.796238002785927</v>
      </c>
      <c r="T88" s="6">
        <f t="shared" si="35"/>
        <v>0.76438855313567999</v>
      </c>
      <c r="U88" s="6">
        <f t="shared" si="36"/>
        <v>9.9233442538174454E-2</v>
      </c>
      <c r="V88" s="6"/>
      <c r="W88" s="6">
        <f t="shared" si="37"/>
        <v>9.8472761179771717E-3</v>
      </c>
      <c r="AA88">
        <f t="shared" si="38"/>
        <v>1786</v>
      </c>
      <c r="AB88">
        <f t="shared" si="39"/>
        <v>0.86362199567385445</v>
      </c>
      <c r="AC88">
        <f t="shared" si="40"/>
        <v>0.76438855313567999</v>
      </c>
    </row>
    <row r="89" spans="1:29" ht="18.95" customHeight="1">
      <c r="A89" s="4">
        <f t="shared" si="41"/>
        <v>777</v>
      </c>
      <c r="B89" s="6">
        <f>INDEX('Raw Data'!$B$6:$B$1371,MATCH(A89,'Raw Data'!$A$6:$A$1371,0))</f>
        <v>16681</v>
      </c>
      <c r="C89" s="6">
        <f t="shared" si="28"/>
        <v>1806</v>
      </c>
      <c r="D89" s="6">
        <f>MOD(C89+Summary!$B$20,Summary!$B$11)</f>
        <v>1800.7416237989592</v>
      </c>
      <c r="E89" s="6">
        <f>_xlfn.XLOOKUP(D89,'Native PMKS'!$C$6:$C$366,'Native PMKS'!$C$6:$C$366,,-1)</f>
        <v>1800.0000000000002</v>
      </c>
      <c r="F89" s="6">
        <f>_xlfn.XLOOKUP(D89,'Native PMKS'!$C$6:$C$366,'Native PMKS'!$C$6:$C$366,,1)</f>
        <v>1808.3333333333335</v>
      </c>
      <c r="G89" s="6">
        <f>_xlfn.XLOOKUP(D89,'Native PMKS'!$C$6:$C$366,'Native PMKS'!$N$6:$N$366,,-1)</f>
        <v>44.2896</v>
      </c>
      <c r="H89" s="6">
        <f>_xlfn.XLOOKUP(D89,'Native PMKS'!$C$6:$C$366,'Native PMKS'!$N$6:$N$366,,1)</f>
        <v>44.518799999999999</v>
      </c>
      <c r="I89" s="6">
        <f t="shared" si="29"/>
        <v>44.309997620966563</v>
      </c>
      <c r="J89" s="6">
        <f>INDEX('Raw Data'!$S$6:$S$1371,MATCH(A89,'Raw Data'!$A$6:$A$1371,0))</f>
        <v>-48.1078491210938</v>
      </c>
      <c r="K89" s="6">
        <f t="shared" si="30"/>
        <v>0.83964036321574709</v>
      </c>
      <c r="L89" s="6">
        <f t="shared" si="31"/>
        <v>0.77335535003672096</v>
      </c>
      <c r="M89" s="6">
        <f t="shared" si="32"/>
        <v>6.6285013179026131E-2</v>
      </c>
      <c r="N89" s="6">
        <f t="shared" si="33"/>
        <v>4.3937029721436678E-3</v>
      </c>
      <c r="O89" s="6">
        <f>_xlfn.XLOOKUP(D89,'Instructor 360'!$B$6:$B$365,'Instructor 360'!$B$6:$B$365,,-1)</f>
        <v>1796.657381615599</v>
      </c>
      <c r="P89" s="6">
        <f>_xlfn.XLOOKUP(D89,'Instructor 360'!$B$6:$B$365,'Instructor 360'!$B$6:$B$365,,1)</f>
        <v>1805.0139275766016</v>
      </c>
      <c r="Q89" s="6">
        <f>_xlfn.XLOOKUP(D89,'Instructor 360'!$B$6:$B$365,'Instructor 360'!$F$6:$F$365,,-1)</f>
        <v>44.220688579387186</v>
      </c>
      <c r="R89" s="6">
        <f>_xlfn.XLOOKUP(D89,'Instructor 360'!$B$6:$B$365,'Instructor 360'!$F$6:$F$365,,1)</f>
        <v>44.427503064066848</v>
      </c>
      <c r="S89" s="6">
        <f t="shared" si="34"/>
        <v>44.321768672334727</v>
      </c>
      <c r="T89" s="6">
        <f t="shared" si="35"/>
        <v>0.7735607936395168</v>
      </c>
      <c r="U89" s="6">
        <f t="shared" si="36"/>
        <v>6.607956957623029E-2</v>
      </c>
      <c r="V89" s="6"/>
      <c r="W89" s="6">
        <f t="shared" si="37"/>
        <v>4.3665095153798596E-3</v>
      </c>
      <c r="AA89">
        <f t="shared" si="38"/>
        <v>1806</v>
      </c>
      <c r="AB89">
        <f t="shared" si="39"/>
        <v>0.83964036321574709</v>
      </c>
      <c r="AC89">
        <f t="shared" si="40"/>
        <v>0.7735607936395168</v>
      </c>
    </row>
    <row r="90" spans="1:29" ht="18.95" customHeight="1">
      <c r="A90" s="4">
        <f t="shared" si="41"/>
        <v>778</v>
      </c>
      <c r="B90" s="6">
        <f>INDEX('Raw Data'!$B$6:$B$1371,MATCH(A90,'Raw Data'!$A$6:$A$1371,0))</f>
        <v>16702</v>
      </c>
      <c r="C90" s="6">
        <f t="shared" si="28"/>
        <v>1827</v>
      </c>
      <c r="D90" s="6">
        <f>MOD(C90+Summary!$B$20,Summary!$B$11)</f>
        <v>1821.7416237989592</v>
      </c>
      <c r="E90" s="6">
        <f>_xlfn.XLOOKUP(D90,'Native PMKS'!$C$6:$C$366,'Native PMKS'!$C$6:$C$366,,-1)</f>
        <v>1816.6666666666667</v>
      </c>
      <c r="F90" s="6">
        <f>_xlfn.XLOOKUP(D90,'Native PMKS'!$C$6:$C$366,'Native PMKS'!$C$6:$C$366,,1)</f>
        <v>1825.0000000000002</v>
      </c>
      <c r="G90" s="6">
        <f>_xlfn.XLOOKUP(D90,'Native PMKS'!$C$6:$C$366,'Native PMKS'!$N$6:$N$366,,-1)</f>
        <v>44.6907</v>
      </c>
      <c r="H90" s="6">
        <f>_xlfn.XLOOKUP(D90,'Native PMKS'!$C$6:$C$366,'Native PMKS'!$N$6:$N$366,,1)</f>
        <v>44.8626</v>
      </c>
      <c r="I90" s="6">
        <f t="shared" si="29"/>
        <v>44.795386215724932</v>
      </c>
      <c r="J90" s="6">
        <f>INDEX('Raw Data'!$S$6:$S$1371,MATCH(A90,'Raw Data'!$A$6:$A$1371,0))</f>
        <v>-49.252883911132798</v>
      </c>
      <c r="K90" s="6">
        <f t="shared" si="30"/>
        <v>0.8596249903518095</v>
      </c>
      <c r="L90" s="6">
        <f t="shared" si="31"/>
        <v>0.78182697916688282</v>
      </c>
      <c r="M90" s="6">
        <f t="shared" si="32"/>
        <v>7.7798011184926685E-2</v>
      </c>
      <c r="N90" s="6">
        <f t="shared" si="33"/>
        <v>6.0525305443299773E-3</v>
      </c>
      <c r="O90" s="6">
        <f>_xlfn.XLOOKUP(D90,'Instructor 360'!$B$6:$B$365,'Instructor 360'!$B$6:$B$365,,-1)</f>
        <v>1821.7270194986072</v>
      </c>
      <c r="P90" s="6">
        <f>_xlfn.XLOOKUP(D90,'Instructor 360'!$B$6:$B$365,'Instructor 360'!$B$6:$B$365,,1)</f>
        <v>1830.0835654596101</v>
      </c>
      <c r="Q90" s="6">
        <f>_xlfn.XLOOKUP(D90,'Instructor 360'!$B$6:$B$365,'Instructor 360'!$F$6:$F$365,,-1)</f>
        <v>44.795084958217267</v>
      </c>
      <c r="R90" s="6">
        <f>_xlfn.XLOOKUP(D90,'Instructor 360'!$B$6:$B$365,'Instructor 360'!$F$6:$F$365,,1)</f>
        <v>44.967463788300833</v>
      </c>
      <c r="S90" s="6">
        <f t="shared" si="34"/>
        <v>44.795386215724925</v>
      </c>
      <c r="T90" s="6">
        <f t="shared" si="35"/>
        <v>0.78182697916688282</v>
      </c>
      <c r="U90" s="6">
        <f t="shared" si="36"/>
        <v>7.7798011184926685E-2</v>
      </c>
      <c r="V90" s="6"/>
      <c r="W90" s="6">
        <f t="shared" si="37"/>
        <v>6.0525305443299773E-3</v>
      </c>
      <c r="AA90">
        <f t="shared" si="38"/>
        <v>1827</v>
      </c>
      <c r="AB90">
        <f t="shared" si="39"/>
        <v>0.8596249903518095</v>
      </c>
      <c r="AC90">
        <f t="shared" si="40"/>
        <v>0.78182697916688282</v>
      </c>
    </row>
    <row r="91" spans="1:29" ht="18.95" customHeight="1">
      <c r="A91" s="4">
        <f t="shared" si="41"/>
        <v>779</v>
      </c>
      <c r="B91" s="6">
        <f>INDEX('Raw Data'!$B$6:$B$1371,MATCH(A91,'Raw Data'!$A$6:$A$1371,0))</f>
        <v>16722</v>
      </c>
      <c r="C91" s="6">
        <f t="shared" si="28"/>
        <v>1847</v>
      </c>
      <c r="D91" s="6">
        <f>MOD(C91+Summary!$B$20,Summary!$B$11)</f>
        <v>1841.7416237989592</v>
      </c>
      <c r="E91" s="6">
        <f>_xlfn.XLOOKUP(D91,'Native PMKS'!$C$6:$C$366,'Native PMKS'!$C$6:$C$366,,-1)</f>
        <v>1841.6666666666667</v>
      </c>
      <c r="F91" s="6">
        <f>_xlfn.XLOOKUP(D91,'Native PMKS'!$C$6:$C$366,'Native PMKS'!$C$6:$C$366,,1)</f>
        <v>1850.0000000000002</v>
      </c>
      <c r="G91" s="6">
        <f>_xlfn.XLOOKUP(D91,'Native PMKS'!$C$6:$C$366,'Native PMKS'!$N$6:$N$366,,-1)</f>
        <v>45.206400000000002</v>
      </c>
      <c r="H91" s="6">
        <f>_xlfn.XLOOKUP(D91,'Native PMKS'!$C$6:$C$366,'Native PMKS'!$N$6:$N$366,,1)</f>
        <v>45.320999999999998</v>
      </c>
      <c r="I91" s="6">
        <f t="shared" si="29"/>
        <v>45.207430810483288</v>
      </c>
      <c r="J91" s="6">
        <f>INDEX('Raw Data'!$S$6:$S$1371,MATCH(A91,'Raw Data'!$A$6:$A$1371,0))</f>
        <v>-48.0009765625</v>
      </c>
      <c r="K91" s="6">
        <f t="shared" si="30"/>
        <v>0.83777508518825461</v>
      </c>
      <c r="L91" s="6">
        <f t="shared" si="31"/>
        <v>0.78901851401046197</v>
      </c>
      <c r="M91" s="6">
        <f t="shared" si="32"/>
        <v>4.875657117779264E-2</v>
      </c>
      <c r="N91" s="6">
        <f t="shared" si="33"/>
        <v>2.3772032330151602E-3</v>
      </c>
      <c r="O91" s="6">
        <f>_xlfn.XLOOKUP(D91,'Instructor 360'!$B$6:$B$365,'Instructor 360'!$B$6:$B$365,,-1)</f>
        <v>1838.4401114206128</v>
      </c>
      <c r="P91" s="6">
        <f>_xlfn.XLOOKUP(D91,'Instructor 360'!$B$6:$B$365,'Instructor 360'!$B$6:$B$365,,1)</f>
        <v>1846.7966573816157</v>
      </c>
      <c r="Q91" s="6">
        <f>_xlfn.XLOOKUP(D91,'Instructor 360'!$B$6:$B$365,'Instructor 360'!$F$6:$F$365,,-1)</f>
        <v>45.139842618384399</v>
      </c>
      <c r="R91" s="6">
        <f>_xlfn.XLOOKUP(D91,'Instructor 360'!$B$6:$B$365,'Instructor 360'!$F$6:$F$365,,1)</f>
        <v>45.276947632311973</v>
      </c>
      <c r="S91" s="6">
        <f t="shared" si="34"/>
        <v>45.194010201824689</v>
      </c>
      <c r="T91" s="6">
        <f t="shared" si="35"/>
        <v>0.78878428020174784</v>
      </c>
      <c r="U91" s="6">
        <f t="shared" si="36"/>
        <v>4.8990804986506764E-2</v>
      </c>
      <c r="V91" s="6"/>
      <c r="W91" s="6">
        <f t="shared" si="37"/>
        <v>2.4000989732259359E-3</v>
      </c>
      <c r="AA91">
        <f t="shared" si="38"/>
        <v>1847</v>
      </c>
      <c r="AB91">
        <f t="shared" si="39"/>
        <v>0.83777508518825461</v>
      </c>
      <c r="AC91">
        <f t="shared" si="40"/>
        <v>0.78878428020174784</v>
      </c>
    </row>
    <row r="92" spans="1:29" ht="18.95" customHeight="1">
      <c r="A92" s="4">
        <f t="shared" si="41"/>
        <v>780</v>
      </c>
      <c r="B92" s="6">
        <f>INDEX('Raw Data'!$B$6:$B$1371,MATCH(A92,'Raw Data'!$A$6:$A$1371,0))</f>
        <v>16744</v>
      </c>
      <c r="C92" s="6">
        <f t="shared" si="28"/>
        <v>1869</v>
      </c>
      <c r="D92" s="6">
        <f>MOD(C92+Summary!$B$20,Summary!$B$11)</f>
        <v>1863.7416237989592</v>
      </c>
      <c r="E92" s="6">
        <f>_xlfn.XLOOKUP(D92,'Native PMKS'!$C$6:$C$366,'Native PMKS'!$C$6:$C$366,,-1)</f>
        <v>1858.3333333333335</v>
      </c>
      <c r="F92" s="6">
        <f>_xlfn.XLOOKUP(D92,'Native PMKS'!$C$6:$C$366,'Native PMKS'!$C$6:$C$366,,1)</f>
        <v>1866.6666666666667</v>
      </c>
      <c r="G92" s="6">
        <f>_xlfn.XLOOKUP(D92,'Native PMKS'!$C$6:$C$366,'Native PMKS'!$N$6:$N$366,,-1)</f>
        <v>45.492800000000003</v>
      </c>
      <c r="H92" s="6">
        <f>_xlfn.XLOOKUP(D92,'Native PMKS'!$C$6:$C$366,'Native PMKS'!$N$6:$N$366,,1)</f>
        <v>45.5501</v>
      </c>
      <c r="I92" s="6">
        <f t="shared" si="29"/>
        <v>45.529987405241648</v>
      </c>
      <c r="J92" s="6">
        <f>INDEX('Raw Data'!$S$6:$S$1371,MATCH(A92,'Raw Data'!$A$6:$A$1371,0))</f>
        <v>-49.375022888183601</v>
      </c>
      <c r="K92" s="6">
        <f t="shared" si="30"/>
        <v>0.86175671764636375</v>
      </c>
      <c r="L92" s="6">
        <f t="shared" si="31"/>
        <v>0.79464818861301645</v>
      </c>
      <c r="M92" s="6">
        <f t="shared" si="32"/>
        <v>6.7108529033347297E-2</v>
      </c>
      <c r="N92" s="6">
        <f t="shared" si="33"/>
        <v>4.5035546690196174E-3</v>
      </c>
      <c r="O92" s="6">
        <f>_xlfn.XLOOKUP(D92,'Instructor 360'!$B$6:$B$365,'Instructor 360'!$B$6:$B$365,,-1)</f>
        <v>1863.5097493036212</v>
      </c>
      <c r="P92" s="6">
        <f>_xlfn.XLOOKUP(D92,'Instructor 360'!$B$6:$B$365,'Instructor 360'!$B$6:$B$365,,1)</f>
        <v>1871.8662952646239</v>
      </c>
      <c r="Q92" s="6">
        <f>_xlfn.XLOOKUP(D92,'Instructor 360'!$B$6:$B$365,'Instructor 360'!$F$6:$F$365,,-1)</f>
        <v>45.528393036211703</v>
      </c>
      <c r="R92" s="6">
        <f>_xlfn.XLOOKUP(D92,'Instructor 360'!$B$6:$B$365,'Instructor 360'!$F$6:$F$365,,1)</f>
        <v>45.62160529247911</v>
      </c>
      <c r="S92" s="6">
        <f t="shared" si="34"/>
        <v>45.530979457082502</v>
      </c>
      <c r="T92" s="6">
        <f t="shared" si="35"/>
        <v>0.79466550318398987</v>
      </c>
      <c r="U92" s="6">
        <f t="shared" si="36"/>
        <v>6.7091214462373872E-2</v>
      </c>
      <c r="V92" s="6"/>
      <c r="W92" s="6">
        <f t="shared" si="37"/>
        <v>4.5012310580362447E-3</v>
      </c>
      <c r="AA92">
        <f t="shared" si="38"/>
        <v>1869</v>
      </c>
      <c r="AB92">
        <f t="shared" si="39"/>
        <v>0.86175671764636375</v>
      </c>
      <c r="AC92">
        <f t="shared" si="40"/>
        <v>0.79466550318398987</v>
      </c>
    </row>
    <row r="93" spans="1:29" ht="18.95" customHeight="1">
      <c r="A93" s="4">
        <f t="shared" si="41"/>
        <v>781</v>
      </c>
      <c r="B93" s="6">
        <f>INDEX('Raw Data'!$B$6:$B$1371,MATCH(A93,'Raw Data'!$A$6:$A$1371,0))</f>
        <v>16765</v>
      </c>
      <c r="C93" s="6">
        <f t="shared" si="28"/>
        <v>1890</v>
      </c>
      <c r="D93" s="6">
        <f>MOD(C93+Summary!$B$20,Summary!$B$11)</f>
        <v>1884.7416237989592</v>
      </c>
      <c r="E93" s="6">
        <f>_xlfn.XLOOKUP(D93,'Native PMKS'!$C$6:$C$366,'Native PMKS'!$C$6:$C$366,,-1)</f>
        <v>1883.3333333333335</v>
      </c>
      <c r="F93" s="6">
        <f>_xlfn.XLOOKUP(D93,'Native PMKS'!$C$6:$C$366,'Native PMKS'!$C$6:$C$366,,1)</f>
        <v>1891.6666666666667</v>
      </c>
      <c r="G93" s="6">
        <f>_xlfn.XLOOKUP(D93,'Native PMKS'!$C$6:$C$366,'Native PMKS'!$N$6:$N$366,,-1)</f>
        <v>45.779299999999999</v>
      </c>
      <c r="H93" s="6">
        <f>_xlfn.XLOOKUP(D93,'Native PMKS'!$C$6:$C$366,'Native PMKS'!$N$6:$N$366,,1)</f>
        <v>45.836599999999997</v>
      </c>
      <c r="I93" s="6">
        <f t="shared" si="29"/>
        <v>45.788983405241638</v>
      </c>
      <c r="J93" s="6">
        <f>INDEX('Raw Data'!$S$6:$S$1371,MATCH(A93,'Raw Data'!$A$6:$A$1371,0))</f>
        <v>-47.420822143554702</v>
      </c>
      <c r="K93" s="6">
        <f t="shared" si="30"/>
        <v>0.82764948040766473</v>
      </c>
      <c r="L93" s="6">
        <f t="shared" si="31"/>
        <v>0.79916852156251161</v>
      </c>
      <c r="M93" s="6">
        <f t="shared" si="32"/>
        <v>2.8480958845153115E-2</v>
      </c>
      <c r="N93" s="6">
        <f t="shared" si="33"/>
        <v>8.1116501673930545E-4</v>
      </c>
      <c r="O93" s="6">
        <f>_xlfn.XLOOKUP(D93,'Instructor 360'!$B$6:$B$365,'Instructor 360'!$B$6:$B$365,,-1)</f>
        <v>1880.2228412256268</v>
      </c>
      <c r="P93" s="6">
        <f>_xlfn.XLOOKUP(D93,'Instructor 360'!$B$6:$B$365,'Instructor 360'!$B$6:$B$365,,1)</f>
        <v>1888.5793871866294</v>
      </c>
      <c r="Q93" s="6">
        <f>_xlfn.XLOOKUP(D93,'Instructor 360'!$B$6:$B$365,'Instructor 360'!$F$6:$F$365,,-1)</f>
        <v>45.736524512534821</v>
      </c>
      <c r="R93" s="6">
        <f>_xlfn.XLOOKUP(D93,'Instructor 360'!$B$6:$B$365,'Instructor 360'!$F$6:$F$365,,1)</f>
        <v>45.815371866295258</v>
      </c>
      <c r="S93" s="6">
        <f t="shared" si="34"/>
        <v>45.779161033627233</v>
      </c>
      <c r="T93" s="6">
        <f t="shared" si="35"/>
        <v>0.79899708883748577</v>
      </c>
      <c r="U93" s="6">
        <f t="shared" si="36"/>
        <v>2.8652391570178959E-2</v>
      </c>
      <c r="V93" s="6"/>
      <c r="W93" s="6">
        <f t="shared" si="37"/>
        <v>8.2095954269086231E-4</v>
      </c>
      <c r="AA93">
        <f t="shared" si="38"/>
        <v>1890</v>
      </c>
      <c r="AB93">
        <f t="shared" si="39"/>
        <v>0.82764948040766473</v>
      </c>
      <c r="AC93">
        <f t="shared" si="40"/>
        <v>0.79899708883748577</v>
      </c>
    </row>
    <row r="94" spans="1:29" ht="18.95" customHeight="1">
      <c r="A94" s="4">
        <f t="shared" si="41"/>
        <v>782</v>
      </c>
      <c r="B94" s="6">
        <f>INDEX('Raw Data'!$B$6:$B$1371,MATCH(A94,'Raw Data'!$A$6:$A$1371,0))</f>
        <v>16786</v>
      </c>
      <c r="C94" s="6">
        <f t="shared" si="28"/>
        <v>1911</v>
      </c>
      <c r="D94" s="6">
        <f>MOD(C94+Summary!$B$20,Summary!$B$11)</f>
        <v>1905.7416237989592</v>
      </c>
      <c r="E94" s="6">
        <f>_xlfn.XLOOKUP(D94,'Native PMKS'!$C$6:$C$366,'Native PMKS'!$C$6:$C$366,,-1)</f>
        <v>1900.0000000000002</v>
      </c>
      <c r="F94" s="6">
        <f>_xlfn.XLOOKUP(D94,'Native PMKS'!$C$6:$C$366,'Native PMKS'!$C$6:$C$366,,1)</f>
        <v>1908.3333333333335</v>
      </c>
      <c r="G94" s="6">
        <f>_xlfn.XLOOKUP(D94,'Native PMKS'!$C$6:$C$366,'Native PMKS'!$N$6:$N$366,,-1)</f>
        <v>45.893900000000002</v>
      </c>
      <c r="H94" s="6">
        <f>_xlfn.XLOOKUP(D94,'Native PMKS'!$C$6:$C$366,'Native PMKS'!$N$6:$N$366,,1)</f>
        <v>45.9512</v>
      </c>
      <c r="I94" s="6">
        <f t="shared" si="29"/>
        <v>45.933379405241645</v>
      </c>
      <c r="J94" s="6">
        <f>INDEX('Raw Data'!$S$6:$S$1371,MATCH(A94,'Raw Data'!$A$6:$A$1371,0))</f>
        <v>-48.581130981445298</v>
      </c>
      <c r="K94" s="6">
        <f t="shared" si="30"/>
        <v>0.84790068996884471</v>
      </c>
      <c r="L94" s="6">
        <f t="shared" si="31"/>
        <v>0.80168870718922136</v>
      </c>
      <c r="M94" s="6">
        <f t="shared" si="32"/>
        <v>4.6211982779623351E-2</v>
      </c>
      <c r="N94" s="6">
        <f t="shared" si="33"/>
        <v>2.1355473524242051E-3</v>
      </c>
      <c r="O94" s="6">
        <f>_xlfn.XLOOKUP(D94,'Instructor 360'!$B$6:$B$365,'Instructor 360'!$B$6:$B$365,,-1)</f>
        <v>1905.292479108635</v>
      </c>
      <c r="P94" s="6">
        <f>_xlfn.XLOOKUP(D94,'Instructor 360'!$B$6:$B$365,'Instructor 360'!$B$6:$B$365,,1)</f>
        <v>1913.6490250696379</v>
      </c>
      <c r="Q94" s="6">
        <f>_xlfn.XLOOKUP(D94,'Instructor 360'!$B$6:$B$365,'Instructor 360'!$F$6:$F$365,,-1)</f>
        <v>45.930291086350977</v>
      </c>
      <c r="R94" s="6">
        <f>_xlfn.XLOOKUP(D94,'Instructor 360'!$B$6:$B$365,'Instructor 360'!$F$6:$F$365,,1)</f>
        <v>45.9512</v>
      </c>
      <c r="S94" s="6">
        <f t="shared" si="34"/>
        <v>45.931414891280639</v>
      </c>
      <c r="T94" s="6">
        <f t="shared" si="35"/>
        <v>0.80165441995240039</v>
      </c>
      <c r="U94" s="6">
        <f t="shared" si="36"/>
        <v>4.6246270016444324E-2</v>
      </c>
      <c r="V94" s="6"/>
      <c r="W94" s="6">
        <f t="shared" si="37"/>
        <v>2.1387174904338772E-3</v>
      </c>
      <c r="AA94">
        <f t="shared" si="38"/>
        <v>1911</v>
      </c>
      <c r="AB94">
        <f t="shared" si="39"/>
        <v>0.84790068996884471</v>
      </c>
      <c r="AC94">
        <f t="shared" si="40"/>
        <v>0.80165441995240039</v>
      </c>
    </row>
    <row r="95" spans="1:29" ht="18.95" customHeight="1">
      <c r="A95" s="4">
        <f t="shared" si="41"/>
        <v>783</v>
      </c>
      <c r="B95" s="6">
        <f>INDEX('Raw Data'!$B$6:$B$1371,MATCH(A95,'Raw Data'!$A$6:$A$1371,0))</f>
        <v>16809</v>
      </c>
      <c r="C95" s="6">
        <f t="shared" si="28"/>
        <v>1934</v>
      </c>
      <c r="D95" s="6">
        <f>MOD(C95+Summary!$B$20,Summary!$B$11)</f>
        <v>1928.7416237989592</v>
      </c>
      <c r="E95" s="6">
        <f>_xlfn.XLOOKUP(D95,'Native PMKS'!$C$6:$C$366,'Native PMKS'!$C$6:$C$366,,-1)</f>
        <v>1925.0000000000002</v>
      </c>
      <c r="F95" s="6">
        <f>_xlfn.XLOOKUP(D95,'Native PMKS'!$C$6:$C$366,'Native PMKS'!$C$6:$C$366,,1)</f>
        <v>1933.3333333333335</v>
      </c>
      <c r="G95" s="6">
        <f>_xlfn.XLOOKUP(D95,'Native PMKS'!$C$6:$C$366,'Native PMKS'!$N$6:$N$366,,-1)</f>
        <v>46.008499999999998</v>
      </c>
      <c r="H95" s="6">
        <f>_xlfn.XLOOKUP(D95,'Native PMKS'!$C$6:$C$366,'Native PMKS'!$N$6:$N$366,,1)</f>
        <v>46.008499999999998</v>
      </c>
      <c r="I95" s="6">
        <f t="shared" si="29"/>
        <v>46.008499999999998</v>
      </c>
      <c r="J95" s="6">
        <f>INDEX('Raw Data'!$S$6:$S$1371,MATCH(A95,'Raw Data'!$A$6:$A$1371,0))</f>
        <v>-46.153648376464801</v>
      </c>
      <c r="K95" s="6">
        <f t="shared" si="30"/>
        <v>0.80553312597704607</v>
      </c>
      <c r="L95" s="6">
        <f t="shared" si="31"/>
        <v>0.80299980890381106</v>
      </c>
      <c r="M95" s="6">
        <f t="shared" si="32"/>
        <v>2.5333170732350085E-3</v>
      </c>
      <c r="N95" s="6">
        <f t="shared" si="33"/>
        <v>6.4176953935439892E-6</v>
      </c>
      <c r="O95" s="6">
        <f>_xlfn.XLOOKUP(D95,'Instructor 360'!$B$6:$B$365,'Instructor 360'!$B$6:$B$365,,-1)</f>
        <v>1922.0055710306406</v>
      </c>
      <c r="P95" s="6">
        <f>_xlfn.XLOOKUP(D95,'Instructor 360'!$B$6:$B$365,'Instructor 360'!$B$6:$B$365,,1)</f>
        <v>1930.3621169916435</v>
      </c>
      <c r="Q95" s="6">
        <f>_xlfn.XLOOKUP(D95,'Instructor 360'!$B$6:$B$365,'Instructor 360'!$F$6:$F$365,,-1)</f>
        <v>45.987910306406683</v>
      </c>
      <c r="R95" s="6">
        <f>_xlfn.XLOOKUP(D95,'Instructor 360'!$B$6:$B$365,'Instructor 360'!$F$6:$F$365,,1)</f>
        <v>46.008499999999998</v>
      </c>
      <c r="S95" s="6">
        <f t="shared" si="34"/>
        <v>46.004507266822543</v>
      </c>
      <c r="T95" s="6">
        <f t="shared" si="35"/>
        <v>0.80293012256371077</v>
      </c>
      <c r="U95" s="6">
        <f t="shared" si="36"/>
        <v>2.6030034133353031E-3</v>
      </c>
      <c r="V95" s="6"/>
      <c r="W95" s="6">
        <f t="shared" si="37"/>
        <v>6.7756267698352389E-6</v>
      </c>
      <c r="AA95">
        <f t="shared" si="38"/>
        <v>1934</v>
      </c>
      <c r="AB95">
        <f t="shared" si="39"/>
        <v>0.80553312597704607</v>
      </c>
      <c r="AC95">
        <f t="shared" si="40"/>
        <v>0.80293012256371077</v>
      </c>
    </row>
    <row r="96" spans="1:29" ht="18.95" customHeight="1">
      <c r="A96" s="4">
        <f t="shared" si="41"/>
        <v>784</v>
      </c>
      <c r="B96" s="6">
        <f>INDEX('Raw Data'!$B$6:$B$1371,MATCH(A96,'Raw Data'!$A$6:$A$1371,0))</f>
        <v>16831</v>
      </c>
      <c r="C96" s="6">
        <f t="shared" si="28"/>
        <v>1956</v>
      </c>
      <c r="D96" s="6">
        <f>MOD(C96+Summary!$B$20,Summary!$B$11)</f>
        <v>1950.7416237989592</v>
      </c>
      <c r="E96" s="6">
        <f>_xlfn.XLOOKUP(D96,'Native PMKS'!$C$6:$C$366,'Native PMKS'!$C$6:$C$366,,-1)</f>
        <v>1950.0000000000002</v>
      </c>
      <c r="F96" s="6">
        <f>_xlfn.XLOOKUP(D96,'Native PMKS'!$C$6:$C$366,'Native PMKS'!$C$6:$C$366,,1)</f>
        <v>1958.3333333333335</v>
      </c>
      <c r="G96" s="6">
        <f>_xlfn.XLOOKUP(D96,'Native PMKS'!$C$6:$C$366,'Native PMKS'!$N$6:$N$366,,-1)</f>
        <v>45.9512</v>
      </c>
      <c r="H96" s="6">
        <f>_xlfn.XLOOKUP(D96,'Native PMKS'!$C$6:$C$366,'Native PMKS'!$N$6:$N$366,,1)</f>
        <v>45.9512</v>
      </c>
      <c r="I96" s="6">
        <f t="shared" si="29"/>
        <v>45.9512</v>
      </c>
      <c r="J96" s="6">
        <f>INDEX('Raw Data'!$S$6:$S$1371,MATCH(A96,'Raw Data'!$A$6:$A$1371,0))</f>
        <v>-46.901741027832003</v>
      </c>
      <c r="K96" s="6">
        <f t="shared" si="30"/>
        <v>0.81858980585337793</v>
      </c>
      <c r="L96" s="6">
        <f t="shared" si="31"/>
        <v>0.80199973524241841</v>
      </c>
      <c r="M96" s="6">
        <f t="shared" si="32"/>
        <v>1.6590070610959518E-2</v>
      </c>
      <c r="N96" s="6">
        <f t="shared" si="33"/>
        <v>2.752304428766227E-4</v>
      </c>
      <c r="O96" s="6">
        <f>_xlfn.XLOOKUP(D96,'Instructor 360'!$B$6:$B$365,'Instructor 360'!$B$6:$B$365,,-1)</f>
        <v>1947.075208913649</v>
      </c>
      <c r="P96" s="6">
        <f>_xlfn.XLOOKUP(D96,'Instructor 360'!$B$6:$B$365,'Instructor 360'!$B$6:$B$365,,1)</f>
        <v>1955.4317548746517</v>
      </c>
      <c r="Q96" s="6">
        <f>_xlfn.XLOOKUP(D96,'Instructor 360'!$B$6:$B$365,'Instructor 360'!$F$6:$F$365,,-1)</f>
        <v>45.97131086350975</v>
      </c>
      <c r="R96" s="6">
        <f>_xlfn.XLOOKUP(D96,'Instructor 360'!$B$6:$B$365,'Instructor 360'!$F$6:$F$365,,1)</f>
        <v>45.9512</v>
      </c>
      <c r="S96" s="6">
        <f t="shared" si="34"/>
        <v>45.962487269446768</v>
      </c>
      <c r="T96" s="6">
        <f t="shared" si="35"/>
        <v>0.8021967352578242</v>
      </c>
      <c r="U96" s="6">
        <f t="shared" si="36"/>
        <v>1.6393070595553727E-2</v>
      </c>
      <c r="V96" s="6"/>
      <c r="W96" s="6">
        <f t="shared" si="37"/>
        <v>2.6873276355080823E-4</v>
      </c>
      <c r="AA96">
        <f t="shared" si="38"/>
        <v>1956</v>
      </c>
      <c r="AB96">
        <f t="shared" si="39"/>
        <v>0.81858980585337793</v>
      </c>
      <c r="AC96">
        <f t="shared" si="40"/>
        <v>0.8021967352578242</v>
      </c>
    </row>
    <row r="97" spans="1:29" ht="18.95" customHeight="1">
      <c r="A97" s="4">
        <f t="shared" si="41"/>
        <v>785</v>
      </c>
      <c r="B97" s="6">
        <f>INDEX('Raw Data'!$B$6:$B$1371,MATCH(A97,'Raw Data'!$A$6:$A$1371,0))</f>
        <v>16853</v>
      </c>
      <c r="C97" s="6">
        <f t="shared" si="28"/>
        <v>1978</v>
      </c>
      <c r="D97" s="6">
        <f>MOD(C97+Summary!$B$20,Summary!$B$11)</f>
        <v>1972.7416237989592</v>
      </c>
      <c r="E97" s="6">
        <f>_xlfn.XLOOKUP(D97,'Native PMKS'!$C$6:$C$366,'Native PMKS'!$C$6:$C$366,,-1)</f>
        <v>1966.6666666666667</v>
      </c>
      <c r="F97" s="6">
        <f>_xlfn.XLOOKUP(D97,'Native PMKS'!$C$6:$C$366,'Native PMKS'!$C$6:$C$366,,1)</f>
        <v>1975.0000000000002</v>
      </c>
      <c r="G97" s="6">
        <f>_xlfn.XLOOKUP(D97,'Native PMKS'!$C$6:$C$366,'Native PMKS'!$N$6:$N$366,,-1)</f>
        <v>45.893900000000002</v>
      </c>
      <c r="H97" s="6">
        <f>_xlfn.XLOOKUP(D97,'Native PMKS'!$C$6:$C$366,'Native PMKS'!$N$6:$N$366,,1)</f>
        <v>45.779299999999999</v>
      </c>
      <c r="I97" s="6">
        <f t="shared" si="29"/>
        <v>45.810357189516722</v>
      </c>
      <c r="J97" s="6">
        <f>INDEX('Raw Data'!$S$6:$S$1371,MATCH(A97,'Raw Data'!$A$6:$A$1371,0))</f>
        <v>-45.512428283691399</v>
      </c>
      <c r="K97" s="6">
        <f t="shared" si="30"/>
        <v>0.79434172412820681</v>
      </c>
      <c r="L97" s="6">
        <f t="shared" si="31"/>
        <v>0.79954156447172287</v>
      </c>
      <c r="M97" s="6">
        <f t="shared" si="32"/>
        <v>-5.1998403435160601E-3</v>
      </c>
      <c r="N97" s="6">
        <f t="shared" si="33"/>
        <v>2.7038339598057216E-5</v>
      </c>
      <c r="O97" s="6">
        <f>_xlfn.XLOOKUP(D97,'Instructor 360'!$B$6:$B$365,'Instructor 360'!$B$6:$B$365,,-1)</f>
        <v>1972.1448467966575</v>
      </c>
      <c r="P97" s="6">
        <f>_xlfn.XLOOKUP(D97,'Instructor 360'!$B$6:$B$365,'Instructor 360'!$B$6:$B$365,,1)</f>
        <v>1980.5013927576601</v>
      </c>
      <c r="Q97" s="6">
        <f>_xlfn.XLOOKUP(D97,'Instructor 360'!$B$6:$B$365,'Instructor 360'!$F$6:$F$365,,-1)</f>
        <v>45.818564066852367</v>
      </c>
      <c r="R97" s="6">
        <f>_xlfn.XLOOKUP(D97,'Instructor 360'!$B$6:$B$365,'Instructor 360'!$F$6:$F$365,,1)</f>
        <v>45.741472423398328</v>
      </c>
      <c r="S97" s="6">
        <f t="shared" si="34"/>
        <v>45.813058619973035</v>
      </c>
      <c r="T97" s="6">
        <f t="shared" si="35"/>
        <v>0.7995887133276991</v>
      </c>
      <c r="U97" s="6">
        <f t="shared" si="36"/>
        <v>-5.2469891994922913E-3</v>
      </c>
      <c r="V97" s="6"/>
      <c r="W97" s="6">
        <f t="shared" si="37"/>
        <v>2.7530895659588755E-5</v>
      </c>
      <c r="AA97">
        <f t="shared" si="38"/>
        <v>1978</v>
      </c>
      <c r="AB97">
        <f t="shared" si="39"/>
        <v>0.79434172412820681</v>
      </c>
      <c r="AC97">
        <f t="shared" si="40"/>
        <v>0.7995887133276991</v>
      </c>
    </row>
    <row r="98" spans="1:29" ht="18.95" customHeight="1">
      <c r="A98" s="4">
        <f t="shared" si="41"/>
        <v>786</v>
      </c>
      <c r="B98" s="6">
        <f>INDEX('Raw Data'!$B$6:$B$1371,MATCH(A98,'Raw Data'!$A$6:$A$1371,0))</f>
        <v>16875</v>
      </c>
      <c r="C98" s="6">
        <f t="shared" si="28"/>
        <v>2000</v>
      </c>
      <c r="D98" s="6">
        <f>MOD(C98+Summary!$B$20,Summary!$B$11)</f>
        <v>1994.7416237989592</v>
      </c>
      <c r="E98" s="6">
        <f>_xlfn.XLOOKUP(D98,'Native PMKS'!$C$6:$C$366,'Native PMKS'!$C$6:$C$366,,-1)</f>
        <v>1991.6666666666667</v>
      </c>
      <c r="F98" s="6">
        <f>_xlfn.XLOOKUP(D98,'Native PMKS'!$C$6:$C$366,'Native PMKS'!$C$6:$C$366,,1)</f>
        <v>2000.0000000000002</v>
      </c>
      <c r="G98" s="6">
        <f>_xlfn.XLOOKUP(D98,'Native PMKS'!$C$6:$C$366,'Native PMKS'!$N$6:$N$366,,-1)</f>
        <v>45.607399999999998</v>
      </c>
      <c r="H98" s="6">
        <f>_xlfn.XLOOKUP(D98,'Native PMKS'!$C$6:$C$366,'Native PMKS'!$N$6:$N$366,,1)</f>
        <v>45.5501</v>
      </c>
      <c r="I98" s="6">
        <f t="shared" si="29"/>
        <v>45.586256594758353</v>
      </c>
      <c r="J98" s="6">
        <f>INDEX('Raw Data'!$S$6:$S$1371,MATCH(A98,'Raw Data'!$A$6:$A$1371,0))</f>
        <v>-47.039146423339801</v>
      </c>
      <c r="K98" s="6">
        <f t="shared" si="30"/>
        <v>0.82098798241499393</v>
      </c>
      <c r="L98" s="6">
        <f t="shared" si="31"/>
        <v>0.79563027123751162</v>
      </c>
      <c r="M98" s="6">
        <f t="shared" si="32"/>
        <v>2.5357711177482312E-2</v>
      </c>
      <c r="N98" s="6">
        <f t="shared" si="33"/>
        <v>6.4301351616061133E-4</v>
      </c>
      <c r="O98" s="6">
        <f>_xlfn.XLOOKUP(D98,'Instructor 360'!$B$6:$B$365,'Instructor 360'!$B$6:$B$365,,-1)</f>
        <v>1988.857938718663</v>
      </c>
      <c r="P98" s="6">
        <f>_xlfn.XLOOKUP(D98,'Instructor 360'!$B$6:$B$365,'Instructor 360'!$B$6:$B$365,,1)</f>
        <v>1997.2144846796657</v>
      </c>
      <c r="Q98" s="6">
        <f>_xlfn.XLOOKUP(D98,'Instructor 360'!$B$6:$B$365,'Instructor 360'!$F$6:$F$365,,-1)</f>
        <v>45.646025626740943</v>
      </c>
      <c r="R98" s="6">
        <f>_xlfn.XLOOKUP(D98,'Instructor 360'!$B$6:$B$365,'Instructor 360'!$F$6:$F$365,,1)</f>
        <v>45.569253203342619</v>
      </c>
      <c r="S98" s="6">
        <f t="shared" si="34"/>
        <v>45.591971623539763</v>
      </c>
      <c r="T98" s="6">
        <f t="shared" si="35"/>
        <v>0.79573001730659343</v>
      </c>
      <c r="U98" s="6">
        <f t="shared" si="36"/>
        <v>2.5257965108400504E-2</v>
      </c>
      <c r="V98" s="6"/>
      <c r="W98" s="6">
        <f t="shared" si="37"/>
        <v>6.3796480141717728E-4</v>
      </c>
      <c r="AA98">
        <f t="shared" si="38"/>
        <v>2000</v>
      </c>
      <c r="AB98">
        <f t="shared" si="39"/>
        <v>0.82098798241499393</v>
      </c>
      <c r="AC98">
        <f t="shared" si="40"/>
        <v>0.79573001730659343</v>
      </c>
    </row>
    <row r="99" spans="1:29" ht="18.95" customHeight="1">
      <c r="A99" s="4">
        <f t="shared" si="41"/>
        <v>787</v>
      </c>
      <c r="B99" s="6">
        <f>INDEX('Raw Data'!$B$6:$B$1371,MATCH(A99,'Raw Data'!$A$6:$A$1371,0))</f>
        <v>16897</v>
      </c>
      <c r="C99" s="6">
        <f t="shared" si="28"/>
        <v>2022</v>
      </c>
      <c r="D99" s="6">
        <f>MOD(C99+Summary!$B$20,Summary!$B$11)</f>
        <v>2016.7416237989592</v>
      </c>
      <c r="E99" s="6">
        <f>_xlfn.XLOOKUP(D99,'Native PMKS'!$C$6:$C$366,'Native PMKS'!$C$6:$C$366,,-1)</f>
        <v>2016.6666666666667</v>
      </c>
      <c r="F99" s="6">
        <f>_xlfn.XLOOKUP(D99,'Native PMKS'!$C$6:$C$366,'Native PMKS'!$C$6:$C$366,,1)</f>
        <v>2025.0000000000002</v>
      </c>
      <c r="G99" s="6">
        <f>_xlfn.XLOOKUP(D99,'Native PMKS'!$C$6:$C$366,'Native PMKS'!$N$6:$N$366,,-1)</f>
        <v>45.2637</v>
      </c>
      <c r="H99" s="6">
        <f>_xlfn.XLOOKUP(D99,'Native PMKS'!$C$6:$C$366,'Native PMKS'!$N$6:$N$366,,1)</f>
        <v>45.091799999999999</v>
      </c>
      <c r="I99" s="6">
        <f t="shared" si="29"/>
        <v>45.262153784275078</v>
      </c>
      <c r="J99" s="6">
        <f>INDEX('Raw Data'!$S$6:$S$1371,MATCH(A99,'Raw Data'!$A$6:$A$1371,0))</f>
        <v>-44.397926330566399</v>
      </c>
      <c r="K99" s="6">
        <f t="shared" si="30"/>
        <v>0.77488999552626803</v>
      </c>
      <c r="L99" s="6">
        <f t="shared" si="31"/>
        <v>0.78997361007961131</v>
      </c>
      <c r="M99" s="6">
        <f t="shared" si="32"/>
        <v>-1.5083614553343283E-2</v>
      </c>
      <c r="N99" s="6">
        <f t="shared" si="33"/>
        <v>2.2751542799382928E-4</v>
      </c>
      <c r="O99" s="6">
        <f>_xlfn.XLOOKUP(D99,'Instructor 360'!$B$6:$B$365,'Instructor 360'!$B$6:$B$365,,-1)</f>
        <v>2013.9275766016713</v>
      </c>
      <c r="P99" s="6">
        <f>_xlfn.XLOOKUP(D99,'Instructor 360'!$B$6:$B$365,'Instructor 360'!$B$6:$B$365,,1)</f>
        <v>2022.2841225626742</v>
      </c>
      <c r="Q99" s="6">
        <f>_xlfn.XLOOKUP(D99,'Instructor 360'!$B$6:$B$365,'Instructor 360'!$F$6:$F$365,,-1)</f>
        <v>45.301367966573821</v>
      </c>
      <c r="R99" s="6">
        <f>_xlfn.XLOOKUP(D99,'Instructor 360'!$B$6:$B$365,'Instructor 360'!$F$6:$F$365,,1)</f>
        <v>45.147823119777158</v>
      </c>
      <c r="S99" s="6">
        <f t="shared" si="34"/>
        <v>45.249662100561416</v>
      </c>
      <c r="T99" s="6">
        <f t="shared" si="35"/>
        <v>0.78975558906969023</v>
      </c>
      <c r="U99" s="6">
        <f t="shared" si="36"/>
        <v>-1.4865593543422206E-2</v>
      </c>
      <c r="V99" s="6"/>
      <c r="W99" s="6">
        <f t="shared" si="37"/>
        <v>2.20985871398236E-4</v>
      </c>
      <c r="AA99">
        <f t="shared" si="38"/>
        <v>2022</v>
      </c>
      <c r="AB99">
        <f t="shared" si="39"/>
        <v>0.77488999552626803</v>
      </c>
      <c r="AC99">
        <f t="shared" si="40"/>
        <v>0.78975558906969023</v>
      </c>
    </row>
    <row r="100" spans="1:29" ht="18.95" customHeight="1">
      <c r="A100" s="4">
        <f t="shared" si="41"/>
        <v>788</v>
      </c>
      <c r="B100" s="6">
        <f>INDEX('Raw Data'!$B$6:$B$1371,MATCH(A100,'Raw Data'!$A$6:$A$1371,0))</f>
        <v>16917</v>
      </c>
      <c r="C100" s="6">
        <f t="shared" si="28"/>
        <v>2042</v>
      </c>
      <c r="D100" s="6">
        <f>MOD(C100+Summary!$B$20,Summary!$B$11)</f>
        <v>2036.7416237989592</v>
      </c>
      <c r="E100" s="6">
        <f>_xlfn.XLOOKUP(D100,'Native PMKS'!$C$6:$C$366,'Native PMKS'!$C$6:$C$366,,-1)</f>
        <v>2033.3333333333335</v>
      </c>
      <c r="F100" s="6">
        <f>_xlfn.XLOOKUP(D100,'Native PMKS'!$C$6:$C$366,'Native PMKS'!$C$6:$C$366,,1)</f>
        <v>2041.6666666666667</v>
      </c>
      <c r="G100" s="6">
        <f>_xlfn.XLOOKUP(D100,'Native PMKS'!$C$6:$C$366,'Native PMKS'!$N$6:$N$366,,-1)</f>
        <v>44.977200000000003</v>
      </c>
      <c r="H100" s="6">
        <f>_xlfn.XLOOKUP(D100,'Native PMKS'!$C$6:$C$366,'Native PMKS'!$N$6:$N$366,,1)</f>
        <v>44.747999999999998</v>
      </c>
      <c r="I100" s="6">
        <f t="shared" si="29"/>
        <v>44.883458379033435</v>
      </c>
      <c r="J100" s="6">
        <f>INDEX('Raw Data'!$S$6:$S$1371,MATCH(A100,'Raw Data'!$A$6:$A$1371,0))</f>
        <v>-44.962806701660199</v>
      </c>
      <c r="K100" s="6">
        <f t="shared" si="30"/>
        <v>0.78474901788174223</v>
      </c>
      <c r="L100" s="6">
        <f t="shared" si="31"/>
        <v>0.78336412839597047</v>
      </c>
      <c r="M100" s="6">
        <f t="shared" si="32"/>
        <v>1.3848894857717564E-3</v>
      </c>
      <c r="N100" s="6">
        <f t="shared" si="33"/>
        <v>1.9179188878011601E-6</v>
      </c>
      <c r="O100" s="6">
        <f>_xlfn.XLOOKUP(D100,'Instructor 360'!$B$6:$B$365,'Instructor 360'!$B$6:$B$365,,-1)</f>
        <v>2030.6406685236768</v>
      </c>
      <c r="P100" s="6">
        <f>_xlfn.XLOOKUP(D100,'Instructor 360'!$B$6:$B$365,'Instructor 360'!$B$6:$B$365,,1)</f>
        <v>2038.9972144846797</v>
      </c>
      <c r="Q100" s="6">
        <f>_xlfn.XLOOKUP(D100,'Instructor 360'!$B$6:$B$365,'Instructor 360'!$F$6:$F$365,,-1)</f>
        <v>45.014229526462401</v>
      </c>
      <c r="R100" s="6">
        <f>_xlfn.XLOOKUP(D100,'Instructor 360'!$B$6:$B$365,'Instructor 360'!$F$6:$F$365,,1)</f>
        <v>44.82142061281337</v>
      </c>
      <c r="S100" s="6">
        <f t="shared" si="34"/>
        <v>44.873463405586861</v>
      </c>
      <c r="T100" s="6">
        <f t="shared" si="35"/>
        <v>0.78318968320067828</v>
      </c>
      <c r="U100" s="6">
        <f t="shared" si="36"/>
        <v>1.5593346810639508E-3</v>
      </c>
      <c r="V100" s="6"/>
      <c r="W100" s="6">
        <f t="shared" si="37"/>
        <v>2.4315246475688132E-6</v>
      </c>
      <c r="AA100">
        <f t="shared" si="38"/>
        <v>2042</v>
      </c>
      <c r="AB100">
        <f t="shared" si="39"/>
        <v>0.78474901788174223</v>
      </c>
      <c r="AC100">
        <f t="shared" si="40"/>
        <v>0.78318968320067828</v>
      </c>
    </row>
    <row r="101" spans="1:29" ht="18.95" customHeight="1">
      <c r="A101" s="4">
        <f t="shared" si="41"/>
        <v>789</v>
      </c>
      <c r="B101" s="6">
        <f>INDEX('Raw Data'!$B$6:$B$1371,MATCH(A101,'Raw Data'!$A$6:$A$1371,0))</f>
        <v>16938</v>
      </c>
      <c r="C101" s="6">
        <f t="shared" si="28"/>
        <v>2063</v>
      </c>
      <c r="D101" s="6">
        <f>MOD(C101+Summary!$B$20,Summary!$B$11)</f>
        <v>2057.7416237989592</v>
      </c>
      <c r="E101" s="6">
        <f>_xlfn.XLOOKUP(D101,'Native PMKS'!$C$6:$C$366,'Native PMKS'!$C$6:$C$366,,-1)</f>
        <v>2050</v>
      </c>
      <c r="F101" s="6">
        <f>_xlfn.XLOOKUP(D101,'Native PMKS'!$C$6:$C$366,'Native PMKS'!$C$6:$C$366,,1)</f>
        <v>2058.3333333333335</v>
      </c>
      <c r="G101" s="6">
        <f>_xlfn.XLOOKUP(D101,'Native PMKS'!$C$6:$C$366,'Native PMKS'!$N$6:$N$366,,-1)</f>
        <v>44.576099999999997</v>
      </c>
      <c r="H101" s="6">
        <f>_xlfn.XLOOKUP(D101,'Native PMKS'!$C$6:$C$366,'Native PMKS'!$N$6:$N$366,,1)</f>
        <v>44.346899999999998</v>
      </c>
      <c r="I101" s="6">
        <f t="shared" si="29"/>
        <v>44.363174379033438</v>
      </c>
      <c r="J101" s="6">
        <f>INDEX('Raw Data'!$S$6:$S$1371,MATCH(A101,'Raw Data'!$A$6:$A$1371,0))</f>
        <v>-42.397926330566399</v>
      </c>
      <c r="K101" s="6">
        <f t="shared" si="30"/>
        <v>0.73998341048638139</v>
      </c>
      <c r="L101" s="6">
        <f t="shared" si="31"/>
        <v>0.77428345955052436</v>
      </c>
      <c r="M101" s="6">
        <f t="shared" si="32"/>
        <v>-3.4300049064142968E-2</v>
      </c>
      <c r="N101" s="6">
        <f t="shared" si="33"/>
        <v>1.1764933658026148E-3</v>
      </c>
      <c r="O101" s="6">
        <f>_xlfn.XLOOKUP(D101,'Instructor 360'!$B$6:$B$365,'Instructor 360'!$B$6:$B$365,,-1)</f>
        <v>2055.710306406685</v>
      </c>
      <c r="P101" s="6">
        <f>_xlfn.XLOOKUP(D101,'Instructor 360'!$B$6:$B$365,'Instructor 360'!$B$6:$B$365,,1)</f>
        <v>2064.0668523676882</v>
      </c>
      <c r="Q101" s="6">
        <f>_xlfn.XLOOKUP(D101,'Instructor 360'!$B$6:$B$365,'Instructor 360'!$F$6:$F$365,,-1)</f>
        <v>44.419043732590538</v>
      </c>
      <c r="R101" s="6">
        <f>_xlfn.XLOOKUP(D101,'Instructor 360'!$B$6:$B$365,'Instructor 360'!$F$6:$F$365,,1)</f>
        <v>44.189274094707528</v>
      </c>
      <c r="S101" s="6">
        <f t="shared" si="34"/>
        <v>44.363191103546633</v>
      </c>
      <c r="T101" s="6">
        <f t="shared" si="35"/>
        <v>0.77428375144834527</v>
      </c>
      <c r="U101" s="6">
        <f t="shared" si="36"/>
        <v>-3.4300340961963882E-2</v>
      </c>
      <c r="V101" s="6"/>
      <c r="W101" s="6">
        <f t="shared" si="37"/>
        <v>1.1765133901069774E-3</v>
      </c>
      <c r="AA101">
        <f t="shared" si="38"/>
        <v>2063</v>
      </c>
      <c r="AB101">
        <f t="shared" si="39"/>
        <v>0.73998341048638139</v>
      </c>
      <c r="AC101">
        <f t="shared" si="40"/>
        <v>0.77428375144834527</v>
      </c>
    </row>
    <row r="102" spans="1:29" ht="18.95" customHeight="1">
      <c r="A102" s="4">
        <f t="shared" si="41"/>
        <v>790</v>
      </c>
      <c r="B102" s="6">
        <f>INDEX('Raw Data'!$B$6:$B$1371,MATCH(A102,'Raw Data'!$A$6:$A$1371,0))</f>
        <v>16959</v>
      </c>
      <c r="C102" s="6">
        <f t="shared" ref="C102:C133" si="42">B102-$B$6</f>
        <v>2084</v>
      </c>
      <c r="D102" s="6">
        <f>MOD(C102+Summary!$B$20,Summary!$B$11)</f>
        <v>2078.7416237989592</v>
      </c>
      <c r="E102" s="6">
        <f>_xlfn.XLOOKUP(D102,'Native PMKS'!$C$6:$C$366,'Native PMKS'!$C$6:$C$366,,-1)</f>
        <v>2075</v>
      </c>
      <c r="F102" s="6">
        <f>_xlfn.XLOOKUP(D102,'Native PMKS'!$C$6:$C$366,'Native PMKS'!$C$6:$C$366,,1)</f>
        <v>2083.3333333333335</v>
      </c>
      <c r="G102" s="6">
        <f>_xlfn.XLOOKUP(D102,'Native PMKS'!$C$6:$C$366,'Native PMKS'!$N$6:$N$366,,-1)</f>
        <v>43.888599999999997</v>
      </c>
      <c r="H102" s="6">
        <f>_xlfn.XLOOKUP(D102,'Native PMKS'!$C$6:$C$366,'Native PMKS'!$N$6:$N$366,,1)</f>
        <v>43.659399999999998</v>
      </c>
      <c r="I102" s="6">
        <f t="shared" ref="I102:I133" si="43">IF(E102=F102,G102,_xlfn.FORECAST.LINEAR(D102,G102:H102,E102:F102))</f>
        <v>43.78569037903344</v>
      </c>
      <c r="J102" s="6">
        <f>INDEX('Raw Data'!$S$6:$S$1371,MATCH(A102,'Raw Data'!$A$6:$A$1371,0))</f>
        <v>-42.123115539550803</v>
      </c>
      <c r="K102" s="6">
        <f t="shared" ref="K102:K133" si="44">J102*-1*PI()/180</f>
        <v>0.73518705736314915</v>
      </c>
      <c r="L102" s="6">
        <f t="shared" ref="L102:L133" si="45">I102*PI()/180</f>
        <v>0.76420446237293749</v>
      </c>
      <c r="M102" s="6">
        <f t="shared" ref="M102:M133" si="46">K102-L102</f>
        <v>-2.9017405009788333E-2</v>
      </c>
      <c r="N102" s="6">
        <f t="shared" ref="N102:N133" si="47">M102^2</f>
        <v>8.4200979350208902E-4</v>
      </c>
      <c r="O102" s="6">
        <f>_xlfn.XLOOKUP(D102,'Instructor 360'!$B$6:$B$365,'Instructor 360'!$B$6:$B$365,,-1)</f>
        <v>2072.4233983286908</v>
      </c>
      <c r="P102" s="6">
        <f>_xlfn.XLOOKUP(D102,'Instructor 360'!$B$6:$B$365,'Instructor 360'!$B$6:$B$365,,1)</f>
        <v>2080.7799442896935</v>
      </c>
      <c r="Q102" s="6">
        <f>_xlfn.XLOOKUP(D102,'Instructor 360'!$B$6:$B$365,'Instructor 360'!$F$6:$F$365,,-1)</f>
        <v>43.95946685236769</v>
      </c>
      <c r="R102" s="6">
        <f>_xlfn.XLOOKUP(D102,'Instructor 360'!$B$6:$B$365,'Instructor 360'!$F$6:$F$365,,1)</f>
        <v>43.729628412256268</v>
      </c>
      <c r="S102" s="6">
        <f t="shared" ref="S102:S133" si="48">IF(O102=P102,Q102,_xlfn.FORECAST.LINEAR(D102,Q102:R102,O102:P102))</f>
        <v>43.785690379033433</v>
      </c>
      <c r="T102" s="6">
        <f t="shared" ref="T102:T133" si="49">S102*PI()/180</f>
        <v>0.76420446237293727</v>
      </c>
      <c r="U102" s="6">
        <f t="shared" ref="U102:U133" si="50">K102-T102</f>
        <v>-2.9017405009788111E-2</v>
      </c>
      <c r="V102" s="6"/>
      <c r="W102" s="6">
        <f t="shared" ref="W102:W133" si="51">U102^2</f>
        <v>8.4200979350207612E-4</v>
      </c>
      <c r="AA102">
        <f t="shared" ref="AA102:AA133" si="52">C102</f>
        <v>2084</v>
      </c>
      <c r="AB102">
        <f t="shared" ref="AB102:AB133" si="53">K102</f>
        <v>0.73518705736314915</v>
      </c>
      <c r="AC102">
        <f t="shared" ref="AC102:AC133" si="54">T102</f>
        <v>0.76420446237293727</v>
      </c>
    </row>
    <row r="103" spans="1:29" ht="18.95" customHeight="1">
      <c r="A103" s="4">
        <f t="shared" ref="A103:A134" si="55">A102+1</f>
        <v>791</v>
      </c>
      <c r="B103" s="6">
        <f>INDEX('Raw Data'!$B$6:$B$1371,MATCH(A103,'Raw Data'!$A$6:$A$1371,0))</f>
        <v>16998</v>
      </c>
      <c r="C103" s="6">
        <f t="shared" si="42"/>
        <v>2123</v>
      </c>
      <c r="D103" s="6">
        <f>MOD(C103+Summary!$B$20,Summary!$B$11)</f>
        <v>2117.7416237989592</v>
      </c>
      <c r="E103" s="6">
        <f>_xlfn.XLOOKUP(D103,'Native PMKS'!$C$6:$C$366,'Native PMKS'!$C$6:$C$366,,-1)</f>
        <v>2116.666666666667</v>
      </c>
      <c r="F103" s="6">
        <f>_xlfn.XLOOKUP(D103,'Native PMKS'!$C$6:$C$366,'Native PMKS'!$C$6:$C$366,,1)</f>
        <v>2125</v>
      </c>
      <c r="G103" s="6">
        <f>_xlfn.XLOOKUP(D103,'Native PMKS'!$C$6:$C$366,'Native PMKS'!$N$6:$N$366,,-1)</f>
        <v>42.513500000000001</v>
      </c>
      <c r="H103" s="6">
        <f>_xlfn.XLOOKUP(D103,'Native PMKS'!$C$6:$C$366,'Native PMKS'!$N$6:$N$366,,1)</f>
        <v>42.169699999999999</v>
      </c>
      <c r="I103" s="6">
        <f t="shared" si="43"/>
        <v>42.469151568550146</v>
      </c>
      <c r="J103" s="6">
        <f>INDEX('Raw Data'!$S$6:$S$1371,MATCH(A103,'Raw Data'!$A$6:$A$1371,0))</f>
        <v>-40.3368530273438</v>
      </c>
      <c r="K103" s="6">
        <f t="shared" si="44"/>
        <v>0.70401089522019156</v>
      </c>
      <c r="L103" s="6">
        <f t="shared" si="45"/>
        <v>0.74122652539971434</v>
      </c>
      <c r="M103" s="6">
        <f t="shared" si="46"/>
        <v>-3.7215630179522785E-2</v>
      </c>
      <c r="N103" s="6">
        <f t="shared" si="47"/>
        <v>1.3850031296590072E-3</v>
      </c>
      <c r="O103" s="6">
        <f>_xlfn.XLOOKUP(D103,'Instructor 360'!$B$6:$B$365,'Instructor 360'!$B$6:$B$365,,-1)</f>
        <v>2114.2061281337046</v>
      </c>
      <c r="P103" s="6">
        <f>_xlfn.XLOOKUP(D103,'Instructor 360'!$B$6:$B$365,'Instructor 360'!$B$6:$B$365,,1)</f>
        <v>2122.5626740947073</v>
      </c>
      <c r="Q103" s="6">
        <f>_xlfn.XLOOKUP(D103,'Instructor 360'!$B$6:$B$365,'Instructor 360'!$F$6:$F$365,,-1)</f>
        <v>42.598063788300848</v>
      </c>
      <c r="R103" s="6">
        <f>_xlfn.XLOOKUP(D103,'Instructor 360'!$B$6:$B$365,'Instructor 360'!$F$6:$F$365,,1)</f>
        <v>42.270254317548762</v>
      </c>
      <c r="S103" s="6">
        <f t="shared" si="48"/>
        <v>42.459373835743648</v>
      </c>
      <c r="T103" s="6">
        <f t="shared" si="49"/>
        <v>0.74105587176886067</v>
      </c>
      <c r="U103" s="6">
        <f t="shared" si="50"/>
        <v>-3.7044976548669117E-2</v>
      </c>
      <c r="V103" s="6"/>
      <c r="W103" s="6">
        <f t="shared" si="51"/>
        <v>1.3723302874914449E-3</v>
      </c>
      <c r="AA103">
        <f t="shared" si="52"/>
        <v>2123</v>
      </c>
      <c r="AB103">
        <f t="shared" si="53"/>
        <v>0.70401089522019156</v>
      </c>
      <c r="AC103">
        <f t="shared" si="54"/>
        <v>0.74105587176886067</v>
      </c>
    </row>
    <row r="104" spans="1:29" ht="18.95" customHeight="1">
      <c r="A104" s="4">
        <f t="shared" si="55"/>
        <v>792</v>
      </c>
      <c r="B104" s="6">
        <f>INDEX('Raw Data'!$B$6:$B$1371,MATCH(A104,'Raw Data'!$A$6:$A$1371,0))</f>
        <v>17018</v>
      </c>
      <c r="C104" s="6">
        <f t="shared" si="42"/>
        <v>2143</v>
      </c>
      <c r="D104" s="6">
        <f>MOD(C104+Summary!$B$20,Summary!$B$11)</f>
        <v>2137.7416237989592</v>
      </c>
      <c r="E104" s="6">
        <f>_xlfn.XLOOKUP(D104,'Native PMKS'!$C$6:$C$366,'Native PMKS'!$C$6:$C$366,,-1)</f>
        <v>2133.3333333333335</v>
      </c>
      <c r="F104" s="6">
        <f>_xlfn.XLOOKUP(D104,'Native PMKS'!$C$6:$C$366,'Native PMKS'!$C$6:$C$366,,1)</f>
        <v>2141.666666666667</v>
      </c>
      <c r="G104" s="6">
        <f>_xlfn.XLOOKUP(D104,'Native PMKS'!$C$6:$C$366,'Native PMKS'!$N$6:$N$366,,-1)</f>
        <v>41.825899999999997</v>
      </c>
      <c r="H104" s="6">
        <f>_xlfn.XLOOKUP(D104,'Native PMKS'!$C$6:$C$366,'Native PMKS'!$N$6:$N$366,,1)</f>
        <v>41.424799999999998</v>
      </c>
      <c r="I104" s="6">
        <f t="shared" si="43"/>
        <v>41.613720163308486</v>
      </c>
      <c r="J104" s="6">
        <f>INDEX('Raw Data'!$S$6:$S$1371,MATCH(A104,'Raw Data'!$A$6:$A$1371,0))</f>
        <v>-39.3292236328125</v>
      </c>
      <c r="K104" s="6">
        <f t="shared" si="44"/>
        <v>0.68642444464574348</v>
      </c>
      <c r="L104" s="6">
        <f t="shared" si="45"/>
        <v>0.72629643085328555</v>
      </c>
      <c r="M104" s="6">
        <f t="shared" si="46"/>
        <v>-3.9871986207542065E-2</v>
      </c>
      <c r="N104" s="6">
        <f t="shared" si="47"/>
        <v>1.5897752841344246E-3</v>
      </c>
      <c r="O104" s="6">
        <f>_xlfn.XLOOKUP(D104,'Instructor 360'!$B$6:$B$365,'Instructor 360'!$B$6:$B$365,,-1)</f>
        <v>2130.9192200557104</v>
      </c>
      <c r="P104" s="6">
        <f>_xlfn.XLOOKUP(D104,'Instructor 360'!$B$6:$B$365,'Instructor 360'!$B$6:$B$365,,1)</f>
        <v>2139.2757660167131</v>
      </c>
      <c r="Q104" s="6">
        <f>_xlfn.XLOOKUP(D104,'Instructor 360'!$B$6:$B$365,'Instructor 360'!$F$6:$F$365,,-1)</f>
        <v>41.925496657381615</v>
      </c>
      <c r="R104" s="6">
        <f>_xlfn.XLOOKUP(D104,'Instructor 360'!$B$6:$B$365,'Instructor 360'!$F$6:$F$365,,1)</f>
        <v>41.539878830083573</v>
      </c>
      <c r="S104" s="6">
        <f t="shared" si="48"/>
        <v>41.610672743207175</v>
      </c>
      <c r="T104" s="6">
        <f t="shared" si="49"/>
        <v>0.72624324333882617</v>
      </c>
      <c r="U104" s="6">
        <f t="shared" si="50"/>
        <v>-3.9818798693082691E-2</v>
      </c>
      <c r="V104" s="6"/>
      <c r="W104" s="6">
        <f t="shared" si="51"/>
        <v>1.5855367293602439E-3</v>
      </c>
      <c r="AA104">
        <f t="shared" si="52"/>
        <v>2143</v>
      </c>
      <c r="AB104">
        <f t="shared" si="53"/>
        <v>0.68642444464574348</v>
      </c>
      <c r="AC104">
        <f t="shared" si="54"/>
        <v>0.72624324333882617</v>
      </c>
    </row>
    <row r="105" spans="1:29" ht="18.95" customHeight="1">
      <c r="A105" s="4">
        <f t="shared" si="55"/>
        <v>793</v>
      </c>
      <c r="B105" s="6">
        <f>INDEX('Raw Data'!$B$6:$B$1371,MATCH(A105,'Raw Data'!$A$6:$A$1371,0))</f>
        <v>17038</v>
      </c>
      <c r="C105" s="6">
        <f t="shared" si="42"/>
        <v>2163</v>
      </c>
      <c r="D105" s="6">
        <f>MOD(C105+Summary!$B$20,Summary!$B$11)</f>
        <v>2157.7416237989592</v>
      </c>
      <c r="E105" s="6">
        <f>_xlfn.XLOOKUP(D105,'Native PMKS'!$C$6:$C$366,'Native PMKS'!$C$6:$C$366,,-1)</f>
        <v>2150</v>
      </c>
      <c r="F105" s="6">
        <f>_xlfn.XLOOKUP(D105,'Native PMKS'!$C$6:$C$366,'Native PMKS'!$C$6:$C$366,,1)</f>
        <v>2158.3333333333335</v>
      </c>
      <c r="G105" s="6">
        <f>_xlfn.XLOOKUP(D105,'Native PMKS'!$C$6:$C$366,'Native PMKS'!$N$6:$N$366,,-1)</f>
        <v>41.081099999999999</v>
      </c>
      <c r="H105" s="6">
        <f>_xlfn.XLOOKUP(D105,'Native PMKS'!$C$6:$C$366,'Native PMKS'!$N$6:$N$366,,1)</f>
        <v>40.68</v>
      </c>
      <c r="I105" s="6">
        <f t="shared" si="43"/>
        <v>40.708480163308536</v>
      </c>
      <c r="J105" s="6">
        <f>INDEX('Raw Data'!$S$6:$S$1371,MATCH(A105,'Raw Data'!$A$6:$A$1371,0))</f>
        <v>-37.100212097167997</v>
      </c>
      <c r="K105" s="6">
        <f t="shared" si="44"/>
        <v>0.6475208542838119</v>
      </c>
      <c r="L105" s="6">
        <f t="shared" si="45"/>
        <v>0.71049701233253282</v>
      </c>
      <c r="M105" s="6">
        <f t="shared" si="46"/>
        <v>-6.297615804872092E-2</v>
      </c>
      <c r="N105" s="6">
        <f t="shared" si="47"/>
        <v>3.9659964825774765E-3</v>
      </c>
      <c r="O105" s="6">
        <f>_xlfn.XLOOKUP(D105,'Instructor 360'!$B$6:$B$365,'Instructor 360'!$B$6:$B$365,,-1)</f>
        <v>2155.9888579387189</v>
      </c>
      <c r="P105" s="6">
        <f>_xlfn.XLOOKUP(D105,'Instructor 360'!$B$6:$B$365,'Instructor 360'!$B$6:$B$365,,1)</f>
        <v>2164.3454038997215</v>
      </c>
      <c r="Q105" s="6">
        <f>_xlfn.XLOOKUP(D105,'Instructor 360'!$B$6:$B$365,'Instructor 360'!$F$6:$F$365,,-1)</f>
        <v>40.792844289693591</v>
      </c>
      <c r="R105" s="6">
        <f>_xlfn.XLOOKUP(D105,'Instructor 360'!$B$6:$B$365,'Instructor 360'!$F$6:$F$365,,1)</f>
        <v>40.390627019498616</v>
      </c>
      <c r="S105" s="6">
        <f t="shared" si="48"/>
        <v>40.708480163308494</v>
      </c>
      <c r="T105" s="6">
        <f t="shared" si="49"/>
        <v>0.71049701233253215</v>
      </c>
      <c r="U105" s="6">
        <f t="shared" si="50"/>
        <v>-6.2976158048720254E-2</v>
      </c>
      <c r="V105" s="6"/>
      <c r="W105" s="6">
        <f t="shared" si="51"/>
        <v>3.9659964825773933E-3</v>
      </c>
      <c r="AA105">
        <f t="shared" si="52"/>
        <v>2163</v>
      </c>
      <c r="AB105">
        <f t="shared" si="53"/>
        <v>0.6475208542838119</v>
      </c>
      <c r="AC105">
        <f t="shared" si="54"/>
        <v>0.71049701233253215</v>
      </c>
    </row>
    <row r="106" spans="1:29" ht="18.95" customHeight="1">
      <c r="A106" s="4">
        <f t="shared" si="55"/>
        <v>794</v>
      </c>
      <c r="B106" s="6">
        <f>INDEX('Raw Data'!$B$6:$B$1371,MATCH(A106,'Raw Data'!$A$6:$A$1371,0))</f>
        <v>17059</v>
      </c>
      <c r="C106" s="6">
        <f t="shared" si="42"/>
        <v>2184</v>
      </c>
      <c r="D106" s="6">
        <f>MOD(C106+Summary!$B$20,Summary!$B$11)</f>
        <v>2178.7416237989592</v>
      </c>
      <c r="E106" s="6">
        <f>_xlfn.XLOOKUP(D106,'Native PMKS'!$C$6:$C$366,'Native PMKS'!$C$6:$C$366,,-1)</f>
        <v>2175</v>
      </c>
      <c r="F106" s="6">
        <f>_xlfn.XLOOKUP(D106,'Native PMKS'!$C$6:$C$366,'Native PMKS'!$C$6:$C$366,,1)</f>
        <v>2183.3333333333335</v>
      </c>
      <c r="G106" s="6">
        <f>_xlfn.XLOOKUP(D106,'Native PMKS'!$C$6:$C$366,'Native PMKS'!$N$6:$N$366,,-1)</f>
        <v>39.820599999999999</v>
      </c>
      <c r="H106" s="6">
        <f>_xlfn.XLOOKUP(D106,'Native PMKS'!$C$6:$C$366,'Native PMKS'!$N$6:$N$366,,1)</f>
        <v>39.419499999999999</v>
      </c>
      <c r="I106" s="6">
        <f t="shared" si="43"/>
        <v>39.640508163308496</v>
      </c>
      <c r="J106" s="6">
        <f>INDEX('Raw Data'!$S$6:$S$1371,MATCH(A106,'Raw Data'!$A$6:$A$1371,0))</f>
        <v>-36.749069213867202</v>
      </c>
      <c r="K106" s="6">
        <f t="shared" si="44"/>
        <v>0.64139225482526685</v>
      </c>
      <c r="L106" s="6">
        <f t="shared" si="45"/>
        <v>0.69185738461342328</v>
      </c>
      <c r="M106" s="6">
        <f t="shared" si="46"/>
        <v>-5.0465129788156426E-2</v>
      </c>
      <c r="N106" s="6">
        <f t="shared" si="47"/>
        <v>2.5467293245354729E-3</v>
      </c>
      <c r="O106" s="6">
        <f>_xlfn.XLOOKUP(D106,'Instructor 360'!$B$6:$B$365,'Instructor 360'!$B$6:$B$365,,-1)</f>
        <v>2172.7019498607242</v>
      </c>
      <c r="P106" s="6">
        <f>_xlfn.XLOOKUP(D106,'Instructor 360'!$B$6:$B$365,'Instructor 360'!$B$6:$B$365,,1)</f>
        <v>2181.0584958217269</v>
      </c>
      <c r="Q106" s="6">
        <f>_xlfn.XLOOKUP(D106,'Instructor 360'!$B$6:$B$365,'Instructor 360'!$F$6:$F$365,,-1)</f>
        <v>39.946983565459618</v>
      </c>
      <c r="R106" s="6">
        <f>_xlfn.XLOOKUP(D106,'Instructor 360'!$B$6:$B$365,'Instructor 360'!$F$6:$F$365,,1)</f>
        <v>39.528992479108645</v>
      </c>
      <c r="S106" s="6">
        <f t="shared" si="48"/>
        <v>39.644881490938687</v>
      </c>
      <c r="T106" s="6">
        <f t="shared" si="49"/>
        <v>0.69193371357983857</v>
      </c>
      <c r="U106" s="6">
        <f t="shared" si="50"/>
        <v>-5.0541458754571722E-2</v>
      </c>
      <c r="V106" s="6"/>
      <c r="W106" s="6">
        <f t="shared" si="51"/>
        <v>2.5544390530400744E-3</v>
      </c>
      <c r="AA106">
        <f t="shared" si="52"/>
        <v>2184</v>
      </c>
      <c r="AB106">
        <f t="shared" si="53"/>
        <v>0.64139225482526685</v>
      </c>
      <c r="AC106">
        <f t="shared" si="54"/>
        <v>0.69193371357983857</v>
      </c>
    </row>
    <row r="107" spans="1:29" ht="18.95" customHeight="1">
      <c r="A107" s="4">
        <f t="shared" si="55"/>
        <v>795</v>
      </c>
      <c r="B107" s="6">
        <f>INDEX('Raw Data'!$B$6:$B$1371,MATCH(A107,'Raw Data'!$A$6:$A$1371,0))</f>
        <v>17080</v>
      </c>
      <c r="C107" s="6">
        <f t="shared" si="42"/>
        <v>2205</v>
      </c>
      <c r="D107" s="6">
        <f>MOD(C107+Summary!$B$20,Summary!$B$11)</f>
        <v>2199.7416237989592</v>
      </c>
      <c r="E107" s="6">
        <f>_xlfn.XLOOKUP(D107,'Native PMKS'!$C$6:$C$366,'Native PMKS'!$C$6:$C$366,,-1)</f>
        <v>2191.666666666667</v>
      </c>
      <c r="F107" s="6">
        <f>_xlfn.XLOOKUP(D107,'Native PMKS'!$C$6:$C$366,'Native PMKS'!$C$6:$C$366,,1)</f>
        <v>2200</v>
      </c>
      <c r="G107" s="6">
        <f>_xlfn.XLOOKUP(D107,'Native PMKS'!$C$6:$C$366,'Native PMKS'!$N$6:$N$366,,-1)</f>
        <v>38.961100000000002</v>
      </c>
      <c r="H107" s="6">
        <f>_xlfn.XLOOKUP(D107,'Native PMKS'!$C$6:$C$366,'Native PMKS'!$N$6:$N$366,,1)</f>
        <v>38.445500000000003</v>
      </c>
      <c r="I107" s="6">
        <f t="shared" si="43"/>
        <v>38.461486252310777</v>
      </c>
      <c r="J107" s="6">
        <f>INDEX('Raw Data'!$S$6:$S$1371,MATCH(A107,'Raw Data'!$A$6:$A$1371,0))</f>
        <v>-34.703269958496101</v>
      </c>
      <c r="K107" s="6">
        <f t="shared" si="44"/>
        <v>0.60568632198419281</v>
      </c>
      <c r="L107" s="6">
        <f t="shared" si="45"/>
        <v>0.67127957031335761</v>
      </c>
      <c r="M107" s="6">
        <f t="shared" si="46"/>
        <v>-6.5593248329164799E-2</v>
      </c>
      <c r="N107" s="6">
        <f t="shared" si="47"/>
        <v>4.3024742263714812E-3</v>
      </c>
      <c r="O107" s="6">
        <f>_xlfn.XLOOKUP(D107,'Instructor 360'!$B$6:$B$365,'Instructor 360'!$B$6:$B$365,,-1)</f>
        <v>2197.7715877437327</v>
      </c>
      <c r="P107" s="6">
        <f>_xlfn.XLOOKUP(D107,'Instructor 360'!$B$6:$B$365,'Instructor 360'!$B$6:$B$365,,1)</f>
        <v>2206.1281337047353</v>
      </c>
      <c r="Q107" s="6">
        <f>_xlfn.XLOOKUP(D107,'Instructor 360'!$B$6:$B$365,'Instructor 360'!$F$6:$F$365,,-1)</f>
        <v>38.583376323119779</v>
      </c>
      <c r="R107" s="6">
        <f>_xlfn.XLOOKUP(D107,'Instructor 360'!$B$6:$B$365,'Instructor 360'!$F$6:$F$365,,1)</f>
        <v>38.108403621169927</v>
      </c>
      <c r="S107" s="6">
        <f t="shared" si="48"/>
        <v>38.471402625798405</v>
      </c>
      <c r="T107" s="6">
        <f t="shared" si="49"/>
        <v>0.67145264368057411</v>
      </c>
      <c r="U107" s="6">
        <f t="shared" si="50"/>
        <v>-6.5766321696381302E-2</v>
      </c>
      <c r="V107" s="6"/>
      <c r="W107" s="6">
        <f t="shared" si="51"/>
        <v>4.3252090694719143E-3</v>
      </c>
      <c r="AA107">
        <f t="shared" si="52"/>
        <v>2205</v>
      </c>
      <c r="AB107">
        <f t="shared" si="53"/>
        <v>0.60568632198419281</v>
      </c>
      <c r="AC107">
        <f t="shared" si="54"/>
        <v>0.67145264368057411</v>
      </c>
    </row>
    <row r="108" spans="1:29" ht="18.95" customHeight="1">
      <c r="A108" s="4">
        <f t="shared" si="55"/>
        <v>796</v>
      </c>
      <c r="B108" s="6">
        <f>INDEX('Raw Data'!$B$6:$B$1371,MATCH(A108,'Raw Data'!$A$6:$A$1371,0))</f>
        <v>17102</v>
      </c>
      <c r="C108" s="6">
        <f t="shared" si="42"/>
        <v>2227</v>
      </c>
      <c r="D108" s="6">
        <f>MOD(C108+Summary!$B$20,Summary!$B$11)</f>
        <v>2221.7416237989592</v>
      </c>
      <c r="E108" s="6">
        <f>_xlfn.XLOOKUP(D108,'Native PMKS'!$C$6:$C$366,'Native PMKS'!$C$6:$C$366,,-1)</f>
        <v>2216.666666666667</v>
      </c>
      <c r="F108" s="6">
        <f>_xlfn.XLOOKUP(D108,'Native PMKS'!$C$6:$C$366,'Native PMKS'!$C$6:$C$366,,1)</f>
        <v>2225</v>
      </c>
      <c r="G108" s="6">
        <f>_xlfn.XLOOKUP(D108,'Native PMKS'!$C$6:$C$366,'Native PMKS'!$N$6:$N$366,,-1)</f>
        <v>37.471400000000003</v>
      </c>
      <c r="H108" s="6">
        <f>_xlfn.XLOOKUP(D108,'Native PMKS'!$C$6:$C$366,'Native PMKS'!$N$6:$N$366,,1)</f>
        <v>36.955800000000004</v>
      </c>
      <c r="I108" s="6">
        <f t="shared" si="43"/>
        <v>37.157402252310789</v>
      </c>
      <c r="J108" s="6">
        <f>INDEX('Raw Data'!$S$6:$S$1371,MATCH(A108,'Raw Data'!$A$6:$A$1371,0))</f>
        <v>-32.978073120117202</v>
      </c>
      <c r="K108" s="6">
        <f t="shared" si="44"/>
        <v>0.5755759569094846</v>
      </c>
      <c r="L108" s="6">
        <f t="shared" si="45"/>
        <v>0.64851901079078</v>
      </c>
      <c r="M108" s="6">
        <f t="shared" si="46"/>
        <v>-7.2943053881295405E-2</v>
      </c>
      <c r="N108" s="6">
        <f t="shared" si="47"/>
        <v>5.3206891095295651E-3</v>
      </c>
      <c r="O108" s="6">
        <f>_xlfn.XLOOKUP(D108,'Instructor 360'!$B$6:$B$365,'Instructor 360'!$B$6:$B$365,,-1)</f>
        <v>2214.484679665738</v>
      </c>
      <c r="P108" s="6">
        <f>_xlfn.XLOOKUP(D108,'Instructor 360'!$B$6:$B$365,'Instructor 360'!$B$6:$B$365,,1)</f>
        <v>2222.8412256267411</v>
      </c>
      <c r="Q108" s="6">
        <f>_xlfn.XLOOKUP(D108,'Instructor 360'!$B$6:$B$365,'Instructor 360'!$F$6:$F$365,,-1)</f>
        <v>37.606430083565485</v>
      </c>
      <c r="R108" s="6">
        <f>_xlfn.XLOOKUP(D108,'Instructor 360'!$B$6:$B$365,'Instructor 360'!$F$6:$F$365,,1)</f>
        <v>37.089367688022286</v>
      </c>
      <c r="S108" s="6">
        <f t="shared" si="48"/>
        <v>37.157405697729843</v>
      </c>
      <c r="T108" s="6">
        <f t="shared" si="49"/>
        <v>0.64851907092468664</v>
      </c>
      <c r="U108" s="6">
        <f t="shared" si="50"/>
        <v>-7.2943114015202037E-2</v>
      </c>
      <c r="V108" s="6"/>
      <c r="W108" s="6">
        <f t="shared" si="51"/>
        <v>5.3206978822347636E-3</v>
      </c>
      <c r="AA108">
        <f t="shared" si="52"/>
        <v>2227</v>
      </c>
      <c r="AB108">
        <f t="shared" si="53"/>
        <v>0.5755759569094846</v>
      </c>
      <c r="AC108">
        <f t="shared" si="54"/>
        <v>0.64851907092468664</v>
      </c>
    </row>
    <row r="109" spans="1:29" ht="18.95" customHeight="1">
      <c r="A109" s="4">
        <f t="shared" si="55"/>
        <v>797</v>
      </c>
      <c r="B109" s="6">
        <f>INDEX('Raw Data'!$B$6:$B$1371,MATCH(A109,'Raw Data'!$A$6:$A$1371,0))</f>
        <v>17124</v>
      </c>
      <c r="C109" s="6">
        <f t="shared" si="42"/>
        <v>2249</v>
      </c>
      <c r="D109" s="6">
        <f>MOD(C109+Summary!$B$20,Summary!$B$11)</f>
        <v>2243.7416237989592</v>
      </c>
      <c r="E109" s="6">
        <f>_xlfn.XLOOKUP(D109,'Native PMKS'!$C$6:$C$366,'Native PMKS'!$C$6:$C$366,,-1)</f>
        <v>2241.666666666667</v>
      </c>
      <c r="F109" s="6">
        <f>_xlfn.XLOOKUP(D109,'Native PMKS'!$C$6:$C$366,'Native PMKS'!$C$6:$C$366,,1)</f>
        <v>2250</v>
      </c>
      <c r="G109" s="6">
        <f>_xlfn.XLOOKUP(D109,'Native PMKS'!$C$6:$C$366,'Native PMKS'!$N$6:$N$366,,-1)</f>
        <v>35.809899999999999</v>
      </c>
      <c r="H109" s="6">
        <f>_xlfn.XLOOKUP(D109,'Native PMKS'!$C$6:$C$366,'Native PMKS'!$N$6:$N$366,,1)</f>
        <v>35.236899999999999</v>
      </c>
      <c r="I109" s="6">
        <f t="shared" si="43"/>
        <v>35.667225947583574</v>
      </c>
      <c r="J109" s="6">
        <f>INDEX('Raw Data'!$S$6:$S$1371,MATCH(A109,'Raw Data'!$A$6:$A$1371,0))</f>
        <v>-30.6116638183594</v>
      </c>
      <c r="K109" s="6">
        <f t="shared" si="44"/>
        <v>0.53427432314399093</v>
      </c>
      <c r="L109" s="6">
        <f t="shared" si="45"/>
        <v>0.6225105278380878</v>
      </c>
      <c r="M109" s="6">
        <f t="shared" si="46"/>
        <v>-8.8236204694096876E-2</v>
      </c>
      <c r="N109" s="6">
        <f t="shared" si="47"/>
        <v>7.7856278188185631E-3</v>
      </c>
      <c r="O109" s="6">
        <f>_xlfn.XLOOKUP(D109,'Instructor 360'!$B$6:$B$365,'Instructor 360'!$B$6:$B$365,,-1)</f>
        <v>2239.5543175487464</v>
      </c>
      <c r="P109" s="6">
        <f>_xlfn.XLOOKUP(D109,'Instructor 360'!$B$6:$B$365,'Instructor 360'!$B$6:$B$365,,1)</f>
        <v>2247.9108635097491</v>
      </c>
      <c r="Q109" s="6">
        <f>_xlfn.XLOOKUP(D109,'Instructor 360'!$B$6:$B$365,'Instructor 360'!$F$6:$F$365,,-1)</f>
        <v>35.955119777158799</v>
      </c>
      <c r="R109" s="6">
        <f>_xlfn.XLOOKUP(D109,'Instructor 360'!$B$6:$B$365,'Instructor 360'!$F$6:$F$365,,1)</f>
        <v>35.380549025069655</v>
      </c>
      <c r="S109" s="6">
        <f t="shared" si="48"/>
        <v>35.667213300889784</v>
      </c>
      <c r="T109" s="6">
        <f t="shared" si="49"/>
        <v>0.62251030711164168</v>
      </c>
      <c r="U109" s="6">
        <f t="shared" si="50"/>
        <v>-8.8235983967650755E-2</v>
      </c>
      <c r="V109" s="6"/>
      <c r="W109" s="6">
        <f t="shared" si="51"/>
        <v>7.7855888667395208E-3</v>
      </c>
      <c r="AA109">
        <f t="shared" si="52"/>
        <v>2249</v>
      </c>
      <c r="AB109">
        <f t="shared" si="53"/>
        <v>0.53427432314399093</v>
      </c>
      <c r="AC109">
        <f t="shared" si="54"/>
        <v>0.62251030711164168</v>
      </c>
    </row>
    <row r="110" spans="1:29" ht="18.95" customHeight="1">
      <c r="A110" s="4">
        <f t="shared" si="55"/>
        <v>798</v>
      </c>
      <c r="B110" s="6">
        <f>INDEX('Raw Data'!$B$6:$B$1371,MATCH(A110,'Raw Data'!$A$6:$A$1371,0))</f>
        <v>17144</v>
      </c>
      <c r="C110" s="6">
        <f t="shared" si="42"/>
        <v>2269</v>
      </c>
      <c r="D110" s="6">
        <f>MOD(C110+Summary!$B$20,Summary!$B$11)</f>
        <v>2263.7416237989592</v>
      </c>
      <c r="E110" s="6">
        <f>_xlfn.XLOOKUP(D110,'Native PMKS'!$C$6:$C$366,'Native PMKS'!$C$6:$C$366,,-1)</f>
        <v>2258.3333333333335</v>
      </c>
      <c r="F110" s="6">
        <f>_xlfn.XLOOKUP(D110,'Native PMKS'!$C$6:$C$366,'Native PMKS'!$C$6:$C$366,,1)</f>
        <v>2266.666666666667</v>
      </c>
      <c r="G110" s="6">
        <f>_xlfn.XLOOKUP(D110,'Native PMKS'!$C$6:$C$366,'Native PMKS'!$N$6:$N$366,,-1)</f>
        <v>34.663899999999998</v>
      </c>
      <c r="H110" s="6">
        <f>_xlfn.XLOOKUP(D110,'Native PMKS'!$C$6:$C$366,'Native PMKS'!$N$6:$N$366,,1)</f>
        <v>34.033700000000003</v>
      </c>
      <c r="I110" s="6">
        <f t="shared" si="43"/>
        <v>34.254903441827537</v>
      </c>
      <c r="J110" s="6">
        <f>INDEX('Raw Data'!$S$6:$S$1371,MATCH(A110,'Raw Data'!$A$6:$A$1371,0))</f>
        <v>-28.764335632324201</v>
      </c>
      <c r="K110" s="6">
        <f t="shared" si="44"/>
        <v>0.50203236393278239</v>
      </c>
      <c r="L110" s="6">
        <f t="shared" si="45"/>
        <v>0.59786085001262834</v>
      </c>
      <c r="M110" s="6">
        <f t="shared" si="46"/>
        <v>-9.5828486079845954E-2</v>
      </c>
      <c r="N110" s="6">
        <f t="shared" si="47"/>
        <v>9.1830987443552291E-3</v>
      </c>
      <c r="O110" s="6">
        <f>_xlfn.XLOOKUP(D110,'Instructor 360'!$B$6:$B$365,'Instructor 360'!$B$6:$B$365,,-1)</f>
        <v>2256.2674094707522</v>
      </c>
      <c r="P110" s="6">
        <f>_xlfn.XLOOKUP(D110,'Instructor 360'!$B$6:$B$365,'Instructor 360'!$B$6:$B$365,,1)</f>
        <v>2264.6239554317549</v>
      </c>
      <c r="Q110" s="6">
        <f>_xlfn.XLOOKUP(D110,'Instructor 360'!$B$6:$B$365,'Instructor 360'!$F$6:$F$365,,-1)</f>
        <v>34.805952924791086</v>
      </c>
      <c r="R110" s="6">
        <f>_xlfn.XLOOKUP(D110,'Instructor 360'!$B$6:$B$365,'Instructor 360'!$F$6:$F$365,,1)</f>
        <v>34.18817799442899</v>
      </c>
      <c r="S110" s="6">
        <f t="shared" si="48"/>
        <v>34.253406183868805</v>
      </c>
      <c r="T110" s="6">
        <f t="shared" si="49"/>
        <v>0.59783471793149678</v>
      </c>
      <c r="U110" s="6">
        <f t="shared" si="50"/>
        <v>-9.5802353998714396E-2</v>
      </c>
      <c r="V110" s="6"/>
      <c r="W110" s="6">
        <f t="shared" si="51"/>
        <v>9.178091031694988E-3</v>
      </c>
      <c r="AA110">
        <f t="shared" si="52"/>
        <v>2269</v>
      </c>
      <c r="AB110">
        <f t="shared" si="53"/>
        <v>0.50203236393278239</v>
      </c>
      <c r="AC110">
        <f t="shared" si="54"/>
        <v>0.59783471793149678</v>
      </c>
    </row>
    <row r="111" spans="1:29" ht="18.95" customHeight="1">
      <c r="A111" s="4">
        <f t="shared" si="55"/>
        <v>799</v>
      </c>
      <c r="B111" s="6">
        <f>INDEX('Raw Data'!$B$6:$B$1371,MATCH(A111,'Raw Data'!$A$6:$A$1371,0))</f>
        <v>17164</v>
      </c>
      <c r="C111" s="6">
        <f t="shared" si="42"/>
        <v>2289</v>
      </c>
      <c r="D111" s="6">
        <f>MOD(C111+Summary!$B$20,Summary!$B$11)</f>
        <v>2283.7416237989592</v>
      </c>
      <c r="E111" s="6">
        <f>_xlfn.XLOOKUP(D111,'Native PMKS'!$C$6:$C$366,'Native PMKS'!$C$6:$C$366,,-1)</f>
        <v>2283.3333333333335</v>
      </c>
      <c r="F111" s="6">
        <f>_xlfn.XLOOKUP(D111,'Native PMKS'!$C$6:$C$366,'Native PMKS'!$C$6:$C$366,,1)</f>
        <v>2291.666666666667</v>
      </c>
      <c r="G111" s="6">
        <f>_xlfn.XLOOKUP(D111,'Native PMKS'!$C$6:$C$366,'Native PMKS'!$N$6:$N$366,,-1)</f>
        <v>32.773200000000003</v>
      </c>
      <c r="H111" s="6">
        <f>_xlfn.XLOOKUP(D111,'Native PMKS'!$C$6:$C$366,'Native PMKS'!$N$6:$N$366,,1)</f>
        <v>32.085599999999999</v>
      </c>
      <c r="I111" s="6">
        <f t="shared" si="43"/>
        <v>32.739511137100294</v>
      </c>
      <c r="J111" s="6">
        <f>INDEX('Raw Data'!$S$6:$S$1371,MATCH(A111,'Raw Data'!$A$6:$A$1371,0))</f>
        <v>-26.8559379577637</v>
      </c>
      <c r="K111" s="6">
        <f t="shared" si="44"/>
        <v>0.4687245410742984</v>
      </c>
      <c r="L111" s="6">
        <f t="shared" si="45"/>
        <v>0.5714122648357528</v>
      </c>
      <c r="M111" s="6">
        <f t="shared" si="46"/>
        <v>-0.10268772376145441</v>
      </c>
      <c r="N111" s="6">
        <f t="shared" si="47"/>
        <v>1.0544768611308769E-2</v>
      </c>
      <c r="O111" s="6">
        <f>_xlfn.XLOOKUP(D111,'Instructor 360'!$B$6:$B$365,'Instructor 360'!$B$6:$B$365,,-1)</f>
        <v>2281.3370473537602</v>
      </c>
      <c r="P111" s="6">
        <f>_xlfn.XLOOKUP(D111,'Instructor 360'!$B$6:$B$365,'Instructor 360'!$B$6:$B$365,,1)</f>
        <v>2289.6935933147633</v>
      </c>
      <c r="Q111" s="6">
        <f>_xlfn.XLOOKUP(D111,'Instructor 360'!$B$6:$B$365,'Instructor 360'!$F$6:$F$365,,-1)</f>
        <v>32.924167130919244</v>
      </c>
      <c r="R111" s="6">
        <f>_xlfn.XLOOKUP(D111,'Instructor 360'!$B$6:$B$365,'Instructor 360'!$F$6:$F$365,,1)</f>
        <v>32.248402228412267</v>
      </c>
      <c r="S111" s="6">
        <f t="shared" si="48"/>
        <v>32.729717369660989</v>
      </c>
      <c r="T111" s="6">
        <f t="shared" si="49"/>
        <v>0.57124133134776223</v>
      </c>
      <c r="U111" s="6">
        <f t="shared" si="50"/>
        <v>-0.10251679027346383</v>
      </c>
      <c r="V111" s="6"/>
      <c r="W111" s="6">
        <f t="shared" si="51"/>
        <v>1.0509692287973368E-2</v>
      </c>
      <c r="AA111">
        <f t="shared" si="52"/>
        <v>2289</v>
      </c>
      <c r="AB111">
        <f t="shared" si="53"/>
        <v>0.4687245410742984</v>
      </c>
      <c r="AC111">
        <f t="shared" si="54"/>
        <v>0.57124133134776223</v>
      </c>
    </row>
    <row r="112" spans="1:29" ht="18.95" customHeight="1">
      <c r="A112" s="4">
        <f t="shared" si="55"/>
        <v>800</v>
      </c>
      <c r="B112" s="6">
        <f>INDEX('Raw Data'!$B$6:$B$1371,MATCH(A112,'Raw Data'!$A$6:$A$1371,0))</f>
        <v>17185</v>
      </c>
      <c r="C112" s="6">
        <f t="shared" si="42"/>
        <v>2310</v>
      </c>
      <c r="D112" s="6">
        <f>MOD(C112+Summary!$B$20,Summary!$B$11)</f>
        <v>2304.7416237989592</v>
      </c>
      <c r="E112" s="6">
        <f>_xlfn.XLOOKUP(D112,'Native PMKS'!$C$6:$C$366,'Native PMKS'!$C$6:$C$366,,-1)</f>
        <v>2300</v>
      </c>
      <c r="F112" s="6">
        <f>_xlfn.XLOOKUP(D112,'Native PMKS'!$C$6:$C$366,'Native PMKS'!$C$6:$C$366,,1)</f>
        <v>2308.3333333333335</v>
      </c>
      <c r="G112" s="6">
        <f>_xlfn.XLOOKUP(D112,'Native PMKS'!$C$6:$C$366,'Native PMKS'!$N$6:$N$366,,-1)</f>
        <v>31.398099999999999</v>
      </c>
      <c r="H112" s="6">
        <f>_xlfn.XLOOKUP(D112,'Native PMKS'!$C$6:$C$366,'Native PMKS'!$N$6:$N$366,,1)</f>
        <v>30.7105</v>
      </c>
      <c r="I112" s="6">
        <f t="shared" si="43"/>
        <v>31.006859137100321</v>
      </c>
      <c r="J112" s="6">
        <f>INDEX('Raw Data'!$S$6:$S$1371,MATCH(A112,'Raw Data'!$A$6:$A$1371,0))</f>
        <v>-24.657464981079102</v>
      </c>
      <c r="K112" s="6">
        <f t="shared" si="44"/>
        <v>0.43035394911503161</v>
      </c>
      <c r="L112" s="6">
        <f t="shared" si="45"/>
        <v>0.5411717826444884</v>
      </c>
      <c r="M112" s="6">
        <f t="shared" si="46"/>
        <v>-0.11081783352945679</v>
      </c>
      <c r="N112" s="6">
        <f t="shared" si="47"/>
        <v>1.2280592228162397E-2</v>
      </c>
      <c r="O112" s="6">
        <f>_xlfn.XLOOKUP(D112,'Instructor 360'!$B$6:$B$365,'Instructor 360'!$B$6:$B$365,,-1)</f>
        <v>2298.050139275766</v>
      </c>
      <c r="P112" s="6">
        <f>_xlfn.XLOOKUP(D112,'Instructor 360'!$B$6:$B$365,'Instructor 360'!$B$6:$B$365,,1)</f>
        <v>2306.4066852367687</v>
      </c>
      <c r="Q112" s="6">
        <f>_xlfn.XLOOKUP(D112,'Instructor 360'!$B$6:$B$365,'Instructor 360'!$F$6:$F$365,,-1)</f>
        <v>31.558963509749308</v>
      </c>
      <c r="R112" s="6">
        <f>_xlfn.XLOOKUP(D112,'Instructor 360'!$B$6:$B$365,'Instructor 360'!$F$6:$F$365,,1)</f>
        <v>30.869471587743753</v>
      </c>
      <c r="S112" s="6">
        <f t="shared" si="48"/>
        <v>31.006854474928247</v>
      </c>
      <c r="T112" s="6">
        <f t="shared" si="49"/>
        <v>0.54117170127423542</v>
      </c>
      <c r="U112" s="6">
        <f t="shared" si="50"/>
        <v>-0.11081775215920381</v>
      </c>
      <c r="V112" s="6"/>
      <c r="W112" s="6">
        <f t="shared" si="51"/>
        <v>1.2280574193618721E-2</v>
      </c>
      <c r="AA112">
        <f t="shared" si="52"/>
        <v>2310</v>
      </c>
      <c r="AB112">
        <f t="shared" si="53"/>
        <v>0.43035394911503161</v>
      </c>
      <c r="AC112">
        <f t="shared" si="54"/>
        <v>0.54117170127423542</v>
      </c>
    </row>
    <row r="113" spans="1:29" ht="18.95" customHeight="1">
      <c r="A113" s="4">
        <f t="shared" si="55"/>
        <v>801</v>
      </c>
      <c r="B113" s="6">
        <f>INDEX('Raw Data'!$B$6:$B$1371,MATCH(A113,'Raw Data'!$A$6:$A$1371,0))</f>
        <v>17205</v>
      </c>
      <c r="C113" s="6">
        <f t="shared" si="42"/>
        <v>2330</v>
      </c>
      <c r="D113" s="6">
        <f>MOD(C113+Summary!$B$20,Summary!$B$11)</f>
        <v>2324.7416237989592</v>
      </c>
      <c r="E113" s="6">
        <f>_xlfn.XLOOKUP(D113,'Native PMKS'!$C$6:$C$366,'Native PMKS'!$C$6:$C$366,,-1)</f>
        <v>2316.666666666667</v>
      </c>
      <c r="F113" s="6">
        <f>_xlfn.XLOOKUP(D113,'Native PMKS'!$C$6:$C$366,'Native PMKS'!$C$6:$C$366,,1)</f>
        <v>2325</v>
      </c>
      <c r="G113" s="6">
        <f>_xlfn.XLOOKUP(D113,'Native PMKS'!$C$6:$C$366,'Native PMKS'!$N$6:$N$366,,-1)</f>
        <v>29.965699999999998</v>
      </c>
      <c r="H113" s="6">
        <f>_xlfn.XLOOKUP(D113,'Native PMKS'!$C$6:$C$366,'Native PMKS'!$N$6:$N$366,,1)</f>
        <v>29.220800000000001</v>
      </c>
      <c r="I113" s="6">
        <f t="shared" si="43"/>
        <v>29.243895731858657</v>
      </c>
      <c r="J113" s="6">
        <f>INDEX('Raw Data'!$S$6:$S$1371,MATCH(A113,'Raw Data'!$A$6:$A$1371,0))</f>
        <v>-22.5963954925537</v>
      </c>
      <c r="K113" s="6">
        <f t="shared" si="44"/>
        <v>0.3943815004278679</v>
      </c>
      <c r="L113" s="6">
        <f t="shared" si="45"/>
        <v>0.51040226663085042</v>
      </c>
      <c r="M113" s="6">
        <f t="shared" si="46"/>
        <v>-0.11602076620298252</v>
      </c>
      <c r="N113" s="6">
        <f t="shared" si="47"/>
        <v>1.346081819032713E-2</v>
      </c>
      <c r="O113" s="6">
        <f>_xlfn.XLOOKUP(D113,'Instructor 360'!$B$6:$B$365,'Instructor 360'!$B$6:$B$365,,-1)</f>
        <v>2323.1197771587745</v>
      </c>
      <c r="P113" s="6">
        <f>_xlfn.XLOOKUP(D113,'Instructor 360'!$B$6:$B$365,'Instructor 360'!$B$6:$B$365,,1)</f>
        <v>2331.4763231197771</v>
      </c>
      <c r="Q113" s="6">
        <f>_xlfn.XLOOKUP(D113,'Instructor 360'!$B$6:$B$365,'Instructor 360'!$F$6:$F$365,,-1)</f>
        <v>29.388869359331473</v>
      </c>
      <c r="R113" s="6">
        <f>_xlfn.XLOOKUP(D113,'Instructor 360'!$B$6:$B$365,'Instructor 360'!$F$6:$F$365,,1)</f>
        <v>28.641972144846807</v>
      </c>
      <c r="S113" s="6">
        <f t="shared" si="48"/>
        <v>29.243910815032393</v>
      </c>
      <c r="T113" s="6">
        <f t="shared" si="49"/>
        <v>0.51040252988189372</v>
      </c>
      <c r="U113" s="6">
        <f t="shared" si="50"/>
        <v>-0.11602102945402581</v>
      </c>
      <c r="V113" s="6"/>
      <c r="W113" s="6">
        <f t="shared" si="51"/>
        <v>1.3460879275571925E-2</v>
      </c>
      <c r="AA113">
        <f t="shared" si="52"/>
        <v>2330</v>
      </c>
      <c r="AB113">
        <f t="shared" si="53"/>
        <v>0.3943815004278679</v>
      </c>
      <c r="AC113">
        <f t="shared" si="54"/>
        <v>0.51040252988189372</v>
      </c>
    </row>
    <row r="114" spans="1:29" ht="18.95" customHeight="1">
      <c r="A114" s="4">
        <f t="shared" si="55"/>
        <v>802</v>
      </c>
      <c r="B114" s="6">
        <f>INDEX('Raw Data'!$B$6:$B$1371,MATCH(A114,'Raw Data'!$A$6:$A$1371,0))</f>
        <v>17226</v>
      </c>
      <c r="C114" s="6">
        <f t="shared" si="42"/>
        <v>2351</v>
      </c>
      <c r="D114" s="6">
        <f>MOD(C114+Summary!$B$20,Summary!$B$11)</f>
        <v>2345.7416237989592</v>
      </c>
      <c r="E114" s="6">
        <f>_xlfn.XLOOKUP(D114,'Native PMKS'!$C$6:$C$366,'Native PMKS'!$C$6:$C$366,,-1)</f>
        <v>2341.666666666667</v>
      </c>
      <c r="F114" s="6">
        <f>_xlfn.XLOOKUP(D114,'Native PMKS'!$C$6:$C$366,'Native PMKS'!$C$6:$C$366,,1)</f>
        <v>2350</v>
      </c>
      <c r="G114" s="6">
        <f>_xlfn.XLOOKUP(D114,'Native PMKS'!$C$6:$C$366,'Native PMKS'!$N$6:$N$366,,-1)</f>
        <v>27.6739</v>
      </c>
      <c r="H114" s="6">
        <f>_xlfn.XLOOKUP(D114,'Native PMKS'!$C$6:$C$366,'Native PMKS'!$N$6:$N$366,,1)</f>
        <v>26.871700000000001</v>
      </c>
      <c r="I114" s="6">
        <f t="shared" si="43"/>
        <v>27.281628326616982</v>
      </c>
      <c r="J114" s="6">
        <f>INDEX('Raw Data'!$S$6:$S$1371,MATCH(A114,'Raw Data'!$A$6:$A$1371,0))</f>
        <v>-20.443723678588899</v>
      </c>
      <c r="K114" s="6">
        <f t="shared" si="44"/>
        <v>0.35681028955930327</v>
      </c>
      <c r="L114" s="6">
        <f t="shared" si="45"/>
        <v>0.47615423960481729</v>
      </c>
      <c r="M114" s="6">
        <f t="shared" si="46"/>
        <v>-0.11934395004551401</v>
      </c>
      <c r="N114" s="6">
        <f t="shared" si="47"/>
        <v>1.4242978412466144E-2</v>
      </c>
      <c r="O114" s="6">
        <f>_xlfn.XLOOKUP(D114,'Instructor 360'!$B$6:$B$365,'Instructor 360'!$B$6:$B$365,,-1)</f>
        <v>2339.8328690807798</v>
      </c>
      <c r="P114" s="6">
        <f>_xlfn.XLOOKUP(D114,'Instructor 360'!$B$6:$B$365,'Instructor 360'!$B$6:$B$365,,1)</f>
        <v>2348.1894150417829</v>
      </c>
      <c r="Q114" s="6">
        <f>_xlfn.XLOOKUP(D114,'Instructor 360'!$B$6:$B$365,'Instructor 360'!$F$6:$F$365,,-1)</f>
        <v>27.850406685236809</v>
      </c>
      <c r="R114" s="6">
        <f>_xlfn.XLOOKUP(D114,'Instructor 360'!$B$6:$B$365,'Instructor 360'!$F$6:$F$365,,1)</f>
        <v>27.045994150417815</v>
      </c>
      <c r="S114" s="6">
        <f t="shared" si="48"/>
        <v>27.281621880766693</v>
      </c>
      <c r="T114" s="6">
        <f t="shared" si="49"/>
        <v>0.47615412710350663</v>
      </c>
      <c r="U114" s="6">
        <f t="shared" si="50"/>
        <v>-0.11934383754420336</v>
      </c>
      <c r="V114" s="6"/>
      <c r="W114" s="6">
        <f t="shared" si="51"/>
        <v>1.4242951559777202E-2</v>
      </c>
      <c r="AA114">
        <f t="shared" si="52"/>
        <v>2351</v>
      </c>
      <c r="AB114">
        <f t="shared" si="53"/>
        <v>0.35681028955930327</v>
      </c>
      <c r="AC114">
        <f t="shared" si="54"/>
        <v>0.47615412710350663</v>
      </c>
    </row>
    <row r="115" spans="1:29" ht="18.95" customHeight="1">
      <c r="A115" s="4">
        <f t="shared" si="55"/>
        <v>803</v>
      </c>
      <c r="B115" s="6">
        <f>INDEX('Raw Data'!$B$6:$B$1371,MATCH(A115,'Raw Data'!$A$6:$A$1371,0))</f>
        <v>17248</v>
      </c>
      <c r="C115" s="6">
        <f t="shared" si="42"/>
        <v>2373</v>
      </c>
      <c r="D115" s="6">
        <f>MOD(C115+Summary!$B$20,Summary!$B$11)</f>
        <v>2367.7416237989592</v>
      </c>
      <c r="E115" s="6">
        <f>_xlfn.XLOOKUP(D115,'Native PMKS'!$C$6:$C$366,'Native PMKS'!$C$6:$C$366,,-1)</f>
        <v>2366.666666666667</v>
      </c>
      <c r="F115" s="6">
        <f>_xlfn.XLOOKUP(D115,'Native PMKS'!$C$6:$C$366,'Native PMKS'!$C$6:$C$366,,1)</f>
        <v>2375</v>
      </c>
      <c r="G115" s="6">
        <f>_xlfn.XLOOKUP(D115,'Native PMKS'!$C$6:$C$366,'Native PMKS'!$N$6:$N$366,,-1)</f>
        <v>25.210100000000001</v>
      </c>
      <c r="H115" s="6">
        <f>_xlfn.XLOOKUP(D115,'Native PMKS'!$C$6:$C$366,'Native PMKS'!$N$6:$N$366,,1)</f>
        <v>24.3507</v>
      </c>
      <c r="I115" s="6">
        <f t="shared" si="43"/>
        <v>25.099241820860982</v>
      </c>
      <c r="J115" s="6">
        <f>INDEX('Raw Data'!$S$6:$S$1371,MATCH(A115,'Raw Data'!$A$6:$A$1371,0))</f>
        <v>-18.535327911376999</v>
      </c>
      <c r="K115" s="6">
        <f t="shared" si="44"/>
        <v>0.32350249999033232</v>
      </c>
      <c r="L115" s="6">
        <f t="shared" si="45"/>
        <v>0.43806440952828091</v>
      </c>
      <c r="M115" s="6">
        <f t="shared" si="46"/>
        <v>-0.11456190953794859</v>
      </c>
      <c r="N115" s="6">
        <f t="shared" si="47"/>
        <v>1.3124431116981116E-2</v>
      </c>
      <c r="O115" s="6">
        <f>_xlfn.XLOOKUP(D115,'Instructor 360'!$B$6:$B$365,'Instructor 360'!$B$6:$B$365,,-1)</f>
        <v>2364.9025069637883</v>
      </c>
      <c r="P115" s="6">
        <f>_xlfn.XLOOKUP(D115,'Instructor 360'!$B$6:$B$365,'Instructor 360'!$B$6:$B$365,,1)</f>
        <v>2373.2590529247909</v>
      </c>
      <c r="Q115" s="6">
        <f>_xlfn.XLOOKUP(D115,'Instructor 360'!$B$6:$B$365,'Instructor 360'!$F$6:$F$365,,-1)</f>
        <v>25.379925069637913</v>
      </c>
      <c r="R115" s="6">
        <f>_xlfn.XLOOKUP(D115,'Instructor 360'!$B$6:$B$365,'Instructor 360'!$F$6:$F$365,,1)</f>
        <v>24.530240389972167</v>
      </c>
      <c r="S115" s="6">
        <f t="shared" si="48"/>
        <v>25.091246698229043</v>
      </c>
      <c r="T115" s="6">
        <f t="shared" si="49"/>
        <v>0.43792486831425287</v>
      </c>
      <c r="U115" s="6">
        <f t="shared" si="50"/>
        <v>-0.11442236832392055</v>
      </c>
      <c r="V115" s="6"/>
      <c r="W115" s="6">
        <f t="shared" si="51"/>
        <v>1.3092478372854937E-2</v>
      </c>
      <c r="AA115">
        <f t="shared" si="52"/>
        <v>2373</v>
      </c>
      <c r="AB115">
        <f t="shared" si="53"/>
        <v>0.32350249999033232</v>
      </c>
      <c r="AC115">
        <f t="shared" si="54"/>
        <v>0.43792486831425287</v>
      </c>
    </row>
    <row r="116" spans="1:29" ht="18.95" customHeight="1">
      <c r="A116" s="4">
        <f t="shared" si="55"/>
        <v>804</v>
      </c>
      <c r="B116" s="6">
        <f>INDEX('Raw Data'!$B$6:$B$1371,MATCH(A116,'Raw Data'!$A$6:$A$1371,0))</f>
        <v>17268</v>
      </c>
      <c r="C116" s="6">
        <f t="shared" si="42"/>
        <v>2393</v>
      </c>
      <c r="D116" s="6">
        <f>MOD(C116+Summary!$B$20,Summary!$B$11)</f>
        <v>2387.7416237989592</v>
      </c>
      <c r="E116" s="6">
        <f>_xlfn.XLOOKUP(D116,'Native PMKS'!$C$6:$C$366,'Native PMKS'!$C$6:$C$366,,-1)</f>
        <v>2383.3333333333335</v>
      </c>
      <c r="F116" s="6">
        <f>_xlfn.XLOOKUP(D116,'Native PMKS'!$C$6:$C$366,'Native PMKS'!$C$6:$C$366,,1)</f>
        <v>2391.666666666667</v>
      </c>
      <c r="G116" s="6">
        <f>_xlfn.XLOOKUP(D116,'Native PMKS'!$C$6:$C$366,'Native PMKS'!$N$6:$N$366,,-1)</f>
        <v>23.434000000000001</v>
      </c>
      <c r="H116" s="6">
        <f>_xlfn.XLOOKUP(D116,'Native PMKS'!$C$6:$C$366,'Native PMKS'!$N$6:$N$366,,1)</f>
        <v>22.517199999999999</v>
      </c>
      <c r="I116" s="6">
        <f t="shared" si="43"/>
        <v>22.949017516133665</v>
      </c>
      <c r="J116" s="6">
        <f>INDEX('Raw Data'!$S$6:$S$1371,MATCH(A116,'Raw Data'!$A$6:$A$1371,0))</f>
        <v>-16.199449539184599</v>
      </c>
      <c r="K116" s="6">
        <f t="shared" si="44"/>
        <v>0.28273373146944941</v>
      </c>
      <c r="L116" s="6">
        <f t="shared" si="45"/>
        <v>0.40053591575438335</v>
      </c>
      <c r="M116" s="6">
        <f t="shared" si="46"/>
        <v>-0.11780218428493394</v>
      </c>
      <c r="N116" s="6">
        <f t="shared" si="47"/>
        <v>1.3877354622301538E-2</v>
      </c>
      <c r="O116" s="6">
        <f>_xlfn.XLOOKUP(D116,'Instructor 360'!$B$6:$B$365,'Instructor 360'!$B$6:$B$365,,-1)</f>
        <v>2381.615598885794</v>
      </c>
      <c r="P116" s="6">
        <f>_xlfn.XLOOKUP(D116,'Instructor 360'!$B$6:$B$365,'Instructor 360'!$B$6:$B$365,,1)</f>
        <v>2389.9721448467967</v>
      </c>
      <c r="Q116" s="6">
        <f>_xlfn.XLOOKUP(D116,'Instructor 360'!$B$6:$B$365,'Instructor 360'!$F$6:$F$365,,-1)</f>
        <v>23.622957660167128</v>
      </c>
      <c r="R116" s="6">
        <f>_xlfn.XLOOKUP(D116,'Instructor 360'!$B$6:$B$365,'Instructor 360'!$F$6:$F$365,,1)</f>
        <v>22.703624512534844</v>
      </c>
      <c r="S116" s="6">
        <f t="shared" si="48"/>
        <v>22.94901201418179</v>
      </c>
      <c r="T116" s="6">
        <f t="shared" si="49"/>
        <v>0.40053581972720781</v>
      </c>
      <c r="U116" s="6">
        <f t="shared" si="50"/>
        <v>-0.1178020882577584</v>
      </c>
      <c r="V116" s="6"/>
      <c r="W116" s="6">
        <f t="shared" si="51"/>
        <v>1.3877331997888698E-2</v>
      </c>
      <c r="AA116">
        <f t="shared" si="52"/>
        <v>2393</v>
      </c>
      <c r="AB116">
        <f t="shared" si="53"/>
        <v>0.28273373146944941</v>
      </c>
      <c r="AC116">
        <f t="shared" si="54"/>
        <v>0.40053581972720781</v>
      </c>
    </row>
    <row r="117" spans="1:29" ht="18.95" customHeight="1">
      <c r="A117" s="4">
        <f t="shared" si="55"/>
        <v>805</v>
      </c>
      <c r="B117" s="6">
        <f>INDEX('Raw Data'!$B$6:$B$1371,MATCH(A117,'Raw Data'!$A$6:$A$1371,0))</f>
        <v>17289</v>
      </c>
      <c r="C117" s="6">
        <f t="shared" si="42"/>
        <v>2414</v>
      </c>
      <c r="D117" s="6">
        <f>MOD(C117+Summary!$B$20,Summary!$B$11)</f>
        <v>2408.7416237989592</v>
      </c>
      <c r="E117" s="6">
        <f>_xlfn.XLOOKUP(D117,'Native PMKS'!$C$6:$C$366,'Native PMKS'!$C$6:$C$366,,-1)</f>
        <v>2408.3333333333335</v>
      </c>
      <c r="F117" s="6">
        <f>_xlfn.XLOOKUP(D117,'Native PMKS'!$C$6:$C$366,'Native PMKS'!$C$6:$C$366,,1)</f>
        <v>2416.666666666667</v>
      </c>
      <c r="G117" s="6">
        <f>_xlfn.XLOOKUP(D117,'Native PMKS'!$C$6:$C$366,'Native PMKS'!$N$6:$N$366,,-1)</f>
        <v>20.683800000000002</v>
      </c>
      <c r="H117" s="6">
        <f>_xlfn.XLOOKUP(D117,'Native PMKS'!$C$6:$C$366,'Native PMKS'!$N$6:$N$366,,1)</f>
        <v>19.709700000000002</v>
      </c>
      <c r="I117" s="6">
        <f t="shared" si="43"/>
        <v>20.636074110892082</v>
      </c>
      <c r="J117" s="6">
        <f>INDEX('Raw Data'!$S$6:$S$1371,MATCH(A117,'Raw Data'!$A$6:$A$1371,0))</f>
        <v>-13.588762283325201</v>
      </c>
      <c r="K117" s="6">
        <f t="shared" si="44"/>
        <v>0.23716864311484728</v>
      </c>
      <c r="L117" s="6">
        <f t="shared" si="45"/>
        <v>0.36016743792062828</v>
      </c>
      <c r="M117" s="6">
        <f t="shared" si="46"/>
        <v>-0.12299879480578099</v>
      </c>
      <c r="N117" s="6">
        <f t="shared" si="47"/>
        <v>1.5128703523674618E-2</v>
      </c>
      <c r="O117" s="6">
        <f>_xlfn.XLOOKUP(D117,'Instructor 360'!$B$6:$B$365,'Instructor 360'!$B$6:$B$365,,-1)</f>
        <v>2406.685236768802</v>
      </c>
      <c r="P117" s="6">
        <f>_xlfn.XLOOKUP(D117,'Instructor 360'!$B$6:$B$365,'Instructor 360'!$B$6:$B$365,,1)</f>
        <v>2415.0417827298052</v>
      </c>
      <c r="Q117" s="6">
        <f>_xlfn.XLOOKUP(D117,'Instructor 360'!$B$6:$B$365,'Instructor 360'!$F$6:$F$365,,-1)</f>
        <v>20.865097214484713</v>
      </c>
      <c r="R117" s="6">
        <f>_xlfn.XLOOKUP(D117,'Instructor 360'!$B$6:$B$365,'Instructor 360'!$F$6:$F$365,,1)</f>
        <v>19.89963593314765</v>
      </c>
      <c r="S117" s="6">
        <f t="shared" si="48"/>
        <v>20.627515554989827</v>
      </c>
      <c r="T117" s="6">
        <f t="shared" si="49"/>
        <v>0.36001806294091793</v>
      </c>
      <c r="U117" s="6">
        <f t="shared" si="50"/>
        <v>-0.12284941982607064</v>
      </c>
      <c r="V117" s="6"/>
      <c r="W117" s="6">
        <f t="shared" si="51"/>
        <v>1.5091979951602158E-2</v>
      </c>
      <c r="AA117">
        <f t="shared" si="52"/>
        <v>2414</v>
      </c>
      <c r="AB117">
        <f t="shared" si="53"/>
        <v>0.23716864311484728</v>
      </c>
      <c r="AC117">
        <f t="shared" si="54"/>
        <v>0.36001806294091793</v>
      </c>
    </row>
    <row r="118" spans="1:29" ht="18.95" customHeight="1">
      <c r="A118" s="4">
        <f t="shared" si="55"/>
        <v>806</v>
      </c>
      <c r="B118" s="6">
        <f>INDEX('Raw Data'!$B$6:$B$1371,MATCH(A118,'Raw Data'!$A$6:$A$1371,0))</f>
        <v>17309</v>
      </c>
      <c r="C118" s="6">
        <f t="shared" si="42"/>
        <v>2434</v>
      </c>
      <c r="D118" s="6">
        <f>MOD(C118+Summary!$B$20,Summary!$B$11)</f>
        <v>2428.7416237989592</v>
      </c>
      <c r="E118" s="6">
        <f>_xlfn.XLOOKUP(D118,'Native PMKS'!$C$6:$C$366,'Native PMKS'!$C$6:$C$366,,-1)</f>
        <v>2425</v>
      </c>
      <c r="F118" s="6">
        <f>_xlfn.XLOOKUP(D118,'Native PMKS'!$C$6:$C$366,'Native PMKS'!$C$6:$C$366,,1)</f>
        <v>2433.3333333333335</v>
      </c>
      <c r="G118" s="6">
        <f>_xlfn.XLOOKUP(D118,'Native PMKS'!$C$6:$C$366,'Native PMKS'!$N$6:$N$366,,-1)</f>
        <v>18.735700000000001</v>
      </c>
      <c r="H118" s="6">
        <f>_xlfn.XLOOKUP(D118,'Native PMKS'!$C$6:$C$366,'Native PMKS'!$N$6:$N$366,,1)</f>
        <v>17.7044</v>
      </c>
      <c r="I118" s="6">
        <f t="shared" si="43"/>
        <v>18.272651605136048</v>
      </c>
      <c r="J118" s="6">
        <f>INDEX('Raw Data'!$S$6:$S$1371,MATCH(A118,'Raw Data'!$A$6:$A$1371,0))</f>
        <v>-10.8254041671753</v>
      </c>
      <c r="K118" s="6">
        <f t="shared" si="44"/>
        <v>0.18893894557632365</v>
      </c>
      <c r="L118" s="6">
        <f t="shared" si="45"/>
        <v>0.31891793357945081</v>
      </c>
      <c r="M118" s="6">
        <f t="shared" si="46"/>
        <v>-0.12997898800312715</v>
      </c>
      <c r="N118" s="6">
        <f t="shared" si="47"/>
        <v>1.6894537322317073E-2</v>
      </c>
      <c r="O118" s="6">
        <f>_xlfn.XLOOKUP(D118,'Instructor 360'!$B$6:$B$365,'Instructor 360'!$B$6:$B$365,,-1)</f>
        <v>2423.3983286908078</v>
      </c>
      <c r="P118" s="6">
        <f>_xlfn.XLOOKUP(D118,'Instructor 360'!$B$6:$B$365,'Instructor 360'!$B$6:$B$365,,1)</f>
        <v>2431.7548746518105</v>
      </c>
      <c r="Q118" s="6">
        <f>_xlfn.XLOOKUP(D118,'Instructor 360'!$B$6:$B$365,'Instructor 360'!$F$6:$F$365,,-1)</f>
        <v>18.92290334261839</v>
      </c>
      <c r="R118" s="6">
        <f>_xlfn.XLOOKUP(D118,'Instructor 360'!$B$6:$B$365,'Instructor 360'!$F$6:$F$365,,1)</f>
        <v>17.899743732590554</v>
      </c>
      <c r="S118" s="6">
        <f t="shared" si="48"/>
        <v>18.268680441837034</v>
      </c>
      <c r="T118" s="6">
        <f t="shared" si="49"/>
        <v>0.3188486237047487</v>
      </c>
      <c r="U118" s="6">
        <f t="shared" si="50"/>
        <v>-0.12990967812842505</v>
      </c>
      <c r="V118" s="6"/>
      <c r="W118" s="6">
        <f t="shared" si="51"/>
        <v>1.6876524471430999E-2</v>
      </c>
      <c r="AA118">
        <f t="shared" si="52"/>
        <v>2434</v>
      </c>
      <c r="AB118">
        <f t="shared" si="53"/>
        <v>0.18893894557632365</v>
      </c>
      <c r="AC118">
        <f t="shared" si="54"/>
        <v>0.3188486237047487</v>
      </c>
    </row>
    <row r="119" spans="1:29" ht="18.95" customHeight="1">
      <c r="A119" s="4">
        <f t="shared" si="55"/>
        <v>807</v>
      </c>
      <c r="B119" s="6">
        <f>INDEX('Raw Data'!$B$6:$B$1371,MATCH(A119,'Raw Data'!$A$6:$A$1371,0))</f>
        <v>17331</v>
      </c>
      <c r="C119" s="6">
        <f t="shared" si="42"/>
        <v>2456</v>
      </c>
      <c r="D119" s="6">
        <f>MOD(C119+Summary!$B$20,Summary!$B$11)</f>
        <v>2450.7416237989592</v>
      </c>
      <c r="E119" s="6">
        <f>_xlfn.XLOOKUP(D119,'Native PMKS'!$C$6:$C$366,'Native PMKS'!$C$6:$C$366,,-1)</f>
        <v>2450</v>
      </c>
      <c r="F119" s="6">
        <f>_xlfn.XLOOKUP(D119,'Native PMKS'!$C$6:$C$366,'Native PMKS'!$C$6:$C$366,,1)</f>
        <v>2458.3333333333335</v>
      </c>
      <c r="G119" s="6">
        <f>_xlfn.XLOOKUP(D119,'Native PMKS'!$C$6:$C$366,'Native PMKS'!$N$6:$N$366,,-1)</f>
        <v>15.6417</v>
      </c>
      <c r="H119" s="6">
        <f>_xlfn.XLOOKUP(D119,'Native PMKS'!$C$6:$C$366,'Native PMKS'!$N$6:$N$366,,1)</f>
        <v>14.6104</v>
      </c>
      <c r="I119" s="6">
        <f t="shared" si="43"/>
        <v>15.54991960513604</v>
      </c>
      <c r="J119" s="6">
        <f>INDEX('Raw Data'!$S$6:$S$1371,MATCH(A119,'Raw Data'!$A$6:$A$1371,0))</f>
        <v>-7.8635721206665004</v>
      </c>
      <c r="K119" s="6">
        <f t="shared" si="44"/>
        <v>0.13724522447366327</v>
      </c>
      <c r="L119" s="6">
        <f t="shared" si="45"/>
        <v>0.27139729553004044</v>
      </c>
      <c r="M119" s="6">
        <f t="shared" si="46"/>
        <v>-0.13415207105637716</v>
      </c>
      <c r="N119" s="6">
        <f t="shared" si="47"/>
        <v>1.7996778168715269E-2</v>
      </c>
      <c r="O119" s="6">
        <f>_xlfn.XLOOKUP(D119,'Instructor 360'!$B$6:$B$365,'Instructor 360'!$B$6:$B$365,,-1)</f>
        <v>2448.4679665738163</v>
      </c>
      <c r="P119" s="6">
        <f>_xlfn.XLOOKUP(D119,'Instructor 360'!$B$6:$B$365,'Instructor 360'!$B$6:$B$365,,1)</f>
        <v>2456.824512534819</v>
      </c>
      <c r="Q119" s="6">
        <f>_xlfn.XLOOKUP(D119,'Instructor 360'!$B$6:$B$365,'Instructor 360'!$F$6:$F$365,,-1)</f>
        <v>15.831316713091914</v>
      </c>
      <c r="R119" s="6">
        <f>_xlfn.XLOOKUP(D119,'Instructor 360'!$B$6:$B$365,'Instructor 360'!$F$6:$F$365,,1)</f>
        <v>14.797125626740961</v>
      </c>
      <c r="S119" s="6">
        <f t="shared" si="48"/>
        <v>15.549932987491218</v>
      </c>
      <c r="T119" s="6">
        <f t="shared" si="49"/>
        <v>0.27139752909619996</v>
      </c>
      <c r="U119" s="6">
        <f t="shared" si="50"/>
        <v>-0.13415230462253669</v>
      </c>
      <c r="V119" s="6"/>
      <c r="W119" s="6">
        <f t="shared" si="51"/>
        <v>1.7996840835537879E-2</v>
      </c>
      <c r="AA119">
        <f t="shared" si="52"/>
        <v>2456</v>
      </c>
      <c r="AB119">
        <f t="shared" si="53"/>
        <v>0.13724522447366327</v>
      </c>
      <c r="AC119">
        <f t="shared" si="54"/>
        <v>0.27139752909619996</v>
      </c>
    </row>
    <row r="120" spans="1:29" ht="18.95" customHeight="1">
      <c r="A120" s="4">
        <f t="shared" si="55"/>
        <v>808</v>
      </c>
      <c r="B120" s="6">
        <f>INDEX('Raw Data'!$B$6:$B$1371,MATCH(A120,'Raw Data'!$A$6:$A$1371,0))</f>
        <v>17352</v>
      </c>
      <c r="C120" s="6">
        <f t="shared" si="42"/>
        <v>2477</v>
      </c>
      <c r="D120" s="6">
        <f>MOD(C120+Summary!$B$20,Summary!$B$11)</f>
        <v>2471.7416237989592</v>
      </c>
      <c r="E120" s="6">
        <f>_xlfn.XLOOKUP(D120,'Native PMKS'!$C$6:$C$366,'Native PMKS'!$C$6:$C$366,,-1)</f>
        <v>2466.666666666667</v>
      </c>
      <c r="F120" s="6">
        <f>_xlfn.XLOOKUP(D120,'Native PMKS'!$C$6:$C$366,'Native PMKS'!$C$6:$C$366,,1)</f>
        <v>2475</v>
      </c>
      <c r="G120" s="6">
        <f>_xlfn.XLOOKUP(D120,'Native PMKS'!$C$6:$C$366,'Native PMKS'!$N$6:$N$366,,-1)</f>
        <v>13.521800000000001</v>
      </c>
      <c r="H120" s="6">
        <f>_xlfn.XLOOKUP(D120,'Native PMKS'!$C$6:$C$366,'Native PMKS'!$N$6:$N$366,,1)</f>
        <v>12.3759</v>
      </c>
      <c r="I120" s="6">
        <f t="shared" si="43"/>
        <v>12.823952794652712</v>
      </c>
      <c r="J120" s="6">
        <f>INDEX('Raw Data'!$S$6:$S$1371,MATCH(A120,'Raw Data'!$A$6:$A$1371,0))</f>
        <v>-5.0849461555481001</v>
      </c>
      <c r="K120" s="6">
        <f t="shared" si="44"/>
        <v>8.8749052700942077E-2</v>
      </c>
      <c r="L120" s="6">
        <f t="shared" si="45"/>
        <v>0.22382019938701808</v>
      </c>
      <c r="M120" s="6">
        <f t="shared" si="46"/>
        <v>-0.135071146686076</v>
      </c>
      <c r="N120" s="6">
        <f t="shared" si="47"/>
        <v>1.824421466709146E-2</v>
      </c>
      <c r="O120" s="6">
        <f>_xlfn.XLOOKUP(D120,'Instructor 360'!$B$6:$B$365,'Instructor 360'!$B$6:$B$365,,-1)</f>
        <v>2465.1810584958216</v>
      </c>
      <c r="P120" s="6">
        <f>_xlfn.XLOOKUP(D120,'Instructor 360'!$B$6:$B$365,'Instructor 360'!$B$6:$B$365,,1)</f>
        <v>2473.5376044568243</v>
      </c>
      <c r="Q120" s="6">
        <f>_xlfn.XLOOKUP(D120,'Instructor 360'!$B$6:$B$365,'Instructor 360'!$F$6:$F$365,,-1)</f>
        <v>13.715867966573867</v>
      </c>
      <c r="R120" s="6">
        <f>_xlfn.XLOOKUP(D120,'Instructor 360'!$B$6:$B$365,'Instructor 360'!$F$6:$F$365,,1)</f>
        <v>12.576991086351013</v>
      </c>
      <c r="S120" s="6">
        <f t="shared" si="48"/>
        <v>12.821757387896582</v>
      </c>
      <c r="T120" s="6">
        <f t="shared" si="49"/>
        <v>0.22378188231070312</v>
      </c>
      <c r="U120" s="6">
        <f t="shared" si="50"/>
        <v>-0.13503282960976104</v>
      </c>
      <c r="V120" s="6"/>
      <c r="W120" s="6">
        <f t="shared" si="51"/>
        <v>1.8233865072418757E-2</v>
      </c>
      <c r="AA120">
        <f t="shared" si="52"/>
        <v>2477</v>
      </c>
      <c r="AB120">
        <f t="shared" si="53"/>
        <v>8.8749052700942077E-2</v>
      </c>
      <c r="AC120">
        <f t="shared" si="54"/>
        <v>0.22378188231070312</v>
      </c>
    </row>
    <row r="121" spans="1:29" ht="18.95" customHeight="1">
      <c r="A121" s="4">
        <f t="shared" si="55"/>
        <v>809</v>
      </c>
      <c r="B121" s="6">
        <f>INDEX('Raw Data'!$B$6:$B$1371,MATCH(A121,'Raw Data'!$A$6:$A$1371,0))</f>
        <v>17373</v>
      </c>
      <c r="C121" s="6">
        <f t="shared" si="42"/>
        <v>2498</v>
      </c>
      <c r="D121" s="6">
        <f>MOD(C121+Summary!$B$20,Summary!$B$11)</f>
        <v>2492.7416237989592</v>
      </c>
      <c r="E121" s="6">
        <f>_xlfn.XLOOKUP(D121,'Native PMKS'!$C$6:$C$366,'Native PMKS'!$C$6:$C$366,,-1)</f>
        <v>2491.666666666667</v>
      </c>
      <c r="F121" s="6">
        <f>_xlfn.XLOOKUP(D121,'Native PMKS'!$C$6:$C$366,'Native PMKS'!$C$6:$C$366,,1)</f>
        <v>2500</v>
      </c>
      <c r="G121" s="6">
        <f>_xlfn.XLOOKUP(D121,'Native PMKS'!$C$6:$C$366,'Native PMKS'!$N$6:$N$366,,-1)</f>
        <v>10.141400000000001</v>
      </c>
      <c r="H121" s="6">
        <f>_xlfn.XLOOKUP(D121,'Native PMKS'!$C$6:$C$366,'Native PMKS'!$N$6:$N$366,,1)</f>
        <v>8.9381000000000004</v>
      </c>
      <c r="I121" s="6">
        <f t="shared" si="43"/>
        <v>9.9861804899255731</v>
      </c>
      <c r="J121" s="6">
        <f>INDEX('Raw Data'!$S$6:$S$1371,MATCH(A121,'Raw Data'!$A$6:$A$1371,0))</f>
        <v>-2.1231138706207302</v>
      </c>
      <c r="K121" s="6">
        <f t="shared" si="44"/>
        <v>3.7055327437092646E-2</v>
      </c>
      <c r="L121" s="6">
        <f t="shared" si="45"/>
        <v>0.17429172924762168</v>
      </c>
      <c r="M121" s="6">
        <f t="shared" si="46"/>
        <v>-0.13723640181052904</v>
      </c>
      <c r="N121" s="6">
        <f t="shared" si="47"/>
        <v>1.8833829981900977E-2</v>
      </c>
      <c r="O121" s="6">
        <f>_xlfn.XLOOKUP(D121,'Instructor 360'!$B$6:$B$365,'Instructor 360'!$B$6:$B$365,,-1)</f>
        <v>2490.2506963788301</v>
      </c>
      <c r="P121" s="6">
        <f>_xlfn.XLOOKUP(D121,'Instructor 360'!$B$6:$B$365,'Instructor 360'!$B$6:$B$365,,1)</f>
        <v>2498.6072423398327</v>
      </c>
      <c r="Q121" s="6">
        <f>_xlfn.XLOOKUP(D121,'Instructor 360'!$B$6:$B$365,'Instructor 360'!$F$6:$F$365,,-1)</f>
        <v>10.336107242339873</v>
      </c>
      <c r="R121" s="6">
        <f>_xlfn.XLOOKUP(D121,'Instructor 360'!$B$6:$B$365,'Instructor 360'!$F$6:$F$365,,1)</f>
        <v>9.1392086350975195</v>
      </c>
      <c r="S121" s="6">
        <f t="shared" si="48"/>
        <v>9.9793345310058612</v>
      </c>
      <c r="T121" s="6">
        <f t="shared" si="49"/>
        <v>0.17417224472401643</v>
      </c>
      <c r="U121" s="6">
        <f t="shared" si="50"/>
        <v>-0.1371169172869238</v>
      </c>
      <c r="V121" s="6"/>
      <c r="W121" s="6">
        <f t="shared" si="51"/>
        <v>1.88010490062691E-2</v>
      </c>
      <c r="AA121">
        <f t="shared" si="52"/>
        <v>2498</v>
      </c>
      <c r="AB121">
        <f t="shared" si="53"/>
        <v>3.7055327437092646E-2</v>
      </c>
      <c r="AC121">
        <f t="shared" si="54"/>
        <v>0.17417224472401643</v>
      </c>
    </row>
    <row r="122" spans="1:29" ht="18.95" customHeight="1">
      <c r="A122" s="4">
        <f t="shared" si="55"/>
        <v>810</v>
      </c>
      <c r="B122" s="6">
        <f>INDEX('Raw Data'!$B$6:$B$1371,MATCH(A122,'Raw Data'!$A$6:$A$1371,0))</f>
        <v>17402</v>
      </c>
      <c r="C122" s="6">
        <f t="shared" si="42"/>
        <v>2527</v>
      </c>
      <c r="D122" s="6">
        <f>MOD(C122+Summary!$B$20,Summary!$B$11)</f>
        <v>2521.7416237989592</v>
      </c>
      <c r="E122" s="6">
        <f>_xlfn.XLOOKUP(D122,'Native PMKS'!$C$6:$C$366,'Native PMKS'!$C$6:$C$366,,-1)</f>
        <v>2516.666666666667</v>
      </c>
      <c r="F122" s="6">
        <f>_xlfn.XLOOKUP(D122,'Native PMKS'!$C$6:$C$366,'Native PMKS'!$C$6:$C$366,,1)</f>
        <v>2525</v>
      </c>
      <c r="G122" s="6">
        <f>_xlfn.XLOOKUP(D122,'Native PMKS'!$C$6:$C$366,'Native PMKS'!$N$6:$N$366,,-1)</f>
        <v>6.5316999999999998</v>
      </c>
      <c r="H122" s="6">
        <f>_xlfn.XLOOKUP(D122,'Native PMKS'!$C$6:$C$366,'Native PMKS'!$N$6:$N$366,,1)</f>
        <v>5.3285</v>
      </c>
      <c r="I122" s="6">
        <f t="shared" si="43"/>
        <v>5.7989573894111004</v>
      </c>
      <c r="J122" s="6">
        <f>INDEX('Raw Data'!$S$6:$S$1371,MATCH(A122,'Raw Data'!$A$6:$A$1371,0))</f>
        <v>2.1974968910217298</v>
      </c>
      <c r="K122" s="6">
        <f t="shared" si="44"/>
        <v>-3.8353556050668203E-2</v>
      </c>
      <c r="L122" s="6">
        <f t="shared" si="45"/>
        <v>0.10121089962807867</v>
      </c>
      <c r="M122" s="6">
        <f t="shared" si="46"/>
        <v>-0.13956445567874687</v>
      </c>
      <c r="N122" s="6">
        <f t="shared" si="47"/>
        <v>1.9478237288904899E-2</v>
      </c>
      <c r="O122" s="6">
        <f>_xlfn.XLOOKUP(D122,'Instructor 360'!$B$6:$B$365,'Instructor 360'!$B$6:$B$365,,-1)</f>
        <v>2515.3203342618385</v>
      </c>
      <c r="P122" s="6">
        <f>_xlfn.XLOOKUP(D122,'Instructor 360'!$B$6:$B$365,'Instructor 360'!$B$6:$B$365,,1)</f>
        <v>2523.6768802228412</v>
      </c>
      <c r="Q122" s="6">
        <f>_xlfn.XLOOKUP(D122,'Instructor 360'!$B$6:$B$365,'Instructor 360'!$F$6:$F$365,,-1)</f>
        <v>6.7260888579387466</v>
      </c>
      <c r="R122" s="6">
        <f>_xlfn.XLOOKUP(D122,'Instructor 360'!$B$6:$B$365,'Instructor 360'!$F$6:$F$365,,1)</f>
        <v>5.5195373259053042</v>
      </c>
      <c r="S122" s="6">
        <f t="shared" si="48"/>
        <v>5.7989573894111004</v>
      </c>
      <c r="T122" s="6">
        <f t="shared" si="49"/>
        <v>0.10121089962807867</v>
      </c>
      <c r="U122" s="6">
        <f t="shared" si="50"/>
        <v>-0.13956445567874687</v>
      </c>
      <c r="V122" s="6"/>
      <c r="W122" s="6">
        <f t="shared" si="51"/>
        <v>1.9478237288904899E-2</v>
      </c>
      <c r="AA122">
        <f t="shared" si="52"/>
        <v>2527</v>
      </c>
      <c r="AB122">
        <f t="shared" si="53"/>
        <v>-3.8353556050668203E-2</v>
      </c>
      <c r="AC122">
        <f t="shared" si="54"/>
        <v>0.10121089962807867</v>
      </c>
    </row>
    <row r="123" spans="1:29" ht="18.95" customHeight="1">
      <c r="A123" s="4">
        <f t="shared" si="55"/>
        <v>811</v>
      </c>
      <c r="B123" s="6">
        <f>INDEX('Raw Data'!$B$6:$B$1371,MATCH(A123,'Raw Data'!$A$6:$A$1371,0))</f>
        <v>17423</v>
      </c>
      <c r="C123" s="6">
        <f t="shared" si="42"/>
        <v>2548</v>
      </c>
      <c r="D123" s="6">
        <f>MOD(C123+Summary!$B$20,Summary!$B$11)</f>
        <v>2542.7416237989592</v>
      </c>
      <c r="E123" s="6">
        <f>_xlfn.XLOOKUP(D123,'Native PMKS'!$C$6:$C$366,'Native PMKS'!$C$6:$C$366,,-1)</f>
        <v>2541.666666666667</v>
      </c>
      <c r="F123" s="6">
        <f>_xlfn.XLOOKUP(D123,'Native PMKS'!$C$6:$C$366,'Native PMKS'!$C$6:$C$366,,1)</f>
        <v>2550</v>
      </c>
      <c r="G123" s="6">
        <f>_xlfn.XLOOKUP(D123,'Native PMKS'!$C$6:$C$366,'Native PMKS'!$N$6:$N$366,,-1)</f>
        <v>2.8075000000000001</v>
      </c>
      <c r="H123" s="6">
        <f>_xlfn.XLOOKUP(D123,'Native PMKS'!$C$6:$C$366,'Native PMKS'!$N$6:$N$366,,1)</f>
        <v>1.5469999999999999</v>
      </c>
      <c r="I123" s="6">
        <f t="shared" si="43"/>
        <v>2.6449019841695076</v>
      </c>
      <c r="J123" s="6">
        <f>INDEX('Raw Data'!$S$6:$S$1371,MATCH(A123,'Raw Data'!$A$6:$A$1371,0))</f>
        <v>5.4799394607543901</v>
      </c>
      <c r="K123" s="6">
        <f t="shared" si="44"/>
        <v>-9.5642986400126695E-2</v>
      </c>
      <c r="L123" s="6">
        <f t="shared" si="45"/>
        <v>4.6162248016288848E-2</v>
      </c>
      <c r="M123" s="6">
        <f t="shared" si="46"/>
        <v>-0.14180523441641554</v>
      </c>
      <c r="N123" s="6">
        <f t="shared" si="47"/>
        <v>2.0108724507894565E-2</v>
      </c>
      <c r="O123" s="6">
        <f>_xlfn.XLOOKUP(D123,'Instructor 360'!$B$6:$B$365,'Instructor 360'!$B$6:$B$365,,-1)</f>
        <v>2540.389972144847</v>
      </c>
      <c r="P123" s="6">
        <f>_xlfn.XLOOKUP(D123,'Instructor 360'!$B$6:$B$365,'Instructor 360'!$B$6:$B$365,,1)</f>
        <v>2548.7465181058496</v>
      </c>
      <c r="Q123" s="6">
        <f>_xlfn.XLOOKUP(D123,'Instructor 360'!$B$6:$B$365,'Instructor 360'!$F$6:$F$365,,-1)</f>
        <v>3.0006128133704886</v>
      </c>
      <c r="R123" s="6">
        <f>_xlfn.XLOOKUP(D123,'Instructor 360'!$B$6:$B$365,'Instructor 360'!$F$6:$F$365,,1)</f>
        <v>1.7366016713091894</v>
      </c>
      <c r="S123" s="6">
        <f t="shared" si="48"/>
        <v>2.6449019841695076</v>
      </c>
      <c r="T123" s="6">
        <f t="shared" si="49"/>
        <v>4.6162248016288848E-2</v>
      </c>
      <c r="U123" s="6">
        <f t="shared" si="50"/>
        <v>-0.14180523441641554</v>
      </c>
      <c r="V123" s="6"/>
      <c r="W123" s="6">
        <f t="shared" si="51"/>
        <v>2.0108724507894565E-2</v>
      </c>
      <c r="AA123">
        <f t="shared" si="52"/>
        <v>2548</v>
      </c>
      <c r="AB123">
        <f t="shared" si="53"/>
        <v>-9.5642986400126695E-2</v>
      </c>
      <c r="AC123">
        <f t="shared" si="54"/>
        <v>4.6162248016288848E-2</v>
      </c>
    </row>
    <row r="124" spans="1:29" ht="18.95" customHeight="1">
      <c r="A124" s="4">
        <f t="shared" si="55"/>
        <v>812</v>
      </c>
      <c r="B124" s="6">
        <f>INDEX('Raw Data'!$B$6:$B$1371,MATCH(A124,'Raw Data'!$A$6:$A$1371,0))</f>
        <v>17444</v>
      </c>
      <c r="C124" s="6">
        <f t="shared" si="42"/>
        <v>2569</v>
      </c>
      <c r="D124" s="6">
        <f>MOD(C124+Summary!$B$20,Summary!$B$11)</f>
        <v>2563.7416237989592</v>
      </c>
      <c r="E124" s="6">
        <f>_xlfn.XLOOKUP(D124,'Native PMKS'!$C$6:$C$366,'Native PMKS'!$C$6:$C$366,,-1)</f>
        <v>2558.3333333333335</v>
      </c>
      <c r="F124" s="6">
        <f>_xlfn.XLOOKUP(D124,'Native PMKS'!$C$6:$C$366,'Native PMKS'!$C$6:$C$366,,1)</f>
        <v>2566.666666666667</v>
      </c>
      <c r="G124" s="6">
        <f>_xlfn.XLOOKUP(D124,'Native PMKS'!$C$6:$C$366,'Native PMKS'!$N$6:$N$366,,-1)</f>
        <v>0.22919999999999999</v>
      </c>
      <c r="H124" s="6">
        <f>_xlfn.XLOOKUP(D124,'Native PMKS'!$C$6:$C$366,'Native PMKS'!$N$6:$N$366,,1)</f>
        <v>-1.0886</v>
      </c>
      <c r="I124" s="6">
        <f t="shared" si="43"/>
        <v>-0.62604542107220595</v>
      </c>
      <c r="J124" s="6">
        <f>INDEX('Raw Data'!$S$6:$S$1371,MATCH(A124,'Raw Data'!$A$6:$A$1371,0))</f>
        <v>8.9913902282714808</v>
      </c>
      <c r="K124" s="6">
        <f t="shared" si="44"/>
        <v>-0.15692936381498188</v>
      </c>
      <c r="L124" s="6">
        <f t="shared" si="45"/>
        <v>-1.0926553864744283E-2</v>
      </c>
      <c r="M124" s="6">
        <f t="shared" si="46"/>
        <v>-0.14600280995023759</v>
      </c>
      <c r="N124" s="6">
        <f t="shared" si="47"/>
        <v>2.1316820513365198E-2</v>
      </c>
      <c r="O124" s="6">
        <f>_xlfn.XLOOKUP(D124,'Instructor 360'!$B$6:$B$365,'Instructor 360'!$B$6:$B$365,,-1)</f>
        <v>2557.1030640668523</v>
      </c>
      <c r="P124" s="6">
        <f>_xlfn.XLOOKUP(D124,'Instructor 360'!$B$6:$B$365,'Instructor 360'!$B$6:$B$365,,1)</f>
        <v>2565.459610027855</v>
      </c>
      <c r="Q124" s="6">
        <f>_xlfn.XLOOKUP(D124,'Instructor 360'!$B$6:$B$365,'Instructor 360'!$F$6:$F$365,,-1)</f>
        <v>0.42374986072426335</v>
      </c>
      <c r="R124" s="6">
        <f>_xlfn.XLOOKUP(D124,'Instructor 360'!$B$6:$B$365,'Instructor 360'!$F$6:$F$365,,1)</f>
        <v>-0.89772089136483035</v>
      </c>
      <c r="S124" s="6">
        <f t="shared" si="48"/>
        <v>-0.62604542107214911</v>
      </c>
      <c r="T124" s="6">
        <f t="shared" si="49"/>
        <v>-1.0926553864743291E-2</v>
      </c>
      <c r="U124" s="6">
        <f t="shared" si="50"/>
        <v>-0.14600280995023859</v>
      </c>
      <c r="V124" s="6"/>
      <c r="W124" s="6">
        <f t="shared" si="51"/>
        <v>2.1316820513365489E-2</v>
      </c>
      <c r="AA124">
        <f t="shared" si="52"/>
        <v>2569</v>
      </c>
      <c r="AB124">
        <f t="shared" si="53"/>
        <v>-0.15692936381498188</v>
      </c>
      <c r="AC124">
        <f t="shared" si="54"/>
        <v>-1.0926553864743291E-2</v>
      </c>
    </row>
    <row r="125" spans="1:29" ht="18.95" customHeight="1">
      <c r="A125" s="4">
        <f t="shared" si="55"/>
        <v>813</v>
      </c>
      <c r="B125" s="6">
        <f>INDEX('Raw Data'!$B$6:$B$1371,MATCH(A125,'Raw Data'!$A$6:$A$1371,0))</f>
        <v>17464</v>
      </c>
      <c r="C125" s="6">
        <f t="shared" si="42"/>
        <v>2589</v>
      </c>
      <c r="D125" s="6">
        <f>MOD(C125+Summary!$B$20,Summary!$B$11)</f>
        <v>2583.7416237989592</v>
      </c>
      <c r="E125" s="6">
        <f>_xlfn.XLOOKUP(D125,'Native PMKS'!$C$6:$C$366,'Native PMKS'!$C$6:$C$366,,-1)</f>
        <v>2583.3333333333335</v>
      </c>
      <c r="F125" s="6">
        <f>_xlfn.XLOOKUP(D125,'Native PMKS'!$C$6:$C$366,'Native PMKS'!$C$6:$C$366,,1)</f>
        <v>2591.666666666667</v>
      </c>
      <c r="G125" s="6">
        <f>_xlfn.XLOOKUP(D125,'Native PMKS'!$C$6:$C$366,'Native PMKS'!$N$6:$N$366,,-1)</f>
        <v>-3.7814999999999999</v>
      </c>
      <c r="H125" s="6">
        <f>_xlfn.XLOOKUP(D125,'Native PMKS'!$C$6:$C$366,'Native PMKS'!$N$6:$N$366,,1)</f>
        <v>-5.0993000000000004</v>
      </c>
      <c r="I125" s="6">
        <f t="shared" si="43"/>
        <v>-3.8460654210721827</v>
      </c>
      <c r="J125" s="6">
        <f>INDEX('Raw Data'!$S$6:$S$1371,MATCH(A125,'Raw Data'!$A$6:$A$1371,0))</f>
        <v>11.937954902648899</v>
      </c>
      <c r="K125" s="6">
        <f t="shared" si="44"/>
        <v>-0.20835661900582242</v>
      </c>
      <c r="L125" s="6">
        <f t="shared" si="45"/>
        <v>-6.7126504844811682E-2</v>
      </c>
      <c r="M125" s="6">
        <f t="shared" si="46"/>
        <v>-0.14123011416101072</v>
      </c>
      <c r="N125" s="6">
        <f t="shared" si="47"/>
        <v>1.994594514593212E-2</v>
      </c>
      <c r="O125" s="6">
        <f>_xlfn.XLOOKUP(D125,'Instructor 360'!$B$6:$B$365,'Instructor 360'!$B$6:$B$365,,-1)</f>
        <v>2582.1727019498608</v>
      </c>
      <c r="P125" s="6">
        <f>_xlfn.XLOOKUP(D125,'Instructor 360'!$B$6:$B$365,'Instructor 360'!$B$6:$B$365,,1)</f>
        <v>2590.5292479108634</v>
      </c>
      <c r="Q125" s="6">
        <f>_xlfn.XLOOKUP(D125,'Instructor 360'!$B$6:$B$365,'Instructor 360'!$F$6:$F$365,,-1)</f>
        <v>-3.5899818941504034</v>
      </c>
      <c r="R125" s="6">
        <f>_xlfn.XLOOKUP(D125,'Instructor 360'!$B$6:$B$365,'Instructor 360'!$F$6:$F$365,,1)</f>
        <v>-4.9194331476322555</v>
      </c>
      <c r="S125" s="6">
        <f t="shared" si="48"/>
        <v>-3.8395832400452719</v>
      </c>
      <c r="T125" s="6">
        <f t="shared" si="49"/>
        <v>-6.7013369443181786E-2</v>
      </c>
      <c r="U125" s="6">
        <f t="shared" si="50"/>
        <v>-0.14134324956264063</v>
      </c>
      <c r="V125" s="6"/>
      <c r="W125" s="6">
        <f t="shared" si="51"/>
        <v>1.9977914196926912E-2</v>
      </c>
      <c r="AA125">
        <f t="shared" si="52"/>
        <v>2589</v>
      </c>
      <c r="AB125">
        <f t="shared" si="53"/>
        <v>-0.20835661900582242</v>
      </c>
      <c r="AC125">
        <f t="shared" si="54"/>
        <v>-6.7013369443181786E-2</v>
      </c>
    </row>
    <row r="126" spans="1:29" ht="18.95" customHeight="1">
      <c r="A126" s="4">
        <f t="shared" si="55"/>
        <v>814</v>
      </c>
      <c r="B126" s="6">
        <f>INDEX('Raw Data'!$B$6:$B$1371,MATCH(A126,'Raw Data'!$A$6:$A$1371,0))</f>
        <v>17485</v>
      </c>
      <c r="C126" s="6">
        <f t="shared" si="42"/>
        <v>2610</v>
      </c>
      <c r="D126" s="6">
        <f>MOD(C126+Summary!$B$20,Summary!$B$11)</f>
        <v>2604.7416237989592</v>
      </c>
      <c r="E126" s="6">
        <f>_xlfn.XLOOKUP(D126,'Native PMKS'!$C$6:$C$366,'Native PMKS'!$C$6:$C$366,,-1)</f>
        <v>2600</v>
      </c>
      <c r="F126" s="6">
        <f>_xlfn.XLOOKUP(D126,'Native PMKS'!$C$6:$C$366,'Native PMKS'!$C$6:$C$366,,1)</f>
        <v>2608.3333333333335</v>
      </c>
      <c r="G126" s="6">
        <f>_xlfn.XLOOKUP(D126,'Native PMKS'!$C$6:$C$366,'Native PMKS'!$N$6:$N$366,,-1)</f>
        <v>-6.4744000000000002</v>
      </c>
      <c r="H126" s="6">
        <f>_xlfn.XLOOKUP(D126,'Native PMKS'!$C$6:$C$366,'Native PMKS'!$N$6:$N$366,,1)</f>
        <v>-7.9067999999999996</v>
      </c>
      <c r="I126" s="6">
        <f t="shared" si="43"/>
        <v>-7.2894282315554619</v>
      </c>
      <c r="J126" s="6">
        <f>INDEX('Raw Data'!$S$6:$S$1371,MATCH(A126,'Raw Data'!$A$6:$A$1371,0))</f>
        <v>15.418870925903301</v>
      </c>
      <c r="K126" s="6">
        <f t="shared" si="44"/>
        <v>-0.26911006459703923</v>
      </c>
      <c r="L126" s="6">
        <f t="shared" si="45"/>
        <v>-0.12722452322847044</v>
      </c>
      <c r="M126" s="6">
        <f t="shared" si="46"/>
        <v>-0.14188554136856879</v>
      </c>
      <c r="N126" s="6">
        <f t="shared" si="47"/>
        <v>2.0131506849451846E-2</v>
      </c>
      <c r="O126" s="6">
        <f>_xlfn.XLOOKUP(D126,'Instructor 360'!$B$6:$B$365,'Instructor 360'!$B$6:$B$365,,-1)</f>
        <v>2598.8857938718661</v>
      </c>
      <c r="P126" s="6">
        <f>_xlfn.XLOOKUP(D126,'Instructor 360'!$B$6:$B$365,'Instructor 360'!$B$6:$B$365,,1)</f>
        <v>2607.2423398328692</v>
      </c>
      <c r="Q126" s="6">
        <f>_xlfn.XLOOKUP(D126,'Instructor 360'!$B$6:$B$365,'Instructor 360'!$F$6:$F$365,,-1)</f>
        <v>-6.2905426183843627</v>
      </c>
      <c r="R126" s="6">
        <f>_xlfn.XLOOKUP(D126,'Instructor 360'!$B$6:$B$365,'Instructor 360'!$F$6:$F$365,,1)</f>
        <v>-7.7192713091922016</v>
      </c>
      <c r="S126" s="6">
        <f t="shared" si="48"/>
        <v>-7.2917208880154476</v>
      </c>
      <c r="T126" s="6">
        <f t="shared" si="49"/>
        <v>-0.1272645376323143</v>
      </c>
      <c r="U126" s="6">
        <f t="shared" si="50"/>
        <v>-0.14184552696472494</v>
      </c>
      <c r="V126" s="6"/>
      <c r="W126" s="6">
        <f t="shared" si="51"/>
        <v>2.012015351990051E-2</v>
      </c>
      <c r="AA126">
        <f t="shared" si="52"/>
        <v>2610</v>
      </c>
      <c r="AB126">
        <f t="shared" si="53"/>
        <v>-0.26911006459703923</v>
      </c>
      <c r="AC126">
        <f t="shared" si="54"/>
        <v>-0.1272645376323143</v>
      </c>
    </row>
    <row r="127" spans="1:29" ht="18.95" customHeight="1">
      <c r="A127" s="4">
        <f t="shared" si="55"/>
        <v>815</v>
      </c>
      <c r="B127" s="6">
        <f>INDEX('Raw Data'!$B$6:$B$1371,MATCH(A127,'Raw Data'!$A$6:$A$1371,0))</f>
        <v>17507</v>
      </c>
      <c r="C127" s="6">
        <f t="shared" si="42"/>
        <v>2632</v>
      </c>
      <c r="D127" s="6">
        <f>MOD(C127+Summary!$B$20,Summary!$B$11)</f>
        <v>2626.7416237989592</v>
      </c>
      <c r="E127" s="6">
        <f>_xlfn.XLOOKUP(D127,'Native PMKS'!$C$6:$C$366,'Native PMKS'!$C$6:$C$366,,-1)</f>
        <v>2625</v>
      </c>
      <c r="F127" s="6">
        <f>_xlfn.XLOOKUP(D127,'Native PMKS'!$C$6:$C$366,'Native PMKS'!$C$6:$C$366,,1)</f>
        <v>2633.3333333333335</v>
      </c>
      <c r="G127" s="6">
        <f>_xlfn.XLOOKUP(D127,'Native PMKS'!$C$6:$C$366,'Native PMKS'!$N$6:$N$366,,-1)</f>
        <v>-10.7143</v>
      </c>
      <c r="H127" s="6">
        <f>_xlfn.XLOOKUP(D127,'Native PMKS'!$C$6:$C$366,'Native PMKS'!$N$6:$N$366,,1)</f>
        <v>-12.146699999999999</v>
      </c>
      <c r="I127" s="6">
        <f t="shared" si="43"/>
        <v>-11.013664231555481</v>
      </c>
      <c r="J127" s="6">
        <f>INDEX('Raw Data'!$S$6:$S$1371,MATCH(A127,'Raw Data'!$A$6:$A$1371,0))</f>
        <v>18.823450088501001</v>
      </c>
      <c r="K127" s="6">
        <f t="shared" si="44"/>
        <v>-0.32853118062916048</v>
      </c>
      <c r="L127" s="6">
        <f t="shared" si="45"/>
        <v>-0.19222470354977431</v>
      </c>
      <c r="M127" s="6">
        <f t="shared" si="46"/>
        <v>-0.13630647707938617</v>
      </c>
      <c r="N127" s="6">
        <f t="shared" si="47"/>
        <v>1.8579455693793229E-2</v>
      </c>
      <c r="O127" s="6">
        <f>_xlfn.XLOOKUP(D127,'Instructor 360'!$B$6:$B$365,'Instructor 360'!$B$6:$B$365,,-1)</f>
        <v>2623.9554317548746</v>
      </c>
      <c r="P127" s="6">
        <f>_xlfn.XLOOKUP(D127,'Instructor 360'!$B$6:$B$365,'Instructor 360'!$B$6:$B$365,,1)</f>
        <v>2632.3119777158772</v>
      </c>
      <c r="Q127" s="6">
        <f>_xlfn.XLOOKUP(D127,'Instructor 360'!$B$6:$B$365,'Instructor 360'!$F$6:$F$365,,-1)</f>
        <v>-10.53475125348187</v>
      </c>
      <c r="R127" s="6">
        <f>_xlfn.XLOOKUP(D127,'Instructor 360'!$B$6:$B$365,'Instructor 360'!$F$6:$F$365,,1)</f>
        <v>-11.971141225626679</v>
      </c>
      <c r="S127" s="6">
        <f t="shared" si="48"/>
        <v>-11.013664231555424</v>
      </c>
      <c r="T127" s="6">
        <f t="shared" si="49"/>
        <v>-0.19222470354977328</v>
      </c>
      <c r="U127" s="6">
        <f t="shared" si="50"/>
        <v>-0.1363064770793872</v>
      </c>
      <c r="V127" s="6"/>
      <c r="W127" s="6">
        <f t="shared" si="51"/>
        <v>1.8579455693793507E-2</v>
      </c>
      <c r="AA127">
        <f t="shared" si="52"/>
        <v>2632</v>
      </c>
      <c r="AB127">
        <f t="shared" si="53"/>
        <v>-0.32853118062916048</v>
      </c>
      <c r="AC127">
        <f t="shared" si="54"/>
        <v>-0.19222470354977328</v>
      </c>
    </row>
    <row r="128" spans="1:29" ht="18.95" customHeight="1">
      <c r="A128" s="4">
        <f t="shared" si="55"/>
        <v>816</v>
      </c>
      <c r="B128" s="6">
        <f>INDEX('Raw Data'!$B$6:$B$1371,MATCH(A128,'Raw Data'!$A$6:$A$1371,0))</f>
        <v>17528</v>
      </c>
      <c r="C128" s="6">
        <f t="shared" si="42"/>
        <v>2653</v>
      </c>
      <c r="D128" s="6">
        <f>MOD(C128+Summary!$B$20,Summary!$B$11)</f>
        <v>2647.7416237989592</v>
      </c>
      <c r="E128" s="6">
        <f>_xlfn.XLOOKUP(D128,'Native PMKS'!$C$6:$C$366,'Native PMKS'!$C$6:$C$366,,-1)</f>
        <v>2641.666666666667</v>
      </c>
      <c r="F128" s="6">
        <f>_xlfn.XLOOKUP(D128,'Native PMKS'!$C$6:$C$366,'Native PMKS'!$C$6:$C$366,,1)</f>
        <v>2650</v>
      </c>
      <c r="G128" s="6">
        <f>_xlfn.XLOOKUP(D128,'Native PMKS'!$C$6:$C$366,'Native PMKS'!$N$6:$N$366,,-1)</f>
        <v>-13.5791</v>
      </c>
      <c r="H128" s="6">
        <f>_xlfn.XLOOKUP(D128,'Native PMKS'!$C$6:$C$366,'Native PMKS'!$N$6:$N$366,,1)</f>
        <v>-15.0115</v>
      </c>
      <c r="I128" s="6">
        <f t="shared" si="43"/>
        <v>-14.623312231555474</v>
      </c>
      <c r="J128" s="6">
        <f>INDEX('Raw Data'!$S$6:$S$1371,MATCH(A128,'Raw Data'!$A$6:$A$1371,0))</f>
        <v>22.411237716674801</v>
      </c>
      <c r="K128" s="6">
        <f t="shared" si="44"/>
        <v>-0.39114988760311137</v>
      </c>
      <c r="L128" s="6">
        <f t="shared" si="45"/>
        <v>-0.25522494598780249</v>
      </c>
      <c r="M128" s="6">
        <f t="shared" si="46"/>
        <v>-0.13592494161530888</v>
      </c>
      <c r="N128" s="6">
        <f t="shared" si="47"/>
        <v>1.8475589753125129E-2</v>
      </c>
      <c r="O128" s="6">
        <f>_xlfn.XLOOKUP(D128,'Instructor 360'!$B$6:$B$365,'Instructor 360'!$B$6:$B$365,,-1)</f>
        <v>2640.6685236768803</v>
      </c>
      <c r="P128" s="6">
        <f>_xlfn.XLOOKUP(D128,'Instructor 360'!$B$6:$B$365,'Instructor 360'!$B$6:$B$365,,1)</f>
        <v>2649.025069637883</v>
      </c>
      <c r="Q128" s="6">
        <f>_xlfn.XLOOKUP(D128,'Instructor 360'!$B$6:$B$365,'Instructor 360'!$F$6:$F$365,,-1)</f>
        <v>-13.40753119777156</v>
      </c>
      <c r="R128" s="6">
        <f>_xlfn.XLOOKUP(D128,'Instructor 360'!$B$6:$B$365,'Instructor 360'!$F$6:$F$365,,1)</f>
        <v>-14.843921169916428</v>
      </c>
      <c r="S128" s="6">
        <f t="shared" si="48"/>
        <v>-14.623312231555474</v>
      </c>
      <c r="T128" s="6">
        <f t="shared" si="49"/>
        <v>-0.25522494598780249</v>
      </c>
      <c r="U128" s="6">
        <f t="shared" si="50"/>
        <v>-0.13592494161530888</v>
      </c>
      <c r="V128" s="6"/>
      <c r="W128" s="6">
        <f t="shared" si="51"/>
        <v>1.8475589753125129E-2</v>
      </c>
      <c r="AA128">
        <f t="shared" si="52"/>
        <v>2653</v>
      </c>
      <c r="AB128">
        <f t="shared" si="53"/>
        <v>-0.39114988760311137</v>
      </c>
      <c r="AC128">
        <f t="shared" si="54"/>
        <v>-0.25522494598780249</v>
      </c>
    </row>
    <row r="129" spans="1:29" ht="18.95" customHeight="1">
      <c r="A129" s="4">
        <f t="shared" si="55"/>
        <v>817</v>
      </c>
      <c r="B129" s="6">
        <f>INDEX('Raw Data'!$B$6:$B$1371,MATCH(A129,'Raw Data'!$A$6:$A$1371,0))</f>
        <v>17548</v>
      </c>
      <c r="C129" s="6">
        <f t="shared" si="42"/>
        <v>2673</v>
      </c>
      <c r="D129" s="6">
        <f>MOD(C129+Summary!$B$20,Summary!$B$11)</f>
        <v>2667.7416237989592</v>
      </c>
      <c r="E129" s="6">
        <f>_xlfn.XLOOKUP(D129,'Native PMKS'!$C$6:$C$366,'Native PMKS'!$C$6:$C$366,,-1)</f>
        <v>2666.666666666667</v>
      </c>
      <c r="F129" s="6">
        <f>_xlfn.XLOOKUP(D129,'Native PMKS'!$C$6:$C$366,'Native PMKS'!$C$6:$C$366,,1)</f>
        <v>2675</v>
      </c>
      <c r="G129" s="6">
        <f>_xlfn.XLOOKUP(D129,'Native PMKS'!$C$6:$C$366,'Native PMKS'!$N$6:$N$366,,-1)</f>
        <v>-17.933599999999998</v>
      </c>
      <c r="H129" s="6">
        <f>_xlfn.XLOOKUP(D129,'Native PMKS'!$C$6:$C$366,'Native PMKS'!$N$6:$N$366,,1)</f>
        <v>-19.366</v>
      </c>
      <c r="I129" s="6">
        <f t="shared" si="43"/>
        <v>-18.118372231555384</v>
      </c>
      <c r="J129" s="6">
        <f>INDEX('Raw Data'!$S$6:$S$1371,MATCH(A129,'Raw Data'!$A$6:$A$1371,0))</f>
        <v>25.846351623535199</v>
      </c>
      <c r="K129" s="6">
        <f t="shared" si="44"/>
        <v>-0.45110393545887112</v>
      </c>
      <c r="L129" s="6">
        <f t="shared" si="45"/>
        <v>-0.3162252505425539</v>
      </c>
      <c r="M129" s="6">
        <f t="shared" si="46"/>
        <v>-0.13487868491631722</v>
      </c>
      <c r="N129" s="6">
        <f t="shared" si="47"/>
        <v>1.8192259644755179E-2</v>
      </c>
      <c r="O129" s="6">
        <f>_xlfn.XLOOKUP(D129,'Instructor 360'!$B$6:$B$365,'Instructor 360'!$B$6:$B$365,,-1)</f>
        <v>2665.7381615598883</v>
      </c>
      <c r="P129" s="6">
        <f>_xlfn.XLOOKUP(D129,'Instructor 360'!$B$6:$B$365,'Instructor 360'!$B$6:$B$365,,1)</f>
        <v>2674.0947075208915</v>
      </c>
      <c r="Q129" s="6">
        <f>_xlfn.XLOOKUP(D129,'Instructor 360'!$B$6:$B$365,'Instructor 360'!$F$6:$F$365,,-1)</f>
        <v>-17.767616713091826</v>
      </c>
      <c r="R129" s="6">
        <f>_xlfn.XLOOKUP(D129,'Instructor 360'!$B$6:$B$365,'Instructor 360'!$F$6:$F$365,,1)</f>
        <v>-19.210391086350985</v>
      </c>
      <c r="S129" s="6">
        <f t="shared" si="48"/>
        <v>-18.113518475591945</v>
      </c>
      <c r="T129" s="6">
        <f t="shared" si="49"/>
        <v>-0.31614053651990359</v>
      </c>
      <c r="U129" s="6">
        <f t="shared" si="50"/>
        <v>-0.13496339893896753</v>
      </c>
      <c r="V129" s="6"/>
      <c r="W129" s="6">
        <f t="shared" si="51"/>
        <v>1.8215119053158903E-2</v>
      </c>
      <c r="AA129">
        <f t="shared" si="52"/>
        <v>2673</v>
      </c>
      <c r="AB129">
        <f t="shared" si="53"/>
        <v>-0.45110393545887112</v>
      </c>
      <c r="AC129">
        <f t="shared" si="54"/>
        <v>-0.31614053651990359</v>
      </c>
    </row>
    <row r="130" spans="1:29" ht="18.95" customHeight="1">
      <c r="A130" s="4">
        <f t="shared" si="55"/>
        <v>818</v>
      </c>
      <c r="B130" s="6">
        <f>INDEX('Raw Data'!$B$6:$B$1371,MATCH(A130,'Raw Data'!$A$6:$A$1371,0))</f>
        <v>17568</v>
      </c>
      <c r="C130" s="6">
        <f t="shared" si="42"/>
        <v>2693</v>
      </c>
      <c r="D130" s="6">
        <f>MOD(C130+Summary!$B$20,Summary!$B$11)</f>
        <v>2687.7416237989592</v>
      </c>
      <c r="E130" s="6">
        <f>_xlfn.XLOOKUP(D130,'Native PMKS'!$C$6:$C$366,'Native PMKS'!$C$6:$C$366,,-1)</f>
        <v>2683.3333333333335</v>
      </c>
      <c r="F130" s="6">
        <f>_xlfn.XLOOKUP(D130,'Native PMKS'!$C$6:$C$366,'Native PMKS'!$C$6:$C$366,,1)</f>
        <v>2691.666666666667</v>
      </c>
      <c r="G130" s="6">
        <f>_xlfn.XLOOKUP(D130,'Native PMKS'!$C$6:$C$366,'Native PMKS'!$N$6:$N$366,,-1)</f>
        <v>-20.855699999999999</v>
      </c>
      <c r="H130" s="6">
        <f>_xlfn.XLOOKUP(D130,'Native PMKS'!$C$6:$C$366,'Native PMKS'!$N$6:$N$366,,1)</f>
        <v>-22.2881</v>
      </c>
      <c r="I130" s="6">
        <f t="shared" si="43"/>
        <v>-21.613432231555521</v>
      </c>
      <c r="J130" s="6">
        <f>INDEX('Raw Data'!$S$6:$S$1371,MATCH(A130,'Raw Data'!$A$6:$A$1371,0))</f>
        <v>29.449405670166001</v>
      </c>
      <c r="K130" s="6">
        <f t="shared" si="44"/>
        <v>-0.51398909169988394</v>
      </c>
      <c r="L130" s="6">
        <f t="shared" si="45"/>
        <v>-0.37722555509730932</v>
      </c>
      <c r="M130" s="6">
        <f t="shared" si="46"/>
        <v>-0.13676353660257462</v>
      </c>
      <c r="N130" s="6">
        <f t="shared" si="47"/>
        <v>1.8704264944043768E-2</v>
      </c>
      <c r="O130" s="6">
        <f>_xlfn.XLOOKUP(D130,'Instructor 360'!$B$6:$B$365,'Instructor 360'!$B$6:$B$365,,-1)</f>
        <v>2682.4512534818941</v>
      </c>
      <c r="P130" s="6">
        <f>_xlfn.XLOOKUP(D130,'Instructor 360'!$B$6:$B$365,'Instructor 360'!$B$6:$B$365,,1)</f>
        <v>2690.8077994428968</v>
      </c>
      <c r="Q130" s="6">
        <f>_xlfn.XLOOKUP(D130,'Instructor 360'!$B$6:$B$365,'Instructor 360'!$F$6:$F$365,,-1)</f>
        <v>-20.698015877437296</v>
      </c>
      <c r="R130" s="6">
        <f>_xlfn.XLOOKUP(D130,'Instructor 360'!$B$6:$B$365,'Instructor 360'!$F$6:$F$365,,1)</f>
        <v>-22.140471030640594</v>
      </c>
      <c r="S130" s="6">
        <f t="shared" si="48"/>
        <v>-21.611206801273113</v>
      </c>
      <c r="T130" s="6">
        <f t="shared" si="49"/>
        <v>-0.37718671401160769</v>
      </c>
      <c r="U130" s="6">
        <f t="shared" si="50"/>
        <v>-0.13680237768827624</v>
      </c>
      <c r="V130" s="6"/>
      <c r="W130" s="6">
        <f t="shared" si="51"/>
        <v>1.8714890541165784E-2</v>
      </c>
      <c r="AA130">
        <f t="shared" si="52"/>
        <v>2693</v>
      </c>
      <c r="AB130">
        <f t="shared" si="53"/>
        <v>-0.51398909169988394</v>
      </c>
      <c r="AC130">
        <f t="shared" si="54"/>
        <v>-0.37718671401160769</v>
      </c>
    </row>
    <row r="131" spans="1:29" ht="18.95" customHeight="1">
      <c r="A131" s="4">
        <f t="shared" si="55"/>
        <v>819</v>
      </c>
      <c r="B131" s="6">
        <f>INDEX('Raw Data'!$B$6:$B$1371,MATCH(A131,'Raw Data'!$A$6:$A$1371,0))</f>
        <v>17589</v>
      </c>
      <c r="C131" s="6">
        <f t="shared" si="42"/>
        <v>2714</v>
      </c>
      <c r="D131" s="6">
        <f>MOD(C131+Summary!$B$20,Summary!$B$11)</f>
        <v>2708.7416237989592</v>
      </c>
      <c r="E131" s="6">
        <f>_xlfn.XLOOKUP(D131,'Native PMKS'!$C$6:$C$366,'Native PMKS'!$C$6:$C$366,,-1)</f>
        <v>2708.3333333333335</v>
      </c>
      <c r="F131" s="6">
        <f>_xlfn.XLOOKUP(D131,'Native PMKS'!$C$6:$C$366,'Native PMKS'!$C$6:$C$366,,1)</f>
        <v>2716.666666666667</v>
      </c>
      <c r="G131" s="6">
        <f>_xlfn.XLOOKUP(D131,'Native PMKS'!$C$6:$C$366,'Native PMKS'!$N$6:$N$366,,-1)</f>
        <v>-25.210100000000001</v>
      </c>
      <c r="H131" s="6">
        <f>_xlfn.XLOOKUP(D131,'Native PMKS'!$C$6:$C$366,'Native PMKS'!$N$6:$N$366,,1)</f>
        <v>-26.6998</v>
      </c>
      <c r="I131" s="6">
        <f t="shared" si="43"/>
        <v>-25.28308763679712</v>
      </c>
      <c r="J131" s="6">
        <f>INDEX('Raw Data'!$S$6:$S$1371,MATCH(A131,'Raw Data'!$A$6:$A$1371,0))</f>
        <v>31.846351623535199</v>
      </c>
      <c r="K131" s="6">
        <f t="shared" si="44"/>
        <v>-0.55582369057853087</v>
      </c>
      <c r="L131" s="6">
        <f t="shared" si="45"/>
        <v>-0.44127312433238197</v>
      </c>
      <c r="M131" s="6">
        <f t="shared" si="46"/>
        <v>-0.1145505662461489</v>
      </c>
      <c r="N131" s="6">
        <f t="shared" si="47"/>
        <v>1.3121832227313347E-2</v>
      </c>
      <c r="O131" s="6">
        <f>_xlfn.XLOOKUP(D131,'Instructor 360'!$B$6:$B$365,'Instructor 360'!$B$6:$B$365,,-1)</f>
        <v>2707.5208913649026</v>
      </c>
      <c r="P131" s="6">
        <f>_xlfn.XLOOKUP(D131,'Instructor 360'!$B$6:$B$365,'Instructor 360'!$B$6:$B$365,,1)</f>
        <v>2715.8774373259052</v>
      </c>
      <c r="Q131" s="6">
        <f>_xlfn.XLOOKUP(D131,'Instructor 360'!$B$6:$B$365,'Instructor 360'!$F$6:$F$365,,-1)</f>
        <v>-25.070450974930353</v>
      </c>
      <c r="R131" s="6">
        <f>_xlfn.XLOOKUP(D131,'Instructor 360'!$B$6:$B$365,'Instructor 360'!$F$6:$F$365,,1)</f>
        <v>-26.558714206128073</v>
      </c>
      <c r="S131" s="6">
        <f t="shared" si="48"/>
        <v>-25.287857928139829</v>
      </c>
      <c r="T131" s="6">
        <f t="shared" si="49"/>
        <v>-0.44135638162259161</v>
      </c>
      <c r="U131" s="6">
        <f t="shared" si="50"/>
        <v>-0.11446730895593926</v>
      </c>
      <c r="V131" s="6"/>
      <c r="W131" s="6">
        <f t="shared" si="51"/>
        <v>1.3102764819614452E-2</v>
      </c>
      <c r="AA131">
        <f t="shared" si="52"/>
        <v>2714</v>
      </c>
      <c r="AB131">
        <f t="shared" si="53"/>
        <v>-0.55582369057853087</v>
      </c>
      <c r="AC131">
        <f t="shared" si="54"/>
        <v>-0.44135638162259161</v>
      </c>
    </row>
    <row r="132" spans="1:29" ht="18.95" customHeight="1">
      <c r="A132" s="4">
        <f t="shared" si="55"/>
        <v>820</v>
      </c>
      <c r="B132" s="6">
        <f>INDEX('Raw Data'!$B$6:$B$1371,MATCH(A132,'Raw Data'!$A$6:$A$1371,0))</f>
        <v>17609</v>
      </c>
      <c r="C132" s="6">
        <f t="shared" si="42"/>
        <v>2734</v>
      </c>
      <c r="D132" s="6">
        <f>MOD(C132+Summary!$B$20,Summary!$B$11)</f>
        <v>2728.7416237989592</v>
      </c>
      <c r="E132" s="6">
        <f>_xlfn.XLOOKUP(D132,'Native PMKS'!$C$6:$C$366,'Native PMKS'!$C$6:$C$366,,-1)</f>
        <v>2725</v>
      </c>
      <c r="F132" s="6">
        <f>_xlfn.XLOOKUP(D132,'Native PMKS'!$C$6:$C$366,'Native PMKS'!$C$6:$C$366,,1)</f>
        <v>2733.3333333333335</v>
      </c>
      <c r="G132" s="6">
        <f>_xlfn.XLOOKUP(D132,'Native PMKS'!$C$6:$C$366,'Native PMKS'!$N$6:$N$366,,-1)</f>
        <v>-28.132200000000001</v>
      </c>
      <c r="H132" s="6">
        <f>_xlfn.XLOOKUP(D132,'Native PMKS'!$C$6:$C$366,'Native PMKS'!$N$6:$N$366,,1)</f>
        <v>-29.6219</v>
      </c>
      <c r="I132" s="6">
        <f t="shared" si="43"/>
        <v>-28.801067636797086</v>
      </c>
      <c r="J132" s="6">
        <f>INDEX('Raw Data'!$S$6:$S$1371,MATCH(A132,'Raw Data'!$A$6:$A$1371,0))</f>
        <v>36.792915344238303</v>
      </c>
      <c r="K132" s="6">
        <f t="shared" si="44"/>
        <v>-0.64215751416450118</v>
      </c>
      <c r="L132" s="6">
        <f t="shared" si="45"/>
        <v>-0.50267345835169153</v>
      </c>
      <c r="M132" s="6">
        <f t="shared" si="46"/>
        <v>-0.13948405581280965</v>
      </c>
      <c r="N132" s="6">
        <f t="shared" si="47"/>
        <v>1.9455801825990996E-2</v>
      </c>
      <c r="O132" s="6">
        <f>_xlfn.XLOOKUP(D132,'Instructor 360'!$B$6:$B$365,'Instructor 360'!$B$6:$B$365,,-1)</f>
        <v>2724.2339832869079</v>
      </c>
      <c r="P132" s="6">
        <f>_xlfn.XLOOKUP(D132,'Instructor 360'!$B$6:$B$365,'Instructor 360'!$B$6:$B$365,,1)</f>
        <v>2732.590529247911</v>
      </c>
      <c r="Q132" s="6">
        <f>_xlfn.XLOOKUP(D132,'Instructor 360'!$B$6:$B$365,'Instructor 360'!$F$6:$F$365,,-1)</f>
        <v>-28.000530919220022</v>
      </c>
      <c r="R132" s="6">
        <f>_xlfn.XLOOKUP(D132,'Instructor 360'!$B$6:$B$365,'Instructor 360'!$F$6:$F$365,,1)</f>
        <v>-29.489113370473543</v>
      </c>
      <c r="S132" s="6">
        <f t="shared" si="48"/>
        <v>-28.803493601901664</v>
      </c>
      <c r="T132" s="6">
        <f t="shared" si="49"/>
        <v>-0.50271579943030487</v>
      </c>
      <c r="U132" s="6">
        <f t="shared" si="50"/>
        <v>-0.13944171473419631</v>
      </c>
      <c r="V132" s="6"/>
      <c r="W132" s="6">
        <f t="shared" si="51"/>
        <v>1.944399180801298E-2</v>
      </c>
      <c r="AA132">
        <f t="shared" si="52"/>
        <v>2734</v>
      </c>
      <c r="AB132">
        <f t="shared" si="53"/>
        <v>-0.64215751416450118</v>
      </c>
      <c r="AC132">
        <f t="shared" si="54"/>
        <v>-0.50271579943030487</v>
      </c>
    </row>
    <row r="133" spans="1:29" ht="18.95" customHeight="1">
      <c r="A133" s="4">
        <f t="shared" si="55"/>
        <v>821</v>
      </c>
      <c r="B133" s="6">
        <f>INDEX('Raw Data'!$B$6:$B$1371,MATCH(A133,'Raw Data'!$A$6:$A$1371,0))</f>
        <v>17630</v>
      </c>
      <c r="C133" s="6">
        <f t="shared" si="42"/>
        <v>2755</v>
      </c>
      <c r="D133" s="6">
        <f>MOD(C133+Summary!$B$20,Summary!$B$11)</f>
        <v>2749.7416237989592</v>
      </c>
      <c r="E133" s="6">
        <f>_xlfn.XLOOKUP(D133,'Native PMKS'!$C$6:$C$366,'Native PMKS'!$C$6:$C$366,,-1)</f>
        <v>2741.666666666667</v>
      </c>
      <c r="F133" s="6">
        <f>_xlfn.XLOOKUP(D133,'Native PMKS'!$C$6:$C$366,'Native PMKS'!$C$6:$C$366,,1)</f>
        <v>2750</v>
      </c>
      <c r="G133" s="6">
        <f>_xlfn.XLOOKUP(D133,'Native PMKS'!$C$6:$C$366,'Native PMKS'!$N$6:$N$366,,-1)</f>
        <v>-31.054300000000001</v>
      </c>
      <c r="H133" s="6">
        <f>_xlfn.XLOOKUP(D133,'Native PMKS'!$C$6:$C$366,'Native PMKS'!$N$6:$N$366,,1)</f>
        <v>-32.486699999999999</v>
      </c>
      <c r="I133" s="6">
        <f t="shared" si="43"/>
        <v>-32.442288231555551</v>
      </c>
      <c r="J133" s="6">
        <f>INDEX('Raw Data'!$S$6:$S$1371,MATCH(A133,'Raw Data'!$A$6:$A$1371,0))</f>
        <v>39.495208740234403</v>
      </c>
      <c r="K133" s="6">
        <f t="shared" si="44"/>
        <v>-0.68932143127953216</v>
      </c>
      <c r="L133" s="6">
        <f t="shared" si="45"/>
        <v>-0.56622474652165289</v>
      </c>
      <c r="M133" s="6">
        <f t="shared" si="46"/>
        <v>-0.12309668475787927</v>
      </c>
      <c r="N133" s="6">
        <f t="shared" si="47"/>
        <v>1.5152793798380707E-2</v>
      </c>
      <c r="O133" s="6">
        <f>_xlfn.XLOOKUP(D133,'Instructor 360'!$B$6:$B$365,'Instructor 360'!$B$6:$B$365,,-1)</f>
        <v>2749.3036211699164</v>
      </c>
      <c r="P133" s="6">
        <f>_xlfn.XLOOKUP(D133,'Instructor 360'!$B$6:$B$365,'Instructor 360'!$B$6:$B$365,,1)</f>
        <v>2757.660167130919</v>
      </c>
      <c r="Q133" s="6">
        <f>_xlfn.XLOOKUP(D133,'Instructor 360'!$B$6:$B$365,'Instructor 360'!$F$6:$F$365,,-1)</f>
        <v>-32.367000835654579</v>
      </c>
      <c r="R133" s="6">
        <f>_xlfn.XLOOKUP(D133,'Instructor 360'!$B$6:$B$365,'Instructor 360'!$F$6:$F$365,,1)</f>
        <v>-33.750719498607189</v>
      </c>
      <c r="S133" s="6">
        <f t="shared" si="48"/>
        <v>-32.439527500984582</v>
      </c>
      <c r="T133" s="6">
        <f t="shared" si="49"/>
        <v>-0.56617656268342897</v>
      </c>
      <c r="U133" s="6">
        <f t="shared" si="50"/>
        <v>-0.12314486859610319</v>
      </c>
      <c r="V133" s="6"/>
      <c r="W133" s="6">
        <f t="shared" si="51"/>
        <v>1.5164658661551521E-2</v>
      </c>
      <c r="AA133">
        <f t="shared" si="52"/>
        <v>2755</v>
      </c>
      <c r="AB133">
        <f t="shared" si="53"/>
        <v>-0.68932143127953216</v>
      </c>
      <c r="AC133">
        <f t="shared" si="54"/>
        <v>-0.56617656268342897</v>
      </c>
    </row>
    <row r="134" spans="1:29" ht="18.95" customHeight="1">
      <c r="A134" s="4">
        <f t="shared" si="55"/>
        <v>822</v>
      </c>
      <c r="B134" s="6">
        <f>INDEX('Raw Data'!$B$6:$B$1371,MATCH(A134,'Raw Data'!$A$6:$A$1371,0))</f>
        <v>17652</v>
      </c>
      <c r="C134" s="6">
        <f t="shared" ref="C134:C165" si="56">B134-$B$6</f>
        <v>2777</v>
      </c>
      <c r="D134" s="6">
        <f>MOD(C134+Summary!$B$20,Summary!$B$11)</f>
        <v>2771.7416237989592</v>
      </c>
      <c r="E134" s="6">
        <f>_xlfn.XLOOKUP(D134,'Native PMKS'!$C$6:$C$366,'Native PMKS'!$C$6:$C$366,,-1)</f>
        <v>2766.666666666667</v>
      </c>
      <c r="F134" s="6">
        <f>_xlfn.XLOOKUP(D134,'Native PMKS'!$C$6:$C$366,'Native PMKS'!$C$6:$C$366,,1)</f>
        <v>2775</v>
      </c>
      <c r="G134" s="6">
        <f>_xlfn.XLOOKUP(D134,'Native PMKS'!$C$6:$C$366,'Native PMKS'!$N$6:$N$366,,-1)</f>
        <v>-35.294199999999996</v>
      </c>
      <c r="H134" s="6">
        <f>_xlfn.XLOOKUP(D134,'Native PMKS'!$C$6:$C$366,'Native PMKS'!$N$6:$N$366,,1)</f>
        <v>-36.6693</v>
      </c>
      <c r="I134" s="6">
        <f t="shared" ref="I134:I165" si="57">IF(E134=F134,G134,_xlfn.FORECAST.LINEAR(D134,G134:H134,E134:F134))</f>
        <v>-36.131628826313829</v>
      </c>
      <c r="J134" s="6">
        <f>INDEX('Raw Data'!$S$6:$S$1371,MATCH(A134,'Raw Data'!$A$6:$A$1371,0))</f>
        <v>43.159332275390597</v>
      </c>
      <c r="K134" s="6">
        <f t="shared" ref="K134:K165" si="58">J134*-1*PI()/180</f>
        <v>-0.75327245116782193</v>
      </c>
      <c r="L134" s="6">
        <f t="shared" ref="L134:L140" si="59">I134*PI()/180</f>
        <v>-0.63061588712767069</v>
      </c>
      <c r="M134" s="6">
        <f t="shared" ref="M134:M165" si="60">K134-L134</f>
        <v>-0.12265656404015124</v>
      </c>
      <c r="N134" s="6">
        <f t="shared" ref="N134:N165" si="61">M134^2</f>
        <v>1.5044632702135722E-2</v>
      </c>
      <c r="O134" s="6">
        <f>_xlfn.XLOOKUP(D134,'Instructor 360'!$B$6:$B$365,'Instructor 360'!$B$6:$B$365,,-1)</f>
        <v>2766.0167130919222</v>
      </c>
      <c r="P134" s="6">
        <f>_xlfn.XLOOKUP(D134,'Instructor 360'!$B$6:$B$365,'Instructor 360'!$B$6:$B$365,,1)</f>
        <v>2774.3732590529248</v>
      </c>
      <c r="Q134" s="6">
        <f>_xlfn.XLOOKUP(D134,'Instructor 360'!$B$6:$B$365,'Instructor 360'!$F$6:$F$365,,-1)</f>
        <v>-35.182480779944264</v>
      </c>
      <c r="R134" s="6">
        <f>_xlfn.XLOOKUP(D134,'Instructor 360'!$B$6:$B$365,'Instructor 360'!$F$6:$F$365,,1)</f>
        <v>-36.56588022284123</v>
      </c>
      <c r="S134" s="6">
        <f t="shared" ref="S134:S165" si="62">IF(O134=P134,Q134,_xlfn.FORECAST.LINEAR(D134,Q134:R134,O134:P134))</f>
        <v>-36.130221427779986</v>
      </c>
      <c r="T134" s="6">
        <f t="shared" ref="T134:T165" si="63">S134*PI()/180</f>
        <v>-0.63059132338936741</v>
      </c>
      <c r="U134" s="6">
        <f t="shared" ref="U134:U165" si="64">K134-T134</f>
        <v>-0.12268112777845452</v>
      </c>
      <c r="V134" s="6"/>
      <c r="W134" s="6">
        <f t="shared" ref="W134:W140" si="65">U134^2</f>
        <v>1.5050659112993487E-2</v>
      </c>
      <c r="AA134">
        <f t="shared" ref="AA134:AA140" si="66">C134</f>
        <v>2777</v>
      </c>
      <c r="AB134">
        <f t="shared" ref="AB134:AB140" si="67">K134</f>
        <v>-0.75327245116782193</v>
      </c>
      <c r="AC134">
        <f t="shared" ref="AC134:AC140" si="68">T134</f>
        <v>-0.63059132338936741</v>
      </c>
    </row>
    <row r="135" spans="1:29" ht="18.95" customHeight="1">
      <c r="A135" s="4">
        <f t="shared" ref="A135:A140" si="69">A134+1</f>
        <v>823</v>
      </c>
      <c r="B135" s="6">
        <f>INDEX('Raw Data'!$B$6:$B$1371,MATCH(A135,'Raw Data'!$A$6:$A$1371,0))</f>
        <v>17673</v>
      </c>
      <c r="C135" s="6">
        <f t="shared" si="56"/>
        <v>2798</v>
      </c>
      <c r="D135" s="6">
        <f>MOD(C135+Summary!$B$20,Summary!$B$11)</f>
        <v>2792.7416237989592</v>
      </c>
      <c r="E135" s="6">
        <f>_xlfn.XLOOKUP(D135,'Native PMKS'!$C$6:$C$366,'Native PMKS'!$C$6:$C$366,,-1)</f>
        <v>2791.666666666667</v>
      </c>
      <c r="F135" s="6">
        <f>_xlfn.XLOOKUP(D135,'Native PMKS'!$C$6:$C$366,'Native PMKS'!$C$6:$C$366,,1)</f>
        <v>2800</v>
      </c>
      <c r="G135" s="6">
        <f>_xlfn.XLOOKUP(D135,'Native PMKS'!$C$6:$C$366,'Native PMKS'!$N$6:$N$366,,-1)</f>
        <v>-39.362200000000001</v>
      </c>
      <c r="H135" s="6">
        <f>_xlfn.XLOOKUP(D135,'Native PMKS'!$C$6:$C$366,'Native PMKS'!$N$6:$N$366,,1)</f>
        <v>-40.622700000000002</v>
      </c>
      <c r="I135" s="6">
        <f t="shared" si="57"/>
        <v>-39.524798015830527</v>
      </c>
      <c r="J135" s="6">
        <f>INDEX('Raw Data'!$S$6:$S$1371,MATCH(A135,'Raw Data'!$A$6:$A$1371,0))</f>
        <v>45.785285949707003</v>
      </c>
      <c r="K135" s="6">
        <f t="shared" si="58"/>
        <v>-0.79910398878948596</v>
      </c>
      <c r="L135" s="6">
        <f t="shared" si="59"/>
        <v>-0.68983786156196458</v>
      </c>
      <c r="M135" s="6">
        <f t="shared" si="60"/>
        <v>-0.10926612722752138</v>
      </c>
      <c r="N135" s="6">
        <f t="shared" si="61"/>
        <v>1.193908655930089E-2</v>
      </c>
      <c r="O135" s="6">
        <f>_xlfn.XLOOKUP(D135,'Instructor 360'!$B$6:$B$365,'Instructor 360'!$B$6:$B$365,,-1)</f>
        <v>2791.0863509749302</v>
      </c>
      <c r="P135" s="6">
        <f>_xlfn.XLOOKUP(D135,'Instructor 360'!$B$6:$B$365,'Instructor 360'!$B$6:$B$365,,1)</f>
        <v>2799.4428969359333</v>
      </c>
      <c r="Q135" s="6">
        <f>_xlfn.XLOOKUP(D135,'Instructor 360'!$B$6:$B$365,'Instructor 360'!$F$6:$F$365,,-1)</f>
        <v>-39.266440947075125</v>
      </c>
      <c r="R135" s="6">
        <f>_xlfn.XLOOKUP(D135,'Instructor 360'!$B$6:$B$365,'Instructor 360'!$F$6:$F$365,,1)</f>
        <v>-40.538432590529268</v>
      </c>
      <c r="S135" s="6">
        <f t="shared" si="62"/>
        <v>-39.51839829998471</v>
      </c>
      <c r="T135" s="6">
        <f t="shared" si="63"/>
        <v>-0.68972616544926291</v>
      </c>
      <c r="U135" s="6">
        <f t="shared" si="64"/>
        <v>-0.10937782334022306</v>
      </c>
      <c r="V135" s="6"/>
      <c r="W135" s="6">
        <f t="shared" si="65"/>
        <v>1.1963508238645044E-2</v>
      </c>
      <c r="AA135">
        <f t="shared" si="66"/>
        <v>2798</v>
      </c>
      <c r="AB135">
        <f t="shared" si="67"/>
        <v>-0.79910398878948596</v>
      </c>
      <c r="AC135">
        <f t="shared" si="68"/>
        <v>-0.68972616544926291</v>
      </c>
    </row>
    <row r="136" spans="1:29" ht="18.95" customHeight="1">
      <c r="A136" s="4">
        <f t="shared" si="69"/>
        <v>824</v>
      </c>
      <c r="B136" s="6">
        <f>INDEX('Raw Data'!$B$6:$B$1371,MATCH(A136,'Raw Data'!$A$6:$A$1371,0))</f>
        <v>17693</v>
      </c>
      <c r="C136" s="6">
        <f t="shared" si="56"/>
        <v>2818</v>
      </c>
      <c r="D136" s="6">
        <f>MOD(C136+Summary!$B$20,Summary!$B$11)</f>
        <v>2812.7416237989592</v>
      </c>
      <c r="E136" s="6">
        <f>_xlfn.XLOOKUP(D136,'Native PMKS'!$C$6:$C$366,'Native PMKS'!$C$6:$C$366,,-1)</f>
        <v>2808.3333333333335</v>
      </c>
      <c r="F136" s="6">
        <f>_xlfn.XLOOKUP(D136,'Native PMKS'!$C$6:$C$366,'Native PMKS'!$C$6:$C$366,,1)</f>
        <v>2816.666666666667</v>
      </c>
      <c r="G136" s="6">
        <f>_xlfn.XLOOKUP(D136,'Native PMKS'!$C$6:$C$366,'Native PMKS'!$N$6:$N$366,,-1)</f>
        <v>-41.9405</v>
      </c>
      <c r="H136" s="6">
        <f>_xlfn.XLOOKUP(D136,'Native PMKS'!$C$6:$C$366,'Native PMKS'!$N$6:$N$366,,1)</f>
        <v>-43.201000000000001</v>
      </c>
      <c r="I136" s="6">
        <f t="shared" si="57"/>
        <v>-42.607298015830565</v>
      </c>
      <c r="J136" s="6">
        <f>INDEX('Raw Data'!$S$6:$S$1371,MATCH(A136,'Raw Data'!$A$6:$A$1371,0))</f>
        <v>48.457038879394503</v>
      </c>
      <c r="K136" s="6">
        <f t="shared" si="58"/>
        <v>-0.84573487421233751</v>
      </c>
      <c r="L136" s="6">
        <f t="shared" si="59"/>
        <v>-0.74363763575469033</v>
      </c>
      <c r="M136" s="6">
        <f t="shared" si="60"/>
        <v>-0.10209723845764718</v>
      </c>
      <c r="N136" s="6">
        <f t="shared" si="61"/>
        <v>1.042384610067767E-2</v>
      </c>
      <c r="O136" s="6">
        <f>_xlfn.XLOOKUP(D136,'Instructor 360'!$B$6:$B$365,'Instructor 360'!$B$6:$B$365,,-1)</f>
        <v>2807.7994428969359</v>
      </c>
      <c r="P136" s="6">
        <f>_xlfn.XLOOKUP(D136,'Instructor 360'!$B$6:$B$365,'Instructor 360'!$B$6:$B$365,,1)</f>
        <v>2816.1559888579386</v>
      </c>
      <c r="Q136" s="6">
        <f>_xlfn.XLOOKUP(D136,'Instructor 360'!$B$6:$B$365,'Instructor 360'!$F$6:$F$365,,-1)</f>
        <v>-41.856072701949842</v>
      </c>
      <c r="R136" s="6">
        <f>_xlfn.XLOOKUP(D136,'Instructor 360'!$B$6:$B$365,'Instructor 360'!$F$6:$F$365,,1)</f>
        <v>-43.123754874651752</v>
      </c>
      <c r="S136" s="6">
        <f t="shared" si="62"/>
        <v>-42.605798085260062</v>
      </c>
      <c r="T136" s="6">
        <f t="shared" si="63"/>
        <v>-0.74361145702768383</v>
      </c>
      <c r="U136" s="6">
        <f t="shared" si="64"/>
        <v>-0.10212341718465368</v>
      </c>
      <c r="V136" s="6"/>
      <c r="W136" s="6">
        <f t="shared" si="65"/>
        <v>1.0429192337470817E-2</v>
      </c>
      <c r="AA136">
        <f t="shared" si="66"/>
        <v>2818</v>
      </c>
      <c r="AB136">
        <f t="shared" si="67"/>
        <v>-0.84573487421233751</v>
      </c>
      <c r="AC136">
        <f t="shared" si="68"/>
        <v>-0.74361145702768383</v>
      </c>
    </row>
    <row r="137" spans="1:29" ht="18.95" customHeight="1">
      <c r="A137" s="4">
        <f t="shared" si="69"/>
        <v>825</v>
      </c>
      <c r="B137" s="6">
        <f>INDEX('Raw Data'!$B$6:$B$1371,MATCH(A137,'Raw Data'!$A$6:$A$1371,0))</f>
        <v>17714</v>
      </c>
      <c r="C137" s="6">
        <f t="shared" si="56"/>
        <v>2839</v>
      </c>
      <c r="D137" s="6">
        <f>MOD(C137+Summary!$B$20,Summary!$B$11)</f>
        <v>2833.7416237989592</v>
      </c>
      <c r="E137" s="6">
        <f>_xlfn.XLOOKUP(D137,'Native PMKS'!$C$6:$C$366,'Native PMKS'!$C$6:$C$366,,-1)</f>
        <v>2833.3333333333335</v>
      </c>
      <c r="F137" s="6">
        <f>_xlfn.XLOOKUP(D137,'Native PMKS'!$C$6:$C$366,'Native PMKS'!$C$6:$C$366,,1)</f>
        <v>2841.666666666667</v>
      </c>
      <c r="G137" s="6">
        <f>_xlfn.XLOOKUP(D137,'Native PMKS'!$C$6:$C$366,'Native PMKS'!$N$6:$N$366,,-1)</f>
        <v>-45.607399999999998</v>
      </c>
      <c r="H137" s="6">
        <f>_xlfn.XLOOKUP(D137,'Native PMKS'!$C$6:$C$366,'Native PMKS'!$N$6:$N$366,,1)</f>
        <v>-46.753399999999999</v>
      </c>
      <c r="I137" s="6">
        <f t="shared" si="57"/>
        <v>-45.663548104832898</v>
      </c>
      <c r="J137" s="6">
        <f>INDEX('Raw Data'!$S$6:$S$1371,MATCH(A137,'Raw Data'!$A$6:$A$1371,0))</f>
        <v>52.044822692871101</v>
      </c>
      <c r="K137" s="6">
        <f t="shared" si="58"/>
        <v>-0.90835351460726221</v>
      </c>
      <c r="L137" s="6">
        <f t="shared" si="59"/>
        <v>-0.7969792625721509</v>
      </c>
      <c r="M137" s="6">
        <f t="shared" si="60"/>
        <v>-0.11137425203511131</v>
      </c>
      <c r="N137" s="6">
        <f t="shared" si="61"/>
        <v>1.2404224016380496E-2</v>
      </c>
      <c r="O137" s="6">
        <f>_xlfn.XLOOKUP(D137,'Instructor 360'!$B$6:$B$365,'Instructor 360'!$B$6:$B$365,,-1)</f>
        <v>2832.8690807799444</v>
      </c>
      <c r="P137" s="6">
        <f>_xlfn.XLOOKUP(D137,'Instructor 360'!$B$6:$B$365,'Instructor 360'!$B$6:$B$365,,1)</f>
        <v>2841.2256267409471</v>
      </c>
      <c r="Q137" s="6">
        <f>_xlfn.XLOOKUP(D137,'Instructor 360'!$B$6:$B$365,'Instructor 360'!$F$6:$F$365,,-1)</f>
        <v>-45.540369359331471</v>
      </c>
      <c r="R137" s="6">
        <f>_xlfn.XLOOKUP(D137,'Instructor 360'!$B$6:$B$365,'Instructor 360'!$F$6:$F$365,,1)</f>
        <v>-46.692748189414999</v>
      </c>
      <c r="S137" s="6">
        <f t="shared" si="62"/>
        <v>-45.660694205044308</v>
      </c>
      <c r="T137" s="6">
        <f t="shared" si="63"/>
        <v>-0.79692945262431791</v>
      </c>
      <c r="U137" s="6">
        <f t="shared" si="64"/>
        <v>-0.1114240619829443</v>
      </c>
      <c r="V137" s="6"/>
      <c r="W137" s="6">
        <f t="shared" si="65"/>
        <v>1.2415321588779013E-2</v>
      </c>
      <c r="AA137">
        <f t="shared" si="66"/>
        <v>2839</v>
      </c>
      <c r="AB137">
        <f t="shared" si="67"/>
        <v>-0.90835351460726221</v>
      </c>
      <c r="AC137">
        <f t="shared" si="68"/>
        <v>-0.79692945262431791</v>
      </c>
    </row>
    <row r="138" spans="1:29" ht="18.95" customHeight="1">
      <c r="A138" s="4">
        <f t="shared" si="69"/>
        <v>826</v>
      </c>
      <c r="B138" s="6">
        <f>INDEX('Raw Data'!$B$6:$B$1371,MATCH(A138,'Raw Data'!$A$6:$A$1371,0))</f>
        <v>17734</v>
      </c>
      <c r="C138" s="6">
        <f t="shared" si="56"/>
        <v>2859</v>
      </c>
      <c r="D138" s="6">
        <f>MOD(C138+Summary!$B$20,Summary!$B$11)</f>
        <v>2853.7416237989592</v>
      </c>
      <c r="E138" s="6">
        <f>_xlfn.XLOOKUP(D138,'Native PMKS'!$C$6:$C$366,'Native PMKS'!$C$6:$C$366,,-1)</f>
        <v>2850</v>
      </c>
      <c r="F138" s="6">
        <f>_xlfn.XLOOKUP(D138,'Native PMKS'!$C$6:$C$366,'Native PMKS'!$C$6:$C$366,,1)</f>
        <v>2858.3333333333335</v>
      </c>
      <c r="G138" s="6">
        <f>_xlfn.XLOOKUP(D138,'Native PMKS'!$C$6:$C$366,'Native PMKS'!$N$6:$N$366,,-1)</f>
        <v>-47.899299999999997</v>
      </c>
      <c r="H138" s="6">
        <f>_xlfn.XLOOKUP(D138,'Native PMKS'!$C$6:$C$366,'Native PMKS'!$N$6:$N$366,,1)</f>
        <v>-48.930599999999998</v>
      </c>
      <c r="I138" s="6">
        <f t="shared" si="57"/>
        <v>-48.362348394863943</v>
      </c>
      <c r="J138" s="6">
        <f>INDEX('Raw Data'!$S$6:$S$1371,MATCH(A138,'Raw Data'!$A$6:$A$1371,0))</f>
        <v>54.594444274902301</v>
      </c>
      <c r="K138" s="6">
        <f t="shared" si="58"/>
        <v>-0.95285280589361332</v>
      </c>
      <c r="L138" s="6">
        <f t="shared" si="59"/>
        <v>-0.84408221348697055</v>
      </c>
      <c r="M138" s="6">
        <f t="shared" si="60"/>
        <v>-0.10877059240664277</v>
      </c>
      <c r="N138" s="6">
        <f t="shared" si="61"/>
        <v>1.1831041772492015E-2</v>
      </c>
      <c r="O138" s="6">
        <f>_xlfn.XLOOKUP(D138,'Instructor 360'!$B$6:$B$365,'Instructor 360'!$B$6:$B$365,,-1)</f>
        <v>2849.5821727019497</v>
      </c>
      <c r="P138" s="6">
        <f>_xlfn.XLOOKUP(D138,'Instructor 360'!$B$6:$B$365,'Instructor 360'!$B$6:$B$365,,1)</f>
        <v>2857.9387186629529</v>
      </c>
      <c r="Q138" s="6">
        <f>_xlfn.XLOOKUP(D138,'Instructor 360'!$B$6:$B$365,'Instructor 360'!$F$6:$F$365,,-1)</f>
        <v>-47.841845403899697</v>
      </c>
      <c r="R138" s="6">
        <f>_xlfn.XLOOKUP(D138,'Instructor 360'!$B$6:$B$365,'Instructor 360'!$F$6:$F$365,,1)</f>
        <v>-48.881764066852377</v>
      </c>
      <c r="S138" s="6">
        <f t="shared" si="62"/>
        <v>-48.359462472435553</v>
      </c>
      <c r="T138" s="6">
        <f t="shared" si="63"/>
        <v>-0.8440318446386379</v>
      </c>
      <c r="U138" s="6">
        <f t="shared" si="64"/>
        <v>-0.10882096125497542</v>
      </c>
      <c r="V138" s="6"/>
      <c r="W138" s="6">
        <f t="shared" si="65"/>
        <v>1.1842001608456863E-2</v>
      </c>
      <c r="AA138">
        <f t="shared" si="66"/>
        <v>2859</v>
      </c>
      <c r="AB138">
        <f t="shared" si="67"/>
        <v>-0.95285280589361332</v>
      </c>
      <c r="AC138">
        <f t="shared" si="68"/>
        <v>-0.8440318446386379</v>
      </c>
    </row>
    <row r="139" spans="1:29" ht="18.95" customHeight="1">
      <c r="A139" s="4">
        <f t="shared" si="69"/>
        <v>827</v>
      </c>
      <c r="B139" s="6">
        <f>INDEX('Raw Data'!$B$6:$B$1371,MATCH(A139,'Raw Data'!$A$6:$A$1371,0))</f>
        <v>17756</v>
      </c>
      <c r="C139" s="6">
        <f t="shared" si="56"/>
        <v>2881</v>
      </c>
      <c r="D139" s="6">
        <f>MOD(C139+Summary!$B$20,Summary!$B$11)</f>
        <v>2875.7416237989592</v>
      </c>
      <c r="E139" s="6">
        <f>_xlfn.XLOOKUP(D139,'Native PMKS'!$C$6:$C$366,'Native PMKS'!$C$6:$C$366,,-1)</f>
        <v>2875</v>
      </c>
      <c r="F139" s="6">
        <f>_xlfn.XLOOKUP(D139,'Native PMKS'!$C$6:$C$366,'Native PMKS'!$C$6:$C$366,,1)</f>
        <v>2883.3333333333335</v>
      </c>
      <c r="G139" s="6">
        <f>_xlfn.XLOOKUP(D139,'Native PMKS'!$C$6:$C$366,'Native PMKS'!$N$6:$N$366,,-1)</f>
        <v>-50.993200000000002</v>
      </c>
      <c r="H139" s="6">
        <f>_xlfn.XLOOKUP(D139,'Native PMKS'!$C$6:$C$366,'Native PMKS'!$N$6:$N$366,,1)</f>
        <v>-51.91</v>
      </c>
      <c r="I139" s="6">
        <f t="shared" si="57"/>
        <v>-51.074790483866252</v>
      </c>
      <c r="J139" s="6">
        <f>INDEX('Raw Data'!$S$6:$S$1371,MATCH(A139,'Raw Data'!$A$6:$A$1371,0))</f>
        <v>57.846351623535199</v>
      </c>
      <c r="K139" s="6">
        <f t="shared" si="58"/>
        <v>-1.0096092960970566</v>
      </c>
      <c r="L139" s="6">
        <f t="shared" si="59"/>
        <v>-0.89142325870973393</v>
      </c>
      <c r="M139" s="6">
        <f t="shared" si="60"/>
        <v>-0.1181860373873227</v>
      </c>
      <c r="N139" s="6">
        <f t="shared" si="61"/>
        <v>1.3967939433317637E-2</v>
      </c>
      <c r="O139" s="6">
        <f>_xlfn.XLOOKUP(D139,'Instructor 360'!$B$6:$B$365,'Instructor 360'!$B$6:$B$365,,-1)</f>
        <v>2874.6518105849582</v>
      </c>
      <c r="P139" s="6">
        <f>_xlfn.XLOOKUP(D139,'Instructor 360'!$B$6:$B$365,'Instructor 360'!$B$6:$B$365,,1)</f>
        <v>2883.0083565459609</v>
      </c>
      <c r="Q139" s="6">
        <f>_xlfn.XLOOKUP(D139,'Instructor 360'!$B$6:$B$365,'Instructor 360'!$F$6:$F$365,,-1)</f>
        <v>-50.950109470752082</v>
      </c>
      <c r="R139" s="6">
        <f>_xlfn.XLOOKUP(D139,'Instructor 360'!$B$6:$B$365,'Instructor 360'!$F$6:$F$365,,1)</f>
        <v>-51.87424735376041</v>
      </c>
      <c r="S139" s="6">
        <f t="shared" si="62"/>
        <v>-51.070630279368629</v>
      </c>
      <c r="T139" s="6">
        <f t="shared" si="63"/>
        <v>-0.89135064944369402</v>
      </c>
      <c r="U139" s="6">
        <f t="shared" si="64"/>
        <v>-0.11825864665336261</v>
      </c>
      <c r="V139" s="6"/>
      <c r="W139" s="6">
        <f t="shared" si="65"/>
        <v>1.3985107508284871E-2</v>
      </c>
      <c r="AA139">
        <f t="shared" si="66"/>
        <v>2881</v>
      </c>
      <c r="AB139">
        <f t="shared" si="67"/>
        <v>-1.0096092960970566</v>
      </c>
      <c r="AC139">
        <f t="shared" si="68"/>
        <v>-0.89135064944369402</v>
      </c>
    </row>
    <row r="140" spans="1:29" ht="18.95" customHeight="1">
      <c r="A140" s="4">
        <f t="shared" si="69"/>
        <v>828</v>
      </c>
      <c r="B140" s="6">
        <f>INDEX('Raw Data'!$B$6:$B$1371,MATCH(A140,'Raw Data'!$A$6:$A$1371,0))</f>
        <v>17778</v>
      </c>
      <c r="C140" s="6">
        <f t="shared" si="56"/>
        <v>2903</v>
      </c>
      <c r="D140" s="6">
        <f>MOD(C140+Summary!$B$20,Summary!$B$11)</f>
        <v>2897.7416237989592</v>
      </c>
      <c r="E140" s="6">
        <f>_xlfn.XLOOKUP(D140,'Native PMKS'!$C$6:$C$366,'Native PMKS'!$C$6:$C$366,,-1)</f>
        <v>2891.666666666667</v>
      </c>
      <c r="F140" s="6">
        <f>_xlfn.XLOOKUP(D140,'Native PMKS'!$C$6:$C$366,'Native PMKS'!$C$6:$C$366,,1)</f>
        <v>2900</v>
      </c>
      <c r="G140" s="6">
        <f>_xlfn.XLOOKUP(D140,'Native PMKS'!$C$6:$C$366,'Native PMKS'!$N$6:$N$366,,-1)</f>
        <v>-52.826700000000002</v>
      </c>
      <c r="H140" s="6">
        <f>_xlfn.XLOOKUP(D140,'Native PMKS'!$C$6:$C$366,'Native PMKS'!$N$6:$N$366,,1)</f>
        <v>-53.686100000000003</v>
      </c>
      <c r="I140" s="6">
        <f t="shared" si="57"/>
        <v>-53.453198179139008</v>
      </c>
      <c r="J140" s="6">
        <f>INDEX('Raw Data'!$S$6:$S$1371,MATCH(A140,'Raw Data'!$A$6:$A$1371,0))</f>
        <v>59.541007995605497</v>
      </c>
      <c r="K140" s="6">
        <f t="shared" si="58"/>
        <v>-1.0391866294795853</v>
      </c>
      <c r="L140" s="6">
        <f t="shared" si="59"/>
        <v>-0.93293430394701338</v>
      </c>
      <c r="M140" s="6">
        <f t="shared" si="60"/>
        <v>-0.10625232553257191</v>
      </c>
      <c r="N140" s="6">
        <f t="shared" si="61"/>
        <v>1.1289556681079633E-2</v>
      </c>
      <c r="O140" s="6">
        <f>_xlfn.XLOOKUP(D140,'Instructor 360'!$B$6:$B$365,'Instructor 360'!$B$6:$B$365,,-1)</f>
        <v>2891.364902506964</v>
      </c>
      <c r="P140" s="6">
        <f>_xlfn.XLOOKUP(D140,'Instructor 360'!$B$6:$B$365,'Instructor 360'!$B$6:$B$365,,1)</f>
        <v>2899.7214484679666</v>
      </c>
      <c r="Q140" s="6">
        <f>_xlfn.XLOOKUP(D140,'Instructor 360'!$B$6:$B$365,'Instructor 360'!$F$6:$F$365,,-1)</f>
        <v>-52.793504735376032</v>
      </c>
      <c r="R140" s="6">
        <f>_xlfn.XLOOKUP(D140,'Instructor 360'!$B$6:$B$365,'Instructor 360'!$F$6:$F$365,,1)</f>
        <v>-53.657373537604464</v>
      </c>
      <c r="S140" s="6">
        <f t="shared" si="62"/>
        <v>-53.452706588673777</v>
      </c>
      <c r="T140" s="6">
        <f t="shared" si="63"/>
        <v>-0.93292572407482366</v>
      </c>
      <c r="U140" s="6">
        <f t="shared" si="64"/>
        <v>-0.10626090540476163</v>
      </c>
      <c r="V140" s="6"/>
      <c r="W140" s="6">
        <f t="shared" si="65"/>
        <v>1.1291380017439699E-2</v>
      </c>
      <c r="AA140">
        <f t="shared" si="66"/>
        <v>2903</v>
      </c>
      <c r="AB140">
        <f t="shared" si="67"/>
        <v>-1.0391866294795853</v>
      </c>
      <c r="AC140">
        <f t="shared" si="68"/>
        <v>-0.93292572407482366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4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3" width="16" customWidth="1"/>
  </cols>
  <sheetData>
    <row r="1" spans="1:33" ht="18.95" customHeight="1">
      <c r="A1" s="2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33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33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33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33" ht="48" customHeight="1">
      <c r="A5" s="3" t="s">
        <v>27</v>
      </c>
      <c r="B5" s="3" t="s">
        <v>96</v>
      </c>
      <c r="C5" s="3" t="s">
        <v>28</v>
      </c>
      <c r="D5" s="3" t="s">
        <v>97</v>
      </c>
      <c r="E5" s="3" t="s">
        <v>98</v>
      </c>
      <c r="F5" s="3" t="s">
        <v>99</v>
      </c>
      <c r="G5" s="3" t="s">
        <v>100</v>
      </c>
      <c r="H5" s="3" t="s">
        <v>101</v>
      </c>
      <c r="I5" s="3" t="s">
        <v>102</v>
      </c>
      <c r="J5" s="3" t="s">
        <v>103</v>
      </c>
      <c r="K5" s="3" t="s">
        <v>104</v>
      </c>
      <c r="L5" s="3" t="s">
        <v>105</v>
      </c>
      <c r="M5" s="3" t="s">
        <v>106</v>
      </c>
      <c r="N5" s="3" t="s">
        <v>107</v>
      </c>
      <c r="O5" s="3" t="s">
        <v>108</v>
      </c>
      <c r="P5" s="3" t="s">
        <v>109</v>
      </c>
      <c r="Q5" s="3" t="s">
        <v>110</v>
      </c>
      <c r="R5" s="3" t="s">
        <v>111</v>
      </c>
      <c r="S5" s="3" t="s">
        <v>112</v>
      </c>
      <c r="T5" s="3" t="s">
        <v>113</v>
      </c>
      <c r="U5" s="3" t="s">
        <v>114</v>
      </c>
      <c r="V5" s="3"/>
      <c r="W5" s="3" t="s">
        <v>115</v>
      </c>
      <c r="AA5" t="s">
        <v>28</v>
      </c>
      <c r="AB5" t="s">
        <v>116</v>
      </c>
      <c r="AC5" t="s">
        <v>117</v>
      </c>
      <c r="AE5" t="s">
        <v>28</v>
      </c>
      <c r="AF5" t="s">
        <v>118</v>
      </c>
      <c r="AG5" t="s">
        <v>117</v>
      </c>
    </row>
    <row r="6" spans="1:33" ht="18.95" customHeight="1">
      <c r="A6" s="4">
        <f>Summary!B21</f>
        <v>694</v>
      </c>
      <c r="B6" s="6">
        <f>INDEX('Raw Data'!$B$6:$B$1371,MATCH(A6,'Raw Data'!$A$6:$A$1371,0))</f>
        <v>14875</v>
      </c>
      <c r="C6" s="6">
        <f t="shared" ref="C6:C37" si="0">B6-$B$6</f>
        <v>0</v>
      </c>
      <c r="D6" s="6">
        <f>MOD(C6+Summary!$B$20,Summary!$B$11)</f>
        <v>2994.7416237989592</v>
      </c>
      <c r="E6" s="6">
        <f>_xlfn.XLOOKUP(D6,'Native PMKS'!$C$6:$C$366,'Native PMKS'!$C$6:$C$366,,-1)</f>
        <v>2991.666666666667</v>
      </c>
      <c r="F6" s="6">
        <f>_xlfn.XLOOKUP(D6,'Native PMKS'!$C$6:$C$366,'Native PMKS'!$C$6:$C$366,,1)</f>
        <v>3000</v>
      </c>
      <c r="G6" s="6">
        <f>_xlfn.XLOOKUP(D6,'Native PMKS'!$C$6:$C$366,'Native PMKS'!$O$6:$O$366,,-1)</f>
        <v>-61.134599999999999</v>
      </c>
      <c r="H6" s="6">
        <f>_xlfn.XLOOKUP(D6,'Native PMKS'!$C$6:$C$366,'Native PMKS'!$O$6:$O$366,,1)</f>
        <v>-59.759500000000003</v>
      </c>
      <c r="I6" s="6">
        <f t="shared" ref="I6:I37" si="1">IF(E6=F6,G6,_xlfn.FORECAST.LINEAR(D6,G6:H6,E6:F6))</f>
        <v>-60.627195173686175</v>
      </c>
      <c r="J6" s="6">
        <f>INDEX('Raw Data'!$L$6:$L$1371,MATCH(A6,'Raw Data'!$A$6:$A$1371,0))</f>
        <v>-73.75</v>
      </c>
      <c r="K6" s="6">
        <f t="shared" ref="K6:K37" si="2">J6*1*PI()/180</f>
        <v>-1.2871803233458181</v>
      </c>
      <c r="L6" s="6">
        <f t="shared" ref="L6:L37" si="3">I6*PI()/180</f>
        <v>-1.0581441720300391</v>
      </c>
      <c r="M6" s="6">
        <f t="shared" ref="M6:M37" si="4">K6-L6</f>
        <v>-0.22903615131577904</v>
      </c>
      <c r="N6" s="6">
        <f t="shared" ref="N6:N37" si="5">M6^2</f>
        <v>5.245755860954443E-2</v>
      </c>
      <c r="O6" s="6">
        <f>_xlfn.XLOOKUP(D6,'Instructor 360'!$B$6:$B$365,'Instructor 360'!$B$6:$B$365,,-1)</f>
        <v>2991.6434540389973</v>
      </c>
      <c r="P6" s="6">
        <f>_xlfn.XLOOKUP(D6,'Instructor 360'!$B$6:$B$365,'Instructor 360'!$B$6:$B$365,,1)</f>
        <v>3000</v>
      </c>
      <c r="Q6" s="6">
        <f>_xlfn.XLOOKUP(D6,'Instructor 360'!$B$6:$B$365,'Instructor 360'!$G$6:$G$365,,-1)</f>
        <v>-61.138270752089163</v>
      </c>
      <c r="R6" s="6">
        <f>_xlfn.XLOOKUP(D6,'Instructor 360'!$B$6:$B$365,'Instructor 360'!$G$6:$G$365,,1)</f>
        <v>-59.759500000000003</v>
      </c>
      <c r="S6" s="6">
        <f t="shared" ref="S6:S37" si="6">IF(O6=P6,Q6,_xlfn.FORECAST.LINEAR(D6,Q6:R6,O6:P6))</f>
        <v>-60.627094738700748</v>
      </c>
      <c r="T6" s="6">
        <f t="shared" ref="T6:T37" si="7">S6*PI()/180</f>
        <v>-1.0581424191088593</v>
      </c>
      <c r="U6" s="6">
        <f t="shared" ref="U6:U37" si="8">K6-T6</f>
        <v>-0.2290379042369588</v>
      </c>
      <c r="V6" s="6"/>
      <c r="W6" s="6">
        <f t="shared" ref="W6:W37" si="9">U6^2</f>
        <v>5.2458361577258313E-2</v>
      </c>
      <c r="AA6">
        <f t="shared" ref="AA6:AA37" si="10">C6</f>
        <v>0</v>
      </c>
      <c r="AB6">
        <f t="shared" ref="AB6:AB37" si="11">K6</f>
        <v>-1.2871803233458181</v>
      </c>
      <c r="AC6">
        <f t="shared" ref="AC6:AC37" si="12">T6</f>
        <v>-1.0581424191088593</v>
      </c>
      <c r="AE6">
        <f t="shared" ref="AE6:AE37" si="13">C6</f>
        <v>0</v>
      </c>
      <c r="AF6">
        <f t="shared" ref="AF6:AF37" si="14">K6*180/PI()</f>
        <v>-73.75</v>
      </c>
      <c r="AG6">
        <f t="shared" ref="AG6:AG37" si="15">T6*180/PI()</f>
        <v>-60.627094738700748</v>
      </c>
    </row>
    <row r="7" spans="1:33" ht="18.95" customHeight="1">
      <c r="A7" s="4">
        <f t="shared" ref="A7:A38" si="16">A6+1</f>
        <v>695</v>
      </c>
      <c r="B7" s="6">
        <f>INDEX('Raw Data'!$B$6:$B$1371,MATCH(A7,'Raw Data'!$A$6:$A$1371,0))</f>
        <v>14896</v>
      </c>
      <c r="C7" s="6">
        <f t="shared" si="0"/>
        <v>21</v>
      </c>
      <c r="D7" s="6">
        <f>MOD(C7+Summary!$B$20,Summary!$B$11)</f>
        <v>15.741623798959154</v>
      </c>
      <c r="E7" s="6">
        <f>_xlfn.XLOOKUP(D7,'Native PMKS'!$C$6:$C$366,'Native PMKS'!$C$6:$C$366,,-1)</f>
        <v>8.3333333333333339</v>
      </c>
      <c r="F7" s="6">
        <f>_xlfn.XLOOKUP(D7,'Native PMKS'!$C$6:$C$366,'Native PMKS'!$C$6:$C$366,,1)</f>
        <v>16.666666666666668</v>
      </c>
      <c r="G7" s="6">
        <f>_xlfn.XLOOKUP(D7,'Native PMKS'!$C$6:$C$366,'Native PMKS'!$O$6:$O$366,,-1)</f>
        <v>-58.327100000000002</v>
      </c>
      <c r="H7" s="6">
        <f>_xlfn.XLOOKUP(D7,'Native PMKS'!$C$6:$C$366,'Native PMKS'!$O$6:$O$366,,1)</f>
        <v>-56.8947</v>
      </c>
      <c r="I7" s="6">
        <f t="shared" si="1"/>
        <v>-57.053703768444507</v>
      </c>
      <c r="J7" s="6">
        <f>INDEX('Raw Data'!$L$6:$L$1371,MATCH(A7,'Raw Data'!$A$6:$A$1371,0))</f>
        <v>-69.75</v>
      </c>
      <c r="K7" s="6">
        <f t="shared" si="2"/>
        <v>-1.2173671532660448</v>
      </c>
      <c r="L7" s="6">
        <f t="shared" si="3"/>
        <v>-0.99577498121685315</v>
      </c>
      <c r="M7" s="6">
        <f t="shared" si="4"/>
        <v>-0.22159217204919168</v>
      </c>
      <c r="N7" s="6">
        <f t="shared" si="5"/>
        <v>4.910309071347857E-2</v>
      </c>
      <c r="O7" s="6">
        <f>_xlfn.XLOOKUP(D7,'Instructor 360'!$B$6:$B$365,'Instructor 360'!$B$6:$B$365,,-1)</f>
        <v>8.3565459610027855</v>
      </c>
      <c r="P7" s="6">
        <f>_xlfn.XLOOKUP(D7,'Instructor 360'!$B$6:$B$365,'Instructor 360'!$B$6:$B$365,,1)</f>
        <v>16.713091922005571</v>
      </c>
      <c r="Q7" s="6">
        <f>_xlfn.XLOOKUP(D7,'Instructor 360'!$B$6:$B$365,'Instructor 360'!$G$6:$G$365,,-1)</f>
        <v>-58.323110027855158</v>
      </c>
      <c r="R7" s="6">
        <f>_xlfn.XLOOKUP(D7,'Instructor 360'!$B$6:$B$365,'Instructor 360'!$G$6:$G$365,,1)</f>
        <v>-56.886081615598883</v>
      </c>
      <c r="S7" s="6">
        <f t="shared" si="6"/>
        <v>-57.05313954849769</v>
      </c>
      <c r="T7" s="6">
        <f t="shared" si="7"/>
        <v>-0.99576513372107567</v>
      </c>
      <c r="U7" s="6">
        <f t="shared" si="8"/>
        <v>-0.22160201954496916</v>
      </c>
      <c r="V7" s="6"/>
      <c r="W7" s="6">
        <f t="shared" si="9"/>
        <v>4.9107455066408894E-2</v>
      </c>
      <c r="AA7">
        <f t="shared" si="10"/>
        <v>21</v>
      </c>
      <c r="AB7">
        <f t="shared" si="11"/>
        <v>-1.2173671532660448</v>
      </c>
      <c r="AC7">
        <f t="shared" si="12"/>
        <v>-0.99576513372107567</v>
      </c>
      <c r="AE7">
        <f t="shared" si="13"/>
        <v>21</v>
      </c>
      <c r="AF7">
        <f t="shared" si="14"/>
        <v>-69.75</v>
      </c>
      <c r="AG7">
        <f t="shared" si="15"/>
        <v>-57.053139548497683</v>
      </c>
    </row>
    <row r="8" spans="1:33" ht="18.95" customHeight="1">
      <c r="A8" s="4">
        <f t="shared" si="16"/>
        <v>696</v>
      </c>
      <c r="B8" s="6">
        <f>INDEX('Raw Data'!$B$6:$B$1371,MATCH(A8,'Raw Data'!$A$6:$A$1371,0))</f>
        <v>14916</v>
      </c>
      <c r="C8" s="6">
        <f t="shared" si="0"/>
        <v>41</v>
      </c>
      <c r="D8" s="6">
        <f>MOD(C8+Summary!$B$20,Summary!$B$11)</f>
        <v>35.741623798959154</v>
      </c>
      <c r="E8" s="6">
        <f>_xlfn.XLOOKUP(D8,'Native PMKS'!$C$6:$C$366,'Native PMKS'!$C$6:$C$366,,-1)</f>
        <v>33.333333333333336</v>
      </c>
      <c r="F8" s="6">
        <f>_xlfn.XLOOKUP(D8,'Native PMKS'!$C$6:$C$366,'Native PMKS'!$C$6:$C$366,,1)</f>
        <v>41.666666666666671</v>
      </c>
      <c r="G8" s="6">
        <f>_xlfn.XLOOKUP(D8,'Native PMKS'!$C$6:$C$366,'Native PMKS'!$O$6:$O$366,,-1)</f>
        <v>-53.743400000000001</v>
      </c>
      <c r="H8" s="6">
        <f>_xlfn.XLOOKUP(D8,'Native PMKS'!$C$6:$C$366,'Native PMKS'!$O$6:$O$366,,1)</f>
        <v>-52.139200000000002</v>
      </c>
      <c r="I8" s="6">
        <f t="shared" si="1"/>
        <v>-53.279794452205167</v>
      </c>
      <c r="J8" s="6">
        <f>INDEX('Raw Data'!$L$6:$L$1371,MATCH(A8,'Raw Data'!$A$6:$A$1371,0))</f>
        <v>-68</v>
      </c>
      <c r="K8" s="6">
        <f t="shared" si="2"/>
        <v>-1.1868238913561442</v>
      </c>
      <c r="L8" s="6">
        <f t="shared" si="3"/>
        <v>-0.92990783797678866</v>
      </c>
      <c r="M8" s="6">
        <f t="shared" si="4"/>
        <v>-0.25691605337935552</v>
      </c>
      <c r="N8" s="6">
        <f t="shared" si="5"/>
        <v>6.6005858484023863E-2</v>
      </c>
      <c r="O8" s="6">
        <f>_xlfn.XLOOKUP(D8,'Instructor 360'!$B$6:$B$365,'Instructor 360'!$B$6:$B$365,,-1)</f>
        <v>33.426183844011142</v>
      </c>
      <c r="P8" s="6">
        <f>_xlfn.XLOOKUP(D8,'Instructor 360'!$B$6:$B$365,'Instructor 360'!$B$6:$B$365,,1)</f>
        <v>41.782729805013929</v>
      </c>
      <c r="Q8" s="6">
        <f>_xlfn.XLOOKUP(D8,'Instructor 360'!$B$6:$B$365,'Instructor 360'!$G$6:$G$365,,-1)</f>
        <v>-53.725525905292479</v>
      </c>
      <c r="R8" s="6">
        <f>_xlfn.XLOOKUP(D8,'Instructor 360'!$B$6:$B$365,'Instructor 360'!$G$6:$G$365,,1)</f>
        <v>-52.116057938718669</v>
      </c>
      <c r="S8" s="6">
        <f t="shared" si="6"/>
        <v>-53.279572941782817</v>
      </c>
      <c r="T8" s="6">
        <f t="shared" si="7"/>
        <v>-0.92990397189059115</v>
      </c>
      <c r="U8" s="6">
        <f t="shared" si="8"/>
        <v>-0.25691991946555304</v>
      </c>
      <c r="V8" s="6"/>
      <c r="W8" s="6">
        <f t="shared" si="9"/>
        <v>6.6007845018186254E-2</v>
      </c>
      <c r="AA8">
        <f t="shared" si="10"/>
        <v>41</v>
      </c>
      <c r="AB8">
        <f t="shared" si="11"/>
        <v>-1.1868238913561442</v>
      </c>
      <c r="AC8">
        <f t="shared" si="12"/>
        <v>-0.92990397189059115</v>
      </c>
      <c r="AE8">
        <f t="shared" si="13"/>
        <v>41</v>
      </c>
      <c r="AF8">
        <f t="shared" si="14"/>
        <v>-68</v>
      </c>
      <c r="AG8">
        <f t="shared" si="15"/>
        <v>-53.279572941782817</v>
      </c>
    </row>
    <row r="9" spans="1:33" ht="18.95" customHeight="1">
      <c r="A9" s="4">
        <f t="shared" si="16"/>
        <v>697</v>
      </c>
      <c r="B9" s="6">
        <f>INDEX('Raw Data'!$B$6:$B$1371,MATCH(A9,'Raw Data'!$A$6:$A$1371,0))</f>
        <v>14937</v>
      </c>
      <c r="C9" s="6">
        <f t="shared" si="0"/>
        <v>62</v>
      </c>
      <c r="D9" s="6">
        <f>MOD(C9+Summary!$B$20,Summary!$B$11)</f>
        <v>56.741623798959154</v>
      </c>
      <c r="E9" s="6">
        <f>_xlfn.XLOOKUP(D9,'Native PMKS'!$C$6:$C$366,'Native PMKS'!$C$6:$C$366,,-1)</f>
        <v>50</v>
      </c>
      <c r="F9" s="6">
        <f>_xlfn.XLOOKUP(D9,'Native PMKS'!$C$6:$C$366,'Native PMKS'!$C$6:$C$366,,1)</f>
        <v>58.333333333333336</v>
      </c>
      <c r="G9" s="6">
        <f>_xlfn.XLOOKUP(D9,'Native PMKS'!$C$6:$C$366,'Native PMKS'!$O$6:$O$366,,-1)</f>
        <v>-50.477600000000002</v>
      </c>
      <c r="H9" s="6">
        <f>_xlfn.XLOOKUP(D9,'Native PMKS'!$C$6:$C$366,'Native PMKS'!$O$6:$O$366,,1)</f>
        <v>-48.758699999999997</v>
      </c>
      <c r="I9" s="6">
        <f t="shared" si="1"/>
        <v>-49.087018742236296</v>
      </c>
      <c r="J9" s="6">
        <f>INDEX('Raw Data'!$L$6:$L$1371,MATCH(A9,'Raw Data'!$A$6:$A$1371,0))</f>
        <v>-64.25</v>
      </c>
      <c r="K9" s="6">
        <f t="shared" si="2"/>
        <v>-1.1213740444063567</v>
      </c>
      <c r="L9" s="6">
        <f t="shared" si="3"/>
        <v>-0.8567300970401891</v>
      </c>
      <c r="M9" s="6">
        <f t="shared" si="4"/>
        <v>-0.26464394736616759</v>
      </c>
      <c r="N9" s="6">
        <f t="shared" si="5"/>
        <v>7.0036418877546885E-2</v>
      </c>
      <c r="O9" s="6">
        <f>_xlfn.XLOOKUP(D9,'Instructor 360'!$B$6:$B$365,'Instructor 360'!$B$6:$B$365,,-1)</f>
        <v>50.139275766016709</v>
      </c>
      <c r="P9" s="6">
        <f>_xlfn.XLOOKUP(D9,'Instructor 360'!$B$6:$B$365,'Instructor 360'!$B$6:$B$365,,1)</f>
        <v>58.495821727019496</v>
      </c>
      <c r="Q9" s="6">
        <f>_xlfn.XLOOKUP(D9,'Instructor 360'!$B$6:$B$365,'Instructor 360'!$G$6:$G$365,,-1)</f>
        <v>-50.448871866295271</v>
      </c>
      <c r="R9" s="6">
        <f>_xlfn.XLOOKUP(D9,'Instructor 360'!$B$6:$B$365,'Instructor 360'!$G$6:$G$365,,1)</f>
        <v>-48.725183844011141</v>
      </c>
      <c r="S9" s="6">
        <f t="shared" si="6"/>
        <v>-49.087018742236296</v>
      </c>
      <c r="T9" s="6">
        <f t="shared" si="7"/>
        <v>-0.8567300970401891</v>
      </c>
      <c r="U9" s="6">
        <f t="shared" si="8"/>
        <v>-0.26464394736616759</v>
      </c>
      <c r="V9" s="6"/>
      <c r="W9" s="6">
        <f t="shared" si="9"/>
        <v>7.0036418877546885E-2</v>
      </c>
      <c r="AA9">
        <f t="shared" si="10"/>
        <v>62</v>
      </c>
      <c r="AB9">
        <f t="shared" si="11"/>
        <v>-1.1213740444063567</v>
      </c>
      <c r="AC9">
        <f t="shared" si="12"/>
        <v>-0.8567300970401891</v>
      </c>
      <c r="AE9">
        <f t="shared" si="13"/>
        <v>62</v>
      </c>
      <c r="AF9">
        <f t="shared" si="14"/>
        <v>-64.25</v>
      </c>
      <c r="AG9">
        <f t="shared" si="15"/>
        <v>-49.087018742236296</v>
      </c>
    </row>
    <row r="10" spans="1:33" ht="18.95" customHeight="1">
      <c r="A10" s="4">
        <f t="shared" si="16"/>
        <v>698</v>
      </c>
      <c r="B10" s="6">
        <f>INDEX('Raw Data'!$B$6:$B$1371,MATCH(A10,'Raw Data'!$A$6:$A$1371,0))</f>
        <v>14979</v>
      </c>
      <c r="C10" s="6">
        <f t="shared" si="0"/>
        <v>104</v>
      </c>
      <c r="D10" s="6">
        <f>MOD(C10+Summary!$B$20,Summary!$B$11)</f>
        <v>98.741623798959154</v>
      </c>
      <c r="E10" s="6">
        <f>_xlfn.XLOOKUP(D10,'Native PMKS'!$C$6:$C$366,'Native PMKS'!$C$6:$C$366,,-1)</f>
        <v>91.666666666666671</v>
      </c>
      <c r="F10" s="6">
        <f>_xlfn.XLOOKUP(D10,'Native PMKS'!$C$6:$C$366,'Native PMKS'!$C$6:$C$366,,1)</f>
        <v>100</v>
      </c>
      <c r="G10" s="6">
        <f>_xlfn.XLOOKUP(D10,'Native PMKS'!$C$6:$C$366,'Native PMKS'!$O$6:$O$366,,-1)</f>
        <v>-41.654000000000003</v>
      </c>
      <c r="H10" s="6">
        <f>_xlfn.XLOOKUP(D10,'Native PMKS'!$C$6:$C$366,'Native PMKS'!$O$6:$O$366,,1)</f>
        <v>-39.820599999999999</v>
      </c>
      <c r="I10" s="6">
        <f t="shared" si="1"/>
        <v>-40.097452831238598</v>
      </c>
      <c r="J10" s="6">
        <f>INDEX('Raw Data'!$L$6:$L$1371,MATCH(A10,'Raw Data'!$A$6:$A$1371,0))</f>
        <v>-52.875</v>
      </c>
      <c r="K10" s="6">
        <f t="shared" si="2"/>
        <v>-0.92284284199200173</v>
      </c>
      <c r="L10" s="6">
        <f t="shared" si="3"/>
        <v>-0.69983257356823569</v>
      </c>
      <c r="M10" s="6">
        <f t="shared" si="4"/>
        <v>-0.22301026842376603</v>
      </c>
      <c r="N10" s="6">
        <f t="shared" si="5"/>
        <v>4.9733579822440178E-2</v>
      </c>
      <c r="O10" s="6">
        <f>_xlfn.XLOOKUP(D10,'Instructor 360'!$B$6:$B$365,'Instructor 360'!$B$6:$B$365,,-1)</f>
        <v>91.922005571030638</v>
      </c>
      <c r="P10" s="6">
        <f>_xlfn.XLOOKUP(D10,'Instructor 360'!$B$6:$B$365,'Instructor 360'!$B$6:$B$365,,1)</f>
        <v>100.27855153203342</v>
      </c>
      <c r="Q10" s="6">
        <f>_xlfn.XLOOKUP(D10,'Instructor 360'!$B$6:$B$365,'Instructor 360'!$G$6:$G$365,,-1)</f>
        <v>-41.597823398328693</v>
      </c>
      <c r="R10" s="6">
        <f>_xlfn.XLOOKUP(D10,'Instructor 360'!$B$6:$B$365,'Instructor 360'!$G$6:$G$365,,1)</f>
        <v>-39.757397771587748</v>
      </c>
      <c r="S10" s="6">
        <f t="shared" si="6"/>
        <v>-40.095887046893466</v>
      </c>
      <c r="T10" s="6">
        <f t="shared" si="7"/>
        <v>-0.69980524547603706</v>
      </c>
      <c r="U10" s="6">
        <f t="shared" si="8"/>
        <v>-0.22303759651596466</v>
      </c>
      <c r="V10" s="6"/>
      <c r="W10" s="6">
        <f t="shared" si="9"/>
        <v>4.9745769459618255E-2</v>
      </c>
      <c r="AA10">
        <f t="shared" si="10"/>
        <v>104</v>
      </c>
      <c r="AB10">
        <f t="shared" si="11"/>
        <v>-0.92284284199200173</v>
      </c>
      <c r="AC10">
        <f t="shared" si="12"/>
        <v>-0.69980524547603706</v>
      </c>
      <c r="AE10">
        <f t="shared" si="13"/>
        <v>104</v>
      </c>
      <c r="AF10">
        <f t="shared" si="14"/>
        <v>-52.875</v>
      </c>
      <c r="AG10">
        <f t="shared" si="15"/>
        <v>-40.095887046893473</v>
      </c>
    </row>
    <row r="11" spans="1:33" ht="18.95" customHeight="1">
      <c r="A11" s="4">
        <f t="shared" si="16"/>
        <v>699</v>
      </c>
      <c r="B11" s="6">
        <f>INDEX('Raw Data'!$B$6:$B$1371,MATCH(A11,'Raw Data'!$A$6:$A$1371,0))</f>
        <v>15000</v>
      </c>
      <c r="C11" s="6">
        <f t="shared" si="0"/>
        <v>125</v>
      </c>
      <c r="D11" s="6">
        <f>MOD(C11+Summary!$B$20,Summary!$B$11)</f>
        <v>119.74162379895915</v>
      </c>
      <c r="E11" s="6">
        <f>_xlfn.XLOOKUP(D11,'Native PMKS'!$C$6:$C$366,'Native PMKS'!$C$6:$C$366,,-1)</f>
        <v>116.66666666666667</v>
      </c>
      <c r="F11" s="6">
        <f>_xlfn.XLOOKUP(D11,'Native PMKS'!$C$6:$C$366,'Native PMKS'!$C$6:$C$366,,1)</f>
        <v>125.00000000000001</v>
      </c>
      <c r="G11" s="6">
        <f>_xlfn.XLOOKUP(D11,'Native PMKS'!$C$6:$C$366,'Native PMKS'!$O$6:$O$366,,-1)</f>
        <v>-36.039000000000001</v>
      </c>
      <c r="H11" s="6">
        <f>_xlfn.XLOOKUP(D11,'Native PMKS'!$C$6:$C$366,'Native PMKS'!$O$6:$O$366,,1)</f>
        <v>-34.091000000000001</v>
      </c>
      <c r="I11" s="6">
        <f t="shared" si="1"/>
        <v>-35.320198020755313</v>
      </c>
      <c r="J11" s="6">
        <f>INDEX('Raw Data'!$L$6:$L$1371,MATCH(A11,'Raw Data'!$A$6:$A$1371,0))</f>
        <v>-49.5</v>
      </c>
      <c r="K11" s="6">
        <f t="shared" si="2"/>
        <v>-0.86393797973719322</v>
      </c>
      <c r="L11" s="6">
        <f t="shared" si="3"/>
        <v>-0.61645374791856467</v>
      </c>
      <c r="M11" s="6">
        <f t="shared" si="4"/>
        <v>-0.24748423181862855</v>
      </c>
      <c r="N11" s="6">
        <f t="shared" si="5"/>
        <v>6.1248444998856677E-2</v>
      </c>
      <c r="O11" s="6">
        <f>_xlfn.XLOOKUP(D11,'Instructor 360'!$B$6:$B$365,'Instructor 360'!$B$6:$B$365,,-1)</f>
        <v>116.99164345403899</v>
      </c>
      <c r="P11" s="6">
        <f>_xlfn.XLOOKUP(D11,'Instructor 360'!$B$6:$B$365,'Instructor 360'!$B$6:$B$365,,1)</f>
        <v>125.34818941504179</v>
      </c>
      <c r="Q11" s="6">
        <f>_xlfn.XLOOKUP(D11,'Instructor 360'!$B$6:$B$365,'Instructor 360'!$G$6:$G$365,,-1)</f>
        <v>-35.963033426183848</v>
      </c>
      <c r="R11" s="6">
        <f>_xlfn.XLOOKUP(D11,'Instructor 360'!$B$6:$B$365,'Instructor 360'!$G$6:$G$365,,1)</f>
        <v>-34.01199721448468</v>
      </c>
      <c r="S11" s="6">
        <f t="shared" si="6"/>
        <v>-35.320984515133958</v>
      </c>
      <c r="T11" s="6">
        <f t="shared" si="7"/>
        <v>-0.6164674748350204</v>
      </c>
      <c r="U11" s="6">
        <f t="shared" si="8"/>
        <v>-0.24747050490217282</v>
      </c>
      <c r="V11" s="6"/>
      <c r="W11" s="6">
        <f t="shared" si="9"/>
        <v>6.1241650796536339E-2</v>
      </c>
      <c r="AA11">
        <f t="shared" si="10"/>
        <v>125</v>
      </c>
      <c r="AB11">
        <f t="shared" si="11"/>
        <v>-0.86393797973719322</v>
      </c>
      <c r="AC11">
        <f t="shared" si="12"/>
        <v>-0.6164674748350204</v>
      </c>
      <c r="AE11">
        <f t="shared" si="13"/>
        <v>125</v>
      </c>
      <c r="AF11">
        <f t="shared" si="14"/>
        <v>-49.500000000000007</v>
      </c>
      <c r="AG11">
        <f t="shared" si="15"/>
        <v>-35.320984515133958</v>
      </c>
    </row>
    <row r="12" spans="1:33" ht="18.95" customHeight="1">
      <c r="A12" s="4">
        <f t="shared" si="16"/>
        <v>700</v>
      </c>
      <c r="B12" s="6">
        <f>INDEX('Raw Data'!$B$6:$B$1371,MATCH(A12,'Raw Data'!$A$6:$A$1371,0))</f>
        <v>15020</v>
      </c>
      <c r="C12" s="6">
        <f t="shared" si="0"/>
        <v>145</v>
      </c>
      <c r="D12" s="6">
        <f>MOD(C12+Summary!$B$20,Summary!$B$11)</f>
        <v>139.74162379895915</v>
      </c>
      <c r="E12" s="6">
        <f>_xlfn.XLOOKUP(D12,'Native PMKS'!$C$6:$C$366,'Native PMKS'!$C$6:$C$366,,-1)</f>
        <v>133.33333333333334</v>
      </c>
      <c r="F12" s="6">
        <f>_xlfn.XLOOKUP(D12,'Native PMKS'!$C$6:$C$366,'Native PMKS'!$C$6:$C$366,,1)</f>
        <v>141.66666666666669</v>
      </c>
      <c r="G12" s="6">
        <f>_xlfn.XLOOKUP(D12,'Native PMKS'!$C$6:$C$366,'Native PMKS'!$O$6:$O$366,,-1)</f>
        <v>-32.200200000000002</v>
      </c>
      <c r="H12" s="6">
        <f>_xlfn.XLOOKUP(D12,'Native PMKS'!$C$6:$C$366,'Native PMKS'!$O$6:$O$366,,1)</f>
        <v>-30.252199999999998</v>
      </c>
      <c r="I12" s="6">
        <f t="shared" si="1"/>
        <v>-30.702198020755311</v>
      </c>
      <c r="J12" s="6">
        <f>INDEX('Raw Data'!$L$6:$L$1371,MATCH(A12,'Raw Data'!$A$6:$A$1371,0))</f>
        <v>-42.6875</v>
      </c>
      <c r="K12" s="6">
        <f t="shared" si="2"/>
        <v>-0.74503742444507948</v>
      </c>
      <c r="L12" s="6">
        <f t="shared" si="3"/>
        <v>-0.53585444306146646</v>
      </c>
      <c r="M12" s="6">
        <f t="shared" si="4"/>
        <v>-0.20918298138361302</v>
      </c>
      <c r="N12" s="6">
        <f t="shared" si="5"/>
        <v>4.3757519700536991E-2</v>
      </c>
      <c r="O12" s="6">
        <f>_xlfn.XLOOKUP(D12,'Instructor 360'!$B$6:$B$365,'Instructor 360'!$B$6:$B$365,,-1)</f>
        <v>133.70473537604457</v>
      </c>
      <c r="P12" s="6">
        <f>_xlfn.XLOOKUP(D12,'Instructor 360'!$B$6:$B$365,'Instructor 360'!$B$6:$B$365,,1)</f>
        <v>142.06128133704735</v>
      </c>
      <c r="Q12" s="6">
        <f>_xlfn.XLOOKUP(D12,'Instructor 360'!$B$6:$B$365,'Instructor 360'!$G$6:$G$365,,-1)</f>
        <v>-32.113381058495825</v>
      </c>
      <c r="R12" s="6">
        <f>_xlfn.XLOOKUP(D12,'Instructor 360'!$B$6:$B$365,'Instructor 360'!$G$6:$G$365,,1)</f>
        <v>-30.162663509749308</v>
      </c>
      <c r="S12" s="6">
        <f t="shared" si="6"/>
        <v>-30.704154777522795</v>
      </c>
      <c r="T12" s="6">
        <f t="shared" si="7"/>
        <v>-0.53588859490971985</v>
      </c>
      <c r="U12" s="6">
        <f t="shared" si="8"/>
        <v>-0.20914882953535963</v>
      </c>
      <c r="V12" s="6"/>
      <c r="W12" s="6">
        <f t="shared" si="9"/>
        <v>4.3743232896010918E-2</v>
      </c>
      <c r="AA12">
        <f t="shared" si="10"/>
        <v>145</v>
      </c>
      <c r="AB12">
        <f t="shared" si="11"/>
        <v>-0.74503742444507948</v>
      </c>
      <c r="AC12">
        <f t="shared" si="12"/>
        <v>-0.53588859490971985</v>
      </c>
      <c r="AE12">
        <f t="shared" si="13"/>
        <v>145</v>
      </c>
      <c r="AF12">
        <f t="shared" si="14"/>
        <v>-42.6875</v>
      </c>
      <c r="AG12">
        <f t="shared" si="15"/>
        <v>-30.704154777522799</v>
      </c>
    </row>
    <row r="13" spans="1:33" ht="18.95" customHeight="1">
      <c r="A13" s="4">
        <f t="shared" si="16"/>
        <v>701</v>
      </c>
      <c r="B13" s="6">
        <f>INDEX('Raw Data'!$B$6:$B$1371,MATCH(A13,'Raw Data'!$A$6:$A$1371,0))</f>
        <v>15041</v>
      </c>
      <c r="C13" s="6">
        <f t="shared" si="0"/>
        <v>166</v>
      </c>
      <c r="D13" s="6">
        <f>MOD(C13+Summary!$B$20,Summary!$B$11)</f>
        <v>160.74162379895915</v>
      </c>
      <c r="E13" s="6">
        <f>_xlfn.XLOOKUP(D13,'Native PMKS'!$C$6:$C$366,'Native PMKS'!$C$6:$C$366,,-1)</f>
        <v>158.33333333333334</v>
      </c>
      <c r="F13" s="6">
        <f>_xlfn.XLOOKUP(D13,'Native PMKS'!$C$6:$C$366,'Native PMKS'!$C$6:$C$366,,1)</f>
        <v>166.66666666666669</v>
      </c>
      <c r="G13" s="6">
        <f>_xlfn.XLOOKUP(D13,'Native PMKS'!$C$6:$C$366,'Native PMKS'!$O$6:$O$366,,-1)</f>
        <v>-26.413399999999999</v>
      </c>
      <c r="H13" s="6">
        <f>_xlfn.XLOOKUP(D13,'Native PMKS'!$C$6:$C$366,'Native PMKS'!$O$6:$O$366,,1)</f>
        <v>-24.465299999999999</v>
      </c>
      <c r="I13" s="6">
        <f t="shared" si="1"/>
        <v>-25.850409121269713</v>
      </c>
      <c r="J13" s="6">
        <f>INDEX('Raw Data'!$L$6:$L$1371,MATCH(A13,'Raw Data'!$A$6:$A$1371,0))</f>
        <v>-37.9375</v>
      </c>
      <c r="K13" s="6">
        <f t="shared" si="2"/>
        <v>-0.66213428497534876</v>
      </c>
      <c r="L13" s="6">
        <f t="shared" si="3"/>
        <v>-0.4511747521537306</v>
      </c>
      <c r="M13" s="6">
        <f t="shared" si="4"/>
        <v>-0.21095953282161817</v>
      </c>
      <c r="N13" s="6">
        <f t="shared" si="5"/>
        <v>4.4503924488315395E-2</v>
      </c>
      <c r="O13" s="6">
        <f>_xlfn.XLOOKUP(D13,'Instructor 360'!$B$6:$B$365,'Instructor 360'!$B$6:$B$365,,-1)</f>
        <v>158.77437325905294</v>
      </c>
      <c r="P13" s="6">
        <f>_xlfn.XLOOKUP(D13,'Instructor 360'!$B$6:$B$365,'Instructor 360'!$B$6:$B$365,,1)</f>
        <v>167.13091922005572</v>
      </c>
      <c r="Q13" s="6">
        <f>_xlfn.XLOOKUP(D13,'Instructor 360'!$B$6:$B$365,'Instructor 360'!$G$6:$G$365,,-1)</f>
        <v>-26.310297214484677</v>
      </c>
      <c r="R13" s="6">
        <f>_xlfn.XLOOKUP(D13,'Instructor 360'!$B$6:$B$365,'Instructor 360'!$G$6:$G$365,,1)</f>
        <v>-24.356770752089137</v>
      </c>
      <c r="S13" s="6">
        <f t="shared" si="6"/>
        <v>-25.85040912126972</v>
      </c>
      <c r="T13" s="6">
        <f t="shared" si="7"/>
        <v>-0.45117475215373076</v>
      </c>
      <c r="U13" s="6">
        <f t="shared" si="8"/>
        <v>-0.210959532821618</v>
      </c>
      <c r="V13" s="6"/>
      <c r="W13" s="6">
        <f t="shared" si="9"/>
        <v>4.4503924488315326E-2</v>
      </c>
      <c r="AA13">
        <f t="shared" si="10"/>
        <v>166</v>
      </c>
      <c r="AB13">
        <f t="shared" si="11"/>
        <v>-0.66213428497534876</v>
      </c>
      <c r="AC13">
        <f t="shared" si="12"/>
        <v>-0.45117475215373076</v>
      </c>
      <c r="AE13">
        <f t="shared" si="13"/>
        <v>166</v>
      </c>
      <c r="AF13">
        <f t="shared" si="14"/>
        <v>-37.9375</v>
      </c>
      <c r="AG13">
        <f t="shared" si="15"/>
        <v>-25.85040912126972</v>
      </c>
    </row>
    <row r="14" spans="1:33" ht="18.95" customHeight="1">
      <c r="A14" s="4">
        <f t="shared" si="16"/>
        <v>702</v>
      </c>
      <c r="B14" s="6">
        <f>INDEX('Raw Data'!$B$6:$B$1371,MATCH(A14,'Raw Data'!$A$6:$A$1371,0))</f>
        <v>15061</v>
      </c>
      <c r="C14" s="6">
        <f t="shared" si="0"/>
        <v>186</v>
      </c>
      <c r="D14" s="6">
        <f>MOD(C14+Summary!$B$20,Summary!$B$11)</f>
        <v>180.74162379895915</v>
      </c>
      <c r="E14" s="6">
        <f>_xlfn.XLOOKUP(D14,'Native PMKS'!$C$6:$C$366,'Native PMKS'!$C$6:$C$366,,-1)</f>
        <v>175</v>
      </c>
      <c r="F14" s="6">
        <f>_xlfn.XLOOKUP(D14,'Native PMKS'!$C$6:$C$366,'Native PMKS'!$C$6:$C$366,,1)</f>
        <v>183.33333333333334</v>
      </c>
      <c r="G14" s="6">
        <f>_xlfn.XLOOKUP(D14,'Native PMKS'!$C$6:$C$366,'Native PMKS'!$O$6:$O$366,,-1)</f>
        <v>-22.517199999999999</v>
      </c>
      <c r="H14" s="6">
        <f>_xlfn.XLOOKUP(D14,'Native PMKS'!$C$6:$C$366,'Native PMKS'!$O$6:$O$366,,1)</f>
        <v>-20.569199999999999</v>
      </c>
      <c r="I14" s="6">
        <f t="shared" si="1"/>
        <v>-21.175038020755309</v>
      </c>
      <c r="J14" s="6">
        <f>INDEX('Raw Data'!$L$6:$L$1371,MATCH(A14,'Raw Data'!$A$6:$A$1371,0))</f>
        <v>-30.5625</v>
      </c>
      <c r="K14" s="6">
        <f t="shared" si="2"/>
        <v>-0.53341625264076697</v>
      </c>
      <c r="L14" s="6">
        <f t="shared" si="3"/>
        <v>-0.36957413269716355</v>
      </c>
      <c r="M14" s="6">
        <f t="shared" si="4"/>
        <v>-0.16384211994360343</v>
      </c>
      <c r="N14" s="6">
        <f t="shared" si="5"/>
        <v>2.6844240267614131E-2</v>
      </c>
      <c r="O14" s="6">
        <f>_xlfn.XLOOKUP(D14,'Instructor 360'!$B$6:$B$365,'Instructor 360'!$B$6:$B$365,,-1)</f>
        <v>175.4874651810585</v>
      </c>
      <c r="P14" s="6">
        <f>_xlfn.XLOOKUP(D14,'Instructor 360'!$B$6:$B$365,'Instructor 360'!$B$6:$B$365,,1)</f>
        <v>183.84401114206128</v>
      </c>
      <c r="Q14" s="6">
        <f>_xlfn.XLOOKUP(D14,'Instructor 360'!$B$6:$B$365,'Instructor 360'!$G$6:$G$365,,-1)</f>
        <v>-22.403250139275766</v>
      </c>
      <c r="R14" s="6">
        <f>_xlfn.XLOOKUP(D14,'Instructor 360'!$B$6:$B$365,'Instructor 360'!$G$6:$G$365,,1)</f>
        <v>-20.449817827298052</v>
      </c>
      <c r="S14" s="6">
        <f t="shared" si="6"/>
        <v>-21.175034167705654</v>
      </c>
      <c r="T14" s="6">
        <f t="shared" si="7"/>
        <v>-0.36957406544876081</v>
      </c>
      <c r="U14" s="6">
        <f t="shared" si="8"/>
        <v>-0.16384218719200616</v>
      </c>
      <c r="V14" s="6"/>
      <c r="W14" s="6">
        <f t="shared" si="9"/>
        <v>2.6844262303860389E-2</v>
      </c>
      <c r="AA14">
        <f t="shared" si="10"/>
        <v>186</v>
      </c>
      <c r="AB14">
        <f t="shared" si="11"/>
        <v>-0.53341625264076697</v>
      </c>
      <c r="AC14">
        <f t="shared" si="12"/>
        <v>-0.36957406544876081</v>
      </c>
      <c r="AE14">
        <f t="shared" si="13"/>
        <v>186</v>
      </c>
      <c r="AF14">
        <f t="shared" si="14"/>
        <v>-30.562500000000004</v>
      </c>
      <c r="AG14">
        <f t="shared" si="15"/>
        <v>-21.175034167705654</v>
      </c>
    </row>
    <row r="15" spans="1:33" ht="18.95" customHeight="1">
      <c r="A15" s="4">
        <f t="shared" si="16"/>
        <v>703</v>
      </c>
      <c r="B15" s="6">
        <f>INDEX('Raw Data'!$B$6:$B$1371,MATCH(A15,'Raw Data'!$A$6:$A$1371,0))</f>
        <v>15081</v>
      </c>
      <c r="C15" s="6">
        <f t="shared" si="0"/>
        <v>206</v>
      </c>
      <c r="D15" s="6">
        <f>MOD(C15+Summary!$B$20,Summary!$B$11)</f>
        <v>200.74162379895915</v>
      </c>
      <c r="E15" s="6">
        <f>_xlfn.XLOOKUP(D15,'Native PMKS'!$C$6:$C$366,'Native PMKS'!$C$6:$C$366,,-1)</f>
        <v>200</v>
      </c>
      <c r="F15" s="6">
        <f>_xlfn.XLOOKUP(D15,'Native PMKS'!$C$6:$C$366,'Native PMKS'!$C$6:$C$366,,1)</f>
        <v>208.33333333333334</v>
      </c>
      <c r="G15" s="6">
        <f>_xlfn.XLOOKUP(D15,'Native PMKS'!$C$6:$C$366,'Native PMKS'!$O$6:$O$366,,-1)</f>
        <v>-16.730399999999999</v>
      </c>
      <c r="H15" s="6">
        <f>_xlfn.XLOOKUP(D15,'Native PMKS'!$C$6:$C$366,'Native PMKS'!$O$6:$O$366,,1)</f>
        <v>-14.782299999999999</v>
      </c>
      <c r="I15" s="6">
        <f t="shared" si="1"/>
        <v>-16.557029121269721</v>
      </c>
      <c r="J15" s="6">
        <f>INDEX('Raw Data'!$L$6:$L$1371,MATCH(A15,'Raw Data'!$A$6:$A$1371,0))</f>
        <v>-25.6875</v>
      </c>
      <c r="K15" s="6">
        <f t="shared" si="2"/>
        <v>-0.44833145160604343</v>
      </c>
      <c r="L15" s="6">
        <f t="shared" si="3"/>
        <v>-0.28897467251474013</v>
      </c>
      <c r="M15" s="6">
        <f t="shared" si="4"/>
        <v>-0.1593567790913033</v>
      </c>
      <c r="N15" s="6">
        <f t="shared" si="5"/>
        <v>2.5394583042354441E-2</v>
      </c>
      <c r="O15" s="6">
        <f>_xlfn.XLOOKUP(D15,'Instructor 360'!$B$6:$B$365,'Instructor 360'!$B$6:$B$365,,-1)</f>
        <v>200.55710306406684</v>
      </c>
      <c r="P15" s="6">
        <f>_xlfn.XLOOKUP(D15,'Instructor 360'!$B$6:$B$365,'Instructor 360'!$B$6:$B$365,,1)</f>
        <v>208.91364902506965</v>
      </c>
      <c r="Q15" s="6">
        <f>_xlfn.XLOOKUP(D15,'Instructor 360'!$B$6:$B$365,'Instructor 360'!$G$6:$G$365,,-1)</f>
        <v>-16.600164902506968</v>
      </c>
      <c r="R15" s="6">
        <f>_xlfn.XLOOKUP(D15,'Instructor 360'!$B$6:$B$365,'Instructor 360'!$G$6:$G$365,,1)</f>
        <v>-14.650635654596101</v>
      </c>
      <c r="S15" s="6">
        <f t="shared" si="6"/>
        <v>-16.55711738368791</v>
      </c>
      <c r="T15" s="6">
        <f t="shared" si="7"/>
        <v>-0.28897621298454329</v>
      </c>
      <c r="U15" s="6">
        <f t="shared" si="8"/>
        <v>-0.15935523862150014</v>
      </c>
      <c r="V15" s="6"/>
      <c r="W15" s="6">
        <f t="shared" si="9"/>
        <v>2.539409207611525E-2</v>
      </c>
      <c r="AA15">
        <f t="shared" si="10"/>
        <v>206</v>
      </c>
      <c r="AB15">
        <f t="shared" si="11"/>
        <v>-0.44833145160604343</v>
      </c>
      <c r="AC15">
        <f t="shared" si="12"/>
        <v>-0.28897621298454329</v>
      </c>
      <c r="AE15">
        <f t="shared" si="13"/>
        <v>206</v>
      </c>
      <c r="AF15">
        <f t="shared" si="14"/>
        <v>-25.6875</v>
      </c>
      <c r="AG15">
        <f t="shared" si="15"/>
        <v>-16.55711738368791</v>
      </c>
    </row>
    <row r="16" spans="1:33" ht="18.95" customHeight="1">
      <c r="A16" s="4">
        <f t="shared" si="16"/>
        <v>704</v>
      </c>
      <c r="B16" s="6">
        <f>INDEX('Raw Data'!$B$6:$B$1371,MATCH(A16,'Raw Data'!$A$6:$A$1371,0))</f>
        <v>15103</v>
      </c>
      <c r="C16" s="6">
        <f t="shared" si="0"/>
        <v>228</v>
      </c>
      <c r="D16" s="6">
        <f>MOD(C16+Summary!$B$20,Summary!$B$11)</f>
        <v>222.74162379895915</v>
      </c>
      <c r="E16" s="6">
        <f>_xlfn.XLOOKUP(D16,'Native PMKS'!$C$6:$C$366,'Native PMKS'!$C$6:$C$366,,-1)</f>
        <v>216.66666666666669</v>
      </c>
      <c r="F16" s="6">
        <f>_xlfn.XLOOKUP(D16,'Native PMKS'!$C$6:$C$366,'Native PMKS'!$C$6:$C$366,,1)</f>
        <v>225.00000000000003</v>
      </c>
      <c r="G16" s="6">
        <f>_xlfn.XLOOKUP(D16,'Native PMKS'!$C$6:$C$366,'Native PMKS'!$O$6:$O$366,,-1)</f>
        <v>-12.8916</v>
      </c>
      <c r="H16" s="6">
        <f>_xlfn.XLOOKUP(D16,'Native PMKS'!$C$6:$C$366,'Native PMKS'!$O$6:$O$366,,1)</f>
        <v>-11.0008</v>
      </c>
      <c r="I16" s="6">
        <f t="shared" si="1"/>
        <v>-11.513216526511364</v>
      </c>
      <c r="J16" s="6">
        <f>INDEX('Raw Data'!$L$6:$L$1371,MATCH(A16,'Raw Data'!$A$6:$A$1371,0))</f>
        <v>-19.125</v>
      </c>
      <c r="K16" s="6">
        <f t="shared" si="2"/>
        <v>-0.33379421944391552</v>
      </c>
      <c r="L16" s="6">
        <f t="shared" si="3"/>
        <v>-0.20094353588264829</v>
      </c>
      <c r="M16" s="6">
        <f t="shared" si="4"/>
        <v>-0.13285068356126722</v>
      </c>
      <c r="N16" s="6">
        <f t="shared" si="5"/>
        <v>1.7649304122695959E-2</v>
      </c>
      <c r="O16" s="6">
        <f>_xlfn.XLOOKUP(D16,'Instructor 360'!$B$6:$B$365,'Instructor 360'!$B$6:$B$365,,-1)</f>
        <v>217.27019498607243</v>
      </c>
      <c r="P16" s="6">
        <f>_xlfn.XLOOKUP(D16,'Instructor 360'!$B$6:$B$365,'Instructor 360'!$B$6:$B$365,,1)</f>
        <v>225.62674094707521</v>
      </c>
      <c r="Q16" s="6">
        <f>_xlfn.XLOOKUP(D16,'Instructor 360'!$B$6:$B$365,'Instructor 360'!$G$6:$G$365,,-1)</f>
        <v>-12.754661838440116</v>
      </c>
      <c r="R16" s="6">
        <f>_xlfn.XLOOKUP(D16,'Instructor 360'!$B$6:$B$365,'Instructor 360'!$G$6:$G$365,,1)</f>
        <v>-10.86290445682452</v>
      </c>
      <c r="S16" s="6">
        <f t="shared" si="6"/>
        <v>-11.516038142350176</v>
      </c>
      <c r="T16" s="6">
        <f t="shared" si="7"/>
        <v>-0.20099278236926202</v>
      </c>
      <c r="U16" s="6">
        <f t="shared" si="8"/>
        <v>-0.1328014370746535</v>
      </c>
      <c r="V16" s="6"/>
      <c r="W16" s="6">
        <f t="shared" si="9"/>
        <v>1.7636221689093155E-2</v>
      </c>
      <c r="AA16">
        <f t="shared" si="10"/>
        <v>228</v>
      </c>
      <c r="AB16">
        <f t="shared" si="11"/>
        <v>-0.33379421944391552</v>
      </c>
      <c r="AC16">
        <f t="shared" si="12"/>
        <v>-0.20099278236926202</v>
      </c>
      <c r="AE16">
        <f t="shared" si="13"/>
        <v>228</v>
      </c>
      <c r="AF16">
        <f t="shared" si="14"/>
        <v>-19.125</v>
      </c>
      <c r="AG16">
        <f t="shared" si="15"/>
        <v>-11.516038142350176</v>
      </c>
    </row>
    <row r="17" spans="1:33" ht="18.95" customHeight="1">
      <c r="A17" s="4">
        <f t="shared" si="16"/>
        <v>705</v>
      </c>
      <c r="B17" s="6">
        <f>INDEX('Raw Data'!$B$6:$B$1371,MATCH(A17,'Raw Data'!$A$6:$A$1371,0))</f>
        <v>15124</v>
      </c>
      <c r="C17" s="6">
        <f t="shared" si="0"/>
        <v>249</v>
      </c>
      <c r="D17" s="6">
        <f>MOD(C17+Summary!$B$20,Summary!$B$11)</f>
        <v>243.74162379895915</v>
      </c>
      <c r="E17" s="6">
        <f>_xlfn.XLOOKUP(D17,'Native PMKS'!$C$6:$C$366,'Native PMKS'!$C$6:$C$366,,-1)</f>
        <v>241.66666666666669</v>
      </c>
      <c r="F17" s="6">
        <f>_xlfn.XLOOKUP(D17,'Native PMKS'!$C$6:$C$366,'Native PMKS'!$C$6:$C$366,,1)</f>
        <v>250.00000000000003</v>
      </c>
      <c r="G17" s="6">
        <f>_xlfn.XLOOKUP(D17,'Native PMKS'!$C$6:$C$366,'Native PMKS'!$O$6:$O$366,,-1)</f>
        <v>-7.2766000000000002</v>
      </c>
      <c r="H17" s="6">
        <f>_xlfn.XLOOKUP(D17,'Native PMKS'!$C$6:$C$366,'Native PMKS'!$O$6:$O$366,,1)</f>
        <v>-5.4431000000000003</v>
      </c>
      <c r="I17" s="6">
        <f t="shared" si="1"/>
        <v>-6.820067931753016</v>
      </c>
      <c r="J17" s="6">
        <f>INDEX('Raw Data'!$L$6:$L$1371,MATCH(A17,'Raw Data'!$A$6:$A$1371,0))</f>
        <v>-14</v>
      </c>
      <c r="K17" s="6">
        <f t="shared" si="2"/>
        <v>-0.24434609527920614</v>
      </c>
      <c r="L17" s="6">
        <f t="shared" si="3"/>
        <v>-0.11903264061877004</v>
      </c>
      <c r="M17" s="6">
        <f t="shared" si="4"/>
        <v>-0.12531345466043609</v>
      </c>
      <c r="N17" s="6">
        <f t="shared" si="5"/>
        <v>1.5703461918933171E-2</v>
      </c>
      <c r="O17" s="6">
        <f>_xlfn.XLOOKUP(D17,'Instructor 360'!$B$6:$B$365,'Instructor 360'!$B$6:$B$365,,-1)</f>
        <v>242.33983286908077</v>
      </c>
      <c r="P17" s="6">
        <f>_xlfn.XLOOKUP(D17,'Instructor 360'!$B$6:$B$365,'Instructor 360'!$B$6:$B$365,,1)</f>
        <v>250.69637883008357</v>
      </c>
      <c r="Q17" s="6">
        <f>_xlfn.XLOOKUP(D17,'Instructor 360'!$B$6:$B$365,'Instructor 360'!$G$6:$G$365,,-1)</f>
        <v>-7.1284899721448545</v>
      </c>
      <c r="R17" s="6">
        <f>_xlfn.XLOOKUP(D17,'Instructor 360'!$B$6:$B$365,'Instructor 360'!$G$6:$G$365,,1)</f>
        <v>-5.2946710306406732</v>
      </c>
      <c r="S17" s="6">
        <f t="shared" si="6"/>
        <v>-6.8208711579558425</v>
      </c>
      <c r="T17" s="6">
        <f t="shared" si="7"/>
        <v>-0.11904665956064767</v>
      </c>
      <c r="U17" s="6">
        <f t="shared" si="8"/>
        <v>-0.12529943571855848</v>
      </c>
      <c r="V17" s="6"/>
      <c r="W17" s="6">
        <f t="shared" si="9"/>
        <v>1.5699948591389169E-2</v>
      </c>
      <c r="AA17">
        <f t="shared" si="10"/>
        <v>249</v>
      </c>
      <c r="AB17">
        <f t="shared" si="11"/>
        <v>-0.24434609527920614</v>
      </c>
      <c r="AC17">
        <f t="shared" si="12"/>
        <v>-0.11904665956064767</v>
      </c>
      <c r="AE17">
        <f t="shared" si="13"/>
        <v>249</v>
      </c>
      <c r="AF17">
        <f t="shared" si="14"/>
        <v>-14</v>
      </c>
      <c r="AG17">
        <f t="shared" si="15"/>
        <v>-6.8208711579558425</v>
      </c>
    </row>
    <row r="18" spans="1:33" ht="18.95" customHeight="1">
      <c r="A18" s="4">
        <f t="shared" si="16"/>
        <v>706</v>
      </c>
      <c r="B18" s="6">
        <f>INDEX('Raw Data'!$B$6:$B$1371,MATCH(A18,'Raw Data'!$A$6:$A$1371,0))</f>
        <v>15147</v>
      </c>
      <c r="C18" s="6">
        <f t="shared" si="0"/>
        <v>272</v>
      </c>
      <c r="D18" s="6">
        <f>MOD(C18+Summary!$B$20,Summary!$B$11)</f>
        <v>266.74162379895915</v>
      </c>
      <c r="E18" s="6">
        <f>_xlfn.XLOOKUP(D18,'Native PMKS'!$C$6:$C$366,'Native PMKS'!$C$6:$C$366,,-1)</f>
        <v>266.66666666666669</v>
      </c>
      <c r="F18" s="6">
        <f>_xlfn.XLOOKUP(D18,'Native PMKS'!$C$6:$C$366,'Native PMKS'!$C$6:$C$366,,1)</f>
        <v>275</v>
      </c>
      <c r="G18" s="6">
        <f>_xlfn.XLOOKUP(D18,'Native PMKS'!$C$6:$C$366,'Native PMKS'!$O$6:$O$366,,-1)</f>
        <v>-1.8334999999999999</v>
      </c>
      <c r="H18" s="6">
        <f>_xlfn.XLOOKUP(D18,'Native PMKS'!$C$6:$C$366,'Native PMKS'!$O$6:$O$366,,1)</f>
        <v>-5.7299999999999997E-2</v>
      </c>
      <c r="I18" s="6">
        <f t="shared" si="1"/>
        <v>-1.8175233369946611</v>
      </c>
      <c r="J18" s="6">
        <f>INDEX('Raw Data'!$L$6:$L$1371,MATCH(A18,'Raw Data'!$A$6:$A$1371,0))</f>
        <v>-8.25</v>
      </c>
      <c r="K18" s="6">
        <f t="shared" si="2"/>
        <v>-0.14398966328953219</v>
      </c>
      <c r="L18" s="6">
        <f t="shared" si="3"/>
        <v>-3.1721766462391297E-2</v>
      </c>
      <c r="M18" s="6">
        <f t="shared" si="4"/>
        <v>-0.11226789682714089</v>
      </c>
      <c r="N18" s="6">
        <f t="shared" si="5"/>
        <v>1.2604080657989552E-2</v>
      </c>
      <c r="O18" s="6">
        <f>_xlfn.XLOOKUP(D18,'Instructor 360'!$B$6:$B$365,'Instructor 360'!$B$6:$B$365,,-1)</f>
        <v>259.05292479108635</v>
      </c>
      <c r="P18" s="6">
        <f>_xlfn.XLOOKUP(D18,'Instructor 360'!$B$6:$B$365,'Instructor 360'!$B$6:$B$365,,1)</f>
        <v>267.40947075208913</v>
      </c>
      <c r="Q18" s="6">
        <f>_xlfn.XLOOKUP(D18,'Instructor 360'!$B$6:$B$365,'Instructor 360'!$G$6:$G$365,,-1)</f>
        <v>-3.5085841225626813</v>
      </c>
      <c r="R18" s="6">
        <f>_xlfn.XLOOKUP(D18,'Instructor 360'!$B$6:$B$365,'Instructor 360'!$G$6:$G$365,,1)</f>
        <v>-1.675175766016717</v>
      </c>
      <c r="S18" s="6">
        <f t="shared" si="6"/>
        <v>-1.8216999627932751</v>
      </c>
      <c r="T18" s="6">
        <f t="shared" si="7"/>
        <v>-3.1794662334200842E-2</v>
      </c>
      <c r="U18" s="6">
        <f t="shared" si="8"/>
        <v>-0.11219500095533136</v>
      </c>
      <c r="V18" s="6"/>
      <c r="W18" s="6">
        <f t="shared" si="9"/>
        <v>1.2587718239366805E-2</v>
      </c>
      <c r="AA18">
        <f t="shared" si="10"/>
        <v>272</v>
      </c>
      <c r="AB18">
        <f t="shared" si="11"/>
        <v>-0.14398966328953219</v>
      </c>
      <c r="AC18">
        <f t="shared" si="12"/>
        <v>-3.1794662334200842E-2</v>
      </c>
      <c r="AE18">
        <f t="shared" si="13"/>
        <v>272</v>
      </c>
      <c r="AF18">
        <f t="shared" si="14"/>
        <v>-8.25</v>
      </c>
      <c r="AG18">
        <f t="shared" si="15"/>
        <v>-1.8216999627932748</v>
      </c>
    </row>
    <row r="19" spans="1:33" ht="18.95" customHeight="1">
      <c r="A19" s="4">
        <f t="shared" si="16"/>
        <v>707</v>
      </c>
      <c r="B19" s="6">
        <f>INDEX('Raw Data'!$B$6:$B$1371,MATCH(A19,'Raw Data'!$A$6:$A$1371,0))</f>
        <v>15167</v>
      </c>
      <c r="C19" s="6">
        <f t="shared" si="0"/>
        <v>292</v>
      </c>
      <c r="D19" s="6">
        <f>MOD(C19+Summary!$B$20,Summary!$B$11)</f>
        <v>286.74162379895915</v>
      </c>
      <c r="E19" s="6">
        <f>_xlfn.XLOOKUP(D19,'Native PMKS'!$C$6:$C$366,'Native PMKS'!$C$6:$C$366,,-1)</f>
        <v>283.33333333333337</v>
      </c>
      <c r="F19" s="6">
        <f>_xlfn.XLOOKUP(D19,'Native PMKS'!$C$6:$C$366,'Native PMKS'!$C$6:$C$366,,1)</f>
        <v>291.66666666666669</v>
      </c>
      <c r="G19" s="6">
        <f>_xlfn.XLOOKUP(D19,'Native PMKS'!$C$6:$C$366,'Native PMKS'!$O$6:$O$366,,-1)</f>
        <v>1.6616</v>
      </c>
      <c r="H19" s="6">
        <f>_xlfn.XLOOKUP(D19,'Native PMKS'!$C$6:$C$366,'Native PMKS'!$O$6:$O$366,,1)</f>
        <v>3.3805000000000001</v>
      </c>
      <c r="I19" s="6">
        <f t="shared" si="1"/>
        <v>2.3646212577637087</v>
      </c>
      <c r="J19" s="6">
        <f>INDEX('Raw Data'!$L$6:$L$1371,MATCH(A19,'Raw Data'!$A$6:$A$1371,0))</f>
        <v>-3.25</v>
      </c>
      <c r="K19" s="6">
        <f t="shared" si="2"/>
        <v>-5.6723200689815713E-2</v>
      </c>
      <c r="L19" s="6">
        <f t="shared" si="3"/>
        <v>4.1270426510626242E-2</v>
      </c>
      <c r="M19" s="6">
        <f t="shared" si="4"/>
        <v>-9.7993627200441955E-2</v>
      </c>
      <c r="N19" s="6">
        <f t="shared" si="5"/>
        <v>9.6027509718991967E-3</v>
      </c>
      <c r="O19" s="6">
        <f>_xlfn.XLOOKUP(D19,'Instructor 360'!$B$6:$B$365,'Instructor 360'!$B$6:$B$365,,-1)</f>
        <v>284.1225626740947</v>
      </c>
      <c r="P19" s="6">
        <f>_xlfn.XLOOKUP(D19,'Instructor 360'!$B$6:$B$365,'Instructor 360'!$B$6:$B$365,,1)</f>
        <v>292.47910863509748</v>
      </c>
      <c r="Q19" s="6">
        <f>_xlfn.XLOOKUP(D19,'Instructor 360'!$B$6:$B$365,'Instructor 360'!$G$6:$G$365,,-1)</f>
        <v>1.8243927576601571</v>
      </c>
      <c r="R19" s="6">
        <f>_xlfn.XLOOKUP(D19,'Instructor 360'!$B$6:$B$365,'Instructor 360'!$G$6:$G$365,,1)</f>
        <v>3.5424846796657312</v>
      </c>
      <c r="S19" s="6">
        <f t="shared" si="6"/>
        <v>2.3628673598304175</v>
      </c>
      <c r="T19" s="6">
        <f t="shared" si="7"/>
        <v>4.1239815216946391E-2</v>
      </c>
      <c r="U19" s="6">
        <f t="shared" si="8"/>
        <v>-9.7963015906762096E-2</v>
      </c>
      <c r="V19" s="6"/>
      <c r="W19" s="6">
        <f t="shared" si="9"/>
        <v>9.5967524855485233E-3</v>
      </c>
      <c r="AA19">
        <f t="shared" si="10"/>
        <v>292</v>
      </c>
      <c r="AB19">
        <f t="shared" si="11"/>
        <v>-5.6723200689815713E-2</v>
      </c>
      <c r="AC19">
        <f t="shared" si="12"/>
        <v>4.1239815216946391E-2</v>
      </c>
      <c r="AE19">
        <f t="shared" si="13"/>
        <v>292</v>
      </c>
      <c r="AF19">
        <f t="shared" si="14"/>
        <v>-3.2500000000000004</v>
      </c>
      <c r="AG19">
        <f t="shared" si="15"/>
        <v>2.3628673598304175</v>
      </c>
    </row>
    <row r="20" spans="1:33" ht="18.95" customHeight="1">
      <c r="A20" s="4">
        <f t="shared" si="16"/>
        <v>708</v>
      </c>
      <c r="B20" s="6">
        <f>INDEX('Raw Data'!$B$6:$B$1371,MATCH(A20,'Raw Data'!$A$6:$A$1371,0))</f>
        <v>15190</v>
      </c>
      <c r="C20" s="6">
        <f t="shared" si="0"/>
        <v>315</v>
      </c>
      <c r="D20" s="6">
        <f>MOD(C20+Summary!$B$20,Summary!$B$11)</f>
        <v>309.74162379895915</v>
      </c>
      <c r="E20" s="6">
        <f>_xlfn.XLOOKUP(D20,'Native PMKS'!$C$6:$C$366,'Native PMKS'!$C$6:$C$366,,-1)</f>
        <v>308.33333333333337</v>
      </c>
      <c r="F20" s="6">
        <f>_xlfn.XLOOKUP(D20,'Native PMKS'!$C$6:$C$366,'Native PMKS'!$C$6:$C$366,,1)</f>
        <v>316.66666666666669</v>
      </c>
      <c r="G20" s="6">
        <f>_xlfn.XLOOKUP(D20,'Native PMKS'!$C$6:$C$366,'Native PMKS'!$O$6:$O$366,,-1)</f>
        <v>6.7609000000000004</v>
      </c>
      <c r="H20" s="6">
        <f>_xlfn.XLOOKUP(D20,'Native PMKS'!$C$6:$C$366,'Native PMKS'!$O$6:$O$366,,1)</f>
        <v>8.3651999999999997</v>
      </c>
      <c r="I20" s="6">
        <f t="shared" si="1"/>
        <v>7.0320184472804215</v>
      </c>
      <c r="J20" s="6">
        <f>INDEX('Raw Data'!$L$6:$L$1371,MATCH(A20,'Raw Data'!$A$6:$A$1371,0))</f>
        <v>3.6875</v>
      </c>
      <c r="K20" s="6">
        <f t="shared" si="2"/>
        <v>6.4359016167290894E-2</v>
      </c>
      <c r="L20" s="6">
        <f t="shared" si="3"/>
        <v>0.12273187496602264</v>
      </c>
      <c r="M20" s="6">
        <f t="shared" si="4"/>
        <v>-5.8372858798731747E-2</v>
      </c>
      <c r="N20" s="6">
        <f t="shared" si="5"/>
        <v>3.4073906443366745E-3</v>
      </c>
      <c r="O20" s="6">
        <f>_xlfn.XLOOKUP(D20,'Instructor 360'!$B$6:$B$365,'Instructor 360'!$B$6:$B$365,,-1)</f>
        <v>309.19220055710304</v>
      </c>
      <c r="P20" s="6">
        <f>_xlfn.XLOOKUP(D20,'Instructor 360'!$B$6:$B$365,'Instructor 360'!$B$6:$B$365,,1)</f>
        <v>317.54874651810587</v>
      </c>
      <c r="Q20" s="6">
        <f>_xlfn.XLOOKUP(D20,'Instructor 360'!$B$6:$B$365,'Instructor 360'!$G$6:$G$365,,-1)</f>
        <v>6.9262456824512411</v>
      </c>
      <c r="R20" s="6">
        <f>_xlfn.XLOOKUP(D20,'Instructor 360'!$B$6:$B$365,'Instructor 360'!$G$6:$G$365,,1)</f>
        <v>8.5350144846796674</v>
      </c>
      <c r="S20" s="6">
        <f t="shared" si="6"/>
        <v>7.0320184472804286</v>
      </c>
      <c r="T20" s="6">
        <f t="shared" si="7"/>
        <v>0.12273187496602278</v>
      </c>
      <c r="U20" s="6">
        <f t="shared" si="8"/>
        <v>-5.8372858798731886E-2</v>
      </c>
      <c r="V20" s="6"/>
      <c r="W20" s="6">
        <f t="shared" si="9"/>
        <v>3.4073906443366905E-3</v>
      </c>
      <c r="AA20">
        <f t="shared" si="10"/>
        <v>315</v>
      </c>
      <c r="AB20">
        <f t="shared" si="11"/>
        <v>6.4359016167290894E-2</v>
      </c>
      <c r="AC20">
        <f t="shared" si="12"/>
        <v>0.12273187496602278</v>
      </c>
      <c r="AE20">
        <f t="shared" si="13"/>
        <v>315</v>
      </c>
      <c r="AF20">
        <f t="shared" si="14"/>
        <v>3.6875</v>
      </c>
      <c r="AG20">
        <f t="shared" si="15"/>
        <v>7.0320184472804295</v>
      </c>
    </row>
    <row r="21" spans="1:33" ht="18.95" customHeight="1">
      <c r="A21" s="4">
        <f t="shared" si="16"/>
        <v>709</v>
      </c>
      <c r="B21" s="6">
        <f>INDEX('Raw Data'!$B$6:$B$1371,MATCH(A21,'Raw Data'!$A$6:$A$1371,0))</f>
        <v>15211</v>
      </c>
      <c r="C21" s="6">
        <f t="shared" si="0"/>
        <v>336</v>
      </c>
      <c r="D21" s="6">
        <f>MOD(C21+Summary!$B$20,Summary!$B$11)</f>
        <v>330.74162379895915</v>
      </c>
      <c r="E21" s="6">
        <f>_xlfn.XLOOKUP(D21,'Native PMKS'!$C$6:$C$366,'Native PMKS'!$C$6:$C$366,,-1)</f>
        <v>325</v>
      </c>
      <c r="F21" s="6">
        <f>_xlfn.XLOOKUP(D21,'Native PMKS'!$C$6:$C$366,'Native PMKS'!$C$6:$C$366,,1)</f>
        <v>333.33333333333337</v>
      </c>
      <c r="G21" s="6">
        <f>_xlfn.XLOOKUP(D21,'Native PMKS'!$C$6:$C$366,'Native PMKS'!$O$6:$O$366,,-1)</f>
        <v>9.9695</v>
      </c>
      <c r="H21" s="6">
        <f>_xlfn.XLOOKUP(D21,'Native PMKS'!$C$6:$C$366,'Native PMKS'!$O$6:$O$366,,1)</f>
        <v>11.573700000000001</v>
      </c>
      <c r="I21" s="6">
        <f t="shared" si="1"/>
        <v>11.074785547794825</v>
      </c>
      <c r="J21" s="6">
        <f>INDEX('Raw Data'!$L$6:$L$1371,MATCH(A21,'Raw Data'!$A$6:$A$1371,0))</f>
        <v>9.75</v>
      </c>
      <c r="K21" s="6">
        <f t="shared" si="2"/>
        <v>0.17016960206944712</v>
      </c>
      <c r="L21" s="6">
        <f t="shared" si="3"/>
        <v>0.19329147176130354</v>
      </c>
      <c r="M21" s="6">
        <f t="shared" si="4"/>
        <v>-2.3121869691856423E-2</v>
      </c>
      <c r="N21" s="6">
        <f t="shared" si="5"/>
        <v>5.3462085804718861E-4</v>
      </c>
      <c r="O21" s="6">
        <f>_xlfn.XLOOKUP(D21,'Instructor 360'!$B$6:$B$365,'Instructor 360'!$B$6:$B$365,,-1)</f>
        <v>325.90529247910865</v>
      </c>
      <c r="P21" s="6">
        <f>_xlfn.XLOOKUP(D21,'Instructor 360'!$B$6:$B$365,'Instructor 360'!$B$6:$B$365,,1)</f>
        <v>334.26183844011143</v>
      </c>
      <c r="Q21" s="6">
        <f>_xlfn.XLOOKUP(D21,'Instructor 360'!$B$6:$B$365,'Instructor 360'!$G$6:$G$365,,-1)</f>
        <v>10.143772423398332</v>
      </c>
      <c r="R21" s="6">
        <f>_xlfn.XLOOKUP(D21,'Instructor 360'!$B$6:$B$365,'Instructor 360'!$G$6:$G$365,,1)</f>
        <v>11.746067688022281</v>
      </c>
      <c r="S21" s="6">
        <f t="shared" si="6"/>
        <v>11.071097039108224</v>
      </c>
      <c r="T21" s="6">
        <f t="shared" si="7"/>
        <v>0.19322709514023392</v>
      </c>
      <c r="U21" s="6">
        <f t="shared" si="8"/>
        <v>-2.3057493070786805E-2</v>
      </c>
      <c r="V21" s="6"/>
      <c r="W21" s="6">
        <f t="shared" si="9"/>
        <v>5.3164798670938152E-4</v>
      </c>
      <c r="AA21">
        <f t="shared" si="10"/>
        <v>336</v>
      </c>
      <c r="AB21">
        <f t="shared" si="11"/>
        <v>0.17016960206944712</v>
      </c>
      <c r="AC21">
        <f t="shared" si="12"/>
        <v>0.19322709514023392</v>
      </c>
      <c r="AE21">
        <f t="shared" si="13"/>
        <v>336</v>
      </c>
      <c r="AF21">
        <f t="shared" si="14"/>
        <v>9.75</v>
      </c>
      <c r="AG21">
        <f t="shared" si="15"/>
        <v>11.071097039108224</v>
      </c>
    </row>
    <row r="22" spans="1:33" ht="18.95" customHeight="1">
      <c r="A22" s="4">
        <f t="shared" si="16"/>
        <v>710</v>
      </c>
      <c r="B22" s="6">
        <f>INDEX('Raw Data'!$B$6:$B$1371,MATCH(A22,'Raw Data'!$A$6:$A$1371,0))</f>
        <v>15231</v>
      </c>
      <c r="C22" s="6">
        <f t="shared" si="0"/>
        <v>356</v>
      </c>
      <c r="D22" s="6">
        <f>MOD(C22+Summary!$B$20,Summary!$B$11)</f>
        <v>350.74162379895915</v>
      </c>
      <c r="E22" s="6">
        <f>_xlfn.XLOOKUP(D22,'Native PMKS'!$C$6:$C$366,'Native PMKS'!$C$6:$C$366,,-1)</f>
        <v>350</v>
      </c>
      <c r="F22" s="6">
        <f>_xlfn.XLOOKUP(D22,'Native PMKS'!$C$6:$C$366,'Native PMKS'!$C$6:$C$366,,1)</f>
        <v>358.33333333333337</v>
      </c>
      <c r="G22" s="6">
        <f>_xlfn.XLOOKUP(D22,'Native PMKS'!$C$6:$C$366,'Native PMKS'!$O$6:$O$366,,-1)</f>
        <v>14.6677</v>
      </c>
      <c r="H22" s="6">
        <f>_xlfn.XLOOKUP(D22,'Native PMKS'!$C$6:$C$366,'Native PMKS'!$O$6:$O$366,,1)</f>
        <v>16.157399999999999</v>
      </c>
      <c r="I22" s="6">
        <f t="shared" si="1"/>
        <v>14.800275636797139</v>
      </c>
      <c r="J22" s="6">
        <f>INDEX('Raw Data'!$L$6:$L$1371,MATCH(A22,'Raw Data'!$A$6:$A$1371,0))</f>
        <v>12.75</v>
      </c>
      <c r="K22" s="6">
        <f t="shared" si="2"/>
        <v>0.22252947962927699</v>
      </c>
      <c r="L22" s="6">
        <f t="shared" si="3"/>
        <v>0.2583135400648105</v>
      </c>
      <c r="M22" s="6">
        <f t="shared" si="4"/>
        <v>-3.5784060435533505E-2</v>
      </c>
      <c r="N22" s="6">
        <f t="shared" si="5"/>
        <v>1.2804989812539144E-3</v>
      </c>
      <c r="O22" s="6">
        <f>_xlfn.XLOOKUP(D22,'Instructor 360'!$B$6:$B$365,'Instructor 360'!$B$6:$B$365,,-1)</f>
        <v>342.61838440111421</v>
      </c>
      <c r="P22" s="6">
        <f>_xlfn.XLOOKUP(D22,'Instructor 360'!$B$6:$B$365,'Instructor 360'!$B$6:$B$365,,1)</f>
        <v>350.97493036211699</v>
      </c>
      <c r="Q22" s="6">
        <f>_xlfn.XLOOKUP(D22,'Instructor 360'!$B$6:$B$365,'Instructor 360'!$G$6:$G$365,,-1)</f>
        <v>13.297376880222838</v>
      </c>
      <c r="R22" s="6">
        <f>_xlfn.XLOOKUP(D22,'Instructor 360'!$B$6:$B$365,'Instructor 360'!$G$6:$G$365,,1)</f>
        <v>14.841982451253481</v>
      </c>
      <c r="S22" s="6">
        <f t="shared" si="6"/>
        <v>14.798858579393837</v>
      </c>
      <c r="T22" s="6">
        <f t="shared" si="7"/>
        <v>0.25828880774743312</v>
      </c>
      <c r="U22" s="6">
        <f t="shared" si="8"/>
        <v>-3.5759328118156131E-2</v>
      </c>
      <c r="V22" s="6"/>
      <c r="W22" s="6">
        <f t="shared" si="9"/>
        <v>1.2787295474619516E-3</v>
      </c>
      <c r="AA22">
        <f t="shared" si="10"/>
        <v>356</v>
      </c>
      <c r="AB22">
        <f t="shared" si="11"/>
        <v>0.22252947962927699</v>
      </c>
      <c r="AC22">
        <f t="shared" si="12"/>
        <v>0.25828880774743312</v>
      </c>
      <c r="AE22">
        <f t="shared" si="13"/>
        <v>356</v>
      </c>
      <c r="AF22">
        <f t="shared" si="14"/>
        <v>12.75</v>
      </c>
      <c r="AG22">
        <f t="shared" si="15"/>
        <v>14.798858579393837</v>
      </c>
    </row>
    <row r="23" spans="1:33" ht="18.95" customHeight="1">
      <c r="A23" s="4">
        <f t="shared" si="16"/>
        <v>711</v>
      </c>
      <c r="B23" s="6">
        <f>INDEX('Raw Data'!$B$6:$B$1371,MATCH(A23,'Raw Data'!$A$6:$A$1371,0))</f>
        <v>15252</v>
      </c>
      <c r="C23" s="6">
        <f t="shared" si="0"/>
        <v>377</v>
      </c>
      <c r="D23" s="6">
        <f>MOD(C23+Summary!$B$20,Summary!$B$11)</f>
        <v>371.74162379895915</v>
      </c>
      <c r="E23" s="6">
        <f>_xlfn.XLOOKUP(D23,'Native PMKS'!$C$6:$C$366,'Native PMKS'!$C$6:$C$366,,-1)</f>
        <v>366.66666666666669</v>
      </c>
      <c r="F23" s="6">
        <f>_xlfn.XLOOKUP(D23,'Native PMKS'!$C$6:$C$366,'Native PMKS'!$C$6:$C$366,,1)</f>
        <v>375</v>
      </c>
      <c r="G23" s="6">
        <f>_xlfn.XLOOKUP(D23,'Native PMKS'!$C$6:$C$366,'Native PMKS'!$O$6:$O$366,,-1)</f>
        <v>17.5898</v>
      </c>
      <c r="H23" s="6">
        <f>_xlfn.XLOOKUP(D23,'Native PMKS'!$C$6:$C$366,'Native PMKS'!$O$6:$O$366,,1)</f>
        <v>19.022200000000002</v>
      </c>
      <c r="I23" s="6">
        <f t="shared" si="1"/>
        <v>18.462124231555492</v>
      </c>
      <c r="J23" s="6">
        <f>INDEX('Raw Data'!$L$6:$L$1371,MATCH(A23,'Raw Data'!$A$6:$A$1371,0))</f>
        <v>18</v>
      </c>
      <c r="K23" s="6">
        <f t="shared" si="2"/>
        <v>0.31415926535897931</v>
      </c>
      <c r="L23" s="6">
        <f t="shared" si="3"/>
        <v>0.32222485475287133</v>
      </c>
      <c r="M23" s="6">
        <f t="shared" si="4"/>
        <v>-8.0655893938920142E-3</v>
      </c>
      <c r="N23" s="6">
        <f t="shared" si="5"/>
        <v>6.5053732270863347E-5</v>
      </c>
      <c r="O23" s="6">
        <f>_xlfn.XLOOKUP(D23,'Instructor 360'!$B$6:$B$365,'Instructor 360'!$B$6:$B$365,,-1)</f>
        <v>367.68802228412255</v>
      </c>
      <c r="P23" s="6">
        <f>_xlfn.XLOOKUP(D23,'Instructor 360'!$B$6:$B$365,'Instructor 360'!$B$6:$B$365,,1)</f>
        <v>376.04456824512533</v>
      </c>
      <c r="Q23" s="6">
        <f>_xlfn.XLOOKUP(D23,'Instructor 360'!$B$6:$B$365,'Instructor 360'!$G$6:$G$365,,-1)</f>
        <v>17.765358774373254</v>
      </c>
      <c r="R23" s="6">
        <f>_xlfn.XLOOKUP(D23,'Instructor 360'!$B$6:$B$365,'Instructor 360'!$G$6:$G$365,,1)</f>
        <v>19.201748746518103</v>
      </c>
      <c r="S23" s="6">
        <f t="shared" si="6"/>
        <v>18.462124231555492</v>
      </c>
      <c r="T23" s="6">
        <f t="shared" si="7"/>
        <v>0.32222485475287133</v>
      </c>
      <c r="U23" s="6">
        <f t="shared" si="8"/>
        <v>-8.0655893938920142E-3</v>
      </c>
      <c r="V23" s="6"/>
      <c r="W23" s="6">
        <f t="shared" si="9"/>
        <v>6.5053732270863347E-5</v>
      </c>
      <c r="AA23">
        <f t="shared" si="10"/>
        <v>377</v>
      </c>
      <c r="AB23">
        <f t="shared" si="11"/>
        <v>0.31415926535897931</v>
      </c>
      <c r="AC23">
        <f t="shared" si="12"/>
        <v>0.32222485475287133</v>
      </c>
      <c r="AE23">
        <f t="shared" si="13"/>
        <v>377</v>
      </c>
      <c r="AF23">
        <f t="shared" si="14"/>
        <v>18</v>
      </c>
      <c r="AG23">
        <f t="shared" si="15"/>
        <v>18.462124231555492</v>
      </c>
    </row>
    <row r="24" spans="1:33" ht="18.95" customHeight="1">
      <c r="A24" s="4">
        <f t="shared" si="16"/>
        <v>712</v>
      </c>
      <c r="B24" s="6">
        <f>INDEX('Raw Data'!$B$6:$B$1371,MATCH(A24,'Raw Data'!$A$6:$A$1371,0))</f>
        <v>15274</v>
      </c>
      <c r="C24" s="6">
        <f t="shared" si="0"/>
        <v>399</v>
      </c>
      <c r="D24" s="6">
        <f>MOD(C24+Summary!$B$20,Summary!$B$11)</f>
        <v>393.74162379895915</v>
      </c>
      <c r="E24" s="6">
        <f>_xlfn.XLOOKUP(D24,'Native PMKS'!$C$6:$C$366,'Native PMKS'!$C$6:$C$366,,-1)</f>
        <v>391.66666666666669</v>
      </c>
      <c r="F24" s="6">
        <f>_xlfn.XLOOKUP(D24,'Native PMKS'!$C$6:$C$366,'Native PMKS'!$C$6:$C$366,,1)</f>
        <v>400</v>
      </c>
      <c r="G24" s="6">
        <f>_xlfn.XLOOKUP(D24,'Native PMKS'!$C$6:$C$366,'Native PMKS'!$O$6:$O$366,,-1)</f>
        <v>21.829699999999999</v>
      </c>
      <c r="H24" s="6">
        <f>_xlfn.XLOOKUP(D24,'Native PMKS'!$C$6:$C$366,'Native PMKS'!$O$6:$O$366,,1)</f>
        <v>23.147500000000001</v>
      </c>
      <c r="I24" s="6">
        <f t="shared" si="1"/>
        <v>22.157825421072189</v>
      </c>
      <c r="J24" s="6">
        <f>INDEX('Raw Data'!$L$6:$L$1371,MATCH(A24,'Raw Data'!$A$6:$A$1371,0))</f>
        <v>21.1875</v>
      </c>
      <c r="K24" s="6">
        <f t="shared" si="2"/>
        <v>0.36979163526629855</v>
      </c>
      <c r="L24" s="6">
        <f t="shared" si="3"/>
        <v>0.38672700867980864</v>
      </c>
      <c r="M24" s="6">
        <f t="shared" si="4"/>
        <v>-1.6935373413510091E-2</v>
      </c>
      <c r="N24" s="6">
        <f t="shared" si="5"/>
        <v>2.8680687265502443E-4</v>
      </c>
      <c r="O24" s="6">
        <f>_xlfn.XLOOKUP(D24,'Instructor 360'!$B$6:$B$365,'Instructor 360'!$B$6:$B$365,,-1)</f>
        <v>392.75766016713089</v>
      </c>
      <c r="P24" s="6">
        <f>_xlfn.XLOOKUP(D24,'Instructor 360'!$B$6:$B$365,'Instructor 360'!$B$6:$B$365,,1)</f>
        <v>401.11420612813367</v>
      </c>
      <c r="Q24" s="6">
        <f>_xlfn.XLOOKUP(D24,'Instructor 360'!$B$6:$B$365,'Instructor 360'!$G$6:$G$365,,-1)</f>
        <v>22.002225348189409</v>
      </c>
      <c r="R24" s="6">
        <f>_xlfn.XLOOKUP(D24,'Instructor 360'!$B$6:$B$365,'Instructor 360'!$G$6:$G$365,,1)</f>
        <v>23.323696100278546</v>
      </c>
      <c r="S24" s="6">
        <f t="shared" si="6"/>
        <v>22.157825421072197</v>
      </c>
      <c r="T24" s="6">
        <f t="shared" si="7"/>
        <v>0.38672700867980875</v>
      </c>
      <c r="U24" s="6">
        <f t="shared" si="8"/>
        <v>-1.6935373413510202E-2</v>
      </c>
      <c r="V24" s="6"/>
      <c r="W24" s="6">
        <f t="shared" si="9"/>
        <v>2.8680687265502817E-4</v>
      </c>
      <c r="AA24">
        <f t="shared" si="10"/>
        <v>399</v>
      </c>
      <c r="AB24">
        <f t="shared" si="11"/>
        <v>0.36979163526629855</v>
      </c>
      <c r="AC24">
        <f t="shared" si="12"/>
        <v>0.38672700867980875</v>
      </c>
      <c r="AE24">
        <f t="shared" si="13"/>
        <v>399</v>
      </c>
      <c r="AF24">
        <f t="shared" si="14"/>
        <v>21.1875</v>
      </c>
      <c r="AG24">
        <f t="shared" si="15"/>
        <v>22.157825421072193</v>
      </c>
    </row>
    <row r="25" spans="1:33" ht="18.95" customHeight="1">
      <c r="A25" s="4">
        <f t="shared" si="16"/>
        <v>713</v>
      </c>
      <c r="B25" s="6">
        <f>INDEX('Raw Data'!$B$6:$B$1371,MATCH(A25,'Raw Data'!$A$6:$A$1371,0))</f>
        <v>15296</v>
      </c>
      <c r="C25" s="6">
        <f t="shared" si="0"/>
        <v>421</v>
      </c>
      <c r="D25" s="6">
        <f>MOD(C25+Summary!$B$20,Summary!$B$11)</f>
        <v>415.74162379895915</v>
      </c>
      <c r="E25" s="6">
        <f>_xlfn.XLOOKUP(D25,'Native PMKS'!$C$6:$C$366,'Native PMKS'!$C$6:$C$366,,-1)</f>
        <v>408.33333333333337</v>
      </c>
      <c r="F25" s="6">
        <f>_xlfn.XLOOKUP(D25,'Native PMKS'!$C$6:$C$366,'Native PMKS'!$C$6:$C$366,,1)</f>
        <v>416.66666666666669</v>
      </c>
      <c r="G25" s="6">
        <f>_xlfn.XLOOKUP(D25,'Native PMKS'!$C$6:$C$366,'Native PMKS'!$O$6:$O$366,,-1)</f>
        <v>24.465299999999999</v>
      </c>
      <c r="H25" s="6">
        <f>_xlfn.XLOOKUP(D25,'Native PMKS'!$C$6:$C$366,'Native PMKS'!$O$6:$O$366,,1)</f>
        <v>25.783100000000001</v>
      </c>
      <c r="I25" s="6">
        <f t="shared" si="1"/>
        <v>25.636817421072209</v>
      </c>
      <c r="J25" s="6">
        <f>INDEX('Raw Data'!$L$6:$L$1371,MATCH(A25,'Raw Data'!$A$6:$A$1371,0))</f>
        <v>25.75</v>
      </c>
      <c r="K25" s="6">
        <f t="shared" si="2"/>
        <v>0.44942228238853982</v>
      </c>
      <c r="L25" s="6">
        <f t="shared" si="3"/>
        <v>0.44744687373035152</v>
      </c>
      <c r="M25" s="6">
        <f t="shared" si="4"/>
        <v>1.9754086581882935E-3</v>
      </c>
      <c r="N25" s="6">
        <f t="shared" si="5"/>
        <v>3.902239366845274E-6</v>
      </c>
      <c r="O25" s="6">
        <f>_xlfn.XLOOKUP(D25,'Instructor 360'!$B$6:$B$365,'Instructor 360'!$B$6:$B$365,,-1)</f>
        <v>409.47075208913651</v>
      </c>
      <c r="P25" s="6">
        <f>_xlfn.XLOOKUP(D25,'Instructor 360'!$B$6:$B$365,'Instructor 360'!$B$6:$B$365,,1)</f>
        <v>417.82729805013929</v>
      </c>
      <c r="Q25" s="6">
        <f>_xlfn.XLOOKUP(D25,'Instructor 360'!$B$6:$B$365,'Instructor 360'!$G$6:$G$365,,-1)</f>
        <v>24.645166852367684</v>
      </c>
      <c r="R25" s="6">
        <f>_xlfn.XLOOKUP(D25,'Instructor 360'!$B$6:$B$365,'Instructor 360'!$G$6:$G$365,,1)</f>
        <v>25.958657103064066</v>
      </c>
      <c r="S25" s="6">
        <f t="shared" si="6"/>
        <v>25.630828738589315</v>
      </c>
      <c r="T25" s="6">
        <f t="shared" si="7"/>
        <v>0.44734235150316848</v>
      </c>
      <c r="U25" s="6">
        <f t="shared" si="8"/>
        <v>2.0799308853713394E-3</v>
      </c>
      <c r="V25" s="6"/>
      <c r="W25" s="6">
        <f t="shared" si="9"/>
        <v>4.3261124879216041E-6</v>
      </c>
      <c r="AA25">
        <f t="shared" si="10"/>
        <v>421</v>
      </c>
      <c r="AB25">
        <f t="shared" si="11"/>
        <v>0.44942228238853982</v>
      </c>
      <c r="AC25">
        <f t="shared" si="12"/>
        <v>0.44734235150316848</v>
      </c>
      <c r="AE25">
        <f t="shared" si="13"/>
        <v>421</v>
      </c>
      <c r="AF25">
        <f t="shared" si="14"/>
        <v>25.75</v>
      </c>
      <c r="AG25">
        <f t="shared" si="15"/>
        <v>25.630828738589312</v>
      </c>
    </row>
    <row r="26" spans="1:33" ht="18.95" customHeight="1">
      <c r="A26" s="4">
        <f t="shared" si="16"/>
        <v>714</v>
      </c>
      <c r="B26" s="6">
        <f>INDEX('Raw Data'!$B$6:$B$1371,MATCH(A26,'Raw Data'!$A$6:$A$1371,0))</f>
        <v>15318</v>
      </c>
      <c r="C26" s="6">
        <f t="shared" si="0"/>
        <v>443</v>
      </c>
      <c r="D26" s="6">
        <f>MOD(C26+Summary!$B$20,Summary!$B$11)</f>
        <v>437.74162379895915</v>
      </c>
      <c r="E26" s="6">
        <f>_xlfn.XLOOKUP(D26,'Native PMKS'!$C$6:$C$366,'Native PMKS'!$C$6:$C$366,,-1)</f>
        <v>433.33333333333337</v>
      </c>
      <c r="F26" s="6">
        <f>_xlfn.XLOOKUP(D26,'Native PMKS'!$C$6:$C$366,'Native PMKS'!$C$6:$C$366,,1)</f>
        <v>441.66666666666669</v>
      </c>
      <c r="G26" s="6">
        <f>_xlfn.XLOOKUP(D26,'Native PMKS'!$C$6:$C$366,'Native PMKS'!$O$6:$O$366,,-1)</f>
        <v>28.2468</v>
      </c>
      <c r="H26" s="6">
        <f>_xlfn.XLOOKUP(D26,'Native PMKS'!$C$6:$C$366,'Native PMKS'!$O$6:$O$366,,1)</f>
        <v>29.45</v>
      </c>
      <c r="I26" s="6">
        <f t="shared" si="1"/>
        <v>28.883286610588918</v>
      </c>
      <c r="J26" s="6">
        <f>INDEX('Raw Data'!$L$6:$L$1371,MATCH(A26,'Raw Data'!$A$6:$A$1371,0))</f>
        <v>28.5</v>
      </c>
      <c r="K26" s="6">
        <f t="shared" si="2"/>
        <v>0.49741883681838389</v>
      </c>
      <c r="L26" s="6">
        <f t="shared" si="3"/>
        <v>0.50410845015196992</v>
      </c>
      <c r="M26" s="6">
        <f t="shared" si="4"/>
        <v>-6.6896133335860308E-3</v>
      </c>
      <c r="N26" s="6">
        <f t="shared" si="5"/>
        <v>4.4750926552892011E-5</v>
      </c>
      <c r="O26" s="6">
        <f>_xlfn.XLOOKUP(D26,'Instructor 360'!$B$6:$B$365,'Instructor 360'!$B$6:$B$365,,-1)</f>
        <v>434.54038997214485</v>
      </c>
      <c r="P26" s="6">
        <f>_xlfn.XLOOKUP(D26,'Instructor 360'!$B$6:$B$365,'Instructor 360'!$B$6:$B$365,,1)</f>
        <v>442.89693593314763</v>
      </c>
      <c r="Q26" s="6">
        <f>_xlfn.XLOOKUP(D26,'Instructor 360'!$B$6:$B$365,'Instructor 360'!$G$6:$G$365,,-1)</f>
        <v>28.421079665738159</v>
      </c>
      <c r="R26" s="6">
        <f>_xlfn.XLOOKUP(D26,'Instructor 360'!$B$6:$B$365,'Instructor 360'!$G$6:$G$365,,1)</f>
        <v>29.619171866295261</v>
      </c>
      <c r="S26" s="6">
        <f t="shared" si="6"/>
        <v>28.880046001586031</v>
      </c>
      <c r="T26" s="6">
        <f t="shared" si="7"/>
        <v>0.50405189085509972</v>
      </c>
      <c r="U26" s="6">
        <f t="shared" si="8"/>
        <v>-6.6330540367158242E-3</v>
      </c>
      <c r="V26" s="6"/>
      <c r="W26" s="6">
        <f t="shared" si="9"/>
        <v>4.3997405853992089E-5</v>
      </c>
      <c r="AA26">
        <f t="shared" si="10"/>
        <v>443</v>
      </c>
      <c r="AB26">
        <f t="shared" si="11"/>
        <v>0.49741883681838389</v>
      </c>
      <c r="AC26">
        <f t="shared" si="12"/>
        <v>0.50405189085509972</v>
      </c>
      <c r="AE26">
        <f t="shared" si="13"/>
        <v>443</v>
      </c>
      <c r="AF26">
        <f t="shared" si="14"/>
        <v>28.5</v>
      </c>
      <c r="AG26">
        <f t="shared" si="15"/>
        <v>28.880046001586027</v>
      </c>
    </row>
    <row r="27" spans="1:33" ht="18.95" customHeight="1">
      <c r="A27" s="4">
        <f t="shared" si="16"/>
        <v>715</v>
      </c>
      <c r="B27" s="6">
        <f>INDEX('Raw Data'!$B$6:$B$1371,MATCH(A27,'Raw Data'!$A$6:$A$1371,0))</f>
        <v>15340</v>
      </c>
      <c r="C27" s="6">
        <f t="shared" si="0"/>
        <v>465</v>
      </c>
      <c r="D27" s="6">
        <f>MOD(C27+Summary!$B$20,Summary!$B$11)</f>
        <v>459.74162379895915</v>
      </c>
      <c r="E27" s="6">
        <f>_xlfn.XLOOKUP(D27,'Native PMKS'!$C$6:$C$366,'Native PMKS'!$C$6:$C$366,,-1)</f>
        <v>458.33333333333337</v>
      </c>
      <c r="F27" s="6">
        <f>_xlfn.XLOOKUP(D27,'Native PMKS'!$C$6:$C$366,'Native PMKS'!$C$6:$C$366,,1)</f>
        <v>466.66666666666669</v>
      </c>
      <c r="G27" s="6">
        <f>_xlfn.XLOOKUP(D27,'Native PMKS'!$C$6:$C$366,'Native PMKS'!$O$6:$O$366,,-1)</f>
        <v>31.741900000000001</v>
      </c>
      <c r="H27" s="6">
        <f>_xlfn.XLOOKUP(D27,'Native PMKS'!$C$6:$C$366,'Native PMKS'!$O$6:$O$366,,1)</f>
        <v>32.887799999999999</v>
      </c>
      <c r="I27" s="6">
        <f t="shared" si="1"/>
        <v>31.935551205347274</v>
      </c>
      <c r="J27" s="6">
        <f>INDEX('Raw Data'!$L$6:$L$1371,MATCH(A27,'Raw Data'!$A$6:$A$1371,0))</f>
        <v>34.375</v>
      </c>
      <c r="K27" s="6">
        <f t="shared" si="2"/>
        <v>0.59995693037305076</v>
      </c>
      <c r="L27" s="6">
        <f t="shared" si="3"/>
        <v>0.55738051697255364</v>
      </c>
      <c r="M27" s="6">
        <f t="shared" si="4"/>
        <v>4.2576413400497115E-2</v>
      </c>
      <c r="N27" s="6">
        <f t="shared" si="5"/>
        <v>1.8127509780500304E-3</v>
      </c>
      <c r="O27" s="6">
        <f>_xlfn.XLOOKUP(D27,'Instructor 360'!$B$6:$B$365,'Instructor 360'!$B$6:$B$365,,-1)</f>
        <v>459.61002785515319</v>
      </c>
      <c r="P27" s="6">
        <f>_xlfn.XLOOKUP(D27,'Instructor 360'!$B$6:$B$365,'Instructor 360'!$B$6:$B$365,,1)</f>
        <v>467.96657381615597</v>
      </c>
      <c r="Q27" s="6">
        <f>_xlfn.XLOOKUP(D27,'Instructor 360'!$B$6:$B$365,'Instructor 360'!$G$6:$G$365,,-1)</f>
        <v>31.917455710306402</v>
      </c>
      <c r="R27" s="6">
        <f>_xlfn.XLOOKUP(D27,'Instructor 360'!$B$6:$B$365,'Instructor 360'!$G$6:$G$365,,1)</f>
        <v>33.057609470752084</v>
      </c>
      <c r="S27" s="6">
        <f t="shared" si="6"/>
        <v>31.935410450325776</v>
      </c>
      <c r="T27" s="6">
        <f t="shared" si="7"/>
        <v>0.55737806033398984</v>
      </c>
      <c r="U27" s="6">
        <f t="shared" si="8"/>
        <v>4.2578870039060912E-2</v>
      </c>
      <c r="V27" s="6"/>
      <c r="W27" s="6">
        <f t="shared" si="9"/>
        <v>1.8129601738032389E-3</v>
      </c>
      <c r="AA27">
        <f t="shared" si="10"/>
        <v>465</v>
      </c>
      <c r="AB27">
        <f t="shared" si="11"/>
        <v>0.59995693037305076</v>
      </c>
      <c r="AC27">
        <f t="shared" si="12"/>
        <v>0.55737806033398984</v>
      </c>
      <c r="AE27">
        <f t="shared" si="13"/>
        <v>465</v>
      </c>
      <c r="AF27">
        <f t="shared" si="14"/>
        <v>34.375</v>
      </c>
      <c r="AG27">
        <f t="shared" si="15"/>
        <v>31.935410450325776</v>
      </c>
    </row>
    <row r="28" spans="1:33" ht="18.95" customHeight="1">
      <c r="A28" s="4">
        <f t="shared" si="16"/>
        <v>716</v>
      </c>
      <c r="B28" s="6">
        <f>INDEX('Raw Data'!$B$6:$B$1371,MATCH(A28,'Raw Data'!$A$6:$A$1371,0))</f>
        <v>15380</v>
      </c>
      <c r="C28" s="6">
        <f t="shared" si="0"/>
        <v>505</v>
      </c>
      <c r="D28" s="6">
        <f>MOD(C28+Summary!$B$20,Summary!$B$11)</f>
        <v>499.74162379895915</v>
      </c>
      <c r="E28" s="6">
        <f>_xlfn.XLOOKUP(D28,'Native PMKS'!$C$6:$C$366,'Native PMKS'!$C$6:$C$366,,-1)</f>
        <v>491.66666666666669</v>
      </c>
      <c r="F28" s="6">
        <f>_xlfn.XLOOKUP(D28,'Native PMKS'!$C$6:$C$366,'Native PMKS'!$C$6:$C$366,,1)</f>
        <v>500.00000000000006</v>
      </c>
      <c r="G28" s="6">
        <f>_xlfn.XLOOKUP(D28,'Native PMKS'!$C$6:$C$366,'Native PMKS'!$O$6:$O$366,,-1)</f>
        <v>36.039000000000001</v>
      </c>
      <c r="H28" s="6">
        <f>_xlfn.XLOOKUP(D28,'Native PMKS'!$C$6:$C$366,'Native PMKS'!$O$6:$O$366,,1)</f>
        <v>37.070399999999999</v>
      </c>
      <c r="I28" s="6">
        <f t="shared" si="1"/>
        <v>37.038421294349568</v>
      </c>
      <c r="J28" s="6">
        <f>INDEX('Raw Data'!$L$6:$L$1371,MATCH(A28,'Raw Data'!$A$6:$A$1371,0))</f>
        <v>39.625</v>
      </c>
      <c r="K28" s="6">
        <f t="shared" si="2"/>
        <v>0.69158671610275313</v>
      </c>
      <c r="L28" s="6">
        <f t="shared" si="3"/>
        <v>0.64644240132717978</v>
      </c>
      <c r="M28" s="6">
        <f t="shared" si="4"/>
        <v>4.5144314775573346E-2</v>
      </c>
      <c r="N28" s="6">
        <f t="shared" si="5"/>
        <v>2.0380091565560502E-3</v>
      </c>
      <c r="O28" s="6">
        <f>_xlfn.XLOOKUP(D28,'Instructor 360'!$B$6:$B$365,'Instructor 360'!$B$6:$B$365,,-1)</f>
        <v>493.03621169916437</v>
      </c>
      <c r="P28" s="6">
        <f>_xlfn.XLOOKUP(D28,'Instructor 360'!$B$6:$B$365,'Instructor 360'!$B$6:$B$365,,1)</f>
        <v>501.39275766016715</v>
      </c>
      <c r="Q28" s="6">
        <f>_xlfn.XLOOKUP(D28,'Instructor 360'!$B$6:$B$365,'Instructor 360'!$G$6:$G$365,,-1)</f>
        <v>36.208505849582174</v>
      </c>
      <c r="R28" s="6">
        <f>_xlfn.XLOOKUP(D28,'Instructor 360'!$B$6:$B$365,'Instructor 360'!$G$6:$G$365,,1)</f>
        <v>37.233185515320329</v>
      </c>
      <c r="S28" s="6">
        <f t="shared" si="6"/>
        <v>37.03072348125901</v>
      </c>
      <c r="T28" s="6">
        <f t="shared" si="7"/>
        <v>0.64630804914354645</v>
      </c>
      <c r="U28" s="6">
        <f t="shared" si="8"/>
        <v>4.5278666959206681E-2</v>
      </c>
      <c r="V28" s="6"/>
      <c r="W28" s="6">
        <f t="shared" si="9"/>
        <v>2.0501576816027546E-3</v>
      </c>
      <c r="AA28">
        <f t="shared" si="10"/>
        <v>505</v>
      </c>
      <c r="AB28">
        <f t="shared" si="11"/>
        <v>0.69158671610275313</v>
      </c>
      <c r="AC28">
        <f t="shared" si="12"/>
        <v>0.64630804914354645</v>
      </c>
      <c r="AE28">
        <f t="shared" si="13"/>
        <v>505</v>
      </c>
      <c r="AF28">
        <f t="shared" si="14"/>
        <v>39.625000000000007</v>
      </c>
      <c r="AG28">
        <f t="shared" si="15"/>
        <v>37.03072348125901</v>
      </c>
    </row>
    <row r="29" spans="1:33" ht="18.95" customHeight="1">
      <c r="A29" s="4">
        <f t="shared" si="16"/>
        <v>717</v>
      </c>
      <c r="B29" s="6">
        <f>INDEX('Raw Data'!$B$6:$B$1371,MATCH(A29,'Raw Data'!$A$6:$A$1371,0))</f>
        <v>15403</v>
      </c>
      <c r="C29" s="6">
        <f t="shared" si="0"/>
        <v>528</v>
      </c>
      <c r="D29" s="6">
        <f>MOD(C29+Summary!$B$20,Summary!$B$11)</f>
        <v>522.74162379895915</v>
      </c>
      <c r="E29" s="6">
        <f>_xlfn.XLOOKUP(D29,'Native PMKS'!$C$6:$C$366,'Native PMKS'!$C$6:$C$366,,-1)</f>
        <v>516.66666666666674</v>
      </c>
      <c r="F29" s="6">
        <f>_xlfn.XLOOKUP(D29,'Native PMKS'!$C$6:$C$366,'Native PMKS'!$C$6:$C$366,,1)</f>
        <v>525</v>
      </c>
      <c r="G29" s="6">
        <f>_xlfn.XLOOKUP(D29,'Native PMKS'!$C$6:$C$366,'Native PMKS'!$O$6:$O$366,,-1)</f>
        <v>38.961100000000002</v>
      </c>
      <c r="H29" s="6">
        <f>_xlfn.XLOOKUP(D29,'Native PMKS'!$C$6:$C$366,'Native PMKS'!$O$6:$O$366,,1)</f>
        <v>39.877899999999997</v>
      </c>
      <c r="I29" s="6">
        <f t="shared" si="1"/>
        <v>39.629442483866285</v>
      </c>
      <c r="J29" s="6">
        <f>INDEX('Raw Data'!$L$6:$L$1371,MATCH(A29,'Raw Data'!$A$6:$A$1371,0))</f>
        <v>40.0625</v>
      </c>
      <c r="K29" s="6">
        <f t="shared" si="2"/>
        <v>0.69922253158022829</v>
      </c>
      <c r="L29" s="6">
        <f t="shared" si="3"/>
        <v>0.69166425207318649</v>
      </c>
      <c r="M29" s="6">
        <f t="shared" si="4"/>
        <v>7.5582795070417985E-3</v>
      </c>
      <c r="N29" s="6">
        <f t="shared" si="5"/>
        <v>5.7127589106568015E-5</v>
      </c>
      <c r="O29" s="6">
        <f>_xlfn.XLOOKUP(D29,'Instructor 360'!$B$6:$B$365,'Instructor 360'!$B$6:$B$365,,-1)</f>
        <v>518.10584958217271</v>
      </c>
      <c r="P29" s="6">
        <f>_xlfn.XLOOKUP(D29,'Instructor 360'!$B$6:$B$365,'Instructor 360'!$B$6:$B$365,,1)</f>
        <v>526.46239554317549</v>
      </c>
      <c r="Q29" s="6">
        <f>_xlfn.XLOOKUP(D29,'Instructor 360'!$B$6:$B$365,'Instructor 360'!$G$6:$G$365,,-1)</f>
        <v>39.119433147632307</v>
      </c>
      <c r="R29" s="6">
        <f>_xlfn.XLOOKUP(D29,'Instructor 360'!$B$6:$B$365,'Instructor 360'!$G$6:$G$365,,1)</f>
        <v>40.038769359331475</v>
      </c>
      <c r="S29" s="6">
        <f t="shared" si="6"/>
        <v>39.629432748740427</v>
      </c>
      <c r="T29" s="6">
        <f t="shared" si="7"/>
        <v>0.69166408216318709</v>
      </c>
      <c r="U29" s="6">
        <f t="shared" si="8"/>
        <v>7.558449417041202E-3</v>
      </c>
      <c r="V29" s="6"/>
      <c r="W29" s="6">
        <f t="shared" si="9"/>
        <v>5.7130157589970489E-5</v>
      </c>
      <c r="AA29">
        <f t="shared" si="10"/>
        <v>528</v>
      </c>
      <c r="AB29">
        <f t="shared" si="11"/>
        <v>0.69922253158022829</v>
      </c>
      <c r="AC29">
        <f t="shared" si="12"/>
        <v>0.69166408216318709</v>
      </c>
      <c r="AE29">
        <f t="shared" si="13"/>
        <v>528</v>
      </c>
      <c r="AF29">
        <f t="shared" si="14"/>
        <v>40.0625</v>
      </c>
      <c r="AG29">
        <f t="shared" si="15"/>
        <v>39.62943274874042</v>
      </c>
    </row>
    <row r="30" spans="1:33" ht="18.95" customHeight="1">
      <c r="A30" s="4">
        <f t="shared" si="16"/>
        <v>718</v>
      </c>
      <c r="B30" s="6">
        <f>INDEX('Raw Data'!$B$6:$B$1371,MATCH(A30,'Raw Data'!$A$6:$A$1371,0))</f>
        <v>15424</v>
      </c>
      <c r="C30" s="6">
        <f t="shared" si="0"/>
        <v>549</v>
      </c>
      <c r="D30" s="6">
        <f>MOD(C30+Summary!$B$20,Summary!$B$11)</f>
        <v>543.74162379895915</v>
      </c>
      <c r="E30" s="6">
        <f>_xlfn.XLOOKUP(D30,'Native PMKS'!$C$6:$C$366,'Native PMKS'!$C$6:$C$366,,-1)</f>
        <v>541.66666666666674</v>
      </c>
      <c r="F30" s="6">
        <f>_xlfn.XLOOKUP(D30,'Native PMKS'!$C$6:$C$366,'Native PMKS'!$C$6:$C$366,,1)</f>
        <v>550</v>
      </c>
      <c r="G30" s="6">
        <f>_xlfn.XLOOKUP(D30,'Native PMKS'!$C$6:$C$366,'Native PMKS'!$O$6:$O$366,,-1)</f>
        <v>41.654000000000003</v>
      </c>
      <c r="H30" s="6">
        <f>_xlfn.XLOOKUP(D30,'Native PMKS'!$C$6:$C$366,'Native PMKS'!$O$6:$O$366,,1)</f>
        <v>42.513500000000001</v>
      </c>
      <c r="I30" s="6">
        <f t="shared" si="1"/>
        <v>41.868011078624647</v>
      </c>
      <c r="J30" s="6">
        <f>INDEX('Raw Data'!$L$6:$L$1371,MATCH(A30,'Raw Data'!$A$6:$A$1371,0))</f>
        <v>44.125</v>
      </c>
      <c r="K30" s="6">
        <f t="shared" si="2"/>
        <v>0.77012653244249785</v>
      </c>
      <c r="L30" s="6">
        <f t="shared" si="3"/>
        <v>0.73073464458346249</v>
      </c>
      <c r="M30" s="6">
        <f t="shared" si="4"/>
        <v>3.9391887859035357E-2</v>
      </c>
      <c r="N30" s="6">
        <f t="shared" si="5"/>
        <v>1.5517208290988171E-3</v>
      </c>
      <c r="O30" s="6">
        <f>_xlfn.XLOOKUP(D30,'Instructor 360'!$B$6:$B$365,'Instructor 360'!$B$6:$B$365,,-1)</f>
        <v>543.17548746518105</v>
      </c>
      <c r="P30" s="6">
        <f>_xlfn.XLOOKUP(D30,'Instructor 360'!$B$6:$B$365,'Instructor 360'!$B$6:$B$365,,1)</f>
        <v>551.53203342618383</v>
      </c>
      <c r="Q30" s="6">
        <f>_xlfn.XLOOKUP(D30,'Instructor 360'!$B$6:$B$365,'Instructor 360'!$G$6:$G$365,,-1)</f>
        <v>41.809619777158773</v>
      </c>
      <c r="R30" s="6">
        <f>_xlfn.XLOOKUP(D30,'Instructor 360'!$B$6:$B$365,'Instructor 360'!$G$6:$G$365,,1)</f>
        <v>42.660961281337045</v>
      </c>
      <c r="S30" s="6">
        <f t="shared" si="6"/>
        <v>41.867296161662352</v>
      </c>
      <c r="T30" s="6">
        <f t="shared" si="7"/>
        <v>0.73072216692859215</v>
      </c>
      <c r="U30" s="6">
        <f t="shared" si="8"/>
        <v>3.9404365513905693E-2</v>
      </c>
      <c r="V30" s="6"/>
      <c r="W30" s="6">
        <f t="shared" si="9"/>
        <v>1.5527040215534802E-3</v>
      </c>
      <c r="AA30">
        <f t="shared" si="10"/>
        <v>549</v>
      </c>
      <c r="AB30">
        <f t="shared" si="11"/>
        <v>0.77012653244249785</v>
      </c>
      <c r="AC30">
        <f t="shared" si="12"/>
        <v>0.73072216692859215</v>
      </c>
      <c r="AE30">
        <f t="shared" si="13"/>
        <v>549</v>
      </c>
      <c r="AF30">
        <f t="shared" si="14"/>
        <v>44.125</v>
      </c>
      <c r="AG30">
        <f t="shared" si="15"/>
        <v>41.867296161662352</v>
      </c>
    </row>
    <row r="31" spans="1:33" ht="18.95" customHeight="1">
      <c r="A31" s="4">
        <f t="shared" si="16"/>
        <v>719</v>
      </c>
      <c r="B31" s="6">
        <f>INDEX('Raw Data'!$B$6:$B$1371,MATCH(A31,'Raw Data'!$A$6:$A$1371,0))</f>
        <v>15444</v>
      </c>
      <c r="C31" s="6">
        <f t="shared" si="0"/>
        <v>569</v>
      </c>
      <c r="D31" s="6">
        <f>MOD(C31+Summary!$B$20,Summary!$B$11)</f>
        <v>563.74162379895915</v>
      </c>
      <c r="E31" s="6">
        <f>_xlfn.XLOOKUP(D31,'Native PMKS'!$C$6:$C$366,'Native PMKS'!$C$6:$C$366,,-1)</f>
        <v>558.33333333333337</v>
      </c>
      <c r="F31" s="6">
        <f>_xlfn.XLOOKUP(D31,'Native PMKS'!$C$6:$C$366,'Native PMKS'!$C$6:$C$366,,1)</f>
        <v>566.66666666666674</v>
      </c>
      <c r="G31" s="6">
        <f>_xlfn.XLOOKUP(D31,'Native PMKS'!$C$6:$C$366,'Native PMKS'!$O$6:$O$366,,-1)</f>
        <v>43.315600000000003</v>
      </c>
      <c r="H31" s="6">
        <f>_xlfn.XLOOKUP(D31,'Native PMKS'!$C$6:$C$366,'Native PMKS'!$O$6:$O$366,,1)</f>
        <v>44.117800000000003</v>
      </c>
      <c r="I31" s="6">
        <f t="shared" si="1"/>
        <v>43.836223673383003</v>
      </c>
      <c r="J31" s="6">
        <f>INDEX('Raw Data'!$L$6:$L$1371,MATCH(A31,'Raw Data'!$A$6:$A$1371,0))</f>
        <v>44.5</v>
      </c>
      <c r="K31" s="6">
        <f t="shared" si="2"/>
        <v>0.77667151713747673</v>
      </c>
      <c r="L31" s="6">
        <f t="shared" si="3"/>
        <v>0.76508643474121674</v>
      </c>
      <c r="M31" s="6">
        <f t="shared" si="4"/>
        <v>1.1585082396259994E-2</v>
      </c>
      <c r="N31" s="6">
        <f t="shared" si="5"/>
        <v>1.342141341281332E-4</v>
      </c>
      <c r="O31" s="6">
        <f>_xlfn.XLOOKUP(D31,'Instructor 360'!$B$6:$B$365,'Instructor 360'!$B$6:$B$365,,-1)</f>
        <v>559.88857938718661</v>
      </c>
      <c r="P31" s="6">
        <f>_xlfn.XLOOKUP(D31,'Instructor 360'!$B$6:$B$365,'Instructor 360'!$B$6:$B$365,,1)</f>
        <v>568.24512534818939</v>
      </c>
      <c r="Q31" s="6">
        <f>_xlfn.XLOOKUP(D31,'Instructor 360'!$B$6:$B$365,'Instructor 360'!$G$6:$G$365,,-1)</f>
        <v>43.465314206128127</v>
      </c>
      <c r="R31" s="6">
        <f>_xlfn.XLOOKUP(D31,'Instructor 360'!$B$6:$B$365,'Instructor 360'!$G$6:$G$365,,1)</f>
        <v>44.269729805013924</v>
      </c>
      <c r="S31" s="6">
        <f t="shared" si="6"/>
        <v>43.836214939815669</v>
      </c>
      <c r="T31" s="6">
        <f t="shared" si="7"/>
        <v>0.76508628231171139</v>
      </c>
      <c r="U31" s="6">
        <f t="shared" si="8"/>
        <v>1.1585234825765345E-2</v>
      </c>
      <c r="V31" s="6"/>
      <c r="W31" s="6">
        <f t="shared" si="9"/>
        <v>1.3421766596812619E-4</v>
      </c>
      <c r="AA31">
        <f t="shared" si="10"/>
        <v>569</v>
      </c>
      <c r="AB31">
        <f t="shared" si="11"/>
        <v>0.77667151713747673</v>
      </c>
      <c r="AC31">
        <f t="shared" si="12"/>
        <v>0.76508628231171139</v>
      </c>
      <c r="AE31">
        <f t="shared" si="13"/>
        <v>569</v>
      </c>
      <c r="AF31">
        <f t="shared" si="14"/>
        <v>44.5</v>
      </c>
      <c r="AG31">
        <f t="shared" si="15"/>
        <v>43.836214939815669</v>
      </c>
    </row>
    <row r="32" spans="1:33" ht="18.95" customHeight="1">
      <c r="A32" s="4">
        <f t="shared" si="16"/>
        <v>720</v>
      </c>
      <c r="B32" s="6">
        <f>INDEX('Raw Data'!$B$6:$B$1371,MATCH(A32,'Raw Data'!$A$6:$A$1371,0))</f>
        <v>15465</v>
      </c>
      <c r="C32" s="6">
        <f t="shared" si="0"/>
        <v>590</v>
      </c>
      <c r="D32" s="6">
        <f>MOD(C32+Summary!$B$20,Summary!$B$11)</f>
        <v>584.74162379895915</v>
      </c>
      <c r="E32" s="6">
        <f>_xlfn.XLOOKUP(D32,'Native PMKS'!$C$6:$C$366,'Native PMKS'!$C$6:$C$366,,-1)</f>
        <v>583.33333333333337</v>
      </c>
      <c r="F32" s="6">
        <f>_xlfn.XLOOKUP(D32,'Native PMKS'!$C$6:$C$366,'Native PMKS'!$C$6:$C$366,,1)</f>
        <v>591.66666666666674</v>
      </c>
      <c r="G32" s="6">
        <f>_xlfn.XLOOKUP(D32,'Native PMKS'!$C$6:$C$366,'Native PMKS'!$O$6:$O$366,,-1)</f>
        <v>45.664700000000003</v>
      </c>
      <c r="H32" s="6">
        <f>_xlfn.XLOOKUP(D32,'Native PMKS'!$C$6:$C$366,'Native PMKS'!$O$6:$O$366,,1)</f>
        <v>46.409599999999998</v>
      </c>
      <c r="I32" s="6">
        <f t="shared" si="1"/>
        <v>45.790584268141359</v>
      </c>
      <c r="J32" s="6">
        <f>INDEX('Raw Data'!$L$6:$L$1371,MATCH(A32,'Raw Data'!$A$6:$A$1371,0))</f>
        <v>47.1875</v>
      </c>
      <c r="K32" s="6">
        <f t="shared" si="2"/>
        <v>0.82357724078482419</v>
      </c>
      <c r="L32" s="6">
        <f t="shared" si="3"/>
        <v>0.7991964618909847</v>
      </c>
      <c r="M32" s="6">
        <f t="shared" si="4"/>
        <v>2.4380778893839494E-2</v>
      </c>
      <c r="N32" s="6">
        <f t="shared" si="5"/>
        <v>5.9442237947028933E-4</v>
      </c>
      <c r="O32" s="6">
        <f>_xlfn.XLOOKUP(D32,'Instructor 360'!$B$6:$B$365,'Instructor 360'!$B$6:$B$365,,-1)</f>
        <v>576.60167130919217</v>
      </c>
      <c r="P32" s="6">
        <f>_xlfn.XLOOKUP(D32,'Instructor 360'!$B$6:$B$365,'Instructor 360'!$B$6:$B$365,,1)</f>
        <v>584.95821727019495</v>
      </c>
      <c r="Q32" s="6">
        <f>_xlfn.XLOOKUP(D32,'Instructor 360'!$B$6:$B$365,'Instructor 360'!$G$6:$G$365,,-1)</f>
        <v>45.063050974930356</v>
      </c>
      <c r="R32" s="6">
        <f>_xlfn.XLOOKUP(D32,'Instructor 360'!$B$6:$B$365,'Instructor 360'!$G$6:$G$365,,1)</f>
        <v>45.809945125348186</v>
      </c>
      <c r="S32" s="6">
        <f t="shared" si="6"/>
        <v>45.790586361878255</v>
      </c>
      <c r="T32" s="6">
        <f t="shared" si="7"/>
        <v>0.7991964984335872</v>
      </c>
      <c r="U32" s="6">
        <f t="shared" si="8"/>
        <v>2.4380742351236995E-2</v>
      </c>
      <c r="V32" s="6"/>
      <c r="W32" s="6">
        <f t="shared" si="9"/>
        <v>5.9442059759740127E-4</v>
      </c>
      <c r="AA32">
        <f t="shared" si="10"/>
        <v>590</v>
      </c>
      <c r="AB32">
        <f t="shared" si="11"/>
        <v>0.82357724078482419</v>
      </c>
      <c r="AC32">
        <f t="shared" si="12"/>
        <v>0.7991964984335872</v>
      </c>
      <c r="AE32">
        <f t="shared" si="13"/>
        <v>590</v>
      </c>
      <c r="AF32">
        <f t="shared" si="14"/>
        <v>47.187499999999993</v>
      </c>
      <c r="AG32">
        <f t="shared" si="15"/>
        <v>45.790586361878255</v>
      </c>
    </row>
    <row r="33" spans="1:33" ht="18.95" customHeight="1">
      <c r="A33" s="4">
        <f t="shared" si="16"/>
        <v>721</v>
      </c>
      <c r="B33" s="6">
        <f>INDEX('Raw Data'!$B$6:$B$1371,MATCH(A33,'Raw Data'!$A$6:$A$1371,0))</f>
        <v>15485</v>
      </c>
      <c r="C33" s="6">
        <f t="shared" si="0"/>
        <v>610</v>
      </c>
      <c r="D33" s="6">
        <f>MOD(C33+Summary!$B$20,Summary!$B$11)</f>
        <v>604.74162379895915</v>
      </c>
      <c r="E33" s="6">
        <f>_xlfn.XLOOKUP(D33,'Native PMKS'!$C$6:$C$366,'Native PMKS'!$C$6:$C$366,,-1)</f>
        <v>600</v>
      </c>
      <c r="F33" s="6">
        <f>_xlfn.XLOOKUP(D33,'Native PMKS'!$C$6:$C$366,'Native PMKS'!$C$6:$C$366,,1)</f>
        <v>608.33333333333337</v>
      </c>
      <c r="G33" s="6">
        <f>_xlfn.XLOOKUP(D33,'Native PMKS'!$C$6:$C$366,'Native PMKS'!$O$6:$O$366,,-1)</f>
        <v>47.097099999999998</v>
      </c>
      <c r="H33" s="6">
        <f>_xlfn.XLOOKUP(D33,'Native PMKS'!$C$6:$C$366,'Native PMKS'!$O$6:$O$366,,1)</f>
        <v>47.784700000000001</v>
      </c>
      <c r="I33" s="6">
        <f t="shared" si="1"/>
        <v>47.488340862899712</v>
      </c>
      <c r="J33" s="6">
        <f>INDEX('Raw Data'!$L$6:$L$1371,MATCH(A33,'Raw Data'!$A$6:$A$1371,0))</f>
        <v>48.8125</v>
      </c>
      <c r="K33" s="6">
        <f t="shared" si="2"/>
        <v>0.85193884112973217</v>
      </c>
      <c r="L33" s="6">
        <f t="shared" si="3"/>
        <v>0.82882790436696496</v>
      </c>
      <c r="M33" s="6">
        <f t="shared" si="4"/>
        <v>2.3110936762767209E-2</v>
      </c>
      <c r="N33" s="6">
        <f t="shared" si="5"/>
        <v>5.3411539805262487E-4</v>
      </c>
      <c r="O33" s="6">
        <f>_xlfn.XLOOKUP(D33,'Instructor 360'!$B$6:$B$365,'Instructor 360'!$B$6:$B$365,,-1)</f>
        <v>601.67130919220051</v>
      </c>
      <c r="P33" s="6">
        <f>_xlfn.XLOOKUP(D33,'Instructor 360'!$B$6:$B$365,'Instructor 360'!$B$6:$B$365,,1)</f>
        <v>610.02785515320329</v>
      </c>
      <c r="Q33" s="6">
        <f>_xlfn.XLOOKUP(D33,'Instructor 360'!$B$6:$B$365,'Instructor 360'!$G$6:$G$365,,-1)</f>
        <v>47.235003064066845</v>
      </c>
      <c r="R33" s="6">
        <f>_xlfn.XLOOKUP(D33,'Instructor 360'!$B$6:$B$365,'Instructor 360'!$G$6:$G$365,,1)</f>
        <v>47.912846518105844</v>
      </c>
      <c r="S33" s="6">
        <f t="shared" si="6"/>
        <v>47.484052452144624</v>
      </c>
      <c r="T33" s="6">
        <f t="shared" si="7"/>
        <v>0.82875305747961081</v>
      </c>
      <c r="U33" s="6">
        <f t="shared" si="8"/>
        <v>2.3185783650121361E-2</v>
      </c>
      <c r="V33" s="6"/>
      <c r="W33" s="6">
        <f t="shared" si="9"/>
        <v>5.3758056347023506E-4</v>
      </c>
      <c r="AA33">
        <f t="shared" si="10"/>
        <v>610</v>
      </c>
      <c r="AB33">
        <f t="shared" si="11"/>
        <v>0.85193884112973217</v>
      </c>
      <c r="AC33">
        <f t="shared" si="12"/>
        <v>0.82875305747961081</v>
      </c>
      <c r="AE33">
        <f t="shared" si="13"/>
        <v>610</v>
      </c>
      <c r="AF33">
        <f t="shared" si="14"/>
        <v>48.812500000000007</v>
      </c>
      <c r="AG33">
        <f t="shared" si="15"/>
        <v>47.484052452144624</v>
      </c>
    </row>
    <row r="34" spans="1:33" ht="18.95" customHeight="1">
      <c r="A34" s="4">
        <f t="shared" si="16"/>
        <v>722</v>
      </c>
      <c r="B34" s="6">
        <f>INDEX('Raw Data'!$B$6:$B$1371,MATCH(A34,'Raw Data'!$A$6:$A$1371,0))</f>
        <v>15505</v>
      </c>
      <c r="C34" s="6">
        <f t="shared" si="0"/>
        <v>630</v>
      </c>
      <c r="D34" s="6">
        <f>MOD(C34+Summary!$B$20,Summary!$B$11)</f>
        <v>624.74162379895915</v>
      </c>
      <c r="E34" s="6">
        <f>_xlfn.XLOOKUP(D34,'Native PMKS'!$C$6:$C$366,'Native PMKS'!$C$6:$C$366,,-1)</f>
        <v>616.66666666666674</v>
      </c>
      <c r="F34" s="6">
        <f>_xlfn.XLOOKUP(D34,'Native PMKS'!$C$6:$C$366,'Native PMKS'!$C$6:$C$366,,1)</f>
        <v>625</v>
      </c>
      <c r="G34" s="6">
        <f>_xlfn.XLOOKUP(D34,'Native PMKS'!$C$6:$C$366,'Native PMKS'!$O$6:$O$366,,-1)</f>
        <v>48.414900000000003</v>
      </c>
      <c r="H34" s="6">
        <f>_xlfn.XLOOKUP(D34,'Native PMKS'!$C$6:$C$366,'Native PMKS'!$O$6:$O$366,,1)</f>
        <v>49.102499999999999</v>
      </c>
      <c r="I34" s="6">
        <f t="shared" si="1"/>
        <v>49.081180862899721</v>
      </c>
      <c r="J34" s="6">
        <f>INDEX('Raw Data'!$L$6:$L$1371,MATCH(A34,'Raw Data'!$A$6:$A$1371,0))</f>
        <v>50.375</v>
      </c>
      <c r="K34" s="6">
        <f t="shared" si="2"/>
        <v>0.87920961069214343</v>
      </c>
      <c r="L34" s="6">
        <f t="shared" si="3"/>
        <v>0.85662820682443164</v>
      </c>
      <c r="M34" s="6">
        <f t="shared" si="4"/>
        <v>2.2581403867711791E-2</v>
      </c>
      <c r="N34" s="6">
        <f t="shared" si="5"/>
        <v>5.0991980063670901E-4</v>
      </c>
      <c r="O34" s="6">
        <f>_xlfn.XLOOKUP(D34,'Instructor 360'!$B$6:$B$365,'Instructor 360'!$B$6:$B$365,,-1)</f>
        <v>618.38440111420607</v>
      </c>
      <c r="P34" s="6">
        <f>_xlfn.XLOOKUP(D34,'Instructor 360'!$B$6:$B$365,'Instructor 360'!$B$6:$B$365,,1)</f>
        <v>626.74094707520896</v>
      </c>
      <c r="Q34" s="6">
        <f>_xlfn.XLOOKUP(D34,'Instructor 360'!$B$6:$B$365,'Instructor 360'!$G$6:$G$365,,-1)</f>
        <v>48.556633704735368</v>
      </c>
      <c r="R34" s="6">
        <f>_xlfn.XLOOKUP(D34,'Instructor 360'!$B$6:$B$365,'Instructor 360'!$G$6:$G$365,,1)</f>
        <v>49.222186629526462</v>
      </c>
      <c r="S34" s="6">
        <f t="shared" si="6"/>
        <v>49.062951526851187</v>
      </c>
      <c r="T34" s="6">
        <f t="shared" si="7"/>
        <v>0.85631004488993234</v>
      </c>
      <c r="U34" s="6">
        <f t="shared" si="8"/>
        <v>2.2899565802211086E-2</v>
      </c>
      <c r="V34" s="6"/>
      <c r="W34" s="6">
        <f t="shared" si="9"/>
        <v>5.2439011392979541E-4</v>
      </c>
      <c r="AA34">
        <f t="shared" si="10"/>
        <v>630</v>
      </c>
      <c r="AB34">
        <f t="shared" si="11"/>
        <v>0.87920961069214343</v>
      </c>
      <c r="AC34">
        <f t="shared" si="12"/>
        <v>0.85631004488993234</v>
      </c>
      <c r="AE34">
        <f t="shared" si="13"/>
        <v>630</v>
      </c>
      <c r="AF34">
        <f t="shared" si="14"/>
        <v>50.375</v>
      </c>
      <c r="AG34">
        <f t="shared" si="15"/>
        <v>49.062951526851187</v>
      </c>
    </row>
    <row r="35" spans="1:33" ht="18.95" customHeight="1">
      <c r="A35" s="4">
        <f t="shared" si="16"/>
        <v>723</v>
      </c>
      <c r="B35" s="6">
        <f>INDEX('Raw Data'!$B$6:$B$1371,MATCH(A35,'Raw Data'!$A$6:$A$1371,0))</f>
        <v>15526</v>
      </c>
      <c r="C35" s="6">
        <f t="shared" si="0"/>
        <v>651</v>
      </c>
      <c r="D35" s="6">
        <f>MOD(C35+Summary!$B$20,Summary!$B$11)</f>
        <v>645.74162379895915</v>
      </c>
      <c r="E35" s="6">
        <f>_xlfn.XLOOKUP(D35,'Native PMKS'!$C$6:$C$366,'Native PMKS'!$C$6:$C$366,,-1)</f>
        <v>641.66666666666674</v>
      </c>
      <c r="F35" s="6">
        <f>_xlfn.XLOOKUP(D35,'Native PMKS'!$C$6:$C$366,'Native PMKS'!$C$6:$C$366,,1)</f>
        <v>650</v>
      </c>
      <c r="G35" s="6">
        <f>_xlfn.XLOOKUP(D35,'Native PMKS'!$C$6:$C$366,'Native PMKS'!$O$6:$O$366,,-1)</f>
        <v>50.305700000000002</v>
      </c>
      <c r="H35" s="6">
        <f>_xlfn.XLOOKUP(D35,'Native PMKS'!$C$6:$C$366,'Native PMKS'!$O$6:$O$366,,1)</f>
        <v>50.878700000000002</v>
      </c>
      <c r="I35" s="6">
        <f t="shared" si="1"/>
        <v>50.585894052416435</v>
      </c>
      <c r="J35" s="6">
        <f>INDEX('Raw Data'!$L$6:$L$1371,MATCH(A35,'Raw Data'!$A$6:$A$1371,0))</f>
        <v>52.375</v>
      </c>
      <c r="K35" s="6">
        <f t="shared" si="2"/>
        <v>0.91411619573203007</v>
      </c>
      <c r="L35" s="6">
        <f t="shared" si="3"/>
        <v>0.88289040627968374</v>
      </c>
      <c r="M35" s="6">
        <f t="shared" si="4"/>
        <v>3.1225789452346331E-2</v>
      </c>
      <c r="N35" s="6">
        <f t="shared" si="5"/>
        <v>9.7504992692226341E-4</v>
      </c>
      <c r="O35" s="6">
        <f>_xlfn.XLOOKUP(D35,'Instructor 360'!$B$6:$B$365,'Instructor 360'!$B$6:$B$365,,-1)</f>
        <v>643.45403899721452</v>
      </c>
      <c r="P35" s="6">
        <f>_xlfn.XLOOKUP(D35,'Instructor 360'!$B$6:$B$365,'Instructor 360'!$B$6:$B$365,,1)</f>
        <v>651.81058495821731</v>
      </c>
      <c r="Q35" s="6">
        <f>_xlfn.XLOOKUP(D35,'Instructor 360'!$B$6:$B$365,'Instructor 360'!$G$6:$G$365,,-1)</f>
        <v>50.428599721448471</v>
      </c>
      <c r="R35" s="6">
        <f>_xlfn.XLOOKUP(D35,'Instructor 360'!$B$6:$B$365,'Instructor 360'!$G$6:$G$365,,1)</f>
        <v>51.003174094707525</v>
      </c>
      <c r="S35" s="6">
        <f t="shared" si="6"/>
        <v>50.58588810469594</v>
      </c>
      <c r="T35" s="6">
        <f t="shared" si="7"/>
        <v>0.8828903024723781</v>
      </c>
      <c r="U35" s="6">
        <f t="shared" si="8"/>
        <v>3.1225893259651971E-2</v>
      </c>
      <c r="V35" s="6"/>
      <c r="W35" s="6">
        <f t="shared" si="9"/>
        <v>9.7505640986317841E-4</v>
      </c>
      <c r="AA35">
        <f t="shared" si="10"/>
        <v>651</v>
      </c>
      <c r="AB35">
        <f t="shared" si="11"/>
        <v>0.91411619573203007</v>
      </c>
      <c r="AC35">
        <f t="shared" si="12"/>
        <v>0.8828903024723781</v>
      </c>
      <c r="AE35">
        <f t="shared" si="13"/>
        <v>651</v>
      </c>
      <c r="AF35">
        <f t="shared" si="14"/>
        <v>52.375</v>
      </c>
      <c r="AG35">
        <f t="shared" si="15"/>
        <v>50.58588810469594</v>
      </c>
    </row>
    <row r="36" spans="1:33" ht="18.95" customHeight="1">
      <c r="A36" s="4">
        <f t="shared" si="16"/>
        <v>724</v>
      </c>
      <c r="B36" s="6">
        <f>INDEX('Raw Data'!$B$6:$B$1371,MATCH(A36,'Raw Data'!$A$6:$A$1371,0))</f>
        <v>15547</v>
      </c>
      <c r="C36" s="6">
        <f t="shared" si="0"/>
        <v>672</v>
      </c>
      <c r="D36" s="6">
        <f>MOD(C36+Summary!$B$20,Summary!$B$11)</f>
        <v>666.74162379895915</v>
      </c>
      <c r="E36" s="6">
        <f>_xlfn.XLOOKUP(D36,'Native PMKS'!$C$6:$C$366,'Native PMKS'!$C$6:$C$366,,-1)</f>
        <v>666.66666666666674</v>
      </c>
      <c r="F36" s="6">
        <f>_xlfn.XLOOKUP(D36,'Native PMKS'!$C$6:$C$366,'Native PMKS'!$C$6:$C$366,,1)</f>
        <v>675</v>
      </c>
      <c r="G36" s="6">
        <f>_xlfn.XLOOKUP(D36,'Native PMKS'!$C$6:$C$366,'Native PMKS'!$O$6:$O$366,,-1)</f>
        <v>51.967300000000002</v>
      </c>
      <c r="H36" s="6">
        <f>_xlfn.XLOOKUP(D36,'Native PMKS'!$C$6:$C$366,'Native PMKS'!$O$6:$O$366,,1)</f>
        <v>52.482900000000001</v>
      </c>
      <c r="I36" s="6">
        <f t="shared" si="1"/>
        <v>51.971937747689196</v>
      </c>
      <c r="J36" s="6">
        <f>INDEX('Raw Data'!$L$6:$L$1371,MATCH(A36,'Raw Data'!$A$6:$A$1371,0))</f>
        <v>54.625</v>
      </c>
      <c r="K36" s="6">
        <f t="shared" si="2"/>
        <v>0.95338610390190248</v>
      </c>
      <c r="L36" s="6">
        <f t="shared" si="3"/>
        <v>0.90708143233870242</v>
      </c>
      <c r="M36" s="6">
        <f t="shared" si="4"/>
        <v>4.6304671563200062E-2</v>
      </c>
      <c r="N36" s="6">
        <f t="shared" si="5"/>
        <v>2.1441226085758282E-3</v>
      </c>
      <c r="O36" s="6">
        <f>_xlfn.XLOOKUP(D36,'Instructor 360'!$B$6:$B$365,'Instructor 360'!$B$6:$B$365,,-1)</f>
        <v>660.16713091922009</v>
      </c>
      <c r="P36" s="6">
        <f>_xlfn.XLOOKUP(D36,'Instructor 360'!$B$6:$B$365,'Instructor 360'!$B$6:$B$365,,1)</f>
        <v>668.52367688022287</v>
      </c>
      <c r="Q36" s="6">
        <f>_xlfn.XLOOKUP(D36,'Instructor 360'!$B$6:$B$365,'Instructor 360'!$G$6:$G$365,,-1)</f>
        <v>51.565082729805013</v>
      </c>
      <c r="R36" s="6">
        <f>_xlfn.XLOOKUP(D36,'Instructor 360'!$B$6:$B$365,'Instructor 360'!$G$6:$G$365,,1)</f>
        <v>52.082196935933148</v>
      </c>
      <c r="S36" s="6">
        <f t="shared" si="6"/>
        <v>51.971921115193766</v>
      </c>
      <c r="T36" s="6">
        <f t="shared" si="7"/>
        <v>0.90708114204689438</v>
      </c>
      <c r="U36" s="6">
        <f t="shared" si="8"/>
        <v>4.6304961855008098E-2</v>
      </c>
      <c r="V36" s="6"/>
      <c r="W36" s="6">
        <f t="shared" si="9"/>
        <v>2.1441494923937548E-3</v>
      </c>
      <c r="AA36">
        <f t="shared" si="10"/>
        <v>672</v>
      </c>
      <c r="AB36">
        <f t="shared" si="11"/>
        <v>0.95338610390190248</v>
      </c>
      <c r="AC36">
        <f t="shared" si="12"/>
        <v>0.90708114204689438</v>
      </c>
      <c r="AE36">
        <f t="shared" si="13"/>
        <v>672</v>
      </c>
      <c r="AF36">
        <f t="shared" si="14"/>
        <v>54.625</v>
      </c>
      <c r="AG36">
        <f t="shared" si="15"/>
        <v>51.971921115193766</v>
      </c>
    </row>
    <row r="37" spans="1:33" ht="18.95" customHeight="1">
      <c r="A37" s="4">
        <f t="shared" si="16"/>
        <v>725</v>
      </c>
      <c r="B37" s="6">
        <f>INDEX('Raw Data'!$B$6:$B$1371,MATCH(A37,'Raw Data'!$A$6:$A$1371,0))</f>
        <v>15568</v>
      </c>
      <c r="C37" s="6">
        <f t="shared" si="0"/>
        <v>693</v>
      </c>
      <c r="D37" s="6">
        <f>MOD(C37+Summary!$B$20,Summary!$B$11)</f>
        <v>687.74162379895915</v>
      </c>
      <c r="E37" s="6">
        <f>_xlfn.XLOOKUP(D37,'Native PMKS'!$C$6:$C$366,'Native PMKS'!$C$6:$C$366,,-1)</f>
        <v>683.33333333333337</v>
      </c>
      <c r="F37" s="6">
        <f>_xlfn.XLOOKUP(D37,'Native PMKS'!$C$6:$C$366,'Native PMKS'!$C$6:$C$366,,1)</f>
        <v>691.66666666666674</v>
      </c>
      <c r="G37" s="6">
        <f>_xlfn.XLOOKUP(D37,'Native PMKS'!$C$6:$C$366,'Native PMKS'!$O$6:$O$366,,-1)</f>
        <v>52.998600000000003</v>
      </c>
      <c r="H37" s="6">
        <f>_xlfn.XLOOKUP(D37,'Native PMKS'!$C$6:$C$366,'Native PMKS'!$O$6:$O$366,,1)</f>
        <v>53.457000000000001</v>
      </c>
      <c r="I37" s="6">
        <f t="shared" si="1"/>
        <v>53.241091241933148</v>
      </c>
      <c r="J37" s="6">
        <f>INDEX('Raw Data'!$L$6:$L$1371,MATCH(A37,'Raw Data'!$A$6:$A$1371,0))</f>
        <v>54.625</v>
      </c>
      <c r="K37" s="6">
        <f t="shared" si="2"/>
        <v>0.95338610390190248</v>
      </c>
      <c r="L37" s="6">
        <f t="shared" si="3"/>
        <v>0.92923233952645035</v>
      </c>
      <c r="M37" s="6">
        <f t="shared" si="4"/>
        <v>2.4153764375452136E-2</v>
      </c>
      <c r="N37" s="6">
        <f t="shared" si="5"/>
        <v>5.834043335048607E-4</v>
      </c>
      <c r="O37" s="6">
        <f>_xlfn.XLOOKUP(D37,'Instructor 360'!$B$6:$B$365,'Instructor 360'!$B$6:$B$365,,-1)</f>
        <v>685.23676880222843</v>
      </c>
      <c r="P37" s="6">
        <f>_xlfn.XLOOKUP(D37,'Instructor 360'!$B$6:$B$365,'Instructor 360'!$B$6:$B$365,,1)</f>
        <v>693.59331476323121</v>
      </c>
      <c r="Q37" s="6">
        <f>_xlfn.XLOOKUP(D37,'Instructor 360'!$B$6:$B$365,'Instructor 360'!$G$6:$G$365,,-1)</f>
        <v>53.103304178272978</v>
      </c>
      <c r="R37" s="6">
        <f>_xlfn.XLOOKUP(D37,'Instructor 360'!$B$6:$B$365,'Instructor 360'!$G$6:$G$365,,1)</f>
        <v>53.562957938718661</v>
      </c>
      <c r="S37" s="6">
        <f t="shared" si="6"/>
        <v>53.241084311834321</v>
      </c>
      <c r="T37" s="6">
        <f t="shared" si="7"/>
        <v>0.92923221857340821</v>
      </c>
      <c r="U37" s="6">
        <f t="shared" si="8"/>
        <v>2.4153885328494273E-2</v>
      </c>
      <c r="V37" s="6"/>
      <c r="W37" s="6">
        <f t="shared" si="9"/>
        <v>5.8341017646205094E-4</v>
      </c>
      <c r="AA37">
        <f t="shared" si="10"/>
        <v>693</v>
      </c>
      <c r="AB37">
        <f t="shared" si="11"/>
        <v>0.95338610390190248</v>
      </c>
      <c r="AC37">
        <f t="shared" si="12"/>
        <v>0.92923221857340821</v>
      </c>
      <c r="AE37">
        <f t="shared" si="13"/>
        <v>693</v>
      </c>
      <c r="AF37">
        <f t="shared" si="14"/>
        <v>54.625</v>
      </c>
      <c r="AG37">
        <f t="shared" si="15"/>
        <v>53.241084311834321</v>
      </c>
    </row>
    <row r="38" spans="1:33" ht="18.95" customHeight="1">
      <c r="A38" s="4">
        <f t="shared" si="16"/>
        <v>726</v>
      </c>
      <c r="B38" s="6">
        <f>INDEX('Raw Data'!$B$6:$B$1371,MATCH(A38,'Raw Data'!$A$6:$A$1371,0))</f>
        <v>15588</v>
      </c>
      <c r="C38" s="6">
        <f t="shared" ref="C38:C69" si="17">B38-$B$6</f>
        <v>713</v>
      </c>
      <c r="D38" s="6">
        <f>MOD(C38+Summary!$B$20,Summary!$B$11)</f>
        <v>707.74162379895915</v>
      </c>
      <c r="E38" s="6">
        <f>_xlfn.XLOOKUP(D38,'Native PMKS'!$C$6:$C$366,'Native PMKS'!$C$6:$C$366,,-1)</f>
        <v>700</v>
      </c>
      <c r="F38" s="6">
        <f>_xlfn.XLOOKUP(D38,'Native PMKS'!$C$6:$C$366,'Native PMKS'!$C$6:$C$366,,1)</f>
        <v>708.33333333333337</v>
      </c>
      <c r="G38" s="6">
        <f>_xlfn.XLOOKUP(D38,'Native PMKS'!$C$6:$C$366,'Native PMKS'!$O$6:$O$366,,-1)</f>
        <v>53.915300000000002</v>
      </c>
      <c r="H38" s="6">
        <f>_xlfn.XLOOKUP(D38,'Native PMKS'!$C$6:$C$366,'Native PMKS'!$O$6:$O$366,,1)</f>
        <v>54.373699999999999</v>
      </c>
      <c r="I38" s="6">
        <f t="shared" ref="I38:I69" si="18">IF(E38=F38,G38,_xlfn.FORECAST.LINEAR(D38,G38:H38,E38:F38))</f>
        <v>54.34115124193314</v>
      </c>
      <c r="J38" s="6">
        <f>INDEX('Raw Data'!$L$6:$L$1371,MATCH(A38,'Raw Data'!$A$6:$A$1371,0))</f>
        <v>55.875</v>
      </c>
      <c r="K38" s="6">
        <f t="shared" ref="K38:K69" si="19">J38*1*PI()/180</f>
        <v>0.97520271955183158</v>
      </c>
      <c r="L38" s="6">
        <f t="shared" ref="L38:L69" si="20">I38*PI()/180</f>
        <v>0.94843200849593901</v>
      </c>
      <c r="M38" s="6">
        <f t="shared" ref="M38:M69" si="21">K38-L38</f>
        <v>2.6770711055892571E-2</v>
      </c>
      <c r="N38" s="6">
        <f t="shared" ref="N38:N69" si="22">M38^2</f>
        <v>7.166709704380887E-4</v>
      </c>
      <c r="O38" s="6">
        <f>_xlfn.XLOOKUP(D38,'Instructor 360'!$B$6:$B$365,'Instructor 360'!$B$6:$B$365,,-1)</f>
        <v>701.94986072423399</v>
      </c>
      <c r="P38" s="6">
        <f>_xlfn.XLOOKUP(D38,'Instructor 360'!$B$6:$B$365,'Instructor 360'!$B$6:$B$365,,1)</f>
        <v>710.30640668523677</v>
      </c>
      <c r="Q38" s="6">
        <f>_xlfn.XLOOKUP(D38,'Instructor 360'!$B$6:$B$365,'Instructor 360'!$G$6:$G$365,,-1)</f>
        <v>54.022557938718663</v>
      </c>
      <c r="R38" s="6">
        <f>_xlfn.XLOOKUP(D38,'Instructor 360'!$B$6:$B$365,'Instructor 360'!$G$6:$G$365,,1)</f>
        <v>54.468667966573811</v>
      </c>
      <c r="S38" s="6">
        <f t="shared" ref="S38:S69" si="23">IF(O38=P38,Q38,_xlfn.FORECAST.LINEAR(D38,Q38:R38,O38:P38))</f>
        <v>54.331748314581333</v>
      </c>
      <c r="T38" s="6">
        <f t="shared" ref="T38:T69" si="24">S38*PI()/180</f>
        <v>0.94826789645432419</v>
      </c>
      <c r="U38" s="6">
        <f t="shared" ref="U38:U69" si="25">K38-T38</f>
        <v>2.6934823097507388E-2</v>
      </c>
      <c r="V38" s="6"/>
      <c r="W38" s="6">
        <f t="shared" ref="W38:W69" si="26">U38^2</f>
        <v>7.2548469529401744E-4</v>
      </c>
      <c r="AA38">
        <f t="shared" ref="AA38:AA69" si="27">C38</f>
        <v>713</v>
      </c>
      <c r="AB38">
        <f t="shared" ref="AB38:AB69" si="28">K38</f>
        <v>0.97520271955183158</v>
      </c>
      <c r="AC38">
        <f t="shared" ref="AC38:AC69" si="29">T38</f>
        <v>0.94826789645432419</v>
      </c>
      <c r="AE38">
        <f t="shared" ref="AE38:AE69" si="30">C38</f>
        <v>713</v>
      </c>
      <c r="AF38">
        <f t="shared" ref="AF38:AF69" si="31">K38*180/PI()</f>
        <v>55.874999999999993</v>
      </c>
      <c r="AG38">
        <f t="shared" ref="AG38:AG69" si="32">T38*180/PI()</f>
        <v>54.331748314581333</v>
      </c>
    </row>
    <row r="39" spans="1:33" ht="18.95" customHeight="1">
      <c r="A39" s="4">
        <f t="shared" ref="A39:A70" si="33">A38+1</f>
        <v>727</v>
      </c>
      <c r="B39" s="6">
        <f>INDEX('Raw Data'!$B$6:$B$1371,MATCH(A39,'Raw Data'!$A$6:$A$1371,0))</f>
        <v>15608</v>
      </c>
      <c r="C39" s="6">
        <f t="shared" si="17"/>
        <v>733</v>
      </c>
      <c r="D39" s="6">
        <f>MOD(C39+Summary!$B$20,Summary!$B$11)</f>
        <v>727.74162379895915</v>
      </c>
      <c r="E39" s="6">
        <f>_xlfn.XLOOKUP(D39,'Native PMKS'!$C$6:$C$366,'Native PMKS'!$C$6:$C$366,,-1)</f>
        <v>725</v>
      </c>
      <c r="F39" s="6">
        <f>_xlfn.XLOOKUP(D39,'Native PMKS'!$C$6:$C$366,'Native PMKS'!$C$6:$C$366,,1)</f>
        <v>733.33333333333337</v>
      </c>
      <c r="G39" s="6">
        <f>_xlfn.XLOOKUP(D39,'Native PMKS'!$C$6:$C$366,'Native PMKS'!$O$6:$O$366,,-1)</f>
        <v>55.2331</v>
      </c>
      <c r="H39" s="6">
        <f>_xlfn.XLOOKUP(D39,'Native PMKS'!$C$6:$C$366,'Native PMKS'!$O$6:$O$366,,1)</f>
        <v>55.576900000000002</v>
      </c>
      <c r="I39" s="6">
        <f t="shared" si="18"/>
        <v>55.346208431449853</v>
      </c>
      <c r="J39" s="6">
        <f>INDEX('Raw Data'!$L$6:$L$1371,MATCH(A39,'Raw Data'!$A$6:$A$1371,0))</f>
        <v>57.1875</v>
      </c>
      <c r="K39" s="6">
        <f t="shared" si="19"/>
        <v>0.99811016598425717</v>
      </c>
      <c r="L39" s="6">
        <f t="shared" si="20"/>
        <v>0.96597356562384629</v>
      </c>
      <c r="M39" s="6">
        <f t="shared" si="21"/>
        <v>3.2136600360410883E-2</v>
      </c>
      <c r="N39" s="6">
        <f t="shared" si="22"/>
        <v>1.0327610827247609E-3</v>
      </c>
      <c r="O39" s="6">
        <f>_xlfn.XLOOKUP(D39,'Instructor 360'!$B$6:$B$365,'Instructor 360'!$B$6:$B$365,,-1)</f>
        <v>727.01949860724233</v>
      </c>
      <c r="P39" s="6">
        <f>_xlfn.XLOOKUP(D39,'Instructor 360'!$B$6:$B$365,'Instructor 360'!$B$6:$B$365,,1)</f>
        <v>735.37604456824511</v>
      </c>
      <c r="Q39" s="6">
        <f>_xlfn.XLOOKUP(D39,'Instructor 360'!$B$6:$B$365,'Instructor 360'!$G$6:$G$365,,-1)</f>
        <v>55.316416434540393</v>
      </c>
      <c r="R39" s="6">
        <f>_xlfn.XLOOKUP(D39,'Instructor 360'!$B$6:$B$365,'Instructor 360'!$G$6:$G$365,,1)</f>
        <v>55.675219777158773</v>
      </c>
      <c r="S39" s="6">
        <f t="shared" si="23"/>
        <v>55.34742217947209</v>
      </c>
      <c r="T39" s="6">
        <f t="shared" si="24"/>
        <v>0.96599474952312381</v>
      </c>
      <c r="U39" s="6">
        <f t="shared" si="25"/>
        <v>3.2115416461133361E-2</v>
      </c>
      <c r="V39" s="6"/>
      <c r="W39" s="6">
        <f t="shared" si="26"/>
        <v>1.0313999744720357E-3</v>
      </c>
      <c r="AA39">
        <f t="shared" si="27"/>
        <v>733</v>
      </c>
      <c r="AB39">
        <f t="shared" si="28"/>
        <v>0.99811016598425717</v>
      </c>
      <c r="AC39">
        <f t="shared" si="29"/>
        <v>0.96599474952312381</v>
      </c>
      <c r="AE39">
        <f t="shared" si="30"/>
        <v>733</v>
      </c>
      <c r="AF39">
        <f t="shared" si="31"/>
        <v>57.1875</v>
      </c>
      <c r="AG39">
        <f t="shared" si="32"/>
        <v>55.347422179472083</v>
      </c>
    </row>
    <row r="40" spans="1:33" ht="18.95" customHeight="1">
      <c r="A40" s="4">
        <f t="shared" si="33"/>
        <v>728</v>
      </c>
      <c r="B40" s="6">
        <f>INDEX('Raw Data'!$B$6:$B$1371,MATCH(A40,'Raw Data'!$A$6:$A$1371,0))</f>
        <v>15628</v>
      </c>
      <c r="C40" s="6">
        <f t="shared" si="17"/>
        <v>753</v>
      </c>
      <c r="D40" s="6">
        <f>MOD(C40+Summary!$B$20,Summary!$B$11)</f>
        <v>747.74162379895915</v>
      </c>
      <c r="E40" s="6">
        <f>_xlfn.XLOOKUP(D40,'Native PMKS'!$C$6:$C$366,'Native PMKS'!$C$6:$C$366,,-1)</f>
        <v>741.66666666666674</v>
      </c>
      <c r="F40" s="6">
        <f>_xlfn.XLOOKUP(D40,'Native PMKS'!$C$6:$C$366,'Native PMKS'!$C$6:$C$366,,1)</f>
        <v>750</v>
      </c>
      <c r="G40" s="6">
        <f>_xlfn.XLOOKUP(D40,'Native PMKS'!$C$6:$C$366,'Native PMKS'!$O$6:$O$366,,-1)</f>
        <v>55.978000000000002</v>
      </c>
      <c r="H40" s="6">
        <f>_xlfn.XLOOKUP(D40,'Native PMKS'!$C$6:$C$366,'Native PMKS'!$O$6:$O$366,,1)</f>
        <v>56.321800000000003</v>
      </c>
      <c r="I40" s="6">
        <f t="shared" si="18"/>
        <v>56.228628431449863</v>
      </c>
      <c r="J40" s="6">
        <f>INDEX('Raw Data'!$L$6:$L$1371,MATCH(A40,'Raw Data'!$A$6:$A$1371,0))</f>
        <v>58.25</v>
      </c>
      <c r="K40" s="6">
        <f t="shared" si="19"/>
        <v>1.016654289286697</v>
      </c>
      <c r="L40" s="6">
        <f t="shared" si="20"/>
        <v>0.98137470000929483</v>
      </c>
      <c r="M40" s="6">
        <f t="shared" si="21"/>
        <v>3.5279589277402157E-2</v>
      </c>
      <c r="N40" s="6">
        <f t="shared" si="22"/>
        <v>1.2446494195821893E-3</v>
      </c>
      <c r="O40" s="6">
        <f>_xlfn.XLOOKUP(D40,'Instructor 360'!$B$6:$B$365,'Instructor 360'!$B$6:$B$365,,-1)</f>
        <v>743.73259052924789</v>
      </c>
      <c r="P40" s="6">
        <f>_xlfn.XLOOKUP(D40,'Instructor 360'!$B$6:$B$365,'Instructor 360'!$B$6:$B$365,,1)</f>
        <v>752.08913649025067</v>
      </c>
      <c r="Q40" s="6">
        <f>_xlfn.XLOOKUP(D40,'Instructor 360'!$B$6:$B$365,'Instructor 360'!$G$6:$G$365,,-1)</f>
        <v>56.06323175487465</v>
      </c>
      <c r="R40" s="6">
        <f>_xlfn.XLOOKUP(D40,'Instructor 360'!$B$6:$B$365,'Instructor 360'!$G$6:$G$365,,1)</f>
        <v>56.407964345403904</v>
      </c>
      <c r="S40" s="6">
        <f t="shared" si="23"/>
        <v>56.228616404350049</v>
      </c>
      <c r="T40" s="6">
        <f t="shared" si="24"/>
        <v>0.98137449009680355</v>
      </c>
      <c r="U40" s="6">
        <f t="shared" si="25"/>
        <v>3.5279799189893435E-2</v>
      </c>
      <c r="V40" s="6"/>
      <c r="W40" s="6">
        <f t="shared" si="26"/>
        <v>1.2446642308792054E-3</v>
      </c>
      <c r="AA40">
        <f t="shared" si="27"/>
        <v>753</v>
      </c>
      <c r="AB40">
        <f t="shared" si="28"/>
        <v>1.016654289286697</v>
      </c>
      <c r="AC40">
        <f t="shared" si="29"/>
        <v>0.98137449009680355</v>
      </c>
      <c r="AE40">
        <f t="shared" si="30"/>
        <v>753</v>
      </c>
      <c r="AF40">
        <f t="shared" si="31"/>
        <v>58.25</v>
      </c>
      <c r="AG40">
        <f t="shared" si="32"/>
        <v>56.228616404350049</v>
      </c>
    </row>
    <row r="41" spans="1:33" ht="18.95" customHeight="1">
      <c r="A41" s="4">
        <f t="shared" si="33"/>
        <v>729</v>
      </c>
      <c r="B41" s="6">
        <f>INDEX('Raw Data'!$B$6:$B$1371,MATCH(A41,'Raw Data'!$A$6:$A$1371,0))</f>
        <v>15648</v>
      </c>
      <c r="C41" s="6">
        <f t="shared" si="17"/>
        <v>773</v>
      </c>
      <c r="D41" s="6">
        <f>MOD(C41+Summary!$B$20,Summary!$B$11)</f>
        <v>767.74162379895915</v>
      </c>
      <c r="E41" s="6">
        <f>_xlfn.XLOOKUP(D41,'Native PMKS'!$C$6:$C$366,'Native PMKS'!$C$6:$C$366,,-1)</f>
        <v>766.66666666666674</v>
      </c>
      <c r="F41" s="6">
        <f>_xlfn.XLOOKUP(D41,'Native PMKS'!$C$6:$C$366,'Native PMKS'!$C$6:$C$366,,1)</f>
        <v>775</v>
      </c>
      <c r="G41" s="6">
        <f>_xlfn.XLOOKUP(D41,'Native PMKS'!$C$6:$C$366,'Native PMKS'!$O$6:$O$366,,-1)</f>
        <v>57.009300000000003</v>
      </c>
      <c r="H41" s="6">
        <f>_xlfn.XLOOKUP(D41,'Native PMKS'!$C$6:$C$366,'Native PMKS'!$O$6:$O$366,,1)</f>
        <v>57.2958</v>
      </c>
      <c r="I41" s="6">
        <f t="shared" si="18"/>
        <v>57.046257026208224</v>
      </c>
      <c r="J41" s="6">
        <f>INDEX('Raw Data'!$L$6:$L$1371,MATCH(A41,'Raw Data'!$A$6:$A$1371,0))</f>
        <v>60.125</v>
      </c>
      <c r="K41" s="6">
        <f t="shared" si="19"/>
        <v>1.0493792127615906</v>
      </c>
      <c r="L41" s="6">
        <f t="shared" si="20"/>
        <v>0.99564501104628267</v>
      </c>
      <c r="M41" s="6">
        <f t="shared" si="21"/>
        <v>5.3734201715307961E-2</v>
      </c>
      <c r="N41" s="6">
        <f t="shared" si="22"/>
        <v>2.887364433981405E-3</v>
      </c>
      <c r="O41" s="6">
        <f>_xlfn.XLOOKUP(D41,'Instructor 360'!$B$6:$B$365,'Instructor 360'!$B$6:$B$365,,-1)</f>
        <v>760.44568245125345</v>
      </c>
      <c r="P41" s="6">
        <f>_xlfn.XLOOKUP(D41,'Instructor 360'!$B$6:$B$365,'Instructor 360'!$B$6:$B$365,,1)</f>
        <v>768.80222841225623</v>
      </c>
      <c r="Q41" s="6">
        <f>_xlfn.XLOOKUP(D41,'Instructor 360'!$B$6:$B$365,'Instructor 360'!$G$6:$G$365,,-1)</f>
        <v>56.752647075208912</v>
      </c>
      <c r="R41" s="6">
        <f>_xlfn.XLOOKUP(D41,'Instructor 360'!$B$6:$B$365,'Instructor 360'!$G$6:$G$365,,1)</f>
        <v>57.082720612813368</v>
      </c>
      <c r="S41" s="6">
        <f t="shared" si="23"/>
        <v>57.040828003313663</v>
      </c>
      <c r="T41" s="6">
        <f t="shared" si="24"/>
        <v>0.99555025672160646</v>
      </c>
      <c r="U41" s="6">
        <f t="shared" si="25"/>
        <v>5.3828956039984166E-2</v>
      </c>
      <c r="V41" s="6"/>
      <c r="W41" s="6">
        <f t="shared" si="26"/>
        <v>2.897556508354548E-3</v>
      </c>
      <c r="AA41">
        <f t="shared" si="27"/>
        <v>773</v>
      </c>
      <c r="AB41">
        <f t="shared" si="28"/>
        <v>1.0493792127615906</v>
      </c>
      <c r="AC41">
        <f t="shared" si="29"/>
        <v>0.99555025672160646</v>
      </c>
      <c r="AE41">
        <f t="shared" si="30"/>
        <v>773</v>
      </c>
      <c r="AF41">
        <f t="shared" si="31"/>
        <v>60.125</v>
      </c>
      <c r="AG41">
        <f t="shared" si="32"/>
        <v>57.040828003313663</v>
      </c>
    </row>
    <row r="42" spans="1:33" ht="18.95" customHeight="1">
      <c r="A42" s="4">
        <f t="shared" si="33"/>
        <v>730</v>
      </c>
      <c r="B42" s="6">
        <f>INDEX('Raw Data'!$B$6:$B$1371,MATCH(A42,'Raw Data'!$A$6:$A$1371,0))</f>
        <v>15670</v>
      </c>
      <c r="C42" s="6">
        <f t="shared" si="17"/>
        <v>795</v>
      </c>
      <c r="D42" s="6">
        <f>MOD(C42+Summary!$B$20,Summary!$B$11)</f>
        <v>789.74162379895915</v>
      </c>
      <c r="E42" s="6">
        <f>_xlfn.XLOOKUP(D42,'Native PMKS'!$C$6:$C$366,'Native PMKS'!$C$6:$C$366,,-1)</f>
        <v>783.33333333333337</v>
      </c>
      <c r="F42" s="6">
        <f>_xlfn.XLOOKUP(D42,'Native PMKS'!$C$6:$C$366,'Native PMKS'!$C$6:$C$366,,1)</f>
        <v>791.66666666666674</v>
      </c>
      <c r="G42" s="6">
        <f>_xlfn.XLOOKUP(D42,'Native PMKS'!$C$6:$C$366,'Native PMKS'!$O$6:$O$366,,-1)</f>
        <v>57.582299999999996</v>
      </c>
      <c r="H42" s="6">
        <f>_xlfn.XLOOKUP(D42,'Native PMKS'!$C$6:$C$366,'Native PMKS'!$O$6:$O$366,,1)</f>
        <v>57.868699999999997</v>
      </c>
      <c r="I42" s="6">
        <f t="shared" si="18"/>
        <v>57.802540126722619</v>
      </c>
      <c r="J42" s="6">
        <f>INDEX('Raw Data'!$L$6:$L$1371,MATCH(A42,'Raw Data'!$A$6:$A$1371,0))</f>
        <v>59.875</v>
      </c>
      <c r="K42" s="6">
        <f t="shared" si="19"/>
        <v>1.0450158896316049</v>
      </c>
      <c r="L42" s="6">
        <f t="shared" si="20"/>
        <v>1.0088446412274501</v>
      </c>
      <c r="M42" s="6">
        <f t="shared" si="21"/>
        <v>3.6171248404154754E-2</v>
      </c>
      <c r="N42" s="6">
        <f t="shared" si="22"/>
        <v>1.308359211115068E-3</v>
      </c>
      <c r="O42" s="6">
        <f>_xlfn.XLOOKUP(D42,'Instructor 360'!$B$6:$B$365,'Instructor 360'!$B$6:$B$365,,-1)</f>
        <v>785.51532033426179</v>
      </c>
      <c r="P42" s="6">
        <f>_xlfn.XLOOKUP(D42,'Instructor 360'!$B$6:$B$365,'Instructor 360'!$B$6:$B$365,,1)</f>
        <v>793.87186629526457</v>
      </c>
      <c r="Q42" s="6">
        <f>_xlfn.XLOOKUP(D42,'Instructor 360'!$B$6:$B$365,'Instructor 360'!$G$6:$G$365,,-1)</f>
        <v>57.657290529247902</v>
      </c>
      <c r="R42" s="6">
        <f>_xlfn.XLOOKUP(D42,'Instructor 360'!$B$6:$B$365,'Instructor 360'!$G$6:$G$365,,1)</f>
        <v>57.929351810584954</v>
      </c>
      <c r="S42" s="6">
        <f t="shared" si="23"/>
        <v>57.794884882380231</v>
      </c>
      <c r="T42" s="6">
        <f t="shared" si="24"/>
        <v>1.0087110320086308</v>
      </c>
      <c r="U42" s="6">
        <f t="shared" si="25"/>
        <v>3.6304857622974085E-2</v>
      </c>
      <c r="V42" s="6"/>
      <c r="W42" s="6">
        <f t="shared" si="26"/>
        <v>1.3180426870244195E-3</v>
      </c>
      <c r="AA42">
        <f t="shared" si="27"/>
        <v>795</v>
      </c>
      <c r="AB42">
        <f t="shared" si="28"/>
        <v>1.0450158896316049</v>
      </c>
      <c r="AC42">
        <f t="shared" si="29"/>
        <v>1.0087110320086308</v>
      </c>
      <c r="AE42">
        <f t="shared" si="30"/>
        <v>795</v>
      </c>
      <c r="AF42">
        <f t="shared" si="31"/>
        <v>59.875</v>
      </c>
      <c r="AG42">
        <f t="shared" si="32"/>
        <v>57.794884882380231</v>
      </c>
    </row>
    <row r="43" spans="1:33" ht="18.95" customHeight="1">
      <c r="A43" s="4">
        <f t="shared" si="33"/>
        <v>731</v>
      </c>
      <c r="B43" s="6">
        <f>INDEX('Raw Data'!$B$6:$B$1371,MATCH(A43,'Raw Data'!$A$6:$A$1371,0))</f>
        <v>15691</v>
      </c>
      <c r="C43" s="6">
        <f t="shared" si="17"/>
        <v>816</v>
      </c>
      <c r="D43" s="6">
        <f>MOD(C43+Summary!$B$20,Summary!$B$11)</f>
        <v>810.74162379895915</v>
      </c>
      <c r="E43" s="6">
        <f>_xlfn.XLOOKUP(D43,'Native PMKS'!$C$6:$C$366,'Native PMKS'!$C$6:$C$366,,-1)</f>
        <v>808.33333333333337</v>
      </c>
      <c r="F43" s="6">
        <f>_xlfn.XLOOKUP(D43,'Native PMKS'!$C$6:$C$366,'Native PMKS'!$C$6:$C$366,,1)</f>
        <v>816.66666666666674</v>
      </c>
      <c r="G43" s="6">
        <f>_xlfn.XLOOKUP(D43,'Native PMKS'!$C$6:$C$366,'Native PMKS'!$O$6:$O$366,,-1)</f>
        <v>58.327100000000002</v>
      </c>
      <c r="H43" s="6">
        <f>_xlfn.XLOOKUP(D43,'Native PMKS'!$C$6:$C$366,'Native PMKS'!$O$6:$O$366,,1)</f>
        <v>58.5563</v>
      </c>
      <c r="I43" s="6">
        <f t="shared" si="18"/>
        <v>58.39333762096657</v>
      </c>
      <c r="J43" s="6">
        <f>INDEX('Raw Data'!$L$6:$L$1371,MATCH(A43,'Raw Data'!$A$6:$A$1371,0))</f>
        <v>61.8125</v>
      </c>
      <c r="K43" s="6">
        <f t="shared" si="19"/>
        <v>1.0788316438889949</v>
      </c>
      <c r="L43" s="6">
        <f t="shared" si="20"/>
        <v>1.0191560027145392</v>
      </c>
      <c r="M43" s="6">
        <f t="shared" si="21"/>
        <v>5.9675641174455674E-2</v>
      </c>
      <c r="N43" s="6">
        <f t="shared" si="22"/>
        <v>3.5611821495823894E-3</v>
      </c>
      <c r="O43" s="6">
        <f>_xlfn.XLOOKUP(D43,'Instructor 360'!$B$6:$B$365,'Instructor 360'!$B$6:$B$365,,-1)</f>
        <v>810.58495821727024</v>
      </c>
      <c r="P43" s="6">
        <f>_xlfn.XLOOKUP(D43,'Instructor 360'!$B$6:$B$365,'Instructor 360'!$B$6:$B$365,,1)</f>
        <v>818.94150417827302</v>
      </c>
      <c r="Q43" s="6">
        <f>_xlfn.XLOOKUP(D43,'Instructor 360'!$B$6:$B$365,'Instructor 360'!$G$6:$G$365,,-1)</f>
        <v>58.389028690807798</v>
      </c>
      <c r="R43" s="6">
        <f>_xlfn.XLOOKUP(D43,'Instructor 360'!$B$6:$B$365,'Instructor 360'!$G$6:$G$365,,1)</f>
        <v>58.61886713091922</v>
      </c>
      <c r="S43" s="6">
        <f t="shared" si="23"/>
        <v>58.39333762096657</v>
      </c>
      <c r="T43" s="6">
        <f t="shared" si="24"/>
        <v>1.0191560027145392</v>
      </c>
      <c r="U43" s="6">
        <f t="shared" si="25"/>
        <v>5.9675641174455674E-2</v>
      </c>
      <c r="V43" s="6"/>
      <c r="W43" s="6">
        <f t="shared" si="26"/>
        <v>3.5611821495823894E-3</v>
      </c>
      <c r="AA43">
        <f t="shared" si="27"/>
        <v>816</v>
      </c>
      <c r="AB43">
        <f t="shared" si="28"/>
        <v>1.0788316438889949</v>
      </c>
      <c r="AC43">
        <f t="shared" si="29"/>
        <v>1.0191560027145392</v>
      </c>
      <c r="AE43">
        <f t="shared" si="30"/>
        <v>816</v>
      </c>
      <c r="AF43">
        <f t="shared" si="31"/>
        <v>61.812499999999993</v>
      </c>
      <c r="AG43">
        <f t="shared" si="32"/>
        <v>58.39333762096657</v>
      </c>
    </row>
    <row r="44" spans="1:33" ht="18.95" customHeight="1">
      <c r="A44" s="4">
        <f t="shared" si="33"/>
        <v>732</v>
      </c>
      <c r="B44" s="6">
        <f>INDEX('Raw Data'!$B$6:$B$1371,MATCH(A44,'Raw Data'!$A$6:$A$1371,0))</f>
        <v>15711</v>
      </c>
      <c r="C44" s="6">
        <f t="shared" si="17"/>
        <v>836</v>
      </c>
      <c r="D44" s="6">
        <f>MOD(C44+Summary!$B$20,Summary!$B$11)</f>
        <v>830.74162379895915</v>
      </c>
      <c r="E44" s="6">
        <f>_xlfn.XLOOKUP(D44,'Native PMKS'!$C$6:$C$366,'Native PMKS'!$C$6:$C$366,,-1)</f>
        <v>825.00000000000011</v>
      </c>
      <c r="F44" s="6">
        <f>_xlfn.XLOOKUP(D44,'Native PMKS'!$C$6:$C$366,'Native PMKS'!$C$6:$C$366,,1)</f>
        <v>833.33333333333337</v>
      </c>
      <c r="G44" s="6">
        <f>_xlfn.XLOOKUP(D44,'Native PMKS'!$C$6:$C$366,'Native PMKS'!$O$6:$O$366,,-1)</f>
        <v>58.785499999999999</v>
      </c>
      <c r="H44" s="6">
        <f>_xlfn.XLOOKUP(D44,'Native PMKS'!$C$6:$C$366,'Native PMKS'!$O$6:$O$366,,1)</f>
        <v>58.9574</v>
      </c>
      <c r="I44" s="6">
        <f t="shared" si="18"/>
        <v>58.903938215724921</v>
      </c>
      <c r="J44" s="6">
        <f>INDEX('Raw Data'!$L$6:$L$1371,MATCH(A44,'Raw Data'!$A$6:$A$1371,0))</f>
        <v>61.375</v>
      </c>
      <c r="K44" s="6">
        <f t="shared" si="19"/>
        <v>1.0711958284115197</v>
      </c>
      <c r="L44" s="6">
        <f t="shared" si="20"/>
        <v>1.0280676642557138</v>
      </c>
      <c r="M44" s="6">
        <f t="shared" si="21"/>
        <v>4.3128164155805893E-2</v>
      </c>
      <c r="N44" s="6">
        <f t="shared" si="22"/>
        <v>1.8600385434501402E-3</v>
      </c>
      <c r="O44" s="6">
        <f>_xlfn.XLOOKUP(D44,'Instructor 360'!$B$6:$B$365,'Instructor 360'!$B$6:$B$365,,-1)</f>
        <v>827.2980501392758</v>
      </c>
      <c r="P44" s="6">
        <f>_xlfn.XLOOKUP(D44,'Instructor 360'!$B$6:$B$365,'Instructor 360'!$B$6:$B$365,,1)</f>
        <v>835.65459610027858</v>
      </c>
      <c r="Q44" s="6">
        <f>_xlfn.XLOOKUP(D44,'Instructor 360'!$B$6:$B$365,'Instructor 360'!$G$6:$G$365,,-1)</f>
        <v>58.832904178272976</v>
      </c>
      <c r="R44" s="6">
        <f>_xlfn.XLOOKUP(D44,'Instructor 360'!$B$6:$B$365,'Instructor 360'!$G$6:$G$365,,1)</f>
        <v>59.005255153203343</v>
      </c>
      <c r="S44" s="6">
        <f t="shared" si="23"/>
        <v>58.903926737146065</v>
      </c>
      <c r="T44" s="6">
        <f t="shared" si="24"/>
        <v>1.0280674639167193</v>
      </c>
      <c r="U44" s="6">
        <f t="shared" si="25"/>
        <v>4.3128364494800397E-2</v>
      </c>
      <c r="V44" s="6"/>
      <c r="W44" s="6">
        <f t="shared" si="26"/>
        <v>1.8600558239963596E-3</v>
      </c>
      <c r="AA44">
        <f t="shared" si="27"/>
        <v>836</v>
      </c>
      <c r="AB44">
        <f t="shared" si="28"/>
        <v>1.0711958284115197</v>
      </c>
      <c r="AC44">
        <f t="shared" si="29"/>
        <v>1.0280674639167193</v>
      </c>
      <c r="AE44">
        <f t="shared" si="30"/>
        <v>836</v>
      </c>
      <c r="AF44">
        <f t="shared" si="31"/>
        <v>61.374999999999993</v>
      </c>
      <c r="AG44">
        <f t="shared" si="32"/>
        <v>58.903926737146065</v>
      </c>
    </row>
    <row r="45" spans="1:33" ht="18.95" customHeight="1">
      <c r="A45" s="4">
        <f t="shared" si="33"/>
        <v>733</v>
      </c>
      <c r="B45" s="6">
        <f>INDEX('Raw Data'!$B$6:$B$1371,MATCH(A45,'Raw Data'!$A$6:$A$1371,0))</f>
        <v>15733</v>
      </c>
      <c r="C45" s="6">
        <f t="shared" si="17"/>
        <v>858</v>
      </c>
      <c r="D45" s="6">
        <f>MOD(C45+Summary!$B$20,Summary!$B$11)</f>
        <v>852.74162379895915</v>
      </c>
      <c r="E45" s="6">
        <f>_xlfn.XLOOKUP(D45,'Native PMKS'!$C$6:$C$366,'Native PMKS'!$C$6:$C$366,,-1)</f>
        <v>850.00000000000011</v>
      </c>
      <c r="F45" s="6">
        <f>_xlfn.XLOOKUP(D45,'Native PMKS'!$C$6:$C$366,'Native PMKS'!$C$6:$C$366,,1)</f>
        <v>858.33333333333337</v>
      </c>
      <c r="G45" s="6">
        <f>_xlfn.XLOOKUP(D45,'Native PMKS'!$C$6:$C$366,'Native PMKS'!$O$6:$O$366,,-1)</f>
        <v>59.301099999999998</v>
      </c>
      <c r="H45" s="6">
        <f>_xlfn.XLOOKUP(D45,'Native PMKS'!$C$6:$C$366,'Native PMKS'!$O$6:$O$366,,1)</f>
        <v>59.472999999999999</v>
      </c>
      <c r="I45" s="6">
        <f t="shared" si="18"/>
        <v>59.357654215724921</v>
      </c>
      <c r="J45" s="6">
        <f>INDEX('Raw Data'!$L$6:$L$1371,MATCH(A45,'Raw Data'!$A$6:$A$1371,0))</f>
        <v>62.6875</v>
      </c>
      <c r="K45" s="6">
        <f t="shared" si="19"/>
        <v>1.0941032748439452</v>
      </c>
      <c r="L45" s="6">
        <f t="shared" si="20"/>
        <v>1.0359865023246924</v>
      </c>
      <c r="M45" s="6">
        <f t="shared" si="21"/>
        <v>5.8116772519252846E-2</v>
      </c>
      <c r="N45" s="6">
        <f t="shared" si="22"/>
        <v>3.377559248054583E-3</v>
      </c>
      <c r="O45" s="6">
        <f>_xlfn.XLOOKUP(D45,'Instructor 360'!$B$6:$B$365,'Instructor 360'!$B$6:$B$365,,-1)</f>
        <v>852.36768802228414</v>
      </c>
      <c r="P45" s="6">
        <f>_xlfn.XLOOKUP(D45,'Instructor 360'!$B$6:$B$365,'Instructor 360'!$B$6:$B$365,,1)</f>
        <v>860.72423398328692</v>
      </c>
      <c r="Q45" s="6">
        <f>_xlfn.XLOOKUP(D45,'Instructor 360'!$B$6:$B$365,'Instructor 360'!$G$6:$G$365,,-1)</f>
        <v>59.349940668523672</v>
      </c>
      <c r="R45" s="6">
        <f>_xlfn.XLOOKUP(D45,'Instructor 360'!$B$6:$B$365,'Instructor 360'!$G$6:$G$365,,1)</f>
        <v>59.505879665738163</v>
      </c>
      <c r="S45" s="6">
        <f t="shared" si="23"/>
        <v>59.356918571871468</v>
      </c>
      <c r="T45" s="6">
        <f t="shared" si="24"/>
        <v>1.0359736629173275</v>
      </c>
      <c r="U45" s="6">
        <f t="shared" si="25"/>
        <v>5.8129611926617697E-2</v>
      </c>
      <c r="V45" s="6"/>
      <c r="W45" s="6">
        <f t="shared" si="26"/>
        <v>3.3790517827391744E-3</v>
      </c>
      <c r="AA45">
        <f t="shared" si="27"/>
        <v>858</v>
      </c>
      <c r="AB45">
        <f t="shared" si="28"/>
        <v>1.0941032748439452</v>
      </c>
      <c r="AC45">
        <f t="shared" si="29"/>
        <v>1.0359736629173275</v>
      </c>
      <c r="AE45">
        <f t="shared" si="30"/>
        <v>858</v>
      </c>
      <c r="AF45">
        <f t="shared" si="31"/>
        <v>62.6875</v>
      </c>
      <c r="AG45">
        <f t="shared" si="32"/>
        <v>59.356918571871461</v>
      </c>
    </row>
    <row r="46" spans="1:33" ht="18.95" customHeight="1">
      <c r="A46" s="4">
        <f t="shared" si="33"/>
        <v>734</v>
      </c>
      <c r="B46" s="6">
        <f>INDEX('Raw Data'!$B$6:$B$1371,MATCH(A46,'Raw Data'!$A$6:$A$1371,0))</f>
        <v>15755</v>
      </c>
      <c r="C46" s="6">
        <f t="shared" si="17"/>
        <v>880</v>
      </c>
      <c r="D46" s="6">
        <f>MOD(C46+Summary!$B$20,Summary!$B$11)</f>
        <v>874.74162379895915</v>
      </c>
      <c r="E46" s="6">
        <f>_xlfn.XLOOKUP(D46,'Native PMKS'!$C$6:$C$366,'Native PMKS'!$C$6:$C$366,,-1)</f>
        <v>866.66666666666674</v>
      </c>
      <c r="F46" s="6">
        <f>_xlfn.XLOOKUP(D46,'Native PMKS'!$C$6:$C$366,'Native PMKS'!$C$6:$C$366,,1)</f>
        <v>875.00000000000011</v>
      </c>
      <c r="G46" s="6">
        <f>_xlfn.XLOOKUP(D46,'Native PMKS'!$C$6:$C$366,'Native PMKS'!$O$6:$O$366,,-1)</f>
        <v>59.587600000000002</v>
      </c>
      <c r="H46" s="6">
        <f>_xlfn.XLOOKUP(D46,'Native PMKS'!$C$6:$C$366,'Native PMKS'!$O$6:$O$366,,1)</f>
        <v>59.702199999999998</v>
      </c>
      <c r="I46" s="6">
        <f t="shared" si="18"/>
        <v>59.698646810483282</v>
      </c>
      <c r="J46" s="6">
        <f>INDEX('Raw Data'!$L$6:$L$1371,MATCH(A46,'Raw Data'!$A$6:$A$1371,0))</f>
        <v>61.375</v>
      </c>
      <c r="K46" s="6">
        <f t="shared" si="19"/>
        <v>1.0711958284115197</v>
      </c>
      <c r="L46" s="6">
        <f t="shared" si="20"/>
        <v>1.0419379458281446</v>
      </c>
      <c r="M46" s="6">
        <f t="shared" si="21"/>
        <v>2.9257882583375139E-2</v>
      </c>
      <c r="N46" s="6">
        <f t="shared" si="22"/>
        <v>8.560236932625663E-4</v>
      </c>
      <c r="O46" s="6">
        <f>_xlfn.XLOOKUP(D46,'Instructor 360'!$B$6:$B$365,'Instructor 360'!$B$6:$B$365,,-1)</f>
        <v>869.0807799442897</v>
      </c>
      <c r="P46" s="6">
        <f>_xlfn.XLOOKUP(D46,'Instructor 360'!$B$6:$B$365,'Instructor 360'!$B$6:$B$365,,1)</f>
        <v>877.43732590529248</v>
      </c>
      <c r="Q46" s="6">
        <f>_xlfn.XLOOKUP(D46,'Instructor 360'!$B$6:$B$365,'Instructor 360'!$G$6:$G$365,,-1)</f>
        <v>59.620798885793874</v>
      </c>
      <c r="R46" s="6">
        <f>_xlfn.XLOOKUP(D46,'Instructor 360'!$B$6:$B$365,'Instructor 360'!$G$6:$G$365,,1)</f>
        <v>59.735718105849578</v>
      </c>
      <c r="S46" s="6">
        <f t="shared" si="23"/>
        <v>59.698646810483275</v>
      </c>
      <c r="T46" s="6">
        <f t="shared" si="24"/>
        <v>1.0419379458281444</v>
      </c>
      <c r="U46" s="6">
        <f t="shared" si="25"/>
        <v>2.9257882583375361E-2</v>
      </c>
      <c r="V46" s="6"/>
      <c r="W46" s="6">
        <f t="shared" si="26"/>
        <v>8.5602369326257931E-4</v>
      </c>
      <c r="AA46">
        <f t="shared" si="27"/>
        <v>880</v>
      </c>
      <c r="AB46">
        <f t="shared" si="28"/>
        <v>1.0711958284115197</v>
      </c>
      <c r="AC46">
        <f t="shared" si="29"/>
        <v>1.0419379458281444</v>
      </c>
      <c r="AE46">
        <f t="shared" si="30"/>
        <v>880</v>
      </c>
      <c r="AF46">
        <f t="shared" si="31"/>
        <v>61.374999999999993</v>
      </c>
      <c r="AG46">
        <f t="shared" si="32"/>
        <v>59.698646810483275</v>
      </c>
    </row>
    <row r="47" spans="1:33" ht="18.95" customHeight="1">
      <c r="A47" s="4">
        <f t="shared" si="33"/>
        <v>735</v>
      </c>
      <c r="B47" s="6">
        <f>INDEX('Raw Data'!$B$6:$B$1371,MATCH(A47,'Raw Data'!$A$6:$A$1371,0))</f>
        <v>15785</v>
      </c>
      <c r="C47" s="6">
        <f t="shared" si="17"/>
        <v>910</v>
      </c>
      <c r="D47" s="6">
        <f>MOD(C47+Summary!$B$20,Summary!$B$11)</f>
        <v>904.74162379895915</v>
      </c>
      <c r="E47" s="6">
        <f>_xlfn.XLOOKUP(D47,'Native PMKS'!$C$6:$C$366,'Native PMKS'!$C$6:$C$366,,-1)</f>
        <v>900.00000000000011</v>
      </c>
      <c r="F47" s="6">
        <f>_xlfn.XLOOKUP(D47,'Native PMKS'!$C$6:$C$366,'Native PMKS'!$C$6:$C$366,,1)</f>
        <v>908.33333333333337</v>
      </c>
      <c r="G47" s="6">
        <f>_xlfn.XLOOKUP(D47,'Native PMKS'!$C$6:$C$366,'Native PMKS'!$O$6:$O$366,,-1)</f>
        <v>59.988700000000001</v>
      </c>
      <c r="H47" s="6">
        <f>_xlfn.XLOOKUP(D47,'Native PMKS'!$C$6:$C$366,'Native PMKS'!$O$6:$O$366,,1)</f>
        <v>60.045999999999999</v>
      </c>
      <c r="I47" s="6">
        <f t="shared" si="18"/>
        <v>60.021303405241646</v>
      </c>
      <c r="J47" s="6">
        <f>INDEX('Raw Data'!$L$6:$L$1371,MATCH(A47,'Raw Data'!$A$6:$A$1371,0))</f>
        <v>62.6875</v>
      </c>
      <c r="K47" s="6">
        <f t="shared" si="19"/>
        <v>1.0941032748439452</v>
      </c>
      <c r="L47" s="6">
        <f t="shared" si="20"/>
        <v>1.047569365759951</v>
      </c>
      <c r="M47" s="6">
        <f t="shared" si="21"/>
        <v>4.653390908399424E-2</v>
      </c>
      <c r="N47" s="6">
        <f t="shared" si="22"/>
        <v>2.1654046946374419E-3</v>
      </c>
      <c r="O47" s="6">
        <f>_xlfn.XLOOKUP(D47,'Instructor 360'!$B$6:$B$365,'Instructor 360'!$B$6:$B$365,,-1)</f>
        <v>902.50696378830082</v>
      </c>
      <c r="P47" s="6">
        <f>_xlfn.XLOOKUP(D47,'Instructor 360'!$B$6:$B$365,'Instructor 360'!$B$6:$B$365,,1)</f>
        <v>910.8635097493036</v>
      </c>
      <c r="Q47" s="6">
        <f>_xlfn.XLOOKUP(D47,'Instructor 360'!$B$6:$B$365,'Instructor 360'!$G$6:$G$365,,-1)</f>
        <v>60.005937883008357</v>
      </c>
      <c r="R47" s="6">
        <f>_xlfn.XLOOKUP(D47,'Instructor 360'!$B$6:$B$365,'Instructor 360'!$G$6:$G$365,,1)</f>
        <v>60.045999999999999</v>
      </c>
      <c r="S47" s="6">
        <f t="shared" si="23"/>
        <v>60.016651066565451</v>
      </c>
      <c r="T47" s="6">
        <f t="shared" si="24"/>
        <v>1.0474881671321334</v>
      </c>
      <c r="U47" s="6">
        <f t="shared" si="25"/>
        <v>4.6615107711811765E-2</v>
      </c>
      <c r="V47" s="6"/>
      <c r="W47" s="6">
        <f t="shared" si="26"/>
        <v>2.1729682669838126E-3</v>
      </c>
      <c r="AA47">
        <f t="shared" si="27"/>
        <v>910</v>
      </c>
      <c r="AB47">
        <f t="shared" si="28"/>
        <v>1.0941032748439452</v>
      </c>
      <c r="AC47">
        <f t="shared" si="29"/>
        <v>1.0474881671321334</v>
      </c>
      <c r="AE47">
        <f t="shared" si="30"/>
        <v>910</v>
      </c>
      <c r="AF47">
        <f t="shared" si="31"/>
        <v>62.6875</v>
      </c>
      <c r="AG47">
        <f t="shared" si="32"/>
        <v>60.016651066565437</v>
      </c>
    </row>
    <row r="48" spans="1:33" ht="18.95" customHeight="1">
      <c r="A48" s="4">
        <f t="shared" si="33"/>
        <v>736</v>
      </c>
      <c r="B48" s="6">
        <f>INDEX('Raw Data'!$B$6:$B$1371,MATCH(A48,'Raw Data'!$A$6:$A$1371,0))</f>
        <v>15805</v>
      </c>
      <c r="C48" s="6">
        <f t="shared" si="17"/>
        <v>930</v>
      </c>
      <c r="D48" s="6">
        <f>MOD(C48+Summary!$B$20,Summary!$B$11)</f>
        <v>924.74162379895915</v>
      </c>
      <c r="E48" s="6">
        <f>_xlfn.XLOOKUP(D48,'Native PMKS'!$C$6:$C$366,'Native PMKS'!$C$6:$C$366,,-1)</f>
        <v>916.66666666666674</v>
      </c>
      <c r="F48" s="6">
        <f>_xlfn.XLOOKUP(D48,'Native PMKS'!$C$6:$C$366,'Native PMKS'!$C$6:$C$366,,1)</f>
        <v>925.00000000000011</v>
      </c>
      <c r="G48" s="6">
        <f>_xlfn.XLOOKUP(D48,'Native PMKS'!$C$6:$C$366,'Native PMKS'!$O$6:$O$366,,-1)</f>
        <v>60.045999999999999</v>
      </c>
      <c r="H48" s="6">
        <f>_xlfn.XLOOKUP(D48,'Native PMKS'!$C$6:$C$366,'Native PMKS'!$O$6:$O$366,,1)</f>
        <v>60.103299999999997</v>
      </c>
      <c r="I48" s="6">
        <f t="shared" si="18"/>
        <v>60.101523405241636</v>
      </c>
      <c r="J48" s="6">
        <f>INDEX('Raw Data'!$L$6:$L$1371,MATCH(A48,'Raw Data'!$A$6:$A$1371,0))</f>
        <v>61.125</v>
      </c>
      <c r="K48" s="6">
        <f t="shared" si="19"/>
        <v>1.0668325052815339</v>
      </c>
      <c r="L48" s="6">
        <f t="shared" si="20"/>
        <v>1.0489694688859006</v>
      </c>
      <c r="M48" s="6">
        <f t="shared" si="21"/>
        <v>1.7863036395633358E-2</v>
      </c>
      <c r="N48" s="6">
        <f t="shared" si="22"/>
        <v>3.1908806927172202E-4</v>
      </c>
      <c r="O48" s="6">
        <f>_xlfn.XLOOKUP(D48,'Instructor 360'!$B$6:$B$365,'Instructor 360'!$B$6:$B$365,,-1)</f>
        <v>919.22005571030638</v>
      </c>
      <c r="P48" s="6">
        <f>_xlfn.XLOOKUP(D48,'Instructor 360'!$B$6:$B$365,'Instructor 360'!$B$6:$B$365,,1)</f>
        <v>927.57660167130916</v>
      </c>
      <c r="Q48" s="6">
        <f>_xlfn.XLOOKUP(D48,'Instructor 360'!$B$6:$B$365,'Instructor 360'!$G$6:$G$365,,-1)</f>
        <v>60.063557103064063</v>
      </c>
      <c r="R48" s="6">
        <f>_xlfn.XLOOKUP(D48,'Instructor 360'!$B$6:$B$365,'Instructor 360'!$G$6:$G$365,,1)</f>
        <v>60.103299999999997</v>
      </c>
      <c r="S48" s="6">
        <f t="shared" si="23"/>
        <v>60.08981712873689</v>
      </c>
      <c r="T48" s="6">
        <f t="shared" si="24"/>
        <v>1.048765155817744</v>
      </c>
      <c r="U48" s="6">
        <f t="shared" si="25"/>
        <v>1.8067349463789961E-2</v>
      </c>
      <c r="V48" s="6"/>
      <c r="W48" s="6">
        <f t="shared" si="26"/>
        <v>3.2642911664671138E-4</v>
      </c>
      <c r="AA48">
        <f t="shared" si="27"/>
        <v>930</v>
      </c>
      <c r="AB48">
        <f t="shared" si="28"/>
        <v>1.0668325052815339</v>
      </c>
      <c r="AC48">
        <f t="shared" si="29"/>
        <v>1.048765155817744</v>
      </c>
      <c r="AE48">
        <f t="shared" si="30"/>
        <v>930</v>
      </c>
      <c r="AF48">
        <f t="shared" si="31"/>
        <v>61.125000000000007</v>
      </c>
      <c r="AG48">
        <f t="shared" si="32"/>
        <v>60.08981712873689</v>
      </c>
    </row>
    <row r="49" spans="1:33" ht="18.95" customHeight="1">
      <c r="A49" s="4">
        <f t="shared" si="33"/>
        <v>737</v>
      </c>
      <c r="B49" s="6">
        <f>INDEX('Raw Data'!$B$6:$B$1371,MATCH(A49,'Raw Data'!$A$6:$A$1371,0))</f>
        <v>15828</v>
      </c>
      <c r="C49" s="6">
        <f t="shared" si="17"/>
        <v>953</v>
      </c>
      <c r="D49" s="6">
        <f>MOD(C49+Summary!$B$20,Summary!$B$11)</f>
        <v>947.74162379895915</v>
      </c>
      <c r="E49" s="6">
        <f>_xlfn.XLOOKUP(D49,'Native PMKS'!$C$6:$C$366,'Native PMKS'!$C$6:$C$366,,-1)</f>
        <v>941.66666666666674</v>
      </c>
      <c r="F49" s="6">
        <f>_xlfn.XLOOKUP(D49,'Native PMKS'!$C$6:$C$366,'Native PMKS'!$C$6:$C$366,,1)</f>
        <v>950.00000000000011</v>
      </c>
      <c r="G49" s="6">
        <f>_xlfn.XLOOKUP(D49,'Native PMKS'!$C$6:$C$366,'Native PMKS'!$O$6:$O$366,,-1)</f>
        <v>60.103299999999997</v>
      </c>
      <c r="H49" s="6">
        <f>_xlfn.XLOOKUP(D49,'Native PMKS'!$C$6:$C$366,'Native PMKS'!$O$6:$O$366,,1)</f>
        <v>60.103299999999997</v>
      </c>
      <c r="I49" s="6">
        <f t="shared" si="18"/>
        <v>60.103299999999997</v>
      </c>
      <c r="J49" s="6">
        <f>INDEX('Raw Data'!$L$6:$L$1371,MATCH(A49,'Raw Data'!$A$6:$A$1371,0))</f>
        <v>61.625</v>
      </c>
      <c r="K49" s="6">
        <f t="shared" si="19"/>
        <v>1.0755591515415057</v>
      </c>
      <c r="L49" s="6">
        <f t="shared" si="20"/>
        <v>1.0490004763139078</v>
      </c>
      <c r="M49" s="6">
        <f t="shared" si="21"/>
        <v>2.6558675227597917E-2</v>
      </c>
      <c r="N49" s="6">
        <f t="shared" si="22"/>
        <v>7.053632298450232E-4</v>
      </c>
      <c r="O49" s="6">
        <f>_xlfn.XLOOKUP(D49,'Instructor 360'!$B$6:$B$365,'Instructor 360'!$B$6:$B$365,,-1)</f>
        <v>944.28969359331472</v>
      </c>
      <c r="P49" s="6">
        <f>_xlfn.XLOOKUP(D49,'Instructor 360'!$B$6:$B$365,'Instructor 360'!$B$6:$B$365,,1)</f>
        <v>952.6462395543175</v>
      </c>
      <c r="Q49" s="6">
        <f>_xlfn.XLOOKUP(D49,'Instructor 360'!$B$6:$B$365,'Instructor 360'!$G$6:$G$365,,-1)</f>
        <v>60.103299999999997</v>
      </c>
      <c r="R49" s="6">
        <f>_xlfn.XLOOKUP(D49,'Instructor 360'!$B$6:$B$365,'Instructor 360'!$G$6:$G$365,,1)</f>
        <v>60.08510445682451</v>
      </c>
      <c r="S49" s="6">
        <f t="shared" si="23"/>
        <v>60.095783767170232</v>
      </c>
      <c r="T49" s="6">
        <f t="shared" si="24"/>
        <v>1.0488692933036818</v>
      </c>
      <c r="U49" s="6">
        <f t="shared" si="25"/>
        <v>2.6689858237823882E-2</v>
      </c>
      <c r="V49" s="6"/>
      <c r="W49" s="6">
        <f t="shared" si="26"/>
        <v>7.1234853275513538E-4</v>
      </c>
      <c r="AA49">
        <f t="shared" si="27"/>
        <v>953</v>
      </c>
      <c r="AB49">
        <f t="shared" si="28"/>
        <v>1.0755591515415057</v>
      </c>
      <c r="AC49">
        <f t="shared" si="29"/>
        <v>1.0488692933036818</v>
      </c>
      <c r="AE49">
        <f t="shared" si="30"/>
        <v>953</v>
      </c>
      <c r="AF49">
        <f t="shared" si="31"/>
        <v>61.625000000000014</v>
      </c>
      <c r="AG49">
        <f t="shared" si="32"/>
        <v>60.095783767170225</v>
      </c>
    </row>
    <row r="50" spans="1:33" ht="18.95" customHeight="1">
      <c r="A50" s="4">
        <f t="shared" si="33"/>
        <v>738</v>
      </c>
      <c r="B50" s="6">
        <f>INDEX('Raw Data'!$B$6:$B$1371,MATCH(A50,'Raw Data'!$A$6:$A$1371,0))</f>
        <v>15848</v>
      </c>
      <c r="C50" s="6">
        <f t="shared" si="17"/>
        <v>973</v>
      </c>
      <c r="D50" s="6">
        <f>MOD(C50+Summary!$B$20,Summary!$B$11)</f>
        <v>967.74162379895915</v>
      </c>
      <c r="E50" s="6">
        <f>_xlfn.XLOOKUP(D50,'Native PMKS'!$C$6:$C$366,'Native PMKS'!$C$6:$C$366,,-1)</f>
        <v>966.66666666666674</v>
      </c>
      <c r="F50" s="6">
        <f>_xlfn.XLOOKUP(D50,'Native PMKS'!$C$6:$C$366,'Native PMKS'!$C$6:$C$366,,1)</f>
        <v>975.00000000000011</v>
      </c>
      <c r="G50" s="6">
        <f>_xlfn.XLOOKUP(D50,'Native PMKS'!$C$6:$C$366,'Native PMKS'!$O$6:$O$366,,-1)</f>
        <v>60.045999999999999</v>
      </c>
      <c r="H50" s="6">
        <f>_xlfn.XLOOKUP(D50,'Native PMKS'!$C$6:$C$366,'Native PMKS'!$O$6:$O$366,,1)</f>
        <v>59.988700000000001</v>
      </c>
      <c r="I50" s="6">
        <f t="shared" si="18"/>
        <v>60.038608594758351</v>
      </c>
      <c r="J50" s="6">
        <f>INDEX('Raw Data'!$L$6:$L$1371,MATCH(A50,'Raw Data'!$A$6:$A$1371,0))</f>
        <v>61.3125</v>
      </c>
      <c r="K50" s="6">
        <f t="shared" si="19"/>
        <v>1.0701049976290233</v>
      </c>
      <c r="L50" s="6">
        <f t="shared" si="20"/>
        <v>1.0478713982946992</v>
      </c>
      <c r="M50" s="6">
        <f t="shared" si="21"/>
        <v>2.2233599334324117E-2</v>
      </c>
      <c r="N50" s="6">
        <f t="shared" si="22"/>
        <v>4.943329393592578E-4</v>
      </c>
      <c r="O50" s="6">
        <f>_xlfn.XLOOKUP(D50,'Instructor 360'!$B$6:$B$365,'Instructor 360'!$B$6:$B$365,,-1)</f>
        <v>961.00278551532028</v>
      </c>
      <c r="P50" s="6">
        <f>_xlfn.XLOOKUP(D50,'Instructor 360'!$B$6:$B$365,'Instructor 360'!$B$6:$B$365,,1)</f>
        <v>969.35933147632306</v>
      </c>
      <c r="Q50" s="6">
        <f>_xlfn.XLOOKUP(D50,'Instructor 360'!$B$6:$B$365,'Instructor 360'!$G$6:$G$365,,-1)</f>
        <v>60.045999999999999</v>
      </c>
      <c r="R50" s="6">
        <f>_xlfn.XLOOKUP(D50,'Instructor 360'!$B$6:$B$365,'Instructor 360'!$G$6:$G$365,,1)</f>
        <v>60.027485236768804</v>
      </c>
      <c r="S50" s="6">
        <f t="shared" si="23"/>
        <v>60.031069429898771</v>
      </c>
      <c r="T50" s="6">
        <f t="shared" si="24"/>
        <v>1.0477398150450488</v>
      </c>
      <c r="U50" s="6">
        <f t="shared" si="25"/>
        <v>2.2365182583974574E-2</v>
      </c>
      <c r="V50" s="6"/>
      <c r="W50" s="6">
        <f t="shared" si="26"/>
        <v>5.0020139201451962E-4</v>
      </c>
      <c r="AA50">
        <f t="shared" si="27"/>
        <v>973</v>
      </c>
      <c r="AB50">
        <f t="shared" si="28"/>
        <v>1.0701049976290233</v>
      </c>
      <c r="AC50">
        <f t="shared" si="29"/>
        <v>1.0477398150450488</v>
      </c>
      <c r="AE50">
        <f t="shared" si="30"/>
        <v>973</v>
      </c>
      <c r="AF50">
        <f t="shared" si="31"/>
        <v>61.312500000000007</v>
      </c>
      <c r="AG50">
        <f t="shared" si="32"/>
        <v>60.031069429898771</v>
      </c>
    </row>
    <row r="51" spans="1:33" ht="18.95" customHeight="1">
      <c r="A51" s="4">
        <f t="shared" si="33"/>
        <v>739</v>
      </c>
      <c r="B51" s="6">
        <f>INDEX('Raw Data'!$B$6:$B$1371,MATCH(A51,'Raw Data'!$A$6:$A$1371,0))</f>
        <v>15869</v>
      </c>
      <c r="C51" s="6">
        <f t="shared" si="17"/>
        <v>994</v>
      </c>
      <c r="D51" s="6">
        <f>MOD(C51+Summary!$B$20,Summary!$B$11)</f>
        <v>988.74162379895915</v>
      </c>
      <c r="E51" s="6">
        <f>_xlfn.XLOOKUP(D51,'Native PMKS'!$C$6:$C$366,'Native PMKS'!$C$6:$C$366,,-1)</f>
        <v>983.33333333333337</v>
      </c>
      <c r="F51" s="6">
        <f>_xlfn.XLOOKUP(D51,'Native PMKS'!$C$6:$C$366,'Native PMKS'!$C$6:$C$366,,1)</f>
        <v>991.66666666666674</v>
      </c>
      <c r="G51" s="6">
        <f>_xlfn.XLOOKUP(D51,'Native PMKS'!$C$6:$C$366,'Native PMKS'!$O$6:$O$366,,-1)</f>
        <v>59.874099999999999</v>
      </c>
      <c r="H51" s="6">
        <f>_xlfn.XLOOKUP(D51,'Native PMKS'!$C$6:$C$366,'Native PMKS'!$O$6:$O$366,,1)</f>
        <v>59.816800000000001</v>
      </c>
      <c r="I51" s="6">
        <f t="shared" si="18"/>
        <v>59.83691259475836</v>
      </c>
      <c r="J51" s="6">
        <f>INDEX('Raw Data'!$L$6:$L$1371,MATCH(A51,'Raw Data'!$A$6:$A$1371,0))</f>
        <v>62.875</v>
      </c>
      <c r="K51" s="6">
        <f t="shared" si="19"/>
        <v>1.0973757671914346</v>
      </c>
      <c r="L51" s="6">
        <f t="shared" si="20"/>
        <v>1.0443511390065967</v>
      </c>
      <c r="M51" s="6">
        <f t="shared" si="21"/>
        <v>5.3024628184837885E-2</v>
      </c>
      <c r="N51" s="6">
        <f t="shared" si="22"/>
        <v>2.8116111941403044E-3</v>
      </c>
      <c r="O51" s="6">
        <f>_xlfn.XLOOKUP(D51,'Instructor 360'!$B$6:$B$365,'Instructor 360'!$B$6:$B$365,,-1)</f>
        <v>986.07242339832874</v>
      </c>
      <c r="P51" s="6">
        <f>_xlfn.XLOOKUP(D51,'Instructor 360'!$B$6:$B$365,'Instructor 360'!$B$6:$B$365,,1)</f>
        <v>994.42896935933152</v>
      </c>
      <c r="Q51" s="6">
        <f>_xlfn.XLOOKUP(D51,'Instructor 360'!$B$6:$B$365,'Instructor 360'!$G$6:$G$365,,-1)</f>
        <v>59.855266016713088</v>
      </c>
      <c r="R51" s="6">
        <f>_xlfn.XLOOKUP(D51,'Instructor 360'!$B$6:$B$365,'Instructor 360'!$G$6:$G$365,,1)</f>
        <v>59.778812813370472</v>
      </c>
      <c r="S51" s="6">
        <f t="shared" si="23"/>
        <v>59.830845769167752</v>
      </c>
      <c r="T51" s="6">
        <f t="shared" si="24"/>
        <v>1.0442452529248964</v>
      </c>
      <c r="U51" s="6">
        <f t="shared" si="25"/>
        <v>5.3130514266538142E-2</v>
      </c>
      <c r="V51" s="6"/>
      <c r="W51" s="6">
        <f t="shared" si="26"/>
        <v>2.8228515462268133E-3</v>
      </c>
      <c r="AA51">
        <f t="shared" si="27"/>
        <v>994</v>
      </c>
      <c r="AB51">
        <f t="shared" si="28"/>
        <v>1.0973757671914346</v>
      </c>
      <c r="AC51">
        <f t="shared" si="29"/>
        <v>1.0442452529248964</v>
      </c>
      <c r="AE51">
        <f t="shared" si="30"/>
        <v>994</v>
      </c>
      <c r="AF51">
        <f t="shared" si="31"/>
        <v>62.875</v>
      </c>
      <c r="AG51">
        <f t="shared" si="32"/>
        <v>59.830845769167752</v>
      </c>
    </row>
    <row r="52" spans="1:33" ht="18.95" customHeight="1">
      <c r="A52" s="4">
        <f t="shared" si="33"/>
        <v>740</v>
      </c>
      <c r="B52" s="6">
        <f>INDEX('Raw Data'!$B$6:$B$1371,MATCH(A52,'Raw Data'!$A$6:$A$1371,0))</f>
        <v>15891</v>
      </c>
      <c r="C52" s="6">
        <f t="shared" si="17"/>
        <v>1016</v>
      </c>
      <c r="D52" s="6">
        <f>MOD(C52+Summary!$B$20,Summary!$B$11)</f>
        <v>1010.7416237989592</v>
      </c>
      <c r="E52" s="6">
        <f>_xlfn.XLOOKUP(D52,'Native PMKS'!$C$6:$C$366,'Native PMKS'!$C$6:$C$366,,-1)</f>
        <v>1008.3333333333334</v>
      </c>
      <c r="F52" s="6">
        <f>_xlfn.XLOOKUP(D52,'Native PMKS'!$C$6:$C$366,'Native PMKS'!$C$6:$C$366,,1)</f>
        <v>1016.6666666666667</v>
      </c>
      <c r="G52" s="6">
        <f>_xlfn.XLOOKUP(D52,'Native PMKS'!$C$6:$C$366,'Native PMKS'!$O$6:$O$366,,-1)</f>
        <v>59.587600000000002</v>
      </c>
      <c r="H52" s="6">
        <f>_xlfn.XLOOKUP(D52,'Native PMKS'!$C$6:$C$366,'Native PMKS'!$O$6:$O$366,,1)</f>
        <v>59.472999999999999</v>
      </c>
      <c r="I52" s="6">
        <f t="shared" si="18"/>
        <v>59.554481189516707</v>
      </c>
      <c r="J52" s="6">
        <f>INDEX('Raw Data'!$L$6:$L$1371,MATCH(A52,'Raw Data'!$A$6:$A$1371,0))</f>
        <v>61.5</v>
      </c>
      <c r="K52" s="6">
        <f t="shared" si="19"/>
        <v>1.0733774899765127</v>
      </c>
      <c r="L52" s="6">
        <f t="shared" si="20"/>
        <v>1.0394217810740956</v>
      </c>
      <c r="M52" s="6">
        <f t="shared" si="21"/>
        <v>3.395570890241717E-2</v>
      </c>
      <c r="N52" s="6">
        <f t="shared" si="22"/>
        <v>1.1529901670656927E-3</v>
      </c>
      <c r="O52" s="6">
        <f>_xlfn.XLOOKUP(D52,'Instructor 360'!$B$6:$B$365,'Instructor 360'!$B$6:$B$365,,-1)</f>
        <v>1002.7855153203343</v>
      </c>
      <c r="P52" s="6">
        <f>_xlfn.XLOOKUP(D52,'Instructor 360'!$B$6:$B$365,'Instructor 360'!$B$6:$B$365,,1)</f>
        <v>1011.1420612813371</v>
      </c>
      <c r="Q52" s="6">
        <f>_xlfn.XLOOKUP(D52,'Instructor 360'!$B$6:$B$365,'Instructor 360'!$G$6:$G$365,,-1)</f>
        <v>59.663893593314761</v>
      </c>
      <c r="R52" s="6">
        <f>_xlfn.XLOOKUP(D52,'Instructor 360'!$B$6:$B$365,'Instructor 360'!$G$6:$G$365,,1)</f>
        <v>59.548974373259057</v>
      </c>
      <c r="S52" s="6">
        <f t="shared" si="23"/>
        <v>59.554481189516714</v>
      </c>
      <c r="T52" s="6">
        <f t="shared" si="24"/>
        <v>1.0394217810740958</v>
      </c>
      <c r="U52" s="6">
        <f t="shared" si="25"/>
        <v>3.3955708902416948E-2</v>
      </c>
      <c r="V52" s="6"/>
      <c r="W52" s="6">
        <f t="shared" si="26"/>
        <v>1.1529901670656775E-3</v>
      </c>
      <c r="AA52">
        <f t="shared" si="27"/>
        <v>1016</v>
      </c>
      <c r="AB52">
        <f t="shared" si="28"/>
        <v>1.0733774899765127</v>
      </c>
      <c r="AC52">
        <f t="shared" si="29"/>
        <v>1.0394217810740958</v>
      </c>
      <c r="AE52">
        <f t="shared" si="30"/>
        <v>1016</v>
      </c>
      <c r="AF52">
        <f t="shared" si="31"/>
        <v>61.500000000000007</v>
      </c>
      <c r="AG52">
        <f t="shared" si="32"/>
        <v>59.554481189516714</v>
      </c>
    </row>
    <row r="53" spans="1:33" ht="18.95" customHeight="1">
      <c r="A53" s="4">
        <f t="shared" si="33"/>
        <v>741</v>
      </c>
      <c r="B53" s="6">
        <f>INDEX('Raw Data'!$B$6:$B$1371,MATCH(A53,'Raw Data'!$A$6:$A$1371,0))</f>
        <v>15911</v>
      </c>
      <c r="C53" s="6">
        <f t="shared" si="17"/>
        <v>1036</v>
      </c>
      <c r="D53" s="6">
        <f>MOD(C53+Summary!$B$20,Summary!$B$11)</f>
        <v>1030.7416237989592</v>
      </c>
      <c r="E53" s="6">
        <f>_xlfn.XLOOKUP(D53,'Native PMKS'!$C$6:$C$366,'Native PMKS'!$C$6:$C$366,,-1)</f>
        <v>1025</v>
      </c>
      <c r="F53" s="6">
        <f>_xlfn.XLOOKUP(D53,'Native PMKS'!$C$6:$C$366,'Native PMKS'!$C$6:$C$366,,1)</f>
        <v>1033.3333333333335</v>
      </c>
      <c r="G53" s="6">
        <f>_xlfn.XLOOKUP(D53,'Native PMKS'!$C$6:$C$366,'Native PMKS'!$O$6:$O$366,,-1)</f>
        <v>59.358400000000003</v>
      </c>
      <c r="H53" s="6">
        <f>_xlfn.XLOOKUP(D53,'Native PMKS'!$C$6:$C$366,'Native PMKS'!$O$6:$O$366,,1)</f>
        <v>59.186500000000002</v>
      </c>
      <c r="I53" s="6">
        <f t="shared" si="18"/>
        <v>59.239961784275081</v>
      </c>
      <c r="J53" s="6">
        <f>INDEX('Raw Data'!$L$6:$L$1371,MATCH(A53,'Raw Data'!$A$6:$A$1371,0))</f>
        <v>62.625</v>
      </c>
      <c r="K53" s="6">
        <f t="shared" si="19"/>
        <v>1.0930124440614488</v>
      </c>
      <c r="L53" s="6">
        <f t="shared" si="20"/>
        <v>1.0339323818912149</v>
      </c>
      <c r="M53" s="6">
        <f t="shared" si="21"/>
        <v>5.9080062170233871E-2</v>
      </c>
      <c r="N53" s="6">
        <f t="shared" si="22"/>
        <v>3.4904537460386993E-3</v>
      </c>
      <c r="O53" s="6">
        <f>_xlfn.XLOOKUP(D53,'Instructor 360'!$B$6:$B$365,'Instructor 360'!$B$6:$B$365,,-1)</f>
        <v>1027.8551532033425</v>
      </c>
      <c r="P53" s="6">
        <f>_xlfn.XLOOKUP(D53,'Instructor 360'!$B$6:$B$365,'Instructor 360'!$B$6:$B$365,,1)</f>
        <v>1036.2116991643454</v>
      </c>
      <c r="Q53" s="6">
        <f>_xlfn.XLOOKUP(D53,'Instructor 360'!$B$6:$B$365,'Instructor 360'!$G$6:$G$365,,-1)</f>
        <v>59.299503899721458</v>
      </c>
      <c r="R53" s="6">
        <f>_xlfn.XLOOKUP(D53,'Instructor 360'!$B$6:$B$365,'Instructor 360'!$G$6:$G$365,,1)</f>
        <v>59.12715961002786</v>
      </c>
      <c r="S53" s="6">
        <f t="shared" si="23"/>
        <v>59.239973715020199</v>
      </c>
      <c r="T53" s="6">
        <f t="shared" si="24"/>
        <v>1.0339325901219996</v>
      </c>
      <c r="U53" s="6">
        <f t="shared" si="25"/>
        <v>5.9079853939449256E-2</v>
      </c>
      <c r="V53" s="6"/>
      <c r="W53" s="6">
        <f t="shared" si="26"/>
        <v>3.4904291415066577E-3</v>
      </c>
      <c r="AA53">
        <f t="shared" si="27"/>
        <v>1036</v>
      </c>
      <c r="AB53">
        <f t="shared" si="28"/>
        <v>1.0930124440614488</v>
      </c>
      <c r="AC53">
        <f t="shared" si="29"/>
        <v>1.0339325901219996</v>
      </c>
      <c r="AE53">
        <f t="shared" si="30"/>
        <v>1036</v>
      </c>
      <c r="AF53">
        <f t="shared" si="31"/>
        <v>62.625</v>
      </c>
      <c r="AG53">
        <f t="shared" si="32"/>
        <v>59.239973715020199</v>
      </c>
    </row>
    <row r="54" spans="1:33" ht="18.95" customHeight="1">
      <c r="A54" s="4">
        <f t="shared" si="33"/>
        <v>742</v>
      </c>
      <c r="B54" s="6">
        <f>INDEX('Raw Data'!$B$6:$B$1371,MATCH(A54,'Raw Data'!$A$6:$A$1371,0))</f>
        <v>15931</v>
      </c>
      <c r="C54" s="6">
        <f t="shared" si="17"/>
        <v>1056</v>
      </c>
      <c r="D54" s="6">
        <f>MOD(C54+Summary!$B$20,Summary!$B$11)</f>
        <v>1050.7416237989592</v>
      </c>
      <c r="E54" s="6">
        <f>_xlfn.XLOOKUP(D54,'Native PMKS'!$C$6:$C$366,'Native PMKS'!$C$6:$C$366,,-1)</f>
        <v>1050</v>
      </c>
      <c r="F54" s="6">
        <f>_xlfn.XLOOKUP(D54,'Native PMKS'!$C$6:$C$366,'Native PMKS'!$C$6:$C$366,,1)</f>
        <v>1058.3333333333335</v>
      </c>
      <c r="G54" s="6">
        <f>_xlfn.XLOOKUP(D54,'Native PMKS'!$C$6:$C$366,'Native PMKS'!$O$6:$O$366,,-1)</f>
        <v>58.842799999999997</v>
      </c>
      <c r="H54" s="6">
        <f>_xlfn.XLOOKUP(D54,'Native PMKS'!$C$6:$C$366,'Native PMKS'!$O$6:$O$366,,1)</f>
        <v>58.613599999999998</v>
      </c>
      <c r="I54" s="6">
        <f t="shared" si="18"/>
        <v>58.822402379033427</v>
      </c>
      <c r="J54" s="6">
        <f>INDEX('Raw Data'!$L$6:$L$1371,MATCH(A54,'Raw Data'!$A$6:$A$1371,0))</f>
        <v>60.375</v>
      </c>
      <c r="K54" s="6">
        <f t="shared" si="19"/>
        <v>1.0537425358915764</v>
      </c>
      <c r="L54" s="6">
        <f t="shared" si="20"/>
        <v>1.0266445954470789</v>
      </c>
      <c r="M54" s="6">
        <f t="shared" si="21"/>
        <v>2.7097940444497537E-2</v>
      </c>
      <c r="N54" s="6">
        <f t="shared" si="22"/>
        <v>7.3429837633353539E-4</v>
      </c>
      <c r="O54" s="6">
        <f>_xlfn.XLOOKUP(D54,'Instructor 360'!$B$6:$B$365,'Instructor 360'!$B$6:$B$365,,-1)</f>
        <v>1044.5682451253481</v>
      </c>
      <c r="P54" s="6">
        <f>_xlfn.XLOOKUP(D54,'Instructor 360'!$B$6:$B$365,'Instructor 360'!$B$6:$B$365,,1)</f>
        <v>1052.924791086351</v>
      </c>
      <c r="Q54" s="6">
        <f>_xlfn.XLOOKUP(D54,'Instructor 360'!$B$6:$B$365,'Instructor 360'!$G$6:$G$365,,-1)</f>
        <v>58.954846239554321</v>
      </c>
      <c r="R54" s="6">
        <f>_xlfn.XLOOKUP(D54,'Instructor 360'!$B$6:$B$365,'Instructor 360'!$G$6:$G$365,,1)</f>
        <v>58.762356545961005</v>
      </c>
      <c r="S54" s="6">
        <f t="shared" si="23"/>
        <v>58.81264493115917</v>
      </c>
      <c r="T54" s="6">
        <f t="shared" si="24"/>
        <v>1.0264742958550814</v>
      </c>
      <c r="U54" s="6">
        <f t="shared" si="25"/>
        <v>2.7268240036494973E-2</v>
      </c>
      <c r="V54" s="6"/>
      <c r="W54" s="6">
        <f t="shared" si="26"/>
        <v>7.4355691468790737E-4</v>
      </c>
      <c r="AA54">
        <f t="shared" si="27"/>
        <v>1056</v>
      </c>
      <c r="AB54">
        <f t="shared" si="28"/>
        <v>1.0537425358915764</v>
      </c>
      <c r="AC54">
        <f t="shared" si="29"/>
        <v>1.0264742958550814</v>
      </c>
      <c r="AE54">
        <f t="shared" si="30"/>
        <v>1056</v>
      </c>
      <c r="AF54">
        <f t="shared" si="31"/>
        <v>60.375</v>
      </c>
      <c r="AG54">
        <f t="shared" si="32"/>
        <v>58.812644931159177</v>
      </c>
    </row>
    <row r="55" spans="1:33" ht="18.95" customHeight="1">
      <c r="A55" s="4">
        <f t="shared" si="33"/>
        <v>743</v>
      </c>
      <c r="B55" s="6">
        <f>INDEX('Raw Data'!$B$6:$B$1371,MATCH(A55,'Raw Data'!$A$6:$A$1371,0))</f>
        <v>15951</v>
      </c>
      <c r="C55" s="6">
        <f t="shared" si="17"/>
        <v>1076</v>
      </c>
      <c r="D55" s="6">
        <f>MOD(C55+Summary!$B$20,Summary!$B$11)</f>
        <v>1070.7416237989592</v>
      </c>
      <c r="E55" s="6">
        <f>_xlfn.XLOOKUP(D55,'Native PMKS'!$C$6:$C$366,'Native PMKS'!$C$6:$C$366,,-1)</f>
        <v>1066.6666666666667</v>
      </c>
      <c r="F55" s="6">
        <f>_xlfn.XLOOKUP(D55,'Native PMKS'!$C$6:$C$366,'Native PMKS'!$C$6:$C$366,,1)</f>
        <v>1075</v>
      </c>
      <c r="G55" s="6">
        <f>_xlfn.XLOOKUP(D55,'Native PMKS'!$C$6:$C$366,'Native PMKS'!$O$6:$O$366,,-1)</f>
        <v>58.441699999999997</v>
      </c>
      <c r="H55" s="6">
        <f>_xlfn.XLOOKUP(D55,'Native PMKS'!$C$6:$C$366,'Native PMKS'!$O$6:$O$366,,1)</f>
        <v>58.212499999999999</v>
      </c>
      <c r="I55" s="6">
        <f t="shared" si="18"/>
        <v>58.329622379033438</v>
      </c>
      <c r="J55" s="6">
        <f>INDEX('Raw Data'!$L$6:$L$1371,MATCH(A55,'Raw Data'!$A$6:$A$1371,0))</f>
        <v>60.8125</v>
      </c>
      <c r="K55" s="6">
        <f t="shared" si="19"/>
        <v>1.0613783513690516</v>
      </c>
      <c r="L55" s="6">
        <f t="shared" si="20"/>
        <v>1.0180439619591013</v>
      </c>
      <c r="M55" s="6">
        <f t="shared" si="21"/>
        <v>4.3334389409950269E-2</v>
      </c>
      <c r="N55" s="6">
        <f t="shared" si="22"/>
        <v>1.87786930553321E-3</v>
      </c>
      <c r="O55" s="6">
        <f>_xlfn.XLOOKUP(D55,'Instructor 360'!$B$6:$B$365,'Instructor 360'!$B$6:$B$365,,-1)</f>
        <v>1069.6378830083565</v>
      </c>
      <c r="P55" s="6">
        <f>_xlfn.XLOOKUP(D55,'Instructor 360'!$B$6:$B$365,'Instructor 360'!$B$6:$B$365,,1)</f>
        <v>1077.9944289693594</v>
      </c>
      <c r="Q55" s="6">
        <f>_xlfn.XLOOKUP(D55,'Instructor 360'!$B$6:$B$365,'Instructor 360'!$G$6:$G$365,,-1)</f>
        <v>58.359979665738159</v>
      </c>
      <c r="R55" s="6">
        <f>_xlfn.XLOOKUP(D55,'Instructor 360'!$B$6:$B$365,'Instructor 360'!$G$6:$G$365,,1)</f>
        <v>58.130141225626737</v>
      </c>
      <c r="S55" s="6">
        <f t="shared" si="23"/>
        <v>58.329622379033424</v>
      </c>
      <c r="T55" s="6">
        <f t="shared" si="24"/>
        <v>1.0180439619591011</v>
      </c>
      <c r="U55" s="6">
        <f t="shared" si="25"/>
        <v>4.3334389409950491E-2</v>
      </c>
      <c r="V55" s="6"/>
      <c r="W55" s="6">
        <f t="shared" si="26"/>
        <v>1.8778693055332293E-3</v>
      </c>
      <c r="AA55">
        <f t="shared" si="27"/>
        <v>1076</v>
      </c>
      <c r="AB55">
        <f t="shared" si="28"/>
        <v>1.0613783513690516</v>
      </c>
      <c r="AC55">
        <f t="shared" si="29"/>
        <v>1.0180439619591011</v>
      </c>
      <c r="AE55">
        <f t="shared" si="30"/>
        <v>1076</v>
      </c>
      <c r="AF55">
        <f t="shared" si="31"/>
        <v>60.8125</v>
      </c>
      <c r="AG55">
        <f t="shared" si="32"/>
        <v>58.329622379033424</v>
      </c>
    </row>
    <row r="56" spans="1:33" ht="18.95" customHeight="1">
      <c r="A56" s="4">
        <f t="shared" si="33"/>
        <v>744</v>
      </c>
      <c r="B56" s="6">
        <f>INDEX('Raw Data'!$B$6:$B$1371,MATCH(A56,'Raw Data'!$A$6:$A$1371,0))</f>
        <v>15972</v>
      </c>
      <c r="C56" s="6">
        <f t="shared" si="17"/>
        <v>1097</v>
      </c>
      <c r="D56" s="6">
        <f>MOD(C56+Summary!$B$20,Summary!$B$11)</f>
        <v>1091.7416237989592</v>
      </c>
      <c r="E56" s="6">
        <f>_xlfn.XLOOKUP(D56,'Native PMKS'!$C$6:$C$366,'Native PMKS'!$C$6:$C$366,,-1)</f>
        <v>1091.6666666666667</v>
      </c>
      <c r="F56" s="6">
        <f>_xlfn.XLOOKUP(D56,'Native PMKS'!$C$6:$C$366,'Native PMKS'!$C$6:$C$366,,1)</f>
        <v>1100</v>
      </c>
      <c r="G56" s="6">
        <f>_xlfn.XLOOKUP(D56,'Native PMKS'!$C$6:$C$366,'Native PMKS'!$O$6:$O$366,,-1)</f>
        <v>57.696800000000003</v>
      </c>
      <c r="H56" s="6">
        <f>_xlfn.XLOOKUP(D56,'Native PMKS'!$C$6:$C$366,'Native PMKS'!$O$6:$O$366,,1)</f>
        <v>57.467700000000001</v>
      </c>
      <c r="I56" s="6">
        <f t="shared" si="18"/>
        <v>57.694739278519023</v>
      </c>
      <c r="J56" s="6">
        <f>INDEX('Raw Data'!$L$6:$L$1371,MATCH(A56,'Raw Data'!$A$6:$A$1371,0))</f>
        <v>59.5</v>
      </c>
      <c r="K56" s="6">
        <f t="shared" si="19"/>
        <v>1.0384709049366261</v>
      </c>
      <c r="L56" s="6">
        <f t="shared" si="20"/>
        <v>1.0069631614898547</v>
      </c>
      <c r="M56" s="6">
        <f t="shared" si="21"/>
        <v>3.150774344677143E-2</v>
      </c>
      <c r="N56" s="6">
        <f t="shared" si="22"/>
        <v>9.9273789710756797E-4</v>
      </c>
      <c r="O56" s="6">
        <f>_xlfn.XLOOKUP(D56,'Instructor 360'!$B$6:$B$365,'Instructor 360'!$B$6:$B$365,,-1)</f>
        <v>1086.3509749303621</v>
      </c>
      <c r="P56" s="6">
        <f>_xlfn.XLOOKUP(D56,'Instructor 360'!$B$6:$B$365,'Instructor 360'!$B$6:$B$365,,1)</f>
        <v>1094.707520891365</v>
      </c>
      <c r="Q56" s="6">
        <f>_xlfn.XLOOKUP(D56,'Instructor 360'!$B$6:$B$365,'Instructor 360'!$G$6:$G$365,,-1)</f>
        <v>57.879553481894156</v>
      </c>
      <c r="R56" s="6">
        <f>_xlfn.XLOOKUP(D56,'Instructor 360'!$B$6:$B$365,'Instructor 360'!$G$6:$G$365,,1)</f>
        <v>57.613200835654595</v>
      </c>
      <c r="S56" s="6">
        <f t="shared" si="23"/>
        <v>57.707734455492627</v>
      </c>
      <c r="T56" s="6">
        <f t="shared" si="24"/>
        <v>1.0071899701149234</v>
      </c>
      <c r="U56" s="6">
        <f t="shared" si="25"/>
        <v>3.1280934821702688E-2</v>
      </c>
      <c r="V56" s="6"/>
      <c r="W56" s="6">
        <f t="shared" si="26"/>
        <v>9.7849688331961182E-4</v>
      </c>
      <c r="AA56">
        <f t="shared" si="27"/>
        <v>1097</v>
      </c>
      <c r="AB56">
        <f t="shared" si="28"/>
        <v>1.0384709049366261</v>
      </c>
      <c r="AC56">
        <f t="shared" si="29"/>
        <v>1.0071899701149234</v>
      </c>
      <c r="AE56">
        <f t="shared" si="30"/>
        <v>1097</v>
      </c>
      <c r="AF56">
        <f t="shared" si="31"/>
        <v>59.5</v>
      </c>
      <c r="AG56">
        <f t="shared" si="32"/>
        <v>57.70773445549262</v>
      </c>
    </row>
    <row r="57" spans="1:33" ht="18.95" customHeight="1">
      <c r="A57" s="4">
        <f t="shared" si="33"/>
        <v>745</v>
      </c>
      <c r="B57" s="6">
        <f>INDEX('Raw Data'!$B$6:$B$1371,MATCH(A57,'Raw Data'!$A$6:$A$1371,0))</f>
        <v>15992</v>
      </c>
      <c r="C57" s="6">
        <f t="shared" si="17"/>
        <v>1117</v>
      </c>
      <c r="D57" s="6">
        <f>MOD(C57+Summary!$B$20,Summary!$B$11)</f>
        <v>1111.7416237989592</v>
      </c>
      <c r="E57" s="6">
        <f>_xlfn.XLOOKUP(D57,'Native PMKS'!$C$6:$C$366,'Native PMKS'!$C$6:$C$366,,-1)</f>
        <v>1108.3333333333335</v>
      </c>
      <c r="F57" s="6">
        <f>_xlfn.XLOOKUP(D57,'Native PMKS'!$C$6:$C$366,'Native PMKS'!$C$6:$C$366,,1)</f>
        <v>1116.6666666666667</v>
      </c>
      <c r="G57" s="6">
        <f>_xlfn.XLOOKUP(D57,'Native PMKS'!$C$6:$C$366,'Native PMKS'!$O$6:$O$366,,-1)</f>
        <v>57.181199999999997</v>
      </c>
      <c r="H57" s="6">
        <f>_xlfn.XLOOKUP(D57,'Native PMKS'!$C$6:$C$366,'Native PMKS'!$O$6:$O$366,,1)</f>
        <v>56.837400000000002</v>
      </c>
      <c r="I57" s="6">
        <f t="shared" si="18"/>
        <v>57.040587568550144</v>
      </c>
      <c r="J57" s="6">
        <f>INDEX('Raw Data'!$L$6:$L$1371,MATCH(A57,'Raw Data'!$A$6:$A$1371,0))</f>
        <v>58.0625</v>
      </c>
      <c r="K57" s="6">
        <f t="shared" si="19"/>
        <v>1.0133817969392076</v>
      </c>
      <c r="L57" s="6">
        <f t="shared" si="20"/>
        <v>0.99554606034334669</v>
      </c>
      <c r="M57" s="6">
        <f t="shared" si="21"/>
        <v>1.7835736595860907E-2</v>
      </c>
      <c r="N57" s="6">
        <f t="shared" si="22"/>
        <v>3.1811349991693204E-4</v>
      </c>
      <c r="O57" s="6">
        <f>_xlfn.XLOOKUP(D57,'Instructor 360'!$B$6:$B$365,'Instructor 360'!$B$6:$B$365,,-1)</f>
        <v>1111.4206128133706</v>
      </c>
      <c r="P57" s="6">
        <f>_xlfn.XLOOKUP(D57,'Instructor 360'!$B$6:$B$365,'Instructor 360'!$B$6:$B$365,,1)</f>
        <v>1119.7771587743732</v>
      </c>
      <c r="Q57" s="6">
        <f>_xlfn.XLOOKUP(D57,'Instructor 360'!$B$6:$B$365,'Instructor 360'!$G$6:$G$365,,-1)</f>
        <v>57.053831197771586</v>
      </c>
      <c r="R57" s="6">
        <f>_xlfn.XLOOKUP(D57,'Instructor 360'!$B$6:$B$365,'Instructor 360'!$G$6:$G$365,,1)</f>
        <v>56.73046128133705</v>
      </c>
      <c r="S57" s="6">
        <f t="shared" si="23"/>
        <v>57.041409164066657</v>
      </c>
      <c r="T57" s="6">
        <f t="shared" si="24"/>
        <v>0.99556039989022949</v>
      </c>
      <c r="U57" s="6">
        <f t="shared" si="25"/>
        <v>1.7821397048978116E-2</v>
      </c>
      <c r="V57" s="6"/>
      <c r="W57" s="6">
        <f t="shared" si="26"/>
        <v>3.1760219277732589E-4</v>
      </c>
      <c r="AA57">
        <f t="shared" si="27"/>
        <v>1117</v>
      </c>
      <c r="AB57">
        <f t="shared" si="28"/>
        <v>1.0133817969392076</v>
      </c>
      <c r="AC57">
        <f t="shared" si="29"/>
        <v>0.99556039989022949</v>
      </c>
      <c r="AE57">
        <f t="shared" si="30"/>
        <v>1117</v>
      </c>
      <c r="AF57">
        <f t="shared" si="31"/>
        <v>58.0625</v>
      </c>
      <c r="AG57">
        <f t="shared" si="32"/>
        <v>57.041409164066657</v>
      </c>
    </row>
    <row r="58" spans="1:33" ht="18.95" customHeight="1">
      <c r="A58" s="4">
        <f t="shared" si="33"/>
        <v>746</v>
      </c>
      <c r="B58" s="6">
        <f>INDEX('Raw Data'!$B$6:$B$1371,MATCH(A58,'Raw Data'!$A$6:$A$1371,0))</f>
        <v>16013</v>
      </c>
      <c r="C58" s="6">
        <f t="shared" si="17"/>
        <v>1138</v>
      </c>
      <c r="D58" s="6">
        <f>MOD(C58+Summary!$B$20,Summary!$B$11)</f>
        <v>1132.7416237989592</v>
      </c>
      <c r="E58" s="6">
        <f>_xlfn.XLOOKUP(D58,'Native PMKS'!$C$6:$C$366,'Native PMKS'!$C$6:$C$366,,-1)</f>
        <v>1125</v>
      </c>
      <c r="F58" s="6">
        <f>_xlfn.XLOOKUP(D58,'Native PMKS'!$C$6:$C$366,'Native PMKS'!$C$6:$C$366,,1)</f>
        <v>1133.3333333333335</v>
      </c>
      <c r="G58" s="6">
        <f>_xlfn.XLOOKUP(D58,'Native PMKS'!$C$6:$C$366,'Native PMKS'!$O$6:$O$366,,-1)</f>
        <v>56.550899999999999</v>
      </c>
      <c r="H58" s="6">
        <f>_xlfn.XLOOKUP(D58,'Native PMKS'!$C$6:$C$366,'Native PMKS'!$O$6:$O$366,,1)</f>
        <v>56.2072</v>
      </c>
      <c r="I58" s="6">
        <f t="shared" si="18"/>
        <v>56.231604468035727</v>
      </c>
      <c r="J58" s="6">
        <f>INDEX('Raw Data'!$L$6:$L$1371,MATCH(A58,'Raw Data'!$A$6:$A$1371,0))</f>
        <v>57.125</v>
      </c>
      <c r="K58" s="6">
        <f t="shared" si="19"/>
        <v>0.99701933520176078</v>
      </c>
      <c r="L58" s="6">
        <f t="shared" si="20"/>
        <v>0.98142664164637794</v>
      </c>
      <c r="M58" s="6">
        <f t="shared" si="21"/>
        <v>1.5592693555382842E-2</v>
      </c>
      <c r="N58" s="6">
        <f t="shared" si="22"/>
        <v>2.4313209231207759E-4</v>
      </c>
      <c r="O58" s="6">
        <f>_xlfn.XLOOKUP(D58,'Instructor 360'!$B$6:$B$365,'Instructor 360'!$B$6:$B$365,,-1)</f>
        <v>1128.1337047353761</v>
      </c>
      <c r="P58" s="6">
        <f>_xlfn.XLOOKUP(D58,'Instructor 360'!$B$6:$B$365,'Instructor 360'!$B$6:$B$365,,1)</f>
        <v>1136.4902506963788</v>
      </c>
      <c r="Q58" s="6">
        <f>_xlfn.XLOOKUP(D58,'Instructor 360'!$B$6:$B$365,'Instructor 360'!$G$6:$G$365,,-1)</f>
        <v>56.421653481894147</v>
      </c>
      <c r="R58" s="6">
        <f>_xlfn.XLOOKUP(D58,'Instructor 360'!$B$6:$B$365,'Instructor 360'!$G$6:$G$365,,1)</f>
        <v>56.0986651810585</v>
      </c>
      <c r="S58" s="6">
        <f t="shared" si="23"/>
        <v>56.243553109362196</v>
      </c>
      <c r="T58" s="6">
        <f t="shared" si="24"/>
        <v>0.98163518477866474</v>
      </c>
      <c r="U58" s="6">
        <f t="shared" si="25"/>
        <v>1.5384150423096044E-2</v>
      </c>
      <c r="V58" s="6"/>
      <c r="W58" s="6">
        <f t="shared" si="26"/>
        <v>2.3667208424044616E-4</v>
      </c>
      <c r="AA58">
        <f t="shared" si="27"/>
        <v>1138</v>
      </c>
      <c r="AB58">
        <f t="shared" si="28"/>
        <v>0.99701933520176078</v>
      </c>
      <c r="AC58">
        <f t="shared" si="29"/>
        <v>0.98163518477866474</v>
      </c>
      <c r="AE58">
        <f t="shared" si="30"/>
        <v>1138</v>
      </c>
      <c r="AF58">
        <f t="shared" si="31"/>
        <v>57.125</v>
      </c>
      <c r="AG58">
        <f t="shared" si="32"/>
        <v>56.243553109362196</v>
      </c>
    </row>
    <row r="59" spans="1:33" ht="18.95" customHeight="1">
      <c r="A59" s="4">
        <f t="shared" si="33"/>
        <v>747</v>
      </c>
      <c r="B59" s="6">
        <f>INDEX('Raw Data'!$B$6:$B$1371,MATCH(A59,'Raw Data'!$A$6:$A$1371,0))</f>
        <v>16034</v>
      </c>
      <c r="C59" s="6">
        <f t="shared" si="17"/>
        <v>1159</v>
      </c>
      <c r="D59" s="6">
        <f>MOD(C59+Summary!$B$20,Summary!$B$11)</f>
        <v>1153.7416237989592</v>
      </c>
      <c r="E59" s="6">
        <f>_xlfn.XLOOKUP(D59,'Native PMKS'!$C$6:$C$366,'Native PMKS'!$C$6:$C$366,,-1)</f>
        <v>1150</v>
      </c>
      <c r="F59" s="6">
        <f>_xlfn.XLOOKUP(D59,'Native PMKS'!$C$6:$C$366,'Native PMKS'!$C$6:$C$366,,1)</f>
        <v>1158.3333333333335</v>
      </c>
      <c r="G59" s="6">
        <f>_xlfn.XLOOKUP(D59,'Native PMKS'!$C$6:$C$366,'Native PMKS'!$O$6:$O$366,,-1)</f>
        <v>55.576900000000002</v>
      </c>
      <c r="H59" s="6">
        <f>_xlfn.XLOOKUP(D59,'Native PMKS'!$C$6:$C$366,'Native PMKS'!$O$6:$O$366,,1)</f>
        <v>55.175800000000002</v>
      </c>
      <c r="I59" s="6">
        <f t="shared" si="18"/>
        <v>55.396808163308513</v>
      </c>
      <c r="J59" s="6">
        <f>INDEX('Raw Data'!$L$6:$L$1371,MATCH(A59,'Raw Data'!$A$6:$A$1371,0))</f>
        <v>56.5625</v>
      </c>
      <c r="K59" s="6">
        <f t="shared" si="19"/>
        <v>0.98720185815929251</v>
      </c>
      <c r="L59" s="6">
        <f t="shared" si="20"/>
        <v>0.96685669754540615</v>
      </c>
      <c r="M59" s="6">
        <f t="shared" si="21"/>
        <v>2.0345160613886359E-2</v>
      </c>
      <c r="N59" s="6">
        <f t="shared" si="22"/>
        <v>4.1392556040483277E-4</v>
      </c>
      <c r="O59" s="6">
        <f>_xlfn.XLOOKUP(D59,'Instructor 360'!$B$6:$B$365,'Instructor 360'!$B$6:$B$365,,-1)</f>
        <v>1153.2033426183843</v>
      </c>
      <c r="P59" s="6">
        <f>_xlfn.XLOOKUP(D59,'Instructor 360'!$B$6:$B$365,'Instructor 360'!$B$6:$B$365,,1)</f>
        <v>1161.5598885793872</v>
      </c>
      <c r="Q59" s="6">
        <f>_xlfn.XLOOKUP(D59,'Instructor 360'!$B$6:$B$365,'Instructor 360'!$G$6:$G$365,,-1)</f>
        <v>55.42271671309193</v>
      </c>
      <c r="R59" s="6">
        <f>_xlfn.XLOOKUP(D59,'Instructor 360'!$B$6:$B$365,'Instructor 360'!$G$6:$G$365,,1)</f>
        <v>55.042723955431761</v>
      </c>
      <c r="S59" s="6">
        <f t="shared" si="23"/>
        <v>55.39823974005094</v>
      </c>
      <c r="T59" s="6">
        <f t="shared" si="24"/>
        <v>0.96688168327305646</v>
      </c>
      <c r="U59" s="6">
        <f t="shared" si="25"/>
        <v>2.0320174886236053E-2</v>
      </c>
      <c r="V59" s="6"/>
      <c r="W59" s="6">
        <f t="shared" si="26"/>
        <v>4.1290950740721839E-4</v>
      </c>
      <c r="AA59">
        <f t="shared" si="27"/>
        <v>1159</v>
      </c>
      <c r="AB59">
        <f t="shared" si="28"/>
        <v>0.98720185815929251</v>
      </c>
      <c r="AC59">
        <f t="shared" si="29"/>
        <v>0.96688168327305646</v>
      </c>
      <c r="AE59">
        <f t="shared" si="30"/>
        <v>1159</v>
      </c>
      <c r="AF59">
        <f t="shared" si="31"/>
        <v>56.562499999999993</v>
      </c>
      <c r="AG59">
        <f t="shared" si="32"/>
        <v>55.39823974005094</v>
      </c>
    </row>
    <row r="60" spans="1:33" ht="18.95" customHeight="1">
      <c r="A60" s="4">
        <f t="shared" si="33"/>
        <v>748</v>
      </c>
      <c r="B60" s="6">
        <f>INDEX('Raw Data'!$B$6:$B$1371,MATCH(A60,'Raw Data'!$A$6:$A$1371,0))</f>
        <v>16056</v>
      </c>
      <c r="C60" s="6">
        <f t="shared" si="17"/>
        <v>1181</v>
      </c>
      <c r="D60" s="6">
        <f>MOD(C60+Summary!$B$20,Summary!$B$11)</f>
        <v>1175.7416237989592</v>
      </c>
      <c r="E60" s="6">
        <f>_xlfn.XLOOKUP(D60,'Native PMKS'!$C$6:$C$366,'Native PMKS'!$C$6:$C$366,,-1)</f>
        <v>1175</v>
      </c>
      <c r="F60" s="6">
        <f>_xlfn.XLOOKUP(D60,'Native PMKS'!$C$6:$C$366,'Native PMKS'!$C$6:$C$366,,1)</f>
        <v>1183.3333333333335</v>
      </c>
      <c r="G60" s="6">
        <f>_xlfn.XLOOKUP(D60,'Native PMKS'!$C$6:$C$366,'Native PMKS'!$O$6:$O$366,,-1)</f>
        <v>54.430999999999997</v>
      </c>
      <c r="H60" s="6">
        <f>_xlfn.XLOOKUP(D60,'Native PMKS'!$C$6:$C$366,'Native PMKS'!$O$6:$O$366,,1)</f>
        <v>54.029899999999998</v>
      </c>
      <c r="I60" s="6">
        <f t="shared" si="18"/>
        <v>54.395304163308502</v>
      </c>
      <c r="J60" s="6">
        <f>INDEX('Raw Data'!$L$6:$L$1371,MATCH(A60,'Raw Data'!$A$6:$A$1371,0))</f>
        <v>57.5625</v>
      </c>
      <c r="K60" s="6">
        <f t="shared" si="19"/>
        <v>1.0046551506792361</v>
      </c>
      <c r="L60" s="6">
        <f t="shared" si="20"/>
        <v>0.94937715527351263</v>
      </c>
      <c r="M60" s="6">
        <f t="shared" si="21"/>
        <v>5.5277995405723424E-2</v>
      </c>
      <c r="N60" s="6">
        <f t="shared" si="22"/>
        <v>3.0556567760751797E-3</v>
      </c>
      <c r="O60" s="6">
        <f>_xlfn.XLOOKUP(D60,'Instructor 360'!$B$6:$B$365,'Instructor 360'!$B$6:$B$365,,-1)</f>
        <v>1169.9164345403899</v>
      </c>
      <c r="P60" s="6">
        <f>_xlfn.XLOOKUP(D60,'Instructor 360'!$B$6:$B$365,'Instructor 360'!$B$6:$B$365,,1)</f>
        <v>1178.2729805013928</v>
      </c>
      <c r="Q60" s="6">
        <f>_xlfn.XLOOKUP(D60,'Instructor 360'!$B$6:$B$365,'Instructor 360'!$G$6:$G$365,,-1)</f>
        <v>54.675682172701954</v>
      </c>
      <c r="R60" s="6">
        <f>_xlfn.XLOOKUP(D60,'Instructor 360'!$B$6:$B$365,'Instructor 360'!$G$6:$G$365,,1)</f>
        <v>54.273464902506966</v>
      </c>
      <c r="S60" s="6">
        <f t="shared" si="23"/>
        <v>54.395304163308509</v>
      </c>
      <c r="T60" s="6">
        <f t="shared" si="24"/>
        <v>0.94937715527351274</v>
      </c>
      <c r="U60" s="6">
        <f t="shared" si="25"/>
        <v>5.5277995405723312E-2</v>
      </c>
      <c r="V60" s="6"/>
      <c r="W60" s="6">
        <f t="shared" si="26"/>
        <v>3.0556567760751676E-3</v>
      </c>
      <c r="AA60">
        <f t="shared" si="27"/>
        <v>1181</v>
      </c>
      <c r="AB60">
        <f t="shared" si="28"/>
        <v>1.0046551506792361</v>
      </c>
      <c r="AC60">
        <f t="shared" si="29"/>
        <v>0.94937715527351274</v>
      </c>
      <c r="AE60">
        <f t="shared" si="30"/>
        <v>1181</v>
      </c>
      <c r="AF60">
        <f t="shared" si="31"/>
        <v>57.562500000000007</v>
      </c>
      <c r="AG60">
        <f t="shared" si="32"/>
        <v>54.395304163308509</v>
      </c>
    </row>
    <row r="61" spans="1:33" ht="18.95" customHeight="1">
      <c r="A61" s="4">
        <f t="shared" si="33"/>
        <v>749</v>
      </c>
      <c r="B61" s="6">
        <f>INDEX('Raw Data'!$B$6:$B$1371,MATCH(A61,'Raw Data'!$A$6:$A$1371,0))</f>
        <v>16077</v>
      </c>
      <c r="C61" s="6">
        <f t="shared" si="17"/>
        <v>1202</v>
      </c>
      <c r="D61" s="6">
        <f>MOD(C61+Summary!$B$20,Summary!$B$11)</f>
        <v>1196.7416237989592</v>
      </c>
      <c r="E61" s="6">
        <f>_xlfn.XLOOKUP(D61,'Native PMKS'!$C$6:$C$366,'Native PMKS'!$C$6:$C$366,,-1)</f>
        <v>1191.6666666666667</v>
      </c>
      <c r="F61" s="6">
        <f>_xlfn.XLOOKUP(D61,'Native PMKS'!$C$6:$C$366,'Native PMKS'!$C$6:$C$366,,1)</f>
        <v>1200</v>
      </c>
      <c r="G61" s="6">
        <f>_xlfn.XLOOKUP(D61,'Native PMKS'!$C$6:$C$366,'Native PMKS'!$O$6:$O$366,,-1)</f>
        <v>53.571599999999997</v>
      </c>
      <c r="H61" s="6">
        <f>_xlfn.XLOOKUP(D61,'Native PMKS'!$C$6:$C$366,'Native PMKS'!$O$6:$O$366,,1)</f>
        <v>53.170499999999997</v>
      </c>
      <c r="I61" s="6">
        <f t="shared" si="18"/>
        <v>53.327332163308498</v>
      </c>
      <c r="J61" s="6">
        <f>INDEX('Raw Data'!$L$6:$L$1371,MATCH(A61,'Raw Data'!$A$6:$A$1371,0))</f>
        <v>56</v>
      </c>
      <c r="K61" s="6">
        <f t="shared" si="19"/>
        <v>0.97738438111682457</v>
      </c>
      <c r="L61" s="6">
        <f t="shared" si="20"/>
        <v>0.93073752755440375</v>
      </c>
      <c r="M61" s="6">
        <f t="shared" si="21"/>
        <v>4.664685356242082E-2</v>
      </c>
      <c r="N61" s="6">
        <f t="shared" si="22"/>
        <v>2.1759289472739318E-3</v>
      </c>
      <c r="O61" s="6">
        <f>_xlfn.XLOOKUP(D61,'Instructor 360'!$B$6:$B$365,'Instructor 360'!$B$6:$B$365,,-1)</f>
        <v>1194.9860724233984</v>
      </c>
      <c r="P61" s="6">
        <f>_xlfn.XLOOKUP(D61,'Instructor 360'!$B$6:$B$365,'Instructor 360'!$B$6:$B$365,,1)</f>
        <v>1203.342618384401</v>
      </c>
      <c r="Q61" s="6">
        <f>_xlfn.XLOOKUP(D61,'Instructor 360'!$B$6:$B$365,'Instructor 360'!$G$6:$G$365,,-1)</f>
        <v>53.411830362116987</v>
      </c>
      <c r="R61" s="6">
        <f>_xlfn.XLOOKUP(D61,'Instructor 360'!$B$6:$B$365,'Instructor 360'!$G$6:$G$365,,1)</f>
        <v>52.986629247910869</v>
      </c>
      <c r="S61" s="6">
        <f t="shared" si="23"/>
        <v>53.32250369480515</v>
      </c>
      <c r="T61" s="6">
        <f t="shared" si="24"/>
        <v>0.93065325488119144</v>
      </c>
      <c r="U61" s="6">
        <f t="shared" si="25"/>
        <v>4.6731126235633136E-2</v>
      </c>
      <c r="V61" s="6"/>
      <c r="W61" s="6">
        <f t="shared" si="26"/>
        <v>2.1837981592506797E-3</v>
      </c>
      <c r="AA61">
        <f t="shared" si="27"/>
        <v>1202</v>
      </c>
      <c r="AB61">
        <f t="shared" si="28"/>
        <v>0.97738438111682457</v>
      </c>
      <c r="AC61">
        <f t="shared" si="29"/>
        <v>0.93065325488119144</v>
      </c>
      <c r="AE61">
        <f t="shared" si="30"/>
        <v>1202</v>
      </c>
      <c r="AF61">
        <f t="shared" si="31"/>
        <v>56</v>
      </c>
      <c r="AG61">
        <f t="shared" si="32"/>
        <v>53.32250369480515</v>
      </c>
    </row>
    <row r="62" spans="1:33" ht="18.95" customHeight="1">
      <c r="A62" s="4">
        <f t="shared" si="33"/>
        <v>750</v>
      </c>
      <c r="B62" s="6">
        <f>INDEX('Raw Data'!$B$6:$B$1371,MATCH(A62,'Raw Data'!$A$6:$A$1371,0))</f>
        <v>16098</v>
      </c>
      <c r="C62" s="6">
        <f t="shared" si="17"/>
        <v>1223</v>
      </c>
      <c r="D62" s="6">
        <f>MOD(C62+Summary!$B$20,Summary!$B$11)</f>
        <v>1217.7416237989592</v>
      </c>
      <c r="E62" s="6">
        <f>_xlfn.XLOOKUP(D62,'Native PMKS'!$C$6:$C$366,'Native PMKS'!$C$6:$C$366,,-1)</f>
        <v>1216.6666666666667</v>
      </c>
      <c r="F62" s="6">
        <f>_xlfn.XLOOKUP(D62,'Native PMKS'!$C$6:$C$366,'Native PMKS'!$C$6:$C$366,,1)</f>
        <v>1225</v>
      </c>
      <c r="G62" s="6">
        <f>_xlfn.XLOOKUP(D62,'Native PMKS'!$C$6:$C$366,'Native PMKS'!$O$6:$O$366,,-1)</f>
        <v>52.253799999999998</v>
      </c>
      <c r="H62" s="6">
        <f>_xlfn.XLOOKUP(D62,'Native PMKS'!$C$6:$C$366,'Native PMKS'!$O$6:$O$366,,1)</f>
        <v>51.795400000000001</v>
      </c>
      <c r="I62" s="6">
        <f t="shared" si="18"/>
        <v>52.194668758066882</v>
      </c>
      <c r="J62" s="6">
        <f>INDEX('Raw Data'!$L$6:$L$1371,MATCH(A62,'Raw Data'!$A$6:$A$1371,0))</f>
        <v>56.0625</v>
      </c>
      <c r="K62" s="6">
        <f t="shared" si="19"/>
        <v>0.97847521189932096</v>
      </c>
      <c r="L62" s="6">
        <f t="shared" si="20"/>
        <v>0.91096882181608674</v>
      </c>
      <c r="M62" s="6">
        <f t="shared" si="21"/>
        <v>6.7506390083234225E-2</v>
      </c>
      <c r="N62" s="6">
        <f t="shared" si="22"/>
        <v>4.5571127020697837E-3</v>
      </c>
      <c r="O62" s="6">
        <f>_xlfn.XLOOKUP(D62,'Instructor 360'!$B$6:$B$365,'Instructor 360'!$B$6:$B$365,,-1)</f>
        <v>1211.6991643454039</v>
      </c>
      <c r="P62" s="6">
        <f>_xlfn.XLOOKUP(D62,'Instructor 360'!$B$6:$B$365,'Instructor 360'!$B$6:$B$365,,1)</f>
        <v>1220.0557103064066</v>
      </c>
      <c r="Q62" s="6">
        <f>_xlfn.XLOOKUP(D62,'Instructor 360'!$B$6:$B$365,'Instructor 360'!$G$6:$G$365,,-1)</f>
        <v>52.526992757660175</v>
      </c>
      <c r="R62" s="6">
        <f>_xlfn.XLOOKUP(D62,'Instructor 360'!$B$6:$B$365,'Instructor 360'!$G$6:$G$365,,1)</f>
        <v>52.067375487465192</v>
      </c>
      <c r="S62" s="6">
        <f t="shared" si="23"/>
        <v>52.194652250916434</v>
      </c>
      <c r="T62" s="6">
        <f t="shared" si="24"/>
        <v>0.91096853371196129</v>
      </c>
      <c r="U62" s="6">
        <f t="shared" si="25"/>
        <v>6.750667818735967E-2</v>
      </c>
      <c r="V62" s="6"/>
      <c r="W62" s="6">
        <f t="shared" si="26"/>
        <v>4.5571515998917419E-3</v>
      </c>
      <c r="AA62">
        <f t="shared" si="27"/>
        <v>1223</v>
      </c>
      <c r="AB62">
        <f t="shared" si="28"/>
        <v>0.97847521189932096</v>
      </c>
      <c r="AC62">
        <f t="shared" si="29"/>
        <v>0.91096853371196129</v>
      </c>
      <c r="AE62">
        <f t="shared" si="30"/>
        <v>1223</v>
      </c>
      <c r="AF62">
        <f t="shared" si="31"/>
        <v>56.0625</v>
      </c>
      <c r="AG62">
        <f t="shared" si="32"/>
        <v>52.194652250916434</v>
      </c>
    </row>
    <row r="63" spans="1:33" ht="18.95" customHeight="1">
      <c r="A63" s="4">
        <f t="shared" si="33"/>
        <v>751</v>
      </c>
      <c r="B63" s="6">
        <f>INDEX('Raw Data'!$B$6:$B$1371,MATCH(A63,'Raw Data'!$A$6:$A$1371,0))</f>
        <v>16118</v>
      </c>
      <c r="C63" s="6">
        <f t="shared" si="17"/>
        <v>1243</v>
      </c>
      <c r="D63" s="6">
        <f>MOD(C63+Summary!$B$20,Summary!$B$11)</f>
        <v>1237.7416237989592</v>
      </c>
      <c r="E63" s="6">
        <f>_xlfn.XLOOKUP(D63,'Native PMKS'!$C$6:$C$366,'Native PMKS'!$C$6:$C$366,,-1)</f>
        <v>1233.3333333333335</v>
      </c>
      <c r="F63" s="6">
        <f>_xlfn.XLOOKUP(D63,'Native PMKS'!$C$6:$C$366,'Native PMKS'!$C$6:$C$366,,1)</f>
        <v>1241.6666666666667</v>
      </c>
      <c r="G63" s="6">
        <f>_xlfn.XLOOKUP(D63,'Native PMKS'!$C$6:$C$366,'Native PMKS'!$O$6:$O$366,,-1)</f>
        <v>51.279699999999998</v>
      </c>
      <c r="H63" s="6">
        <f>_xlfn.XLOOKUP(D63,'Native PMKS'!$C$6:$C$366,'Native PMKS'!$O$6:$O$366,,1)</f>
        <v>50.764099999999999</v>
      </c>
      <c r="I63" s="6">
        <f t="shared" si="18"/>
        <v>51.006950252310801</v>
      </c>
      <c r="J63" s="6">
        <f>INDEX('Raw Data'!$L$6:$L$1371,MATCH(A63,'Raw Data'!$A$6:$A$1371,0))</f>
        <v>53.4375</v>
      </c>
      <c r="K63" s="6">
        <f t="shared" si="19"/>
        <v>0.93266031903446989</v>
      </c>
      <c r="L63" s="6">
        <f t="shared" si="20"/>
        <v>0.89023922330377592</v>
      </c>
      <c r="M63" s="6">
        <f t="shared" si="21"/>
        <v>4.242109573069397E-2</v>
      </c>
      <c r="N63" s="6">
        <f t="shared" si="22"/>
        <v>1.7995493629927022E-3</v>
      </c>
      <c r="O63" s="6">
        <f>_xlfn.XLOOKUP(D63,'Instructor 360'!$B$6:$B$365,'Instructor 360'!$B$6:$B$365,,-1)</f>
        <v>1236.7688022284121</v>
      </c>
      <c r="P63" s="6">
        <f>_xlfn.XLOOKUP(D63,'Instructor 360'!$B$6:$B$365,'Instructor 360'!$B$6:$B$365,,1)</f>
        <v>1245.125348189415</v>
      </c>
      <c r="Q63" s="6">
        <f>_xlfn.XLOOKUP(D63,'Instructor 360'!$B$6:$B$365,'Instructor 360'!$G$6:$G$365,,-1)</f>
        <v>51.067140668523692</v>
      </c>
      <c r="R63" s="6">
        <f>_xlfn.XLOOKUP(D63,'Instructor 360'!$B$6:$B$365,'Instructor 360'!$G$6:$G$365,,1)</f>
        <v>50.550062952646243</v>
      </c>
      <c r="S63" s="6">
        <f t="shared" si="23"/>
        <v>51.006945420630345</v>
      </c>
      <c r="T63" s="6">
        <f t="shared" si="24"/>
        <v>0.89023913897504348</v>
      </c>
      <c r="U63" s="6">
        <f t="shared" si="25"/>
        <v>4.2421180059426411E-2</v>
      </c>
      <c r="V63" s="6"/>
      <c r="W63" s="6">
        <f t="shared" si="26"/>
        <v>1.7995565176342769E-3</v>
      </c>
      <c r="AA63">
        <f t="shared" si="27"/>
        <v>1243</v>
      </c>
      <c r="AB63">
        <f t="shared" si="28"/>
        <v>0.93266031903446989</v>
      </c>
      <c r="AC63">
        <f t="shared" si="29"/>
        <v>0.89023913897504348</v>
      </c>
      <c r="AE63">
        <f t="shared" si="30"/>
        <v>1243</v>
      </c>
      <c r="AF63">
        <f t="shared" si="31"/>
        <v>53.4375</v>
      </c>
      <c r="AG63">
        <f t="shared" si="32"/>
        <v>51.006945420630338</v>
      </c>
    </row>
    <row r="64" spans="1:33" ht="18.95" customHeight="1">
      <c r="A64" s="4">
        <f t="shared" si="33"/>
        <v>752</v>
      </c>
      <c r="B64" s="6">
        <f>INDEX('Raw Data'!$B$6:$B$1371,MATCH(A64,'Raw Data'!$A$6:$A$1371,0))</f>
        <v>16138</v>
      </c>
      <c r="C64" s="6">
        <f t="shared" si="17"/>
        <v>1263</v>
      </c>
      <c r="D64" s="6">
        <f>MOD(C64+Summary!$B$20,Summary!$B$11)</f>
        <v>1257.7416237989592</v>
      </c>
      <c r="E64" s="6">
        <f>_xlfn.XLOOKUP(D64,'Native PMKS'!$C$6:$C$366,'Native PMKS'!$C$6:$C$366,,-1)</f>
        <v>1250</v>
      </c>
      <c r="F64" s="6">
        <f>_xlfn.XLOOKUP(D64,'Native PMKS'!$C$6:$C$366,'Native PMKS'!$C$6:$C$366,,1)</f>
        <v>1258.3333333333335</v>
      </c>
      <c r="G64" s="6">
        <f>_xlfn.XLOOKUP(D64,'Native PMKS'!$C$6:$C$366,'Native PMKS'!$O$6:$O$366,,-1)</f>
        <v>50.248399999999997</v>
      </c>
      <c r="H64" s="6">
        <f>_xlfn.XLOOKUP(D64,'Native PMKS'!$C$6:$C$366,'Native PMKS'!$O$6:$O$366,,1)</f>
        <v>49.732700000000001</v>
      </c>
      <c r="I64" s="6">
        <f t="shared" si="18"/>
        <v>49.769317352825226</v>
      </c>
      <c r="J64" s="6">
        <f>INDEX('Raw Data'!$L$6:$L$1371,MATCH(A64,'Raw Data'!$A$6:$A$1371,0))</f>
        <v>52.6875</v>
      </c>
      <c r="K64" s="6">
        <f t="shared" si="19"/>
        <v>0.91957034964451245</v>
      </c>
      <c r="L64" s="6">
        <f t="shared" si="20"/>
        <v>0.86863845427674857</v>
      </c>
      <c r="M64" s="6">
        <f t="shared" si="21"/>
        <v>5.093189536776388E-2</v>
      </c>
      <c r="N64" s="6">
        <f t="shared" si="22"/>
        <v>2.5940579657528478E-3</v>
      </c>
      <c r="O64" s="6">
        <f>_xlfn.XLOOKUP(D64,'Instructor 360'!$B$6:$B$365,'Instructor 360'!$B$6:$B$365,,-1)</f>
        <v>1253.4818941504179</v>
      </c>
      <c r="P64" s="6">
        <f>_xlfn.XLOOKUP(D64,'Instructor 360'!$B$6:$B$365,'Instructor 360'!$B$6:$B$365,,1)</f>
        <v>1261.8384401114206</v>
      </c>
      <c r="Q64" s="6">
        <f>_xlfn.XLOOKUP(D64,'Instructor 360'!$B$6:$B$365,'Instructor 360'!$G$6:$G$365,,-1)</f>
        <v>50.032926462395537</v>
      </c>
      <c r="R64" s="6">
        <f>_xlfn.XLOOKUP(D64,'Instructor 360'!$B$6:$B$365,'Instructor 360'!$G$6:$G$365,,1)</f>
        <v>49.515832033426193</v>
      </c>
      <c r="S64" s="6">
        <f t="shared" si="23"/>
        <v>49.769338793464442</v>
      </c>
      <c r="T64" s="6">
        <f t="shared" si="24"/>
        <v>0.86863882848649654</v>
      </c>
      <c r="U64" s="6">
        <f t="shared" si="25"/>
        <v>5.0931521158015913E-2</v>
      </c>
      <c r="V64" s="6"/>
      <c r="W64" s="6">
        <f t="shared" si="26"/>
        <v>2.5940198474694227E-3</v>
      </c>
      <c r="AA64">
        <f t="shared" si="27"/>
        <v>1263</v>
      </c>
      <c r="AB64">
        <f t="shared" si="28"/>
        <v>0.91957034964451245</v>
      </c>
      <c r="AC64">
        <f t="shared" si="29"/>
        <v>0.86863882848649654</v>
      </c>
      <c r="AE64">
        <f t="shared" si="30"/>
        <v>1263</v>
      </c>
      <c r="AF64">
        <f t="shared" si="31"/>
        <v>52.687500000000007</v>
      </c>
      <c r="AG64">
        <f t="shared" si="32"/>
        <v>49.769338793464442</v>
      </c>
    </row>
    <row r="65" spans="1:33" ht="18.95" customHeight="1">
      <c r="A65" s="4">
        <f t="shared" si="33"/>
        <v>753</v>
      </c>
      <c r="B65" s="6">
        <f>INDEX('Raw Data'!$B$6:$B$1371,MATCH(A65,'Raw Data'!$A$6:$A$1371,0))</f>
        <v>16160</v>
      </c>
      <c r="C65" s="6">
        <f t="shared" si="17"/>
        <v>1285</v>
      </c>
      <c r="D65" s="6">
        <f>MOD(C65+Summary!$B$20,Summary!$B$11)</f>
        <v>1279.7416237989592</v>
      </c>
      <c r="E65" s="6">
        <f>_xlfn.XLOOKUP(D65,'Native PMKS'!$C$6:$C$366,'Native PMKS'!$C$6:$C$366,,-1)</f>
        <v>1275</v>
      </c>
      <c r="F65" s="6">
        <f>_xlfn.XLOOKUP(D65,'Native PMKS'!$C$6:$C$366,'Native PMKS'!$C$6:$C$366,,1)</f>
        <v>1283.3333333333335</v>
      </c>
      <c r="G65" s="6">
        <f>_xlfn.XLOOKUP(D65,'Native PMKS'!$C$6:$C$366,'Native PMKS'!$O$6:$O$366,,-1)</f>
        <v>48.644100000000002</v>
      </c>
      <c r="H65" s="6">
        <f>_xlfn.XLOOKUP(D65,'Native PMKS'!$C$6:$C$366,'Native PMKS'!$O$6:$O$366,,1)</f>
        <v>48.071199999999997</v>
      </c>
      <c r="I65" s="6">
        <f t="shared" si="18"/>
        <v>48.318122847069162</v>
      </c>
      <c r="J65" s="6">
        <f>INDEX('Raw Data'!$L$6:$L$1371,MATCH(A65,'Raw Data'!$A$6:$A$1371,0))</f>
        <v>50.5625</v>
      </c>
      <c r="K65" s="6">
        <f t="shared" si="19"/>
        <v>0.88248210303963281</v>
      </c>
      <c r="L65" s="6">
        <f t="shared" si="20"/>
        <v>0.84331033206445338</v>
      </c>
      <c r="M65" s="6">
        <f t="shared" si="21"/>
        <v>3.9171770975179432E-2</v>
      </c>
      <c r="N65" s="6">
        <f t="shared" si="22"/>
        <v>1.5344276413319098E-3</v>
      </c>
      <c r="O65" s="6">
        <f>_xlfn.XLOOKUP(D65,'Instructor 360'!$B$6:$B$365,'Instructor 360'!$B$6:$B$365,,-1)</f>
        <v>1278.5515320334262</v>
      </c>
      <c r="P65" s="6">
        <f>_xlfn.XLOOKUP(D65,'Instructor 360'!$B$6:$B$365,'Instructor 360'!$B$6:$B$365,,1)</f>
        <v>1286.908077994429</v>
      </c>
      <c r="Q65" s="6">
        <f>_xlfn.XLOOKUP(D65,'Instructor 360'!$B$6:$B$365,'Instructor 360'!$G$6:$G$365,,-1)</f>
        <v>48.399939275766023</v>
      </c>
      <c r="R65" s="6">
        <f>_xlfn.XLOOKUP(D65,'Instructor 360'!$B$6:$B$365,'Instructor 360'!$G$6:$G$365,,1)</f>
        <v>47.825400557103066</v>
      </c>
      <c r="S65" s="6">
        <f t="shared" si="23"/>
        <v>48.318116737931433</v>
      </c>
      <c r="T65" s="6">
        <f t="shared" si="24"/>
        <v>0.84331022543988565</v>
      </c>
      <c r="U65" s="6">
        <f t="shared" si="25"/>
        <v>3.9171877599747162E-2</v>
      </c>
      <c r="V65" s="6"/>
      <c r="W65" s="6">
        <f t="shared" si="26"/>
        <v>1.5344359946895736E-3</v>
      </c>
      <c r="AA65">
        <f t="shared" si="27"/>
        <v>1285</v>
      </c>
      <c r="AB65">
        <f t="shared" si="28"/>
        <v>0.88248210303963281</v>
      </c>
      <c r="AC65">
        <f t="shared" si="29"/>
        <v>0.84331022543988565</v>
      </c>
      <c r="AE65">
        <f t="shared" si="30"/>
        <v>1285</v>
      </c>
      <c r="AF65">
        <f t="shared" si="31"/>
        <v>50.5625</v>
      </c>
      <c r="AG65">
        <f t="shared" si="32"/>
        <v>48.318116737931433</v>
      </c>
    </row>
    <row r="66" spans="1:33" ht="18.95" customHeight="1">
      <c r="A66" s="4">
        <f t="shared" si="33"/>
        <v>754</v>
      </c>
      <c r="B66" s="6">
        <f>INDEX('Raw Data'!$B$6:$B$1371,MATCH(A66,'Raw Data'!$A$6:$A$1371,0))</f>
        <v>16190</v>
      </c>
      <c r="C66" s="6">
        <f t="shared" si="17"/>
        <v>1315</v>
      </c>
      <c r="D66" s="6">
        <f>MOD(C66+Summary!$B$20,Summary!$B$11)</f>
        <v>1309.7416237989592</v>
      </c>
      <c r="E66" s="6">
        <f>_xlfn.XLOOKUP(D66,'Native PMKS'!$C$6:$C$366,'Native PMKS'!$C$6:$C$366,,-1)</f>
        <v>1308.3333333333335</v>
      </c>
      <c r="F66" s="6">
        <f>_xlfn.XLOOKUP(D66,'Native PMKS'!$C$6:$C$366,'Native PMKS'!$C$6:$C$366,,1)</f>
        <v>1316.6666666666667</v>
      </c>
      <c r="G66" s="6">
        <f>_xlfn.XLOOKUP(D66,'Native PMKS'!$C$6:$C$366,'Native PMKS'!$O$6:$O$366,,-1)</f>
        <v>46.3523</v>
      </c>
      <c r="H66" s="6">
        <f>_xlfn.XLOOKUP(D66,'Native PMKS'!$C$6:$C$366,'Native PMKS'!$O$6:$O$366,,1)</f>
        <v>45.722000000000001</v>
      </c>
      <c r="I66" s="6">
        <f t="shared" si="18"/>
        <v>46.245782542341942</v>
      </c>
      <c r="J66" s="6">
        <f>INDEX('Raw Data'!$L$6:$L$1371,MATCH(A66,'Raw Data'!$A$6:$A$1371,0))</f>
        <v>48.4375</v>
      </c>
      <c r="K66" s="6">
        <f t="shared" si="19"/>
        <v>0.8453938564347534</v>
      </c>
      <c r="L66" s="6">
        <f t="shared" si="20"/>
        <v>0.80714117052518075</v>
      </c>
      <c r="M66" s="6">
        <f t="shared" si="21"/>
        <v>3.8252685909572648E-2</v>
      </c>
      <c r="N66" s="6">
        <f t="shared" si="22"/>
        <v>1.4632679792964177E-3</v>
      </c>
      <c r="O66" s="6">
        <f>_xlfn.XLOOKUP(D66,'Instructor 360'!$B$6:$B$365,'Instructor 360'!$B$6:$B$365,,-1)</f>
        <v>1303.6211699164346</v>
      </c>
      <c r="P66" s="6">
        <f>_xlfn.XLOOKUP(D66,'Instructor 360'!$B$6:$B$365,'Instructor 360'!$B$6:$B$365,,1)</f>
        <v>1311.9777158774373</v>
      </c>
      <c r="Q66" s="6">
        <f>_xlfn.XLOOKUP(D66,'Instructor 360'!$B$6:$B$365,'Instructor 360'!$G$6:$G$365,,-1)</f>
        <v>46.676251810584958</v>
      </c>
      <c r="R66" s="6">
        <f>_xlfn.XLOOKUP(D66,'Instructor 360'!$B$6:$B$365,'Instructor 360'!$G$6:$G$365,,1)</f>
        <v>46.076653481894162</v>
      </c>
      <c r="S66" s="6">
        <f t="shared" si="23"/>
        <v>46.237097411636313</v>
      </c>
      <c r="T66" s="6">
        <f t="shared" si="24"/>
        <v>0.80698958639840157</v>
      </c>
      <c r="U66" s="6">
        <f t="shared" si="25"/>
        <v>3.8404270036351829E-2</v>
      </c>
      <c r="V66" s="6"/>
      <c r="W66" s="6">
        <f t="shared" si="26"/>
        <v>1.4748879570250309E-3</v>
      </c>
      <c r="AA66">
        <f t="shared" si="27"/>
        <v>1315</v>
      </c>
      <c r="AB66">
        <f t="shared" si="28"/>
        <v>0.8453938564347534</v>
      </c>
      <c r="AC66">
        <f t="shared" si="29"/>
        <v>0.80698958639840157</v>
      </c>
      <c r="AE66">
        <f t="shared" si="30"/>
        <v>1315</v>
      </c>
      <c r="AF66">
        <f t="shared" si="31"/>
        <v>48.4375</v>
      </c>
      <c r="AG66">
        <f t="shared" si="32"/>
        <v>46.237097411636313</v>
      </c>
    </row>
    <row r="67" spans="1:33" ht="18.95" customHeight="1">
      <c r="A67" s="4">
        <f t="shared" si="33"/>
        <v>755</v>
      </c>
      <c r="B67" s="6">
        <f>INDEX('Raw Data'!$B$6:$B$1371,MATCH(A67,'Raw Data'!$A$6:$A$1371,0))</f>
        <v>16210</v>
      </c>
      <c r="C67" s="6">
        <f t="shared" si="17"/>
        <v>1335</v>
      </c>
      <c r="D67" s="6">
        <f>MOD(C67+Summary!$B$20,Summary!$B$11)</f>
        <v>1329.7416237989592</v>
      </c>
      <c r="E67" s="6">
        <f>_xlfn.XLOOKUP(D67,'Native PMKS'!$C$6:$C$366,'Native PMKS'!$C$6:$C$366,,-1)</f>
        <v>1325</v>
      </c>
      <c r="F67" s="6">
        <f>_xlfn.XLOOKUP(D67,'Native PMKS'!$C$6:$C$366,'Native PMKS'!$C$6:$C$366,,1)</f>
        <v>1333.3333333333335</v>
      </c>
      <c r="G67" s="6">
        <f>_xlfn.XLOOKUP(D67,'Native PMKS'!$C$6:$C$366,'Native PMKS'!$O$6:$O$366,,-1)</f>
        <v>45.091799999999999</v>
      </c>
      <c r="H67" s="6">
        <f>_xlfn.XLOOKUP(D67,'Native PMKS'!$C$6:$C$366,'Native PMKS'!$O$6:$O$366,,1)</f>
        <v>44.461500000000001</v>
      </c>
      <c r="I67" s="6">
        <f t="shared" si="18"/>
        <v>44.733162542341944</v>
      </c>
      <c r="J67" s="6">
        <f>INDEX('Raw Data'!$L$6:$L$1371,MATCH(A67,'Raw Data'!$A$6:$A$1371,0))</f>
        <v>46.9375</v>
      </c>
      <c r="K67" s="6">
        <f t="shared" si="19"/>
        <v>0.81921391765483831</v>
      </c>
      <c r="L67" s="6">
        <f t="shared" si="20"/>
        <v>0.78074097119366426</v>
      </c>
      <c r="M67" s="6">
        <f t="shared" si="21"/>
        <v>3.8472946461174051E-2</v>
      </c>
      <c r="N67" s="6">
        <f t="shared" si="22"/>
        <v>1.480167609404365E-3</v>
      </c>
      <c r="O67" s="6">
        <f>_xlfn.XLOOKUP(D67,'Instructor 360'!$B$6:$B$365,'Instructor 360'!$B$6:$B$365,,-1)</f>
        <v>1328.6908077994428</v>
      </c>
      <c r="P67" s="6">
        <f>_xlfn.XLOOKUP(D67,'Instructor 360'!$B$6:$B$365,'Instructor 360'!$B$6:$B$365,,1)</f>
        <v>1337.0473537604457</v>
      </c>
      <c r="Q67" s="6">
        <f>_xlfn.XLOOKUP(D67,'Instructor 360'!$B$6:$B$365,'Instructor 360'!$G$6:$G$365,,-1)</f>
        <v>44.812642061281345</v>
      </c>
      <c r="R67" s="6">
        <f>_xlfn.XLOOKUP(D67,'Instructor 360'!$B$6:$B$365,'Instructor 360'!$G$6:$G$365,,1)</f>
        <v>44.180630919220064</v>
      </c>
      <c r="S67" s="6">
        <f t="shared" si="23"/>
        <v>44.733168146693956</v>
      </c>
      <c r="T67" s="6">
        <f t="shared" si="24"/>
        <v>0.7807410690080594</v>
      </c>
      <c r="U67" s="6">
        <f t="shared" si="25"/>
        <v>3.8472848646778912E-2</v>
      </c>
      <c r="V67" s="6"/>
      <c r="W67" s="6">
        <f t="shared" si="26"/>
        <v>1.480160082997958E-3</v>
      </c>
      <c r="AA67">
        <f t="shared" si="27"/>
        <v>1335</v>
      </c>
      <c r="AB67">
        <f t="shared" si="28"/>
        <v>0.81921391765483831</v>
      </c>
      <c r="AC67">
        <f t="shared" si="29"/>
        <v>0.7807410690080594</v>
      </c>
      <c r="AE67">
        <f t="shared" si="30"/>
        <v>1335</v>
      </c>
      <c r="AF67">
        <f t="shared" si="31"/>
        <v>46.9375</v>
      </c>
      <c r="AG67">
        <f t="shared" si="32"/>
        <v>44.733168146693963</v>
      </c>
    </row>
    <row r="68" spans="1:33" ht="18.95" customHeight="1">
      <c r="A68" s="4">
        <f t="shared" si="33"/>
        <v>756</v>
      </c>
      <c r="B68" s="6">
        <f>INDEX('Raw Data'!$B$6:$B$1371,MATCH(A68,'Raw Data'!$A$6:$A$1371,0))</f>
        <v>16230</v>
      </c>
      <c r="C68" s="6">
        <f t="shared" si="17"/>
        <v>1355</v>
      </c>
      <c r="D68" s="6">
        <f>MOD(C68+Summary!$B$20,Summary!$B$11)</f>
        <v>1349.7416237989592</v>
      </c>
      <c r="E68" s="6">
        <f>_xlfn.XLOOKUP(D68,'Native PMKS'!$C$6:$C$366,'Native PMKS'!$C$6:$C$366,,-1)</f>
        <v>1341.6666666666667</v>
      </c>
      <c r="F68" s="6">
        <f>_xlfn.XLOOKUP(D68,'Native PMKS'!$C$6:$C$366,'Native PMKS'!$C$6:$C$366,,1)</f>
        <v>1350</v>
      </c>
      <c r="G68" s="6">
        <f>_xlfn.XLOOKUP(D68,'Native PMKS'!$C$6:$C$366,'Native PMKS'!$O$6:$O$366,,-1)</f>
        <v>43.831299999999999</v>
      </c>
      <c r="H68" s="6">
        <f>_xlfn.XLOOKUP(D68,'Native PMKS'!$C$6:$C$366,'Native PMKS'!$O$6:$O$366,,1)</f>
        <v>43.201000000000001</v>
      </c>
      <c r="I68" s="6">
        <f t="shared" si="18"/>
        <v>43.220542542341931</v>
      </c>
      <c r="J68" s="6">
        <f>INDEX('Raw Data'!$L$6:$L$1371,MATCH(A68,'Raw Data'!$A$6:$A$1371,0))</f>
        <v>46</v>
      </c>
      <c r="K68" s="6">
        <f t="shared" si="19"/>
        <v>0.80285145591739149</v>
      </c>
      <c r="L68" s="6">
        <f t="shared" si="20"/>
        <v>0.75434077186214743</v>
      </c>
      <c r="M68" s="6">
        <f t="shared" si="21"/>
        <v>4.8510684055244058E-2</v>
      </c>
      <c r="N68" s="6">
        <f t="shared" si="22"/>
        <v>2.3532864675077101E-3</v>
      </c>
      <c r="O68" s="6">
        <f>_xlfn.XLOOKUP(D68,'Instructor 360'!$B$6:$B$365,'Instructor 360'!$B$6:$B$365,,-1)</f>
        <v>1345.4038997214484</v>
      </c>
      <c r="P68" s="6">
        <f>_xlfn.XLOOKUP(D68,'Instructor 360'!$B$6:$B$365,'Instructor 360'!$B$6:$B$365,,1)</f>
        <v>1353.7604456824513</v>
      </c>
      <c r="Q68" s="6">
        <f>_xlfn.XLOOKUP(D68,'Instructor 360'!$B$6:$B$365,'Instructor 360'!$G$6:$G$365,,-1)</f>
        <v>43.548630640668534</v>
      </c>
      <c r="R68" s="6">
        <f>_xlfn.XLOOKUP(D68,'Instructor 360'!$B$6:$B$365,'Instructor 360'!$G$6:$G$365,,1)</f>
        <v>42.890763231197774</v>
      </c>
      <c r="S68" s="6">
        <f t="shared" si="23"/>
        <v>43.207144180211301</v>
      </c>
      <c r="T68" s="6">
        <f t="shared" si="24"/>
        <v>0.75410692632859333</v>
      </c>
      <c r="U68" s="6">
        <f t="shared" si="25"/>
        <v>4.8744529588798158E-2</v>
      </c>
      <c r="V68" s="6"/>
      <c r="W68" s="6">
        <f t="shared" si="26"/>
        <v>2.3760291648332191E-3</v>
      </c>
      <c r="AA68">
        <f t="shared" si="27"/>
        <v>1355</v>
      </c>
      <c r="AB68">
        <f t="shared" si="28"/>
        <v>0.80285145591739149</v>
      </c>
      <c r="AC68">
        <f t="shared" si="29"/>
        <v>0.75410692632859333</v>
      </c>
      <c r="AE68">
        <f t="shared" si="30"/>
        <v>1355</v>
      </c>
      <c r="AF68">
        <f t="shared" si="31"/>
        <v>46</v>
      </c>
      <c r="AG68">
        <f t="shared" si="32"/>
        <v>43.207144180211301</v>
      </c>
    </row>
    <row r="69" spans="1:33" ht="18.95" customHeight="1">
      <c r="A69" s="4">
        <f t="shared" si="33"/>
        <v>757</v>
      </c>
      <c r="B69" s="6">
        <f>INDEX('Raw Data'!$B$6:$B$1371,MATCH(A69,'Raw Data'!$A$6:$A$1371,0))</f>
        <v>16252</v>
      </c>
      <c r="C69" s="6">
        <f t="shared" si="17"/>
        <v>1377</v>
      </c>
      <c r="D69" s="6">
        <f>MOD(C69+Summary!$B$20,Summary!$B$11)</f>
        <v>1371.7416237989592</v>
      </c>
      <c r="E69" s="6">
        <f>_xlfn.XLOOKUP(D69,'Native PMKS'!$C$6:$C$366,'Native PMKS'!$C$6:$C$366,,-1)</f>
        <v>1366.6666666666667</v>
      </c>
      <c r="F69" s="6">
        <f>_xlfn.XLOOKUP(D69,'Native PMKS'!$C$6:$C$366,'Native PMKS'!$C$6:$C$366,,1)</f>
        <v>1375</v>
      </c>
      <c r="G69" s="6">
        <f>_xlfn.XLOOKUP(D69,'Native PMKS'!$C$6:$C$366,'Native PMKS'!$O$6:$O$366,,-1)</f>
        <v>41.825899999999997</v>
      </c>
      <c r="H69" s="6">
        <f>_xlfn.XLOOKUP(D69,'Native PMKS'!$C$6:$C$366,'Native PMKS'!$O$6:$O$366,,1)</f>
        <v>41.138399999999997</v>
      </c>
      <c r="I69" s="6">
        <f t="shared" si="18"/>
        <v>41.407216036585879</v>
      </c>
      <c r="J69" s="6">
        <f>INDEX('Raw Data'!$L$6:$L$1371,MATCH(A69,'Raw Data'!$A$6:$A$1371,0))</f>
        <v>43.75</v>
      </c>
      <c r="K69" s="6">
        <f t="shared" si="19"/>
        <v>0.76358154774751907</v>
      </c>
      <c r="L69" s="6">
        <f t="shared" si="20"/>
        <v>0.72269225392302039</v>
      </c>
      <c r="M69" s="6">
        <f t="shared" si="21"/>
        <v>4.0889293824498685E-2</v>
      </c>
      <c r="N69" s="6">
        <f t="shared" si="22"/>
        <v>1.6719343494661864E-3</v>
      </c>
      <c r="O69" s="6">
        <f>_xlfn.XLOOKUP(D69,'Instructor 360'!$B$6:$B$365,'Instructor 360'!$B$6:$B$365,,-1)</f>
        <v>1370.4735376044569</v>
      </c>
      <c r="P69" s="6">
        <f>_xlfn.XLOOKUP(D69,'Instructor 360'!$B$6:$B$365,'Instructor 360'!$B$6:$B$365,,1)</f>
        <v>1378.8300835654595</v>
      </c>
      <c r="Q69" s="6">
        <f>_xlfn.XLOOKUP(D69,'Instructor 360'!$B$6:$B$365,'Instructor 360'!$G$6:$G$365,,-1)</f>
        <v>41.511833147632309</v>
      </c>
      <c r="R69" s="6">
        <f>_xlfn.XLOOKUP(D69,'Instructor 360'!$B$6:$B$365,'Instructor 360'!$G$6:$G$365,,1)</f>
        <v>40.82237214484681</v>
      </c>
      <c r="S69" s="6">
        <f t="shared" si="23"/>
        <v>41.407209062111789</v>
      </c>
      <c r="T69" s="6">
        <f t="shared" si="24"/>
        <v>0.722692132195484</v>
      </c>
      <c r="U69" s="6">
        <f t="shared" si="25"/>
        <v>4.0889415552035069E-2</v>
      </c>
      <c r="V69" s="6"/>
      <c r="W69" s="6">
        <f t="shared" si="26"/>
        <v>1.6719443041870073E-3</v>
      </c>
      <c r="AA69">
        <f t="shared" si="27"/>
        <v>1377</v>
      </c>
      <c r="AB69">
        <f t="shared" si="28"/>
        <v>0.76358154774751907</v>
      </c>
      <c r="AC69">
        <f t="shared" si="29"/>
        <v>0.722692132195484</v>
      </c>
      <c r="AE69">
        <f t="shared" si="30"/>
        <v>1377</v>
      </c>
      <c r="AF69">
        <f t="shared" si="31"/>
        <v>43.749999999999993</v>
      </c>
      <c r="AG69">
        <f t="shared" si="32"/>
        <v>41.407209062111789</v>
      </c>
    </row>
    <row r="70" spans="1:33" ht="18.95" customHeight="1">
      <c r="A70" s="4">
        <f t="shared" si="33"/>
        <v>758</v>
      </c>
      <c r="B70" s="6">
        <f>INDEX('Raw Data'!$B$6:$B$1371,MATCH(A70,'Raw Data'!$A$6:$A$1371,0))</f>
        <v>16274</v>
      </c>
      <c r="C70" s="6">
        <f t="shared" ref="C70:C101" si="34">B70-$B$6</f>
        <v>1399</v>
      </c>
      <c r="D70" s="6">
        <f>MOD(C70+Summary!$B$20,Summary!$B$11)</f>
        <v>1393.7416237989592</v>
      </c>
      <c r="E70" s="6">
        <f>_xlfn.XLOOKUP(D70,'Native PMKS'!$C$6:$C$366,'Native PMKS'!$C$6:$C$366,,-1)</f>
        <v>1391.6666666666667</v>
      </c>
      <c r="F70" s="6">
        <f>_xlfn.XLOOKUP(D70,'Native PMKS'!$C$6:$C$366,'Native PMKS'!$C$6:$C$366,,1)</f>
        <v>1400</v>
      </c>
      <c r="G70" s="6">
        <f>_xlfn.XLOOKUP(D70,'Native PMKS'!$C$6:$C$366,'Native PMKS'!$O$6:$O$366,,-1)</f>
        <v>39.763300000000001</v>
      </c>
      <c r="H70" s="6">
        <f>_xlfn.XLOOKUP(D70,'Native PMKS'!$C$6:$C$366,'Native PMKS'!$O$6:$O$366,,1)</f>
        <v>39.0184</v>
      </c>
      <c r="I70" s="6">
        <f t="shared" ref="I70:I101" si="35">IF(E70=F70,G70,_xlfn.FORECAST.LINEAR(D70,G70:H70,E70:F70))</f>
        <v>39.577823731858643</v>
      </c>
      <c r="J70" s="6">
        <f>INDEX('Raw Data'!$L$6:$L$1371,MATCH(A70,'Raw Data'!$A$6:$A$1371,0))</f>
        <v>42.8125</v>
      </c>
      <c r="K70" s="6">
        <f t="shared" ref="K70:K101" si="36">J70*1*PI()/180</f>
        <v>0.74721908601007225</v>
      </c>
      <c r="L70" s="6">
        <f t="shared" ref="L70:L101" si="37">I70*PI()/180</f>
        <v>0.69076333489488273</v>
      </c>
      <c r="M70" s="6">
        <f t="shared" ref="M70:M101" si="38">K70-L70</f>
        <v>5.6455751115189523E-2</v>
      </c>
      <c r="N70" s="6">
        <f t="shared" ref="N70:N101" si="39">M70^2</f>
        <v>3.1872518339802229E-3</v>
      </c>
      <c r="O70" s="6">
        <f>_xlfn.XLOOKUP(D70,'Instructor 360'!$B$6:$B$365,'Instructor 360'!$B$6:$B$365,,-1)</f>
        <v>1387.1866295264624</v>
      </c>
      <c r="P70" s="6">
        <f>_xlfn.XLOOKUP(D70,'Instructor 360'!$B$6:$B$365,'Instructor 360'!$B$6:$B$365,,1)</f>
        <v>1395.5431754874651</v>
      </c>
      <c r="Q70" s="6">
        <f>_xlfn.XLOOKUP(D70,'Instructor 360'!$B$6:$B$365,'Instructor 360'!$G$6:$G$365,,-1)</f>
        <v>40.132903064066859</v>
      </c>
      <c r="R70" s="6">
        <f>_xlfn.XLOOKUP(D70,'Instructor 360'!$B$6:$B$365,'Instructor 360'!$G$6:$G$365,,1)</f>
        <v>39.416786629526477</v>
      </c>
      <c r="S70" s="6">
        <f t="shared" ref="S70:S101" si="40">IF(O70=P70,Q70,_xlfn.FORECAST.LINEAR(D70,Q70:R70,O70:P70))</f>
        <v>39.571171081886774</v>
      </c>
      <c r="T70" s="6">
        <f t="shared" ref="T70:T101" si="41">S70*PI()/180</f>
        <v>0.69064722424889091</v>
      </c>
      <c r="U70" s="6">
        <f t="shared" ref="U70:U101" si="42">K70-T70</f>
        <v>5.6571861761181341E-2</v>
      </c>
      <c r="V70" s="6"/>
      <c r="W70" s="6">
        <f t="shared" ref="W70:W101" si="43">U70^2</f>
        <v>3.2003755431262116E-3</v>
      </c>
      <c r="AA70">
        <f t="shared" ref="AA70:AA101" si="44">C70</f>
        <v>1399</v>
      </c>
      <c r="AB70">
        <f t="shared" ref="AB70:AB101" si="45">K70</f>
        <v>0.74721908601007225</v>
      </c>
      <c r="AC70">
        <f t="shared" ref="AC70:AC101" si="46">T70</f>
        <v>0.69064722424889091</v>
      </c>
      <c r="AE70">
        <f t="shared" ref="AE70:AE101" si="47">C70</f>
        <v>1399</v>
      </c>
      <c r="AF70">
        <f t="shared" ref="AF70:AF101" si="48">K70*180/PI()</f>
        <v>42.8125</v>
      </c>
      <c r="AG70">
        <f t="shared" ref="AG70:AG101" si="49">T70*180/PI()</f>
        <v>39.571171081886774</v>
      </c>
    </row>
    <row r="71" spans="1:33" ht="18.95" customHeight="1">
      <c r="A71" s="4">
        <f t="shared" ref="A71:A102" si="50">A70+1</f>
        <v>759</v>
      </c>
      <c r="B71" s="6">
        <f>INDEX('Raw Data'!$B$6:$B$1371,MATCH(A71,'Raw Data'!$A$6:$A$1371,0))</f>
        <v>16294</v>
      </c>
      <c r="C71" s="6">
        <f t="shared" si="34"/>
        <v>1419</v>
      </c>
      <c r="D71" s="6">
        <f>MOD(C71+Summary!$B$20,Summary!$B$11)</f>
        <v>1413.7416237989592</v>
      </c>
      <c r="E71" s="6">
        <f>_xlfn.XLOOKUP(D71,'Native PMKS'!$C$6:$C$366,'Native PMKS'!$C$6:$C$366,,-1)</f>
        <v>1408.3333333333335</v>
      </c>
      <c r="F71" s="6">
        <f>_xlfn.XLOOKUP(D71,'Native PMKS'!$C$6:$C$366,'Native PMKS'!$C$6:$C$366,,1)</f>
        <v>1416.6666666666667</v>
      </c>
      <c r="G71" s="6">
        <f>_xlfn.XLOOKUP(D71,'Native PMKS'!$C$6:$C$366,'Native PMKS'!$O$6:$O$366,,-1)</f>
        <v>38.3309</v>
      </c>
      <c r="H71" s="6">
        <f>_xlfn.XLOOKUP(D71,'Native PMKS'!$C$6:$C$366,'Native PMKS'!$O$6:$O$366,,1)</f>
        <v>37.585999999999999</v>
      </c>
      <c r="I71" s="6">
        <f t="shared" si="35"/>
        <v>37.847463731858653</v>
      </c>
      <c r="J71" s="6">
        <f>INDEX('Raw Data'!$L$6:$L$1371,MATCH(A71,'Raw Data'!$A$6:$A$1371,0))</f>
        <v>40</v>
      </c>
      <c r="K71" s="6">
        <f t="shared" si="36"/>
        <v>0.69813170079773179</v>
      </c>
      <c r="L71" s="6">
        <f t="shared" si="37"/>
        <v>0.66056285565007378</v>
      </c>
      <c r="M71" s="6">
        <f t="shared" si="38"/>
        <v>3.7568845147658014E-2</v>
      </c>
      <c r="N71" s="6">
        <f t="shared" si="39"/>
        <v>1.4114181257287072E-3</v>
      </c>
      <c r="O71" s="6">
        <f>_xlfn.XLOOKUP(D71,'Instructor 360'!$B$6:$B$365,'Instructor 360'!$B$6:$B$365,,-1)</f>
        <v>1412.2562674094706</v>
      </c>
      <c r="P71" s="6">
        <f>_xlfn.XLOOKUP(D71,'Instructor 360'!$B$6:$B$365,'Instructor 360'!$B$6:$B$365,,1)</f>
        <v>1420.6128133704735</v>
      </c>
      <c r="Q71" s="6">
        <f>_xlfn.XLOOKUP(D71,'Instructor 360'!$B$6:$B$365,'Instructor 360'!$G$6:$G$365,,-1)</f>
        <v>37.98023676880225</v>
      </c>
      <c r="R71" s="6">
        <f>_xlfn.XLOOKUP(D71,'Instructor 360'!$B$6:$B$365,'Instructor 360'!$G$6:$G$365,,1)</f>
        <v>37.233309192200558</v>
      </c>
      <c r="S71" s="6">
        <f t="shared" si="40"/>
        <v>37.847472148878154</v>
      </c>
      <c r="T71" s="6">
        <f t="shared" si="41"/>
        <v>0.66056300255477729</v>
      </c>
      <c r="U71" s="6">
        <f t="shared" si="42"/>
        <v>3.7568698242954501E-2</v>
      </c>
      <c r="V71" s="6"/>
      <c r="W71" s="6">
        <f t="shared" si="43"/>
        <v>1.4114070876701727E-3</v>
      </c>
      <c r="AA71">
        <f t="shared" si="44"/>
        <v>1419</v>
      </c>
      <c r="AB71">
        <f t="shared" si="45"/>
        <v>0.69813170079773179</v>
      </c>
      <c r="AC71">
        <f t="shared" si="46"/>
        <v>0.66056300255477729</v>
      </c>
      <c r="AE71">
        <f t="shared" si="47"/>
        <v>1419</v>
      </c>
      <c r="AF71">
        <f t="shared" si="48"/>
        <v>40</v>
      </c>
      <c r="AG71">
        <f t="shared" si="49"/>
        <v>37.847472148878154</v>
      </c>
    </row>
    <row r="72" spans="1:33" ht="18.95" customHeight="1">
      <c r="A72" s="4">
        <f t="shared" si="50"/>
        <v>760</v>
      </c>
      <c r="B72" s="6">
        <f>INDEX('Raw Data'!$B$6:$B$1371,MATCH(A72,'Raw Data'!$A$6:$A$1371,0))</f>
        <v>16315</v>
      </c>
      <c r="C72" s="6">
        <f t="shared" si="34"/>
        <v>1440</v>
      </c>
      <c r="D72" s="6">
        <f>MOD(C72+Summary!$B$20,Summary!$B$11)</f>
        <v>1434.7416237989592</v>
      </c>
      <c r="E72" s="6">
        <f>_xlfn.XLOOKUP(D72,'Native PMKS'!$C$6:$C$366,'Native PMKS'!$C$6:$C$366,,-1)</f>
        <v>1433.3333333333335</v>
      </c>
      <c r="F72" s="6">
        <f>_xlfn.XLOOKUP(D72,'Native PMKS'!$C$6:$C$366,'Native PMKS'!$C$6:$C$366,,1)</f>
        <v>1441.6666666666667</v>
      </c>
      <c r="G72" s="6">
        <f>_xlfn.XLOOKUP(D72,'Native PMKS'!$C$6:$C$366,'Native PMKS'!$O$6:$O$366,,-1)</f>
        <v>36.096299999999999</v>
      </c>
      <c r="H72" s="6">
        <f>_xlfn.XLOOKUP(D72,'Native PMKS'!$C$6:$C$366,'Native PMKS'!$O$6:$O$366,,1)</f>
        <v>35.351500000000001</v>
      </c>
      <c r="I72" s="6">
        <f t="shared" si="35"/>
        <v>35.970432631344238</v>
      </c>
      <c r="J72" s="6">
        <f>INDEX('Raw Data'!$L$6:$L$1371,MATCH(A72,'Raw Data'!$A$6:$A$1371,0))</f>
        <v>39.4375</v>
      </c>
      <c r="K72" s="6">
        <f t="shared" si="36"/>
        <v>0.68831422375526374</v>
      </c>
      <c r="L72" s="6">
        <f t="shared" si="37"/>
        <v>0.6278024827837646</v>
      </c>
      <c r="M72" s="6">
        <f t="shared" si="38"/>
        <v>6.0511740971499139E-2</v>
      </c>
      <c r="N72" s="6">
        <f t="shared" si="39"/>
        <v>3.6616707954018075E-3</v>
      </c>
      <c r="O72" s="6">
        <f>_xlfn.XLOOKUP(D72,'Instructor 360'!$B$6:$B$365,'Instructor 360'!$B$6:$B$365,,-1)</f>
        <v>1428.9693593314764</v>
      </c>
      <c r="P72" s="6">
        <f>_xlfn.XLOOKUP(D72,'Instructor 360'!$B$6:$B$365,'Instructor 360'!$B$6:$B$365,,1)</f>
        <v>1437.3259052924791</v>
      </c>
      <c r="Q72" s="6">
        <f>_xlfn.XLOOKUP(D72,'Instructor 360'!$B$6:$B$365,'Instructor 360'!$G$6:$G$365,,-1)</f>
        <v>36.486386908077989</v>
      </c>
      <c r="R72" s="6">
        <f>_xlfn.XLOOKUP(D72,'Instructor 360'!$B$6:$B$365,'Instructor 360'!$G$6:$G$365,,1)</f>
        <v>35.739459888579397</v>
      </c>
      <c r="S72" s="6">
        <f t="shared" si="40"/>
        <v>35.97044882617493</v>
      </c>
      <c r="T72" s="6">
        <f t="shared" si="41"/>
        <v>0.62780276543688207</v>
      </c>
      <c r="U72" s="6">
        <f t="shared" si="42"/>
        <v>6.0511458318381672E-2</v>
      </c>
      <c r="V72" s="6"/>
      <c r="W72" s="6">
        <f t="shared" si="43"/>
        <v>3.6616365878172426E-3</v>
      </c>
      <c r="AA72">
        <f t="shared" si="44"/>
        <v>1440</v>
      </c>
      <c r="AB72">
        <f t="shared" si="45"/>
        <v>0.68831422375526374</v>
      </c>
      <c r="AC72">
        <f t="shared" si="46"/>
        <v>0.62780276543688207</v>
      </c>
      <c r="AE72">
        <f t="shared" si="47"/>
        <v>1440</v>
      </c>
      <c r="AF72">
        <f t="shared" si="48"/>
        <v>39.437500000000007</v>
      </c>
      <c r="AG72">
        <f t="shared" si="49"/>
        <v>35.970448826174938</v>
      </c>
    </row>
    <row r="73" spans="1:33" ht="18.95" customHeight="1">
      <c r="A73" s="4">
        <f t="shared" si="50"/>
        <v>761</v>
      </c>
      <c r="B73" s="6">
        <f>INDEX('Raw Data'!$B$6:$B$1371,MATCH(A73,'Raw Data'!$A$6:$A$1371,0))</f>
        <v>16336</v>
      </c>
      <c r="C73" s="6">
        <f t="shared" si="34"/>
        <v>1461</v>
      </c>
      <c r="D73" s="6">
        <f>MOD(C73+Summary!$B$20,Summary!$B$11)</f>
        <v>1455.7416237989592</v>
      </c>
      <c r="E73" s="6">
        <f>_xlfn.XLOOKUP(D73,'Native PMKS'!$C$6:$C$366,'Native PMKS'!$C$6:$C$366,,-1)</f>
        <v>1450</v>
      </c>
      <c r="F73" s="6">
        <f>_xlfn.XLOOKUP(D73,'Native PMKS'!$C$6:$C$366,'Native PMKS'!$C$6:$C$366,,1)</f>
        <v>1458.3333333333335</v>
      </c>
      <c r="G73" s="6">
        <f>_xlfn.XLOOKUP(D73,'Native PMKS'!$C$6:$C$366,'Native PMKS'!$O$6:$O$366,,-1)</f>
        <v>34.606699999999996</v>
      </c>
      <c r="H73" s="6">
        <f>_xlfn.XLOOKUP(D73,'Native PMKS'!$C$6:$C$366,'Native PMKS'!$O$6:$O$366,,1)</f>
        <v>33.804499999999997</v>
      </c>
      <c r="I73" s="6">
        <f t="shared" si="35"/>
        <v>34.053988326617002</v>
      </c>
      <c r="J73" s="6">
        <f>INDEX('Raw Data'!$L$6:$L$1371,MATCH(A73,'Raw Data'!$A$6:$A$1371,0))</f>
        <v>36.8125</v>
      </c>
      <c r="K73" s="6">
        <f t="shared" si="36"/>
        <v>0.64249933089041256</v>
      </c>
      <c r="L73" s="6">
        <f t="shared" si="37"/>
        <v>0.59435421973518077</v>
      </c>
      <c r="M73" s="6">
        <f t="shared" si="38"/>
        <v>4.814511115523179E-2</v>
      </c>
      <c r="N73" s="6">
        <f t="shared" si="39"/>
        <v>2.3179517281496247E-3</v>
      </c>
      <c r="O73" s="6">
        <f>_xlfn.XLOOKUP(D73,'Instructor 360'!$B$6:$B$365,'Instructor 360'!$B$6:$B$365,,-1)</f>
        <v>1454.0389972144847</v>
      </c>
      <c r="P73" s="6">
        <f>_xlfn.XLOOKUP(D73,'Instructor 360'!$B$6:$B$365,'Instructor 360'!$B$6:$B$365,,1)</f>
        <v>1462.3955431754875</v>
      </c>
      <c r="Q73" s="6">
        <f>_xlfn.XLOOKUP(D73,'Instructor 360'!$B$6:$B$365,'Instructor 360'!$G$6:$G$365,,-1)</f>
        <v>34.217889972144853</v>
      </c>
      <c r="R73" s="6">
        <f>_xlfn.XLOOKUP(D73,'Instructor 360'!$B$6:$B$365,'Instructor 360'!$G$6:$G$365,,1)</f>
        <v>33.441435933147631</v>
      </c>
      <c r="S73" s="6">
        <f t="shared" si="40"/>
        <v>34.059689287964034</v>
      </c>
      <c r="T73" s="6">
        <f t="shared" si="41"/>
        <v>0.59445372028121546</v>
      </c>
      <c r="U73" s="6">
        <f t="shared" si="42"/>
        <v>4.8045610609197098E-2</v>
      </c>
      <c r="V73" s="6"/>
      <c r="W73" s="6">
        <f t="shared" si="43"/>
        <v>2.3083806988105928E-3</v>
      </c>
      <c r="AA73">
        <f t="shared" si="44"/>
        <v>1461</v>
      </c>
      <c r="AB73">
        <f t="shared" si="45"/>
        <v>0.64249933089041256</v>
      </c>
      <c r="AC73">
        <f t="shared" si="46"/>
        <v>0.59445372028121546</v>
      </c>
      <c r="AE73">
        <f t="shared" si="47"/>
        <v>1461</v>
      </c>
      <c r="AF73">
        <f t="shared" si="48"/>
        <v>36.8125</v>
      </c>
      <c r="AG73">
        <f t="shared" si="49"/>
        <v>34.059689287964034</v>
      </c>
    </row>
    <row r="74" spans="1:33" ht="18.95" customHeight="1">
      <c r="A74" s="4">
        <f t="shared" si="50"/>
        <v>762</v>
      </c>
      <c r="B74" s="6">
        <f>INDEX('Raw Data'!$B$6:$B$1371,MATCH(A74,'Raw Data'!$A$6:$A$1371,0))</f>
        <v>16357</v>
      </c>
      <c r="C74" s="6">
        <f t="shared" si="34"/>
        <v>1482</v>
      </c>
      <c r="D74" s="6">
        <f>MOD(C74+Summary!$B$20,Summary!$B$11)</f>
        <v>1476.7416237989592</v>
      </c>
      <c r="E74" s="6">
        <f>_xlfn.XLOOKUP(D74,'Native PMKS'!$C$6:$C$366,'Native PMKS'!$C$6:$C$366,,-1)</f>
        <v>1475</v>
      </c>
      <c r="F74" s="6">
        <f>_xlfn.XLOOKUP(D74,'Native PMKS'!$C$6:$C$366,'Native PMKS'!$C$6:$C$366,,1)</f>
        <v>1483.3333333333335</v>
      </c>
      <c r="G74" s="6">
        <f>_xlfn.XLOOKUP(D74,'Native PMKS'!$C$6:$C$366,'Native PMKS'!$O$6:$O$366,,-1)</f>
        <v>32.2575</v>
      </c>
      <c r="H74" s="6">
        <f>_xlfn.XLOOKUP(D74,'Native PMKS'!$C$6:$C$366,'Native PMKS'!$O$6:$O$366,,1)</f>
        <v>31.512699999999999</v>
      </c>
      <c r="I74" s="6">
        <f t="shared" si="35"/>
        <v>32.101840631344203</v>
      </c>
      <c r="J74" s="6">
        <f>INDEX('Raw Data'!$L$6:$L$1371,MATCH(A74,'Raw Data'!$A$6:$A$1371,0))</f>
        <v>35.875</v>
      </c>
      <c r="K74" s="6">
        <f t="shared" si="36"/>
        <v>0.62613686915296574</v>
      </c>
      <c r="L74" s="6">
        <f t="shared" si="37"/>
        <v>0.56028281496745147</v>
      </c>
      <c r="M74" s="6">
        <f t="shared" si="38"/>
        <v>6.5854054185514266E-2</v>
      </c>
      <c r="N74" s="6">
        <f t="shared" si="39"/>
        <v>4.3367564526686489E-3</v>
      </c>
      <c r="O74" s="6">
        <f>_xlfn.XLOOKUP(D74,'Instructor 360'!$B$6:$B$365,'Instructor 360'!$B$6:$B$365,,-1)</f>
        <v>1470.7520891364902</v>
      </c>
      <c r="P74" s="6">
        <f>_xlfn.XLOOKUP(D74,'Instructor 360'!$B$6:$B$365,'Instructor 360'!$B$6:$B$365,,1)</f>
        <v>1479.1086350974931</v>
      </c>
      <c r="Q74" s="6">
        <f>_xlfn.XLOOKUP(D74,'Instructor 360'!$B$6:$B$365,'Instructor 360'!$G$6:$G$365,,-1)</f>
        <v>32.666420891364908</v>
      </c>
      <c r="R74" s="6">
        <f>_xlfn.XLOOKUP(D74,'Instructor 360'!$B$6:$B$365,'Instructor 360'!$G$6:$G$365,,1)</f>
        <v>31.890286629526461</v>
      </c>
      <c r="S74" s="6">
        <f t="shared" si="40"/>
        <v>32.110128484704916</v>
      </c>
      <c r="T74" s="6">
        <f t="shared" si="41"/>
        <v>0.56042746529651843</v>
      </c>
      <c r="U74" s="6">
        <f t="shared" si="42"/>
        <v>6.5709403856447302E-2</v>
      </c>
      <c r="V74" s="6"/>
      <c r="W74" s="6">
        <f t="shared" si="43"/>
        <v>4.3177257551696912E-3</v>
      </c>
      <c r="AA74">
        <f t="shared" si="44"/>
        <v>1482</v>
      </c>
      <c r="AB74">
        <f t="shared" si="45"/>
        <v>0.62613686915296574</v>
      </c>
      <c r="AC74">
        <f t="shared" si="46"/>
        <v>0.56042746529651843</v>
      </c>
      <c r="AE74">
        <f t="shared" si="47"/>
        <v>1482</v>
      </c>
      <c r="AF74">
        <f t="shared" si="48"/>
        <v>35.875</v>
      </c>
      <c r="AG74">
        <f t="shared" si="49"/>
        <v>32.110128484704916</v>
      </c>
    </row>
    <row r="75" spans="1:33" ht="18.95" customHeight="1">
      <c r="A75" s="4">
        <f t="shared" si="50"/>
        <v>763</v>
      </c>
      <c r="B75" s="6">
        <f>INDEX('Raw Data'!$B$6:$B$1371,MATCH(A75,'Raw Data'!$A$6:$A$1371,0))</f>
        <v>16379</v>
      </c>
      <c r="C75" s="6">
        <f t="shared" si="34"/>
        <v>1504</v>
      </c>
      <c r="D75" s="6">
        <f>MOD(C75+Summary!$B$20,Summary!$B$11)</f>
        <v>1498.7416237989592</v>
      </c>
      <c r="E75" s="6">
        <f>_xlfn.XLOOKUP(D75,'Native PMKS'!$C$6:$C$366,'Native PMKS'!$C$6:$C$366,,-1)</f>
        <v>1491.6666666666667</v>
      </c>
      <c r="F75" s="6">
        <f>_xlfn.XLOOKUP(D75,'Native PMKS'!$C$6:$C$366,'Native PMKS'!$C$6:$C$366,,1)</f>
        <v>1500</v>
      </c>
      <c r="G75" s="6">
        <f>_xlfn.XLOOKUP(D75,'Native PMKS'!$C$6:$C$366,'Native PMKS'!$O$6:$O$366,,-1)</f>
        <v>30.7105</v>
      </c>
      <c r="H75" s="6">
        <f>_xlfn.XLOOKUP(D75,'Native PMKS'!$C$6:$C$366,'Native PMKS'!$O$6:$O$366,,1)</f>
        <v>29.965699999999998</v>
      </c>
      <c r="I75" s="6">
        <f t="shared" si="35"/>
        <v>30.078168631344226</v>
      </c>
      <c r="J75" s="6">
        <f>INDEX('Raw Data'!$L$6:$L$1371,MATCH(A75,'Raw Data'!$A$6:$A$1371,0))</f>
        <v>31.5</v>
      </c>
      <c r="K75" s="6">
        <f t="shared" si="36"/>
        <v>0.5497787143782138</v>
      </c>
      <c r="L75" s="6">
        <f t="shared" si="37"/>
        <v>0.52496307558703326</v>
      </c>
      <c r="M75" s="6">
        <f t="shared" si="38"/>
        <v>2.4815638791180539E-2</v>
      </c>
      <c r="N75" s="6">
        <f t="shared" si="39"/>
        <v>6.158159286143443E-4</v>
      </c>
      <c r="O75" s="6">
        <f>_xlfn.XLOOKUP(D75,'Instructor 360'!$B$6:$B$365,'Instructor 360'!$B$6:$B$365,,-1)</f>
        <v>1495.8217270194987</v>
      </c>
      <c r="P75" s="6">
        <f>_xlfn.XLOOKUP(D75,'Instructor 360'!$B$6:$B$365,'Instructor 360'!$B$6:$B$365,,1)</f>
        <v>1504.1782729805013</v>
      </c>
      <c r="Q75" s="6">
        <f>_xlfn.XLOOKUP(D75,'Instructor 360'!$B$6:$B$365,'Instructor 360'!$G$6:$G$365,,-1)</f>
        <v>30.339137325905291</v>
      </c>
      <c r="R75" s="6">
        <f>_xlfn.XLOOKUP(D75,'Instructor 360'!$B$6:$B$365,'Instructor 360'!$G$6:$G$365,,1)</f>
        <v>29.563532869080792</v>
      </c>
      <c r="S75" s="6">
        <f t="shared" si="40"/>
        <v>30.068130026216465</v>
      </c>
      <c r="T75" s="6">
        <f t="shared" si="41"/>
        <v>0.5247878688752462</v>
      </c>
      <c r="U75" s="6">
        <f t="shared" si="42"/>
        <v>2.4990845502967596E-2</v>
      </c>
      <c r="V75" s="6"/>
      <c r="W75" s="6">
        <f t="shared" si="43"/>
        <v>6.2454235895319568E-4</v>
      </c>
      <c r="AA75">
        <f t="shared" si="44"/>
        <v>1504</v>
      </c>
      <c r="AB75">
        <f t="shared" si="45"/>
        <v>0.5497787143782138</v>
      </c>
      <c r="AC75">
        <f t="shared" si="46"/>
        <v>0.5247878688752462</v>
      </c>
      <c r="AE75">
        <f t="shared" si="47"/>
        <v>1504</v>
      </c>
      <c r="AF75">
        <f t="shared" si="48"/>
        <v>31.5</v>
      </c>
      <c r="AG75">
        <f t="shared" si="49"/>
        <v>30.068130026216462</v>
      </c>
    </row>
    <row r="76" spans="1:33" ht="18.95" customHeight="1">
      <c r="A76" s="4">
        <f t="shared" si="50"/>
        <v>764</v>
      </c>
      <c r="B76" s="6">
        <f>INDEX('Raw Data'!$B$6:$B$1371,MATCH(A76,'Raw Data'!$A$6:$A$1371,0))</f>
        <v>16401</v>
      </c>
      <c r="C76" s="6">
        <f t="shared" si="34"/>
        <v>1526</v>
      </c>
      <c r="D76" s="6">
        <f>MOD(C76+Summary!$B$20,Summary!$B$11)</f>
        <v>1520.7416237989592</v>
      </c>
      <c r="E76" s="6">
        <f>_xlfn.XLOOKUP(D76,'Native PMKS'!$C$6:$C$366,'Native PMKS'!$C$6:$C$366,,-1)</f>
        <v>1516.6666666666667</v>
      </c>
      <c r="F76" s="6">
        <f>_xlfn.XLOOKUP(D76,'Native PMKS'!$C$6:$C$366,'Native PMKS'!$C$6:$C$366,,1)</f>
        <v>1525</v>
      </c>
      <c r="G76" s="6">
        <f>_xlfn.XLOOKUP(D76,'Native PMKS'!$C$6:$C$366,'Native PMKS'!$O$6:$O$366,,-1)</f>
        <v>28.3614</v>
      </c>
      <c r="H76" s="6">
        <f>_xlfn.XLOOKUP(D76,'Native PMKS'!$C$6:$C$366,'Native PMKS'!$O$6:$O$366,,1)</f>
        <v>27.5593</v>
      </c>
      <c r="I76" s="6">
        <f t="shared" si="35"/>
        <v>27.969177226102602</v>
      </c>
      <c r="J76" s="6">
        <f>INDEX('Raw Data'!$L$6:$L$1371,MATCH(A76,'Raw Data'!$A$6:$A$1371,0))</f>
        <v>30.5625</v>
      </c>
      <c r="K76" s="6">
        <f t="shared" si="36"/>
        <v>0.53341625264076697</v>
      </c>
      <c r="L76" s="6">
        <f t="shared" si="37"/>
        <v>0.48815423166930494</v>
      </c>
      <c r="M76" s="6">
        <f t="shared" si="38"/>
        <v>4.5262020971462036E-2</v>
      </c>
      <c r="N76" s="6">
        <f t="shared" si="39"/>
        <v>2.0486505424210689E-3</v>
      </c>
      <c r="O76" s="6">
        <f>_xlfn.XLOOKUP(D76,'Instructor 360'!$B$6:$B$365,'Instructor 360'!$B$6:$B$365,,-1)</f>
        <v>1512.5348189415042</v>
      </c>
      <c r="P76" s="6">
        <f>_xlfn.XLOOKUP(D76,'Instructor 360'!$B$6:$B$365,'Instructor 360'!$B$6:$B$365,,1)</f>
        <v>1520.8913649025069</v>
      </c>
      <c r="Q76" s="6">
        <f>_xlfn.XLOOKUP(D76,'Instructor 360'!$B$6:$B$365,'Instructor 360'!$G$6:$G$365,,-1)</f>
        <v>28.759148189415047</v>
      </c>
      <c r="R76" s="6">
        <f>_xlfn.XLOOKUP(D76,'Instructor 360'!$B$6:$B$365,'Instructor 360'!$G$6:$G$365,,1)</f>
        <v>27.954764345403909</v>
      </c>
      <c r="S76" s="6">
        <f t="shared" si="40"/>
        <v>27.969178114566489</v>
      </c>
      <c r="T76" s="6">
        <f t="shared" si="41"/>
        <v>0.48815424717592504</v>
      </c>
      <c r="U76" s="6">
        <f t="shared" si="42"/>
        <v>4.5262005464841937E-2</v>
      </c>
      <c r="V76" s="6"/>
      <c r="W76" s="6">
        <f t="shared" si="43"/>
        <v>2.0486491386993815E-3</v>
      </c>
      <c r="AA76">
        <f t="shared" si="44"/>
        <v>1526</v>
      </c>
      <c r="AB76">
        <f t="shared" si="45"/>
        <v>0.53341625264076697</v>
      </c>
      <c r="AC76">
        <f t="shared" si="46"/>
        <v>0.48815424717592504</v>
      </c>
      <c r="AE76">
        <f t="shared" si="47"/>
        <v>1526</v>
      </c>
      <c r="AF76">
        <f t="shared" si="48"/>
        <v>30.562500000000004</v>
      </c>
      <c r="AG76">
        <f t="shared" si="49"/>
        <v>27.969178114566489</v>
      </c>
    </row>
    <row r="77" spans="1:33" ht="18.95" customHeight="1">
      <c r="A77" s="4">
        <f t="shared" si="50"/>
        <v>765</v>
      </c>
      <c r="B77" s="6">
        <f>INDEX('Raw Data'!$B$6:$B$1371,MATCH(A77,'Raw Data'!$A$6:$A$1371,0))</f>
        <v>16422</v>
      </c>
      <c r="C77" s="6">
        <f t="shared" si="34"/>
        <v>1547</v>
      </c>
      <c r="D77" s="6">
        <f>MOD(C77+Summary!$B$20,Summary!$B$11)</f>
        <v>1541.7416237989592</v>
      </c>
      <c r="E77" s="6">
        <f>_xlfn.XLOOKUP(D77,'Native PMKS'!$C$6:$C$366,'Native PMKS'!$C$6:$C$366,,-1)</f>
        <v>1541.6666666666667</v>
      </c>
      <c r="F77" s="6">
        <f>_xlfn.XLOOKUP(D77,'Native PMKS'!$C$6:$C$366,'Native PMKS'!$C$6:$C$366,,1)</f>
        <v>1550</v>
      </c>
      <c r="G77" s="6">
        <f>_xlfn.XLOOKUP(D77,'Native PMKS'!$C$6:$C$366,'Native PMKS'!$O$6:$O$366,,-1)</f>
        <v>25.954999999999998</v>
      </c>
      <c r="H77" s="6">
        <f>_xlfn.XLOOKUP(D77,'Native PMKS'!$C$6:$C$366,'Native PMKS'!$O$6:$O$366,,1)</f>
        <v>25.152799999999999</v>
      </c>
      <c r="I77" s="6">
        <f t="shared" si="35"/>
        <v>25.947784326617011</v>
      </c>
      <c r="J77" s="6">
        <f>INDEX('Raw Data'!$L$6:$L$1371,MATCH(A77,'Raw Data'!$A$6:$A$1371,0))</f>
        <v>27.1875</v>
      </c>
      <c r="K77" s="6">
        <f t="shared" si="36"/>
        <v>0.47451139038595835</v>
      </c>
      <c r="L77" s="6">
        <f t="shared" si="37"/>
        <v>0.45287427009684655</v>
      </c>
      <c r="M77" s="6">
        <f t="shared" si="38"/>
        <v>2.16371202891118E-2</v>
      </c>
      <c r="N77" s="6">
        <f t="shared" si="39"/>
        <v>4.6816497440549349E-4</v>
      </c>
      <c r="O77" s="6">
        <f>_xlfn.XLOOKUP(D77,'Instructor 360'!$B$6:$B$365,'Instructor 360'!$B$6:$B$365,,-1)</f>
        <v>1537.6044568245125</v>
      </c>
      <c r="P77" s="6">
        <f>_xlfn.XLOOKUP(D77,'Instructor 360'!$B$6:$B$365,'Instructor 360'!$B$6:$B$365,,1)</f>
        <v>1545.9610027855153</v>
      </c>
      <c r="Q77" s="6">
        <f>_xlfn.XLOOKUP(D77,'Instructor 360'!$B$6:$B$365,'Instructor 360'!$G$6:$G$365,,-1)</f>
        <v>26.345995821727037</v>
      </c>
      <c r="R77" s="6">
        <f>_xlfn.XLOOKUP(D77,'Instructor 360'!$B$6:$B$365,'Instructor 360'!$G$6:$G$365,,1)</f>
        <v>25.541610027855153</v>
      </c>
      <c r="S77" s="6">
        <f t="shared" si="40"/>
        <v>25.947759713572935</v>
      </c>
      <c r="T77" s="6">
        <f t="shared" si="41"/>
        <v>0.45287384051818846</v>
      </c>
      <c r="U77" s="6">
        <f t="shared" si="42"/>
        <v>2.163754986776989E-2</v>
      </c>
      <c r="V77" s="6"/>
      <c r="W77" s="6">
        <f t="shared" si="43"/>
        <v>4.6818356428022877E-4</v>
      </c>
      <c r="AA77">
        <f t="shared" si="44"/>
        <v>1547</v>
      </c>
      <c r="AB77">
        <f t="shared" si="45"/>
        <v>0.47451139038595835</v>
      </c>
      <c r="AC77">
        <f t="shared" si="46"/>
        <v>0.45287384051818846</v>
      </c>
      <c r="AE77">
        <f t="shared" si="47"/>
        <v>1547</v>
      </c>
      <c r="AF77">
        <f t="shared" si="48"/>
        <v>27.1875</v>
      </c>
      <c r="AG77">
        <f t="shared" si="49"/>
        <v>25.947759713572935</v>
      </c>
    </row>
    <row r="78" spans="1:33" ht="18.95" customHeight="1">
      <c r="A78" s="4">
        <f t="shared" si="50"/>
        <v>766</v>
      </c>
      <c r="B78" s="6">
        <f>INDEX('Raw Data'!$B$6:$B$1371,MATCH(A78,'Raw Data'!$A$6:$A$1371,0))</f>
        <v>16444</v>
      </c>
      <c r="C78" s="6">
        <f t="shared" si="34"/>
        <v>1569</v>
      </c>
      <c r="D78" s="6">
        <f>MOD(C78+Summary!$B$20,Summary!$B$11)</f>
        <v>1563.7416237989592</v>
      </c>
      <c r="E78" s="6">
        <f>_xlfn.XLOOKUP(D78,'Native PMKS'!$C$6:$C$366,'Native PMKS'!$C$6:$C$366,,-1)</f>
        <v>1558.3333333333335</v>
      </c>
      <c r="F78" s="6">
        <f>_xlfn.XLOOKUP(D78,'Native PMKS'!$C$6:$C$366,'Native PMKS'!$C$6:$C$366,,1)</f>
        <v>1566.6666666666667</v>
      </c>
      <c r="G78" s="6">
        <f>_xlfn.XLOOKUP(D78,'Native PMKS'!$C$6:$C$366,'Native PMKS'!$O$6:$O$366,,-1)</f>
        <v>24.3507</v>
      </c>
      <c r="H78" s="6">
        <f>_xlfn.XLOOKUP(D78,'Native PMKS'!$C$6:$C$366,'Native PMKS'!$O$6:$O$366,,1)</f>
        <v>23.5486</v>
      </c>
      <c r="I78" s="6">
        <f t="shared" si="35"/>
        <v>23.830141226102569</v>
      </c>
      <c r="J78" s="6">
        <f>INDEX('Raw Data'!$L$6:$L$1371,MATCH(A78,'Raw Data'!$A$6:$A$1371,0))</f>
        <v>25.875</v>
      </c>
      <c r="K78" s="6">
        <f t="shared" si="36"/>
        <v>0.4516039439535327</v>
      </c>
      <c r="L78" s="6">
        <f t="shared" si="37"/>
        <v>0.41591442561072833</v>
      </c>
      <c r="M78" s="6">
        <f t="shared" si="38"/>
        <v>3.5689518342804372E-2</v>
      </c>
      <c r="N78" s="6">
        <f t="shared" si="39"/>
        <v>1.2737417195413697E-3</v>
      </c>
      <c r="O78" s="6">
        <f>_xlfn.XLOOKUP(D78,'Instructor 360'!$B$6:$B$365,'Instructor 360'!$B$6:$B$365,,-1)</f>
        <v>1562.6740947075209</v>
      </c>
      <c r="P78" s="6">
        <f>_xlfn.XLOOKUP(D78,'Instructor 360'!$B$6:$B$365,'Instructor 360'!$B$6:$B$365,,1)</f>
        <v>1571.0306406685236</v>
      </c>
      <c r="Q78" s="6">
        <f>_xlfn.XLOOKUP(D78,'Instructor 360'!$B$6:$B$365,'Instructor 360'!$G$6:$G$365,,-1)</f>
        <v>23.932893036211709</v>
      </c>
      <c r="R78" s="6">
        <f>_xlfn.XLOOKUP(D78,'Instructor 360'!$B$6:$B$365,'Instructor 360'!$G$6:$G$365,,1)</f>
        <v>23.128506406685251</v>
      </c>
      <c r="S78" s="6">
        <f t="shared" si="40"/>
        <v>23.830134536253638</v>
      </c>
      <c r="T78" s="6">
        <f t="shared" si="41"/>
        <v>0.41591430885083802</v>
      </c>
      <c r="U78" s="6">
        <f t="shared" si="42"/>
        <v>3.5689635102694683E-2</v>
      </c>
      <c r="V78" s="6"/>
      <c r="W78" s="6">
        <f t="shared" si="43"/>
        <v>1.2737500537634966E-3</v>
      </c>
      <c r="AA78">
        <f t="shared" si="44"/>
        <v>1569</v>
      </c>
      <c r="AB78">
        <f t="shared" si="45"/>
        <v>0.4516039439535327</v>
      </c>
      <c r="AC78">
        <f t="shared" si="46"/>
        <v>0.41591430885083802</v>
      </c>
      <c r="AE78">
        <f t="shared" si="47"/>
        <v>1569</v>
      </c>
      <c r="AF78">
        <f t="shared" si="48"/>
        <v>25.874999999999996</v>
      </c>
      <c r="AG78">
        <f t="shared" si="49"/>
        <v>23.830134536253638</v>
      </c>
    </row>
    <row r="79" spans="1:33" ht="18.95" customHeight="1">
      <c r="A79" s="4">
        <f t="shared" si="50"/>
        <v>767</v>
      </c>
      <c r="B79" s="6">
        <f>INDEX('Raw Data'!$B$6:$B$1371,MATCH(A79,'Raw Data'!$A$6:$A$1371,0))</f>
        <v>16464</v>
      </c>
      <c r="C79" s="6">
        <f t="shared" si="34"/>
        <v>1589</v>
      </c>
      <c r="D79" s="6">
        <f>MOD(C79+Summary!$B$20,Summary!$B$11)</f>
        <v>1583.7416237989592</v>
      </c>
      <c r="E79" s="6">
        <f>_xlfn.XLOOKUP(D79,'Native PMKS'!$C$6:$C$366,'Native PMKS'!$C$6:$C$366,,-1)</f>
        <v>1583.3333333333335</v>
      </c>
      <c r="F79" s="6">
        <f>_xlfn.XLOOKUP(D79,'Native PMKS'!$C$6:$C$366,'Native PMKS'!$C$6:$C$366,,1)</f>
        <v>1591.6666666666667</v>
      </c>
      <c r="G79" s="6">
        <f>_xlfn.XLOOKUP(D79,'Native PMKS'!$C$6:$C$366,'Native PMKS'!$O$6:$O$366,,-1)</f>
        <v>21.944299999999998</v>
      </c>
      <c r="H79" s="6">
        <f>_xlfn.XLOOKUP(D79,'Native PMKS'!$C$6:$C$366,'Native PMKS'!$O$6:$O$366,,1)</f>
        <v>21.142099999999999</v>
      </c>
      <c r="I79" s="6">
        <f t="shared" si="35"/>
        <v>21.90499632661701</v>
      </c>
      <c r="J79" s="6">
        <f>INDEX('Raw Data'!$L$6:$L$1371,MATCH(A79,'Raw Data'!$A$6:$A$1371,0))</f>
        <v>22.6875</v>
      </c>
      <c r="K79" s="6">
        <f t="shared" si="36"/>
        <v>0.39597157404621353</v>
      </c>
      <c r="L79" s="6">
        <f t="shared" si="37"/>
        <v>0.38231430853672999</v>
      </c>
      <c r="M79" s="6">
        <f t="shared" si="38"/>
        <v>1.365726550948354E-2</v>
      </c>
      <c r="N79" s="6">
        <f t="shared" si="39"/>
        <v>1.8652090119652872E-4</v>
      </c>
      <c r="O79" s="6">
        <f>_xlfn.XLOOKUP(D79,'Instructor 360'!$B$6:$B$365,'Instructor 360'!$B$6:$B$365,,-1)</f>
        <v>1579.3871866295265</v>
      </c>
      <c r="P79" s="6">
        <f>_xlfn.XLOOKUP(D79,'Instructor 360'!$B$6:$B$365,'Instructor 360'!$B$6:$B$365,,1)</f>
        <v>1587.7437325905291</v>
      </c>
      <c r="Q79" s="6">
        <f>_xlfn.XLOOKUP(D79,'Instructor 360'!$B$6:$B$365,'Instructor 360'!$G$6:$G$365,,-1)</f>
        <v>22.324124512534826</v>
      </c>
      <c r="R79" s="6">
        <f>_xlfn.XLOOKUP(D79,'Instructor 360'!$B$6:$B$365,'Instructor 360'!$G$6:$G$365,,1)</f>
        <v>21.519737325905314</v>
      </c>
      <c r="S79" s="6">
        <f t="shared" si="40"/>
        <v>21.904973648000521</v>
      </c>
      <c r="T79" s="6">
        <f t="shared" si="41"/>
        <v>0.38231391272020243</v>
      </c>
      <c r="U79" s="6">
        <f t="shared" si="42"/>
        <v>1.3657661326011095E-2</v>
      </c>
      <c r="V79" s="6"/>
      <c r="W79" s="6">
        <f t="shared" si="43"/>
        <v>1.8653171289601913E-4</v>
      </c>
      <c r="AA79">
        <f t="shared" si="44"/>
        <v>1589</v>
      </c>
      <c r="AB79">
        <f t="shared" si="45"/>
        <v>0.39597157404621353</v>
      </c>
      <c r="AC79">
        <f t="shared" si="46"/>
        <v>0.38231391272020243</v>
      </c>
      <c r="AE79">
        <f t="shared" si="47"/>
        <v>1589</v>
      </c>
      <c r="AF79">
        <f t="shared" si="48"/>
        <v>22.687500000000004</v>
      </c>
      <c r="AG79">
        <f t="shared" si="49"/>
        <v>21.904973648000517</v>
      </c>
    </row>
    <row r="80" spans="1:33" ht="18.95" customHeight="1">
      <c r="A80" s="4">
        <f t="shared" si="50"/>
        <v>768</v>
      </c>
      <c r="B80" s="6">
        <f>INDEX('Raw Data'!$B$6:$B$1371,MATCH(A80,'Raw Data'!$A$6:$A$1371,0))</f>
        <v>16486</v>
      </c>
      <c r="C80" s="6">
        <f t="shared" si="34"/>
        <v>1611</v>
      </c>
      <c r="D80" s="6">
        <f>MOD(C80+Summary!$B$20,Summary!$B$11)</f>
        <v>1605.7416237989592</v>
      </c>
      <c r="E80" s="6">
        <f>_xlfn.XLOOKUP(D80,'Native PMKS'!$C$6:$C$366,'Native PMKS'!$C$6:$C$366,,-1)</f>
        <v>1600</v>
      </c>
      <c r="F80" s="6">
        <f>_xlfn.XLOOKUP(D80,'Native PMKS'!$C$6:$C$366,'Native PMKS'!$C$6:$C$366,,1)</f>
        <v>1608.3333333333335</v>
      </c>
      <c r="G80" s="6">
        <f>_xlfn.XLOOKUP(D80,'Native PMKS'!$C$6:$C$366,'Native PMKS'!$O$6:$O$366,,-1)</f>
        <v>20.34</v>
      </c>
      <c r="H80" s="6">
        <f>_xlfn.XLOOKUP(D80,'Native PMKS'!$C$6:$C$366,'Native PMKS'!$O$6:$O$366,,1)</f>
        <v>19.5379</v>
      </c>
      <c r="I80" s="6">
        <f t="shared" si="35"/>
        <v>19.787357226102586</v>
      </c>
      <c r="J80" s="6">
        <f>INDEX('Raw Data'!$L$6:$L$1371,MATCH(A80,'Raw Data'!$A$6:$A$1371,0))</f>
        <v>21.125</v>
      </c>
      <c r="K80" s="6">
        <f t="shared" si="36"/>
        <v>0.3687008044838021</v>
      </c>
      <c r="L80" s="6">
        <f t="shared" si="37"/>
        <v>0.34535453386378218</v>
      </c>
      <c r="M80" s="6">
        <f t="shared" si="38"/>
        <v>2.3346270620019927E-2</v>
      </c>
      <c r="N80" s="6">
        <f t="shared" si="39"/>
        <v>5.4504835186320558E-4</v>
      </c>
      <c r="O80" s="6">
        <f>_xlfn.XLOOKUP(D80,'Instructor 360'!$B$6:$B$365,'Instructor 360'!$B$6:$B$365,,-1)</f>
        <v>1604.4568245125347</v>
      </c>
      <c r="P80" s="6">
        <f>_xlfn.XLOOKUP(D80,'Instructor 360'!$B$6:$B$365,'Instructor 360'!$B$6:$B$365,,1)</f>
        <v>1612.8133704735376</v>
      </c>
      <c r="Q80" s="6">
        <f>_xlfn.XLOOKUP(D80,'Instructor 360'!$B$6:$B$365,'Instructor 360'!$G$6:$G$365,,-1)</f>
        <v>19.91102172701952</v>
      </c>
      <c r="R80" s="6">
        <f>_xlfn.XLOOKUP(D80,'Instructor 360'!$B$6:$B$365,'Instructor 360'!$G$6:$G$365,,1)</f>
        <v>19.10663370473539</v>
      </c>
      <c r="S80" s="6">
        <f t="shared" si="40"/>
        <v>19.787348960560507</v>
      </c>
      <c r="T80" s="6">
        <f t="shared" si="41"/>
        <v>0.34535438960285847</v>
      </c>
      <c r="U80" s="6">
        <f t="shared" si="42"/>
        <v>2.3346414880943633E-2</v>
      </c>
      <c r="V80" s="6"/>
      <c r="W80" s="6">
        <f t="shared" si="43"/>
        <v>5.4505508779314636E-4</v>
      </c>
      <c r="AA80">
        <f t="shared" si="44"/>
        <v>1611</v>
      </c>
      <c r="AB80">
        <f t="shared" si="45"/>
        <v>0.3687008044838021</v>
      </c>
      <c r="AC80">
        <f t="shared" si="46"/>
        <v>0.34535438960285847</v>
      </c>
      <c r="AE80">
        <f t="shared" si="47"/>
        <v>1611</v>
      </c>
      <c r="AF80">
        <f t="shared" si="48"/>
        <v>21.125</v>
      </c>
      <c r="AG80">
        <f t="shared" si="49"/>
        <v>19.787348960560511</v>
      </c>
    </row>
    <row r="81" spans="1:33" ht="18.95" customHeight="1">
      <c r="A81" s="4">
        <f t="shared" si="50"/>
        <v>769</v>
      </c>
      <c r="B81" s="6">
        <f>INDEX('Raw Data'!$B$6:$B$1371,MATCH(A81,'Raw Data'!$A$6:$A$1371,0))</f>
        <v>16507</v>
      </c>
      <c r="C81" s="6">
        <f t="shared" si="34"/>
        <v>1632</v>
      </c>
      <c r="D81" s="6">
        <f>MOD(C81+Summary!$B$20,Summary!$B$11)</f>
        <v>1626.7416237989592</v>
      </c>
      <c r="E81" s="6">
        <f>_xlfn.XLOOKUP(D81,'Native PMKS'!$C$6:$C$366,'Native PMKS'!$C$6:$C$366,,-1)</f>
        <v>1625.0000000000002</v>
      </c>
      <c r="F81" s="6">
        <f>_xlfn.XLOOKUP(D81,'Native PMKS'!$C$6:$C$366,'Native PMKS'!$C$6:$C$366,,1)</f>
        <v>1633.3333333333335</v>
      </c>
      <c r="G81" s="6">
        <f>_xlfn.XLOOKUP(D81,'Native PMKS'!$C$6:$C$366,'Native PMKS'!$O$6:$O$366,,-1)</f>
        <v>17.933599999999998</v>
      </c>
      <c r="H81" s="6">
        <f>_xlfn.XLOOKUP(D81,'Native PMKS'!$C$6:$C$366,'Native PMKS'!$O$6:$O$366,,1)</f>
        <v>17.131399999999999</v>
      </c>
      <c r="I81" s="6">
        <f t="shared" si="35"/>
        <v>17.765944326617017</v>
      </c>
      <c r="J81" s="6">
        <f>INDEX('Raw Data'!$L$6:$L$1371,MATCH(A81,'Raw Data'!$A$6:$A$1371,0))</f>
        <v>18.75</v>
      </c>
      <c r="K81" s="6">
        <f t="shared" si="36"/>
        <v>0.3272492347489368</v>
      </c>
      <c r="L81" s="6">
        <f t="shared" si="37"/>
        <v>0.31007422322547379</v>
      </c>
      <c r="M81" s="6">
        <f t="shared" si="38"/>
        <v>1.7175011523463013E-2</v>
      </c>
      <c r="N81" s="6">
        <f t="shared" si="39"/>
        <v>2.9498102083108728E-4</v>
      </c>
      <c r="O81" s="6">
        <f>_xlfn.XLOOKUP(D81,'Instructor 360'!$B$6:$B$365,'Instructor 360'!$B$6:$B$365,,-1)</f>
        <v>1621.1699164345405</v>
      </c>
      <c r="P81" s="6">
        <f>_xlfn.XLOOKUP(D81,'Instructor 360'!$B$6:$B$365,'Instructor 360'!$B$6:$B$365,,1)</f>
        <v>1629.5264623955431</v>
      </c>
      <c r="Q81" s="6">
        <f>_xlfn.XLOOKUP(D81,'Instructor 360'!$B$6:$B$365,'Instructor 360'!$G$6:$G$365,,-1)</f>
        <v>18.302253203342623</v>
      </c>
      <c r="R81" s="6">
        <f>_xlfn.XLOOKUP(D81,'Instructor 360'!$B$6:$B$365,'Instructor 360'!$G$6:$G$365,,1)</f>
        <v>17.497864623955451</v>
      </c>
      <c r="S81" s="6">
        <f t="shared" si="40"/>
        <v>17.765929010004754</v>
      </c>
      <c r="T81" s="6">
        <f t="shared" si="41"/>
        <v>0.31007395590015957</v>
      </c>
      <c r="U81" s="6">
        <f t="shared" si="42"/>
        <v>1.7175278848777231E-2</v>
      </c>
      <c r="V81" s="6"/>
      <c r="W81" s="6">
        <f t="shared" si="43"/>
        <v>2.9499020353325451E-4</v>
      </c>
      <c r="AA81">
        <f t="shared" si="44"/>
        <v>1632</v>
      </c>
      <c r="AB81">
        <f t="shared" si="45"/>
        <v>0.3272492347489368</v>
      </c>
      <c r="AC81">
        <f t="shared" si="46"/>
        <v>0.31007395590015957</v>
      </c>
      <c r="AE81">
        <f t="shared" si="47"/>
        <v>1632</v>
      </c>
      <c r="AF81">
        <f t="shared" si="48"/>
        <v>18.750000000000004</v>
      </c>
      <c r="AG81">
        <f t="shared" si="49"/>
        <v>17.765929010004754</v>
      </c>
    </row>
    <row r="82" spans="1:33" ht="18.95" customHeight="1">
      <c r="A82" s="4">
        <f t="shared" si="50"/>
        <v>770</v>
      </c>
      <c r="B82" s="6">
        <f>INDEX('Raw Data'!$B$6:$B$1371,MATCH(A82,'Raw Data'!$A$6:$A$1371,0))</f>
        <v>16527</v>
      </c>
      <c r="C82" s="6">
        <f t="shared" si="34"/>
        <v>1652</v>
      </c>
      <c r="D82" s="6">
        <f>MOD(C82+Summary!$B$20,Summary!$B$11)</f>
        <v>1646.7416237989592</v>
      </c>
      <c r="E82" s="6">
        <f>_xlfn.XLOOKUP(D82,'Native PMKS'!$C$6:$C$366,'Native PMKS'!$C$6:$C$366,,-1)</f>
        <v>1641.6666666666667</v>
      </c>
      <c r="F82" s="6">
        <f>_xlfn.XLOOKUP(D82,'Native PMKS'!$C$6:$C$366,'Native PMKS'!$C$6:$C$366,,1)</f>
        <v>1650.0000000000002</v>
      </c>
      <c r="G82" s="6">
        <f>_xlfn.XLOOKUP(D82,'Native PMKS'!$C$6:$C$366,'Native PMKS'!$O$6:$O$366,,-1)</f>
        <v>16.386600000000001</v>
      </c>
      <c r="H82" s="6">
        <f>_xlfn.XLOOKUP(D82,'Native PMKS'!$C$6:$C$366,'Native PMKS'!$O$6:$O$366,,1)</f>
        <v>15.5845</v>
      </c>
      <c r="I82" s="6">
        <f t="shared" si="35"/>
        <v>15.898125226102593</v>
      </c>
      <c r="J82" s="6">
        <f>INDEX('Raw Data'!$L$6:$L$1371,MATCH(A82,'Raw Data'!$A$6:$A$1371,0))</f>
        <v>16.875</v>
      </c>
      <c r="K82" s="6">
        <f t="shared" si="36"/>
        <v>0.2945243112740431</v>
      </c>
      <c r="L82" s="6">
        <f t="shared" si="37"/>
        <v>0.27747463008985818</v>
      </c>
      <c r="M82" s="6">
        <f t="shared" si="38"/>
        <v>1.7049681184184928E-2</v>
      </c>
      <c r="N82" s="6">
        <f t="shared" si="39"/>
        <v>2.9069162848234959E-4</v>
      </c>
      <c r="O82" s="6">
        <f>_xlfn.XLOOKUP(D82,'Instructor 360'!$B$6:$B$365,'Instructor 360'!$B$6:$B$365,,-1)</f>
        <v>1646.2395543175487</v>
      </c>
      <c r="P82" s="6">
        <f>_xlfn.XLOOKUP(D82,'Instructor 360'!$B$6:$B$365,'Instructor 360'!$B$6:$B$365,,1)</f>
        <v>1654.5961002785516</v>
      </c>
      <c r="Q82" s="6">
        <f>_xlfn.XLOOKUP(D82,'Instructor 360'!$B$6:$B$365,'Instructor 360'!$G$6:$G$365,,-1)</f>
        <v>15.946450417827318</v>
      </c>
      <c r="R82" s="6">
        <f>_xlfn.XLOOKUP(D82,'Instructor 360'!$B$6:$B$365,'Instructor 360'!$G$6:$G$365,,1)</f>
        <v>15.142061002785526</v>
      </c>
      <c r="S82" s="6">
        <f t="shared" si="40"/>
        <v>15.898121912444054</v>
      </c>
      <c r="T82" s="6">
        <f t="shared" si="41"/>
        <v>0.2774745722556064</v>
      </c>
      <c r="U82" s="6">
        <f t="shared" si="42"/>
        <v>1.7049739018436705E-2</v>
      </c>
      <c r="V82" s="6"/>
      <c r="W82" s="6">
        <f t="shared" si="43"/>
        <v>2.9069360059680299E-4</v>
      </c>
      <c r="AA82">
        <f t="shared" si="44"/>
        <v>1652</v>
      </c>
      <c r="AB82">
        <f t="shared" si="45"/>
        <v>0.2945243112740431</v>
      </c>
      <c r="AC82">
        <f t="shared" si="46"/>
        <v>0.2774745722556064</v>
      </c>
      <c r="AE82">
        <f t="shared" si="47"/>
        <v>1652</v>
      </c>
      <c r="AF82">
        <f t="shared" si="48"/>
        <v>16.875</v>
      </c>
      <c r="AG82">
        <f t="shared" si="49"/>
        <v>15.898121912444054</v>
      </c>
    </row>
    <row r="83" spans="1:33" ht="18.95" customHeight="1">
      <c r="A83" s="4">
        <f t="shared" si="50"/>
        <v>771</v>
      </c>
      <c r="B83" s="6">
        <f>INDEX('Raw Data'!$B$6:$B$1371,MATCH(A83,'Raw Data'!$A$6:$A$1371,0))</f>
        <v>16547</v>
      </c>
      <c r="C83" s="6">
        <f t="shared" si="34"/>
        <v>1672</v>
      </c>
      <c r="D83" s="6">
        <f>MOD(C83+Summary!$B$20,Summary!$B$11)</f>
        <v>1666.7416237989592</v>
      </c>
      <c r="E83" s="6">
        <f>_xlfn.XLOOKUP(D83,'Native PMKS'!$C$6:$C$366,'Native PMKS'!$C$6:$C$366,,-1)</f>
        <v>1666.6666666666667</v>
      </c>
      <c r="F83" s="6">
        <f>_xlfn.XLOOKUP(D83,'Native PMKS'!$C$6:$C$366,'Native PMKS'!$C$6:$C$366,,1)</f>
        <v>1675.0000000000002</v>
      </c>
      <c r="G83" s="6">
        <f>_xlfn.XLOOKUP(D83,'Native PMKS'!$C$6:$C$366,'Native PMKS'!$O$6:$O$366,,-1)</f>
        <v>14.0375</v>
      </c>
      <c r="H83" s="6">
        <f>_xlfn.XLOOKUP(D83,'Native PMKS'!$C$6:$C$366,'Native PMKS'!$O$6:$O$366,,1)</f>
        <v>13.235300000000001</v>
      </c>
      <c r="I83" s="6">
        <f t="shared" si="35"/>
        <v>14.030284326617021</v>
      </c>
      <c r="J83" s="6">
        <f>INDEX('Raw Data'!$L$6:$L$1371,MATCH(A83,'Raw Data'!$A$6:$A$1371,0))</f>
        <v>14.375</v>
      </c>
      <c r="K83" s="6">
        <f t="shared" si="36"/>
        <v>0.25089107997418486</v>
      </c>
      <c r="L83" s="6">
        <f t="shared" si="37"/>
        <v>0.24487465649042253</v>
      </c>
      <c r="M83" s="6">
        <f t="shared" si="38"/>
        <v>6.0164234837623287E-3</v>
      </c>
      <c r="N83" s="6">
        <f t="shared" si="39"/>
        <v>3.6197351535966839E-5</v>
      </c>
      <c r="O83" s="6">
        <f>_xlfn.XLOOKUP(D83,'Instructor 360'!$B$6:$B$365,'Instructor 360'!$B$6:$B$365,,-1)</f>
        <v>1662.9526462395543</v>
      </c>
      <c r="P83" s="6">
        <f>_xlfn.XLOOKUP(D83,'Instructor 360'!$B$6:$B$365,'Instructor 360'!$B$6:$B$365,,1)</f>
        <v>1671.3091922005572</v>
      </c>
      <c r="Q83" s="6">
        <f>_xlfn.XLOOKUP(D83,'Instructor 360'!$B$6:$B$365,'Instructor 360'!$G$6:$G$365,,-1)</f>
        <v>14.369444289693607</v>
      </c>
      <c r="R83" s="6">
        <f>_xlfn.XLOOKUP(D83,'Instructor 360'!$B$6:$B$365,'Instructor 360'!$G$6:$G$365,,1)</f>
        <v>13.590591922005581</v>
      </c>
      <c r="S83" s="6">
        <f t="shared" si="40"/>
        <v>14.016301477216928</v>
      </c>
      <c r="T83" s="6">
        <f t="shared" si="41"/>
        <v>0.24463060972958037</v>
      </c>
      <c r="U83" s="6">
        <f t="shared" si="42"/>
        <v>6.2604702446044935E-3</v>
      </c>
      <c r="V83" s="6"/>
      <c r="W83" s="6">
        <f t="shared" si="43"/>
        <v>3.9193487683578249E-5</v>
      </c>
      <c r="AA83">
        <f t="shared" si="44"/>
        <v>1672</v>
      </c>
      <c r="AB83">
        <f t="shared" si="45"/>
        <v>0.25089107997418486</v>
      </c>
      <c r="AC83">
        <f t="shared" si="46"/>
        <v>0.24463060972958037</v>
      </c>
      <c r="AE83">
        <f t="shared" si="47"/>
        <v>1672</v>
      </c>
      <c r="AF83">
        <f t="shared" si="48"/>
        <v>14.374999999999998</v>
      </c>
      <c r="AG83">
        <f t="shared" si="49"/>
        <v>14.016301477216928</v>
      </c>
    </row>
    <row r="84" spans="1:33" ht="18.95" customHeight="1">
      <c r="A84" s="4">
        <f t="shared" si="50"/>
        <v>772</v>
      </c>
      <c r="B84" s="6">
        <f>INDEX('Raw Data'!$B$6:$B$1371,MATCH(A84,'Raw Data'!$A$6:$A$1371,0))</f>
        <v>16567</v>
      </c>
      <c r="C84" s="6">
        <f t="shared" si="34"/>
        <v>1692</v>
      </c>
      <c r="D84" s="6">
        <f>MOD(C84+Summary!$B$20,Summary!$B$11)</f>
        <v>1686.7416237989592</v>
      </c>
      <c r="E84" s="6">
        <f>_xlfn.XLOOKUP(D84,'Native PMKS'!$C$6:$C$366,'Native PMKS'!$C$6:$C$366,,-1)</f>
        <v>1683.3333333333335</v>
      </c>
      <c r="F84" s="6">
        <f>_xlfn.XLOOKUP(D84,'Native PMKS'!$C$6:$C$366,'Native PMKS'!$C$6:$C$366,,1)</f>
        <v>1691.6666666666667</v>
      </c>
      <c r="G84" s="6">
        <f>_xlfn.XLOOKUP(D84,'Native PMKS'!$C$6:$C$366,'Native PMKS'!$O$6:$O$366,,-1)</f>
        <v>12.433199999999999</v>
      </c>
      <c r="H84" s="6">
        <f>_xlfn.XLOOKUP(D84,'Native PMKS'!$C$6:$C$366,'Native PMKS'!$O$6:$O$366,,1)</f>
        <v>11.6883</v>
      </c>
      <c r="I84" s="6">
        <f t="shared" si="35"/>
        <v>12.128539731858638</v>
      </c>
      <c r="J84" s="6">
        <f>INDEX('Raw Data'!$L$6:$L$1371,MATCH(A84,'Raw Data'!$A$6:$A$1371,0))</f>
        <v>12.5625</v>
      </c>
      <c r="K84" s="6">
        <f t="shared" si="36"/>
        <v>0.21925698728178766</v>
      </c>
      <c r="L84" s="6">
        <f t="shared" si="37"/>
        <v>0.21168295177988342</v>
      </c>
      <c r="M84" s="6">
        <f t="shared" si="38"/>
        <v>7.5740355019042471E-3</v>
      </c>
      <c r="N84" s="6">
        <f t="shared" si="39"/>
        <v>5.7366013784105922E-5</v>
      </c>
      <c r="O84" s="6">
        <f>_xlfn.XLOOKUP(D84,'Instructor 360'!$B$6:$B$365,'Instructor 360'!$B$6:$B$365,,-1)</f>
        <v>1679.6657381615598</v>
      </c>
      <c r="P84" s="6">
        <f>_xlfn.XLOOKUP(D84,'Instructor 360'!$B$6:$B$365,'Instructor 360'!$B$6:$B$365,,1)</f>
        <v>1688.0222841225627</v>
      </c>
      <c r="Q84" s="6">
        <f>_xlfn.XLOOKUP(D84,'Instructor 360'!$B$6:$B$365,'Instructor 360'!$G$6:$G$365,,-1)</f>
        <v>12.786213370473561</v>
      </c>
      <c r="R84" s="6">
        <f>_xlfn.XLOOKUP(D84,'Instructor 360'!$B$6:$B$365,'Instructor 360'!$G$6:$G$365,,1)</f>
        <v>12.014064066852372</v>
      </c>
      <c r="S84" s="6">
        <f t="shared" si="40"/>
        <v>12.13239776377219</v>
      </c>
      <c r="T84" s="6">
        <f t="shared" si="41"/>
        <v>0.2117502871394219</v>
      </c>
      <c r="U84" s="6">
        <f t="shared" si="42"/>
        <v>7.5067001423657631E-3</v>
      </c>
      <c r="V84" s="6"/>
      <c r="W84" s="6">
        <f t="shared" si="43"/>
        <v>5.6350547027394168E-5</v>
      </c>
      <c r="AA84">
        <f t="shared" si="44"/>
        <v>1692</v>
      </c>
      <c r="AB84">
        <f t="shared" si="45"/>
        <v>0.21925698728178766</v>
      </c>
      <c r="AC84">
        <f t="shared" si="46"/>
        <v>0.2117502871394219</v>
      </c>
      <c r="AE84">
        <f t="shared" si="47"/>
        <v>1692</v>
      </c>
      <c r="AF84">
        <f t="shared" si="48"/>
        <v>12.5625</v>
      </c>
      <c r="AG84">
        <f t="shared" si="49"/>
        <v>12.132397763772188</v>
      </c>
    </row>
    <row r="85" spans="1:33" ht="18.95" customHeight="1">
      <c r="A85" s="4">
        <f t="shared" si="50"/>
        <v>773</v>
      </c>
      <c r="B85" s="6">
        <f>INDEX('Raw Data'!$B$6:$B$1371,MATCH(A85,'Raw Data'!$A$6:$A$1371,0))</f>
        <v>16598</v>
      </c>
      <c r="C85" s="6">
        <f t="shared" si="34"/>
        <v>1723</v>
      </c>
      <c r="D85" s="6">
        <f>MOD(C85+Summary!$B$20,Summary!$B$11)</f>
        <v>1717.7416237989592</v>
      </c>
      <c r="E85" s="6">
        <f>_xlfn.XLOOKUP(D85,'Native PMKS'!$C$6:$C$366,'Native PMKS'!$C$6:$C$366,,-1)</f>
        <v>1716.6666666666667</v>
      </c>
      <c r="F85" s="6">
        <f>_xlfn.XLOOKUP(D85,'Native PMKS'!$C$6:$C$366,'Native PMKS'!$C$6:$C$366,,1)</f>
        <v>1725.0000000000002</v>
      </c>
      <c r="G85" s="6">
        <f>_xlfn.XLOOKUP(D85,'Native PMKS'!$C$6:$C$366,'Native PMKS'!$O$6:$O$366,,-1)</f>
        <v>9.3964999999999996</v>
      </c>
      <c r="H85" s="6">
        <f>_xlfn.XLOOKUP(D85,'Native PMKS'!$C$6:$C$366,'Native PMKS'!$O$6:$O$366,,1)</f>
        <v>8.6516999999999999</v>
      </c>
      <c r="I85" s="6">
        <f t="shared" si="35"/>
        <v>9.3004246313442422</v>
      </c>
      <c r="J85" s="6">
        <f>INDEX('Raw Data'!$L$6:$L$1371,MATCH(A85,'Raw Data'!$A$6:$A$1371,0))</f>
        <v>9</v>
      </c>
      <c r="K85" s="6">
        <f t="shared" si="36"/>
        <v>0.15707963267948966</v>
      </c>
      <c r="L85" s="6">
        <f t="shared" si="37"/>
        <v>0.16232303165053683</v>
      </c>
      <c r="M85" s="6">
        <f t="shared" si="38"/>
        <v>-5.2433989710471696E-3</v>
      </c>
      <c r="N85" s="6">
        <f t="shared" si="39"/>
        <v>2.7493232769578517E-5</v>
      </c>
      <c r="O85" s="6">
        <f>_xlfn.XLOOKUP(D85,'Instructor 360'!$B$6:$B$365,'Instructor 360'!$B$6:$B$365,,-1)</f>
        <v>1713.091922005571</v>
      </c>
      <c r="P85" s="6">
        <f>_xlfn.XLOOKUP(D85,'Instructor 360'!$B$6:$B$365,'Instructor 360'!$B$6:$B$365,,1)</f>
        <v>1721.4484679665738</v>
      </c>
      <c r="Q85" s="6">
        <f>_xlfn.XLOOKUP(D85,'Instructor 360'!$B$6:$B$365,'Instructor 360'!$G$6:$G$365,,-1)</f>
        <v>9.7160392757660343</v>
      </c>
      <c r="R85" s="6">
        <f>_xlfn.XLOOKUP(D85,'Instructor 360'!$B$6:$B$365,'Instructor 360'!$G$6:$G$365,,1)</f>
        <v>8.9691217270195107</v>
      </c>
      <c r="S85" s="6">
        <f t="shared" si="40"/>
        <v>9.3004436598109805</v>
      </c>
      <c r="T85" s="6">
        <f t="shared" si="41"/>
        <v>0.16232336375993303</v>
      </c>
      <c r="U85" s="6">
        <f t="shared" si="42"/>
        <v>-5.2437310804433757E-3</v>
      </c>
      <c r="V85" s="6"/>
      <c r="W85" s="6">
        <f t="shared" si="43"/>
        <v>2.7496715644007852E-5</v>
      </c>
      <c r="AA85">
        <f t="shared" si="44"/>
        <v>1723</v>
      </c>
      <c r="AB85">
        <f t="shared" si="45"/>
        <v>0.15707963267948966</v>
      </c>
      <c r="AC85">
        <f t="shared" si="46"/>
        <v>0.16232336375993303</v>
      </c>
      <c r="AE85">
        <f t="shared" si="47"/>
        <v>1723</v>
      </c>
      <c r="AF85">
        <f t="shared" si="48"/>
        <v>9</v>
      </c>
      <c r="AG85">
        <f t="shared" si="49"/>
        <v>9.3004436598109805</v>
      </c>
    </row>
    <row r="86" spans="1:33" ht="18.95" customHeight="1">
      <c r="A86" s="4">
        <f t="shared" si="50"/>
        <v>774</v>
      </c>
      <c r="B86" s="6">
        <f>INDEX('Raw Data'!$B$6:$B$1371,MATCH(A86,'Raw Data'!$A$6:$A$1371,0))</f>
        <v>16620</v>
      </c>
      <c r="C86" s="6">
        <f t="shared" si="34"/>
        <v>1745</v>
      </c>
      <c r="D86" s="6">
        <f>MOD(C86+Summary!$B$20,Summary!$B$11)</f>
        <v>1739.7416237989592</v>
      </c>
      <c r="E86" s="6">
        <f>_xlfn.XLOOKUP(D86,'Native PMKS'!$C$6:$C$366,'Native PMKS'!$C$6:$C$366,,-1)</f>
        <v>1733.3333333333335</v>
      </c>
      <c r="F86" s="6">
        <f>_xlfn.XLOOKUP(D86,'Native PMKS'!$C$6:$C$366,'Native PMKS'!$C$6:$C$366,,1)</f>
        <v>1741.6666666666667</v>
      </c>
      <c r="G86" s="6">
        <f>_xlfn.XLOOKUP(D86,'Native PMKS'!$C$6:$C$366,'Native PMKS'!$O$6:$O$366,,-1)</f>
        <v>7.9067999999999996</v>
      </c>
      <c r="H86" s="6">
        <f>_xlfn.XLOOKUP(D86,'Native PMKS'!$C$6:$C$366,'Native PMKS'!$O$6:$O$366,,1)</f>
        <v>7.1619999999999999</v>
      </c>
      <c r="I86" s="6">
        <f t="shared" si="35"/>
        <v>7.3340526313442354</v>
      </c>
      <c r="J86" s="6">
        <f>INDEX('Raw Data'!$L$6:$L$1371,MATCH(A86,'Raw Data'!$A$6:$A$1371,0))</f>
        <v>5.6875</v>
      </c>
      <c r="K86" s="6">
        <f t="shared" si="36"/>
        <v>9.9265601207177492E-2</v>
      </c>
      <c r="L86" s="6">
        <f t="shared" si="37"/>
        <v>0.12800336593151079</v>
      </c>
      <c r="M86" s="6">
        <f t="shared" si="38"/>
        <v>-2.8737764724333301E-2</v>
      </c>
      <c r="N86" s="6">
        <f t="shared" si="39"/>
        <v>8.2585912135113538E-4</v>
      </c>
      <c r="O86" s="6">
        <f>_xlfn.XLOOKUP(D86,'Instructor 360'!$B$6:$B$365,'Instructor 360'!$B$6:$B$365,,-1)</f>
        <v>1738.1615598885794</v>
      </c>
      <c r="P86" s="6">
        <f>_xlfn.XLOOKUP(D86,'Instructor 360'!$B$6:$B$365,'Instructor 360'!$B$6:$B$365,,1)</f>
        <v>1746.5181058495821</v>
      </c>
      <c r="Q86" s="6">
        <f>_xlfn.XLOOKUP(D86,'Instructor 360'!$B$6:$B$365,'Instructor 360'!$G$6:$G$365,,-1)</f>
        <v>7.4752724233983363</v>
      </c>
      <c r="R86" s="6">
        <f>_xlfn.XLOOKUP(D86,'Instructor 360'!$B$6:$B$365,'Instructor 360'!$G$6:$G$365,,1)</f>
        <v>6.7283395543175724</v>
      </c>
      <c r="S86" s="6">
        <f t="shared" si="40"/>
        <v>7.3340416235656676</v>
      </c>
      <c r="T86" s="6">
        <f t="shared" si="41"/>
        <v>0.12800317380953144</v>
      </c>
      <c r="U86" s="6">
        <f t="shared" si="42"/>
        <v>-2.8737572602353947E-2</v>
      </c>
      <c r="V86" s="6"/>
      <c r="W86" s="6">
        <f t="shared" si="43"/>
        <v>8.2584807907556425E-4</v>
      </c>
      <c r="AA86">
        <f t="shared" si="44"/>
        <v>1745</v>
      </c>
      <c r="AB86">
        <f t="shared" si="45"/>
        <v>9.9265601207177492E-2</v>
      </c>
      <c r="AC86">
        <f t="shared" si="46"/>
        <v>0.12800317380953144</v>
      </c>
      <c r="AE86">
        <f t="shared" si="47"/>
        <v>1745</v>
      </c>
      <c r="AF86">
        <f t="shared" si="48"/>
        <v>5.6875</v>
      </c>
      <c r="AG86">
        <f t="shared" si="49"/>
        <v>7.3340416235656676</v>
      </c>
    </row>
    <row r="87" spans="1:33" ht="18.95" customHeight="1">
      <c r="A87" s="4">
        <f t="shared" si="50"/>
        <v>775</v>
      </c>
      <c r="B87" s="6">
        <f>INDEX('Raw Data'!$B$6:$B$1371,MATCH(A87,'Raw Data'!$A$6:$A$1371,0))</f>
        <v>16640</v>
      </c>
      <c r="C87" s="6">
        <f t="shared" si="34"/>
        <v>1765</v>
      </c>
      <c r="D87" s="6">
        <f>MOD(C87+Summary!$B$20,Summary!$B$11)</f>
        <v>1759.7416237989592</v>
      </c>
      <c r="E87" s="6">
        <f>_xlfn.XLOOKUP(D87,'Native PMKS'!$C$6:$C$366,'Native PMKS'!$C$6:$C$366,,-1)</f>
        <v>1758.3333333333335</v>
      </c>
      <c r="F87" s="6">
        <f>_xlfn.XLOOKUP(D87,'Native PMKS'!$C$6:$C$366,'Native PMKS'!$C$6:$C$366,,1)</f>
        <v>1766.6666666666667</v>
      </c>
      <c r="G87" s="6">
        <f>_xlfn.XLOOKUP(D87,'Native PMKS'!$C$6:$C$366,'Native PMKS'!$O$6:$O$366,,-1)</f>
        <v>5.6722999999999999</v>
      </c>
      <c r="H87" s="6">
        <f>_xlfn.XLOOKUP(D87,'Native PMKS'!$C$6:$C$366,'Native PMKS'!$O$6:$O$366,,1)</f>
        <v>4.9273999999999996</v>
      </c>
      <c r="I87" s="6">
        <f t="shared" si="35"/>
        <v>5.546415731858616</v>
      </c>
      <c r="J87" s="6">
        <f>INDEX('Raw Data'!$L$6:$L$1371,MATCH(A87,'Raw Data'!$A$6:$A$1371,0))</f>
        <v>3.75</v>
      </c>
      <c r="K87" s="6">
        <f t="shared" si="36"/>
        <v>6.5449846949787352E-2</v>
      </c>
      <c r="L87" s="6">
        <f t="shared" si="37"/>
        <v>9.6803216205343809E-2</v>
      </c>
      <c r="M87" s="6">
        <f t="shared" si="38"/>
        <v>-3.1353369255556457E-2</v>
      </c>
      <c r="N87" s="6">
        <f t="shared" si="39"/>
        <v>9.8303376367527289E-4</v>
      </c>
      <c r="O87" s="6">
        <f>_xlfn.XLOOKUP(D87,'Instructor 360'!$B$6:$B$365,'Instructor 360'!$B$6:$B$365,,-1)</f>
        <v>1754.874651810585</v>
      </c>
      <c r="P87" s="6">
        <f>_xlfn.XLOOKUP(D87,'Instructor 360'!$B$6:$B$365,'Instructor 360'!$B$6:$B$365,,1)</f>
        <v>1763.2311977715876</v>
      </c>
      <c r="Q87" s="6">
        <f>_xlfn.XLOOKUP(D87,'Instructor 360'!$B$6:$B$365,'Instructor 360'!$G$6:$G$365,,-1)</f>
        <v>5.9814231197771743</v>
      </c>
      <c r="R87" s="6">
        <f>_xlfn.XLOOKUP(D87,'Instructor 360'!$B$6:$B$365,'Instructor 360'!$G$6:$G$365,,1)</f>
        <v>5.2344896935933338</v>
      </c>
      <c r="S87" s="6">
        <f t="shared" si="40"/>
        <v>5.5463984003079077</v>
      </c>
      <c r="T87" s="6">
        <f t="shared" si="41"/>
        <v>9.6802913712719471E-2</v>
      </c>
      <c r="U87" s="6">
        <f t="shared" si="42"/>
        <v>-3.1353066762932119E-2</v>
      </c>
      <c r="V87" s="6"/>
      <c r="W87" s="6">
        <f t="shared" si="43"/>
        <v>9.8301479544087868E-4</v>
      </c>
      <c r="AA87">
        <f t="shared" si="44"/>
        <v>1765</v>
      </c>
      <c r="AB87">
        <f t="shared" si="45"/>
        <v>6.5449846949787352E-2</v>
      </c>
      <c r="AC87">
        <f t="shared" si="46"/>
        <v>9.6802913712719471E-2</v>
      </c>
      <c r="AE87">
        <f t="shared" si="47"/>
        <v>1765</v>
      </c>
      <c r="AF87">
        <f t="shared" si="48"/>
        <v>3.7499999999999996</v>
      </c>
      <c r="AG87">
        <f t="shared" si="49"/>
        <v>5.5463984003079085</v>
      </c>
    </row>
    <row r="88" spans="1:33" ht="18.95" customHeight="1">
      <c r="A88" s="4">
        <f t="shared" si="50"/>
        <v>776</v>
      </c>
      <c r="B88" s="6">
        <f>INDEX('Raw Data'!$B$6:$B$1371,MATCH(A88,'Raw Data'!$A$6:$A$1371,0))</f>
        <v>16661</v>
      </c>
      <c r="C88" s="6">
        <f t="shared" si="34"/>
        <v>1786</v>
      </c>
      <c r="D88" s="6">
        <f>MOD(C88+Summary!$B$20,Summary!$B$11)</f>
        <v>1780.7416237989592</v>
      </c>
      <c r="E88" s="6">
        <f>_xlfn.XLOOKUP(D88,'Native PMKS'!$C$6:$C$366,'Native PMKS'!$C$6:$C$366,,-1)</f>
        <v>1775.0000000000002</v>
      </c>
      <c r="F88" s="6">
        <f>_xlfn.XLOOKUP(D88,'Native PMKS'!$C$6:$C$366,'Native PMKS'!$C$6:$C$366,,1)</f>
        <v>1783.3333333333335</v>
      </c>
      <c r="G88" s="6">
        <f>_xlfn.XLOOKUP(D88,'Native PMKS'!$C$6:$C$366,'Native PMKS'!$O$6:$O$366,,-1)</f>
        <v>4.2398999999999996</v>
      </c>
      <c r="H88" s="6">
        <f>_xlfn.XLOOKUP(D88,'Native PMKS'!$C$6:$C$366,'Native PMKS'!$O$6:$O$366,,1)</f>
        <v>3.4950000000000001</v>
      </c>
      <c r="I88" s="6">
        <f t="shared" si="35"/>
        <v>3.7266677318586687</v>
      </c>
      <c r="J88" s="6">
        <f>INDEX('Raw Data'!$L$6:$L$1371,MATCH(A88,'Raw Data'!$A$6:$A$1371,0))</f>
        <v>1.875</v>
      </c>
      <c r="K88" s="6">
        <f t="shared" si="36"/>
        <v>3.2724923474893676E-2</v>
      </c>
      <c r="L88" s="6">
        <f t="shared" si="37"/>
        <v>6.5042622048762946E-2</v>
      </c>
      <c r="M88" s="6">
        <f t="shared" si="38"/>
        <v>-3.231769857386927E-2</v>
      </c>
      <c r="N88" s="6">
        <f t="shared" si="39"/>
        <v>1.0444336411114718E-3</v>
      </c>
      <c r="O88" s="6">
        <f>_xlfn.XLOOKUP(D88,'Instructor 360'!$B$6:$B$365,'Instructor 360'!$B$6:$B$365,,-1)</f>
        <v>1779.9442896935932</v>
      </c>
      <c r="P88" s="6">
        <f>_xlfn.XLOOKUP(D88,'Instructor 360'!$B$6:$B$365,'Instructor 360'!$B$6:$B$365,,1)</f>
        <v>1788.3008356545961</v>
      </c>
      <c r="Q88" s="6">
        <f>_xlfn.XLOOKUP(D88,'Instructor 360'!$B$6:$B$365,'Instructor 360'!$G$6:$G$365,,-1)</f>
        <v>3.7979398328691079</v>
      </c>
      <c r="R88" s="6">
        <f>_xlfn.XLOOKUP(D88,'Instructor 360'!$B$6:$B$365,'Instructor 360'!$G$6:$G$365,,1)</f>
        <v>3.0851810584958317</v>
      </c>
      <c r="S88" s="6">
        <f t="shared" si="40"/>
        <v>3.729932442930874</v>
      </c>
      <c r="T88" s="6">
        <f t="shared" si="41"/>
        <v>6.5099602006099239E-2</v>
      </c>
      <c r="U88" s="6">
        <f t="shared" si="42"/>
        <v>-3.2374678531205563E-2</v>
      </c>
      <c r="V88" s="6"/>
      <c r="W88" s="6">
        <f t="shared" si="43"/>
        <v>1.0481198099989023E-3</v>
      </c>
      <c r="AA88">
        <f t="shared" si="44"/>
        <v>1786</v>
      </c>
      <c r="AB88">
        <f t="shared" si="45"/>
        <v>3.2724923474893676E-2</v>
      </c>
      <c r="AC88">
        <f t="shared" si="46"/>
        <v>6.5099602006099239E-2</v>
      </c>
      <c r="AE88">
        <f t="shared" si="47"/>
        <v>1786</v>
      </c>
      <c r="AF88">
        <f t="shared" si="48"/>
        <v>1.8749999999999998</v>
      </c>
      <c r="AG88">
        <f t="shared" si="49"/>
        <v>3.7299324429308736</v>
      </c>
    </row>
    <row r="89" spans="1:33" ht="18.95" customHeight="1">
      <c r="A89" s="4">
        <f t="shared" si="50"/>
        <v>777</v>
      </c>
      <c r="B89" s="6">
        <f>INDEX('Raw Data'!$B$6:$B$1371,MATCH(A89,'Raw Data'!$A$6:$A$1371,0))</f>
        <v>16681</v>
      </c>
      <c r="C89" s="6">
        <f t="shared" si="34"/>
        <v>1806</v>
      </c>
      <c r="D89" s="6">
        <f>MOD(C89+Summary!$B$20,Summary!$B$11)</f>
        <v>1800.7416237989592</v>
      </c>
      <c r="E89" s="6">
        <f>_xlfn.XLOOKUP(D89,'Native PMKS'!$C$6:$C$366,'Native PMKS'!$C$6:$C$366,,-1)</f>
        <v>1800.0000000000002</v>
      </c>
      <c r="F89" s="6">
        <f>_xlfn.XLOOKUP(D89,'Native PMKS'!$C$6:$C$366,'Native PMKS'!$C$6:$C$366,,1)</f>
        <v>1808.3333333333335</v>
      </c>
      <c r="G89" s="6">
        <f>_xlfn.XLOOKUP(D89,'Native PMKS'!$C$6:$C$366,'Native PMKS'!$O$6:$O$366,,-1)</f>
        <v>2.0626000000000002</v>
      </c>
      <c r="H89" s="6">
        <f>_xlfn.XLOOKUP(D89,'Native PMKS'!$C$6:$C$366,'Native PMKS'!$O$6:$O$366,,1)</f>
        <v>1.3751</v>
      </c>
      <c r="I89" s="6">
        <f t="shared" si="35"/>
        <v>2.00141603658588</v>
      </c>
      <c r="J89" s="6">
        <f>INDEX('Raw Data'!$L$6:$L$1371,MATCH(A89,'Raw Data'!$A$6:$A$1371,0))</f>
        <v>-0.1875</v>
      </c>
      <c r="K89" s="6">
        <f t="shared" si="36"/>
        <v>-3.2724923474893677E-3</v>
      </c>
      <c r="L89" s="6">
        <f t="shared" si="37"/>
        <v>3.4931299540638894E-2</v>
      </c>
      <c r="M89" s="6">
        <f t="shared" si="38"/>
        <v>-3.8203791888128259E-2</v>
      </c>
      <c r="N89" s="6">
        <f t="shared" si="39"/>
        <v>1.4595297146314146E-3</v>
      </c>
      <c r="O89" s="6">
        <f>_xlfn.XLOOKUP(D89,'Instructor 360'!$B$6:$B$365,'Instructor 360'!$B$6:$B$365,,-1)</f>
        <v>1796.657381615599</v>
      </c>
      <c r="P89" s="6">
        <f>_xlfn.XLOOKUP(D89,'Instructor 360'!$B$6:$B$365,'Instructor 360'!$B$6:$B$365,,1)</f>
        <v>1805.0139275766016</v>
      </c>
      <c r="Q89" s="6">
        <f>_xlfn.XLOOKUP(D89,'Instructor 360'!$B$6:$B$365,'Instructor 360'!$G$6:$G$365,,-1)</f>
        <v>2.3613899721448535</v>
      </c>
      <c r="R89" s="6">
        <f>_xlfn.XLOOKUP(D89,'Instructor 360'!$B$6:$B$365,'Instructor 360'!$G$6:$G$365,,1)</f>
        <v>1.6489509749303792</v>
      </c>
      <c r="S89" s="6">
        <f t="shared" si="40"/>
        <v>2.0131870879540372</v>
      </c>
      <c r="T89" s="6">
        <f t="shared" si="41"/>
        <v>3.5136743143434623E-2</v>
      </c>
      <c r="U89" s="6">
        <f t="shared" si="42"/>
        <v>-3.8409235490923989E-2</v>
      </c>
      <c r="V89" s="6"/>
      <c r="W89" s="6">
        <f t="shared" si="43"/>
        <v>1.475269370997255E-3</v>
      </c>
      <c r="AA89">
        <f t="shared" si="44"/>
        <v>1806</v>
      </c>
      <c r="AB89">
        <f t="shared" si="45"/>
        <v>-3.2724923474893677E-3</v>
      </c>
      <c r="AC89">
        <f t="shared" si="46"/>
        <v>3.5136743143434623E-2</v>
      </c>
      <c r="AE89">
        <f t="shared" si="47"/>
        <v>1806</v>
      </c>
      <c r="AF89">
        <f t="shared" si="48"/>
        <v>-0.1875</v>
      </c>
      <c r="AG89">
        <f t="shared" si="49"/>
        <v>2.0131870879540372</v>
      </c>
    </row>
    <row r="90" spans="1:33" ht="18.95" customHeight="1">
      <c r="A90" s="4">
        <f t="shared" si="50"/>
        <v>778</v>
      </c>
      <c r="B90" s="6">
        <f>INDEX('Raw Data'!$B$6:$B$1371,MATCH(A90,'Raw Data'!$A$6:$A$1371,0))</f>
        <v>16702</v>
      </c>
      <c r="C90" s="6">
        <f t="shared" si="34"/>
        <v>1827</v>
      </c>
      <c r="D90" s="6">
        <f>MOD(C90+Summary!$B$20,Summary!$B$11)</f>
        <v>1821.7416237989592</v>
      </c>
      <c r="E90" s="6">
        <f>_xlfn.XLOOKUP(D90,'Native PMKS'!$C$6:$C$366,'Native PMKS'!$C$6:$C$366,,-1)</f>
        <v>1816.6666666666667</v>
      </c>
      <c r="F90" s="6">
        <f>_xlfn.XLOOKUP(D90,'Native PMKS'!$C$6:$C$366,'Native PMKS'!$C$6:$C$366,,1)</f>
        <v>1825.0000000000002</v>
      </c>
      <c r="G90" s="6">
        <f>_xlfn.XLOOKUP(D90,'Native PMKS'!$C$6:$C$366,'Native PMKS'!$O$6:$O$366,,-1)</f>
        <v>0.6875</v>
      </c>
      <c r="H90" s="6">
        <f>_xlfn.XLOOKUP(D90,'Native PMKS'!$C$6:$C$366,'Native PMKS'!$O$6:$O$366,,1)</f>
        <v>0</v>
      </c>
      <c r="I90" s="6">
        <f t="shared" si="35"/>
        <v>0.26881603658588915</v>
      </c>
      <c r="J90" s="6">
        <f>INDEX('Raw Data'!$L$6:$L$1371,MATCH(A90,'Raw Data'!$A$6:$A$1371,0))</f>
        <v>-1.3125</v>
      </c>
      <c r="K90" s="6">
        <f t="shared" si="36"/>
        <v>-2.2907446432425576E-2</v>
      </c>
      <c r="L90" s="6">
        <f t="shared" si="37"/>
        <v>4.691724920585302E-3</v>
      </c>
      <c r="M90" s="6">
        <f t="shared" si="38"/>
        <v>-2.7599171353010876E-2</v>
      </c>
      <c r="N90" s="6">
        <f t="shared" si="39"/>
        <v>7.6171425937285623E-4</v>
      </c>
      <c r="O90" s="6">
        <f>_xlfn.XLOOKUP(D90,'Instructor 360'!$B$6:$B$365,'Instructor 360'!$B$6:$B$365,,-1)</f>
        <v>1821.7270194986072</v>
      </c>
      <c r="P90" s="6">
        <f>_xlfn.XLOOKUP(D90,'Instructor 360'!$B$6:$B$365,'Instructor 360'!$B$6:$B$365,,1)</f>
        <v>1830.0835654596101</v>
      </c>
      <c r="Q90" s="6">
        <f>_xlfn.XLOOKUP(D90,'Instructor 360'!$B$6:$B$365,'Instructor 360'!$G$6:$G$365,,-1)</f>
        <v>0.27002089136491941</v>
      </c>
      <c r="R90" s="6">
        <f>_xlfn.XLOOKUP(D90,'Instructor 360'!$B$6:$B$365,'Instructor 360'!$G$6:$G$365,,1)</f>
        <v>-0.4193941504178183</v>
      </c>
      <c r="S90" s="6">
        <f t="shared" si="40"/>
        <v>0.26881603658588915</v>
      </c>
      <c r="T90" s="6">
        <f t="shared" si="41"/>
        <v>4.691724920585302E-3</v>
      </c>
      <c r="U90" s="6">
        <f t="shared" si="42"/>
        <v>-2.7599171353010876E-2</v>
      </c>
      <c r="V90" s="6"/>
      <c r="W90" s="6">
        <f t="shared" si="43"/>
        <v>7.6171425937285623E-4</v>
      </c>
      <c r="AA90">
        <f t="shared" si="44"/>
        <v>1827</v>
      </c>
      <c r="AB90">
        <f t="shared" si="45"/>
        <v>-2.2907446432425576E-2</v>
      </c>
      <c r="AC90">
        <f t="shared" si="46"/>
        <v>4.691724920585302E-3</v>
      </c>
      <c r="AE90">
        <f t="shared" si="47"/>
        <v>1827</v>
      </c>
      <c r="AF90">
        <f t="shared" si="48"/>
        <v>-1.3125</v>
      </c>
      <c r="AG90">
        <f t="shared" si="49"/>
        <v>0.26881603658588915</v>
      </c>
    </row>
    <row r="91" spans="1:33" ht="18.95" customHeight="1">
      <c r="A91" s="4">
        <f t="shared" si="50"/>
        <v>779</v>
      </c>
      <c r="B91" s="6">
        <f>INDEX('Raw Data'!$B$6:$B$1371,MATCH(A91,'Raw Data'!$A$6:$A$1371,0))</f>
        <v>16722</v>
      </c>
      <c r="C91" s="6">
        <f t="shared" si="34"/>
        <v>1847</v>
      </c>
      <c r="D91" s="6">
        <f>MOD(C91+Summary!$B$20,Summary!$B$11)</f>
        <v>1841.7416237989592</v>
      </c>
      <c r="E91" s="6">
        <f>_xlfn.XLOOKUP(D91,'Native PMKS'!$C$6:$C$366,'Native PMKS'!$C$6:$C$366,,-1)</f>
        <v>1841.6666666666667</v>
      </c>
      <c r="F91" s="6">
        <f>_xlfn.XLOOKUP(D91,'Native PMKS'!$C$6:$C$366,'Native PMKS'!$C$6:$C$366,,1)</f>
        <v>1850.0000000000002</v>
      </c>
      <c r="G91" s="6">
        <f>_xlfn.XLOOKUP(D91,'Native PMKS'!$C$6:$C$366,'Native PMKS'!$O$6:$O$366,,-1)</f>
        <v>-1.3751</v>
      </c>
      <c r="H91" s="6">
        <f>_xlfn.XLOOKUP(D91,'Native PMKS'!$C$6:$C$366,'Native PMKS'!$O$6:$O$366,,1)</f>
        <v>-2.0626000000000002</v>
      </c>
      <c r="I91" s="6">
        <f t="shared" si="35"/>
        <v>-1.3812839634141483</v>
      </c>
      <c r="J91" s="6">
        <f>INDEX('Raw Data'!$L$6:$L$1371,MATCH(A91,'Raw Data'!$A$6:$A$1371,0))</f>
        <v>-3.5625</v>
      </c>
      <c r="K91" s="6">
        <f t="shared" si="36"/>
        <v>-6.2177354602297986E-2</v>
      </c>
      <c r="L91" s="6">
        <f t="shared" si="37"/>
        <v>-2.4107953066573783E-2</v>
      </c>
      <c r="M91" s="6">
        <f t="shared" si="38"/>
        <v>-3.8069401535724204E-2</v>
      </c>
      <c r="N91" s="6">
        <f t="shared" si="39"/>
        <v>1.4492793332882004E-3</v>
      </c>
      <c r="O91" s="6">
        <f>_xlfn.XLOOKUP(D91,'Instructor 360'!$B$6:$B$365,'Instructor 360'!$B$6:$B$365,,-1)</f>
        <v>1838.4401114206128</v>
      </c>
      <c r="P91" s="6">
        <f>_xlfn.XLOOKUP(D91,'Instructor 360'!$B$6:$B$365,'Instructor 360'!$B$6:$B$365,,1)</f>
        <v>1846.7966573816157</v>
      </c>
      <c r="Q91" s="6">
        <f>_xlfn.XLOOKUP(D91,'Instructor 360'!$B$6:$B$365,'Instructor 360'!$G$6:$G$365,,-1)</f>
        <v>-1.1088704735375918</v>
      </c>
      <c r="R91" s="6">
        <f>_xlfn.XLOOKUP(D91,'Instructor 360'!$B$6:$B$365,'Instructor 360'!$G$6:$G$365,,1)</f>
        <v>-1.7983242339832781</v>
      </c>
      <c r="S91" s="6">
        <f t="shared" si="40"/>
        <v>-1.381260541758536</v>
      </c>
      <c r="T91" s="6">
        <f t="shared" si="41"/>
        <v>-2.4107544281567077E-2</v>
      </c>
      <c r="U91" s="6">
        <f t="shared" si="42"/>
        <v>-3.806981032073091E-2</v>
      </c>
      <c r="V91" s="6"/>
      <c r="W91" s="6">
        <f t="shared" si="43"/>
        <v>1.4493104578564297E-3</v>
      </c>
      <c r="AA91">
        <f t="shared" si="44"/>
        <v>1847</v>
      </c>
      <c r="AB91">
        <f t="shared" si="45"/>
        <v>-6.2177354602297986E-2</v>
      </c>
      <c r="AC91">
        <f t="shared" si="46"/>
        <v>-2.4107544281567077E-2</v>
      </c>
      <c r="AE91">
        <f t="shared" si="47"/>
        <v>1847</v>
      </c>
      <c r="AF91">
        <f t="shared" si="48"/>
        <v>-3.5625</v>
      </c>
      <c r="AG91">
        <f t="shared" si="49"/>
        <v>-1.381260541758536</v>
      </c>
    </row>
    <row r="92" spans="1:33" ht="18.95" customHeight="1">
      <c r="A92" s="4">
        <f t="shared" si="50"/>
        <v>780</v>
      </c>
      <c r="B92" s="6">
        <f>INDEX('Raw Data'!$B$6:$B$1371,MATCH(A92,'Raw Data'!$A$6:$A$1371,0))</f>
        <v>16744</v>
      </c>
      <c r="C92" s="6">
        <f t="shared" si="34"/>
        <v>1869</v>
      </c>
      <c r="D92" s="6">
        <f>MOD(C92+Summary!$B$20,Summary!$B$11)</f>
        <v>1863.7416237989592</v>
      </c>
      <c r="E92" s="6">
        <f>_xlfn.XLOOKUP(D92,'Native PMKS'!$C$6:$C$366,'Native PMKS'!$C$6:$C$366,,-1)</f>
        <v>1858.3333333333335</v>
      </c>
      <c r="F92" s="6">
        <f>_xlfn.XLOOKUP(D92,'Native PMKS'!$C$6:$C$366,'Native PMKS'!$C$6:$C$366,,1)</f>
        <v>1866.6666666666667</v>
      </c>
      <c r="G92" s="6">
        <f>_xlfn.XLOOKUP(D92,'Native PMKS'!$C$6:$C$366,'Native PMKS'!$O$6:$O$366,,-1)</f>
        <v>-2.7502</v>
      </c>
      <c r="H92" s="6">
        <f>_xlfn.XLOOKUP(D92,'Native PMKS'!$C$6:$C$366,'Native PMKS'!$O$6:$O$366,,1)</f>
        <v>-3.4377</v>
      </c>
      <c r="I92" s="6">
        <f t="shared" si="35"/>
        <v>-3.1963839634141493</v>
      </c>
      <c r="J92" s="6">
        <f>INDEX('Raw Data'!$L$6:$L$1371,MATCH(A92,'Raw Data'!$A$6:$A$1371,0))</f>
        <v>-5.875</v>
      </c>
      <c r="K92" s="6">
        <f t="shared" si="36"/>
        <v>-0.10253809355466686</v>
      </c>
      <c r="L92" s="6">
        <f t="shared" si="37"/>
        <v>-5.5787424319522876E-2</v>
      </c>
      <c r="M92" s="6">
        <f t="shared" si="38"/>
        <v>-4.6750669235143989E-2</v>
      </c>
      <c r="N92" s="6">
        <f t="shared" si="39"/>
        <v>2.1856250739338387E-3</v>
      </c>
      <c r="O92" s="6">
        <f>_xlfn.XLOOKUP(D92,'Instructor 360'!$B$6:$B$365,'Instructor 360'!$B$6:$B$365,,-1)</f>
        <v>1863.5097493036212</v>
      </c>
      <c r="P92" s="6">
        <f>_xlfn.XLOOKUP(D92,'Instructor 360'!$B$6:$B$365,'Instructor 360'!$B$6:$B$365,,1)</f>
        <v>1871.8662952646239</v>
      </c>
      <c r="Q92" s="6">
        <f>_xlfn.XLOOKUP(D92,'Instructor 360'!$B$6:$B$365,'Instructor 360'!$G$6:$G$365,,-1)</f>
        <v>-3.177254317548742</v>
      </c>
      <c r="R92" s="6">
        <f>_xlfn.XLOOKUP(D92,'Instructor 360'!$B$6:$B$365,'Instructor 360'!$G$6:$G$365,,1)</f>
        <v>-3.8667317548746323</v>
      </c>
      <c r="S92" s="6">
        <f t="shared" si="40"/>
        <v>-3.1963856947436682</v>
      </c>
      <c r="T92" s="6">
        <f t="shared" si="41"/>
        <v>-5.5787454536923423E-2</v>
      </c>
      <c r="U92" s="6">
        <f t="shared" si="42"/>
        <v>-4.6750639017743442E-2</v>
      </c>
      <c r="V92" s="6"/>
      <c r="W92" s="6">
        <f t="shared" si="43"/>
        <v>2.1856222485673554E-3</v>
      </c>
      <c r="AA92">
        <f t="shared" si="44"/>
        <v>1869</v>
      </c>
      <c r="AB92">
        <f t="shared" si="45"/>
        <v>-0.10253809355466686</v>
      </c>
      <c r="AC92">
        <f t="shared" si="46"/>
        <v>-5.5787454536923423E-2</v>
      </c>
      <c r="AE92">
        <f t="shared" si="47"/>
        <v>1869</v>
      </c>
      <c r="AF92">
        <f t="shared" si="48"/>
        <v>-5.875</v>
      </c>
      <c r="AG92">
        <f t="shared" si="49"/>
        <v>-3.1963856947436682</v>
      </c>
    </row>
    <row r="93" spans="1:33" ht="18.95" customHeight="1">
      <c r="A93" s="4">
        <f t="shared" si="50"/>
        <v>781</v>
      </c>
      <c r="B93" s="6">
        <f>INDEX('Raw Data'!$B$6:$B$1371,MATCH(A93,'Raw Data'!$A$6:$A$1371,0))</f>
        <v>16765</v>
      </c>
      <c r="C93" s="6">
        <f t="shared" si="34"/>
        <v>1890</v>
      </c>
      <c r="D93" s="6">
        <f>MOD(C93+Summary!$B$20,Summary!$B$11)</f>
        <v>1884.7416237989592</v>
      </c>
      <c r="E93" s="6">
        <f>_xlfn.XLOOKUP(D93,'Native PMKS'!$C$6:$C$366,'Native PMKS'!$C$6:$C$366,,-1)</f>
        <v>1883.3333333333335</v>
      </c>
      <c r="F93" s="6">
        <f>_xlfn.XLOOKUP(D93,'Native PMKS'!$C$6:$C$366,'Native PMKS'!$C$6:$C$366,,1)</f>
        <v>1891.6666666666667</v>
      </c>
      <c r="G93" s="6">
        <f>_xlfn.XLOOKUP(D93,'Native PMKS'!$C$6:$C$366,'Native PMKS'!$O$6:$O$366,,-1)</f>
        <v>-4.7554999999999996</v>
      </c>
      <c r="H93" s="6">
        <f>_xlfn.XLOOKUP(D93,'Native PMKS'!$C$6:$C$366,'Native PMKS'!$O$6:$O$366,,1)</f>
        <v>-5.4431000000000003</v>
      </c>
      <c r="I93" s="6">
        <f t="shared" si="35"/>
        <v>-4.8717008628997291</v>
      </c>
      <c r="J93" s="6">
        <f>INDEX('Raw Data'!$L$6:$L$1371,MATCH(A93,'Raw Data'!$A$6:$A$1371,0))</f>
        <v>-7.5</v>
      </c>
      <c r="K93" s="6">
        <f t="shared" si="36"/>
        <v>-0.1308996938995747</v>
      </c>
      <c r="L93" s="6">
        <f t="shared" si="37"/>
        <v>-8.502722022984914E-2</v>
      </c>
      <c r="M93" s="6">
        <f t="shared" si="38"/>
        <v>-4.5872473669725564E-2</v>
      </c>
      <c r="N93" s="6">
        <f t="shared" si="39"/>
        <v>2.1042838405796651E-3</v>
      </c>
      <c r="O93" s="6">
        <f>_xlfn.XLOOKUP(D93,'Instructor 360'!$B$6:$B$365,'Instructor 360'!$B$6:$B$365,,-1)</f>
        <v>1880.2228412256268</v>
      </c>
      <c r="P93" s="6">
        <f>_xlfn.XLOOKUP(D93,'Instructor 360'!$B$6:$B$365,'Instructor 360'!$B$6:$B$365,,1)</f>
        <v>1888.5793871866294</v>
      </c>
      <c r="Q93" s="6">
        <f>_xlfn.XLOOKUP(D93,'Instructor 360'!$B$6:$B$365,'Instructor 360'!$G$6:$G$365,,-1)</f>
        <v>-4.5202721448467855</v>
      </c>
      <c r="R93" s="6">
        <f>_xlfn.XLOOKUP(D93,'Instructor 360'!$B$6:$B$365,'Instructor 360'!$G$6:$G$365,,1)</f>
        <v>-5.1883623955431606</v>
      </c>
      <c r="S93" s="6">
        <f t="shared" si="40"/>
        <v>-4.8815403765239012</v>
      </c>
      <c r="T93" s="6">
        <f t="shared" si="41"/>
        <v>-8.5198952139385789E-2</v>
      </c>
      <c r="U93" s="6">
        <f t="shared" si="42"/>
        <v>-4.5700741760188915E-2</v>
      </c>
      <c r="V93" s="6"/>
      <c r="W93" s="6">
        <f t="shared" si="43"/>
        <v>2.088557797431475E-3</v>
      </c>
      <c r="AA93">
        <f t="shared" si="44"/>
        <v>1890</v>
      </c>
      <c r="AB93">
        <f t="shared" si="45"/>
        <v>-0.1308996938995747</v>
      </c>
      <c r="AC93">
        <f t="shared" si="46"/>
        <v>-8.5198952139385789E-2</v>
      </c>
      <c r="AE93">
        <f t="shared" si="47"/>
        <v>1890</v>
      </c>
      <c r="AF93">
        <f t="shared" si="48"/>
        <v>-7.4999999999999991</v>
      </c>
      <c r="AG93">
        <f t="shared" si="49"/>
        <v>-4.881540376523902</v>
      </c>
    </row>
    <row r="94" spans="1:33" ht="18.95" customHeight="1">
      <c r="A94" s="4">
        <f t="shared" si="50"/>
        <v>782</v>
      </c>
      <c r="B94" s="6">
        <f>INDEX('Raw Data'!$B$6:$B$1371,MATCH(A94,'Raw Data'!$A$6:$A$1371,0))</f>
        <v>16786</v>
      </c>
      <c r="C94" s="6">
        <f t="shared" si="34"/>
        <v>1911</v>
      </c>
      <c r="D94" s="6">
        <f>MOD(C94+Summary!$B$20,Summary!$B$11)</f>
        <v>1905.7416237989592</v>
      </c>
      <c r="E94" s="6">
        <f>_xlfn.XLOOKUP(D94,'Native PMKS'!$C$6:$C$366,'Native PMKS'!$C$6:$C$366,,-1)</f>
        <v>1900.0000000000002</v>
      </c>
      <c r="F94" s="6">
        <f>_xlfn.XLOOKUP(D94,'Native PMKS'!$C$6:$C$366,'Native PMKS'!$C$6:$C$366,,1)</f>
        <v>1908.3333333333335</v>
      </c>
      <c r="G94" s="6">
        <f>_xlfn.XLOOKUP(D94,'Native PMKS'!$C$6:$C$366,'Native PMKS'!$O$6:$O$366,,-1)</f>
        <v>-6.0734000000000004</v>
      </c>
      <c r="H94" s="6">
        <f>_xlfn.XLOOKUP(D94,'Native PMKS'!$C$6:$C$366,'Native PMKS'!$O$6:$O$366,,1)</f>
        <v>-6.7035999999999998</v>
      </c>
      <c r="I94" s="6">
        <f t="shared" si="35"/>
        <v>-6.50760455817246</v>
      </c>
      <c r="J94" s="6">
        <f>INDEX('Raw Data'!$L$6:$L$1371,MATCH(A94,'Raw Data'!$A$6:$A$1371,0))</f>
        <v>-9.25</v>
      </c>
      <c r="K94" s="6">
        <f t="shared" si="36"/>
        <v>-0.16144295580947549</v>
      </c>
      <c r="L94" s="6">
        <f t="shared" si="37"/>
        <v>-0.11357912595790029</v>
      </c>
      <c r="M94" s="6">
        <f t="shared" si="38"/>
        <v>-4.7863829851575196E-2</v>
      </c>
      <c r="N94" s="6">
        <f t="shared" si="39"/>
        <v>2.2909462080605409E-3</v>
      </c>
      <c r="O94" s="6">
        <f>_xlfn.XLOOKUP(D94,'Instructor 360'!$B$6:$B$365,'Instructor 360'!$B$6:$B$365,,-1)</f>
        <v>1905.292479108635</v>
      </c>
      <c r="P94" s="6">
        <f>_xlfn.XLOOKUP(D94,'Instructor 360'!$B$6:$B$365,'Instructor 360'!$B$6:$B$365,,1)</f>
        <v>1913.6490250696379</v>
      </c>
      <c r="Q94" s="6">
        <f>_xlfn.XLOOKUP(D94,'Instructor 360'!$B$6:$B$365,'Instructor 360'!$G$6:$G$365,,-1)</f>
        <v>-6.4736384401114</v>
      </c>
      <c r="R94" s="6">
        <f>_xlfn.XLOOKUP(D94,'Instructor 360'!$B$6:$B$365,'Instructor 360'!$G$6:$G$365,,1)</f>
        <v>-7.1422083565459538</v>
      </c>
      <c r="S94" s="6">
        <f t="shared" si="40"/>
        <v>-6.5095725006046052</v>
      </c>
      <c r="T94" s="6">
        <f t="shared" si="41"/>
        <v>-0.11361347303283093</v>
      </c>
      <c r="U94" s="6">
        <f t="shared" si="42"/>
        <v>-4.7829482776644561E-2</v>
      </c>
      <c r="V94" s="6"/>
      <c r="W94" s="6">
        <f t="shared" si="43"/>
        <v>2.2876594226813388E-3</v>
      </c>
      <c r="AA94">
        <f t="shared" si="44"/>
        <v>1911</v>
      </c>
      <c r="AB94">
        <f t="shared" si="45"/>
        <v>-0.16144295580947549</v>
      </c>
      <c r="AC94">
        <f t="shared" si="46"/>
        <v>-0.11361347303283093</v>
      </c>
      <c r="AE94">
        <f t="shared" si="47"/>
        <v>1911</v>
      </c>
      <c r="AF94">
        <f t="shared" si="48"/>
        <v>-9.25</v>
      </c>
      <c r="AG94">
        <f t="shared" si="49"/>
        <v>-6.5095725006046052</v>
      </c>
    </row>
    <row r="95" spans="1:33" ht="18.95" customHeight="1">
      <c r="A95" s="4">
        <f t="shared" si="50"/>
        <v>783</v>
      </c>
      <c r="B95" s="6">
        <f>INDEX('Raw Data'!$B$6:$B$1371,MATCH(A95,'Raw Data'!$A$6:$A$1371,0))</f>
        <v>16809</v>
      </c>
      <c r="C95" s="6">
        <f t="shared" si="34"/>
        <v>1934</v>
      </c>
      <c r="D95" s="6">
        <f>MOD(C95+Summary!$B$20,Summary!$B$11)</f>
        <v>1928.7416237989592</v>
      </c>
      <c r="E95" s="6">
        <f>_xlfn.XLOOKUP(D95,'Native PMKS'!$C$6:$C$366,'Native PMKS'!$C$6:$C$366,,-1)</f>
        <v>1925.0000000000002</v>
      </c>
      <c r="F95" s="6">
        <f>_xlfn.XLOOKUP(D95,'Native PMKS'!$C$6:$C$366,'Native PMKS'!$C$6:$C$366,,1)</f>
        <v>1933.3333333333335</v>
      </c>
      <c r="G95" s="6">
        <f>_xlfn.XLOOKUP(D95,'Native PMKS'!$C$6:$C$366,'Native PMKS'!$O$6:$O$366,,-1)</f>
        <v>-8.0213999999999999</v>
      </c>
      <c r="H95" s="6">
        <f>_xlfn.XLOOKUP(D95,'Native PMKS'!$C$6:$C$366,'Native PMKS'!$O$6:$O$366,,1)</f>
        <v>-8.6516999999999999</v>
      </c>
      <c r="I95" s="6">
        <f t="shared" si="35"/>
        <v>-8.3044014576580309</v>
      </c>
      <c r="J95" s="6">
        <f>INDEX('Raw Data'!$L$6:$L$1371,MATCH(A95,'Raw Data'!$A$6:$A$1371,0))</f>
        <v>-10.75</v>
      </c>
      <c r="K95" s="6">
        <f t="shared" si="36"/>
        <v>-0.18762289458939041</v>
      </c>
      <c r="L95" s="6">
        <f t="shared" si="37"/>
        <v>-0.14493914784354911</v>
      </c>
      <c r="M95" s="6">
        <f t="shared" si="38"/>
        <v>-4.26837467458413E-2</v>
      </c>
      <c r="N95" s="6">
        <f t="shared" si="39"/>
        <v>1.8219022362631178E-3</v>
      </c>
      <c r="O95" s="6">
        <f>_xlfn.XLOOKUP(D95,'Instructor 360'!$B$6:$B$365,'Instructor 360'!$B$6:$B$365,,-1)</f>
        <v>1922.0055710306406</v>
      </c>
      <c r="P95" s="6">
        <f>_xlfn.XLOOKUP(D95,'Instructor 360'!$B$6:$B$365,'Instructor 360'!$B$6:$B$365,,1)</f>
        <v>1930.3621169916435</v>
      </c>
      <c r="Q95" s="6">
        <f>_xlfn.XLOOKUP(D95,'Instructor 360'!$B$6:$B$365,'Instructor 360'!$G$6:$G$365,,-1)</f>
        <v>-7.7949493036211495</v>
      </c>
      <c r="R95" s="6">
        <f>_xlfn.XLOOKUP(D95,'Instructor 360'!$B$6:$B$365,'Instructor 360'!$G$6:$G$365,,1)</f>
        <v>-8.4269690807799318</v>
      </c>
      <c r="S95" s="6">
        <f t="shared" si="40"/>
        <v>-8.3044084257788029</v>
      </c>
      <c r="T95" s="6">
        <f t="shared" si="41"/>
        <v>-0.14493926946019925</v>
      </c>
      <c r="U95" s="6">
        <f t="shared" si="42"/>
        <v>-4.2683625129191161E-2</v>
      </c>
      <c r="V95" s="6"/>
      <c r="W95" s="6">
        <f t="shared" si="43"/>
        <v>1.8218918541693192E-3</v>
      </c>
      <c r="AA95">
        <f t="shared" si="44"/>
        <v>1934</v>
      </c>
      <c r="AB95">
        <f t="shared" si="45"/>
        <v>-0.18762289458939041</v>
      </c>
      <c r="AC95">
        <f t="shared" si="46"/>
        <v>-0.14493926946019925</v>
      </c>
      <c r="AE95">
        <f t="shared" si="47"/>
        <v>1934</v>
      </c>
      <c r="AF95">
        <f t="shared" si="48"/>
        <v>-10.75</v>
      </c>
      <c r="AG95">
        <f t="shared" si="49"/>
        <v>-8.3044084257788029</v>
      </c>
    </row>
    <row r="96" spans="1:33" ht="18.95" customHeight="1">
      <c r="A96" s="4">
        <f t="shared" si="50"/>
        <v>784</v>
      </c>
      <c r="B96" s="6">
        <f>INDEX('Raw Data'!$B$6:$B$1371,MATCH(A96,'Raw Data'!$A$6:$A$1371,0))</f>
        <v>16831</v>
      </c>
      <c r="C96" s="6">
        <f t="shared" si="34"/>
        <v>1956</v>
      </c>
      <c r="D96" s="6">
        <f>MOD(C96+Summary!$B$20,Summary!$B$11)</f>
        <v>1950.7416237989592</v>
      </c>
      <c r="E96" s="6">
        <f>_xlfn.XLOOKUP(D96,'Native PMKS'!$C$6:$C$366,'Native PMKS'!$C$6:$C$366,,-1)</f>
        <v>1950.0000000000002</v>
      </c>
      <c r="F96" s="6">
        <f>_xlfn.XLOOKUP(D96,'Native PMKS'!$C$6:$C$366,'Native PMKS'!$C$6:$C$366,,1)</f>
        <v>1958.3333333333335</v>
      </c>
      <c r="G96" s="6">
        <f>_xlfn.XLOOKUP(D96,'Native PMKS'!$C$6:$C$366,'Native PMKS'!$O$6:$O$366,,-1)</f>
        <v>-9.9122000000000003</v>
      </c>
      <c r="H96" s="6">
        <f>_xlfn.XLOOKUP(D96,'Native PMKS'!$C$6:$C$366,'Native PMKS'!$O$6:$O$366,,1)</f>
        <v>-10.542400000000001</v>
      </c>
      <c r="I96" s="6">
        <f t="shared" si="35"/>
        <v>-9.9682845581724564</v>
      </c>
      <c r="J96" s="6">
        <f>INDEX('Raw Data'!$L$6:$L$1371,MATCH(A96,'Raw Data'!$A$6:$A$1371,0))</f>
        <v>-13.0625</v>
      </c>
      <c r="K96" s="6">
        <f t="shared" si="36"/>
        <v>-0.2279836335417593</v>
      </c>
      <c r="L96" s="6">
        <f t="shared" si="37"/>
        <v>-0.17397938631581758</v>
      </c>
      <c r="M96" s="6">
        <f t="shared" si="38"/>
        <v>-5.4004247225941715E-2</v>
      </c>
      <c r="N96" s="6">
        <f t="shared" si="39"/>
        <v>2.9164587184406336E-3</v>
      </c>
      <c r="O96" s="6">
        <f>_xlfn.XLOOKUP(D96,'Instructor 360'!$B$6:$B$365,'Instructor 360'!$B$6:$B$365,,-1)</f>
        <v>1947.075208913649</v>
      </c>
      <c r="P96" s="6">
        <f>_xlfn.XLOOKUP(D96,'Instructor 360'!$B$6:$B$365,'Instructor 360'!$B$6:$B$365,,1)</f>
        <v>1955.4317548746517</v>
      </c>
      <c r="Q96" s="6">
        <f>_xlfn.XLOOKUP(D96,'Instructor 360'!$B$6:$B$365,'Instructor 360'!$G$6:$G$365,,-1)</f>
        <v>-9.6909805013927439</v>
      </c>
      <c r="R96" s="6">
        <f>_xlfn.XLOOKUP(D96,'Instructor 360'!$B$6:$B$365,'Instructor 360'!$G$6:$G$365,,1)</f>
        <v>-10.322971030640646</v>
      </c>
      <c r="S96" s="6">
        <f t="shared" si="40"/>
        <v>-9.9682648596219394</v>
      </c>
      <c r="T96" s="6">
        <f t="shared" si="41"/>
        <v>-0.17397904251125318</v>
      </c>
      <c r="U96" s="6">
        <f t="shared" si="42"/>
        <v>-5.4004591030506116E-2</v>
      </c>
      <c r="V96" s="6"/>
      <c r="W96" s="6">
        <f t="shared" si="43"/>
        <v>2.9164958523722217E-3</v>
      </c>
      <c r="AA96">
        <f t="shared" si="44"/>
        <v>1956</v>
      </c>
      <c r="AB96">
        <f t="shared" si="45"/>
        <v>-0.2279836335417593</v>
      </c>
      <c r="AC96">
        <f t="shared" si="46"/>
        <v>-0.17397904251125318</v>
      </c>
      <c r="AE96">
        <f t="shared" si="47"/>
        <v>1956</v>
      </c>
      <c r="AF96">
        <f t="shared" si="48"/>
        <v>-13.062500000000002</v>
      </c>
      <c r="AG96">
        <f t="shared" si="49"/>
        <v>-9.9682648596219376</v>
      </c>
    </row>
    <row r="97" spans="1:33" ht="18.95" customHeight="1">
      <c r="A97" s="4">
        <f t="shared" si="50"/>
        <v>785</v>
      </c>
      <c r="B97" s="6">
        <f>INDEX('Raw Data'!$B$6:$B$1371,MATCH(A97,'Raw Data'!$A$6:$A$1371,0))</f>
        <v>16853</v>
      </c>
      <c r="C97" s="6">
        <f t="shared" si="34"/>
        <v>1978</v>
      </c>
      <c r="D97" s="6">
        <f>MOD(C97+Summary!$B$20,Summary!$B$11)</f>
        <v>1972.7416237989592</v>
      </c>
      <c r="E97" s="6">
        <f>_xlfn.XLOOKUP(D97,'Native PMKS'!$C$6:$C$366,'Native PMKS'!$C$6:$C$366,,-1)</f>
        <v>1966.6666666666667</v>
      </c>
      <c r="F97" s="6">
        <f>_xlfn.XLOOKUP(D97,'Native PMKS'!$C$6:$C$366,'Native PMKS'!$C$6:$C$366,,1)</f>
        <v>1975.0000000000002</v>
      </c>
      <c r="G97" s="6">
        <f>_xlfn.XLOOKUP(D97,'Native PMKS'!$C$6:$C$366,'Native PMKS'!$O$6:$O$366,,-1)</f>
        <v>-11.172700000000001</v>
      </c>
      <c r="H97" s="6">
        <f>_xlfn.XLOOKUP(D97,'Native PMKS'!$C$6:$C$366,'Native PMKS'!$O$6:$O$366,,1)</f>
        <v>-11.802899999999999</v>
      </c>
      <c r="I97" s="6">
        <f t="shared" si="35"/>
        <v>-11.632112558172452</v>
      </c>
      <c r="J97" s="6">
        <f>INDEX('Raw Data'!$L$6:$L$1371,MATCH(A97,'Raw Data'!$A$6:$A$1371,0))</f>
        <v>-14.9375</v>
      </c>
      <c r="K97" s="6">
        <f t="shared" si="36"/>
        <v>-0.26070855701665296</v>
      </c>
      <c r="L97" s="6">
        <f t="shared" si="37"/>
        <v>-0.20301866310268971</v>
      </c>
      <c r="M97" s="6">
        <f t="shared" si="38"/>
        <v>-5.7689893913963258E-2</v>
      </c>
      <c r="N97" s="6">
        <f t="shared" si="39"/>
        <v>3.328123859804335E-3</v>
      </c>
      <c r="O97" s="6">
        <f>_xlfn.XLOOKUP(D97,'Instructor 360'!$B$6:$B$365,'Instructor 360'!$B$6:$B$365,,-1)</f>
        <v>1972.1448467966575</v>
      </c>
      <c r="P97" s="6">
        <f>_xlfn.XLOOKUP(D97,'Instructor 360'!$B$6:$B$365,'Instructor 360'!$B$6:$B$365,,1)</f>
        <v>1980.5013927576601</v>
      </c>
      <c r="Q97" s="6">
        <f>_xlfn.XLOOKUP(D97,'Instructor 360'!$B$6:$B$365,'Instructor 360'!$G$6:$G$365,,-1)</f>
        <v>-11.586981894150412</v>
      </c>
      <c r="R97" s="6">
        <f>_xlfn.XLOOKUP(D97,'Instructor 360'!$B$6:$B$365,'Instructor 360'!$G$6:$G$365,,1)</f>
        <v>-12.219003342618368</v>
      </c>
      <c r="S97" s="6">
        <f t="shared" si="40"/>
        <v>-11.632117272710786</v>
      </c>
      <c r="T97" s="6">
        <f t="shared" si="41"/>
        <v>-0.20301874538690637</v>
      </c>
      <c r="U97" s="6">
        <f t="shared" si="42"/>
        <v>-5.7689811629746596E-2</v>
      </c>
      <c r="V97" s="6"/>
      <c r="W97" s="6">
        <f t="shared" si="43"/>
        <v>3.3281143658756454E-3</v>
      </c>
      <c r="AA97">
        <f t="shared" si="44"/>
        <v>1978</v>
      </c>
      <c r="AB97">
        <f t="shared" si="45"/>
        <v>-0.26070855701665296</v>
      </c>
      <c r="AC97">
        <f t="shared" si="46"/>
        <v>-0.20301874538690637</v>
      </c>
      <c r="AE97">
        <f t="shared" si="47"/>
        <v>1978</v>
      </c>
      <c r="AF97">
        <f t="shared" si="48"/>
        <v>-14.937499999999998</v>
      </c>
      <c r="AG97">
        <f t="shared" si="49"/>
        <v>-11.632117272710786</v>
      </c>
    </row>
    <row r="98" spans="1:33" ht="18.95" customHeight="1">
      <c r="A98" s="4">
        <f t="shared" si="50"/>
        <v>786</v>
      </c>
      <c r="B98" s="6">
        <f>INDEX('Raw Data'!$B$6:$B$1371,MATCH(A98,'Raw Data'!$A$6:$A$1371,0))</f>
        <v>16875</v>
      </c>
      <c r="C98" s="6">
        <f t="shared" si="34"/>
        <v>2000</v>
      </c>
      <c r="D98" s="6">
        <f>MOD(C98+Summary!$B$20,Summary!$B$11)</f>
        <v>1994.7416237989592</v>
      </c>
      <c r="E98" s="6">
        <f>_xlfn.XLOOKUP(D98,'Native PMKS'!$C$6:$C$366,'Native PMKS'!$C$6:$C$366,,-1)</f>
        <v>1991.6666666666667</v>
      </c>
      <c r="F98" s="6">
        <f>_xlfn.XLOOKUP(D98,'Native PMKS'!$C$6:$C$366,'Native PMKS'!$C$6:$C$366,,1)</f>
        <v>2000.0000000000002</v>
      </c>
      <c r="G98" s="6">
        <f>_xlfn.XLOOKUP(D98,'Native PMKS'!$C$6:$C$366,'Native PMKS'!$O$6:$O$366,,-1)</f>
        <v>-13.0634</v>
      </c>
      <c r="H98" s="6">
        <f>_xlfn.XLOOKUP(D98,'Native PMKS'!$C$6:$C$366,'Native PMKS'!$O$6:$O$366,,1)</f>
        <v>-13.6937</v>
      </c>
      <c r="I98" s="6">
        <f t="shared" si="35"/>
        <v>-13.295977457658068</v>
      </c>
      <c r="J98" s="6">
        <f>INDEX('Raw Data'!$L$6:$L$1371,MATCH(A98,'Raw Data'!$A$6:$A$1371,0))</f>
        <v>-16.25</v>
      </c>
      <c r="K98" s="6">
        <f t="shared" si="36"/>
        <v>-0.28361600344907856</v>
      </c>
      <c r="L98" s="6">
        <f t="shared" si="37"/>
        <v>-0.23205858390707823</v>
      </c>
      <c r="M98" s="6">
        <f t="shared" si="38"/>
        <v>-5.1557419542000327E-2</v>
      </c>
      <c r="N98" s="6">
        <f t="shared" si="39"/>
        <v>2.6581675098298371E-3</v>
      </c>
      <c r="O98" s="6">
        <f>_xlfn.XLOOKUP(D98,'Instructor 360'!$B$6:$B$365,'Instructor 360'!$B$6:$B$365,,-1)</f>
        <v>1988.857938718663</v>
      </c>
      <c r="P98" s="6">
        <f>_xlfn.XLOOKUP(D98,'Instructor 360'!$B$6:$B$365,'Instructor 360'!$B$6:$B$365,,1)</f>
        <v>1997.2144846796657</v>
      </c>
      <c r="Q98" s="6">
        <f>_xlfn.XLOOKUP(D98,'Instructor 360'!$B$6:$B$365,'Instructor 360'!$G$6:$G$365,,-1)</f>
        <v>-12.850992757660165</v>
      </c>
      <c r="R98" s="6">
        <f>_xlfn.XLOOKUP(D98,'Instructor 360'!$B$6:$B$365,'Instructor 360'!$G$6:$G$365,,1)</f>
        <v>-13.483014763231182</v>
      </c>
      <c r="S98" s="6">
        <f t="shared" si="40"/>
        <v>-13.295987431530278</v>
      </c>
      <c r="T98" s="6">
        <f t="shared" si="41"/>
        <v>-0.23205875798398748</v>
      </c>
      <c r="U98" s="6">
        <f t="shared" si="42"/>
        <v>-5.1557245465091078E-2</v>
      </c>
      <c r="V98" s="6"/>
      <c r="W98" s="6">
        <f t="shared" si="43"/>
        <v>2.6581495599476545E-3</v>
      </c>
      <c r="AA98">
        <f t="shared" si="44"/>
        <v>2000</v>
      </c>
      <c r="AB98">
        <f t="shared" si="45"/>
        <v>-0.28361600344907856</v>
      </c>
      <c r="AC98">
        <f t="shared" si="46"/>
        <v>-0.23205875798398748</v>
      </c>
      <c r="AE98">
        <f t="shared" si="47"/>
        <v>2000</v>
      </c>
      <c r="AF98">
        <f t="shared" si="48"/>
        <v>-16.25</v>
      </c>
      <c r="AG98">
        <f t="shared" si="49"/>
        <v>-13.295987431530278</v>
      </c>
    </row>
    <row r="99" spans="1:33" ht="18.95" customHeight="1">
      <c r="A99" s="4">
        <f t="shared" si="50"/>
        <v>787</v>
      </c>
      <c r="B99" s="6">
        <f>INDEX('Raw Data'!$B$6:$B$1371,MATCH(A99,'Raw Data'!$A$6:$A$1371,0))</f>
        <v>16897</v>
      </c>
      <c r="C99" s="6">
        <f t="shared" si="34"/>
        <v>2022</v>
      </c>
      <c r="D99" s="6">
        <f>MOD(C99+Summary!$B$20,Summary!$B$11)</f>
        <v>2016.7416237989592</v>
      </c>
      <c r="E99" s="6">
        <f>_xlfn.XLOOKUP(D99,'Native PMKS'!$C$6:$C$366,'Native PMKS'!$C$6:$C$366,,-1)</f>
        <v>2016.6666666666667</v>
      </c>
      <c r="F99" s="6">
        <f>_xlfn.XLOOKUP(D99,'Native PMKS'!$C$6:$C$366,'Native PMKS'!$C$6:$C$366,,1)</f>
        <v>2025.0000000000002</v>
      </c>
      <c r="G99" s="6">
        <f>_xlfn.XLOOKUP(D99,'Native PMKS'!$C$6:$C$366,'Native PMKS'!$O$6:$O$366,,-1)</f>
        <v>-14.9542</v>
      </c>
      <c r="H99" s="6">
        <f>_xlfn.XLOOKUP(D99,'Native PMKS'!$C$6:$C$366,'Native PMKS'!$O$6:$O$366,,1)</f>
        <v>-15.527200000000001</v>
      </c>
      <c r="I99" s="6">
        <f t="shared" si="35"/>
        <v>-14.959354052416444</v>
      </c>
      <c r="J99" s="6">
        <f>INDEX('Raw Data'!$L$6:$L$1371,MATCH(A99,'Raw Data'!$A$6:$A$1371,0))</f>
        <v>-18.0625</v>
      </c>
      <c r="K99" s="6">
        <f t="shared" si="36"/>
        <v>-0.31525009614147576</v>
      </c>
      <c r="L99" s="6">
        <f t="shared" si="37"/>
        <v>-0.26108998218622331</v>
      </c>
      <c r="M99" s="6">
        <f t="shared" si="38"/>
        <v>-5.4160113955252442E-2</v>
      </c>
      <c r="N99" s="6">
        <f t="shared" si="39"/>
        <v>2.9333179436459304E-3</v>
      </c>
      <c r="O99" s="6">
        <f>_xlfn.XLOOKUP(D99,'Instructor 360'!$B$6:$B$365,'Instructor 360'!$B$6:$B$365,,-1)</f>
        <v>2013.9275766016713</v>
      </c>
      <c r="P99" s="6">
        <f>_xlfn.XLOOKUP(D99,'Instructor 360'!$B$6:$B$365,'Instructor 360'!$B$6:$B$365,,1)</f>
        <v>2022.2841225626742</v>
      </c>
      <c r="Q99" s="6">
        <f>_xlfn.XLOOKUP(D99,'Instructor 360'!$B$6:$B$365,'Instructor 360'!$G$6:$G$365,,-1)</f>
        <v>-14.747026183844</v>
      </c>
      <c r="R99" s="6">
        <f>_xlfn.XLOOKUP(D99,'Instructor 360'!$B$6:$B$365,'Instructor 360'!$G$6:$G$365,,1)</f>
        <v>-15.340456267409463</v>
      </c>
      <c r="S99" s="6">
        <f t="shared" si="40"/>
        <v>-14.946862368702767</v>
      </c>
      <c r="T99" s="6">
        <f t="shared" si="41"/>
        <v>-0.26087196117630196</v>
      </c>
      <c r="U99" s="6">
        <f t="shared" si="42"/>
        <v>-5.4378134965173797E-2</v>
      </c>
      <c r="V99" s="6"/>
      <c r="W99" s="6">
        <f t="shared" si="43"/>
        <v>2.9569815622906572E-3</v>
      </c>
      <c r="AA99">
        <f t="shared" si="44"/>
        <v>2022</v>
      </c>
      <c r="AB99">
        <f t="shared" si="45"/>
        <v>-0.31525009614147576</v>
      </c>
      <c r="AC99">
        <f t="shared" si="46"/>
        <v>-0.26087196117630196</v>
      </c>
      <c r="AE99">
        <f t="shared" si="47"/>
        <v>2022</v>
      </c>
      <c r="AF99">
        <f t="shared" si="48"/>
        <v>-18.0625</v>
      </c>
      <c r="AG99">
        <f t="shared" si="49"/>
        <v>-14.946862368702771</v>
      </c>
    </row>
    <row r="100" spans="1:33" ht="18.95" customHeight="1">
      <c r="A100" s="4">
        <f t="shared" si="50"/>
        <v>788</v>
      </c>
      <c r="B100" s="6">
        <f>INDEX('Raw Data'!$B$6:$B$1371,MATCH(A100,'Raw Data'!$A$6:$A$1371,0))</f>
        <v>16917</v>
      </c>
      <c r="C100" s="6">
        <f t="shared" si="34"/>
        <v>2042</v>
      </c>
      <c r="D100" s="6">
        <f>MOD(C100+Summary!$B$20,Summary!$B$11)</f>
        <v>2036.7416237989592</v>
      </c>
      <c r="E100" s="6">
        <f>_xlfn.XLOOKUP(D100,'Native PMKS'!$C$6:$C$366,'Native PMKS'!$C$6:$C$366,,-1)</f>
        <v>2033.3333333333335</v>
      </c>
      <c r="F100" s="6">
        <f>_xlfn.XLOOKUP(D100,'Native PMKS'!$C$6:$C$366,'Native PMKS'!$C$6:$C$366,,1)</f>
        <v>2041.6666666666667</v>
      </c>
      <c r="G100" s="6">
        <f>_xlfn.XLOOKUP(D100,'Native PMKS'!$C$6:$C$366,'Native PMKS'!$O$6:$O$366,,-1)</f>
        <v>-16.157399999999999</v>
      </c>
      <c r="H100" s="6">
        <f>_xlfn.XLOOKUP(D100,'Native PMKS'!$C$6:$C$366,'Native PMKS'!$O$6:$O$366,,1)</f>
        <v>-16.787700000000001</v>
      </c>
      <c r="I100" s="6">
        <f t="shared" si="35"/>
        <v>-16.415189457658101</v>
      </c>
      <c r="J100" s="6">
        <f>INDEX('Raw Data'!$L$6:$L$1371,MATCH(A100,'Raw Data'!$A$6:$A$1371,0))</f>
        <v>-19.8125</v>
      </c>
      <c r="K100" s="6">
        <f t="shared" si="36"/>
        <v>-0.34579335805137656</v>
      </c>
      <c r="L100" s="6">
        <f t="shared" si="37"/>
        <v>-0.28649910337479617</v>
      </c>
      <c r="M100" s="6">
        <f t="shared" si="38"/>
        <v>-5.9294254676580394E-2</v>
      </c>
      <c r="N100" s="6">
        <f t="shared" si="39"/>
        <v>3.5158086376511758E-3</v>
      </c>
      <c r="O100" s="6">
        <f>_xlfn.XLOOKUP(D100,'Instructor 360'!$B$6:$B$365,'Instructor 360'!$B$6:$B$365,,-1)</f>
        <v>2030.6406685236768</v>
      </c>
      <c r="P100" s="6">
        <f>_xlfn.XLOOKUP(D100,'Instructor 360'!$B$6:$B$365,'Instructor 360'!$B$6:$B$365,,1)</f>
        <v>2038.9972144846797</v>
      </c>
      <c r="Q100" s="6">
        <f>_xlfn.XLOOKUP(D100,'Instructor 360'!$B$6:$B$365,'Instructor 360'!$G$6:$G$365,,-1)</f>
        <v>-15.953769916434522</v>
      </c>
      <c r="R100" s="6">
        <f>_xlfn.XLOOKUP(D100,'Instructor 360'!$B$6:$B$365,'Instructor 360'!$G$6:$G$365,,1)</f>
        <v>-16.585793314763229</v>
      </c>
      <c r="S100" s="6">
        <f t="shared" si="40"/>
        <v>-16.415198179275365</v>
      </c>
      <c r="T100" s="6">
        <f t="shared" si="41"/>
        <v>-0.28649925559573347</v>
      </c>
      <c r="U100" s="6">
        <f t="shared" si="42"/>
        <v>-5.9294102455643094E-2</v>
      </c>
      <c r="V100" s="6"/>
      <c r="W100" s="6">
        <f t="shared" si="43"/>
        <v>3.5157905860203004E-3</v>
      </c>
      <c r="AA100">
        <f t="shared" si="44"/>
        <v>2042</v>
      </c>
      <c r="AB100">
        <f t="shared" si="45"/>
        <v>-0.34579335805137656</v>
      </c>
      <c r="AC100">
        <f t="shared" si="46"/>
        <v>-0.28649925559573347</v>
      </c>
      <c r="AE100">
        <f t="shared" si="47"/>
        <v>2042</v>
      </c>
      <c r="AF100">
        <f t="shared" si="48"/>
        <v>-19.812500000000004</v>
      </c>
      <c r="AG100">
        <f t="shared" si="49"/>
        <v>-16.415198179275361</v>
      </c>
    </row>
    <row r="101" spans="1:33" ht="18.95" customHeight="1">
      <c r="A101" s="4">
        <f t="shared" si="50"/>
        <v>789</v>
      </c>
      <c r="B101" s="6">
        <f>INDEX('Raw Data'!$B$6:$B$1371,MATCH(A101,'Raw Data'!$A$6:$A$1371,0))</f>
        <v>16938</v>
      </c>
      <c r="C101" s="6">
        <f t="shared" si="34"/>
        <v>2063</v>
      </c>
      <c r="D101" s="6">
        <f>MOD(C101+Summary!$B$20,Summary!$B$11)</f>
        <v>2057.7416237989592</v>
      </c>
      <c r="E101" s="6">
        <f>_xlfn.XLOOKUP(D101,'Native PMKS'!$C$6:$C$366,'Native PMKS'!$C$6:$C$366,,-1)</f>
        <v>2050</v>
      </c>
      <c r="F101" s="6">
        <f>_xlfn.XLOOKUP(D101,'Native PMKS'!$C$6:$C$366,'Native PMKS'!$C$6:$C$366,,1)</f>
        <v>2058.3333333333335</v>
      </c>
      <c r="G101" s="6">
        <f>_xlfn.XLOOKUP(D101,'Native PMKS'!$C$6:$C$366,'Native PMKS'!$O$6:$O$366,,-1)</f>
        <v>-17.417899999999999</v>
      </c>
      <c r="H101" s="6">
        <f>_xlfn.XLOOKUP(D101,'Native PMKS'!$C$6:$C$366,'Native PMKS'!$O$6:$O$366,,1)</f>
        <v>-17.9909</v>
      </c>
      <c r="I101" s="6">
        <f t="shared" si="35"/>
        <v>-17.950214052416413</v>
      </c>
      <c r="J101" s="6">
        <f>INDEX('Raw Data'!$L$6:$L$1371,MATCH(A101,'Raw Data'!$A$6:$A$1371,0))</f>
        <v>-22.3125</v>
      </c>
      <c r="K101" s="6">
        <f t="shared" si="36"/>
        <v>-0.38942658935123475</v>
      </c>
      <c r="L101" s="6">
        <f t="shared" si="37"/>
        <v>-0.3132903366524204</v>
      </c>
      <c r="M101" s="6">
        <f t="shared" si="38"/>
        <v>-7.6136252698814355E-2</v>
      </c>
      <c r="N101" s="6">
        <f t="shared" si="39"/>
        <v>5.796728975017716E-3</v>
      </c>
      <c r="O101" s="6">
        <f>_xlfn.XLOOKUP(D101,'Instructor 360'!$B$6:$B$365,'Instructor 360'!$B$6:$B$365,,-1)</f>
        <v>2055.710306406685</v>
      </c>
      <c r="P101" s="6">
        <f>_xlfn.XLOOKUP(D101,'Instructor 360'!$B$6:$B$365,'Instructor 360'!$B$6:$B$365,,1)</f>
        <v>2064.0668523676882</v>
      </c>
      <c r="Q101" s="6">
        <f>_xlfn.XLOOKUP(D101,'Instructor 360'!$B$6:$B$365,'Instructor 360'!$G$6:$G$365,,-1)</f>
        <v>-17.810540668523657</v>
      </c>
      <c r="R101" s="6">
        <f>_xlfn.XLOOKUP(D101,'Instructor 360'!$B$6:$B$365,'Instructor 360'!$G$6:$G$365,,1)</f>
        <v>-18.424491643454029</v>
      </c>
      <c r="S101" s="6">
        <f t="shared" si="40"/>
        <v>-17.959780473964742</v>
      </c>
      <c r="T101" s="6">
        <f t="shared" si="41"/>
        <v>-0.31345730220607249</v>
      </c>
      <c r="U101" s="6">
        <f t="shared" si="42"/>
        <v>-7.5969287145162268E-2</v>
      </c>
      <c r="V101" s="6"/>
      <c r="W101" s="6">
        <f t="shared" si="43"/>
        <v>5.7713325893441166E-3</v>
      </c>
      <c r="AA101">
        <f t="shared" si="44"/>
        <v>2063</v>
      </c>
      <c r="AB101">
        <f t="shared" si="45"/>
        <v>-0.38942658935123475</v>
      </c>
      <c r="AC101">
        <f t="shared" si="46"/>
        <v>-0.31345730220607249</v>
      </c>
      <c r="AE101">
        <f t="shared" si="47"/>
        <v>2063</v>
      </c>
      <c r="AF101">
        <f t="shared" si="48"/>
        <v>-22.3125</v>
      </c>
      <c r="AG101">
        <f t="shared" si="49"/>
        <v>-17.959780473964742</v>
      </c>
    </row>
    <row r="102" spans="1:33" ht="18.95" customHeight="1">
      <c r="A102" s="4">
        <f t="shared" si="50"/>
        <v>790</v>
      </c>
      <c r="B102" s="6">
        <f>INDEX('Raw Data'!$B$6:$B$1371,MATCH(A102,'Raw Data'!$A$6:$A$1371,0))</f>
        <v>16959</v>
      </c>
      <c r="C102" s="6">
        <f t="shared" ref="C102:C133" si="51">B102-$B$6</f>
        <v>2084</v>
      </c>
      <c r="D102" s="6">
        <f>MOD(C102+Summary!$B$20,Summary!$B$11)</f>
        <v>2078.7416237989592</v>
      </c>
      <c r="E102" s="6">
        <f>_xlfn.XLOOKUP(D102,'Native PMKS'!$C$6:$C$366,'Native PMKS'!$C$6:$C$366,,-1)</f>
        <v>2075</v>
      </c>
      <c r="F102" s="6">
        <f>_xlfn.XLOOKUP(D102,'Native PMKS'!$C$6:$C$366,'Native PMKS'!$C$6:$C$366,,1)</f>
        <v>2083.3333333333335</v>
      </c>
      <c r="G102" s="6">
        <f>_xlfn.XLOOKUP(D102,'Native PMKS'!$C$6:$C$366,'Native PMKS'!$O$6:$O$366,,-1)</f>
        <v>-19.2514</v>
      </c>
      <c r="H102" s="6">
        <f>_xlfn.XLOOKUP(D102,'Native PMKS'!$C$6:$C$366,'Native PMKS'!$O$6:$O$366,,1)</f>
        <v>-19.824300000000001</v>
      </c>
      <c r="I102" s="6">
        <f t="shared" ref="I102:I133" si="52">IF(E102=F102,G102,_xlfn.FORECAST.LINEAR(D102,G102:H102,E102:F102))</f>
        <v>-19.508629152930808</v>
      </c>
      <c r="J102" s="6">
        <f>INDEX('Raw Data'!$L$6:$L$1371,MATCH(A102,'Raw Data'!$A$6:$A$1371,0))</f>
        <v>-23.125</v>
      </c>
      <c r="K102" s="6">
        <f t="shared" ref="K102:K133" si="53">J102*1*PI()/180</f>
        <v>-0.40360738952368869</v>
      </c>
      <c r="L102" s="6">
        <f t="shared" ref="L102:L133" si="54">I102*PI()/180</f>
        <v>-0.34048981126919498</v>
      </c>
      <c r="M102" s="6">
        <f t="shared" ref="M102:M133" si="55">K102-L102</f>
        <v>-6.3117578254493711E-2</v>
      </c>
      <c r="N102" s="6">
        <f t="shared" ref="N102:N133" si="56">M102^2</f>
        <v>3.9838286847121377E-3</v>
      </c>
      <c r="O102" s="6">
        <f>_xlfn.XLOOKUP(D102,'Instructor 360'!$B$6:$B$365,'Instructor 360'!$B$6:$B$365,,-1)</f>
        <v>2072.4233983286908</v>
      </c>
      <c r="P102" s="6">
        <f>_xlfn.XLOOKUP(D102,'Instructor 360'!$B$6:$B$365,'Instructor 360'!$B$6:$B$365,,1)</f>
        <v>2080.7799442896935</v>
      </c>
      <c r="Q102" s="6">
        <f>_xlfn.XLOOKUP(D102,'Instructor 360'!$B$6:$B$365,'Instructor 360'!$G$6:$G$365,,-1)</f>
        <v>-19.056516155988852</v>
      </c>
      <c r="R102" s="6">
        <f>_xlfn.XLOOKUP(D102,'Instructor 360'!$B$6:$B$365,'Instructor 360'!$G$6:$G$365,,1)</f>
        <v>-19.648759610027842</v>
      </c>
      <c r="S102" s="6">
        <f t="shared" ref="S102:S133" si="57">IF(O102=P102,Q102,_xlfn.FORECAST.LINEAR(D102,Q102:R102,O102:P102))</f>
        <v>-19.504300167872628</v>
      </c>
      <c r="T102" s="6">
        <f t="shared" ref="T102:T133" si="58">S102*PI()/180</f>
        <v>-0.34041425622666011</v>
      </c>
      <c r="U102" s="6">
        <f t="shared" ref="U102:U133" si="59">K102-T102</f>
        <v>-6.3193133297028581E-2</v>
      </c>
      <c r="V102" s="6"/>
      <c r="W102" s="6">
        <f t="shared" ref="W102:W133" si="60">U102^2</f>
        <v>3.9933720958960223E-3</v>
      </c>
      <c r="AA102">
        <f t="shared" ref="AA102:AA133" si="61">C102</f>
        <v>2084</v>
      </c>
      <c r="AB102">
        <f t="shared" ref="AB102:AB133" si="62">K102</f>
        <v>-0.40360738952368869</v>
      </c>
      <c r="AC102">
        <f t="shared" ref="AC102:AC133" si="63">T102</f>
        <v>-0.34041425622666011</v>
      </c>
      <c r="AE102">
        <f t="shared" ref="AE102:AE133" si="64">C102</f>
        <v>2084</v>
      </c>
      <c r="AF102">
        <f t="shared" ref="AF102:AF133" si="65">K102*180/PI()</f>
        <v>-23.125</v>
      </c>
      <c r="AG102">
        <f t="shared" ref="AG102:AG133" si="66">T102*180/PI()</f>
        <v>-19.504300167872628</v>
      </c>
    </row>
    <row r="103" spans="1:33" ht="18.95" customHeight="1">
      <c r="A103" s="4">
        <f t="shared" ref="A103:A134" si="67">A102+1</f>
        <v>791</v>
      </c>
      <c r="B103" s="6">
        <f>INDEX('Raw Data'!$B$6:$B$1371,MATCH(A103,'Raw Data'!$A$6:$A$1371,0))</f>
        <v>16998</v>
      </c>
      <c r="C103" s="6">
        <f t="shared" si="51"/>
        <v>2123</v>
      </c>
      <c r="D103" s="6">
        <f>MOD(C103+Summary!$B$20,Summary!$B$11)</f>
        <v>2117.7416237989592</v>
      </c>
      <c r="E103" s="6">
        <f>_xlfn.XLOOKUP(D103,'Native PMKS'!$C$6:$C$366,'Native PMKS'!$C$6:$C$366,,-1)</f>
        <v>2116.666666666667</v>
      </c>
      <c r="F103" s="6">
        <f>_xlfn.XLOOKUP(D103,'Native PMKS'!$C$6:$C$366,'Native PMKS'!$C$6:$C$366,,1)</f>
        <v>2125</v>
      </c>
      <c r="G103" s="6">
        <f>_xlfn.XLOOKUP(D103,'Native PMKS'!$C$6:$C$366,'Native PMKS'!$O$6:$O$366,,-1)</f>
        <v>-22.2881</v>
      </c>
      <c r="H103" s="6">
        <f>_xlfn.XLOOKUP(D103,'Native PMKS'!$C$6:$C$366,'Native PMKS'!$O$6:$O$366,,1)</f>
        <v>-22.918299999999999</v>
      </c>
      <c r="I103" s="6">
        <f t="shared" si="52"/>
        <v>-22.369392558172478</v>
      </c>
      <c r="J103" s="6">
        <f>INDEX('Raw Data'!$L$6:$L$1371,MATCH(A103,'Raw Data'!$A$6:$A$1371,0))</f>
        <v>-26.4375</v>
      </c>
      <c r="K103" s="6">
        <f t="shared" si="53"/>
        <v>-0.46142142099600086</v>
      </c>
      <c r="L103" s="6">
        <f t="shared" si="54"/>
        <v>-0.39041955181122689</v>
      </c>
      <c r="M103" s="6">
        <f t="shared" si="55"/>
        <v>-7.1001869184773969E-2</v>
      </c>
      <c r="N103" s="6">
        <f t="shared" si="56"/>
        <v>5.041265427731755E-3</v>
      </c>
      <c r="O103" s="6">
        <f>_xlfn.XLOOKUP(D103,'Instructor 360'!$B$6:$B$365,'Instructor 360'!$B$6:$B$365,,-1)</f>
        <v>2114.2061281337046</v>
      </c>
      <c r="P103" s="6">
        <f>_xlfn.XLOOKUP(D103,'Instructor 360'!$B$6:$B$365,'Instructor 360'!$B$6:$B$365,,1)</f>
        <v>2122.5626740947073</v>
      </c>
      <c r="Q103" s="6">
        <f>_xlfn.XLOOKUP(D103,'Instructor 360'!$B$6:$B$365,'Instructor 360'!$G$6:$G$365,,-1)</f>
        <v>-22.101994707520863</v>
      </c>
      <c r="R103" s="6">
        <f>_xlfn.XLOOKUP(D103,'Instructor 360'!$B$6:$B$365,'Instructor 360'!$G$6:$G$365,,1)</f>
        <v>-22.733979665738136</v>
      </c>
      <c r="S103" s="6">
        <f t="shared" si="57"/>
        <v>-22.36937552379473</v>
      </c>
      <c r="T103" s="6">
        <f t="shared" si="58"/>
        <v>-0.39041925450524917</v>
      </c>
      <c r="U103" s="6">
        <f t="shared" si="59"/>
        <v>-7.1002166490751695E-2</v>
      </c>
      <c r="V103" s="6"/>
      <c r="W103" s="6">
        <f t="shared" si="60"/>
        <v>5.0413076463804232E-3</v>
      </c>
      <c r="AA103">
        <f t="shared" si="61"/>
        <v>2123</v>
      </c>
      <c r="AB103">
        <f t="shared" si="62"/>
        <v>-0.46142142099600086</v>
      </c>
      <c r="AC103">
        <f t="shared" si="63"/>
        <v>-0.39041925450524917</v>
      </c>
      <c r="AE103">
        <f t="shared" si="64"/>
        <v>2123</v>
      </c>
      <c r="AF103">
        <f t="shared" si="65"/>
        <v>-26.4375</v>
      </c>
      <c r="AG103">
        <f t="shared" si="66"/>
        <v>-22.36937552379473</v>
      </c>
    </row>
    <row r="104" spans="1:33" ht="18.95" customHeight="1">
      <c r="A104" s="4">
        <f t="shared" si="67"/>
        <v>792</v>
      </c>
      <c r="B104" s="6">
        <f>INDEX('Raw Data'!$B$6:$B$1371,MATCH(A104,'Raw Data'!$A$6:$A$1371,0))</f>
        <v>17018</v>
      </c>
      <c r="C104" s="6">
        <f t="shared" si="51"/>
        <v>2143</v>
      </c>
      <c r="D104" s="6">
        <f>MOD(C104+Summary!$B$20,Summary!$B$11)</f>
        <v>2137.7416237989592</v>
      </c>
      <c r="E104" s="6">
        <f>_xlfn.XLOOKUP(D104,'Native PMKS'!$C$6:$C$366,'Native PMKS'!$C$6:$C$366,,-1)</f>
        <v>2133.3333333333335</v>
      </c>
      <c r="F104" s="6">
        <f>_xlfn.XLOOKUP(D104,'Native PMKS'!$C$6:$C$366,'Native PMKS'!$C$6:$C$366,,1)</f>
        <v>2141.666666666667</v>
      </c>
      <c r="G104" s="6">
        <f>_xlfn.XLOOKUP(D104,'Native PMKS'!$C$6:$C$366,'Native PMKS'!$O$6:$O$366,,-1)</f>
        <v>-23.5486</v>
      </c>
      <c r="H104" s="6">
        <f>_xlfn.XLOOKUP(D104,'Native PMKS'!$C$6:$C$366,'Native PMKS'!$O$6:$O$366,,1)</f>
        <v>-24.178799999999999</v>
      </c>
      <c r="I104" s="6">
        <f t="shared" si="52"/>
        <v>-23.881972558172492</v>
      </c>
      <c r="J104" s="6">
        <f>INDEX('Raw Data'!$L$6:$L$1371,MATCH(A104,'Raw Data'!$A$6:$A$1371,0))</f>
        <v>-27</v>
      </c>
      <c r="K104" s="6">
        <f t="shared" si="53"/>
        <v>-0.47123889803846897</v>
      </c>
      <c r="L104" s="6">
        <f t="shared" si="54"/>
        <v>-0.41681905301104299</v>
      </c>
      <c r="M104" s="6">
        <f t="shared" si="55"/>
        <v>-5.4419845027425973E-2</v>
      </c>
      <c r="N104" s="6">
        <f t="shared" si="56"/>
        <v>2.9615195328090592E-3</v>
      </c>
      <c r="O104" s="6">
        <f>_xlfn.XLOOKUP(D104,'Instructor 360'!$B$6:$B$365,'Instructor 360'!$B$6:$B$365,,-1)</f>
        <v>2130.9192200557104</v>
      </c>
      <c r="P104" s="6">
        <f>_xlfn.XLOOKUP(D104,'Instructor 360'!$B$6:$B$365,'Instructor 360'!$B$6:$B$365,,1)</f>
        <v>2139.2757660167131</v>
      </c>
      <c r="Q104" s="6">
        <f>_xlfn.XLOOKUP(D104,'Instructor 360'!$B$6:$B$365,'Instructor 360'!$G$6:$G$365,,-1)</f>
        <v>-23.366006128133705</v>
      </c>
      <c r="R104" s="6">
        <f>_xlfn.XLOOKUP(D104,'Instructor 360'!$B$6:$B$365,'Instructor 360'!$G$6:$G$365,,1)</f>
        <v>-23.99799052924789</v>
      </c>
      <c r="S104" s="6">
        <f t="shared" si="57"/>
        <v>-23.881967239812809</v>
      </c>
      <c r="T104" s="6">
        <f t="shared" si="58"/>
        <v>-0.41681896018815573</v>
      </c>
      <c r="U104" s="6">
        <f t="shared" si="59"/>
        <v>-5.4419937850313238E-2</v>
      </c>
      <c r="V104" s="6"/>
      <c r="W104" s="6">
        <f t="shared" si="60"/>
        <v>2.9615296356319556E-3</v>
      </c>
      <c r="AA104">
        <f t="shared" si="61"/>
        <v>2143</v>
      </c>
      <c r="AB104">
        <f t="shared" si="62"/>
        <v>-0.47123889803846897</v>
      </c>
      <c r="AC104">
        <f t="shared" si="63"/>
        <v>-0.41681896018815573</v>
      </c>
      <c r="AE104">
        <f t="shared" si="64"/>
        <v>2143</v>
      </c>
      <c r="AF104">
        <f t="shared" si="65"/>
        <v>-27</v>
      </c>
      <c r="AG104">
        <f t="shared" si="66"/>
        <v>-23.881967239812809</v>
      </c>
    </row>
    <row r="105" spans="1:33" ht="18.95" customHeight="1">
      <c r="A105" s="4">
        <f t="shared" si="67"/>
        <v>793</v>
      </c>
      <c r="B105" s="6">
        <f>INDEX('Raw Data'!$B$6:$B$1371,MATCH(A105,'Raw Data'!$A$6:$A$1371,0))</f>
        <v>17038</v>
      </c>
      <c r="C105" s="6">
        <f t="shared" si="51"/>
        <v>2163</v>
      </c>
      <c r="D105" s="6">
        <f>MOD(C105+Summary!$B$20,Summary!$B$11)</f>
        <v>2157.7416237989592</v>
      </c>
      <c r="E105" s="6">
        <f>_xlfn.XLOOKUP(D105,'Native PMKS'!$C$6:$C$366,'Native PMKS'!$C$6:$C$366,,-1)</f>
        <v>2150</v>
      </c>
      <c r="F105" s="6">
        <f>_xlfn.XLOOKUP(D105,'Native PMKS'!$C$6:$C$366,'Native PMKS'!$C$6:$C$366,,1)</f>
        <v>2158.3333333333335</v>
      </c>
      <c r="G105" s="6">
        <f>_xlfn.XLOOKUP(D105,'Native PMKS'!$C$6:$C$366,'Native PMKS'!$O$6:$O$366,,-1)</f>
        <v>-24.751799999999999</v>
      </c>
      <c r="H105" s="6">
        <f>_xlfn.XLOOKUP(D105,'Native PMKS'!$C$6:$C$366,'Native PMKS'!$O$6:$O$366,,1)</f>
        <v>-25.382000000000001</v>
      </c>
      <c r="I105" s="6">
        <f t="shared" si="52"/>
        <v>-25.33725255817248</v>
      </c>
      <c r="J105" s="6">
        <f>INDEX('Raw Data'!$L$6:$L$1371,MATCH(A105,'Raw Data'!$A$6:$A$1371,0))</f>
        <v>-29.75</v>
      </c>
      <c r="K105" s="6">
        <f t="shared" si="53"/>
        <v>-0.51923545246831304</v>
      </c>
      <c r="L105" s="6">
        <f t="shared" si="54"/>
        <v>-0.44221848054946583</v>
      </c>
      <c r="M105" s="6">
        <f t="shared" si="55"/>
        <v>-7.701697191884721E-2</v>
      </c>
      <c r="N105" s="6">
        <f t="shared" si="56"/>
        <v>5.9316139635484993E-3</v>
      </c>
      <c r="O105" s="6">
        <f>_xlfn.XLOOKUP(D105,'Instructor 360'!$B$6:$B$365,'Instructor 360'!$B$6:$B$365,,-1)</f>
        <v>2155.9888579387189</v>
      </c>
      <c r="P105" s="6">
        <f>_xlfn.XLOOKUP(D105,'Instructor 360'!$B$6:$B$365,'Instructor 360'!$B$6:$B$365,,1)</f>
        <v>2164.3454038997215</v>
      </c>
      <c r="Q105" s="6">
        <f>_xlfn.XLOOKUP(D105,'Instructor 360'!$B$6:$B$365,'Instructor 360'!$G$6:$G$365,,-1)</f>
        <v>-25.204701392757666</v>
      </c>
      <c r="R105" s="6">
        <f>_xlfn.XLOOKUP(D105,'Instructor 360'!$B$6:$B$365,'Instructor 360'!$G$6:$G$365,,1)</f>
        <v>-25.836728969359317</v>
      </c>
      <c r="S105" s="6">
        <f t="shared" si="57"/>
        <v>-25.337267690384436</v>
      </c>
      <c r="T105" s="6">
        <f t="shared" si="58"/>
        <v>-0.44221874465638766</v>
      </c>
      <c r="U105" s="6">
        <f t="shared" si="59"/>
        <v>-7.7016707811925378E-2</v>
      </c>
      <c r="V105" s="6"/>
      <c r="W105" s="6">
        <f t="shared" si="60"/>
        <v>5.9315732821874877E-3</v>
      </c>
      <c r="AA105">
        <f t="shared" si="61"/>
        <v>2163</v>
      </c>
      <c r="AB105">
        <f t="shared" si="62"/>
        <v>-0.51923545246831304</v>
      </c>
      <c r="AC105">
        <f t="shared" si="63"/>
        <v>-0.44221874465638766</v>
      </c>
      <c r="AE105">
        <f t="shared" si="64"/>
        <v>2163</v>
      </c>
      <c r="AF105">
        <f t="shared" si="65"/>
        <v>-29.75</v>
      </c>
      <c r="AG105">
        <f t="shared" si="66"/>
        <v>-25.337267690384436</v>
      </c>
    </row>
    <row r="106" spans="1:33" ht="18.95" customHeight="1">
      <c r="A106" s="4">
        <f t="shared" si="67"/>
        <v>794</v>
      </c>
      <c r="B106" s="6">
        <f>INDEX('Raw Data'!$B$6:$B$1371,MATCH(A106,'Raw Data'!$A$6:$A$1371,0))</f>
        <v>17059</v>
      </c>
      <c r="C106" s="6">
        <f t="shared" si="51"/>
        <v>2184</v>
      </c>
      <c r="D106" s="6">
        <f>MOD(C106+Summary!$B$20,Summary!$B$11)</f>
        <v>2178.7416237989592</v>
      </c>
      <c r="E106" s="6">
        <f>_xlfn.XLOOKUP(D106,'Native PMKS'!$C$6:$C$366,'Native PMKS'!$C$6:$C$366,,-1)</f>
        <v>2175</v>
      </c>
      <c r="F106" s="6">
        <f>_xlfn.XLOOKUP(D106,'Native PMKS'!$C$6:$C$366,'Native PMKS'!$C$6:$C$366,,1)</f>
        <v>2183.3333333333335</v>
      </c>
      <c r="G106" s="6">
        <f>_xlfn.XLOOKUP(D106,'Native PMKS'!$C$6:$C$366,'Native PMKS'!$O$6:$O$366,,-1)</f>
        <v>-26.642499999999998</v>
      </c>
      <c r="H106" s="6">
        <f>_xlfn.XLOOKUP(D106,'Native PMKS'!$C$6:$C$366,'Native PMKS'!$O$6:$O$366,,1)</f>
        <v>-27.2728</v>
      </c>
      <c r="I106" s="6">
        <f t="shared" si="52"/>
        <v>-26.925501457658044</v>
      </c>
      <c r="J106" s="6">
        <f>INDEX('Raw Data'!$L$6:$L$1371,MATCH(A106,'Raw Data'!$A$6:$A$1371,0))</f>
        <v>-30.4375</v>
      </c>
      <c r="K106" s="6">
        <f t="shared" si="53"/>
        <v>-0.53123459107577398</v>
      </c>
      <c r="L106" s="6">
        <f t="shared" si="54"/>
        <v>-0.46993865318666539</v>
      </c>
      <c r="M106" s="6">
        <f t="shared" si="55"/>
        <v>-6.1295937889108587E-2</v>
      </c>
      <c r="N106" s="6">
        <f t="shared" si="56"/>
        <v>3.7571920017054577E-3</v>
      </c>
      <c r="O106" s="6">
        <f>_xlfn.XLOOKUP(D106,'Instructor 360'!$B$6:$B$365,'Instructor 360'!$B$6:$B$365,,-1)</f>
        <v>2172.7019498607242</v>
      </c>
      <c r="P106" s="6">
        <f>_xlfn.XLOOKUP(D106,'Instructor 360'!$B$6:$B$365,'Instructor 360'!$B$6:$B$365,,1)</f>
        <v>2181.0584958217269</v>
      </c>
      <c r="Q106" s="6">
        <f>_xlfn.XLOOKUP(D106,'Instructor 360'!$B$6:$B$365,'Instructor 360'!$G$6:$G$365,,-1)</f>
        <v>-26.468712256267398</v>
      </c>
      <c r="R106" s="6">
        <f>_xlfn.XLOOKUP(D106,'Instructor 360'!$B$6:$B$365,'Instructor 360'!$G$6:$G$365,,1)</f>
        <v>-27.100740389972124</v>
      </c>
      <c r="S106" s="6">
        <f t="shared" si="57"/>
        <v>-26.92550910333577</v>
      </c>
      <c r="T106" s="6">
        <f t="shared" si="58"/>
        <v>-0.46993878662891525</v>
      </c>
      <c r="U106" s="6">
        <f t="shared" si="59"/>
        <v>-6.1295804446858726E-2</v>
      </c>
      <c r="V106" s="6"/>
      <c r="W106" s="6">
        <f t="shared" si="60"/>
        <v>3.757175642787546E-3</v>
      </c>
      <c r="AA106">
        <f t="shared" si="61"/>
        <v>2184</v>
      </c>
      <c r="AB106">
        <f t="shared" si="62"/>
        <v>-0.53123459107577398</v>
      </c>
      <c r="AC106">
        <f t="shared" si="63"/>
        <v>-0.46993878662891525</v>
      </c>
      <c r="AE106">
        <f t="shared" si="64"/>
        <v>2184</v>
      </c>
      <c r="AF106">
        <f t="shared" si="65"/>
        <v>-30.437499999999993</v>
      </c>
      <c r="AG106">
        <f t="shared" si="66"/>
        <v>-26.92550910333577</v>
      </c>
    </row>
    <row r="107" spans="1:33" ht="18.95" customHeight="1">
      <c r="A107" s="4">
        <f t="shared" si="67"/>
        <v>795</v>
      </c>
      <c r="B107" s="6">
        <f>INDEX('Raw Data'!$B$6:$B$1371,MATCH(A107,'Raw Data'!$A$6:$A$1371,0))</f>
        <v>17080</v>
      </c>
      <c r="C107" s="6">
        <f t="shared" si="51"/>
        <v>2205</v>
      </c>
      <c r="D107" s="6">
        <f>MOD(C107+Summary!$B$20,Summary!$B$11)</f>
        <v>2199.7416237989592</v>
      </c>
      <c r="E107" s="6">
        <f>_xlfn.XLOOKUP(D107,'Native PMKS'!$C$6:$C$366,'Native PMKS'!$C$6:$C$366,,-1)</f>
        <v>2191.666666666667</v>
      </c>
      <c r="F107" s="6">
        <f>_xlfn.XLOOKUP(D107,'Native PMKS'!$C$6:$C$366,'Native PMKS'!$C$6:$C$366,,1)</f>
        <v>2200</v>
      </c>
      <c r="G107" s="6">
        <f>_xlfn.XLOOKUP(D107,'Native PMKS'!$C$6:$C$366,'Native PMKS'!$O$6:$O$366,,-1)</f>
        <v>-27.902999999999999</v>
      </c>
      <c r="H107" s="6">
        <f>_xlfn.XLOOKUP(D107,'Native PMKS'!$C$6:$C$366,'Native PMKS'!$O$6:$O$366,,1)</f>
        <v>-28.533300000000001</v>
      </c>
      <c r="I107" s="6">
        <f t="shared" si="52"/>
        <v>-28.513757457658073</v>
      </c>
      <c r="J107" s="6">
        <f>INDEX('Raw Data'!$L$6:$L$1371,MATCH(A107,'Raw Data'!$A$6:$A$1371,0))</f>
        <v>-33.25</v>
      </c>
      <c r="K107" s="6">
        <f t="shared" si="53"/>
        <v>-0.58032197628811455</v>
      </c>
      <c r="L107" s="6">
        <f t="shared" si="54"/>
        <v>-0.49765894975122094</v>
      </c>
      <c r="M107" s="6">
        <f t="shared" si="55"/>
        <v>-8.2663026536893613E-2</v>
      </c>
      <c r="N107" s="6">
        <f t="shared" si="56"/>
        <v>6.8331759562391776E-3</v>
      </c>
      <c r="O107" s="6">
        <f>_xlfn.XLOOKUP(D107,'Instructor 360'!$B$6:$B$365,'Instructor 360'!$B$6:$B$365,,-1)</f>
        <v>2197.7715877437327</v>
      </c>
      <c r="P107" s="6">
        <f>_xlfn.XLOOKUP(D107,'Instructor 360'!$B$6:$B$365,'Instructor 360'!$B$6:$B$365,,1)</f>
        <v>2206.1281337047353</v>
      </c>
      <c r="Q107" s="6">
        <f>_xlfn.XLOOKUP(D107,'Instructor 360'!$B$6:$B$365,'Instructor 360'!$G$6:$G$365,,-1)</f>
        <v>-28.364751810584956</v>
      </c>
      <c r="R107" s="6">
        <f>_xlfn.XLOOKUP(D107,'Instructor 360'!$B$6:$B$365,'Instructor 360'!$G$6:$G$365,,1)</f>
        <v>-29.038871030640657</v>
      </c>
      <c r="S107" s="6">
        <f t="shared" si="57"/>
        <v>-28.523673831145686</v>
      </c>
      <c r="T107" s="6">
        <f t="shared" si="58"/>
        <v>-0.49783202311843733</v>
      </c>
      <c r="U107" s="6">
        <f t="shared" si="59"/>
        <v>-8.2489953169677221E-2</v>
      </c>
      <c r="V107" s="6"/>
      <c r="W107" s="6">
        <f t="shared" si="60"/>
        <v>6.8045923739355413E-3</v>
      </c>
      <c r="AA107">
        <f t="shared" si="61"/>
        <v>2205</v>
      </c>
      <c r="AB107">
        <f t="shared" si="62"/>
        <v>-0.58032197628811455</v>
      </c>
      <c r="AC107">
        <f t="shared" si="63"/>
        <v>-0.49783202311843733</v>
      </c>
      <c r="AE107">
        <f t="shared" si="64"/>
        <v>2205</v>
      </c>
      <c r="AF107">
        <f t="shared" si="65"/>
        <v>-33.25</v>
      </c>
      <c r="AG107">
        <f t="shared" si="66"/>
        <v>-28.52367383114569</v>
      </c>
    </row>
    <row r="108" spans="1:33" ht="18.95" customHeight="1">
      <c r="A108" s="4">
        <f t="shared" si="67"/>
        <v>796</v>
      </c>
      <c r="B108" s="6">
        <f>INDEX('Raw Data'!$B$6:$B$1371,MATCH(A108,'Raw Data'!$A$6:$A$1371,0))</f>
        <v>17102</v>
      </c>
      <c r="C108" s="6">
        <f t="shared" si="51"/>
        <v>2227</v>
      </c>
      <c r="D108" s="6">
        <f>MOD(C108+Summary!$B$20,Summary!$B$11)</f>
        <v>2221.7416237989592</v>
      </c>
      <c r="E108" s="6">
        <f>_xlfn.XLOOKUP(D108,'Native PMKS'!$C$6:$C$366,'Native PMKS'!$C$6:$C$366,,-1)</f>
        <v>2216.666666666667</v>
      </c>
      <c r="F108" s="6">
        <f>_xlfn.XLOOKUP(D108,'Native PMKS'!$C$6:$C$366,'Native PMKS'!$C$6:$C$366,,1)</f>
        <v>2225</v>
      </c>
      <c r="G108" s="6">
        <f>_xlfn.XLOOKUP(D108,'Native PMKS'!$C$6:$C$366,'Native PMKS'!$O$6:$O$366,,-1)</f>
        <v>-29.851099999999999</v>
      </c>
      <c r="H108" s="6">
        <f>_xlfn.XLOOKUP(D108,'Native PMKS'!$C$6:$C$366,'Native PMKS'!$O$6:$O$366,,1)</f>
        <v>-30.481400000000001</v>
      </c>
      <c r="I108" s="6">
        <f t="shared" si="52"/>
        <v>-30.234949457658047</v>
      </c>
      <c r="J108" s="6">
        <f>INDEX('Raw Data'!$L$6:$L$1371,MATCH(A108,'Raw Data'!$A$6:$A$1371,0))</f>
        <v>-34</v>
      </c>
      <c r="K108" s="6">
        <f t="shared" si="53"/>
        <v>-0.59341194567807209</v>
      </c>
      <c r="L108" s="6">
        <f t="shared" si="54"/>
        <v>-0.52769941721020674</v>
      </c>
      <c r="M108" s="6">
        <f t="shared" si="55"/>
        <v>-6.571252846786535E-2</v>
      </c>
      <c r="N108" s="6">
        <f t="shared" si="56"/>
        <v>4.318136397640014E-3</v>
      </c>
      <c r="O108" s="6">
        <f>_xlfn.XLOOKUP(D108,'Instructor 360'!$B$6:$B$365,'Instructor 360'!$B$6:$B$365,,-1)</f>
        <v>2214.484679665738</v>
      </c>
      <c r="P108" s="6">
        <f>_xlfn.XLOOKUP(D108,'Instructor 360'!$B$6:$B$365,'Instructor 360'!$B$6:$B$365,,1)</f>
        <v>2222.8412256267411</v>
      </c>
      <c r="Q108" s="6">
        <f>_xlfn.XLOOKUP(D108,'Instructor 360'!$B$6:$B$365,'Instructor 360'!$G$6:$G$365,,-1)</f>
        <v>-29.686063231197739</v>
      </c>
      <c r="R108" s="6">
        <f>_xlfn.XLOOKUP(D108,'Instructor 360'!$B$6:$B$365,'Instructor 360'!$G$6:$G$365,,1)</f>
        <v>-30.318118941504185</v>
      </c>
      <c r="S108" s="6">
        <f t="shared" si="57"/>
        <v>-30.234949457658075</v>
      </c>
      <c r="T108" s="6">
        <f t="shared" si="58"/>
        <v>-0.5276994172102073</v>
      </c>
      <c r="U108" s="6">
        <f t="shared" si="59"/>
        <v>-6.5712528467864795E-2</v>
      </c>
      <c r="V108" s="6"/>
      <c r="W108" s="6">
        <f t="shared" si="60"/>
        <v>4.3181363976399411E-3</v>
      </c>
      <c r="AA108">
        <f t="shared" si="61"/>
        <v>2227</v>
      </c>
      <c r="AB108">
        <f t="shared" si="62"/>
        <v>-0.59341194567807209</v>
      </c>
      <c r="AC108">
        <f t="shared" si="63"/>
        <v>-0.5276994172102073</v>
      </c>
      <c r="AE108">
        <f t="shared" si="64"/>
        <v>2227</v>
      </c>
      <c r="AF108">
        <f t="shared" si="65"/>
        <v>-34</v>
      </c>
      <c r="AG108">
        <f t="shared" si="66"/>
        <v>-30.234949457658075</v>
      </c>
    </row>
    <row r="109" spans="1:33" ht="18.95" customHeight="1">
      <c r="A109" s="4">
        <f t="shared" si="67"/>
        <v>797</v>
      </c>
      <c r="B109" s="6">
        <f>INDEX('Raw Data'!$B$6:$B$1371,MATCH(A109,'Raw Data'!$A$6:$A$1371,0))</f>
        <v>17124</v>
      </c>
      <c r="C109" s="6">
        <f t="shared" si="51"/>
        <v>2249</v>
      </c>
      <c r="D109" s="6">
        <f>MOD(C109+Summary!$B$20,Summary!$B$11)</f>
        <v>2243.7416237989592</v>
      </c>
      <c r="E109" s="6">
        <f>_xlfn.XLOOKUP(D109,'Native PMKS'!$C$6:$C$366,'Native PMKS'!$C$6:$C$366,,-1)</f>
        <v>2241.666666666667</v>
      </c>
      <c r="F109" s="6">
        <f>_xlfn.XLOOKUP(D109,'Native PMKS'!$C$6:$C$366,'Native PMKS'!$C$6:$C$366,,1)</f>
        <v>2250</v>
      </c>
      <c r="G109" s="6">
        <f>_xlfn.XLOOKUP(D109,'Native PMKS'!$C$6:$C$366,'Native PMKS'!$O$6:$O$366,,-1)</f>
        <v>-31.799199999999999</v>
      </c>
      <c r="H109" s="6">
        <f>_xlfn.XLOOKUP(D109,'Native PMKS'!$C$6:$C$366,'Native PMKS'!$O$6:$O$366,,1)</f>
        <v>-32.429400000000001</v>
      </c>
      <c r="I109" s="6">
        <f t="shared" si="52"/>
        <v>-31.956116558172482</v>
      </c>
      <c r="J109" s="6">
        <f>INDEX('Raw Data'!$L$6:$L$1371,MATCH(A109,'Raw Data'!$A$6:$A$1371,0))</f>
        <v>-36.1875</v>
      </c>
      <c r="K109" s="6">
        <f t="shared" si="53"/>
        <v>-0.63159102306544801</v>
      </c>
      <c r="L109" s="6">
        <f t="shared" si="54"/>
        <v>-0.55773945009118786</v>
      </c>
      <c r="M109" s="6">
        <f t="shared" si="55"/>
        <v>-7.3851572974260149E-2</v>
      </c>
      <c r="N109" s="6">
        <f t="shared" si="56"/>
        <v>5.4540548307724724E-3</v>
      </c>
      <c r="O109" s="6">
        <f>_xlfn.XLOOKUP(D109,'Instructor 360'!$B$6:$B$365,'Instructor 360'!$B$6:$B$365,,-1)</f>
        <v>2239.5543175487464</v>
      </c>
      <c r="P109" s="6">
        <f>_xlfn.XLOOKUP(D109,'Instructor 360'!$B$6:$B$365,'Instructor 360'!$B$6:$B$365,,1)</f>
        <v>2247.9108635097491</v>
      </c>
      <c r="Q109" s="6">
        <f>_xlfn.XLOOKUP(D109,'Instructor 360'!$B$6:$B$365,'Instructor 360'!$G$6:$G$365,,-1)</f>
        <v>-31.624905849582145</v>
      </c>
      <c r="R109" s="6">
        <f>_xlfn.XLOOKUP(D109,'Instructor 360'!$B$6:$B$365,'Instructor 360'!$G$6:$G$365,,1)</f>
        <v>-32.271411142061261</v>
      </c>
      <c r="S109" s="6">
        <f t="shared" si="57"/>
        <v>-31.948857355937378</v>
      </c>
      <c r="T109" s="6">
        <f t="shared" si="58"/>
        <v>-0.55761275311111713</v>
      </c>
      <c r="U109" s="6">
        <f t="shared" si="59"/>
        <v>-7.3978269954330877E-2</v>
      </c>
      <c r="V109" s="6"/>
      <c r="W109" s="6">
        <f t="shared" si="60"/>
        <v>5.4727844254358546E-3</v>
      </c>
      <c r="AA109">
        <f t="shared" si="61"/>
        <v>2249</v>
      </c>
      <c r="AB109">
        <f t="shared" si="62"/>
        <v>-0.63159102306544801</v>
      </c>
      <c r="AC109">
        <f t="shared" si="63"/>
        <v>-0.55761275311111713</v>
      </c>
      <c r="AE109">
        <f t="shared" si="64"/>
        <v>2249</v>
      </c>
      <c r="AF109">
        <f t="shared" si="65"/>
        <v>-36.1875</v>
      </c>
      <c r="AG109">
        <f t="shared" si="66"/>
        <v>-31.948857355937378</v>
      </c>
    </row>
    <row r="110" spans="1:33" ht="18.95" customHeight="1">
      <c r="A110" s="4">
        <f t="shared" si="67"/>
        <v>798</v>
      </c>
      <c r="B110" s="6">
        <f>INDEX('Raw Data'!$B$6:$B$1371,MATCH(A110,'Raw Data'!$A$6:$A$1371,0))</f>
        <v>17144</v>
      </c>
      <c r="C110" s="6">
        <f t="shared" si="51"/>
        <v>2269</v>
      </c>
      <c r="D110" s="6">
        <f>MOD(C110+Summary!$B$20,Summary!$B$11)</f>
        <v>2263.7416237989592</v>
      </c>
      <c r="E110" s="6">
        <f>_xlfn.XLOOKUP(D110,'Native PMKS'!$C$6:$C$366,'Native PMKS'!$C$6:$C$366,,-1)</f>
        <v>2258.3333333333335</v>
      </c>
      <c r="F110" s="6">
        <f>_xlfn.XLOOKUP(D110,'Native PMKS'!$C$6:$C$366,'Native PMKS'!$C$6:$C$366,,1)</f>
        <v>2266.666666666667</v>
      </c>
      <c r="G110" s="6">
        <f>_xlfn.XLOOKUP(D110,'Native PMKS'!$C$6:$C$366,'Native PMKS'!$O$6:$O$366,,-1)</f>
        <v>-33.116999999999997</v>
      </c>
      <c r="H110" s="6">
        <f>_xlfn.XLOOKUP(D110,'Native PMKS'!$C$6:$C$366,'Native PMKS'!$O$6:$O$366,,1)</f>
        <v>-33.747199999999999</v>
      </c>
      <c r="I110" s="6">
        <f t="shared" si="52"/>
        <v>-33.525996558172494</v>
      </c>
      <c r="J110" s="6">
        <f>INDEX('Raw Data'!$L$6:$L$1371,MATCH(A110,'Raw Data'!$A$6:$A$1371,0))</f>
        <v>-36.625</v>
      </c>
      <c r="K110" s="6">
        <f t="shared" si="53"/>
        <v>-0.63922683854292317</v>
      </c>
      <c r="L110" s="6">
        <f t="shared" si="54"/>
        <v>-0.58513902495239667</v>
      </c>
      <c r="M110" s="6">
        <f t="shared" si="55"/>
        <v>-5.4087813590526501E-2</v>
      </c>
      <c r="N110" s="6">
        <f t="shared" si="56"/>
        <v>2.9254915790035431E-3</v>
      </c>
      <c r="O110" s="6">
        <f>_xlfn.XLOOKUP(D110,'Instructor 360'!$B$6:$B$365,'Instructor 360'!$B$6:$B$365,,-1)</f>
        <v>2256.2674094707522</v>
      </c>
      <c r="P110" s="6">
        <f>_xlfn.XLOOKUP(D110,'Instructor 360'!$B$6:$B$365,'Instructor 360'!$B$6:$B$365,,1)</f>
        <v>2264.6239554317549</v>
      </c>
      <c r="Q110" s="6">
        <f>_xlfn.XLOOKUP(D110,'Instructor 360'!$B$6:$B$365,'Instructor 360'!$G$6:$G$365,,-1)</f>
        <v>-32.946536490250693</v>
      </c>
      <c r="R110" s="6">
        <f>_xlfn.XLOOKUP(D110,'Instructor 360'!$B$6:$B$365,'Instructor 360'!$G$6:$G$365,,1)</f>
        <v>-33.592722005571012</v>
      </c>
      <c r="S110" s="6">
        <f t="shared" si="57"/>
        <v>-33.524494065046042</v>
      </c>
      <c r="T110" s="6">
        <f t="shared" si="58"/>
        <v>-0.5851128015003515</v>
      </c>
      <c r="U110" s="6">
        <f t="shared" si="59"/>
        <v>-5.4114037042571672E-2</v>
      </c>
      <c r="V110" s="6"/>
      <c r="W110" s="6">
        <f t="shared" si="60"/>
        <v>2.9283290050448191E-3</v>
      </c>
      <c r="AA110">
        <f t="shared" si="61"/>
        <v>2269</v>
      </c>
      <c r="AB110">
        <f t="shared" si="62"/>
        <v>-0.63922683854292317</v>
      </c>
      <c r="AC110">
        <f t="shared" si="63"/>
        <v>-0.5851128015003515</v>
      </c>
      <c r="AE110">
        <f t="shared" si="64"/>
        <v>2269</v>
      </c>
      <c r="AF110">
        <f t="shared" si="65"/>
        <v>-36.625</v>
      </c>
      <c r="AG110">
        <f t="shared" si="66"/>
        <v>-33.524494065046042</v>
      </c>
    </row>
    <row r="111" spans="1:33" ht="18.95" customHeight="1">
      <c r="A111" s="4">
        <f t="shared" si="67"/>
        <v>799</v>
      </c>
      <c r="B111" s="6">
        <f>INDEX('Raw Data'!$B$6:$B$1371,MATCH(A111,'Raw Data'!$A$6:$A$1371,0))</f>
        <v>17164</v>
      </c>
      <c r="C111" s="6">
        <f t="shared" si="51"/>
        <v>2289</v>
      </c>
      <c r="D111" s="6">
        <f>MOD(C111+Summary!$B$20,Summary!$B$11)</f>
        <v>2283.7416237989592</v>
      </c>
      <c r="E111" s="6">
        <f>_xlfn.XLOOKUP(D111,'Native PMKS'!$C$6:$C$366,'Native PMKS'!$C$6:$C$366,,-1)</f>
        <v>2283.3333333333335</v>
      </c>
      <c r="F111" s="6">
        <f>_xlfn.XLOOKUP(D111,'Native PMKS'!$C$6:$C$366,'Native PMKS'!$C$6:$C$366,,1)</f>
        <v>2291.666666666667</v>
      </c>
      <c r="G111" s="6">
        <f>_xlfn.XLOOKUP(D111,'Native PMKS'!$C$6:$C$366,'Native PMKS'!$O$6:$O$366,,-1)</f>
        <v>-35.122300000000003</v>
      </c>
      <c r="H111" s="6">
        <f>_xlfn.XLOOKUP(D111,'Native PMKS'!$C$6:$C$366,'Native PMKS'!$O$6:$O$366,,1)</f>
        <v>-35.752600000000001</v>
      </c>
      <c r="I111" s="6">
        <f t="shared" si="52"/>
        <v>-35.153181457658093</v>
      </c>
      <c r="J111" s="6">
        <f>INDEX('Raw Data'!$L$6:$L$1371,MATCH(A111,'Raw Data'!$A$6:$A$1371,0))</f>
        <v>-38</v>
      </c>
      <c r="K111" s="6">
        <f t="shared" si="53"/>
        <v>-0.66322511575784515</v>
      </c>
      <c r="L111" s="6">
        <f t="shared" si="54"/>
        <v>-0.61353875898715338</v>
      </c>
      <c r="M111" s="6">
        <f t="shared" si="55"/>
        <v>-4.9686356770691775E-2</v>
      </c>
      <c r="N111" s="6">
        <f t="shared" si="56"/>
        <v>2.4687340491444682E-3</v>
      </c>
      <c r="O111" s="6">
        <f>_xlfn.XLOOKUP(D111,'Instructor 360'!$B$6:$B$365,'Instructor 360'!$B$6:$B$365,,-1)</f>
        <v>2281.3370473537602</v>
      </c>
      <c r="P111" s="6">
        <f>_xlfn.XLOOKUP(D111,'Instructor 360'!$B$6:$B$365,'Instructor 360'!$B$6:$B$365,,1)</f>
        <v>2289.6935933147633</v>
      </c>
      <c r="Q111" s="6">
        <f>_xlfn.XLOOKUP(D111,'Instructor 360'!$B$6:$B$365,'Instructor 360'!$G$6:$G$365,,-1)</f>
        <v>-34.957606406685215</v>
      </c>
      <c r="R111" s="6">
        <f>_xlfn.XLOOKUP(D111,'Instructor 360'!$B$6:$B$365,'Instructor 360'!$G$6:$G$365,,1)</f>
        <v>-35.603364623955422</v>
      </c>
      <c r="S111" s="6">
        <f t="shared" si="57"/>
        <v>-35.143421814844032</v>
      </c>
      <c r="T111" s="6">
        <f t="shared" si="58"/>
        <v>-0.61336842108622935</v>
      </c>
      <c r="U111" s="6">
        <f t="shared" si="59"/>
        <v>-4.9856694671615798E-2</v>
      </c>
      <c r="V111" s="6"/>
      <c r="W111" s="6">
        <f t="shared" si="60"/>
        <v>2.4856900035787233E-3</v>
      </c>
      <c r="AA111">
        <f t="shared" si="61"/>
        <v>2289</v>
      </c>
      <c r="AB111">
        <f t="shared" si="62"/>
        <v>-0.66322511575784515</v>
      </c>
      <c r="AC111">
        <f t="shared" si="63"/>
        <v>-0.61336842108622935</v>
      </c>
      <c r="AE111">
        <f t="shared" si="64"/>
        <v>2289</v>
      </c>
      <c r="AF111">
        <f t="shared" si="65"/>
        <v>-38</v>
      </c>
      <c r="AG111">
        <f t="shared" si="66"/>
        <v>-35.143421814844032</v>
      </c>
    </row>
    <row r="112" spans="1:33" ht="18.95" customHeight="1">
      <c r="A112" s="4">
        <f t="shared" si="67"/>
        <v>800</v>
      </c>
      <c r="B112" s="6">
        <f>INDEX('Raw Data'!$B$6:$B$1371,MATCH(A112,'Raw Data'!$A$6:$A$1371,0))</f>
        <v>17185</v>
      </c>
      <c r="C112" s="6">
        <f t="shared" si="51"/>
        <v>2310</v>
      </c>
      <c r="D112" s="6">
        <f>MOD(C112+Summary!$B$20,Summary!$B$11)</f>
        <v>2304.7416237989592</v>
      </c>
      <c r="E112" s="6">
        <f>_xlfn.XLOOKUP(D112,'Native PMKS'!$C$6:$C$366,'Native PMKS'!$C$6:$C$366,,-1)</f>
        <v>2300</v>
      </c>
      <c r="F112" s="6">
        <f>_xlfn.XLOOKUP(D112,'Native PMKS'!$C$6:$C$366,'Native PMKS'!$C$6:$C$366,,1)</f>
        <v>2308.3333333333335</v>
      </c>
      <c r="G112" s="6">
        <f>_xlfn.XLOOKUP(D112,'Native PMKS'!$C$6:$C$366,'Native PMKS'!$O$6:$O$366,,-1)</f>
        <v>-36.440100000000001</v>
      </c>
      <c r="H112" s="6">
        <f>_xlfn.XLOOKUP(D112,'Native PMKS'!$C$6:$C$366,'Native PMKS'!$O$6:$O$366,,1)</f>
        <v>-37.127699999999997</v>
      </c>
      <c r="I112" s="6">
        <f t="shared" si="52"/>
        <v>-36.83134086289968</v>
      </c>
      <c r="J112" s="6">
        <f>INDEX('Raw Data'!$L$6:$L$1371,MATCH(A112,'Raw Data'!$A$6:$A$1371,0))</f>
        <v>-39.8125</v>
      </c>
      <c r="K112" s="6">
        <f t="shared" si="53"/>
        <v>-0.6948592084502424</v>
      </c>
      <c r="L112" s="6">
        <f t="shared" si="54"/>
        <v>-0.64282816598192882</v>
      </c>
      <c r="M112" s="6">
        <f t="shared" si="55"/>
        <v>-5.2031042468313582E-2</v>
      </c>
      <c r="N112" s="6">
        <f t="shared" si="56"/>
        <v>2.7072293803394516E-3</v>
      </c>
      <c r="O112" s="6">
        <f>_xlfn.XLOOKUP(D112,'Instructor 360'!$B$6:$B$365,'Instructor 360'!$B$6:$B$365,,-1)</f>
        <v>2298.050139275766</v>
      </c>
      <c r="P112" s="6">
        <f>_xlfn.XLOOKUP(D112,'Instructor 360'!$B$6:$B$365,'Instructor 360'!$B$6:$B$365,,1)</f>
        <v>2306.4066852367687</v>
      </c>
      <c r="Q112" s="6">
        <f>_xlfn.XLOOKUP(D112,'Instructor 360'!$B$6:$B$365,'Instructor 360'!$G$6:$G$365,,-1)</f>
        <v>-36.279236490250689</v>
      </c>
      <c r="R112" s="6">
        <f>_xlfn.XLOOKUP(D112,'Instructor 360'!$B$6:$B$365,'Instructor 360'!$G$6:$G$365,,1)</f>
        <v>-36.968728412256247</v>
      </c>
      <c r="S112" s="6">
        <f t="shared" si="57"/>
        <v>-36.831345525071754</v>
      </c>
      <c r="T112" s="6">
        <f t="shared" si="58"/>
        <v>-0.6428282473521818</v>
      </c>
      <c r="U112" s="6">
        <f t="shared" si="59"/>
        <v>-5.2030961098060602E-2</v>
      </c>
      <c r="V112" s="6"/>
      <c r="W112" s="6">
        <f t="shared" si="60"/>
        <v>2.7072209127878958E-3</v>
      </c>
      <c r="AA112">
        <f t="shared" si="61"/>
        <v>2310</v>
      </c>
      <c r="AB112">
        <f t="shared" si="62"/>
        <v>-0.6948592084502424</v>
      </c>
      <c r="AC112">
        <f t="shared" si="63"/>
        <v>-0.6428282473521818</v>
      </c>
      <c r="AE112">
        <f t="shared" si="64"/>
        <v>2310</v>
      </c>
      <c r="AF112">
        <f t="shared" si="65"/>
        <v>-39.8125</v>
      </c>
      <c r="AG112">
        <f t="shared" si="66"/>
        <v>-36.831345525071754</v>
      </c>
    </row>
    <row r="113" spans="1:33" ht="18.95" customHeight="1">
      <c r="A113" s="4">
        <f t="shared" si="67"/>
        <v>801</v>
      </c>
      <c r="B113" s="6">
        <f>INDEX('Raw Data'!$B$6:$B$1371,MATCH(A113,'Raw Data'!$A$6:$A$1371,0))</f>
        <v>17205</v>
      </c>
      <c r="C113" s="6">
        <f t="shared" si="51"/>
        <v>2330</v>
      </c>
      <c r="D113" s="6">
        <f>MOD(C113+Summary!$B$20,Summary!$B$11)</f>
        <v>2324.7416237989592</v>
      </c>
      <c r="E113" s="6">
        <f>_xlfn.XLOOKUP(D113,'Native PMKS'!$C$6:$C$366,'Native PMKS'!$C$6:$C$366,,-1)</f>
        <v>2316.666666666667</v>
      </c>
      <c r="F113" s="6">
        <f>_xlfn.XLOOKUP(D113,'Native PMKS'!$C$6:$C$366,'Native PMKS'!$C$6:$C$366,,1)</f>
        <v>2325</v>
      </c>
      <c r="G113" s="6">
        <f>_xlfn.XLOOKUP(D113,'Native PMKS'!$C$6:$C$366,'Native PMKS'!$O$6:$O$366,,-1)</f>
        <v>-37.815199999999997</v>
      </c>
      <c r="H113" s="6">
        <f>_xlfn.XLOOKUP(D113,'Native PMKS'!$C$6:$C$366,'Native PMKS'!$O$6:$O$366,,1)</f>
        <v>-38.560099999999998</v>
      </c>
      <c r="I113" s="6">
        <f t="shared" si="52"/>
        <v>-38.537004268141345</v>
      </c>
      <c r="J113" s="6">
        <f>INDEX('Raw Data'!$L$6:$L$1371,MATCH(A113,'Raw Data'!$A$6:$A$1371,0))</f>
        <v>-41</v>
      </c>
      <c r="K113" s="6">
        <f t="shared" si="53"/>
        <v>-0.715584993317675</v>
      </c>
      <c r="L113" s="6">
        <f t="shared" si="54"/>
        <v>-0.67259760833417415</v>
      </c>
      <c r="M113" s="6">
        <f t="shared" si="55"/>
        <v>-4.2987384983500854E-2</v>
      </c>
      <c r="N113" s="6">
        <f t="shared" si="56"/>
        <v>1.8479152677197148E-3</v>
      </c>
      <c r="O113" s="6">
        <f>_xlfn.XLOOKUP(D113,'Instructor 360'!$B$6:$B$365,'Instructor 360'!$B$6:$B$365,,-1)</f>
        <v>2323.1197771587745</v>
      </c>
      <c r="P113" s="6">
        <f>_xlfn.XLOOKUP(D113,'Instructor 360'!$B$6:$B$365,'Instructor 360'!$B$6:$B$365,,1)</f>
        <v>2331.4763231197771</v>
      </c>
      <c r="Q113" s="6">
        <f>_xlfn.XLOOKUP(D113,'Instructor 360'!$B$6:$B$365,'Instructor 360'!$G$6:$G$365,,-1)</f>
        <v>-38.392030640668523</v>
      </c>
      <c r="R113" s="6">
        <f>_xlfn.XLOOKUP(D113,'Instructor 360'!$B$6:$B$365,'Instructor 360'!$G$6:$G$365,,1)</f>
        <v>-39.094396657381601</v>
      </c>
      <c r="S113" s="6">
        <f t="shared" si="57"/>
        <v>-38.52834652640675</v>
      </c>
      <c r="T113" s="6">
        <f t="shared" si="58"/>
        <v>-0.67244650223511815</v>
      </c>
      <c r="U113" s="6">
        <f t="shared" si="59"/>
        <v>-4.3138491082556851E-2</v>
      </c>
      <c r="V113" s="6"/>
      <c r="W113" s="6">
        <f t="shared" si="60"/>
        <v>1.860929412879837E-3</v>
      </c>
      <c r="AA113">
        <f t="shared" si="61"/>
        <v>2330</v>
      </c>
      <c r="AB113">
        <f t="shared" si="62"/>
        <v>-0.715584993317675</v>
      </c>
      <c r="AC113">
        <f t="shared" si="63"/>
        <v>-0.67244650223511815</v>
      </c>
      <c r="AE113">
        <f t="shared" si="64"/>
        <v>2330</v>
      </c>
      <c r="AF113">
        <f t="shared" si="65"/>
        <v>-41</v>
      </c>
      <c r="AG113">
        <f t="shared" si="66"/>
        <v>-38.52834652640675</v>
      </c>
    </row>
    <row r="114" spans="1:33" ht="18.95" customHeight="1">
      <c r="A114" s="4">
        <f t="shared" si="67"/>
        <v>802</v>
      </c>
      <c r="B114" s="6">
        <f>INDEX('Raw Data'!$B$6:$B$1371,MATCH(A114,'Raw Data'!$A$6:$A$1371,0))</f>
        <v>17226</v>
      </c>
      <c r="C114" s="6">
        <f t="shared" si="51"/>
        <v>2351</v>
      </c>
      <c r="D114" s="6">
        <f>MOD(C114+Summary!$B$20,Summary!$B$11)</f>
        <v>2345.7416237989592</v>
      </c>
      <c r="E114" s="6">
        <f>_xlfn.XLOOKUP(D114,'Native PMKS'!$C$6:$C$366,'Native PMKS'!$C$6:$C$366,,-1)</f>
        <v>2341.666666666667</v>
      </c>
      <c r="F114" s="6">
        <f>_xlfn.XLOOKUP(D114,'Native PMKS'!$C$6:$C$366,'Native PMKS'!$C$6:$C$366,,1)</f>
        <v>2350</v>
      </c>
      <c r="G114" s="6">
        <f>_xlfn.XLOOKUP(D114,'Native PMKS'!$C$6:$C$366,'Native PMKS'!$O$6:$O$366,,-1)</f>
        <v>-39.935200000000002</v>
      </c>
      <c r="H114" s="6">
        <f>_xlfn.XLOOKUP(D114,'Native PMKS'!$C$6:$C$366,'Native PMKS'!$O$6:$O$366,,1)</f>
        <v>-40.68</v>
      </c>
      <c r="I114" s="6">
        <f t="shared" si="52"/>
        <v>-40.299403368655788</v>
      </c>
      <c r="J114" s="6">
        <f>INDEX('Raw Data'!$L$6:$L$1371,MATCH(A114,'Raw Data'!$A$6:$A$1371,0))</f>
        <v>-42.8125</v>
      </c>
      <c r="K114" s="6">
        <f t="shared" si="53"/>
        <v>-0.74721908601007225</v>
      </c>
      <c r="L114" s="6">
        <f t="shared" si="54"/>
        <v>-0.70335727537233772</v>
      </c>
      <c r="M114" s="6">
        <f t="shared" si="55"/>
        <v>-4.3861810637734533E-2</v>
      </c>
      <c r="N114" s="6">
        <f t="shared" si="56"/>
        <v>1.9238584324204823E-3</v>
      </c>
      <c r="O114" s="6">
        <f>_xlfn.XLOOKUP(D114,'Instructor 360'!$B$6:$B$365,'Instructor 360'!$B$6:$B$365,,-1)</f>
        <v>2339.8328690807798</v>
      </c>
      <c r="P114" s="6">
        <f>_xlfn.XLOOKUP(D114,'Instructor 360'!$B$6:$B$365,'Instructor 360'!$B$6:$B$365,,1)</f>
        <v>2348.1894150417829</v>
      </c>
      <c r="Q114" s="6">
        <f>_xlfn.XLOOKUP(D114,'Instructor 360'!$B$6:$B$365,'Instructor 360'!$G$6:$G$365,,-1)</f>
        <v>-39.783889693593281</v>
      </c>
      <c r="R114" s="6">
        <f>_xlfn.XLOOKUP(D114,'Instructor 360'!$B$6:$B$365,'Instructor 360'!$G$6:$G$365,,1)</f>
        <v>-40.518177158774385</v>
      </c>
      <c r="S114" s="6">
        <f t="shared" si="57"/>
        <v>-40.303090395011793</v>
      </c>
      <c r="T114" s="6">
        <f t="shared" si="58"/>
        <v>-0.70342162612185777</v>
      </c>
      <c r="U114" s="6">
        <f t="shared" si="59"/>
        <v>-4.3797459888214485E-2</v>
      </c>
      <c r="V114" s="6"/>
      <c r="W114" s="6">
        <f t="shared" si="60"/>
        <v>1.9182174926597568E-3</v>
      </c>
      <c r="AA114">
        <f t="shared" si="61"/>
        <v>2351</v>
      </c>
      <c r="AB114">
        <f t="shared" si="62"/>
        <v>-0.74721908601007225</v>
      </c>
      <c r="AC114">
        <f t="shared" si="63"/>
        <v>-0.70342162612185777</v>
      </c>
      <c r="AE114">
        <f t="shared" si="64"/>
        <v>2351</v>
      </c>
      <c r="AF114">
        <f t="shared" si="65"/>
        <v>-42.8125</v>
      </c>
      <c r="AG114">
        <f t="shared" si="66"/>
        <v>-40.303090395011793</v>
      </c>
    </row>
    <row r="115" spans="1:33" ht="18.95" customHeight="1">
      <c r="A115" s="4">
        <f t="shared" si="67"/>
        <v>803</v>
      </c>
      <c r="B115" s="6">
        <f>INDEX('Raw Data'!$B$6:$B$1371,MATCH(A115,'Raw Data'!$A$6:$A$1371,0))</f>
        <v>17248</v>
      </c>
      <c r="C115" s="6">
        <f t="shared" si="51"/>
        <v>2373</v>
      </c>
      <c r="D115" s="6">
        <f>MOD(C115+Summary!$B$20,Summary!$B$11)</f>
        <v>2367.7416237989592</v>
      </c>
      <c r="E115" s="6">
        <f>_xlfn.XLOOKUP(D115,'Native PMKS'!$C$6:$C$366,'Native PMKS'!$C$6:$C$366,,-1)</f>
        <v>2366.666666666667</v>
      </c>
      <c r="F115" s="6">
        <f>_xlfn.XLOOKUP(D115,'Native PMKS'!$C$6:$C$366,'Native PMKS'!$C$6:$C$366,,1)</f>
        <v>2375</v>
      </c>
      <c r="G115" s="6">
        <f>_xlfn.XLOOKUP(D115,'Native PMKS'!$C$6:$C$366,'Native PMKS'!$O$6:$O$366,,-1)</f>
        <v>-42.112400000000001</v>
      </c>
      <c r="H115" s="6">
        <f>_xlfn.XLOOKUP(D115,'Native PMKS'!$C$6:$C$366,'Native PMKS'!$O$6:$O$366,,1)</f>
        <v>-42.799900000000001</v>
      </c>
      <c r="I115" s="6">
        <f t="shared" si="52"/>
        <v>-42.201083963414106</v>
      </c>
      <c r="J115" s="6">
        <f>INDEX('Raw Data'!$L$6:$L$1371,MATCH(A115,'Raw Data'!$A$6:$A$1371,0))</f>
        <v>-45.1875</v>
      </c>
      <c r="K115" s="6">
        <f t="shared" si="53"/>
        <v>-0.78867065574493767</v>
      </c>
      <c r="L115" s="6">
        <f t="shared" si="54"/>
        <v>-0.73654786307215436</v>
      </c>
      <c r="M115" s="6">
        <f t="shared" si="55"/>
        <v>-5.2122792672783302E-2</v>
      </c>
      <c r="N115" s="6">
        <f t="shared" si="56"/>
        <v>2.7167855160099529E-3</v>
      </c>
      <c r="O115" s="6">
        <f>_xlfn.XLOOKUP(D115,'Instructor 360'!$B$6:$B$365,'Instructor 360'!$B$6:$B$365,,-1)</f>
        <v>2364.9025069637883</v>
      </c>
      <c r="P115" s="6">
        <f>_xlfn.XLOOKUP(D115,'Instructor 360'!$B$6:$B$365,'Instructor 360'!$B$6:$B$365,,1)</f>
        <v>2373.2590529247909</v>
      </c>
      <c r="Q115" s="6">
        <f>_xlfn.XLOOKUP(D115,'Instructor 360'!$B$6:$B$365,'Instructor 360'!$G$6:$G$365,,-1)</f>
        <v>-41.954726462395513</v>
      </c>
      <c r="R115" s="6">
        <f>_xlfn.XLOOKUP(D115,'Instructor 360'!$B$6:$B$365,'Instructor 360'!$G$6:$G$365,,1)</f>
        <v>-42.656271866295249</v>
      </c>
      <c r="S115" s="6">
        <f t="shared" si="57"/>
        <v>-42.193074863295067</v>
      </c>
      <c r="T115" s="6">
        <f t="shared" si="58"/>
        <v>-0.73640807790495522</v>
      </c>
      <c r="U115" s="6">
        <f t="shared" si="59"/>
        <v>-5.2262577839982449E-2</v>
      </c>
      <c r="V115" s="6"/>
      <c r="W115" s="6">
        <f t="shared" si="60"/>
        <v>2.7313770424802247E-3</v>
      </c>
      <c r="AA115">
        <f t="shared" si="61"/>
        <v>2373</v>
      </c>
      <c r="AB115">
        <f t="shared" si="62"/>
        <v>-0.78867065574493767</v>
      </c>
      <c r="AC115">
        <f t="shared" si="63"/>
        <v>-0.73640807790495522</v>
      </c>
      <c r="AE115">
        <f t="shared" si="64"/>
        <v>2373</v>
      </c>
      <c r="AF115">
        <f t="shared" si="65"/>
        <v>-45.1875</v>
      </c>
      <c r="AG115">
        <f t="shared" si="66"/>
        <v>-42.193074863295067</v>
      </c>
    </row>
    <row r="116" spans="1:33" ht="18.95" customHeight="1">
      <c r="A116" s="4">
        <f t="shared" si="67"/>
        <v>804</v>
      </c>
      <c r="B116" s="6">
        <f>INDEX('Raw Data'!$B$6:$B$1371,MATCH(A116,'Raw Data'!$A$6:$A$1371,0))</f>
        <v>17268</v>
      </c>
      <c r="C116" s="6">
        <f t="shared" si="51"/>
        <v>2393</v>
      </c>
      <c r="D116" s="6">
        <f>MOD(C116+Summary!$B$20,Summary!$B$11)</f>
        <v>2387.7416237989592</v>
      </c>
      <c r="E116" s="6">
        <f>_xlfn.XLOOKUP(D116,'Native PMKS'!$C$6:$C$366,'Native PMKS'!$C$6:$C$366,,-1)</f>
        <v>2383.3333333333335</v>
      </c>
      <c r="F116" s="6">
        <f>_xlfn.XLOOKUP(D116,'Native PMKS'!$C$6:$C$366,'Native PMKS'!$C$6:$C$366,,1)</f>
        <v>2391.666666666667</v>
      </c>
      <c r="G116" s="6">
        <f>_xlfn.XLOOKUP(D116,'Native PMKS'!$C$6:$C$366,'Native PMKS'!$O$6:$O$366,,-1)</f>
        <v>-43.544800000000002</v>
      </c>
      <c r="H116" s="6">
        <f>_xlfn.XLOOKUP(D116,'Native PMKS'!$C$6:$C$366,'Native PMKS'!$O$6:$O$366,,1)</f>
        <v>-44.2896</v>
      </c>
      <c r="I116" s="6">
        <f t="shared" si="52"/>
        <v>-43.938795368655803</v>
      </c>
      <c r="J116" s="6">
        <f>INDEX('Raw Data'!$L$6:$L$1371,MATCH(A116,'Raw Data'!$A$6:$A$1371,0))</f>
        <v>-46.6875</v>
      </c>
      <c r="K116" s="6">
        <f t="shared" si="53"/>
        <v>-0.81485059452485253</v>
      </c>
      <c r="L116" s="6">
        <f t="shared" si="54"/>
        <v>-0.76687664854307935</v>
      </c>
      <c r="M116" s="6">
        <f t="shared" si="55"/>
        <v>-4.7973945981773181E-2</v>
      </c>
      <c r="N116" s="6">
        <f t="shared" si="56"/>
        <v>2.301499493062091E-3</v>
      </c>
      <c r="O116" s="6">
        <f>_xlfn.XLOOKUP(D116,'Instructor 360'!$B$6:$B$365,'Instructor 360'!$B$6:$B$365,,-1)</f>
        <v>2381.615598885794</v>
      </c>
      <c r="P116" s="6">
        <f>_xlfn.XLOOKUP(D116,'Instructor 360'!$B$6:$B$365,'Instructor 360'!$B$6:$B$365,,1)</f>
        <v>2389.9721448467967</v>
      </c>
      <c r="Q116" s="6">
        <f>_xlfn.XLOOKUP(D116,'Instructor 360'!$B$6:$B$365,'Instructor 360'!$G$6:$G$365,,-1)</f>
        <v>-43.391255153203346</v>
      </c>
      <c r="R116" s="6">
        <f>_xlfn.XLOOKUP(D116,'Instructor 360'!$B$6:$B$365,'Instructor 360'!$G$6:$G$365,,1)</f>
        <v>-44.138150417827276</v>
      </c>
      <c r="S116" s="6">
        <f t="shared" si="57"/>
        <v>-43.938789866703843</v>
      </c>
      <c r="T116" s="6">
        <f t="shared" si="58"/>
        <v>-0.76687655251590237</v>
      </c>
      <c r="U116" s="6">
        <f t="shared" si="59"/>
        <v>-4.7974042008950168E-2</v>
      </c>
      <c r="V116" s="6"/>
      <c r="W116" s="6">
        <f t="shared" si="60"/>
        <v>2.3015087066765153E-3</v>
      </c>
      <c r="AA116">
        <f t="shared" si="61"/>
        <v>2393</v>
      </c>
      <c r="AB116">
        <f t="shared" si="62"/>
        <v>-0.81485059452485253</v>
      </c>
      <c r="AC116">
        <f t="shared" si="63"/>
        <v>-0.76687655251590237</v>
      </c>
      <c r="AE116">
        <f t="shared" si="64"/>
        <v>2393</v>
      </c>
      <c r="AF116">
        <f t="shared" si="65"/>
        <v>-46.6875</v>
      </c>
      <c r="AG116">
        <f t="shared" si="66"/>
        <v>-43.938789866703836</v>
      </c>
    </row>
    <row r="117" spans="1:33" ht="18.95" customHeight="1">
      <c r="A117" s="4">
        <f t="shared" si="67"/>
        <v>805</v>
      </c>
      <c r="B117" s="6">
        <f>INDEX('Raw Data'!$B$6:$B$1371,MATCH(A117,'Raw Data'!$A$6:$A$1371,0))</f>
        <v>17289</v>
      </c>
      <c r="C117" s="6">
        <f t="shared" si="51"/>
        <v>2414</v>
      </c>
      <c r="D117" s="6">
        <f>MOD(C117+Summary!$B$20,Summary!$B$11)</f>
        <v>2408.7416237989592</v>
      </c>
      <c r="E117" s="6">
        <f>_xlfn.XLOOKUP(D117,'Native PMKS'!$C$6:$C$366,'Native PMKS'!$C$6:$C$366,,-1)</f>
        <v>2408.3333333333335</v>
      </c>
      <c r="F117" s="6">
        <f>_xlfn.XLOOKUP(D117,'Native PMKS'!$C$6:$C$366,'Native PMKS'!$C$6:$C$366,,1)</f>
        <v>2416.666666666667</v>
      </c>
      <c r="G117" s="6">
        <f>_xlfn.XLOOKUP(D117,'Native PMKS'!$C$6:$C$366,'Native PMKS'!$O$6:$O$366,,-1)</f>
        <v>-45.779299999999999</v>
      </c>
      <c r="H117" s="6">
        <f>_xlfn.XLOOKUP(D117,'Native PMKS'!$C$6:$C$366,'Native PMKS'!$O$6:$O$366,,1)</f>
        <v>-46.5242</v>
      </c>
      <c r="I117" s="6">
        <f t="shared" si="52"/>
        <v>-45.815796268141355</v>
      </c>
      <c r="J117" s="6">
        <f>INDEX('Raw Data'!$L$6:$L$1371,MATCH(A117,'Raw Data'!$A$6:$A$1371,0))</f>
        <v>-49.3125</v>
      </c>
      <c r="K117" s="6">
        <f t="shared" si="53"/>
        <v>-0.86066548738970383</v>
      </c>
      <c r="L117" s="6">
        <f t="shared" si="54"/>
        <v>-0.79963649430199746</v>
      </c>
      <c r="M117" s="6">
        <f t="shared" si="55"/>
        <v>-6.1028993087706374E-2</v>
      </c>
      <c r="N117" s="6">
        <f t="shared" si="56"/>
        <v>3.7245379972993121E-3</v>
      </c>
      <c r="O117" s="6">
        <f>_xlfn.XLOOKUP(D117,'Instructor 360'!$B$6:$B$365,'Instructor 360'!$B$6:$B$365,,-1)</f>
        <v>2406.685236768802</v>
      </c>
      <c r="P117" s="6">
        <f>_xlfn.XLOOKUP(D117,'Instructor 360'!$B$6:$B$365,'Instructor 360'!$B$6:$B$365,,1)</f>
        <v>2415.0417827298052</v>
      </c>
      <c r="Q117" s="6">
        <f>_xlfn.XLOOKUP(D117,'Instructor 360'!$B$6:$B$365,'Instructor 360'!$G$6:$G$365,,-1)</f>
        <v>-45.631999721448437</v>
      </c>
      <c r="R117" s="6">
        <f>_xlfn.XLOOKUP(D117,'Instructor 360'!$B$6:$B$365,'Instructor 360'!$G$6:$G$365,,1)</f>
        <v>-46.378954874651797</v>
      </c>
      <c r="S117" s="6">
        <f t="shared" si="57"/>
        <v>-45.815811178517521</v>
      </c>
      <c r="T117" s="6">
        <f t="shared" si="58"/>
        <v>-0.79963675453715422</v>
      </c>
      <c r="U117" s="6">
        <f t="shared" si="59"/>
        <v>-6.1028732852549616E-2</v>
      </c>
      <c r="V117" s="6"/>
      <c r="W117" s="6">
        <f t="shared" si="60"/>
        <v>3.7245062335878689E-3</v>
      </c>
      <c r="AA117">
        <f t="shared" si="61"/>
        <v>2414</v>
      </c>
      <c r="AB117">
        <f t="shared" si="62"/>
        <v>-0.86066548738970383</v>
      </c>
      <c r="AC117">
        <f t="shared" si="63"/>
        <v>-0.79963675453715422</v>
      </c>
      <c r="AE117">
        <f t="shared" si="64"/>
        <v>2414</v>
      </c>
      <c r="AF117">
        <f t="shared" si="65"/>
        <v>-49.3125</v>
      </c>
      <c r="AG117">
        <f t="shared" si="66"/>
        <v>-45.815811178517521</v>
      </c>
    </row>
    <row r="118" spans="1:33" ht="18.95" customHeight="1">
      <c r="A118" s="4">
        <f t="shared" si="67"/>
        <v>806</v>
      </c>
      <c r="B118" s="6">
        <f>INDEX('Raw Data'!$B$6:$B$1371,MATCH(A118,'Raw Data'!$A$6:$A$1371,0))</f>
        <v>17309</v>
      </c>
      <c r="C118" s="6">
        <f t="shared" si="51"/>
        <v>2434</v>
      </c>
      <c r="D118" s="6">
        <f>MOD(C118+Summary!$B$20,Summary!$B$11)</f>
        <v>2428.7416237989592</v>
      </c>
      <c r="E118" s="6">
        <f>_xlfn.XLOOKUP(D118,'Native PMKS'!$C$6:$C$366,'Native PMKS'!$C$6:$C$366,,-1)</f>
        <v>2425</v>
      </c>
      <c r="F118" s="6">
        <f>_xlfn.XLOOKUP(D118,'Native PMKS'!$C$6:$C$366,'Native PMKS'!$C$6:$C$366,,1)</f>
        <v>2433.3333333333335</v>
      </c>
      <c r="G118" s="6">
        <f>_xlfn.XLOOKUP(D118,'Native PMKS'!$C$6:$C$366,'Native PMKS'!$O$6:$O$366,,-1)</f>
        <v>-47.268999999999998</v>
      </c>
      <c r="H118" s="6">
        <f>_xlfn.XLOOKUP(D118,'Native PMKS'!$C$6:$C$366,'Native PMKS'!$O$6:$O$366,,1)</f>
        <v>-48.0139</v>
      </c>
      <c r="I118" s="6">
        <f t="shared" si="52"/>
        <v>-47.603456268141315</v>
      </c>
      <c r="J118" s="6">
        <f>INDEX('Raw Data'!$L$6:$L$1371,MATCH(A118,'Raw Data'!$A$6:$A$1371,0))</f>
        <v>-51.75</v>
      </c>
      <c r="K118" s="6">
        <f t="shared" si="53"/>
        <v>-0.90320788790706541</v>
      </c>
      <c r="L118" s="6">
        <f t="shared" si="54"/>
        <v>-0.83083704720819862</v>
      </c>
      <c r="M118" s="6">
        <f t="shared" si="55"/>
        <v>-7.237084069886679E-2</v>
      </c>
      <c r="N118" s="6">
        <f t="shared" si="56"/>
        <v>5.2375385834607536E-3</v>
      </c>
      <c r="O118" s="6">
        <f>_xlfn.XLOOKUP(D118,'Instructor 360'!$B$6:$B$365,'Instructor 360'!$B$6:$B$365,,-1)</f>
        <v>2423.3983286908078</v>
      </c>
      <c r="P118" s="6">
        <f>_xlfn.XLOOKUP(D118,'Instructor 360'!$B$6:$B$365,'Instructor 360'!$B$6:$B$365,,1)</f>
        <v>2431.7548746518105</v>
      </c>
      <c r="Q118" s="6">
        <f>_xlfn.XLOOKUP(D118,'Instructor 360'!$B$6:$B$365,'Instructor 360'!$G$6:$G$365,,-1)</f>
        <v>-47.125849025069634</v>
      </c>
      <c r="R118" s="6">
        <f>_xlfn.XLOOKUP(D118,'Instructor 360'!$B$6:$B$365,'Instructor 360'!$G$6:$G$365,,1)</f>
        <v>-47.872804735376022</v>
      </c>
      <c r="S118" s="6">
        <f t="shared" si="57"/>
        <v>-47.6034631986183</v>
      </c>
      <c r="T118" s="6">
        <f t="shared" si="58"/>
        <v>-0.8308371681678407</v>
      </c>
      <c r="U118" s="6">
        <f t="shared" si="59"/>
        <v>-7.2370719739224709E-2</v>
      </c>
      <c r="V118" s="6"/>
      <c r="W118" s="6">
        <f t="shared" si="60"/>
        <v>5.2375210755734088E-3</v>
      </c>
      <c r="AA118">
        <f t="shared" si="61"/>
        <v>2434</v>
      </c>
      <c r="AB118">
        <f t="shared" si="62"/>
        <v>-0.90320788790706541</v>
      </c>
      <c r="AC118">
        <f t="shared" si="63"/>
        <v>-0.8308371681678407</v>
      </c>
      <c r="AE118">
        <f t="shared" si="64"/>
        <v>2434</v>
      </c>
      <c r="AF118">
        <f t="shared" si="65"/>
        <v>-51.749999999999993</v>
      </c>
      <c r="AG118">
        <f t="shared" si="66"/>
        <v>-47.6034631986183</v>
      </c>
    </row>
    <row r="119" spans="1:33" ht="18.95" customHeight="1">
      <c r="A119" s="4">
        <f t="shared" si="67"/>
        <v>807</v>
      </c>
      <c r="B119" s="6">
        <f>INDEX('Raw Data'!$B$6:$B$1371,MATCH(A119,'Raw Data'!$A$6:$A$1371,0))</f>
        <v>17331</v>
      </c>
      <c r="C119" s="6">
        <f t="shared" si="51"/>
        <v>2456</v>
      </c>
      <c r="D119" s="6">
        <f>MOD(C119+Summary!$B$20,Summary!$B$11)</f>
        <v>2450.7416237989592</v>
      </c>
      <c r="E119" s="6">
        <f>_xlfn.XLOOKUP(D119,'Native PMKS'!$C$6:$C$366,'Native PMKS'!$C$6:$C$366,,-1)</f>
        <v>2450</v>
      </c>
      <c r="F119" s="6">
        <f>_xlfn.XLOOKUP(D119,'Native PMKS'!$C$6:$C$366,'Native PMKS'!$C$6:$C$366,,1)</f>
        <v>2458.3333333333335</v>
      </c>
      <c r="G119" s="6">
        <f>_xlfn.XLOOKUP(D119,'Native PMKS'!$C$6:$C$366,'Native PMKS'!$O$6:$O$366,,-1)</f>
        <v>-49.5608</v>
      </c>
      <c r="H119" s="6">
        <f>_xlfn.XLOOKUP(D119,'Native PMKS'!$C$6:$C$366,'Native PMKS'!$O$6:$O$366,,1)</f>
        <v>-50.305700000000002</v>
      </c>
      <c r="I119" s="6">
        <f t="shared" si="52"/>
        <v>-49.627092268141325</v>
      </c>
      <c r="J119" s="6">
        <f>INDEX('Raw Data'!$L$6:$L$1371,MATCH(A119,'Raw Data'!$A$6:$A$1371,0))</f>
        <v>-52.3125</v>
      </c>
      <c r="K119" s="6">
        <f t="shared" si="53"/>
        <v>-0.91302536494953368</v>
      </c>
      <c r="L119" s="6">
        <f t="shared" si="54"/>
        <v>-0.86615615827008685</v>
      </c>
      <c r="M119" s="6">
        <f t="shared" si="55"/>
        <v>-4.6869206679446829E-2</v>
      </c>
      <c r="N119" s="6">
        <f t="shared" si="56"/>
        <v>2.1967225347607031E-3</v>
      </c>
      <c r="O119" s="6">
        <f>_xlfn.XLOOKUP(D119,'Instructor 360'!$B$6:$B$365,'Instructor 360'!$B$6:$B$365,,-1)</f>
        <v>2448.4679665738163</v>
      </c>
      <c r="P119" s="6">
        <f>_xlfn.XLOOKUP(D119,'Instructor 360'!$B$6:$B$365,'Instructor 360'!$B$6:$B$365,,1)</f>
        <v>2456.824512534819</v>
      </c>
      <c r="Q119" s="6">
        <f>_xlfn.XLOOKUP(D119,'Instructor 360'!$B$6:$B$365,'Instructor 360'!$G$6:$G$365,,-1)</f>
        <v>-49.4238729805014</v>
      </c>
      <c r="R119" s="6">
        <f>_xlfn.XLOOKUP(D119,'Instructor 360'!$B$6:$B$365,'Instructor 360'!$G$6:$G$365,,1)</f>
        <v>-50.170829526462384</v>
      </c>
      <c r="S119" s="6">
        <f t="shared" si="57"/>
        <v>-49.627105650496588</v>
      </c>
      <c r="T119" s="6">
        <f t="shared" si="58"/>
        <v>-0.86615639183624771</v>
      </c>
      <c r="U119" s="6">
        <f t="shared" si="59"/>
        <v>-4.6868973113285972E-2</v>
      </c>
      <c r="V119" s="6"/>
      <c r="W119" s="6">
        <f t="shared" si="60"/>
        <v>2.1967006406939235E-3</v>
      </c>
      <c r="AA119">
        <f t="shared" si="61"/>
        <v>2456</v>
      </c>
      <c r="AB119">
        <f t="shared" si="62"/>
        <v>-0.91302536494953368</v>
      </c>
      <c r="AC119">
        <f t="shared" si="63"/>
        <v>-0.86615639183624771</v>
      </c>
      <c r="AE119">
        <f t="shared" si="64"/>
        <v>2456</v>
      </c>
      <c r="AF119">
        <f t="shared" si="65"/>
        <v>-52.3125</v>
      </c>
      <c r="AG119">
        <f t="shared" si="66"/>
        <v>-49.627105650496581</v>
      </c>
    </row>
    <row r="120" spans="1:33" ht="18.95" customHeight="1">
      <c r="A120" s="4">
        <f t="shared" si="67"/>
        <v>808</v>
      </c>
      <c r="B120" s="6">
        <f>INDEX('Raw Data'!$B$6:$B$1371,MATCH(A120,'Raw Data'!$A$6:$A$1371,0))</f>
        <v>17352</v>
      </c>
      <c r="C120" s="6">
        <f t="shared" si="51"/>
        <v>2477</v>
      </c>
      <c r="D120" s="6">
        <f>MOD(C120+Summary!$B$20,Summary!$B$11)</f>
        <v>2471.7416237989592</v>
      </c>
      <c r="E120" s="6">
        <f>_xlfn.XLOOKUP(D120,'Native PMKS'!$C$6:$C$366,'Native PMKS'!$C$6:$C$366,,-1)</f>
        <v>2466.666666666667</v>
      </c>
      <c r="F120" s="6">
        <f>_xlfn.XLOOKUP(D120,'Native PMKS'!$C$6:$C$366,'Native PMKS'!$C$6:$C$366,,1)</f>
        <v>2475</v>
      </c>
      <c r="G120" s="6">
        <f>_xlfn.XLOOKUP(D120,'Native PMKS'!$C$6:$C$366,'Native PMKS'!$O$6:$O$366,,-1)</f>
        <v>-51.107799999999997</v>
      </c>
      <c r="H120" s="6">
        <f>_xlfn.XLOOKUP(D120,'Native PMKS'!$C$6:$C$366,'Native PMKS'!$O$6:$O$366,,1)</f>
        <v>-51.852699999999999</v>
      </c>
      <c r="I120" s="6">
        <f t="shared" si="52"/>
        <v>-51.561440268141382</v>
      </c>
      <c r="J120" s="6">
        <f>INDEX('Raw Data'!$L$6:$L$1371,MATCH(A120,'Raw Data'!$A$6:$A$1371,0))</f>
        <v>-54.625</v>
      </c>
      <c r="K120" s="6">
        <f t="shared" si="53"/>
        <v>-0.95338610390190248</v>
      </c>
      <c r="L120" s="6">
        <f t="shared" si="54"/>
        <v>-0.89991689974945499</v>
      </c>
      <c r="M120" s="6">
        <f t="shared" si="55"/>
        <v>-5.3469204152447491E-2</v>
      </c>
      <c r="N120" s="6">
        <f t="shared" si="56"/>
        <v>2.8589557926961082E-3</v>
      </c>
      <c r="O120" s="6">
        <f>_xlfn.XLOOKUP(D120,'Instructor 360'!$B$6:$B$365,'Instructor 360'!$B$6:$B$365,,-1)</f>
        <v>2465.1810584958216</v>
      </c>
      <c r="P120" s="6">
        <f>_xlfn.XLOOKUP(D120,'Instructor 360'!$B$6:$B$365,'Instructor 360'!$B$6:$B$365,,1)</f>
        <v>2473.5376044568243</v>
      </c>
      <c r="Q120" s="6">
        <f>_xlfn.XLOOKUP(D120,'Instructor 360'!$B$6:$B$365,'Instructor 360'!$G$6:$G$365,,-1)</f>
        <v>-50.964807242339795</v>
      </c>
      <c r="R120" s="6">
        <f>_xlfn.XLOOKUP(D120,'Instructor 360'!$B$6:$B$365,'Instructor 360'!$G$6:$G$365,,1)</f>
        <v>-51.7219793871866</v>
      </c>
      <c r="S120" s="6">
        <f t="shared" si="57"/>
        <v>-51.559248692810598</v>
      </c>
      <c r="T120" s="6">
        <f t="shared" si="58"/>
        <v>-0.89987864954412733</v>
      </c>
      <c r="U120" s="6">
        <f t="shared" si="59"/>
        <v>-5.3507454357775153E-2</v>
      </c>
      <c r="V120" s="6"/>
      <c r="W120" s="6">
        <f t="shared" si="60"/>
        <v>2.8630476718493913E-3</v>
      </c>
      <c r="AA120">
        <f t="shared" si="61"/>
        <v>2477</v>
      </c>
      <c r="AB120">
        <f t="shared" si="62"/>
        <v>-0.95338610390190248</v>
      </c>
      <c r="AC120">
        <f t="shared" si="63"/>
        <v>-0.89987864954412733</v>
      </c>
      <c r="AE120">
        <f t="shared" si="64"/>
        <v>2477</v>
      </c>
      <c r="AF120">
        <f t="shared" si="65"/>
        <v>-54.625</v>
      </c>
      <c r="AG120">
        <f t="shared" si="66"/>
        <v>-51.559248692810598</v>
      </c>
    </row>
    <row r="121" spans="1:33" ht="18.95" customHeight="1">
      <c r="A121" s="4">
        <f t="shared" si="67"/>
        <v>809</v>
      </c>
      <c r="B121" s="6">
        <f>INDEX('Raw Data'!$B$6:$B$1371,MATCH(A121,'Raw Data'!$A$6:$A$1371,0))</f>
        <v>17373</v>
      </c>
      <c r="C121" s="6">
        <f t="shared" si="51"/>
        <v>2498</v>
      </c>
      <c r="D121" s="6">
        <f>MOD(C121+Summary!$B$20,Summary!$B$11)</f>
        <v>2492.7416237989592</v>
      </c>
      <c r="E121" s="6">
        <f>_xlfn.XLOOKUP(D121,'Native PMKS'!$C$6:$C$366,'Native PMKS'!$C$6:$C$366,,-1)</f>
        <v>2491.666666666667</v>
      </c>
      <c r="F121" s="6">
        <f>_xlfn.XLOOKUP(D121,'Native PMKS'!$C$6:$C$366,'Native PMKS'!$C$6:$C$366,,1)</f>
        <v>2500</v>
      </c>
      <c r="G121" s="6">
        <f>_xlfn.XLOOKUP(D121,'Native PMKS'!$C$6:$C$366,'Native PMKS'!$O$6:$O$366,,-1)</f>
        <v>-53.457000000000001</v>
      </c>
      <c r="H121" s="6">
        <f>_xlfn.XLOOKUP(D121,'Native PMKS'!$C$6:$C$366,'Native PMKS'!$O$6:$O$366,,1)</f>
        <v>-54.201799999999999</v>
      </c>
      <c r="I121" s="6">
        <f t="shared" si="52"/>
        <v>-53.553075368655755</v>
      </c>
      <c r="J121" s="6">
        <f>INDEX('Raw Data'!$L$6:$L$1371,MATCH(A121,'Raw Data'!$A$6:$A$1371,0))</f>
        <v>-56.1875</v>
      </c>
      <c r="K121" s="6">
        <f t="shared" si="53"/>
        <v>-0.98065687346431396</v>
      </c>
      <c r="L121" s="6">
        <f t="shared" si="54"/>
        <v>-0.93467748975171894</v>
      </c>
      <c r="M121" s="6">
        <f t="shared" si="55"/>
        <v>-4.5979383712595023E-2</v>
      </c>
      <c r="N121" s="6">
        <f t="shared" si="56"/>
        <v>2.1141037265900485E-3</v>
      </c>
      <c r="O121" s="6">
        <f>_xlfn.XLOOKUP(D121,'Instructor 360'!$B$6:$B$365,'Instructor 360'!$B$6:$B$365,,-1)</f>
        <v>2490.2506963788301</v>
      </c>
      <c r="P121" s="6">
        <f>_xlfn.XLOOKUP(D121,'Instructor 360'!$B$6:$B$365,'Instructor 360'!$B$6:$B$365,,1)</f>
        <v>2498.6072423398327</v>
      </c>
      <c r="Q121" s="6">
        <f>_xlfn.XLOOKUP(D121,'Instructor 360'!$B$6:$B$365,'Instructor 360'!$G$6:$G$365,,-1)</f>
        <v>-53.320693036211672</v>
      </c>
      <c r="R121" s="6">
        <f>_xlfn.XLOOKUP(D121,'Instructor 360'!$B$6:$B$365,'Instructor 360'!$G$6:$G$365,,1)</f>
        <v>-54.077320891364884</v>
      </c>
      <c r="S121" s="6">
        <f t="shared" si="57"/>
        <v>-53.546229409736071</v>
      </c>
      <c r="T121" s="6">
        <f t="shared" si="58"/>
        <v>-0.93455800522811416</v>
      </c>
      <c r="U121" s="6">
        <f t="shared" si="59"/>
        <v>-4.6098868236199797E-2</v>
      </c>
      <c r="V121" s="6"/>
      <c r="W121" s="6">
        <f t="shared" si="60"/>
        <v>2.1251056526585105E-3</v>
      </c>
      <c r="AA121">
        <f t="shared" si="61"/>
        <v>2498</v>
      </c>
      <c r="AB121">
        <f t="shared" si="62"/>
        <v>-0.98065687346431396</v>
      </c>
      <c r="AC121">
        <f t="shared" si="63"/>
        <v>-0.93455800522811416</v>
      </c>
      <c r="AE121">
        <f t="shared" si="64"/>
        <v>2498</v>
      </c>
      <c r="AF121">
        <f t="shared" si="65"/>
        <v>-56.1875</v>
      </c>
      <c r="AG121">
        <f t="shared" si="66"/>
        <v>-53.546229409736071</v>
      </c>
    </row>
    <row r="122" spans="1:33" ht="18.95" customHeight="1">
      <c r="A122" s="4">
        <f t="shared" si="67"/>
        <v>810</v>
      </c>
      <c r="B122" s="6">
        <f>INDEX('Raw Data'!$B$6:$B$1371,MATCH(A122,'Raw Data'!$A$6:$A$1371,0))</f>
        <v>17402</v>
      </c>
      <c r="C122" s="6">
        <f t="shared" si="51"/>
        <v>2527</v>
      </c>
      <c r="D122" s="6">
        <f>MOD(C122+Summary!$B$20,Summary!$B$11)</f>
        <v>2521.7416237989592</v>
      </c>
      <c r="E122" s="6">
        <f>_xlfn.XLOOKUP(D122,'Native PMKS'!$C$6:$C$366,'Native PMKS'!$C$6:$C$366,,-1)</f>
        <v>2516.666666666667</v>
      </c>
      <c r="F122" s="6">
        <f>_xlfn.XLOOKUP(D122,'Native PMKS'!$C$6:$C$366,'Native PMKS'!$C$6:$C$366,,1)</f>
        <v>2525</v>
      </c>
      <c r="G122" s="6">
        <f>_xlfn.XLOOKUP(D122,'Native PMKS'!$C$6:$C$366,'Native PMKS'!$O$6:$O$366,,-1)</f>
        <v>-55.806100000000001</v>
      </c>
      <c r="H122" s="6">
        <f>_xlfn.XLOOKUP(D122,'Native PMKS'!$C$6:$C$366,'Native PMKS'!$O$6:$O$366,,1)</f>
        <v>-56.550899999999999</v>
      </c>
      <c r="I122" s="6">
        <f t="shared" si="52"/>
        <v>-56.259679368655782</v>
      </c>
      <c r="J122" s="6">
        <f>INDEX('Raw Data'!$L$6:$L$1371,MATCH(A122,'Raw Data'!$A$6:$A$1371,0))</f>
        <v>-59.5</v>
      </c>
      <c r="K122" s="6">
        <f t="shared" si="53"/>
        <v>-1.0384709049366261</v>
      </c>
      <c r="L122" s="6">
        <f t="shared" si="54"/>
        <v>-0.98191664109936805</v>
      </c>
      <c r="M122" s="6">
        <f t="shared" si="55"/>
        <v>-5.6554263837258034E-2</v>
      </c>
      <c r="N122" s="6">
        <f t="shared" si="56"/>
        <v>3.1983847581741917E-3</v>
      </c>
      <c r="O122" s="6">
        <f>_xlfn.XLOOKUP(D122,'Instructor 360'!$B$6:$B$365,'Instructor 360'!$B$6:$B$365,,-1)</f>
        <v>2515.3203342618385</v>
      </c>
      <c r="P122" s="6">
        <f>_xlfn.XLOOKUP(D122,'Instructor 360'!$B$6:$B$365,'Instructor 360'!$B$6:$B$365,,1)</f>
        <v>2523.6768802228412</v>
      </c>
      <c r="Q122" s="6">
        <f>_xlfn.XLOOKUP(D122,'Instructor 360'!$B$6:$B$365,'Instructor 360'!$G$6:$G$365,,-1)</f>
        <v>-55.676496657381598</v>
      </c>
      <c r="R122" s="6">
        <f>_xlfn.XLOOKUP(D122,'Instructor 360'!$B$6:$B$365,'Instructor 360'!$G$6:$G$365,,1)</f>
        <v>-56.432644846796649</v>
      </c>
      <c r="S122" s="6">
        <f t="shared" si="57"/>
        <v>-56.257531750093619</v>
      </c>
      <c r="T122" s="6">
        <f t="shared" si="58"/>
        <v>-0.98187915808438142</v>
      </c>
      <c r="U122" s="6">
        <f t="shared" si="59"/>
        <v>-5.6591746852244662E-2</v>
      </c>
      <c r="V122" s="6"/>
      <c r="W122" s="6">
        <f t="shared" si="60"/>
        <v>3.2026258117885437E-3</v>
      </c>
      <c r="AA122">
        <f t="shared" si="61"/>
        <v>2527</v>
      </c>
      <c r="AB122">
        <f t="shared" si="62"/>
        <v>-1.0384709049366261</v>
      </c>
      <c r="AC122">
        <f t="shared" si="63"/>
        <v>-0.98187915808438142</v>
      </c>
      <c r="AE122">
        <f t="shared" si="64"/>
        <v>2527</v>
      </c>
      <c r="AF122">
        <f t="shared" si="65"/>
        <v>-59.5</v>
      </c>
      <c r="AG122">
        <f t="shared" si="66"/>
        <v>-56.257531750093619</v>
      </c>
    </row>
    <row r="123" spans="1:33" ht="18.95" customHeight="1">
      <c r="A123" s="4">
        <f t="shared" si="67"/>
        <v>811</v>
      </c>
      <c r="B123" s="6">
        <f>INDEX('Raw Data'!$B$6:$B$1371,MATCH(A123,'Raw Data'!$A$6:$A$1371,0))</f>
        <v>17423</v>
      </c>
      <c r="C123" s="6">
        <f t="shared" si="51"/>
        <v>2548</v>
      </c>
      <c r="D123" s="6">
        <f>MOD(C123+Summary!$B$20,Summary!$B$11)</f>
        <v>2542.7416237989592</v>
      </c>
      <c r="E123" s="6">
        <f>_xlfn.XLOOKUP(D123,'Native PMKS'!$C$6:$C$366,'Native PMKS'!$C$6:$C$366,,-1)</f>
        <v>2541.666666666667</v>
      </c>
      <c r="F123" s="6">
        <f>_xlfn.XLOOKUP(D123,'Native PMKS'!$C$6:$C$366,'Native PMKS'!$C$6:$C$366,,1)</f>
        <v>2550</v>
      </c>
      <c r="G123" s="6">
        <f>_xlfn.XLOOKUP(D123,'Native PMKS'!$C$6:$C$366,'Native PMKS'!$O$6:$O$366,,-1)</f>
        <v>-58.155200000000001</v>
      </c>
      <c r="H123" s="6">
        <f>_xlfn.XLOOKUP(D123,'Native PMKS'!$C$6:$C$366,'Native PMKS'!$O$6:$O$366,,1)</f>
        <v>-58.900100000000002</v>
      </c>
      <c r="I123" s="6">
        <f t="shared" si="52"/>
        <v>-58.251288268141337</v>
      </c>
      <c r="J123" s="6">
        <f>INDEX('Raw Data'!$L$6:$L$1371,MATCH(A123,'Raw Data'!$A$6:$A$1371,0))</f>
        <v>-60.5625</v>
      </c>
      <c r="K123" s="6">
        <f t="shared" si="53"/>
        <v>-1.0570150282390658</v>
      </c>
      <c r="L123" s="6">
        <f t="shared" si="54"/>
        <v>-1.0166767738074118</v>
      </c>
      <c r="M123" s="6">
        <f t="shared" si="55"/>
        <v>-4.0338254431653953E-2</v>
      </c>
      <c r="N123" s="6">
        <f t="shared" si="56"/>
        <v>1.6271747705928498E-3</v>
      </c>
      <c r="O123" s="6">
        <f>_xlfn.XLOOKUP(D123,'Instructor 360'!$B$6:$B$365,'Instructor 360'!$B$6:$B$365,,-1)</f>
        <v>2540.389972144847</v>
      </c>
      <c r="P123" s="6">
        <f>_xlfn.XLOOKUP(D123,'Instructor 360'!$B$6:$B$365,'Instructor 360'!$B$6:$B$365,,1)</f>
        <v>2548.7465181058496</v>
      </c>
      <c r="Q123" s="6">
        <f>_xlfn.XLOOKUP(D123,'Instructor 360'!$B$6:$B$365,'Instructor 360'!$G$6:$G$365,,-1)</f>
        <v>-58.032315598885788</v>
      </c>
      <c r="R123" s="6">
        <f>_xlfn.XLOOKUP(D123,'Instructor 360'!$B$6:$B$365,'Instructor 360'!$G$6:$G$365,,1)</f>
        <v>-58.788053760445685</v>
      </c>
      <c r="S123" s="6">
        <f t="shared" si="57"/>
        <v>-58.244991135644824</v>
      </c>
      <c r="T123" s="6">
        <f t="shared" si="58"/>
        <v>-1.0165668681119133</v>
      </c>
      <c r="U123" s="6">
        <f t="shared" si="59"/>
        <v>-4.0448160127152466E-2</v>
      </c>
      <c r="V123" s="6"/>
      <c r="W123" s="6">
        <f t="shared" si="60"/>
        <v>1.6360536576717666E-3</v>
      </c>
      <c r="AA123">
        <f t="shared" si="61"/>
        <v>2548</v>
      </c>
      <c r="AB123">
        <f t="shared" si="62"/>
        <v>-1.0570150282390658</v>
      </c>
      <c r="AC123">
        <f t="shared" si="63"/>
        <v>-1.0165668681119133</v>
      </c>
      <c r="AE123">
        <f t="shared" si="64"/>
        <v>2548</v>
      </c>
      <c r="AF123">
        <f t="shared" si="65"/>
        <v>-60.5625</v>
      </c>
      <c r="AG123">
        <f t="shared" si="66"/>
        <v>-58.244991135644831</v>
      </c>
    </row>
    <row r="124" spans="1:33" ht="18.95" customHeight="1">
      <c r="A124" s="4">
        <f t="shared" si="67"/>
        <v>812</v>
      </c>
      <c r="B124" s="6">
        <f>INDEX('Raw Data'!$B$6:$B$1371,MATCH(A124,'Raw Data'!$A$6:$A$1371,0))</f>
        <v>17444</v>
      </c>
      <c r="C124" s="6">
        <f t="shared" si="51"/>
        <v>2569</v>
      </c>
      <c r="D124" s="6">
        <f>MOD(C124+Summary!$B$20,Summary!$B$11)</f>
        <v>2563.7416237989592</v>
      </c>
      <c r="E124" s="6">
        <f>_xlfn.XLOOKUP(D124,'Native PMKS'!$C$6:$C$366,'Native PMKS'!$C$6:$C$366,,-1)</f>
        <v>2558.3333333333335</v>
      </c>
      <c r="F124" s="6">
        <f>_xlfn.XLOOKUP(D124,'Native PMKS'!$C$6:$C$366,'Native PMKS'!$C$6:$C$366,,1)</f>
        <v>2566.666666666667</v>
      </c>
      <c r="G124" s="6">
        <f>_xlfn.XLOOKUP(D124,'Native PMKS'!$C$6:$C$366,'Native PMKS'!$O$6:$O$366,,-1)</f>
        <v>-59.702199999999998</v>
      </c>
      <c r="H124" s="6">
        <f>_xlfn.XLOOKUP(D124,'Native PMKS'!$C$6:$C$366,'Native PMKS'!$O$6:$O$366,,1)</f>
        <v>-60.447000000000003</v>
      </c>
      <c r="I124" s="6">
        <f t="shared" si="52"/>
        <v>-60.185571368655758</v>
      </c>
      <c r="J124" s="6">
        <f>INDEX('Raw Data'!$L$6:$L$1371,MATCH(A124,'Raw Data'!$A$6:$A$1371,0))</f>
        <v>-63.3125</v>
      </c>
      <c r="K124" s="6">
        <f t="shared" si="53"/>
        <v>-1.10501158266891</v>
      </c>
      <c r="L124" s="6">
        <f t="shared" si="54"/>
        <v>-1.0504363825770728</v>
      </c>
      <c r="M124" s="6">
        <f t="shared" si="55"/>
        <v>-5.4575200091837139E-2</v>
      </c>
      <c r="N124" s="6">
        <f t="shared" si="56"/>
        <v>2.9784524650640605E-3</v>
      </c>
      <c r="O124" s="6">
        <f>_xlfn.XLOOKUP(D124,'Instructor 360'!$B$6:$B$365,'Instructor 360'!$B$6:$B$365,,-1)</f>
        <v>2557.1030640668523</v>
      </c>
      <c r="P124" s="6">
        <f>_xlfn.XLOOKUP(D124,'Instructor 360'!$B$6:$B$365,'Instructor 360'!$B$6:$B$365,,1)</f>
        <v>2565.459610027855</v>
      </c>
      <c r="Q124" s="6">
        <f>_xlfn.XLOOKUP(D124,'Instructor 360'!$B$6:$B$365,'Instructor 360'!$G$6:$G$365,,-1)</f>
        <v>-59.583784122562655</v>
      </c>
      <c r="R124" s="6">
        <f>_xlfn.XLOOKUP(D124,'Instructor 360'!$B$6:$B$365,'Instructor 360'!$G$6:$G$365,,1)</f>
        <v>-60.339118105849543</v>
      </c>
      <c r="S124" s="6">
        <f t="shared" si="57"/>
        <v>-60.183832251196264</v>
      </c>
      <c r="T124" s="6">
        <f t="shared" si="58"/>
        <v>-1.0504060292513258</v>
      </c>
      <c r="U124" s="6">
        <f t="shared" si="59"/>
        <v>-5.4605553417584218E-2</v>
      </c>
      <c r="V124" s="6"/>
      <c r="W124" s="6">
        <f t="shared" si="60"/>
        <v>2.9817664640406434E-3</v>
      </c>
      <c r="AA124">
        <f t="shared" si="61"/>
        <v>2569</v>
      </c>
      <c r="AB124">
        <f t="shared" si="62"/>
        <v>-1.10501158266891</v>
      </c>
      <c r="AC124">
        <f t="shared" si="63"/>
        <v>-1.0504060292513258</v>
      </c>
      <c r="AE124">
        <f t="shared" si="64"/>
        <v>2569</v>
      </c>
      <c r="AF124">
        <f t="shared" si="65"/>
        <v>-63.312500000000007</v>
      </c>
      <c r="AG124">
        <f t="shared" si="66"/>
        <v>-60.183832251196257</v>
      </c>
    </row>
    <row r="125" spans="1:33" ht="18.95" customHeight="1">
      <c r="A125" s="4">
        <f t="shared" si="67"/>
        <v>813</v>
      </c>
      <c r="B125" s="6">
        <f>INDEX('Raw Data'!$B$6:$B$1371,MATCH(A125,'Raw Data'!$A$6:$A$1371,0))</f>
        <v>17464</v>
      </c>
      <c r="C125" s="6">
        <f t="shared" si="51"/>
        <v>2589</v>
      </c>
      <c r="D125" s="6">
        <f>MOD(C125+Summary!$B$20,Summary!$B$11)</f>
        <v>2583.7416237989592</v>
      </c>
      <c r="E125" s="6">
        <f>_xlfn.XLOOKUP(D125,'Native PMKS'!$C$6:$C$366,'Native PMKS'!$C$6:$C$366,,-1)</f>
        <v>2583.3333333333335</v>
      </c>
      <c r="F125" s="6">
        <f>_xlfn.XLOOKUP(D125,'Native PMKS'!$C$6:$C$366,'Native PMKS'!$C$6:$C$366,,1)</f>
        <v>2591.666666666667</v>
      </c>
      <c r="G125" s="6">
        <f>_xlfn.XLOOKUP(D125,'Native PMKS'!$C$6:$C$366,'Native PMKS'!$O$6:$O$366,,-1)</f>
        <v>-61.994</v>
      </c>
      <c r="H125" s="6">
        <f>_xlfn.XLOOKUP(D125,'Native PMKS'!$C$6:$C$366,'Native PMKS'!$O$6:$O$366,,1)</f>
        <v>-62.738900000000001</v>
      </c>
      <c r="I125" s="6">
        <f t="shared" si="52"/>
        <v>-62.030496268141349</v>
      </c>
      <c r="J125" s="6">
        <f>INDEX('Raw Data'!$L$6:$L$1371,MATCH(A125,'Raw Data'!$A$6:$A$1371,0))</f>
        <v>-65.3125</v>
      </c>
      <c r="K125" s="6">
        <f t="shared" si="53"/>
        <v>-1.1399181677087964</v>
      </c>
      <c r="L125" s="6">
        <f t="shared" si="54"/>
        <v>-1.0826363965251218</v>
      </c>
      <c r="M125" s="6">
        <f t="shared" si="55"/>
        <v>-5.7281771183674612E-2</v>
      </c>
      <c r="N125" s="6">
        <f t="shared" si="56"/>
        <v>3.281201309938855E-3</v>
      </c>
      <c r="O125" s="6">
        <f>_xlfn.XLOOKUP(D125,'Instructor 360'!$B$6:$B$365,'Instructor 360'!$B$6:$B$365,,-1)</f>
        <v>2582.1727019498608</v>
      </c>
      <c r="P125" s="6">
        <f>_xlfn.XLOOKUP(D125,'Instructor 360'!$B$6:$B$365,'Instructor 360'!$B$6:$B$365,,1)</f>
        <v>2590.5292479108634</v>
      </c>
      <c r="Q125" s="6">
        <f>_xlfn.XLOOKUP(D125,'Instructor 360'!$B$6:$B$365,'Instructor 360'!$G$6:$G$365,,-1)</f>
        <v>-61.890267409470745</v>
      </c>
      <c r="R125" s="6">
        <f>_xlfn.XLOOKUP(D125,'Instructor 360'!$B$6:$B$365,'Instructor 360'!$G$6:$G$365,,1)</f>
        <v>-62.637228412256235</v>
      </c>
      <c r="S125" s="6">
        <f t="shared" si="57"/>
        <v>-62.030507580848194</v>
      </c>
      <c r="T125" s="6">
        <f t="shared" si="58"/>
        <v>-1.0826365939691036</v>
      </c>
      <c r="U125" s="6">
        <f t="shared" si="59"/>
        <v>-5.7281573739692782E-2</v>
      </c>
      <c r="V125" s="6"/>
      <c r="W125" s="6">
        <f t="shared" si="60"/>
        <v>3.2811786900958616E-3</v>
      </c>
      <c r="AA125">
        <f t="shared" si="61"/>
        <v>2589</v>
      </c>
      <c r="AB125">
        <f t="shared" si="62"/>
        <v>-1.1399181677087964</v>
      </c>
      <c r="AC125">
        <f t="shared" si="63"/>
        <v>-1.0826365939691036</v>
      </c>
      <c r="AE125">
        <f t="shared" si="64"/>
        <v>2589</v>
      </c>
      <c r="AF125">
        <f t="shared" si="65"/>
        <v>-65.3125</v>
      </c>
      <c r="AG125">
        <f t="shared" si="66"/>
        <v>-62.030507580848194</v>
      </c>
    </row>
    <row r="126" spans="1:33" ht="18.95" customHeight="1">
      <c r="A126" s="4">
        <f t="shared" si="67"/>
        <v>814</v>
      </c>
      <c r="B126" s="6">
        <f>INDEX('Raw Data'!$B$6:$B$1371,MATCH(A126,'Raw Data'!$A$6:$A$1371,0))</f>
        <v>17485</v>
      </c>
      <c r="C126" s="6">
        <f t="shared" si="51"/>
        <v>2610</v>
      </c>
      <c r="D126" s="6">
        <f>MOD(C126+Summary!$B$20,Summary!$B$11)</f>
        <v>2604.7416237989592</v>
      </c>
      <c r="E126" s="6">
        <f>_xlfn.XLOOKUP(D126,'Native PMKS'!$C$6:$C$366,'Native PMKS'!$C$6:$C$366,,-1)</f>
        <v>2600</v>
      </c>
      <c r="F126" s="6">
        <f>_xlfn.XLOOKUP(D126,'Native PMKS'!$C$6:$C$366,'Native PMKS'!$C$6:$C$366,,1)</f>
        <v>2608.3333333333335</v>
      </c>
      <c r="G126" s="6">
        <f>_xlfn.XLOOKUP(D126,'Native PMKS'!$C$6:$C$366,'Native PMKS'!$O$6:$O$366,,-1)</f>
        <v>-63.540999999999997</v>
      </c>
      <c r="H126" s="6">
        <f>_xlfn.XLOOKUP(D126,'Native PMKS'!$C$6:$C$366,'Native PMKS'!$O$6:$O$366,,1)</f>
        <v>-64.2286</v>
      </c>
      <c r="I126" s="6">
        <f t="shared" si="52"/>
        <v>-63.932240862899704</v>
      </c>
      <c r="J126" s="6">
        <f>INDEX('Raw Data'!$L$6:$L$1371,MATCH(A126,'Raw Data'!$A$6:$A$1371,0))</f>
        <v>-66.6875</v>
      </c>
      <c r="K126" s="6">
        <f t="shared" si="53"/>
        <v>-1.1639164449237185</v>
      </c>
      <c r="L126" s="6">
        <f t="shared" si="54"/>
        <v>-1.1158281012356603</v>
      </c>
      <c r="M126" s="6">
        <f t="shared" si="55"/>
        <v>-4.8088343688058144E-2</v>
      </c>
      <c r="N126" s="6">
        <f t="shared" si="56"/>
        <v>2.3124887986608017E-3</v>
      </c>
      <c r="O126" s="6">
        <f>_xlfn.XLOOKUP(D126,'Instructor 360'!$B$6:$B$365,'Instructor 360'!$B$6:$B$365,,-1)</f>
        <v>2598.8857938718661</v>
      </c>
      <c r="P126" s="6">
        <f>_xlfn.XLOOKUP(D126,'Instructor 360'!$B$6:$B$365,'Instructor 360'!$B$6:$B$365,,1)</f>
        <v>2607.2423398328692</v>
      </c>
      <c r="Q126" s="6">
        <f>_xlfn.XLOOKUP(D126,'Instructor 360'!$B$6:$B$365,'Instructor 360'!$G$6:$G$365,,-1)</f>
        <v>-63.433755431754847</v>
      </c>
      <c r="R126" s="6">
        <f>_xlfn.XLOOKUP(D126,'Instructor 360'!$B$6:$B$365,'Instructor 360'!$G$6:$G$365,,1)</f>
        <v>-64.138579944289688</v>
      </c>
      <c r="S126" s="6">
        <f t="shared" si="57"/>
        <v>-63.927659551125601</v>
      </c>
      <c r="T126" s="6">
        <f t="shared" si="58"/>
        <v>-1.1157481422611419</v>
      </c>
      <c r="U126" s="6">
        <f t="shared" si="59"/>
        <v>-4.8168302662576545E-2</v>
      </c>
      <c r="V126" s="6"/>
      <c r="W126" s="6">
        <f t="shared" si="60"/>
        <v>2.3201853813935788E-3</v>
      </c>
      <c r="AA126">
        <f t="shared" si="61"/>
        <v>2610</v>
      </c>
      <c r="AB126">
        <f t="shared" si="62"/>
        <v>-1.1639164449237185</v>
      </c>
      <c r="AC126">
        <f t="shared" si="63"/>
        <v>-1.1157481422611419</v>
      </c>
      <c r="AE126">
        <f t="shared" si="64"/>
        <v>2610</v>
      </c>
      <c r="AF126">
        <f t="shared" si="65"/>
        <v>-66.6875</v>
      </c>
      <c r="AG126">
        <f t="shared" si="66"/>
        <v>-63.927659551125601</v>
      </c>
    </row>
    <row r="127" spans="1:33" ht="18.95" customHeight="1">
      <c r="A127" s="4">
        <f t="shared" si="67"/>
        <v>815</v>
      </c>
      <c r="B127" s="6">
        <f>INDEX('Raw Data'!$B$6:$B$1371,MATCH(A127,'Raw Data'!$A$6:$A$1371,0))</f>
        <v>17507</v>
      </c>
      <c r="C127" s="6">
        <f t="shared" si="51"/>
        <v>2632</v>
      </c>
      <c r="D127" s="6">
        <f>MOD(C127+Summary!$B$20,Summary!$B$11)</f>
        <v>2626.7416237989592</v>
      </c>
      <c r="E127" s="6">
        <f>_xlfn.XLOOKUP(D127,'Native PMKS'!$C$6:$C$366,'Native PMKS'!$C$6:$C$366,,-1)</f>
        <v>2625</v>
      </c>
      <c r="F127" s="6">
        <f>_xlfn.XLOOKUP(D127,'Native PMKS'!$C$6:$C$366,'Native PMKS'!$C$6:$C$366,,1)</f>
        <v>2633.3333333333335</v>
      </c>
      <c r="G127" s="6">
        <f>_xlfn.XLOOKUP(D127,'Native PMKS'!$C$6:$C$366,'Native PMKS'!$O$6:$O$366,,-1)</f>
        <v>-65.718299999999999</v>
      </c>
      <c r="H127" s="6">
        <f>_xlfn.XLOOKUP(D127,'Native PMKS'!$C$6:$C$366,'Native PMKS'!$O$6:$O$366,,1)</f>
        <v>-66.405799999999999</v>
      </c>
      <c r="I127" s="6">
        <f t="shared" si="52"/>
        <v>-65.861983963414104</v>
      </c>
      <c r="J127" s="6">
        <f>INDEX('Raw Data'!$L$6:$L$1371,MATCH(A127,'Raw Data'!$A$6:$A$1371,0))</f>
        <v>-68.125</v>
      </c>
      <c r="K127" s="6">
        <f t="shared" si="53"/>
        <v>-1.189005552921137</v>
      </c>
      <c r="L127" s="6">
        <f t="shared" si="54"/>
        <v>-1.1495084720572808</v>
      </c>
      <c r="M127" s="6">
        <f t="shared" si="55"/>
        <v>-3.9497080863856171E-2</v>
      </c>
      <c r="N127" s="6">
        <f t="shared" si="56"/>
        <v>1.5600193967659933E-3</v>
      </c>
      <c r="O127" s="6">
        <f>_xlfn.XLOOKUP(D127,'Instructor 360'!$B$6:$B$365,'Instructor 360'!$B$6:$B$365,,-1)</f>
        <v>2623.9554317548746</v>
      </c>
      <c r="P127" s="6">
        <f>_xlfn.XLOOKUP(D127,'Instructor 360'!$B$6:$B$365,'Instructor 360'!$B$6:$B$365,,1)</f>
        <v>2632.3119777158772</v>
      </c>
      <c r="Q127" s="6">
        <f>_xlfn.XLOOKUP(D127,'Instructor 360'!$B$6:$B$365,'Instructor 360'!$G$6:$G$365,,-1)</f>
        <v>-65.624928133704728</v>
      </c>
      <c r="R127" s="6">
        <f>_xlfn.XLOOKUP(D127,'Instructor 360'!$B$6:$B$365,'Instructor 360'!$G$6:$G$365,,1)</f>
        <v>-66.321538161559857</v>
      </c>
      <c r="S127" s="6">
        <f t="shared" si="57"/>
        <v>-65.857187888691669</v>
      </c>
      <c r="T127" s="6">
        <f t="shared" si="58"/>
        <v>-1.1494247647622025</v>
      </c>
      <c r="U127" s="6">
        <f t="shared" si="59"/>
        <v>-3.958078815893451E-2</v>
      </c>
      <c r="V127" s="6"/>
      <c r="W127" s="6">
        <f t="shared" si="60"/>
        <v>1.5666387912824503E-3</v>
      </c>
      <c r="AA127">
        <f t="shared" si="61"/>
        <v>2632</v>
      </c>
      <c r="AB127">
        <f t="shared" si="62"/>
        <v>-1.189005552921137</v>
      </c>
      <c r="AC127">
        <f t="shared" si="63"/>
        <v>-1.1494247647622025</v>
      </c>
      <c r="AE127">
        <f t="shared" si="64"/>
        <v>2632</v>
      </c>
      <c r="AF127">
        <f t="shared" si="65"/>
        <v>-68.125</v>
      </c>
      <c r="AG127">
        <f t="shared" si="66"/>
        <v>-65.857187888691669</v>
      </c>
    </row>
    <row r="128" spans="1:33" ht="18.95" customHeight="1">
      <c r="A128" s="4">
        <f t="shared" si="67"/>
        <v>816</v>
      </c>
      <c r="B128" s="6">
        <f>INDEX('Raw Data'!$B$6:$B$1371,MATCH(A128,'Raw Data'!$A$6:$A$1371,0))</f>
        <v>17528</v>
      </c>
      <c r="C128" s="6">
        <f t="shared" si="51"/>
        <v>2653</v>
      </c>
      <c r="D128" s="6">
        <f>MOD(C128+Summary!$B$20,Summary!$B$11)</f>
        <v>2647.7416237989592</v>
      </c>
      <c r="E128" s="6">
        <f>_xlfn.XLOOKUP(D128,'Native PMKS'!$C$6:$C$366,'Native PMKS'!$C$6:$C$366,,-1)</f>
        <v>2641.666666666667</v>
      </c>
      <c r="F128" s="6">
        <f>_xlfn.XLOOKUP(D128,'Native PMKS'!$C$6:$C$366,'Native PMKS'!$C$6:$C$366,,1)</f>
        <v>2650</v>
      </c>
      <c r="G128" s="6">
        <f>_xlfn.XLOOKUP(D128,'Native PMKS'!$C$6:$C$366,'Native PMKS'!$O$6:$O$366,,-1)</f>
        <v>-67.093400000000003</v>
      </c>
      <c r="H128" s="6">
        <f>_xlfn.XLOOKUP(D128,'Native PMKS'!$C$6:$C$366,'Native PMKS'!$O$6:$O$366,,1)</f>
        <v>-67.780900000000003</v>
      </c>
      <c r="I128" s="6">
        <f t="shared" si="52"/>
        <v>-67.594583963414124</v>
      </c>
      <c r="J128" s="6">
        <f>INDEX('Raw Data'!$L$6:$L$1371,MATCH(A128,'Raw Data'!$A$6:$A$1371,0))</f>
        <v>-68</v>
      </c>
      <c r="K128" s="6">
        <f t="shared" si="53"/>
        <v>-1.1868238913561442</v>
      </c>
      <c r="L128" s="6">
        <f t="shared" si="54"/>
        <v>-1.1797480466773347</v>
      </c>
      <c r="M128" s="6">
        <f t="shared" si="55"/>
        <v>-7.0758446788095064E-3</v>
      </c>
      <c r="N128" s="6">
        <f t="shared" si="56"/>
        <v>5.0067577918636808E-5</v>
      </c>
      <c r="O128" s="6">
        <f>_xlfn.XLOOKUP(D128,'Instructor 360'!$B$6:$B$365,'Instructor 360'!$B$6:$B$365,,-1)</f>
        <v>2640.6685236768803</v>
      </c>
      <c r="P128" s="6">
        <f>_xlfn.XLOOKUP(D128,'Instructor 360'!$B$6:$B$365,'Instructor 360'!$B$6:$B$365,,1)</f>
        <v>2649.025069637883</v>
      </c>
      <c r="Q128" s="6">
        <f>_xlfn.XLOOKUP(D128,'Instructor 360'!$B$6:$B$365,'Instructor 360'!$G$6:$G$365,,-1)</f>
        <v>-67.011041225626727</v>
      </c>
      <c r="R128" s="6">
        <f>_xlfn.XLOOKUP(D128,'Instructor 360'!$B$6:$B$365,'Instructor 360'!$G$6:$G$365,,1)</f>
        <v>-67.70046824512535</v>
      </c>
      <c r="S128" s="6">
        <f t="shared" si="57"/>
        <v>-67.594582123808408</v>
      </c>
      <c r="T128" s="6">
        <f t="shared" si="58"/>
        <v>-1.1797480145701582</v>
      </c>
      <c r="U128" s="6">
        <f t="shared" si="59"/>
        <v>-7.0758767859859795E-3</v>
      </c>
      <c r="V128" s="6"/>
      <c r="W128" s="6">
        <f t="shared" si="60"/>
        <v>5.0068032290455272E-5</v>
      </c>
      <c r="AA128">
        <f t="shared" si="61"/>
        <v>2653</v>
      </c>
      <c r="AB128">
        <f t="shared" si="62"/>
        <v>-1.1868238913561442</v>
      </c>
      <c r="AC128">
        <f t="shared" si="63"/>
        <v>-1.1797480145701582</v>
      </c>
      <c r="AE128">
        <f t="shared" si="64"/>
        <v>2653</v>
      </c>
      <c r="AF128">
        <f t="shared" si="65"/>
        <v>-68</v>
      </c>
      <c r="AG128">
        <f t="shared" si="66"/>
        <v>-67.594582123808422</v>
      </c>
    </row>
    <row r="129" spans="1:33" ht="18.95" customHeight="1">
      <c r="A129" s="4">
        <f t="shared" si="67"/>
        <v>817</v>
      </c>
      <c r="B129" s="6">
        <f>INDEX('Raw Data'!$B$6:$B$1371,MATCH(A129,'Raw Data'!$A$6:$A$1371,0))</f>
        <v>17548</v>
      </c>
      <c r="C129" s="6">
        <f t="shared" si="51"/>
        <v>2673</v>
      </c>
      <c r="D129" s="6">
        <f>MOD(C129+Summary!$B$20,Summary!$B$11)</f>
        <v>2667.7416237989592</v>
      </c>
      <c r="E129" s="6">
        <f>_xlfn.XLOOKUP(D129,'Native PMKS'!$C$6:$C$366,'Native PMKS'!$C$6:$C$366,,-1)</f>
        <v>2666.666666666667</v>
      </c>
      <c r="F129" s="6">
        <f>_xlfn.XLOOKUP(D129,'Native PMKS'!$C$6:$C$366,'Native PMKS'!$C$6:$C$366,,1)</f>
        <v>2675</v>
      </c>
      <c r="G129" s="6">
        <f>_xlfn.XLOOKUP(D129,'Native PMKS'!$C$6:$C$366,'Native PMKS'!$O$6:$O$366,,-1)</f>
        <v>-69.098699999999994</v>
      </c>
      <c r="H129" s="6">
        <f>_xlfn.XLOOKUP(D129,'Native PMKS'!$C$6:$C$366,'Native PMKS'!$O$6:$O$366,,1)</f>
        <v>-69.728999999999999</v>
      </c>
      <c r="I129" s="6">
        <f t="shared" si="52"/>
        <v>-69.180005457658041</v>
      </c>
      <c r="J129" s="6">
        <f>INDEX('Raw Data'!$L$6:$L$1371,MATCH(A129,'Raw Data'!$A$6:$A$1371,0))</f>
        <v>-70.9375</v>
      </c>
      <c r="K129" s="6">
        <f t="shared" si="53"/>
        <v>-1.2380929381334775</v>
      </c>
      <c r="L129" s="6">
        <f t="shared" si="54"/>
        <v>-1.2074188717837795</v>
      </c>
      <c r="M129" s="6">
        <f t="shared" si="55"/>
        <v>-3.0674066349698048E-2</v>
      </c>
      <c r="N129" s="6">
        <f t="shared" si="56"/>
        <v>9.4089834642567809E-4</v>
      </c>
      <c r="O129" s="6">
        <f>_xlfn.XLOOKUP(D129,'Instructor 360'!$B$6:$B$365,'Instructor 360'!$B$6:$B$365,,-1)</f>
        <v>2665.7381615598883</v>
      </c>
      <c r="P129" s="6">
        <f>_xlfn.XLOOKUP(D129,'Instructor 360'!$B$6:$B$365,'Instructor 360'!$B$6:$B$365,,1)</f>
        <v>2674.0947075208915</v>
      </c>
      <c r="Q129" s="6">
        <f>_xlfn.XLOOKUP(D129,'Instructor 360'!$B$6:$B$365,'Instructor 360'!$G$6:$G$365,,-1)</f>
        <v>-69.028482729804963</v>
      </c>
      <c r="R129" s="6">
        <f>_xlfn.XLOOKUP(D129,'Instructor 360'!$B$6:$B$365,'Instructor 360'!$G$6:$G$365,,1)</f>
        <v>-69.660527298050141</v>
      </c>
      <c r="S129" s="6">
        <f t="shared" si="57"/>
        <v>-69.180013928436381</v>
      </c>
      <c r="T129" s="6">
        <f t="shared" si="58"/>
        <v>-1.2074190196267516</v>
      </c>
      <c r="U129" s="6">
        <f t="shared" si="59"/>
        <v>-3.0673918506725961E-2</v>
      </c>
      <c r="V129" s="6"/>
      <c r="W129" s="6">
        <f t="shared" si="60"/>
        <v>9.4088927655726546E-4</v>
      </c>
      <c r="AA129">
        <f t="shared" si="61"/>
        <v>2673</v>
      </c>
      <c r="AB129">
        <f t="shared" si="62"/>
        <v>-1.2380929381334775</v>
      </c>
      <c r="AC129">
        <f t="shared" si="63"/>
        <v>-1.2074190196267516</v>
      </c>
      <c r="AE129">
        <f t="shared" si="64"/>
        <v>2673</v>
      </c>
      <c r="AF129">
        <f t="shared" si="65"/>
        <v>-70.9375</v>
      </c>
      <c r="AG129">
        <f t="shared" si="66"/>
        <v>-69.180013928436381</v>
      </c>
    </row>
    <row r="130" spans="1:33" ht="18.95" customHeight="1">
      <c r="A130" s="4">
        <f t="shared" si="67"/>
        <v>818</v>
      </c>
      <c r="B130" s="6">
        <f>INDEX('Raw Data'!$B$6:$B$1371,MATCH(A130,'Raw Data'!$A$6:$A$1371,0))</f>
        <v>17568</v>
      </c>
      <c r="C130" s="6">
        <f t="shared" si="51"/>
        <v>2693</v>
      </c>
      <c r="D130" s="6">
        <f>MOD(C130+Summary!$B$20,Summary!$B$11)</f>
        <v>2687.7416237989592</v>
      </c>
      <c r="E130" s="6">
        <f>_xlfn.XLOOKUP(D130,'Native PMKS'!$C$6:$C$366,'Native PMKS'!$C$6:$C$366,,-1)</f>
        <v>2683.3333333333335</v>
      </c>
      <c r="F130" s="6">
        <f>_xlfn.XLOOKUP(D130,'Native PMKS'!$C$6:$C$366,'Native PMKS'!$C$6:$C$366,,1)</f>
        <v>2691.666666666667</v>
      </c>
      <c r="G130" s="6">
        <f>_xlfn.XLOOKUP(D130,'Native PMKS'!$C$6:$C$366,'Native PMKS'!$O$6:$O$366,,-1)</f>
        <v>-70.301900000000003</v>
      </c>
      <c r="H130" s="6">
        <f>_xlfn.XLOOKUP(D130,'Native PMKS'!$C$6:$C$366,'Native PMKS'!$O$6:$O$366,,1)</f>
        <v>-70.932199999999995</v>
      </c>
      <c r="I130" s="6">
        <f t="shared" si="52"/>
        <v>-70.63532545765807</v>
      </c>
      <c r="J130" s="6">
        <f>INDEX('Raw Data'!$L$6:$L$1371,MATCH(A130,'Raw Data'!$A$6:$A$1371,0))</f>
        <v>-71.375</v>
      </c>
      <c r="K130" s="6">
        <f t="shared" si="53"/>
        <v>-1.2457287536109527</v>
      </c>
      <c r="L130" s="6">
        <f t="shared" si="54"/>
        <v>-1.2328189974539039</v>
      </c>
      <c r="M130" s="6">
        <f t="shared" si="55"/>
        <v>-1.2909756157048813E-2</v>
      </c>
      <c r="N130" s="6">
        <f t="shared" si="56"/>
        <v>1.6666180403445972E-4</v>
      </c>
      <c r="O130" s="6">
        <f>_xlfn.XLOOKUP(D130,'Instructor 360'!$B$6:$B$365,'Instructor 360'!$B$6:$B$365,,-1)</f>
        <v>2682.4512534818941</v>
      </c>
      <c r="P130" s="6">
        <f>_xlfn.XLOOKUP(D130,'Instructor 360'!$B$6:$B$365,'Instructor 360'!$B$6:$B$365,,1)</f>
        <v>2690.8077994428968</v>
      </c>
      <c r="Q130" s="6">
        <f>_xlfn.XLOOKUP(D130,'Instructor 360'!$B$6:$B$365,'Instructor 360'!$G$6:$G$365,,-1)</f>
        <v>-70.24125877437325</v>
      </c>
      <c r="R130" s="6">
        <f>_xlfn.XLOOKUP(D130,'Instructor 360'!$B$6:$B$365,'Instructor 360'!$G$6:$G$365,,1)</f>
        <v>-70.867238718662918</v>
      </c>
      <c r="S130" s="6">
        <f t="shared" si="57"/>
        <v>-70.637554771762893</v>
      </c>
      <c r="T130" s="6">
        <f t="shared" si="58"/>
        <v>-1.2328579063250942</v>
      </c>
      <c r="U130" s="6">
        <f t="shared" si="59"/>
        <v>-1.2870847285858522E-2</v>
      </c>
      <c r="V130" s="6"/>
      <c r="W130" s="6">
        <f t="shared" si="60"/>
        <v>1.6565870985589168E-4</v>
      </c>
      <c r="AA130">
        <f t="shared" si="61"/>
        <v>2693</v>
      </c>
      <c r="AB130">
        <f t="shared" si="62"/>
        <v>-1.2457287536109527</v>
      </c>
      <c r="AC130">
        <f t="shared" si="63"/>
        <v>-1.2328579063250942</v>
      </c>
      <c r="AE130">
        <f t="shared" si="64"/>
        <v>2693</v>
      </c>
      <c r="AF130">
        <f t="shared" si="65"/>
        <v>-71.375</v>
      </c>
      <c r="AG130">
        <f t="shared" si="66"/>
        <v>-70.637554771762893</v>
      </c>
    </row>
    <row r="131" spans="1:33" ht="18.95" customHeight="1">
      <c r="A131" s="4">
        <f t="shared" si="67"/>
        <v>819</v>
      </c>
      <c r="B131" s="6">
        <f>INDEX('Raw Data'!$B$6:$B$1371,MATCH(A131,'Raw Data'!$A$6:$A$1371,0))</f>
        <v>17589</v>
      </c>
      <c r="C131" s="6">
        <f t="shared" si="51"/>
        <v>2714</v>
      </c>
      <c r="D131" s="6">
        <f>MOD(C131+Summary!$B$20,Summary!$B$11)</f>
        <v>2708.7416237989592</v>
      </c>
      <c r="E131" s="6">
        <f>_xlfn.XLOOKUP(D131,'Native PMKS'!$C$6:$C$366,'Native PMKS'!$C$6:$C$366,,-1)</f>
        <v>2708.3333333333335</v>
      </c>
      <c r="F131" s="6">
        <f>_xlfn.XLOOKUP(D131,'Native PMKS'!$C$6:$C$366,'Native PMKS'!$C$6:$C$366,,1)</f>
        <v>2716.666666666667</v>
      </c>
      <c r="G131" s="6">
        <f>_xlfn.XLOOKUP(D131,'Native PMKS'!$C$6:$C$366,'Native PMKS'!$O$6:$O$366,,-1)</f>
        <v>-71.963499999999996</v>
      </c>
      <c r="H131" s="6">
        <f>_xlfn.XLOOKUP(D131,'Native PMKS'!$C$6:$C$366,'Native PMKS'!$O$6:$O$366,,1)</f>
        <v>-72.479200000000006</v>
      </c>
      <c r="I131" s="6">
        <f t="shared" si="52"/>
        <v>-71.988766647174799</v>
      </c>
      <c r="J131" s="6">
        <f>INDEX('Raw Data'!$L$6:$L$1371,MATCH(A131,'Raw Data'!$A$6:$A$1371,0))</f>
        <v>-73.75</v>
      </c>
      <c r="K131" s="6">
        <f t="shared" si="53"/>
        <v>-1.2871803233458181</v>
      </c>
      <c r="L131" s="6">
        <f t="shared" si="54"/>
        <v>-1.2564410024430792</v>
      </c>
      <c r="M131" s="6">
        <f t="shared" si="55"/>
        <v>-3.0739320902738898E-2</v>
      </c>
      <c r="N131" s="6">
        <f t="shared" si="56"/>
        <v>9.4490584956156054E-4</v>
      </c>
      <c r="O131" s="6">
        <f>_xlfn.XLOOKUP(D131,'Instructor 360'!$B$6:$B$365,'Instructor 360'!$B$6:$B$365,,-1)</f>
        <v>2707.5208913649026</v>
      </c>
      <c r="P131" s="6">
        <f>_xlfn.XLOOKUP(D131,'Instructor 360'!$B$6:$B$365,'Instructor 360'!$B$6:$B$365,,1)</f>
        <v>2715.8774373259052</v>
      </c>
      <c r="Q131" s="6">
        <f>_xlfn.XLOOKUP(D131,'Instructor 360'!$B$6:$B$365,'Instructor 360'!$G$6:$G$365,,-1)</f>
        <v>-71.913222841225618</v>
      </c>
      <c r="R131" s="6">
        <f>_xlfn.XLOOKUP(D131,'Instructor 360'!$B$6:$B$365,'Instructor 360'!$G$6:$G$365,,1)</f>
        <v>-72.430359331476311</v>
      </c>
      <c r="S131" s="6">
        <f t="shared" si="57"/>
        <v>-71.988766647174771</v>
      </c>
      <c r="T131" s="6">
        <f t="shared" si="58"/>
        <v>-1.2564410024430788</v>
      </c>
      <c r="U131" s="6">
        <f t="shared" si="59"/>
        <v>-3.0739320902739342E-2</v>
      </c>
      <c r="V131" s="6"/>
      <c r="W131" s="6">
        <f t="shared" si="60"/>
        <v>9.4490584956158786E-4</v>
      </c>
      <c r="AA131">
        <f t="shared" si="61"/>
        <v>2714</v>
      </c>
      <c r="AB131">
        <f t="shared" si="62"/>
        <v>-1.2871803233458181</v>
      </c>
      <c r="AC131">
        <f t="shared" si="63"/>
        <v>-1.2564410024430788</v>
      </c>
      <c r="AE131">
        <f t="shared" si="64"/>
        <v>2714</v>
      </c>
      <c r="AF131">
        <f t="shared" si="65"/>
        <v>-73.75</v>
      </c>
      <c r="AG131">
        <f t="shared" si="66"/>
        <v>-71.988766647174771</v>
      </c>
    </row>
    <row r="132" spans="1:33" ht="18.95" customHeight="1">
      <c r="A132" s="4">
        <f t="shared" si="67"/>
        <v>820</v>
      </c>
      <c r="B132" s="6">
        <f>INDEX('Raw Data'!$B$6:$B$1371,MATCH(A132,'Raw Data'!$A$6:$A$1371,0))</f>
        <v>17609</v>
      </c>
      <c r="C132" s="6">
        <f t="shared" si="51"/>
        <v>2734</v>
      </c>
      <c r="D132" s="6">
        <f>MOD(C132+Summary!$B$20,Summary!$B$11)</f>
        <v>2728.7416237989592</v>
      </c>
      <c r="E132" s="6">
        <f>_xlfn.XLOOKUP(D132,'Native PMKS'!$C$6:$C$366,'Native PMKS'!$C$6:$C$366,,-1)</f>
        <v>2725</v>
      </c>
      <c r="F132" s="6">
        <f>_xlfn.XLOOKUP(D132,'Native PMKS'!$C$6:$C$366,'Native PMKS'!$C$6:$C$366,,1)</f>
        <v>2733.3333333333335</v>
      </c>
      <c r="G132" s="6">
        <f>_xlfn.XLOOKUP(D132,'Native PMKS'!$C$6:$C$366,'Native PMKS'!$O$6:$O$366,,-1)</f>
        <v>-72.9375</v>
      </c>
      <c r="H132" s="6">
        <f>_xlfn.XLOOKUP(D132,'Native PMKS'!$C$6:$C$366,'Native PMKS'!$O$6:$O$366,,1)</f>
        <v>-73.395899999999997</v>
      </c>
      <c r="I132" s="6">
        <f t="shared" si="52"/>
        <v>-73.143319241933114</v>
      </c>
      <c r="J132" s="6">
        <f>INDEX('Raw Data'!$L$6:$L$1371,MATCH(A132,'Raw Data'!$A$6:$A$1371,0))</f>
        <v>-73.5625</v>
      </c>
      <c r="K132" s="6">
        <f t="shared" si="53"/>
        <v>-1.2839078309983287</v>
      </c>
      <c r="L132" s="6">
        <f t="shared" si="54"/>
        <v>-1.2765917466090557</v>
      </c>
      <c r="M132" s="6">
        <f t="shared" si="55"/>
        <v>-7.3160843892730032E-3</v>
      </c>
      <c r="N132" s="6">
        <f t="shared" si="56"/>
        <v>5.3525090790964129E-5</v>
      </c>
      <c r="O132" s="6">
        <f>_xlfn.XLOOKUP(D132,'Instructor 360'!$B$6:$B$365,'Instructor 360'!$B$6:$B$365,,-1)</f>
        <v>2724.2339832869079</v>
      </c>
      <c r="P132" s="6">
        <f>_xlfn.XLOOKUP(D132,'Instructor 360'!$B$6:$B$365,'Instructor 360'!$B$6:$B$365,,1)</f>
        <v>2732.590529247911</v>
      </c>
      <c r="Q132" s="6">
        <f>_xlfn.XLOOKUP(D132,'Instructor 360'!$B$6:$B$365,'Instructor 360'!$G$6:$G$365,,-1)</f>
        <v>-72.895372144846789</v>
      </c>
      <c r="R132" s="6">
        <f>_xlfn.XLOOKUP(D132,'Instructor 360'!$B$6:$B$365,'Instructor 360'!$G$6:$G$365,,1)</f>
        <v>-73.355039832869082</v>
      </c>
      <c r="S132" s="6">
        <f t="shared" si="57"/>
        <v>-73.143323475729147</v>
      </c>
      <c r="T132" s="6">
        <f t="shared" si="58"/>
        <v>-1.2765918205027362</v>
      </c>
      <c r="U132" s="6">
        <f t="shared" si="59"/>
        <v>-7.3160104955924954E-3</v>
      </c>
      <c r="V132" s="6"/>
      <c r="W132" s="6">
        <f t="shared" si="60"/>
        <v>5.352400957161955E-5</v>
      </c>
      <c r="AA132">
        <f t="shared" si="61"/>
        <v>2734</v>
      </c>
      <c r="AB132">
        <f t="shared" si="62"/>
        <v>-1.2839078309983287</v>
      </c>
      <c r="AC132">
        <f t="shared" si="63"/>
        <v>-1.2765918205027362</v>
      </c>
      <c r="AE132">
        <f t="shared" si="64"/>
        <v>2734</v>
      </c>
      <c r="AF132">
        <f t="shared" si="65"/>
        <v>-73.5625</v>
      </c>
      <c r="AG132">
        <f t="shared" si="66"/>
        <v>-73.143323475729147</v>
      </c>
    </row>
    <row r="133" spans="1:33" ht="18.95" customHeight="1">
      <c r="A133" s="4">
        <f t="shared" si="67"/>
        <v>821</v>
      </c>
      <c r="B133" s="6">
        <f>INDEX('Raw Data'!$B$6:$B$1371,MATCH(A133,'Raw Data'!$A$6:$A$1371,0))</f>
        <v>17630</v>
      </c>
      <c r="C133" s="6">
        <f t="shared" si="51"/>
        <v>2755</v>
      </c>
      <c r="D133" s="6">
        <f>MOD(C133+Summary!$B$20,Summary!$B$11)</f>
        <v>2749.7416237989592</v>
      </c>
      <c r="E133" s="6">
        <f>_xlfn.XLOOKUP(D133,'Native PMKS'!$C$6:$C$366,'Native PMKS'!$C$6:$C$366,,-1)</f>
        <v>2741.666666666667</v>
      </c>
      <c r="F133" s="6">
        <f>_xlfn.XLOOKUP(D133,'Native PMKS'!$C$6:$C$366,'Native PMKS'!$C$6:$C$366,,1)</f>
        <v>2750</v>
      </c>
      <c r="G133" s="6">
        <f>_xlfn.XLOOKUP(D133,'Native PMKS'!$C$6:$C$366,'Native PMKS'!$O$6:$O$366,,-1)</f>
        <v>-73.796999999999997</v>
      </c>
      <c r="H133" s="6">
        <f>_xlfn.XLOOKUP(D133,'Native PMKS'!$C$6:$C$366,'Native PMKS'!$O$6:$O$366,,1)</f>
        <v>-74.140699999999995</v>
      </c>
      <c r="I133" s="6">
        <f t="shared" si="52"/>
        <v>-74.130043531964276</v>
      </c>
      <c r="J133" s="6">
        <f>INDEX('Raw Data'!$L$6:$L$1371,MATCH(A133,'Raw Data'!$A$6:$A$1371,0))</f>
        <v>-76.125</v>
      </c>
      <c r="K133" s="6">
        <f t="shared" si="53"/>
        <v>-1.3286318930806833</v>
      </c>
      <c r="L133" s="6">
        <f t="shared" si="54"/>
        <v>-1.2938133342795031</v>
      </c>
      <c r="M133" s="6">
        <f t="shared" si="55"/>
        <v>-3.4818558801180233E-2</v>
      </c>
      <c r="N133" s="6">
        <f t="shared" si="56"/>
        <v>1.2123320369912453E-3</v>
      </c>
      <c r="O133" s="6">
        <f>_xlfn.XLOOKUP(D133,'Instructor 360'!$B$6:$B$365,'Instructor 360'!$B$6:$B$365,,-1)</f>
        <v>2749.3036211699164</v>
      </c>
      <c r="P133" s="6">
        <f>_xlfn.XLOOKUP(D133,'Instructor 360'!$B$6:$B$365,'Instructor 360'!$B$6:$B$365,,1)</f>
        <v>2757.660167130919</v>
      </c>
      <c r="Q133" s="6">
        <f>_xlfn.XLOOKUP(D133,'Instructor 360'!$B$6:$B$365,'Instructor 360'!$G$6:$G$365,,-1)</f>
        <v>-74.111978551532019</v>
      </c>
      <c r="R133" s="6">
        <f>_xlfn.XLOOKUP(D133,'Instructor 360'!$B$6:$B$365,'Instructor 360'!$G$6:$G$365,,1)</f>
        <v>-74.45672785515319</v>
      </c>
      <c r="S133" s="6">
        <f t="shared" si="57"/>
        <v>-74.130048349993174</v>
      </c>
      <c r="T133" s="6">
        <f t="shared" si="58"/>
        <v>-1.2938134183699708</v>
      </c>
      <c r="U133" s="6">
        <f t="shared" si="59"/>
        <v>-3.4818474710712533E-2</v>
      </c>
      <c r="V133" s="6"/>
      <c r="W133" s="6">
        <f t="shared" si="60"/>
        <v>1.2123261811805282E-3</v>
      </c>
      <c r="AA133">
        <f t="shared" si="61"/>
        <v>2755</v>
      </c>
      <c r="AB133">
        <f t="shared" si="62"/>
        <v>-1.3286318930806833</v>
      </c>
      <c r="AC133">
        <f t="shared" si="63"/>
        <v>-1.2938134183699708</v>
      </c>
      <c r="AE133">
        <f t="shared" si="64"/>
        <v>2755</v>
      </c>
      <c r="AF133">
        <f t="shared" si="65"/>
        <v>-76.125</v>
      </c>
      <c r="AG133">
        <f t="shared" si="66"/>
        <v>-74.130048349993174</v>
      </c>
    </row>
    <row r="134" spans="1:33" ht="18.95" customHeight="1">
      <c r="A134" s="4">
        <f t="shared" si="67"/>
        <v>822</v>
      </c>
      <c r="B134" s="6">
        <f>INDEX('Raw Data'!$B$6:$B$1371,MATCH(A134,'Raw Data'!$A$6:$A$1371,0))</f>
        <v>17652</v>
      </c>
      <c r="C134" s="6">
        <f t="shared" ref="C134:C165" si="68">B134-$B$6</f>
        <v>2777</v>
      </c>
      <c r="D134" s="6">
        <f>MOD(C134+Summary!$B$20,Summary!$B$11)</f>
        <v>2771.7416237989592</v>
      </c>
      <c r="E134" s="6">
        <f>_xlfn.XLOOKUP(D134,'Native PMKS'!$C$6:$C$366,'Native PMKS'!$C$6:$C$366,,-1)</f>
        <v>2766.666666666667</v>
      </c>
      <c r="F134" s="6">
        <f>_xlfn.XLOOKUP(D134,'Native PMKS'!$C$6:$C$366,'Native PMKS'!$C$6:$C$366,,1)</f>
        <v>2775</v>
      </c>
      <c r="G134" s="6">
        <f>_xlfn.XLOOKUP(D134,'Native PMKS'!$C$6:$C$366,'Native PMKS'!$O$6:$O$366,,-1)</f>
        <v>-74.771000000000001</v>
      </c>
      <c r="H134" s="6">
        <f>_xlfn.XLOOKUP(D134,'Native PMKS'!$C$6:$C$366,'Native PMKS'!$O$6:$O$366,,1)</f>
        <v>-75.000200000000007</v>
      </c>
      <c r="I134" s="6">
        <f t="shared" ref="I134:I165" si="69">IF(E134=F134,G134,_xlfn.FORECAST.LINEAR(D134,G134:H134,E134:F134))</f>
        <v>-74.910581620966582</v>
      </c>
      <c r="J134" s="6">
        <f>INDEX('Raw Data'!$L$6:$L$1371,MATCH(A134,'Raw Data'!$A$6:$A$1371,0))</f>
        <v>-76.3125</v>
      </c>
      <c r="K134" s="6">
        <f t="shared" ref="K134:K165" si="70">J134*1*PI()/180</f>
        <v>-1.3319043854281727</v>
      </c>
      <c r="L134" s="6">
        <f t="shared" ref="L134:L140" si="71">I134*PI()/180</f>
        <v>-1.3074362938698176</v>
      </c>
      <c r="M134" s="6">
        <f t="shared" ref="M134:M165" si="72">K134-L134</f>
        <v>-2.4468091558355054E-2</v>
      </c>
      <c r="N134" s="6">
        <f t="shared" ref="N134:N165" si="73">M134^2</f>
        <v>5.9868750450804589E-4</v>
      </c>
      <c r="O134" s="6">
        <f>_xlfn.XLOOKUP(D134,'Instructor 360'!$B$6:$B$365,'Instructor 360'!$B$6:$B$365,,-1)</f>
        <v>2766.0167130919222</v>
      </c>
      <c r="P134" s="6">
        <f>_xlfn.XLOOKUP(D134,'Instructor 360'!$B$6:$B$365,'Instructor 360'!$B$6:$B$365,,1)</f>
        <v>2774.3732590529248</v>
      </c>
      <c r="Q134" s="6">
        <f>_xlfn.XLOOKUP(D134,'Instructor 360'!$B$6:$B$365,'Instructor 360'!$G$6:$G$365,,-1)</f>
        <v>-74.74865459610028</v>
      </c>
      <c r="R134" s="6">
        <f>_xlfn.XLOOKUP(D134,'Instructor 360'!$B$6:$B$365,'Instructor 360'!$G$6:$G$365,,1)</f>
        <v>-74.982962116991644</v>
      </c>
      <c r="S134" s="6">
        <f t="shared" ref="S134:S165" si="74">IF(O134=P134,Q134,_xlfn.FORECAST.LINEAR(D134,Q134:R134,O134:P134))</f>
        <v>-74.909174222432739</v>
      </c>
      <c r="T134" s="6">
        <f t="shared" ref="T134:T165" si="75">S134*PI()/180</f>
        <v>-1.3074117301315145</v>
      </c>
      <c r="U134" s="6">
        <f t="shared" ref="U134:U165" si="76">K134-T134</f>
        <v>-2.4492655296658228E-2</v>
      </c>
      <c r="V134" s="6"/>
      <c r="W134" s="6">
        <f t="shared" ref="W134:W140" si="77">U134^2</f>
        <v>5.9989016348092037E-4</v>
      </c>
      <c r="AA134">
        <f t="shared" ref="AA134:AA140" si="78">C134</f>
        <v>2777</v>
      </c>
      <c r="AB134">
        <f t="shared" ref="AB134:AB140" si="79">K134</f>
        <v>-1.3319043854281727</v>
      </c>
      <c r="AC134">
        <f t="shared" ref="AC134:AC140" si="80">T134</f>
        <v>-1.3074117301315145</v>
      </c>
      <c r="AE134">
        <f t="shared" ref="AE134:AE140" si="81">C134</f>
        <v>2777</v>
      </c>
      <c r="AF134">
        <f t="shared" ref="AF134:AF140" si="82">K134*180/PI()</f>
        <v>-76.3125</v>
      </c>
      <c r="AG134">
        <f t="shared" ref="AG134:AG140" si="83">T134*180/PI()</f>
        <v>-74.909174222432739</v>
      </c>
    </row>
    <row r="135" spans="1:33" ht="18.95" customHeight="1">
      <c r="A135" s="4">
        <f t="shared" ref="A135:A140" si="84">A134+1</f>
        <v>823</v>
      </c>
      <c r="B135" s="6">
        <f>INDEX('Raw Data'!$B$6:$B$1371,MATCH(A135,'Raw Data'!$A$6:$A$1371,0))</f>
        <v>17673</v>
      </c>
      <c r="C135" s="6">
        <f t="shared" si="68"/>
        <v>2798</v>
      </c>
      <c r="D135" s="6">
        <f>MOD(C135+Summary!$B$20,Summary!$B$11)</f>
        <v>2792.7416237989592</v>
      </c>
      <c r="E135" s="6">
        <f>_xlfn.XLOOKUP(D135,'Native PMKS'!$C$6:$C$366,'Native PMKS'!$C$6:$C$366,,-1)</f>
        <v>2791.666666666667</v>
      </c>
      <c r="F135" s="6">
        <f>_xlfn.XLOOKUP(D135,'Native PMKS'!$C$6:$C$366,'Native PMKS'!$C$6:$C$366,,1)</f>
        <v>2800</v>
      </c>
      <c r="G135" s="6">
        <f>_xlfn.XLOOKUP(D135,'Native PMKS'!$C$6:$C$366,'Native PMKS'!$O$6:$O$366,,-1)</f>
        <v>-75.343999999999994</v>
      </c>
      <c r="H135" s="6">
        <f>_xlfn.XLOOKUP(D135,'Native PMKS'!$C$6:$C$366,'Native PMKS'!$O$6:$O$366,,1)</f>
        <v>-75.458500000000001</v>
      </c>
      <c r="I135" s="6">
        <f t="shared" si="69"/>
        <v>-75.358769910997694</v>
      </c>
      <c r="J135" s="6">
        <f>INDEX('Raw Data'!$L$6:$L$1371,MATCH(A135,'Raw Data'!$A$6:$A$1371,0))</f>
        <v>-77.125</v>
      </c>
      <c r="K135" s="6">
        <f t="shared" si="70"/>
        <v>-1.3460851856006266</v>
      </c>
      <c r="L135" s="6">
        <f t="shared" si="71"/>
        <v>-1.3152586551997441</v>
      </c>
      <c r="M135" s="6">
        <f t="shared" si="72"/>
        <v>-3.0826530400882568E-2</v>
      </c>
      <c r="N135" s="6">
        <f t="shared" si="73"/>
        <v>9.5027497655653722E-4</v>
      </c>
      <c r="O135" s="6">
        <f>_xlfn.XLOOKUP(D135,'Instructor 360'!$B$6:$B$365,'Instructor 360'!$B$6:$B$365,,-1)</f>
        <v>2791.0863509749302</v>
      </c>
      <c r="P135" s="6">
        <f>_xlfn.XLOOKUP(D135,'Instructor 360'!$B$6:$B$365,'Instructor 360'!$B$6:$B$365,,1)</f>
        <v>2799.4428969359333</v>
      </c>
      <c r="Q135" s="6">
        <f>_xlfn.XLOOKUP(D135,'Instructor 360'!$B$6:$B$365,'Instructor 360'!$G$6:$G$365,,-1)</f>
        <v>-75.332029247910853</v>
      </c>
      <c r="R135" s="6">
        <f>_xlfn.XLOOKUP(D135,'Instructor 360'!$B$6:$B$365,'Instructor 360'!$G$6:$G$365,,1)</f>
        <v>-75.45084540389972</v>
      </c>
      <c r="S135" s="6">
        <f t="shared" si="74"/>
        <v>-75.355564468680512</v>
      </c>
      <c r="T135" s="6">
        <f t="shared" si="75"/>
        <v>-1.3152027096773264</v>
      </c>
      <c r="U135" s="6">
        <f t="shared" si="76"/>
        <v>-3.0882475923300179E-2</v>
      </c>
      <c r="V135" s="6"/>
      <c r="W135" s="6">
        <f t="shared" si="77"/>
        <v>9.5372731915321527E-4</v>
      </c>
      <c r="AA135">
        <f t="shared" si="78"/>
        <v>2798</v>
      </c>
      <c r="AB135">
        <f t="shared" si="79"/>
        <v>-1.3460851856006266</v>
      </c>
      <c r="AC135">
        <f t="shared" si="80"/>
        <v>-1.3152027096773264</v>
      </c>
      <c r="AE135">
        <f t="shared" si="81"/>
        <v>2798</v>
      </c>
      <c r="AF135">
        <f t="shared" si="82"/>
        <v>-77.125</v>
      </c>
      <c r="AG135">
        <f t="shared" si="83"/>
        <v>-75.355564468680512</v>
      </c>
    </row>
    <row r="136" spans="1:33" ht="18.95" customHeight="1">
      <c r="A136" s="4">
        <f t="shared" si="84"/>
        <v>824</v>
      </c>
      <c r="B136" s="6">
        <f>INDEX('Raw Data'!$B$6:$B$1371,MATCH(A136,'Raw Data'!$A$6:$A$1371,0))</f>
        <v>17693</v>
      </c>
      <c r="C136" s="6">
        <f t="shared" si="68"/>
        <v>2818</v>
      </c>
      <c r="D136" s="6">
        <f>MOD(C136+Summary!$B$20,Summary!$B$11)</f>
        <v>2812.7416237989592</v>
      </c>
      <c r="E136" s="6">
        <f>_xlfn.XLOOKUP(D136,'Native PMKS'!$C$6:$C$366,'Native PMKS'!$C$6:$C$366,,-1)</f>
        <v>2808.3333333333335</v>
      </c>
      <c r="F136" s="6">
        <f>_xlfn.XLOOKUP(D136,'Native PMKS'!$C$6:$C$366,'Native PMKS'!$C$6:$C$366,,1)</f>
        <v>2816.666666666667</v>
      </c>
      <c r="G136" s="6">
        <f>_xlfn.XLOOKUP(D136,'Native PMKS'!$C$6:$C$366,'Native PMKS'!$O$6:$O$366,,-1)</f>
        <v>-75.458500000000001</v>
      </c>
      <c r="H136" s="6">
        <f>_xlfn.XLOOKUP(D136,'Native PMKS'!$C$6:$C$366,'Native PMKS'!$O$6:$O$366,,1)</f>
        <v>-75.458500000000001</v>
      </c>
      <c r="I136" s="6">
        <f t="shared" si="69"/>
        <v>-75.458500000000001</v>
      </c>
      <c r="J136" s="6">
        <f>INDEX('Raw Data'!$L$6:$L$1371,MATCH(A136,'Raw Data'!$A$6:$A$1371,0))</f>
        <v>-76.75</v>
      </c>
      <c r="K136" s="6">
        <f t="shared" si="70"/>
        <v>-1.3395402009056478</v>
      </c>
      <c r="L136" s="6">
        <f t="shared" si="71"/>
        <v>-1.3169992736161411</v>
      </c>
      <c r="M136" s="6">
        <f t="shared" si="72"/>
        <v>-2.254092728950674E-2</v>
      </c>
      <c r="N136" s="6">
        <f t="shared" si="73"/>
        <v>5.0809340307082969E-4</v>
      </c>
      <c r="O136" s="6">
        <f>_xlfn.XLOOKUP(D136,'Instructor 360'!$B$6:$B$365,'Instructor 360'!$B$6:$B$365,,-1)</f>
        <v>2807.7994428969359</v>
      </c>
      <c r="P136" s="6">
        <f>_xlfn.XLOOKUP(D136,'Instructor 360'!$B$6:$B$365,'Instructor 360'!$B$6:$B$365,,1)</f>
        <v>2816.1559888579386</v>
      </c>
      <c r="Q136" s="6">
        <f>_xlfn.XLOOKUP(D136,'Instructor 360'!$B$6:$B$365,'Instructor 360'!$G$6:$G$365,,-1)</f>
        <v>-75.458500000000001</v>
      </c>
      <c r="R136" s="6">
        <f>_xlfn.XLOOKUP(D136,'Instructor 360'!$B$6:$B$365,'Instructor 360'!$G$6:$G$365,,1)</f>
        <v>-75.458500000000001</v>
      </c>
      <c r="S136" s="6">
        <f t="shared" si="74"/>
        <v>-75.458500000000001</v>
      </c>
      <c r="T136" s="6">
        <f t="shared" si="75"/>
        <v>-1.3169992736161411</v>
      </c>
      <c r="U136" s="6">
        <f t="shared" si="76"/>
        <v>-2.254092728950674E-2</v>
      </c>
      <c r="V136" s="6"/>
      <c r="W136" s="6">
        <f t="shared" si="77"/>
        <v>5.0809340307082969E-4</v>
      </c>
      <c r="AA136">
        <f t="shared" si="78"/>
        <v>2818</v>
      </c>
      <c r="AB136">
        <f t="shared" si="79"/>
        <v>-1.3395402009056478</v>
      </c>
      <c r="AC136">
        <f t="shared" si="80"/>
        <v>-1.3169992736161411</v>
      </c>
      <c r="AE136">
        <f t="shared" si="81"/>
        <v>2818</v>
      </c>
      <c r="AF136">
        <f t="shared" si="82"/>
        <v>-76.75</v>
      </c>
      <c r="AG136">
        <f t="shared" si="83"/>
        <v>-75.458500000000001</v>
      </c>
    </row>
    <row r="137" spans="1:33" ht="18.95" customHeight="1">
      <c r="A137" s="4">
        <f t="shared" si="84"/>
        <v>825</v>
      </c>
      <c r="B137" s="6">
        <f>INDEX('Raw Data'!$B$6:$B$1371,MATCH(A137,'Raw Data'!$A$6:$A$1371,0))</f>
        <v>17714</v>
      </c>
      <c r="C137" s="6">
        <f t="shared" si="68"/>
        <v>2839</v>
      </c>
      <c r="D137" s="6">
        <f>MOD(C137+Summary!$B$20,Summary!$B$11)</f>
        <v>2833.7416237989592</v>
      </c>
      <c r="E137" s="6">
        <f>_xlfn.XLOOKUP(D137,'Native PMKS'!$C$6:$C$366,'Native PMKS'!$C$6:$C$366,,-1)</f>
        <v>2833.3333333333335</v>
      </c>
      <c r="F137" s="6">
        <f>_xlfn.XLOOKUP(D137,'Native PMKS'!$C$6:$C$366,'Native PMKS'!$C$6:$C$366,,1)</f>
        <v>2841.666666666667</v>
      </c>
      <c r="G137" s="6">
        <f>_xlfn.XLOOKUP(D137,'Native PMKS'!$C$6:$C$366,'Native PMKS'!$O$6:$O$366,,-1)</f>
        <v>-75.286699999999996</v>
      </c>
      <c r="H137" s="6">
        <f>_xlfn.XLOOKUP(D137,'Native PMKS'!$C$6:$C$366,'Native PMKS'!$O$6:$O$366,,1)</f>
        <v>-75.114800000000002</v>
      </c>
      <c r="I137" s="6">
        <f t="shared" si="69"/>
        <v>-75.278277784275048</v>
      </c>
      <c r="J137" s="6">
        <f>INDEX('Raw Data'!$L$6:$L$1371,MATCH(A137,'Raw Data'!$A$6:$A$1371,0))</f>
        <v>-76.0625</v>
      </c>
      <c r="K137" s="6">
        <f t="shared" si="70"/>
        <v>-1.3275410622981869</v>
      </c>
      <c r="L137" s="6">
        <f t="shared" si="71"/>
        <v>-1.3138538025665012</v>
      </c>
      <c r="M137" s="6">
        <f t="shared" si="72"/>
        <v>-1.3687259731685719E-2</v>
      </c>
      <c r="N137" s="6">
        <f t="shared" si="73"/>
        <v>1.8734107896262541E-4</v>
      </c>
      <c r="O137" s="6">
        <f>_xlfn.XLOOKUP(D137,'Instructor 360'!$B$6:$B$365,'Instructor 360'!$B$6:$B$365,,-1)</f>
        <v>2832.8690807799444</v>
      </c>
      <c r="P137" s="6">
        <f>_xlfn.XLOOKUP(D137,'Instructor 360'!$B$6:$B$365,'Instructor 360'!$B$6:$B$365,,1)</f>
        <v>2841.2256267409471</v>
      </c>
      <c r="Q137" s="6">
        <f>_xlfn.XLOOKUP(D137,'Instructor 360'!$B$6:$B$365,'Instructor 360'!$G$6:$G$365,,-1)</f>
        <v>-75.293078830083559</v>
      </c>
      <c r="R137" s="6">
        <f>_xlfn.XLOOKUP(D137,'Instructor 360'!$B$6:$B$365,'Instructor 360'!$G$6:$G$365,,1)</f>
        <v>-75.12389777158775</v>
      </c>
      <c r="S137" s="6">
        <f t="shared" si="74"/>
        <v>-75.275413905815952</v>
      </c>
      <c r="T137" s="6">
        <f t="shared" si="75"/>
        <v>-1.313803818458013</v>
      </c>
      <c r="U137" s="6">
        <f t="shared" si="76"/>
        <v>-1.3737243840173941E-2</v>
      </c>
      <c r="V137" s="6"/>
      <c r="W137" s="6">
        <f t="shared" si="77"/>
        <v>1.8871186832439689E-4</v>
      </c>
      <c r="AA137">
        <f t="shared" si="78"/>
        <v>2839</v>
      </c>
      <c r="AB137">
        <f t="shared" si="79"/>
        <v>-1.3275410622981869</v>
      </c>
      <c r="AC137">
        <f t="shared" si="80"/>
        <v>-1.313803818458013</v>
      </c>
      <c r="AE137">
        <f t="shared" si="81"/>
        <v>2839</v>
      </c>
      <c r="AF137">
        <f t="shared" si="82"/>
        <v>-76.0625</v>
      </c>
      <c r="AG137">
        <f t="shared" si="83"/>
        <v>-75.275413905815952</v>
      </c>
    </row>
    <row r="138" spans="1:33" ht="18.95" customHeight="1">
      <c r="A138" s="4">
        <f t="shared" si="84"/>
        <v>826</v>
      </c>
      <c r="B138" s="6">
        <f>INDEX('Raw Data'!$B$6:$B$1371,MATCH(A138,'Raw Data'!$A$6:$A$1371,0))</f>
        <v>17734</v>
      </c>
      <c r="C138" s="6">
        <f t="shared" si="68"/>
        <v>2859</v>
      </c>
      <c r="D138" s="6">
        <f>MOD(C138+Summary!$B$20,Summary!$B$11)</f>
        <v>2853.7416237989592</v>
      </c>
      <c r="E138" s="6">
        <f>_xlfn.XLOOKUP(D138,'Native PMKS'!$C$6:$C$366,'Native PMKS'!$C$6:$C$366,,-1)</f>
        <v>2850</v>
      </c>
      <c r="F138" s="6">
        <f>_xlfn.XLOOKUP(D138,'Native PMKS'!$C$6:$C$366,'Native PMKS'!$C$6:$C$366,,1)</f>
        <v>2858.3333333333335</v>
      </c>
      <c r="G138" s="6">
        <f>_xlfn.XLOOKUP(D138,'Native PMKS'!$C$6:$C$366,'Native PMKS'!$O$6:$O$366,,-1)</f>
        <v>-74.885599999999997</v>
      </c>
      <c r="H138" s="6">
        <f>_xlfn.XLOOKUP(D138,'Native PMKS'!$C$6:$C$366,'Native PMKS'!$O$6:$O$366,,1)</f>
        <v>-74.599100000000007</v>
      </c>
      <c r="I138" s="6">
        <f t="shared" si="69"/>
        <v>-74.756962973791801</v>
      </c>
      <c r="J138" s="6">
        <f>INDEX('Raw Data'!$L$6:$L$1371,MATCH(A138,'Raw Data'!$A$6:$A$1371,0))</f>
        <v>-76.6875</v>
      </c>
      <c r="K138" s="6">
        <f t="shared" si="70"/>
        <v>-1.3384493701231515</v>
      </c>
      <c r="L138" s="6">
        <f t="shared" si="71"/>
        <v>-1.3047551426841582</v>
      </c>
      <c r="M138" s="6">
        <f t="shared" si="72"/>
        <v>-3.3694227438993307E-2</v>
      </c>
      <c r="N138" s="6">
        <f t="shared" si="73"/>
        <v>1.1353009627106095E-3</v>
      </c>
      <c r="O138" s="6">
        <f>_xlfn.XLOOKUP(D138,'Instructor 360'!$B$6:$B$365,'Instructor 360'!$B$6:$B$365,,-1)</f>
        <v>2849.5821727019497</v>
      </c>
      <c r="P138" s="6">
        <f>_xlfn.XLOOKUP(D138,'Instructor 360'!$B$6:$B$365,'Instructor 360'!$B$6:$B$365,,1)</f>
        <v>2857.9387186629529</v>
      </c>
      <c r="Q138" s="6">
        <f>_xlfn.XLOOKUP(D138,'Instructor 360'!$B$6:$B$365,'Instructor 360'!$G$6:$G$365,,-1)</f>
        <v>-74.897091922005572</v>
      </c>
      <c r="R138" s="6">
        <f>_xlfn.XLOOKUP(D138,'Instructor 360'!$B$6:$B$365,'Instructor 360'!$G$6:$G$365,,1)</f>
        <v>-74.612666852367695</v>
      </c>
      <c r="S138" s="6">
        <f t="shared" si="74"/>
        <v>-74.755520012577563</v>
      </c>
      <c r="T138" s="6">
        <f t="shared" si="75"/>
        <v>-1.3047299582599914</v>
      </c>
      <c r="U138" s="6">
        <f t="shared" si="76"/>
        <v>-3.3719411863160076E-2</v>
      </c>
      <c r="V138" s="6"/>
      <c r="W138" s="6">
        <f t="shared" si="77"/>
        <v>1.1369987363974204E-3</v>
      </c>
      <c r="AA138">
        <f t="shared" si="78"/>
        <v>2859</v>
      </c>
      <c r="AB138">
        <f t="shared" si="79"/>
        <v>-1.3384493701231515</v>
      </c>
      <c r="AC138">
        <f t="shared" si="80"/>
        <v>-1.3047299582599914</v>
      </c>
      <c r="AE138">
        <f t="shared" si="81"/>
        <v>2859</v>
      </c>
      <c r="AF138">
        <f t="shared" si="82"/>
        <v>-76.6875</v>
      </c>
      <c r="AG138">
        <f t="shared" si="83"/>
        <v>-74.755520012577577</v>
      </c>
    </row>
    <row r="139" spans="1:33" ht="18.95" customHeight="1">
      <c r="A139" s="4">
        <f t="shared" si="84"/>
        <v>827</v>
      </c>
      <c r="B139" s="6">
        <f>INDEX('Raw Data'!$B$6:$B$1371,MATCH(A139,'Raw Data'!$A$6:$A$1371,0))</f>
        <v>17756</v>
      </c>
      <c r="C139" s="6">
        <f t="shared" si="68"/>
        <v>2881</v>
      </c>
      <c r="D139" s="6">
        <f>MOD(C139+Summary!$B$20,Summary!$B$11)</f>
        <v>2875.7416237989592</v>
      </c>
      <c r="E139" s="6">
        <f>_xlfn.XLOOKUP(D139,'Native PMKS'!$C$6:$C$366,'Native PMKS'!$C$6:$C$366,,-1)</f>
        <v>2875</v>
      </c>
      <c r="F139" s="6">
        <f>_xlfn.XLOOKUP(D139,'Native PMKS'!$C$6:$C$366,'Native PMKS'!$C$6:$C$366,,1)</f>
        <v>2883.3333333333335</v>
      </c>
      <c r="G139" s="6">
        <f>_xlfn.XLOOKUP(D139,'Native PMKS'!$C$6:$C$366,'Native PMKS'!$O$6:$O$366,,-1)</f>
        <v>-73.796999999999997</v>
      </c>
      <c r="H139" s="6">
        <f>_xlfn.XLOOKUP(D139,'Native PMKS'!$C$6:$C$366,'Native PMKS'!$O$6:$O$366,,1)</f>
        <v>-73.3386</v>
      </c>
      <c r="I139" s="6">
        <f t="shared" si="69"/>
        <v>-73.756204758066872</v>
      </c>
      <c r="J139" s="6">
        <f>INDEX('Raw Data'!$L$6:$L$1371,MATCH(A139,'Raw Data'!$A$6:$A$1371,0))</f>
        <v>-75.8125</v>
      </c>
      <c r="K139" s="6">
        <f t="shared" si="70"/>
        <v>-1.3231777391682011</v>
      </c>
      <c r="L139" s="6">
        <f t="shared" si="71"/>
        <v>-1.2872886168033746</v>
      </c>
      <c r="M139" s="6">
        <f t="shared" si="72"/>
        <v>-3.5889122364826553E-2</v>
      </c>
      <c r="N139" s="6">
        <f t="shared" si="73"/>
        <v>1.2880291041174935E-3</v>
      </c>
      <c r="O139" s="6">
        <f>_xlfn.XLOOKUP(D139,'Instructor 360'!$B$6:$B$365,'Instructor 360'!$B$6:$B$365,,-1)</f>
        <v>2874.6518105849582</v>
      </c>
      <c r="P139" s="6">
        <f>_xlfn.XLOOKUP(D139,'Instructor 360'!$B$6:$B$365,'Instructor 360'!$B$6:$B$365,,1)</f>
        <v>2883.0083565459609</v>
      </c>
      <c r="Q139" s="6">
        <f>_xlfn.XLOOKUP(D139,'Instructor 360'!$B$6:$B$365,'Instructor 360'!$G$6:$G$365,,-1)</f>
        <v>-73.816149025069635</v>
      </c>
      <c r="R139" s="6">
        <f>_xlfn.XLOOKUP(D139,'Instructor 360'!$B$6:$B$365,'Instructor 360'!$G$6:$G$365,,1)</f>
        <v>-73.356476323119793</v>
      </c>
      <c r="S139" s="6">
        <f t="shared" si="74"/>
        <v>-73.75620112470051</v>
      </c>
      <c r="T139" s="6">
        <f t="shared" si="75"/>
        <v>-1.2872885533891687</v>
      </c>
      <c r="U139" s="6">
        <f t="shared" si="76"/>
        <v>-3.588918577903244E-2</v>
      </c>
      <c r="V139" s="6"/>
      <c r="W139" s="6">
        <f t="shared" si="77"/>
        <v>1.2880336558819044E-3</v>
      </c>
      <c r="AA139">
        <f t="shared" si="78"/>
        <v>2881</v>
      </c>
      <c r="AB139">
        <f t="shared" si="79"/>
        <v>-1.3231777391682011</v>
      </c>
      <c r="AC139">
        <f t="shared" si="80"/>
        <v>-1.2872885533891687</v>
      </c>
      <c r="AE139">
        <f t="shared" si="81"/>
        <v>2881</v>
      </c>
      <c r="AF139">
        <f t="shared" si="82"/>
        <v>-75.8125</v>
      </c>
      <c r="AG139">
        <f t="shared" si="83"/>
        <v>-73.75620112470051</v>
      </c>
    </row>
    <row r="140" spans="1:33" ht="18.95" customHeight="1">
      <c r="A140" s="4">
        <f t="shared" si="84"/>
        <v>828</v>
      </c>
      <c r="B140" s="6">
        <f>INDEX('Raw Data'!$B$6:$B$1371,MATCH(A140,'Raw Data'!$A$6:$A$1371,0))</f>
        <v>17778</v>
      </c>
      <c r="C140" s="6">
        <f t="shared" si="68"/>
        <v>2903</v>
      </c>
      <c r="D140" s="6">
        <f>MOD(C140+Summary!$B$20,Summary!$B$11)</f>
        <v>2897.7416237989592</v>
      </c>
      <c r="E140" s="6">
        <f>_xlfn.XLOOKUP(D140,'Native PMKS'!$C$6:$C$366,'Native PMKS'!$C$6:$C$366,,-1)</f>
        <v>2891.666666666667</v>
      </c>
      <c r="F140" s="6">
        <f>_xlfn.XLOOKUP(D140,'Native PMKS'!$C$6:$C$366,'Native PMKS'!$C$6:$C$366,,1)</f>
        <v>2900</v>
      </c>
      <c r="G140" s="6">
        <f>_xlfn.XLOOKUP(D140,'Native PMKS'!$C$6:$C$366,'Native PMKS'!$O$6:$O$366,,-1)</f>
        <v>-72.765600000000006</v>
      </c>
      <c r="H140" s="6">
        <f>_xlfn.XLOOKUP(D140,'Native PMKS'!$C$6:$C$366,'Native PMKS'!$O$6:$O$366,,1)</f>
        <v>-72.192700000000002</v>
      </c>
      <c r="I140" s="6">
        <f t="shared" si="69"/>
        <v>-72.347958847069179</v>
      </c>
      <c r="J140" s="6">
        <f>INDEX('Raw Data'!$L$6:$L$1371,MATCH(A140,'Raw Data'!$A$6:$A$1371,0))</f>
        <v>-75.3125</v>
      </c>
      <c r="K140" s="6">
        <f t="shared" si="70"/>
        <v>-1.3144510929082294</v>
      </c>
      <c r="L140" s="6">
        <f t="shared" si="71"/>
        <v>-1.2627100889787179</v>
      </c>
      <c r="M140" s="6">
        <f t="shared" si="72"/>
        <v>-5.174100392951142E-2</v>
      </c>
      <c r="N140" s="6">
        <f t="shared" si="73"/>
        <v>2.6771314876337161E-3</v>
      </c>
      <c r="O140" s="6">
        <f>_xlfn.XLOOKUP(D140,'Instructor 360'!$B$6:$B$365,'Instructor 360'!$B$6:$B$365,,-1)</f>
        <v>2891.364902506964</v>
      </c>
      <c r="P140" s="6">
        <f>_xlfn.XLOOKUP(D140,'Instructor 360'!$B$6:$B$365,'Instructor 360'!$B$6:$B$365,,1)</f>
        <v>2899.7214484679666</v>
      </c>
      <c r="Q140" s="6">
        <f>_xlfn.XLOOKUP(D140,'Instructor 360'!$B$6:$B$365,'Instructor 360'!$G$6:$G$365,,-1)</f>
        <v>-72.786349303621179</v>
      </c>
      <c r="R140" s="6">
        <f>_xlfn.XLOOKUP(D140,'Instructor 360'!$B$6:$B$365,'Instructor 360'!$G$6:$G$365,,1)</f>
        <v>-72.211849860724229</v>
      </c>
      <c r="S140" s="6">
        <f t="shared" si="74"/>
        <v>-72.347959704993173</v>
      </c>
      <c r="T140" s="6">
        <f t="shared" si="75"/>
        <v>-1.2627101039523163</v>
      </c>
      <c r="U140" s="6">
        <f t="shared" si="76"/>
        <v>-5.1740988955913059E-2</v>
      </c>
      <c r="V140" s="6"/>
      <c r="W140" s="6">
        <f t="shared" si="77"/>
        <v>2.6771299381359169E-3</v>
      </c>
      <c r="AA140">
        <f t="shared" si="78"/>
        <v>2903</v>
      </c>
      <c r="AB140">
        <f t="shared" si="79"/>
        <v>-1.3144510929082294</v>
      </c>
      <c r="AC140">
        <f t="shared" si="80"/>
        <v>-1.2627101039523163</v>
      </c>
      <c r="AE140">
        <f t="shared" si="81"/>
        <v>2903</v>
      </c>
      <c r="AF140">
        <f t="shared" si="82"/>
        <v>-75.3125</v>
      </c>
      <c r="AG140">
        <f t="shared" si="83"/>
        <v>-72.347959704993173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4"/>
  <sheetViews>
    <sheetView showGridLines="0" workbookViewId="0"/>
  </sheetViews>
  <sheetFormatPr defaultRowHeight="14.25"/>
  <cols>
    <col min="1" max="12" width="16" customWidth="1"/>
  </cols>
  <sheetData>
    <row r="1" spans="1:12" ht="18.95" customHeight="1">
      <c r="A1" s="2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9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8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8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8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8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8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8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8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8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8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8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8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8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8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8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8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8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8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8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8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8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8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8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0"/>
  <sheetViews>
    <sheetView showGridLines="0" workbookViewId="0"/>
  </sheetViews>
  <sheetFormatPr defaultRowHeight="14.25"/>
  <cols>
    <col min="1" max="7" width="16" customWidth="1"/>
  </cols>
  <sheetData>
    <row r="1" spans="1:7" ht="18.95" customHeight="1">
      <c r="A1" s="2" t="s">
        <v>120</v>
      </c>
      <c r="B1" s="1"/>
      <c r="C1" s="1"/>
      <c r="D1" s="1"/>
      <c r="E1" s="1"/>
      <c r="F1" s="1"/>
      <c r="G1" s="1"/>
    </row>
    <row r="2" spans="1:7" ht="6" customHeight="1">
      <c r="A2" s="1"/>
      <c r="B2" s="1"/>
      <c r="C2" s="1"/>
      <c r="D2" s="1"/>
      <c r="E2" s="1"/>
      <c r="F2" s="1"/>
      <c r="G2" s="1"/>
    </row>
    <row r="3" spans="1:7" ht="6" customHeight="1">
      <c r="A3" s="1"/>
      <c r="B3" s="1"/>
      <c r="C3" s="1"/>
      <c r="D3" s="1"/>
      <c r="E3" s="1"/>
      <c r="F3" s="1"/>
      <c r="G3" s="1"/>
    </row>
    <row r="4" spans="1:7" ht="18.95" customHeight="1">
      <c r="A4" s="1"/>
      <c r="B4" s="1"/>
      <c r="C4" s="1"/>
      <c r="D4" s="1"/>
      <c r="E4" s="1"/>
      <c r="F4" s="1"/>
      <c r="G4" s="1"/>
    </row>
    <row r="5" spans="1:7" ht="33.950000000000003" customHeight="1">
      <c r="A5" s="3" t="s">
        <v>121</v>
      </c>
      <c r="B5" s="3" t="s">
        <v>122</v>
      </c>
      <c r="C5" s="3" t="s">
        <v>123</v>
      </c>
      <c r="D5" s="3" t="s">
        <v>124</v>
      </c>
      <c r="E5" s="3" t="s">
        <v>125</v>
      </c>
      <c r="F5" s="3" t="s">
        <v>126</v>
      </c>
      <c r="G5" s="1"/>
    </row>
    <row r="6" spans="1:7" ht="18.95" customHeight="1">
      <c r="A6" s="1" t="s">
        <v>127</v>
      </c>
      <c r="B6" s="1">
        <f>COUNTIF('Wireless Cycles'!$A$6:$A$14,A6)</f>
        <v>3</v>
      </c>
      <c r="C6" s="6">
        <f>SUMIF('Wireless Cycles'!$A$6:$A$14,A6,'Wireless Cycles'!$E$6:$E$14)</f>
        <v>9021.3420299999998</v>
      </c>
      <c r="D6" s="6">
        <f>B6*60000/C6</f>
        <v>19.952685465357533</v>
      </c>
      <c r="E6" s="6">
        <f>Summary!B10</f>
        <v>20</v>
      </c>
      <c r="F6" s="6">
        <f>(D6/E6-1)*100</f>
        <v>-0.23657267321233189</v>
      </c>
      <c r="G6" s="1"/>
    </row>
    <row r="7" spans="1:7" ht="18.95" customHeight="1">
      <c r="A7" s="1" t="s">
        <v>128</v>
      </c>
      <c r="B7" s="1">
        <f>COUNTIF('Wireless Cycles'!$A$6:$A$14,A7)</f>
        <v>6</v>
      </c>
      <c r="C7" s="6">
        <f>SUMIF('Wireless Cycles'!$A$6:$A$14,A7,'Wireless Cycles'!$E$6:$E$14)</f>
        <v>17481.943420000003</v>
      </c>
      <c r="D7" s="6">
        <f>B7*60000/C7</f>
        <v>20.592676188858182</v>
      </c>
      <c r="E7" s="6">
        <f>Summary!B10</f>
        <v>20</v>
      </c>
      <c r="F7" s="6">
        <f>(D7/E7-1)*100</f>
        <v>2.9633809442909165</v>
      </c>
      <c r="G7" s="1"/>
    </row>
    <row r="8" spans="1:7" ht="18.95" customHeight="1">
      <c r="A8" s="1"/>
      <c r="B8" s="1"/>
      <c r="C8" s="1"/>
      <c r="D8" s="1"/>
      <c r="E8" s="1"/>
      <c r="F8" s="1"/>
      <c r="G8" s="1"/>
    </row>
    <row r="9" spans="1:7" ht="18.95" customHeight="1">
      <c r="A9" s="1"/>
      <c r="B9" s="1"/>
      <c r="C9" s="1"/>
      <c r="D9" s="1"/>
      <c r="E9" s="1"/>
      <c r="F9" s="1"/>
      <c r="G9" s="1"/>
    </row>
    <row r="10" spans="1:7" ht="18.95" customHeight="1"/>
    <row r="11" spans="1:7" ht="18.95" customHeight="1"/>
    <row r="12" spans="1:7" ht="18.95" customHeight="1"/>
    <row r="13" spans="1:7" ht="18.95" customHeight="1"/>
    <row r="14" spans="1:7" ht="18.95" customHeight="1"/>
    <row r="15" spans="1:7" ht="18.95" customHeight="1"/>
    <row r="16" spans="1:7" ht="18.95" customHeight="1"/>
    <row r="17" ht="18.95" customHeight="1"/>
    <row r="18" ht="18.95" customHeight="1"/>
    <row r="19" ht="18.95" customHeight="1"/>
    <row r="20" ht="18.95" customHeight="1"/>
    <row r="21" ht="18.95" customHeight="1"/>
    <row r="22" ht="18.95" customHeight="1"/>
    <row r="23" ht="18.95" customHeight="1"/>
    <row r="24" ht="18.95" customHeight="1"/>
    <row r="25" ht="18.95" customHeight="1"/>
    <row r="26" ht="18.95" customHeight="1"/>
    <row r="27" ht="18.95" customHeight="1"/>
    <row r="28" ht="18.95" customHeight="1"/>
    <row r="29" ht="18.95" customHeight="1"/>
    <row r="30" ht="18.95" customHeigh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6" width="17" customWidth="1"/>
  </cols>
  <sheetData>
    <row r="1" spans="1:6" ht="18.95" customHeight="1">
      <c r="A1" s="2" t="s">
        <v>129</v>
      </c>
      <c r="B1" s="1"/>
      <c r="C1" s="1"/>
      <c r="D1" s="1"/>
      <c r="E1" s="1"/>
      <c r="F1" s="1"/>
    </row>
    <row r="2" spans="1:6" ht="6" customHeight="1">
      <c r="A2" s="1"/>
      <c r="B2" s="1"/>
      <c r="C2" s="1"/>
      <c r="D2" s="1"/>
      <c r="E2" s="1"/>
      <c r="F2" s="1"/>
    </row>
    <row r="3" spans="1:6" ht="6" customHeight="1">
      <c r="A3" s="1"/>
      <c r="B3" s="1"/>
      <c r="C3" s="1"/>
      <c r="D3" s="1"/>
      <c r="E3" s="1"/>
      <c r="F3" s="1"/>
    </row>
    <row r="4" spans="1:6" ht="18.95" customHeight="1">
      <c r="A4" s="1"/>
      <c r="B4" s="1"/>
      <c r="C4" s="1"/>
      <c r="D4" s="1"/>
      <c r="E4" s="1"/>
      <c r="F4" s="1"/>
    </row>
    <row r="5" spans="1:6" ht="33.950000000000003" customHeight="1">
      <c r="A5" s="3" t="s">
        <v>121</v>
      </c>
      <c r="B5" s="3" t="s">
        <v>130</v>
      </c>
      <c r="C5" s="3" t="s">
        <v>131</v>
      </c>
      <c r="D5" s="3" t="s">
        <v>132</v>
      </c>
      <c r="E5" s="3" t="s">
        <v>133</v>
      </c>
      <c r="F5" s="3" t="s">
        <v>134</v>
      </c>
    </row>
    <row r="6" spans="1:6" ht="18.95" customHeight="1">
      <c r="A6" s="6" t="s">
        <v>127</v>
      </c>
      <c r="B6" s="4">
        <v>1</v>
      </c>
      <c r="C6" s="6">
        <v>6185.9821700000002</v>
      </c>
      <c r="D6" s="6">
        <v>9162.5317599999998</v>
      </c>
      <c r="E6" s="6">
        <f t="shared" ref="E6:E14" si="0">D6-C6</f>
        <v>2976.5495899999996</v>
      </c>
      <c r="F6" s="6">
        <f t="shared" ref="F6:F14" si="1">60000/E6</f>
        <v>20.157567742723213</v>
      </c>
    </row>
    <row r="7" spans="1:6" ht="18.95" customHeight="1">
      <c r="A7" s="6" t="s">
        <v>127</v>
      </c>
      <c r="B7" s="4">
        <v>2</v>
      </c>
      <c r="C7" s="6">
        <v>9162.5317599999998</v>
      </c>
      <c r="D7" s="6">
        <v>12185.821600000001</v>
      </c>
      <c r="E7" s="6">
        <f t="shared" si="0"/>
        <v>3023.2898400000013</v>
      </c>
      <c r="F7" s="6">
        <f t="shared" si="1"/>
        <v>19.845930484786063</v>
      </c>
    </row>
    <row r="8" spans="1:6" ht="18.95" customHeight="1">
      <c r="A8" s="6" t="s">
        <v>127</v>
      </c>
      <c r="B8" s="4">
        <v>3</v>
      </c>
      <c r="C8" s="6">
        <v>12185.821600000001</v>
      </c>
      <c r="D8" s="6">
        <v>15207.324200000001</v>
      </c>
      <c r="E8" s="6">
        <f t="shared" si="0"/>
        <v>3021.5025999999998</v>
      </c>
      <c r="F8" s="6">
        <f t="shared" si="1"/>
        <v>19.857669491993818</v>
      </c>
    </row>
    <row r="9" spans="1:6" ht="18.95" customHeight="1">
      <c r="A9" s="6" t="s">
        <v>128</v>
      </c>
      <c r="B9" s="4">
        <v>1</v>
      </c>
      <c r="C9" s="6">
        <v>3040.1430799999998</v>
      </c>
      <c r="D9" s="6">
        <v>5913.8956499999995</v>
      </c>
      <c r="E9" s="6">
        <f t="shared" si="0"/>
        <v>2873.7525699999997</v>
      </c>
      <c r="F9" s="6">
        <f t="shared" si="1"/>
        <v>20.878624216419581</v>
      </c>
    </row>
    <row r="10" spans="1:6" ht="18.95" customHeight="1">
      <c r="A10" s="6" t="s">
        <v>128</v>
      </c>
      <c r="B10" s="4">
        <v>2</v>
      </c>
      <c r="C10" s="6">
        <v>5913.8956499999995</v>
      </c>
      <c r="D10" s="6">
        <v>8853.3656200000005</v>
      </c>
      <c r="E10" s="6">
        <f t="shared" si="0"/>
        <v>2939.469970000001</v>
      </c>
      <c r="F10" s="6">
        <f t="shared" si="1"/>
        <v>20.411843159601993</v>
      </c>
    </row>
    <row r="11" spans="1:6" ht="18.95" customHeight="1">
      <c r="A11" s="6" t="s">
        <v>128</v>
      </c>
      <c r="B11" s="4">
        <v>3</v>
      </c>
      <c r="C11" s="6">
        <v>8853.3656200000005</v>
      </c>
      <c r="D11" s="6">
        <v>11719.469000000001</v>
      </c>
      <c r="E11" s="6">
        <f t="shared" si="0"/>
        <v>2866.1033800000005</v>
      </c>
      <c r="F11" s="6">
        <f t="shared" si="1"/>
        <v>20.934346059771226</v>
      </c>
    </row>
    <row r="12" spans="1:6" ht="18.95" customHeight="1">
      <c r="A12" s="6" t="s">
        <v>128</v>
      </c>
      <c r="B12" s="4">
        <v>4</v>
      </c>
      <c r="C12" s="6">
        <v>11719.469000000001</v>
      </c>
      <c r="D12" s="6">
        <v>14674.087299999999</v>
      </c>
      <c r="E12" s="6">
        <f t="shared" si="0"/>
        <v>2954.6182999999983</v>
      </c>
      <c r="F12" s="6">
        <f t="shared" si="1"/>
        <v>20.307191626072321</v>
      </c>
    </row>
    <row r="13" spans="1:6" ht="18.95" customHeight="1">
      <c r="A13" s="6" t="s">
        <v>128</v>
      </c>
      <c r="B13" s="4">
        <v>5</v>
      </c>
      <c r="C13" s="6">
        <v>14674.087299999999</v>
      </c>
      <c r="D13" s="6">
        <v>17589.441699999999</v>
      </c>
      <c r="E13" s="6">
        <f t="shared" si="0"/>
        <v>2915.3544000000002</v>
      </c>
      <c r="F13" s="6">
        <f t="shared" si="1"/>
        <v>20.580688234679116</v>
      </c>
    </row>
    <row r="14" spans="1:6" ht="18.95" customHeight="1">
      <c r="A14" s="6" t="s">
        <v>128</v>
      </c>
      <c r="B14" s="4">
        <v>6</v>
      </c>
      <c r="C14" s="6">
        <v>17589.441699999999</v>
      </c>
      <c r="D14" s="6">
        <v>20522.086500000001</v>
      </c>
      <c r="E14" s="6">
        <f t="shared" si="0"/>
        <v>2932.6448000000019</v>
      </c>
      <c r="F14" s="6">
        <f t="shared" si="1"/>
        <v>20.459347821461353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05"/>
  <sheetViews>
    <sheetView showGridLines="0" tabSelected="1" workbookViewId="0"/>
  </sheetViews>
  <sheetFormatPr defaultRowHeight="14.25"/>
  <cols>
    <col min="1" max="12" width="16" customWidth="1"/>
  </cols>
  <sheetData>
    <row r="1" spans="1:12" ht="18.95" customHeight="1">
      <c r="A1" s="2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9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8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8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8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8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8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8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8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8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8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8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8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8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8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8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8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8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8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8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8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8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8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8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8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8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8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8.9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8.9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8.9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8.9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8.9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8.9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8.9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8.9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8.9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8.9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8.9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8.9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8.9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8.9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8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8.9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8.9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8.9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8.9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8.9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8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8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8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8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8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8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8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8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8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8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8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8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8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8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8.9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8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8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8.9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8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8.9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8.9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8.9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8.9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8.9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8.9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8.9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8.9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8.9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8.9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8.9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8.9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8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8.9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8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8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8.9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8.9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8.9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8.9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8.9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8.9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8.9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8.9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8.9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8.9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8.9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8.9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8.9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8.9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8.9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8.9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8.9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8.9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8.9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8.9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8.9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8.9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8.9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8.9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8.9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8.9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8.9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8.9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8.9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8.9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8.9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8.9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8.9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8.9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8.9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8.9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8.9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8.9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8.9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8.9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8.9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8.9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8.9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8.9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8.9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8.9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8.9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8.9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8.9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8.9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8.9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8.9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8.9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8.9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8.9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8.9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8.9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8.9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8.9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8.9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8.9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8.9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8.9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8.9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8.9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8.9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8.9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8.9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8.9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8.9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8.9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8.9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8.9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8.9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8.9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8.9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8.9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8.9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8.9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8.9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8.9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8.9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8.9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8.9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8.9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8.9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8.9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8.9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8.9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8.9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8.9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8.9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8.9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8.9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8.9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8.9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8.9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8.9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8.9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8.9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6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7" width="17" customWidth="1"/>
  </cols>
  <sheetData>
    <row r="1" spans="1:36" ht="18.95" customHeight="1">
      <c r="A1" s="2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3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6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36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36" ht="33.950000000000003" customHeight="1">
      <c r="A5" s="3" t="s">
        <v>137</v>
      </c>
      <c r="B5" s="3" t="s">
        <v>138</v>
      </c>
      <c r="C5" s="3" t="s">
        <v>139</v>
      </c>
      <c r="D5" s="3" t="s">
        <v>140</v>
      </c>
      <c r="E5" s="3" t="s">
        <v>141</v>
      </c>
      <c r="F5" s="3" t="s">
        <v>142</v>
      </c>
      <c r="G5" s="3" t="s">
        <v>143</v>
      </c>
      <c r="H5" s="3" t="s">
        <v>144</v>
      </c>
      <c r="I5" s="3" t="s">
        <v>145</v>
      </c>
      <c r="J5" s="3" t="s">
        <v>146</v>
      </c>
      <c r="K5" s="3" t="s">
        <v>147</v>
      </c>
      <c r="L5" s="3" t="s">
        <v>148</v>
      </c>
      <c r="M5" s="3" t="s">
        <v>149</v>
      </c>
      <c r="N5" s="3" t="s">
        <v>150</v>
      </c>
      <c r="O5" s="3" t="s">
        <v>151</v>
      </c>
      <c r="P5" s="3" t="s">
        <v>152</v>
      </c>
      <c r="Q5" s="3" t="s">
        <v>153</v>
      </c>
      <c r="R5" s="3" t="s">
        <v>154</v>
      </c>
      <c r="S5" s="3" t="s">
        <v>155</v>
      </c>
      <c r="T5" s="3" t="s">
        <v>156</v>
      </c>
      <c r="U5" s="3" t="s">
        <v>157</v>
      </c>
      <c r="V5" s="3" t="s">
        <v>158</v>
      </c>
      <c r="W5" s="3" t="s">
        <v>159</v>
      </c>
      <c r="X5" s="3" t="s">
        <v>160</v>
      </c>
      <c r="Y5" s="3" t="s">
        <v>161</v>
      </c>
      <c r="Z5" s="3" t="s">
        <v>162</v>
      </c>
      <c r="AA5" s="3" t="s">
        <v>163</v>
      </c>
      <c r="AC5" t="s">
        <v>28</v>
      </c>
      <c r="AD5" t="s">
        <v>164</v>
      </c>
      <c r="AE5" t="s">
        <v>165</v>
      </c>
      <c r="AF5" t="s">
        <v>166</v>
      </c>
      <c r="AG5" t="s">
        <v>167</v>
      </c>
      <c r="AH5" t="s">
        <v>168</v>
      </c>
      <c r="AI5" t="s">
        <v>169</v>
      </c>
      <c r="AJ5" t="s">
        <v>170</v>
      </c>
    </row>
    <row r="6" spans="1:36" ht="18.95" customHeight="1">
      <c r="A6" s="4">
        <v>65208200</v>
      </c>
      <c r="B6" s="6">
        <v>4.8468236099999999E-2</v>
      </c>
      <c r="C6" s="6">
        <v>1.6031620699999999E-2</v>
      </c>
      <c r="D6" s="6">
        <v>-7.6999999999999999E-2</v>
      </c>
      <c r="E6" s="6">
        <v>-2.1000000000000001E-2</v>
      </c>
      <c r="F6" s="6">
        <v>-1.0329999999999999</v>
      </c>
      <c r="G6" s="6">
        <v>-4.3949999999999996</v>
      </c>
      <c r="H6" s="6">
        <v>-124.634</v>
      </c>
      <c r="I6" s="6">
        <v>-1.4039999999999999</v>
      </c>
      <c r="J6" s="6">
        <v>-0.154</v>
      </c>
      <c r="K6" s="6">
        <v>3.34</v>
      </c>
      <c r="L6" s="6">
        <v>131.072</v>
      </c>
      <c r="M6" s="6">
        <v>42</v>
      </c>
      <c r="N6" s="6">
        <v>32.700000000000003</v>
      </c>
      <c r="O6" s="6">
        <v>25.08</v>
      </c>
      <c r="P6" s="6">
        <v>24.62</v>
      </c>
      <c r="Q6" s="6">
        <v>8.7429999999999994E-2</v>
      </c>
      <c r="R6" s="6">
        <v>-0.41205000000000003</v>
      </c>
      <c r="S6" s="6">
        <v>-0.90651999999999999</v>
      </c>
      <c r="T6" s="6">
        <v>-2.5510000000000001E-2</v>
      </c>
      <c r="U6" s="6">
        <v>9.2110000000000003</v>
      </c>
      <c r="V6" s="6">
        <v>1</v>
      </c>
      <c r="W6" s="6">
        <v>1</v>
      </c>
      <c r="X6" s="6" t="s">
        <v>171</v>
      </c>
      <c r="Y6" s="6">
        <v>-7.6707220600000001E-2</v>
      </c>
      <c r="Z6" s="6">
        <v>-2.1752736600000002</v>
      </c>
      <c r="AA6" s="6">
        <v>-2.45044227E-2</v>
      </c>
      <c r="AC6">
        <f t="shared" ref="AC6:AC37" si="0">B6*1000</f>
        <v>48.468236099999999</v>
      </c>
      <c r="AD6">
        <f t="shared" ref="AD6:AD37" si="1">G6</f>
        <v>-4.3949999999999996</v>
      </c>
      <c r="AE6">
        <f t="shared" ref="AE6:AE37" si="2">H6</f>
        <v>-124.634</v>
      </c>
      <c r="AF6">
        <f t="shared" ref="AF6:AF37" si="3">I6</f>
        <v>-1.4039999999999999</v>
      </c>
      <c r="AG6">
        <f t="shared" ref="AG6:AG37" si="4">K6</f>
        <v>3.34</v>
      </c>
      <c r="AH6">
        <f t="shared" ref="AH6:AH37" si="5">J6</f>
        <v>-0.154</v>
      </c>
      <c r="AI6">
        <f t="shared" ref="AI6:AI37" si="6">K6</f>
        <v>3.34</v>
      </c>
      <c r="AJ6">
        <f t="shared" ref="AJ6:AJ37" si="7">L6</f>
        <v>131.072</v>
      </c>
    </row>
    <row r="7" spans="1:36" ht="18.95" customHeight="1">
      <c r="A7" s="4">
        <v>65208229</v>
      </c>
      <c r="B7" s="6">
        <v>7.7468236100000004E-2</v>
      </c>
      <c r="C7" s="6">
        <v>2.5623820499999998E-2</v>
      </c>
      <c r="D7" s="6">
        <v>-0.16</v>
      </c>
      <c r="E7" s="6">
        <v>-1.7000000000000001E-2</v>
      </c>
      <c r="F7" s="6">
        <v>-1.044</v>
      </c>
      <c r="G7" s="6">
        <v>-4.5170000000000003</v>
      </c>
      <c r="H7" s="6">
        <v>-126.16</v>
      </c>
      <c r="I7" s="6">
        <v>-1.343</v>
      </c>
      <c r="J7" s="6">
        <v>-0.374</v>
      </c>
      <c r="K7" s="6">
        <v>9.6189999999999998</v>
      </c>
      <c r="L7" s="6">
        <v>131.292</v>
      </c>
      <c r="M7" s="6">
        <v>42</v>
      </c>
      <c r="N7" s="6">
        <v>32.700000000000003</v>
      </c>
      <c r="O7" s="6">
        <v>25.08</v>
      </c>
      <c r="P7" s="6">
        <v>24.62</v>
      </c>
      <c r="Q7" s="6">
        <v>8.7429999999999994E-2</v>
      </c>
      <c r="R7" s="6">
        <v>-0.41205000000000003</v>
      </c>
      <c r="S7" s="6">
        <v>-0.90651999999999999</v>
      </c>
      <c r="T7" s="6">
        <v>-2.5510000000000001E-2</v>
      </c>
      <c r="U7" s="6">
        <v>9.24</v>
      </c>
      <c r="V7" s="6">
        <v>1</v>
      </c>
      <c r="W7" s="6">
        <v>1</v>
      </c>
      <c r="X7" s="6" t="s">
        <v>172</v>
      </c>
      <c r="Y7" s="6">
        <v>-7.8836522300000003E-2</v>
      </c>
      <c r="Z7" s="6">
        <v>-2.2019073800000002</v>
      </c>
      <c r="AA7" s="6">
        <v>-2.34397719E-2</v>
      </c>
      <c r="AC7">
        <f t="shared" si="0"/>
        <v>77.468236099999999</v>
      </c>
      <c r="AD7">
        <f t="shared" si="1"/>
        <v>-4.5170000000000003</v>
      </c>
      <c r="AE7">
        <f t="shared" si="2"/>
        <v>-126.16</v>
      </c>
      <c r="AF7">
        <f t="shared" si="3"/>
        <v>-1.343</v>
      </c>
      <c r="AG7">
        <f t="shared" si="4"/>
        <v>9.6189999999999998</v>
      </c>
      <c r="AH7">
        <f t="shared" si="5"/>
        <v>-0.374</v>
      </c>
      <c r="AI7">
        <f t="shared" si="6"/>
        <v>9.6189999999999998</v>
      </c>
      <c r="AJ7">
        <f t="shared" si="7"/>
        <v>131.292</v>
      </c>
    </row>
    <row r="8" spans="1:36" ht="18.95" customHeight="1">
      <c r="A8" s="4">
        <v>65208289</v>
      </c>
      <c r="B8" s="6">
        <v>0.13746823599999999</v>
      </c>
      <c r="C8" s="6">
        <v>4.5469751000000003E-2</v>
      </c>
      <c r="D8" s="6">
        <v>-0.27100000000000002</v>
      </c>
      <c r="E8" s="6">
        <v>-1.6E-2</v>
      </c>
      <c r="F8" s="6">
        <v>-1.0509999999999999</v>
      </c>
      <c r="G8" s="6">
        <v>-4.3949999999999996</v>
      </c>
      <c r="H8" s="6">
        <v>-123.413</v>
      </c>
      <c r="I8" s="6">
        <v>-1.343</v>
      </c>
      <c r="J8" s="6">
        <v>-0.57099999999999995</v>
      </c>
      <c r="K8" s="6">
        <v>15.864000000000001</v>
      </c>
      <c r="L8" s="6">
        <v>131.47900000000001</v>
      </c>
      <c r="M8" s="6">
        <v>42</v>
      </c>
      <c r="N8" s="6">
        <v>32.700000000000003</v>
      </c>
      <c r="O8" s="6">
        <v>25.08</v>
      </c>
      <c r="P8" s="6">
        <v>24.62</v>
      </c>
      <c r="Q8" s="6">
        <v>8.7429999999999994E-2</v>
      </c>
      <c r="R8" s="6">
        <v>-0.41205000000000003</v>
      </c>
      <c r="S8" s="6">
        <v>-0.90651999999999999</v>
      </c>
      <c r="T8" s="6">
        <v>-2.5510000000000001E-2</v>
      </c>
      <c r="U8" s="6">
        <v>9.3000000000000007</v>
      </c>
      <c r="V8" s="6">
        <v>1</v>
      </c>
      <c r="W8" s="6">
        <v>1</v>
      </c>
      <c r="X8" s="6" t="s">
        <v>173</v>
      </c>
      <c r="Y8" s="6">
        <v>-7.6707220600000001E-2</v>
      </c>
      <c r="Z8" s="6">
        <v>-2.1539631899999998</v>
      </c>
      <c r="AA8" s="6">
        <v>-2.34397719E-2</v>
      </c>
      <c r="AC8">
        <f t="shared" si="0"/>
        <v>137.46823599999999</v>
      </c>
      <c r="AD8">
        <f t="shared" si="1"/>
        <v>-4.3949999999999996</v>
      </c>
      <c r="AE8">
        <f t="shared" si="2"/>
        <v>-123.413</v>
      </c>
      <c r="AF8">
        <f t="shared" si="3"/>
        <v>-1.343</v>
      </c>
      <c r="AG8">
        <f t="shared" si="4"/>
        <v>15.864000000000001</v>
      </c>
      <c r="AH8">
        <f t="shared" si="5"/>
        <v>-0.57099999999999995</v>
      </c>
      <c r="AI8">
        <f t="shared" si="6"/>
        <v>15.864000000000001</v>
      </c>
      <c r="AJ8">
        <f t="shared" si="7"/>
        <v>131.47900000000001</v>
      </c>
    </row>
    <row r="9" spans="1:36" ht="18.95" customHeight="1">
      <c r="A9" s="4">
        <v>65208319</v>
      </c>
      <c r="B9" s="6">
        <v>0.16746823599999999</v>
      </c>
      <c r="C9" s="6">
        <v>5.5392716299999999E-2</v>
      </c>
      <c r="D9" s="6">
        <v>-0.38100000000000001</v>
      </c>
      <c r="E9" s="6">
        <v>-1.2E-2</v>
      </c>
      <c r="F9" s="6">
        <v>-1.022</v>
      </c>
      <c r="G9" s="6">
        <v>-4.3330000000000002</v>
      </c>
      <c r="H9" s="6">
        <v>-121.46</v>
      </c>
      <c r="I9" s="6">
        <v>-1.343</v>
      </c>
      <c r="J9" s="6">
        <v>-0.747</v>
      </c>
      <c r="K9" s="6">
        <v>22.006</v>
      </c>
      <c r="L9" s="6">
        <v>131.655</v>
      </c>
      <c r="M9" s="6">
        <v>42</v>
      </c>
      <c r="N9" s="6">
        <v>32.700000000000003</v>
      </c>
      <c r="O9" s="6">
        <v>25.08</v>
      </c>
      <c r="P9" s="6">
        <v>24.62</v>
      </c>
      <c r="Q9" s="6">
        <v>8.7429999999999994E-2</v>
      </c>
      <c r="R9" s="6">
        <v>-0.41205000000000003</v>
      </c>
      <c r="S9" s="6">
        <v>-0.90651999999999999</v>
      </c>
      <c r="T9" s="6">
        <v>-2.5510000000000001E-2</v>
      </c>
      <c r="U9" s="6">
        <v>9.33</v>
      </c>
      <c r="V9" s="6">
        <v>1</v>
      </c>
      <c r="W9" s="6">
        <v>1</v>
      </c>
      <c r="X9" s="6" t="s">
        <v>174</v>
      </c>
      <c r="Y9" s="6">
        <v>-7.5625116500000006E-2</v>
      </c>
      <c r="Z9" s="6">
        <v>-2.1198769099999999</v>
      </c>
      <c r="AA9" s="6">
        <v>-2.34397719E-2</v>
      </c>
      <c r="AC9">
        <f t="shared" si="0"/>
        <v>167.46823599999999</v>
      </c>
      <c r="AD9">
        <f t="shared" si="1"/>
        <v>-4.3330000000000002</v>
      </c>
      <c r="AE9">
        <f t="shared" si="2"/>
        <v>-121.46</v>
      </c>
      <c r="AF9">
        <f t="shared" si="3"/>
        <v>-1.343</v>
      </c>
      <c r="AG9">
        <f t="shared" si="4"/>
        <v>22.006</v>
      </c>
      <c r="AH9">
        <f t="shared" si="5"/>
        <v>-0.747</v>
      </c>
      <c r="AI9">
        <f t="shared" si="6"/>
        <v>22.006</v>
      </c>
      <c r="AJ9">
        <f t="shared" si="7"/>
        <v>131.655</v>
      </c>
    </row>
    <row r="10" spans="1:36" ht="18.95" customHeight="1">
      <c r="A10" s="4">
        <v>65208410</v>
      </c>
      <c r="B10" s="6">
        <v>0.25846823600000002</v>
      </c>
      <c r="C10" s="6">
        <v>8.5492377499999994E-2</v>
      </c>
      <c r="D10" s="6">
        <v>-0.45400000000000001</v>
      </c>
      <c r="E10" s="6">
        <v>-0.01</v>
      </c>
      <c r="F10" s="6">
        <v>-0.98299999999999998</v>
      </c>
      <c r="G10" s="6">
        <v>-4.3330000000000002</v>
      </c>
      <c r="H10" s="6">
        <v>-121.70399999999999</v>
      </c>
      <c r="I10" s="6">
        <v>-1.4039999999999999</v>
      </c>
      <c r="J10" s="6">
        <v>-0.90100000000000002</v>
      </c>
      <c r="K10" s="6">
        <v>28.081</v>
      </c>
      <c r="L10" s="6">
        <v>131.803</v>
      </c>
      <c r="M10" s="6">
        <v>42</v>
      </c>
      <c r="N10" s="6">
        <v>32.700000000000003</v>
      </c>
      <c r="O10" s="6">
        <v>25.08</v>
      </c>
      <c r="P10" s="6">
        <v>24.62</v>
      </c>
      <c r="Q10" s="6">
        <v>8.7429999999999994E-2</v>
      </c>
      <c r="R10" s="6">
        <v>-0.41205000000000003</v>
      </c>
      <c r="S10" s="6">
        <v>-0.90651999999999999</v>
      </c>
      <c r="T10" s="6">
        <v>-2.5510000000000001E-2</v>
      </c>
      <c r="U10" s="6">
        <v>9.4209999999999994</v>
      </c>
      <c r="V10" s="6">
        <v>1</v>
      </c>
      <c r="W10" s="6">
        <v>1</v>
      </c>
      <c r="X10" s="6" t="s">
        <v>175</v>
      </c>
      <c r="Y10" s="6">
        <v>-7.5625116500000006E-2</v>
      </c>
      <c r="Z10" s="6">
        <v>-2.1241355099999999</v>
      </c>
      <c r="AA10" s="6">
        <v>-2.45044227E-2</v>
      </c>
      <c r="AC10">
        <f t="shared" si="0"/>
        <v>258.46823599999999</v>
      </c>
      <c r="AD10">
        <f t="shared" si="1"/>
        <v>-4.3330000000000002</v>
      </c>
      <c r="AE10">
        <f t="shared" si="2"/>
        <v>-121.70399999999999</v>
      </c>
      <c r="AF10">
        <f t="shared" si="3"/>
        <v>-1.4039999999999999</v>
      </c>
      <c r="AG10">
        <f t="shared" si="4"/>
        <v>28.081</v>
      </c>
      <c r="AH10">
        <f t="shared" si="5"/>
        <v>-0.90100000000000002</v>
      </c>
      <c r="AI10">
        <f t="shared" si="6"/>
        <v>28.081</v>
      </c>
      <c r="AJ10">
        <f t="shared" si="7"/>
        <v>131.803</v>
      </c>
    </row>
    <row r="11" spans="1:36" ht="18.95" customHeight="1">
      <c r="A11" s="4">
        <v>65208441</v>
      </c>
      <c r="B11" s="6">
        <v>0.28946823599999999</v>
      </c>
      <c r="C11" s="6">
        <v>9.5746108299999994E-2</v>
      </c>
      <c r="D11" s="6">
        <v>-0.56399999999999995</v>
      </c>
      <c r="E11" s="6">
        <v>-6.0000000000000001E-3</v>
      </c>
      <c r="F11" s="6">
        <v>-0.95599999999999996</v>
      </c>
      <c r="G11" s="6">
        <v>-4.3330000000000002</v>
      </c>
      <c r="H11" s="6">
        <v>-119.934</v>
      </c>
      <c r="I11" s="6">
        <v>-1.526</v>
      </c>
      <c r="J11" s="6">
        <v>-1.0489999999999999</v>
      </c>
      <c r="K11" s="6">
        <v>34.200000000000003</v>
      </c>
      <c r="L11" s="6">
        <v>131.95099999999999</v>
      </c>
      <c r="M11" s="6">
        <v>85.6</v>
      </c>
      <c r="N11" s="6">
        <v>37.700000000000003</v>
      </c>
      <c r="O11" s="6">
        <v>33.786999999999999</v>
      </c>
      <c r="P11" s="6">
        <v>24.62</v>
      </c>
      <c r="Q11" s="6">
        <v>8.7429999999999994E-2</v>
      </c>
      <c r="R11" s="6">
        <v>-0.41205000000000003</v>
      </c>
      <c r="S11" s="6">
        <v>-0.90651999999999999</v>
      </c>
      <c r="T11" s="6">
        <v>-2.5510000000000001E-2</v>
      </c>
      <c r="U11" s="6">
        <v>9.452</v>
      </c>
      <c r="V11" s="6">
        <v>1</v>
      </c>
      <c r="W11" s="6">
        <v>1</v>
      </c>
      <c r="X11" s="6" t="s">
        <v>176</v>
      </c>
      <c r="Y11" s="6">
        <v>-7.5625116500000006E-2</v>
      </c>
      <c r="Z11" s="6">
        <v>-2.0932431899999999</v>
      </c>
      <c r="AA11" s="6">
        <v>-2.6633724399999999E-2</v>
      </c>
      <c r="AC11">
        <f t="shared" si="0"/>
        <v>289.46823599999999</v>
      </c>
      <c r="AD11">
        <f t="shared" si="1"/>
        <v>-4.3330000000000002</v>
      </c>
      <c r="AE11">
        <f t="shared" si="2"/>
        <v>-119.934</v>
      </c>
      <c r="AF11">
        <f t="shared" si="3"/>
        <v>-1.526</v>
      </c>
      <c r="AG11">
        <f t="shared" si="4"/>
        <v>34.200000000000003</v>
      </c>
      <c r="AH11">
        <f t="shared" si="5"/>
        <v>-1.0489999999999999</v>
      </c>
      <c r="AI11">
        <f t="shared" si="6"/>
        <v>34.200000000000003</v>
      </c>
      <c r="AJ11">
        <f t="shared" si="7"/>
        <v>131.95099999999999</v>
      </c>
    </row>
    <row r="12" spans="1:36" ht="18.95" customHeight="1">
      <c r="A12" s="4">
        <v>65208471</v>
      </c>
      <c r="B12" s="6">
        <v>0.31946823600000002</v>
      </c>
      <c r="C12" s="6">
        <v>0.105669074</v>
      </c>
      <c r="D12" s="6">
        <v>-0.66200000000000003</v>
      </c>
      <c r="E12" s="6">
        <v>-3.0000000000000001E-3</v>
      </c>
      <c r="F12" s="6">
        <v>-0.88900000000000001</v>
      </c>
      <c r="G12" s="6">
        <v>-4.2110000000000003</v>
      </c>
      <c r="H12" s="6">
        <v>-117.798</v>
      </c>
      <c r="I12" s="6">
        <v>-1.4039999999999999</v>
      </c>
      <c r="J12" s="6">
        <v>-1.1870000000000001</v>
      </c>
      <c r="K12" s="6">
        <v>40.192999999999998</v>
      </c>
      <c r="L12" s="6">
        <v>132.083</v>
      </c>
      <c r="M12" s="6">
        <v>85.6</v>
      </c>
      <c r="N12" s="6">
        <v>37.700000000000003</v>
      </c>
      <c r="O12" s="6">
        <v>33.786999999999999</v>
      </c>
      <c r="P12" s="6">
        <v>24.62</v>
      </c>
      <c r="Q12" s="6">
        <v>8.7429999999999994E-2</v>
      </c>
      <c r="R12" s="6">
        <v>-0.41205000000000003</v>
      </c>
      <c r="S12" s="6">
        <v>-0.90651999999999999</v>
      </c>
      <c r="T12" s="6">
        <v>-2.5510000000000001E-2</v>
      </c>
      <c r="U12" s="6">
        <v>9.4819999999999993</v>
      </c>
      <c r="V12" s="6">
        <v>1</v>
      </c>
      <c r="W12" s="6">
        <v>1</v>
      </c>
      <c r="X12" s="6" t="s">
        <v>177</v>
      </c>
      <c r="Y12" s="6">
        <v>-7.3495814800000003E-2</v>
      </c>
      <c r="Z12" s="6">
        <v>-2.0559629500000001</v>
      </c>
      <c r="AA12" s="6">
        <v>-2.45044227E-2</v>
      </c>
      <c r="AC12">
        <f t="shared" si="0"/>
        <v>319.46823599999999</v>
      </c>
      <c r="AD12">
        <f t="shared" si="1"/>
        <v>-4.2110000000000003</v>
      </c>
      <c r="AE12">
        <f t="shared" si="2"/>
        <v>-117.798</v>
      </c>
      <c r="AF12">
        <f t="shared" si="3"/>
        <v>-1.4039999999999999</v>
      </c>
      <c r="AG12">
        <f t="shared" si="4"/>
        <v>40.192999999999998</v>
      </c>
      <c r="AH12">
        <f t="shared" si="5"/>
        <v>-1.1870000000000001</v>
      </c>
      <c r="AI12">
        <f t="shared" si="6"/>
        <v>40.192999999999998</v>
      </c>
      <c r="AJ12">
        <f t="shared" si="7"/>
        <v>132.083</v>
      </c>
    </row>
    <row r="13" spans="1:36" ht="18.95" customHeight="1">
      <c r="A13" s="4">
        <v>65208529</v>
      </c>
      <c r="B13" s="6">
        <v>0.37746823600000001</v>
      </c>
      <c r="C13" s="6">
        <v>0.12485347300000001</v>
      </c>
      <c r="D13" s="6">
        <v>-0.76300000000000001</v>
      </c>
      <c r="E13" s="6">
        <v>-2E-3</v>
      </c>
      <c r="F13" s="6">
        <v>-0.82399999999999995</v>
      </c>
      <c r="G13" s="6">
        <v>-4.2720000000000002</v>
      </c>
      <c r="H13" s="6">
        <v>-119.50700000000001</v>
      </c>
      <c r="I13" s="6">
        <v>-1.282</v>
      </c>
      <c r="J13" s="6">
        <v>-1.3129999999999999</v>
      </c>
      <c r="K13" s="6">
        <v>46.180999999999997</v>
      </c>
      <c r="L13" s="6">
        <v>132.209</v>
      </c>
      <c r="M13" s="6">
        <v>85.6</v>
      </c>
      <c r="N13" s="6">
        <v>37.700000000000003</v>
      </c>
      <c r="O13" s="6">
        <v>33.786999999999999</v>
      </c>
      <c r="P13" s="6">
        <v>24.62</v>
      </c>
      <c r="Q13" s="6">
        <v>-0.26465</v>
      </c>
      <c r="R13" s="6">
        <v>-0.38836999999999999</v>
      </c>
      <c r="S13" s="6">
        <v>-0.87444999999999995</v>
      </c>
      <c r="T13" s="6">
        <v>0.11981</v>
      </c>
      <c r="U13" s="6">
        <v>9.5399999999999991</v>
      </c>
      <c r="V13" s="6">
        <v>1</v>
      </c>
      <c r="W13" s="6">
        <v>1</v>
      </c>
      <c r="X13" s="6" t="s">
        <v>178</v>
      </c>
      <c r="Y13" s="6">
        <v>-7.45604656E-2</v>
      </c>
      <c r="Z13" s="6">
        <v>-2.08579063</v>
      </c>
      <c r="AA13" s="6">
        <v>-2.2375121000000001E-2</v>
      </c>
      <c r="AC13">
        <f t="shared" si="0"/>
        <v>377.46823599999999</v>
      </c>
      <c r="AD13">
        <f t="shared" si="1"/>
        <v>-4.2720000000000002</v>
      </c>
      <c r="AE13">
        <f t="shared" si="2"/>
        <v>-119.50700000000001</v>
      </c>
      <c r="AF13">
        <f t="shared" si="3"/>
        <v>-1.282</v>
      </c>
      <c r="AG13">
        <f t="shared" si="4"/>
        <v>46.180999999999997</v>
      </c>
      <c r="AH13">
        <f t="shared" si="5"/>
        <v>-1.3129999999999999</v>
      </c>
      <c r="AI13">
        <f t="shared" si="6"/>
        <v>46.180999999999997</v>
      </c>
      <c r="AJ13">
        <f t="shared" si="7"/>
        <v>132.209</v>
      </c>
    </row>
    <row r="14" spans="1:36" ht="18.95" customHeight="1">
      <c r="A14" s="4">
        <v>65208619</v>
      </c>
      <c r="B14" s="6">
        <v>0.46746823599999998</v>
      </c>
      <c r="C14" s="6">
        <v>0.15462236900000001</v>
      </c>
      <c r="D14" s="6">
        <v>-0.78900000000000003</v>
      </c>
      <c r="E14" s="6">
        <v>-1E-3</v>
      </c>
      <c r="F14" s="6">
        <v>-0.745</v>
      </c>
      <c r="G14" s="6">
        <v>-4.3949999999999996</v>
      </c>
      <c r="H14" s="6">
        <v>-122.437</v>
      </c>
      <c r="I14" s="6">
        <v>-1.4039999999999999</v>
      </c>
      <c r="J14" s="6">
        <v>-1.4450000000000001</v>
      </c>
      <c r="K14" s="6">
        <v>52.223999999999997</v>
      </c>
      <c r="L14" s="6">
        <v>132.31899999999999</v>
      </c>
      <c r="M14" s="6">
        <v>85.6</v>
      </c>
      <c r="N14" s="6">
        <v>37.700000000000003</v>
      </c>
      <c r="O14" s="6">
        <v>33.786999999999999</v>
      </c>
      <c r="P14" s="6">
        <v>24.62</v>
      </c>
      <c r="Q14" s="6">
        <v>-0.26465</v>
      </c>
      <c r="R14" s="6">
        <v>-0.38836999999999999</v>
      </c>
      <c r="S14" s="6">
        <v>-0.87444999999999995</v>
      </c>
      <c r="T14" s="6">
        <v>0.11981</v>
      </c>
      <c r="U14" s="6">
        <v>9.6300000000000008</v>
      </c>
      <c r="V14" s="6">
        <v>1</v>
      </c>
      <c r="W14" s="6">
        <v>1</v>
      </c>
      <c r="X14" s="6" t="s">
        <v>179</v>
      </c>
      <c r="Y14" s="6">
        <v>-7.6707220600000001E-2</v>
      </c>
      <c r="Z14" s="6">
        <v>-2.1369287799999999</v>
      </c>
      <c r="AA14" s="6">
        <v>-2.45044227E-2</v>
      </c>
      <c r="AC14">
        <f t="shared" si="0"/>
        <v>467.46823599999999</v>
      </c>
      <c r="AD14">
        <f t="shared" si="1"/>
        <v>-4.3949999999999996</v>
      </c>
      <c r="AE14">
        <f t="shared" si="2"/>
        <v>-122.437</v>
      </c>
      <c r="AF14">
        <f t="shared" si="3"/>
        <v>-1.4039999999999999</v>
      </c>
      <c r="AG14">
        <f t="shared" si="4"/>
        <v>52.223999999999997</v>
      </c>
      <c r="AH14">
        <f t="shared" si="5"/>
        <v>-1.4450000000000001</v>
      </c>
      <c r="AI14">
        <f t="shared" si="6"/>
        <v>52.223999999999997</v>
      </c>
      <c r="AJ14">
        <f t="shared" si="7"/>
        <v>132.31899999999999</v>
      </c>
    </row>
    <row r="15" spans="1:36" ht="18.95" customHeight="1">
      <c r="A15" s="4">
        <v>65208649</v>
      </c>
      <c r="B15" s="6">
        <v>0.49746823600000001</v>
      </c>
      <c r="C15" s="6">
        <v>0.16454533399999999</v>
      </c>
      <c r="D15" s="6">
        <v>-0.84899999999999998</v>
      </c>
      <c r="E15" s="6">
        <v>0</v>
      </c>
      <c r="F15" s="6">
        <v>-0.69099999999999995</v>
      </c>
      <c r="G15" s="6">
        <v>-4.2720000000000002</v>
      </c>
      <c r="H15" s="6">
        <v>-119.50700000000001</v>
      </c>
      <c r="I15" s="6">
        <v>-1.4650000000000001</v>
      </c>
      <c r="J15" s="6">
        <v>-1.571</v>
      </c>
      <c r="K15" s="6">
        <v>58.287999999999997</v>
      </c>
      <c r="L15" s="6">
        <v>132.429</v>
      </c>
      <c r="M15" s="6">
        <v>85.6</v>
      </c>
      <c r="N15" s="6">
        <v>37.700000000000003</v>
      </c>
      <c r="O15" s="6">
        <v>33.786999999999999</v>
      </c>
      <c r="P15" s="6">
        <v>24.62</v>
      </c>
      <c r="Q15" s="6">
        <v>-0.26465</v>
      </c>
      <c r="R15" s="6">
        <v>-0.38836999999999999</v>
      </c>
      <c r="S15" s="6">
        <v>-0.87444999999999995</v>
      </c>
      <c r="T15" s="6">
        <v>0.11981</v>
      </c>
      <c r="U15" s="6">
        <v>9.66</v>
      </c>
      <c r="V15" s="6">
        <v>1</v>
      </c>
      <c r="W15" s="6">
        <v>1</v>
      </c>
      <c r="X15" s="6" t="s">
        <v>180</v>
      </c>
      <c r="Y15" s="6">
        <v>-7.45604656E-2</v>
      </c>
      <c r="Z15" s="6">
        <v>-2.08579063</v>
      </c>
      <c r="AA15" s="6">
        <v>-2.5569073500000001E-2</v>
      </c>
      <c r="AC15">
        <f t="shared" si="0"/>
        <v>497.46823599999999</v>
      </c>
      <c r="AD15">
        <f t="shared" si="1"/>
        <v>-4.2720000000000002</v>
      </c>
      <c r="AE15">
        <f t="shared" si="2"/>
        <v>-119.50700000000001</v>
      </c>
      <c r="AF15">
        <f t="shared" si="3"/>
        <v>-1.4650000000000001</v>
      </c>
      <c r="AG15">
        <f t="shared" si="4"/>
        <v>58.287999999999997</v>
      </c>
      <c r="AH15">
        <f t="shared" si="5"/>
        <v>-1.571</v>
      </c>
      <c r="AI15">
        <f t="shared" si="6"/>
        <v>58.287999999999997</v>
      </c>
      <c r="AJ15">
        <f t="shared" si="7"/>
        <v>132.429</v>
      </c>
    </row>
    <row r="16" spans="1:36" ht="18.95" customHeight="1">
      <c r="A16" s="4">
        <v>65208679</v>
      </c>
      <c r="B16" s="6">
        <v>0.52746823600000003</v>
      </c>
      <c r="C16" s="6">
        <v>0.17446829899999999</v>
      </c>
      <c r="D16" s="6">
        <v>-0.89600000000000002</v>
      </c>
      <c r="E16" s="6">
        <v>0</v>
      </c>
      <c r="F16" s="6">
        <v>-0.60299999999999998</v>
      </c>
      <c r="G16" s="6">
        <v>-4.2110000000000003</v>
      </c>
      <c r="H16" s="6">
        <v>-117.188</v>
      </c>
      <c r="I16" s="6">
        <v>-1.4039999999999999</v>
      </c>
      <c r="J16" s="6">
        <v>-1.6970000000000001</v>
      </c>
      <c r="K16" s="6">
        <v>64.198999999999998</v>
      </c>
      <c r="L16" s="6">
        <v>132.523</v>
      </c>
      <c r="M16" s="6">
        <v>85.6</v>
      </c>
      <c r="N16" s="6">
        <v>37.700000000000003</v>
      </c>
      <c r="O16" s="6">
        <v>33.786999999999999</v>
      </c>
      <c r="P16" s="6">
        <v>24.62</v>
      </c>
      <c r="Q16" s="6">
        <v>-0.26465</v>
      </c>
      <c r="R16" s="6">
        <v>-0.38836999999999999</v>
      </c>
      <c r="S16" s="6">
        <v>-0.87444999999999995</v>
      </c>
      <c r="T16" s="6">
        <v>0.11981</v>
      </c>
      <c r="U16" s="6">
        <v>9.69</v>
      </c>
      <c r="V16" s="6">
        <v>1</v>
      </c>
      <c r="W16" s="6">
        <v>1</v>
      </c>
      <c r="X16" s="6" t="s">
        <v>181</v>
      </c>
      <c r="Y16" s="6">
        <v>-7.3495814800000003E-2</v>
      </c>
      <c r="Z16" s="6">
        <v>-2.0453164400000001</v>
      </c>
      <c r="AA16" s="6">
        <v>-2.45044227E-2</v>
      </c>
      <c r="AC16">
        <f t="shared" si="0"/>
        <v>527.46823600000005</v>
      </c>
      <c r="AD16">
        <f t="shared" si="1"/>
        <v>-4.2110000000000003</v>
      </c>
      <c r="AE16">
        <f t="shared" si="2"/>
        <v>-117.188</v>
      </c>
      <c r="AF16">
        <f t="shared" si="3"/>
        <v>-1.4039999999999999</v>
      </c>
      <c r="AG16">
        <f t="shared" si="4"/>
        <v>64.198999999999998</v>
      </c>
      <c r="AH16">
        <f t="shared" si="5"/>
        <v>-1.6970000000000001</v>
      </c>
      <c r="AI16">
        <f t="shared" si="6"/>
        <v>64.198999999999998</v>
      </c>
      <c r="AJ16">
        <f t="shared" si="7"/>
        <v>132.523</v>
      </c>
    </row>
    <row r="17" spans="1:36" ht="18.95" customHeight="1">
      <c r="A17" s="4">
        <v>65208741</v>
      </c>
      <c r="B17" s="6">
        <v>0.58946823599999998</v>
      </c>
      <c r="C17" s="6">
        <v>0.194975761</v>
      </c>
      <c r="D17" s="6">
        <v>-0.94</v>
      </c>
      <c r="E17" s="6">
        <v>1E-3</v>
      </c>
      <c r="F17" s="6">
        <v>-0.51600000000000001</v>
      </c>
      <c r="G17" s="6">
        <v>-4.1500000000000004</v>
      </c>
      <c r="H17" s="6">
        <v>-115.23399999999999</v>
      </c>
      <c r="I17" s="6">
        <v>-1.282</v>
      </c>
      <c r="J17" s="6">
        <v>-1.8180000000000001</v>
      </c>
      <c r="K17" s="6">
        <v>70.054000000000002</v>
      </c>
      <c r="L17" s="6">
        <v>132.60499999999999</v>
      </c>
      <c r="M17" s="6">
        <v>85.6</v>
      </c>
      <c r="N17" s="6">
        <v>37.700000000000003</v>
      </c>
      <c r="O17" s="6">
        <v>33.786999999999999</v>
      </c>
      <c r="P17" s="6">
        <v>24.62</v>
      </c>
      <c r="Q17" s="6">
        <v>-0.26465</v>
      </c>
      <c r="R17" s="6">
        <v>-0.38836999999999999</v>
      </c>
      <c r="S17" s="6">
        <v>-0.87444999999999995</v>
      </c>
      <c r="T17" s="6">
        <v>0.11981</v>
      </c>
      <c r="U17" s="6">
        <v>9.7520000000000007</v>
      </c>
      <c r="V17" s="6">
        <v>1</v>
      </c>
      <c r="W17" s="6">
        <v>1</v>
      </c>
      <c r="X17" s="6" t="s">
        <v>182</v>
      </c>
      <c r="Y17" s="6">
        <v>-7.2431164000000006E-2</v>
      </c>
      <c r="Z17" s="6">
        <v>-2.0112127100000001</v>
      </c>
      <c r="AA17" s="6">
        <v>-2.2375121000000001E-2</v>
      </c>
      <c r="AC17">
        <f t="shared" si="0"/>
        <v>589.46823599999993</v>
      </c>
      <c r="AD17">
        <f t="shared" si="1"/>
        <v>-4.1500000000000004</v>
      </c>
      <c r="AE17">
        <f t="shared" si="2"/>
        <v>-115.23399999999999</v>
      </c>
      <c r="AF17">
        <f t="shared" si="3"/>
        <v>-1.282</v>
      </c>
      <c r="AG17">
        <f t="shared" si="4"/>
        <v>70.054000000000002</v>
      </c>
      <c r="AH17">
        <f t="shared" si="5"/>
        <v>-1.8180000000000001</v>
      </c>
      <c r="AI17">
        <f t="shared" si="6"/>
        <v>70.054000000000002</v>
      </c>
      <c r="AJ17">
        <f t="shared" si="7"/>
        <v>132.60499999999999</v>
      </c>
    </row>
    <row r="18" spans="1:36" ht="18.95" customHeight="1">
      <c r="A18" s="4">
        <v>65208800</v>
      </c>
      <c r="B18" s="6">
        <v>0.64846823600000003</v>
      </c>
      <c r="C18" s="6">
        <v>0.214490926</v>
      </c>
      <c r="D18" s="6">
        <v>-0.96899999999999997</v>
      </c>
      <c r="E18" s="6">
        <v>1E-3</v>
      </c>
      <c r="F18" s="6">
        <v>-0.42399999999999999</v>
      </c>
      <c r="G18" s="6">
        <v>-4.1500000000000004</v>
      </c>
      <c r="H18" s="6">
        <v>-116.15</v>
      </c>
      <c r="I18" s="6">
        <v>-1.4039999999999999</v>
      </c>
      <c r="J18" s="6">
        <v>-1.9450000000000001</v>
      </c>
      <c r="K18" s="6">
        <v>75.899000000000001</v>
      </c>
      <c r="L18" s="6">
        <v>132.68199999999999</v>
      </c>
      <c r="M18" s="6">
        <v>102.7</v>
      </c>
      <c r="N18" s="6">
        <v>7.5</v>
      </c>
      <c r="O18" s="6">
        <v>35.6</v>
      </c>
      <c r="P18" s="6">
        <v>24.62</v>
      </c>
      <c r="Q18" s="6">
        <v>-0.26465</v>
      </c>
      <c r="R18" s="6">
        <v>-0.38836999999999999</v>
      </c>
      <c r="S18" s="6">
        <v>-0.87444999999999995</v>
      </c>
      <c r="T18" s="6">
        <v>0.11981</v>
      </c>
      <c r="U18" s="6">
        <v>9.8109999999999999</v>
      </c>
      <c r="V18" s="6">
        <v>1</v>
      </c>
      <c r="W18" s="6">
        <v>1</v>
      </c>
      <c r="X18" s="6" t="s">
        <v>183</v>
      </c>
      <c r="Y18" s="6">
        <v>-7.2431164000000006E-2</v>
      </c>
      <c r="Z18" s="6">
        <v>-2.0271999300000001</v>
      </c>
      <c r="AA18" s="6">
        <v>-2.45044227E-2</v>
      </c>
      <c r="AC18">
        <f t="shared" si="0"/>
        <v>648.46823600000005</v>
      </c>
      <c r="AD18">
        <f t="shared" si="1"/>
        <v>-4.1500000000000004</v>
      </c>
      <c r="AE18">
        <f t="shared" si="2"/>
        <v>-116.15</v>
      </c>
      <c r="AF18">
        <f t="shared" si="3"/>
        <v>-1.4039999999999999</v>
      </c>
      <c r="AG18">
        <f t="shared" si="4"/>
        <v>75.899000000000001</v>
      </c>
      <c r="AH18">
        <f t="shared" si="5"/>
        <v>-1.9450000000000001</v>
      </c>
      <c r="AI18">
        <f t="shared" si="6"/>
        <v>75.899000000000001</v>
      </c>
      <c r="AJ18">
        <f t="shared" si="7"/>
        <v>132.68199999999999</v>
      </c>
    </row>
    <row r="19" spans="1:36" ht="18.95" customHeight="1">
      <c r="A19" s="4">
        <v>65208860</v>
      </c>
      <c r="B19" s="6">
        <v>0.70846823599999997</v>
      </c>
      <c r="C19" s="6">
        <v>0.23433685600000001</v>
      </c>
      <c r="D19" s="6">
        <v>-1.012</v>
      </c>
      <c r="E19" s="6">
        <v>2E-3</v>
      </c>
      <c r="F19" s="6">
        <v>-0.32700000000000001</v>
      </c>
      <c r="G19" s="6">
        <v>-4.0890000000000004</v>
      </c>
      <c r="H19" s="6">
        <v>-114.136</v>
      </c>
      <c r="I19" s="6">
        <v>-1.4650000000000001</v>
      </c>
      <c r="J19" s="6">
        <v>-2.06</v>
      </c>
      <c r="K19" s="6">
        <v>81.715999999999994</v>
      </c>
      <c r="L19" s="6">
        <v>132.76400000000001</v>
      </c>
      <c r="M19" s="6">
        <v>102.7</v>
      </c>
      <c r="N19" s="6">
        <v>7.5</v>
      </c>
      <c r="O19" s="6">
        <v>35.6</v>
      </c>
      <c r="P19" s="6">
        <v>24.62</v>
      </c>
      <c r="Q19" s="6">
        <v>-0.54135</v>
      </c>
      <c r="R19" s="6">
        <v>-0.32111000000000001</v>
      </c>
      <c r="S19" s="6">
        <v>-0.74141999999999997</v>
      </c>
      <c r="T19" s="6">
        <v>0.23239000000000001</v>
      </c>
      <c r="U19" s="6">
        <v>9.8710000000000004</v>
      </c>
      <c r="V19" s="6">
        <v>1</v>
      </c>
      <c r="W19" s="6">
        <v>1</v>
      </c>
      <c r="X19" s="6" t="s">
        <v>184</v>
      </c>
      <c r="Y19" s="6">
        <v>-7.1366513100000001E-2</v>
      </c>
      <c r="Z19" s="6">
        <v>-1.992049</v>
      </c>
      <c r="AA19" s="6">
        <v>-2.5569073500000001E-2</v>
      </c>
      <c r="AC19">
        <f t="shared" si="0"/>
        <v>708.46823599999993</v>
      </c>
      <c r="AD19">
        <f t="shared" si="1"/>
        <v>-4.0890000000000004</v>
      </c>
      <c r="AE19">
        <f t="shared" si="2"/>
        <v>-114.136</v>
      </c>
      <c r="AF19">
        <f t="shared" si="3"/>
        <v>-1.4650000000000001</v>
      </c>
      <c r="AG19">
        <f t="shared" si="4"/>
        <v>81.715999999999994</v>
      </c>
      <c r="AH19">
        <f t="shared" si="5"/>
        <v>-2.06</v>
      </c>
      <c r="AI19">
        <f t="shared" si="6"/>
        <v>81.715999999999994</v>
      </c>
      <c r="AJ19">
        <f t="shared" si="7"/>
        <v>132.76400000000001</v>
      </c>
    </row>
    <row r="20" spans="1:36" ht="18.95" customHeight="1">
      <c r="A20" s="4">
        <v>65208889</v>
      </c>
      <c r="B20" s="6">
        <v>0.737468236</v>
      </c>
      <c r="C20" s="6">
        <v>0.24392905600000001</v>
      </c>
      <c r="D20" s="6">
        <v>-1.02</v>
      </c>
      <c r="E20" s="6">
        <v>3.0000000000000001E-3</v>
      </c>
      <c r="F20" s="6">
        <v>-0.22</v>
      </c>
      <c r="G20" s="6">
        <v>-4.1500000000000004</v>
      </c>
      <c r="H20" s="6">
        <v>-115.78400000000001</v>
      </c>
      <c r="I20" s="6">
        <v>-1.4650000000000001</v>
      </c>
      <c r="J20" s="6">
        <v>-2.637</v>
      </c>
      <c r="K20" s="6">
        <v>87.435000000000002</v>
      </c>
      <c r="L20" s="6">
        <v>132.435</v>
      </c>
      <c r="M20" s="6">
        <v>102.7</v>
      </c>
      <c r="N20" s="6">
        <v>7.5</v>
      </c>
      <c r="O20" s="6">
        <v>35.6</v>
      </c>
      <c r="P20" s="6">
        <v>24.62</v>
      </c>
      <c r="Q20" s="6">
        <v>-0.54135</v>
      </c>
      <c r="R20" s="6">
        <v>-0.32111000000000001</v>
      </c>
      <c r="S20" s="6">
        <v>-0.74141999999999997</v>
      </c>
      <c r="T20" s="6">
        <v>0.23239000000000001</v>
      </c>
      <c r="U20" s="6">
        <v>9.9</v>
      </c>
      <c r="V20" s="6">
        <v>1</v>
      </c>
      <c r="W20" s="6">
        <v>1</v>
      </c>
      <c r="X20" s="6" t="s">
        <v>185</v>
      </c>
      <c r="Y20" s="6">
        <v>-7.2431164000000006E-2</v>
      </c>
      <c r="Z20" s="6">
        <v>-2.0208120200000002</v>
      </c>
      <c r="AA20" s="6">
        <v>-2.5569073500000001E-2</v>
      </c>
      <c r="AC20">
        <f t="shared" si="0"/>
        <v>737.46823600000005</v>
      </c>
      <c r="AD20">
        <f t="shared" si="1"/>
        <v>-4.1500000000000004</v>
      </c>
      <c r="AE20">
        <f t="shared" si="2"/>
        <v>-115.78400000000001</v>
      </c>
      <c r="AF20">
        <f t="shared" si="3"/>
        <v>-1.4650000000000001</v>
      </c>
      <c r="AG20">
        <f t="shared" si="4"/>
        <v>87.435000000000002</v>
      </c>
      <c r="AH20">
        <f t="shared" si="5"/>
        <v>-2.637</v>
      </c>
      <c r="AI20">
        <f t="shared" si="6"/>
        <v>87.435000000000002</v>
      </c>
      <c r="AJ20">
        <f t="shared" si="7"/>
        <v>132.435</v>
      </c>
    </row>
    <row r="21" spans="1:36" ht="18.95" customHeight="1">
      <c r="A21" s="4">
        <v>65208920</v>
      </c>
      <c r="B21" s="6">
        <v>0.76846823600000003</v>
      </c>
      <c r="C21" s="6">
        <v>0.25418278700000002</v>
      </c>
      <c r="D21" s="6">
        <v>-1.016</v>
      </c>
      <c r="E21" s="6">
        <v>2E-3</v>
      </c>
      <c r="F21" s="6">
        <v>-0.11799999999999999</v>
      </c>
      <c r="G21" s="6">
        <v>-4.2110000000000003</v>
      </c>
      <c r="H21" s="6">
        <v>-116.455</v>
      </c>
      <c r="I21" s="6">
        <v>-1.4650000000000001</v>
      </c>
      <c r="J21" s="6">
        <v>-3.4769999999999999</v>
      </c>
      <c r="K21" s="6">
        <v>93.301000000000002</v>
      </c>
      <c r="L21" s="6">
        <v>131.83000000000001</v>
      </c>
      <c r="M21" s="6">
        <v>102.7</v>
      </c>
      <c r="N21" s="6">
        <v>7.5</v>
      </c>
      <c r="O21" s="6">
        <v>35.6</v>
      </c>
      <c r="P21" s="6">
        <v>24.62</v>
      </c>
      <c r="Q21" s="6">
        <v>-0.54135</v>
      </c>
      <c r="R21" s="6">
        <v>-0.32111000000000001</v>
      </c>
      <c r="S21" s="6">
        <v>-0.74141999999999997</v>
      </c>
      <c r="T21" s="6">
        <v>0.23239000000000001</v>
      </c>
      <c r="U21" s="6">
        <v>9.9309999999999992</v>
      </c>
      <c r="V21" s="6">
        <v>1</v>
      </c>
      <c r="W21" s="6">
        <v>1</v>
      </c>
      <c r="X21" s="6" t="s">
        <v>186</v>
      </c>
      <c r="Y21" s="6">
        <v>-7.3495814800000003E-2</v>
      </c>
      <c r="Z21" s="6">
        <v>-2.0325231800000001</v>
      </c>
      <c r="AA21" s="6">
        <v>-2.5569073500000001E-2</v>
      </c>
      <c r="AC21">
        <f t="shared" si="0"/>
        <v>768.46823600000005</v>
      </c>
      <c r="AD21">
        <f t="shared" si="1"/>
        <v>-4.2110000000000003</v>
      </c>
      <c r="AE21">
        <f t="shared" si="2"/>
        <v>-116.455</v>
      </c>
      <c r="AF21">
        <f t="shared" si="3"/>
        <v>-1.4650000000000001</v>
      </c>
      <c r="AG21">
        <f t="shared" si="4"/>
        <v>93.301000000000002</v>
      </c>
      <c r="AH21">
        <f t="shared" si="5"/>
        <v>-3.4769999999999999</v>
      </c>
      <c r="AI21">
        <f t="shared" si="6"/>
        <v>93.301000000000002</v>
      </c>
      <c r="AJ21">
        <f t="shared" si="7"/>
        <v>131.83000000000001</v>
      </c>
    </row>
    <row r="22" spans="1:36" ht="18.95" customHeight="1">
      <c r="A22" s="4">
        <v>65209009</v>
      </c>
      <c r="B22" s="6">
        <v>0.85746823599999999</v>
      </c>
      <c r="C22" s="6">
        <v>0.28362091699999997</v>
      </c>
      <c r="D22" s="6">
        <v>-1.02</v>
      </c>
      <c r="E22" s="6">
        <v>0</v>
      </c>
      <c r="F22" s="6">
        <v>-0.02</v>
      </c>
      <c r="G22" s="6">
        <v>-4.1500000000000004</v>
      </c>
      <c r="H22" s="6">
        <v>-116.089</v>
      </c>
      <c r="I22" s="6">
        <v>-1.2210000000000001</v>
      </c>
      <c r="J22" s="6">
        <v>-8.8550000000000004</v>
      </c>
      <c r="K22" s="6">
        <v>99.185000000000002</v>
      </c>
      <c r="L22" s="6">
        <v>126.694</v>
      </c>
      <c r="M22" s="6">
        <v>102.7</v>
      </c>
      <c r="N22" s="6">
        <v>7.5</v>
      </c>
      <c r="O22" s="6">
        <v>35.6</v>
      </c>
      <c r="P22" s="6">
        <v>24.62</v>
      </c>
      <c r="Q22" s="6">
        <v>-0.54135</v>
      </c>
      <c r="R22" s="6">
        <v>-0.32111000000000001</v>
      </c>
      <c r="S22" s="6">
        <v>-0.74141999999999997</v>
      </c>
      <c r="T22" s="6">
        <v>0.23239000000000001</v>
      </c>
      <c r="U22" s="6">
        <v>10.02</v>
      </c>
      <c r="V22" s="6">
        <v>1</v>
      </c>
      <c r="W22" s="6">
        <v>1</v>
      </c>
      <c r="X22" s="6" t="s">
        <v>187</v>
      </c>
      <c r="Y22" s="6">
        <v>-7.2431164000000006E-2</v>
      </c>
      <c r="Z22" s="6">
        <v>-2.0261352800000001</v>
      </c>
      <c r="AA22" s="6">
        <v>-2.1310470200000001E-2</v>
      </c>
      <c r="AC22">
        <f t="shared" si="0"/>
        <v>857.46823600000005</v>
      </c>
      <c r="AD22">
        <f t="shared" si="1"/>
        <v>-4.1500000000000004</v>
      </c>
      <c r="AE22">
        <f t="shared" si="2"/>
        <v>-116.089</v>
      </c>
      <c r="AF22">
        <f t="shared" si="3"/>
        <v>-1.2210000000000001</v>
      </c>
      <c r="AG22">
        <f t="shared" si="4"/>
        <v>99.185000000000002</v>
      </c>
      <c r="AH22">
        <f t="shared" si="5"/>
        <v>-8.8550000000000004</v>
      </c>
      <c r="AI22">
        <f t="shared" si="6"/>
        <v>99.185000000000002</v>
      </c>
      <c r="AJ22">
        <f t="shared" si="7"/>
        <v>126.694</v>
      </c>
    </row>
    <row r="23" spans="1:36" ht="18.95" customHeight="1">
      <c r="A23" s="4">
        <v>65209039</v>
      </c>
      <c r="B23" s="6">
        <v>0.88746823600000002</v>
      </c>
      <c r="C23" s="6">
        <v>0.29354388199999998</v>
      </c>
      <c r="D23" s="6">
        <v>-1.012</v>
      </c>
      <c r="E23" s="6">
        <v>-3.0000000000000001E-3</v>
      </c>
      <c r="F23" s="6">
        <v>8.8999999999999996E-2</v>
      </c>
      <c r="G23" s="6">
        <v>-4.0890000000000004</v>
      </c>
      <c r="H23" s="6">
        <v>-114.563</v>
      </c>
      <c r="I23" s="6">
        <v>-1.1599999999999999</v>
      </c>
      <c r="J23" s="6">
        <v>-178.506</v>
      </c>
      <c r="K23" s="6">
        <v>97.388000000000005</v>
      </c>
      <c r="L23" s="6">
        <v>-42.725999999999999</v>
      </c>
      <c r="M23" s="6">
        <v>102.7</v>
      </c>
      <c r="N23" s="6">
        <v>7.5</v>
      </c>
      <c r="O23" s="6">
        <v>35.6</v>
      </c>
      <c r="P23" s="6">
        <v>24.62</v>
      </c>
      <c r="Q23" s="6">
        <v>-0.54135</v>
      </c>
      <c r="R23" s="6">
        <v>-0.32111000000000001</v>
      </c>
      <c r="S23" s="6">
        <v>-0.74141999999999997</v>
      </c>
      <c r="T23" s="6">
        <v>0.23239000000000001</v>
      </c>
      <c r="U23" s="6">
        <v>10.050000000000001</v>
      </c>
      <c r="V23" s="6">
        <v>1</v>
      </c>
      <c r="W23" s="6">
        <v>1</v>
      </c>
      <c r="X23" s="6" t="s">
        <v>188</v>
      </c>
      <c r="Y23" s="6">
        <v>-7.1366513100000001E-2</v>
      </c>
      <c r="Z23" s="6">
        <v>-1.99950155</v>
      </c>
      <c r="AA23" s="6">
        <v>-2.0245819299999999E-2</v>
      </c>
      <c r="AC23">
        <f t="shared" si="0"/>
        <v>887.46823600000005</v>
      </c>
      <c r="AD23">
        <f t="shared" si="1"/>
        <v>-4.0890000000000004</v>
      </c>
      <c r="AE23">
        <f t="shared" si="2"/>
        <v>-114.563</v>
      </c>
      <c r="AF23">
        <f t="shared" si="3"/>
        <v>-1.1599999999999999</v>
      </c>
      <c r="AG23">
        <f t="shared" si="4"/>
        <v>97.388000000000005</v>
      </c>
      <c r="AH23">
        <f t="shared" si="5"/>
        <v>-178.506</v>
      </c>
      <c r="AI23">
        <f t="shared" si="6"/>
        <v>97.388000000000005</v>
      </c>
      <c r="AJ23">
        <f t="shared" si="7"/>
        <v>-42.725999999999999</v>
      </c>
    </row>
    <row r="24" spans="1:36" ht="18.95" customHeight="1">
      <c r="A24" s="4">
        <v>65209100</v>
      </c>
      <c r="B24" s="6">
        <v>0.94846823599999996</v>
      </c>
      <c r="C24" s="6">
        <v>0.31372057800000003</v>
      </c>
      <c r="D24" s="6">
        <v>-0.99399999999999999</v>
      </c>
      <c r="E24" s="6">
        <v>-2E-3</v>
      </c>
      <c r="F24" s="6">
        <v>0.19400000000000001</v>
      </c>
      <c r="G24" s="6">
        <v>-4.0890000000000004</v>
      </c>
      <c r="H24" s="6">
        <v>-112.976</v>
      </c>
      <c r="I24" s="6">
        <v>-1.282</v>
      </c>
      <c r="J24" s="6">
        <v>179.28</v>
      </c>
      <c r="K24" s="6">
        <v>91.686000000000007</v>
      </c>
      <c r="L24" s="6">
        <v>-44.709000000000003</v>
      </c>
      <c r="M24" s="6">
        <v>102.7</v>
      </c>
      <c r="N24" s="6">
        <v>7.5</v>
      </c>
      <c r="O24" s="6">
        <v>35.6</v>
      </c>
      <c r="P24" s="6">
        <v>24.62</v>
      </c>
      <c r="Q24" s="6">
        <v>-0.54135</v>
      </c>
      <c r="R24" s="6">
        <v>-0.32111000000000001</v>
      </c>
      <c r="S24" s="6">
        <v>-0.74141999999999997</v>
      </c>
      <c r="T24" s="6">
        <v>0.23239000000000001</v>
      </c>
      <c r="U24" s="6">
        <v>10.111000000000001</v>
      </c>
      <c r="V24" s="6">
        <v>1</v>
      </c>
      <c r="W24" s="6">
        <v>1</v>
      </c>
      <c r="X24" s="6" t="s">
        <v>189</v>
      </c>
      <c r="Y24" s="6">
        <v>-7.1366513100000001E-2</v>
      </c>
      <c r="Z24" s="6">
        <v>-1.97180318</v>
      </c>
      <c r="AA24" s="6">
        <v>-2.2375121000000001E-2</v>
      </c>
      <c r="AC24">
        <f t="shared" si="0"/>
        <v>948.46823599999993</v>
      </c>
      <c r="AD24">
        <f t="shared" si="1"/>
        <v>-4.0890000000000004</v>
      </c>
      <c r="AE24">
        <f t="shared" si="2"/>
        <v>-112.976</v>
      </c>
      <c r="AF24">
        <f t="shared" si="3"/>
        <v>-1.282</v>
      </c>
      <c r="AG24">
        <f t="shared" si="4"/>
        <v>91.686000000000007</v>
      </c>
      <c r="AH24">
        <f t="shared" si="5"/>
        <v>179.28</v>
      </c>
      <c r="AI24">
        <f t="shared" si="6"/>
        <v>91.686000000000007</v>
      </c>
      <c r="AJ24">
        <f t="shared" si="7"/>
        <v>-44.709000000000003</v>
      </c>
    </row>
    <row r="25" spans="1:36" ht="18.95" customHeight="1">
      <c r="A25" s="4">
        <v>65209129</v>
      </c>
      <c r="B25" s="6">
        <v>0.97746823599999999</v>
      </c>
      <c r="C25" s="6">
        <v>0.32331277800000002</v>
      </c>
      <c r="D25" s="6">
        <v>-0.93500000000000005</v>
      </c>
      <c r="E25" s="6">
        <v>-7.0000000000000001E-3</v>
      </c>
      <c r="F25" s="6">
        <v>0.29199999999999998</v>
      </c>
      <c r="G25" s="6">
        <v>-4.1500000000000004</v>
      </c>
      <c r="H25" s="6">
        <v>-114.258</v>
      </c>
      <c r="I25" s="6">
        <v>-1.343</v>
      </c>
      <c r="J25" s="6">
        <v>178.56100000000001</v>
      </c>
      <c r="K25" s="6">
        <v>86.012</v>
      </c>
      <c r="L25" s="6">
        <v>-45.253</v>
      </c>
      <c r="M25" s="6">
        <v>95.8</v>
      </c>
      <c r="N25" s="6">
        <v>-20.8</v>
      </c>
      <c r="O25" s="6">
        <v>25.273</v>
      </c>
      <c r="P25" s="6">
        <v>24.62</v>
      </c>
      <c r="Q25" s="6">
        <v>-0.54135</v>
      </c>
      <c r="R25" s="6">
        <v>-0.32111000000000001</v>
      </c>
      <c r="S25" s="6">
        <v>-0.74141999999999997</v>
      </c>
      <c r="T25" s="6">
        <v>0.23239000000000001</v>
      </c>
      <c r="U25" s="6">
        <v>10.14</v>
      </c>
      <c r="V25" s="6">
        <v>1</v>
      </c>
      <c r="W25" s="6">
        <v>1</v>
      </c>
      <c r="X25" s="6" t="s">
        <v>190</v>
      </c>
      <c r="Y25" s="6">
        <v>-7.2431164000000006E-2</v>
      </c>
      <c r="Z25" s="6">
        <v>-1.9941783</v>
      </c>
      <c r="AA25" s="6">
        <v>-2.34397719E-2</v>
      </c>
      <c r="AC25">
        <f t="shared" si="0"/>
        <v>977.46823599999993</v>
      </c>
      <c r="AD25">
        <f t="shared" si="1"/>
        <v>-4.1500000000000004</v>
      </c>
      <c r="AE25">
        <f t="shared" si="2"/>
        <v>-114.258</v>
      </c>
      <c r="AF25">
        <f t="shared" si="3"/>
        <v>-1.343</v>
      </c>
      <c r="AG25">
        <f t="shared" si="4"/>
        <v>86.012</v>
      </c>
      <c r="AH25">
        <f t="shared" si="5"/>
        <v>178.56100000000001</v>
      </c>
      <c r="AI25">
        <f t="shared" si="6"/>
        <v>86.012</v>
      </c>
      <c r="AJ25">
        <f t="shared" si="7"/>
        <v>-45.253</v>
      </c>
    </row>
    <row r="26" spans="1:36" ht="18.95" customHeight="1">
      <c r="A26" s="4">
        <v>65209219</v>
      </c>
      <c r="B26" s="6">
        <v>1.06746824</v>
      </c>
      <c r="C26" s="6">
        <v>0.35308167400000001</v>
      </c>
      <c r="D26" s="6">
        <v>-0.88800000000000001</v>
      </c>
      <c r="E26" s="6">
        <v>-7.0000000000000001E-3</v>
      </c>
      <c r="F26" s="6">
        <v>0.374</v>
      </c>
      <c r="G26" s="6">
        <v>-4.2110000000000003</v>
      </c>
      <c r="H26" s="6">
        <v>-112.976</v>
      </c>
      <c r="I26" s="6">
        <v>-1.4650000000000001</v>
      </c>
      <c r="J26" s="6">
        <v>178.18700000000001</v>
      </c>
      <c r="K26" s="6">
        <v>80.31</v>
      </c>
      <c r="L26" s="6">
        <v>-45.445</v>
      </c>
      <c r="M26" s="6">
        <v>95.8</v>
      </c>
      <c r="N26" s="6">
        <v>-20.8</v>
      </c>
      <c r="O26" s="6">
        <v>25.273</v>
      </c>
      <c r="P26" s="6">
        <v>24.62</v>
      </c>
      <c r="Q26" s="6">
        <v>-0.77283000000000002</v>
      </c>
      <c r="R26" s="6">
        <v>-0.20877000000000001</v>
      </c>
      <c r="S26" s="6">
        <v>-0.50527999999999995</v>
      </c>
      <c r="T26" s="6">
        <v>0.32205</v>
      </c>
      <c r="U26" s="6">
        <v>10.23</v>
      </c>
      <c r="V26" s="6">
        <v>1</v>
      </c>
      <c r="W26" s="6">
        <v>1</v>
      </c>
      <c r="X26" s="6" t="s">
        <v>191</v>
      </c>
      <c r="Y26" s="6">
        <v>-7.3495814800000003E-2</v>
      </c>
      <c r="Z26" s="6">
        <v>-1.97180318</v>
      </c>
      <c r="AA26" s="6">
        <v>-2.5569073500000001E-2</v>
      </c>
      <c r="AC26">
        <f t="shared" si="0"/>
        <v>1067.4682399999999</v>
      </c>
      <c r="AD26">
        <f t="shared" si="1"/>
        <v>-4.2110000000000003</v>
      </c>
      <c r="AE26">
        <f t="shared" si="2"/>
        <v>-112.976</v>
      </c>
      <c r="AF26">
        <f t="shared" si="3"/>
        <v>-1.4650000000000001</v>
      </c>
      <c r="AG26">
        <f t="shared" si="4"/>
        <v>80.31</v>
      </c>
      <c r="AH26">
        <f t="shared" si="5"/>
        <v>178.18700000000001</v>
      </c>
      <c r="AI26">
        <f t="shared" si="6"/>
        <v>80.31</v>
      </c>
      <c r="AJ26">
        <f t="shared" si="7"/>
        <v>-45.445</v>
      </c>
    </row>
    <row r="27" spans="1:36" ht="18.95" customHeight="1">
      <c r="A27" s="4">
        <v>65209249</v>
      </c>
      <c r="B27" s="6">
        <v>1.09746824</v>
      </c>
      <c r="C27" s="6">
        <v>0.36300463900000002</v>
      </c>
      <c r="D27" s="6">
        <v>-0.82799999999999996</v>
      </c>
      <c r="E27" s="6">
        <v>-8.9999999999999993E-3</v>
      </c>
      <c r="F27" s="6">
        <v>0.46100000000000002</v>
      </c>
      <c r="G27" s="6">
        <v>-4.1500000000000004</v>
      </c>
      <c r="H27" s="6">
        <v>-111.145</v>
      </c>
      <c r="I27" s="6">
        <v>-1.6479999999999999</v>
      </c>
      <c r="J27" s="6">
        <v>177.935</v>
      </c>
      <c r="K27" s="6">
        <v>74.695999999999998</v>
      </c>
      <c r="L27" s="6">
        <v>-45.521999999999998</v>
      </c>
      <c r="M27" s="6">
        <v>95.8</v>
      </c>
      <c r="N27" s="6">
        <v>-20.8</v>
      </c>
      <c r="O27" s="6">
        <v>25.273</v>
      </c>
      <c r="P27" s="6">
        <v>24.62</v>
      </c>
      <c r="Q27" s="6">
        <v>-0.77283000000000002</v>
      </c>
      <c r="R27" s="6">
        <v>-0.20877000000000001</v>
      </c>
      <c r="S27" s="6">
        <v>-0.50527999999999995</v>
      </c>
      <c r="T27" s="6">
        <v>0.32205</v>
      </c>
      <c r="U27" s="6">
        <v>10.26</v>
      </c>
      <c r="V27" s="6">
        <v>1</v>
      </c>
      <c r="W27" s="6">
        <v>1</v>
      </c>
      <c r="X27" s="6" t="s">
        <v>192</v>
      </c>
      <c r="Y27" s="6">
        <v>-7.2431164000000006E-2</v>
      </c>
      <c r="Z27" s="6">
        <v>-1.9398462000000001</v>
      </c>
      <c r="AA27" s="6">
        <v>-2.8763026099999998E-2</v>
      </c>
      <c r="AC27">
        <f t="shared" si="0"/>
        <v>1097.4682399999999</v>
      </c>
      <c r="AD27">
        <f t="shared" si="1"/>
        <v>-4.1500000000000004</v>
      </c>
      <c r="AE27">
        <f t="shared" si="2"/>
        <v>-111.145</v>
      </c>
      <c r="AF27">
        <f t="shared" si="3"/>
        <v>-1.6479999999999999</v>
      </c>
      <c r="AG27">
        <f t="shared" si="4"/>
        <v>74.695999999999998</v>
      </c>
      <c r="AH27">
        <f t="shared" si="5"/>
        <v>177.935</v>
      </c>
      <c r="AI27">
        <f t="shared" si="6"/>
        <v>74.695999999999998</v>
      </c>
      <c r="AJ27">
        <f t="shared" si="7"/>
        <v>-45.521999999999998</v>
      </c>
    </row>
    <row r="28" spans="1:36" ht="18.95" customHeight="1">
      <c r="A28" s="4">
        <v>65209279</v>
      </c>
      <c r="B28" s="6">
        <v>1.12746824</v>
      </c>
      <c r="C28" s="6">
        <v>0.37292760400000002</v>
      </c>
      <c r="D28" s="6">
        <v>-0.78500000000000003</v>
      </c>
      <c r="E28" s="6">
        <v>-1.0999999999999999E-2</v>
      </c>
      <c r="F28" s="6">
        <v>0.54</v>
      </c>
      <c r="G28" s="6">
        <v>-3.9670000000000001</v>
      </c>
      <c r="H28" s="6">
        <v>-108.765</v>
      </c>
      <c r="I28" s="6">
        <v>-1.4650000000000001</v>
      </c>
      <c r="J28" s="6">
        <v>177.73699999999999</v>
      </c>
      <c r="K28" s="6">
        <v>69.186000000000007</v>
      </c>
      <c r="L28" s="6">
        <v>-45.537999999999997</v>
      </c>
      <c r="M28" s="6">
        <v>95.8</v>
      </c>
      <c r="N28" s="6">
        <v>-20.8</v>
      </c>
      <c r="O28" s="6">
        <v>25.273</v>
      </c>
      <c r="P28" s="6">
        <v>24.62</v>
      </c>
      <c r="Q28" s="6">
        <v>-0.77283000000000002</v>
      </c>
      <c r="R28" s="6">
        <v>-0.20877000000000001</v>
      </c>
      <c r="S28" s="6">
        <v>-0.50527999999999995</v>
      </c>
      <c r="T28" s="6">
        <v>0.32205</v>
      </c>
      <c r="U28" s="6">
        <v>10.29</v>
      </c>
      <c r="V28" s="6">
        <v>1</v>
      </c>
      <c r="W28" s="6">
        <v>1</v>
      </c>
      <c r="X28" s="6" t="s">
        <v>193</v>
      </c>
      <c r="Y28" s="6">
        <v>-6.9237211399999998E-2</v>
      </c>
      <c r="Z28" s="6">
        <v>-1.89830736</v>
      </c>
      <c r="AA28" s="6">
        <v>-2.5569073500000001E-2</v>
      </c>
      <c r="AC28">
        <f t="shared" si="0"/>
        <v>1127.4682399999999</v>
      </c>
      <c r="AD28">
        <f t="shared" si="1"/>
        <v>-3.9670000000000001</v>
      </c>
      <c r="AE28">
        <f t="shared" si="2"/>
        <v>-108.765</v>
      </c>
      <c r="AF28">
        <f t="shared" si="3"/>
        <v>-1.4650000000000001</v>
      </c>
      <c r="AG28">
        <f t="shared" si="4"/>
        <v>69.186000000000007</v>
      </c>
      <c r="AH28">
        <f t="shared" si="5"/>
        <v>177.73699999999999</v>
      </c>
      <c r="AI28">
        <f t="shared" si="6"/>
        <v>69.186000000000007</v>
      </c>
      <c r="AJ28">
        <f t="shared" si="7"/>
        <v>-45.537999999999997</v>
      </c>
    </row>
    <row r="29" spans="1:36" ht="18.95" customHeight="1">
      <c r="A29" s="4">
        <v>65209339</v>
      </c>
      <c r="B29" s="6">
        <v>1.1874682400000001</v>
      </c>
      <c r="C29" s="6">
        <v>0.39277353500000001</v>
      </c>
      <c r="D29" s="6">
        <v>-0.70699999999999996</v>
      </c>
      <c r="E29" s="6">
        <v>-1.2E-2</v>
      </c>
      <c r="F29" s="6">
        <v>0.625</v>
      </c>
      <c r="G29" s="6">
        <v>-4.0279999999999996</v>
      </c>
      <c r="H29" s="6">
        <v>-109.863</v>
      </c>
      <c r="I29" s="6">
        <v>-1.282</v>
      </c>
      <c r="J29" s="6">
        <v>177.578</v>
      </c>
      <c r="K29" s="6">
        <v>63.720999999999997</v>
      </c>
      <c r="L29" s="6">
        <v>-45.511000000000003</v>
      </c>
      <c r="M29" s="6">
        <v>95.8</v>
      </c>
      <c r="N29" s="6">
        <v>-20.8</v>
      </c>
      <c r="O29" s="6">
        <v>25.273</v>
      </c>
      <c r="P29" s="6">
        <v>24.62</v>
      </c>
      <c r="Q29" s="6">
        <v>-0.77283000000000002</v>
      </c>
      <c r="R29" s="6">
        <v>-0.20877000000000001</v>
      </c>
      <c r="S29" s="6">
        <v>-0.50527999999999995</v>
      </c>
      <c r="T29" s="6">
        <v>0.32205</v>
      </c>
      <c r="U29" s="6">
        <v>10.35</v>
      </c>
      <c r="V29" s="6">
        <v>1</v>
      </c>
      <c r="W29" s="6">
        <v>1</v>
      </c>
      <c r="X29" s="6" t="s">
        <v>194</v>
      </c>
      <c r="Y29" s="6">
        <v>-7.0301862300000004E-2</v>
      </c>
      <c r="Z29" s="6">
        <v>-1.9174710800000001</v>
      </c>
      <c r="AA29" s="6">
        <v>-2.2375121000000001E-2</v>
      </c>
      <c r="AC29">
        <f t="shared" si="0"/>
        <v>1187.4682400000002</v>
      </c>
      <c r="AD29">
        <f t="shared" si="1"/>
        <v>-4.0279999999999996</v>
      </c>
      <c r="AE29">
        <f t="shared" si="2"/>
        <v>-109.863</v>
      </c>
      <c r="AF29">
        <f t="shared" si="3"/>
        <v>-1.282</v>
      </c>
      <c r="AG29">
        <f t="shared" si="4"/>
        <v>63.720999999999997</v>
      </c>
      <c r="AH29">
        <f t="shared" si="5"/>
        <v>177.578</v>
      </c>
      <c r="AI29">
        <f t="shared" si="6"/>
        <v>63.720999999999997</v>
      </c>
      <c r="AJ29">
        <f t="shared" si="7"/>
        <v>-45.511000000000003</v>
      </c>
    </row>
    <row r="30" spans="1:36" ht="18.95" customHeight="1">
      <c r="A30" s="4">
        <v>65209400</v>
      </c>
      <c r="B30" s="6">
        <v>1.24846824</v>
      </c>
      <c r="C30" s="6">
        <v>0.412950231</v>
      </c>
      <c r="D30" s="6">
        <v>-0.63900000000000001</v>
      </c>
      <c r="E30" s="6">
        <v>-1.4E-2</v>
      </c>
      <c r="F30" s="6">
        <v>0.68500000000000005</v>
      </c>
      <c r="G30" s="6">
        <v>-3.9060000000000001</v>
      </c>
      <c r="H30" s="6">
        <v>-109.55800000000001</v>
      </c>
      <c r="I30" s="6">
        <v>-1.2210000000000001</v>
      </c>
      <c r="J30" s="6">
        <v>177.44</v>
      </c>
      <c r="K30" s="6">
        <v>58.210999999999999</v>
      </c>
      <c r="L30" s="6">
        <v>-45.456000000000003</v>
      </c>
      <c r="M30" s="6">
        <v>95.8</v>
      </c>
      <c r="N30" s="6">
        <v>-20.8</v>
      </c>
      <c r="O30" s="6">
        <v>25.273</v>
      </c>
      <c r="P30" s="6">
        <v>24.62</v>
      </c>
      <c r="Q30" s="6">
        <v>-0.77283000000000002</v>
      </c>
      <c r="R30" s="6">
        <v>-0.20877000000000001</v>
      </c>
      <c r="S30" s="6">
        <v>-0.50527999999999995</v>
      </c>
      <c r="T30" s="6">
        <v>0.32205</v>
      </c>
      <c r="U30" s="6">
        <v>10.411</v>
      </c>
      <c r="V30" s="6">
        <v>1</v>
      </c>
      <c r="W30" s="6">
        <v>1</v>
      </c>
      <c r="X30" s="6" t="s">
        <v>195</v>
      </c>
      <c r="Y30" s="6">
        <v>-6.8172560600000001E-2</v>
      </c>
      <c r="Z30" s="6">
        <v>-1.9121478199999999</v>
      </c>
      <c r="AA30" s="6">
        <v>-2.1310470200000001E-2</v>
      </c>
      <c r="AC30">
        <f t="shared" si="0"/>
        <v>1248.4682399999999</v>
      </c>
      <c r="AD30">
        <f t="shared" si="1"/>
        <v>-3.9060000000000001</v>
      </c>
      <c r="AE30">
        <f t="shared" si="2"/>
        <v>-109.55800000000001</v>
      </c>
      <c r="AF30">
        <f t="shared" si="3"/>
        <v>-1.2210000000000001</v>
      </c>
      <c r="AG30">
        <f t="shared" si="4"/>
        <v>58.210999999999999</v>
      </c>
      <c r="AH30">
        <f t="shared" si="5"/>
        <v>177.44</v>
      </c>
      <c r="AI30">
        <f t="shared" si="6"/>
        <v>58.210999999999999</v>
      </c>
      <c r="AJ30">
        <f t="shared" si="7"/>
        <v>-45.456000000000003</v>
      </c>
    </row>
    <row r="31" spans="1:36" ht="18.95" customHeight="1">
      <c r="A31" s="4">
        <v>65209460</v>
      </c>
      <c r="B31" s="6">
        <v>1.3084682400000001</v>
      </c>
      <c r="C31" s="6">
        <v>0.43279616100000001</v>
      </c>
      <c r="D31" s="6">
        <v>-0.55400000000000005</v>
      </c>
      <c r="E31" s="6">
        <v>-0.02</v>
      </c>
      <c r="F31" s="6">
        <v>0.752</v>
      </c>
      <c r="G31" s="6">
        <v>-3.9060000000000001</v>
      </c>
      <c r="H31" s="6">
        <v>-109.741</v>
      </c>
      <c r="I31" s="6">
        <v>-1.282</v>
      </c>
      <c r="J31" s="6">
        <v>177.31399999999999</v>
      </c>
      <c r="K31" s="6">
        <v>52.722999999999999</v>
      </c>
      <c r="L31" s="6">
        <v>-45.39</v>
      </c>
      <c r="M31" s="6">
        <v>95.8</v>
      </c>
      <c r="N31" s="6">
        <v>-20.8</v>
      </c>
      <c r="O31" s="6">
        <v>25.273</v>
      </c>
      <c r="P31" s="6">
        <v>24.62</v>
      </c>
      <c r="Q31" s="6">
        <v>-0.77283000000000002</v>
      </c>
      <c r="R31" s="6">
        <v>-0.20877000000000001</v>
      </c>
      <c r="S31" s="6">
        <v>-0.50527999999999995</v>
      </c>
      <c r="T31" s="6">
        <v>0.32205</v>
      </c>
      <c r="U31" s="6">
        <v>10.471</v>
      </c>
      <c r="V31" s="6">
        <v>1</v>
      </c>
      <c r="W31" s="6">
        <v>1</v>
      </c>
      <c r="X31" s="6" t="s">
        <v>196</v>
      </c>
      <c r="Y31" s="6">
        <v>-6.8172560600000001E-2</v>
      </c>
      <c r="Z31" s="6">
        <v>-1.9153417699999999</v>
      </c>
      <c r="AA31" s="6">
        <v>-2.2375121000000001E-2</v>
      </c>
      <c r="AC31">
        <f t="shared" si="0"/>
        <v>1308.4682400000002</v>
      </c>
      <c r="AD31">
        <f t="shared" si="1"/>
        <v>-3.9060000000000001</v>
      </c>
      <c r="AE31">
        <f t="shared" si="2"/>
        <v>-109.741</v>
      </c>
      <c r="AF31">
        <f t="shared" si="3"/>
        <v>-1.282</v>
      </c>
      <c r="AG31">
        <f t="shared" si="4"/>
        <v>52.722999999999999</v>
      </c>
      <c r="AH31">
        <f t="shared" si="5"/>
        <v>177.31399999999999</v>
      </c>
      <c r="AI31">
        <f t="shared" si="6"/>
        <v>52.722999999999999</v>
      </c>
      <c r="AJ31">
        <f t="shared" si="7"/>
        <v>-45.39</v>
      </c>
    </row>
    <row r="32" spans="1:36" ht="18.95" customHeight="1">
      <c r="A32" s="4">
        <v>65209489</v>
      </c>
      <c r="B32" s="6">
        <v>1.33746824</v>
      </c>
      <c r="C32" s="6">
        <v>0.44238836100000001</v>
      </c>
      <c r="D32" s="6">
        <v>-0.47699999999999998</v>
      </c>
      <c r="E32" s="6">
        <v>-2.1999999999999999E-2</v>
      </c>
      <c r="F32" s="6">
        <v>0.80500000000000005</v>
      </c>
      <c r="G32" s="6">
        <v>-4.0890000000000004</v>
      </c>
      <c r="H32" s="6">
        <v>-110.901</v>
      </c>
      <c r="I32" s="6">
        <v>-1.2210000000000001</v>
      </c>
      <c r="J32" s="6">
        <v>177.18199999999999</v>
      </c>
      <c r="K32" s="6">
        <v>47.180999999999997</v>
      </c>
      <c r="L32" s="6">
        <v>-45.319000000000003</v>
      </c>
      <c r="M32" s="6">
        <v>79.599999999999994</v>
      </c>
      <c r="N32" s="6">
        <v>-46.3</v>
      </c>
      <c r="O32" s="6">
        <v>10.186999999999999</v>
      </c>
      <c r="P32" s="6">
        <v>24.62</v>
      </c>
      <c r="Q32" s="6">
        <v>-0.77283000000000002</v>
      </c>
      <c r="R32" s="6">
        <v>-0.20877000000000001</v>
      </c>
      <c r="S32" s="6">
        <v>-0.50527999999999995</v>
      </c>
      <c r="T32" s="6">
        <v>0.32205</v>
      </c>
      <c r="U32" s="6">
        <v>10.5</v>
      </c>
      <c r="V32" s="6">
        <v>1</v>
      </c>
      <c r="W32" s="6">
        <v>1</v>
      </c>
      <c r="X32" s="6" t="s">
        <v>197</v>
      </c>
      <c r="Y32" s="6">
        <v>-7.1366513100000001E-2</v>
      </c>
      <c r="Z32" s="6">
        <v>-1.9355875899999999</v>
      </c>
      <c r="AA32" s="6">
        <v>-2.1310470200000001E-2</v>
      </c>
      <c r="AC32">
        <f t="shared" si="0"/>
        <v>1337.4682399999999</v>
      </c>
      <c r="AD32">
        <f t="shared" si="1"/>
        <v>-4.0890000000000004</v>
      </c>
      <c r="AE32">
        <f t="shared" si="2"/>
        <v>-110.901</v>
      </c>
      <c r="AF32">
        <f t="shared" si="3"/>
        <v>-1.2210000000000001</v>
      </c>
      <c r="AG32">
        <f t="shared" si="4"/>
        <v>47.180999999999997</v>
      </c>
      <c r="AH32">
        <f t="shared" si="5"/>
        <v>177.18199999999999</v>
      </c>
      <c r="AI32">
        <f t="shared" si="6"/>
        <v>47.180999999999997</v>
      </c>
      <c r="AJ32">
        <f t="shared" si="7"/>
        <v>-45.319000000000003</v>
      </c>
    </row>
    <row r="33" spans="1:36" ht="18.95" customHeight="1">
      <c r="A33" s="4">
        <v>65209520</v>
      </c>
      <c r="B33" s="6">
        <v>1.3684682399999999</v>
      </c>
      <c r="C33" s="6">
        <v>0.452642092</v>
      </c>
      <c r="D33" s="6">
        <v>-0.377</v>
      </c>
      <c r="E33" s="6">
        <v>-2.7E-2</v>
      </c>
      <c r="F33" s="6">
        <v>0.85199999999999998</v>
      </c>
      <c r="G33" s="6">
        <v>-4.1500000000000004</v>
      </c>
      <c r="H33" s="6">
        <v>-114.746</v>
      </c>
      <c r="I33" s="6">
        <v>-1.343</v>
      </c>
      <c r="J33" s="6">
        <v>177.03899999999999</v>
      </c>
      <c r="K33" s="6">
        <v>41.500999999999998</v>
      </c>
      <c r="L33" s="6">
        <v>-45.231000000000002</v>
      </c>
      <c r="M33" s="6">
        <v>79.599999999999994</v>
      </c>
      <c r="N33" s="6">
        <v>-46.3</v>
      </c>
      <c r="O33" s="6">
        <v>10.186999999999999</v>
      </c>
      <c r="P33" s="6">
        <v>24.62</v>
      </c>
      <c r="Q33" s="6">
        <v>-0.77283000000000002</v>
      </c>
      <c r="R33" s="6">
        <v>-0.20877000000000001</v>
      </c>
      <c r="S33" s="6">
        <v>-0.50527999999999995</v>
      </c>
      <c r="T33" s="6">
        <v>0.32205</v>
      </c>
      <c r="U33" s="6">
        <v>10.531000000000001</v>
      </c>
      <c r="V33" s="6">
        <v>1</v>
      </c>
      <c r="W33" s="6">
        <v>1</v>
      </c>
      <c r="X33" s="6" t="s">
        <v>198</v>
      </c>
      <c r="Y33" s="6">
        <v>-7.2431164000000006E-2</v>
      </c>
      <c r="Z33" s="6">
        <v>-2.0026955000000002</v>
      </c>
      <c r="AA33" s="6">
        <v>-2.34397719E-2</v>
      </c>
      <c r="AC33">
        <f t="shared" si="0"/>
        <v>1368.4682399999999</v>
      </c>
      <c r="AD33">
        <f t="shared" si="1"/>
        <v>-4.1500000000000004</v>
      </c>
      <c r="AE33">
        <f t="shared" si="2"/>
        <v>-114.746</v>
      </c>
      <c r="AF33">
        <f t="shared" si="3"/>
        <v>-1.343</v>
      </c>
      <c r="AG33">
        <f t="shared" si="4"/>
        <v>41.500999999999998</v>
      </c>
      <c r="AH33">
        <f t="shared" si="5"/>
        <v>177.03899999999999</v>
      </c>
      <c r="AI33">
        <f t="shared" si="6"/>
        <v>41.500999999999998</v>
      </c>
      <c r="AJ33">
        <f t="shared" si="7"/>
        <v>-45.231000000000002</v>
      </c>
    </row>
    <row r="34" spans="1:36" ht="18.95" customHeight="1">
      <c r="A34" s="4">
        <v>65209610</v>
      </c>
      <c r="B34" s="6">
        <v>1.45846824</v>
      </c>
      <c r="C34" s="6">
        <v>0.48241098799999999</v>
      </c>
      <c r="D34" s="6">
        <v>-0.28599999999999998</v>
      </c>
      <c r="E34" s="6">
        <v>-3.1E-2</v>
      </c>
      <c r="F34" s="6">
        <v>0.88300000000000001</v>
      </c>
      <c r="G34" s="6">
        <v>-4.2110000000000003</v>
      </c>
      <c r="H34" s="6">
        <v>-116.15</v>
      </c>
      <c r="I34" s="6">
        <v>-1.343</v>
      </c>
      <c r="J34" s="6">
        <v>176.89099999999999</v>
      </c>
      <c r="K34" s="6">
        <v>35.689</v>
      </c>
      <c r="L34" s="6">
        <v>-45.131999999999998</v>
      </c>
      <c r="M34" s="6">
        <v>79.599999999999994</v>
      </c>
      <c r="N34" s="6">
        <v>-46.3</v>
      </c>
      <c r="O34" s="6">
        <v>10.186999999999999</v>
      </c>
      <c r="P34" s="6">
        <v>24.62</v>
      </c>
      <c r="Q34" s="6">
        <v>-0.89914000000000005</v>
      </c>
      <c r="R34" s="6">
        <v>-7.7450000000000005E-2</v>
      </c>
      <c r="S34" s="6">
        <v>-0.21898999999999999</v>
      </c>
      <c r="T34" s="6">
        <v>0.37079000000000001</v>
      </c>
      <c r="U34" s="6">
        <v>10.621</v>
      </c>
      <c r="V34" s="6">
        <v>1</v>
      </c>
      <c r="W34" s="6">
        <v>1</v>
      </c>
      <c r="X34" s="6" t="s">
        <v>199</v>
      </c>
      <c r="Y34" s="6">
        <v>-7.3495814800000003E-2</v>
      </c>
      <c r="Z34" s="6">
        <v>-2.0271999300000001</v>
      </c>
      <c r="AA34" s="6">
        <v>-2.34397719E-2</v>
      </c>
      <c r="AC34">
        <f t="shared" si="0"/>
        <v>1458.4682399999999</v>
      </c>
      <c r="AD34">
        <f t="shared" si="1"/>
        <v>-4.2110000000000003</v>
      </c>
      <c r="AE34">
        <f t="shared" si="2"/>
        <v>-116.15</v>
      </c>
      <c r="AF34">
        <f t="shared" si="3"/>
        <v>-1.343</v>
      </c>
      <c r="AG34">
        <f t="shared" si="4"/>
        <v>35.689</v>
      </c>
      <c r="AH34">
        <f t="shared" si="5"/>
        <v>176.89099999999999</v>
      </c>
      <c r="AI34">
        <f t="shared" si="6"/>
        <v>35.689</v>
      </c>
      <c r="AJ34">
        <f t="shared" si="7"/>
        <v>-45.131999999999998</v>
      </c>
    </row>
    <row r="35" spans="1:36" ht="18.95" customHeight="1">
      <c r="A35" s="4">
        <v>65209639</v>
      </c>
      <c r="B35" s="6">
        <v>1.4874682400000001</v>
      </c>
      <c r="C35" s="6">
        <v>0.49200318700000001</v>
      </c>
      <c r="D35" s="6">
        <v>-0.187</v>
      </c>
      <c r="E35" s="6">
        <v>-3.6999999999999998E-2</v>
      </c>
      <c r="F35" s="6">
        <v>0.91300000000000003</v>
      </c>
      <c r="G35" s="6">
        <v>-4.3330000000000002</v>
      </c>
      <c r="H35" s="6">
        <v>-119.08</v>
      </c>
      <c r="I35" s="6">
        <v>-1.4039999999999999</v>
      </c>
      <c r="J35" s="6">
        <v>176.732</v>
      </c>
      <c r="K35" s="6">
        <v>29.773</v>
      </c>
      <c r="L35" s="6">
        <v>-45.021999999999998</v>
      </c>
      <c r="M35" s="6">
        <v>79.599999999999994</v>
      </c>
      <c r="N35" s="6">
        <v>-46.3</v>
      </c>
      <c r="O35" s="6">
        <v>10.186999999999999</v>
      </c>
      <c r="P35" s="6">
        <v>24.62</v>
      </c>
      <c r="Q35" s="6">
        <v>-0.89914000000000005</v>
      </c>
      <c r="R35" s="6">
        <v>-7.7450000000000005E-2</v>
      </c>
      <c r="S35" s="6">
        <v>-0.21898999999999999</v>
      </c>
      <c r="T35" s="6">
        <v>0.37079000000000001</v>
      </c>
      <c r="U35" s="6">
        <v>10.65</v>
      </c>
      <c r="V35" s="6">
        <v>1</v>
      </c>
      <c r="W35" s="6">
        <v>1</v>
      </c>
      <c r="X35" s="6" t="s">
        <v>200</v>
      </c>
      <c r="Y35" s="6">
        <v>-7.5625116500000006E-2</v>
      </c>
      <c r="Z35" s="6">
        <v>-2.07833807</v>
      </c>
      <c r="AA35" s="6">
        <v>-2.45044227E-2</v>
      </c>
      <c r="AC35">
        <f t="shared" si="0"/>
        <v>1487.4682400000002</v>
      </c>
      <c r="AD35">
        <f t="shared" si="1"/>
        <v>-4.3330000000000002</v>
      </c>
      <c r="AE35">
        <f t="shared" si="2"/>
        <v>-119.08</v>
      </c>
      <c r="AF35">
        <f t="shared" si="3"/>
        <v>-1.4039999999999999</v>
      </c>
      <c r="AG35">
        <f t="shared" si="4"/>
        <v>29.773</v>
      </c>
      <c r="AH35">
        <f t="shared" si="5"/>
        <v>176.732</v>
      </c>
      <c r="AI35">
        <f t="shared" si="6"/>
        <v>29.773</v>
      </c>
      <c r="AJ35">
        <f t="shared" si="7"/>
        <v>-45.021999999999998</v>
      </c>
    </row>
    <row r="36" spans="1:36" ht="18.95" customHeight="1">
      <c r="A36" s="4">
        <v>65209700</v>
      </c>
      <c r="B36" s="6">
        <v>1.5484682400000001</v>
      </c>
      <c r="C36" s="6">
        <v>0.51217988299999995</v>
      </c>
      <c r="D36" s="6">
        <v>-8.5999999999999993E-2</v>
      </c>
      <c r="E36" s="6">
        <v>-3.9E-2</v>
      </c>
      <c r="F36" s="6">
        <v>0.93500000000000005</v>
      </c>
      <c r="G36" s="6">
        <v>-4.3949999999999996</v>
      </c>
      <c r="H36" s="6">
        <v>-123.535</v>
      </c>
      <c r="I36" s="6">
        <v>-1.4039999999999999</v>
      </c>
      <c r="J36" s="6">
        <v>176.56700000000001</v>
      </c>
      <c r="K36" s="6">
        <v>23.658999999999999</v>
      </c>
      <c r="L36" s="6">
        <v>-44.896000000000001</v>
      </c>
      <c r="M36" s="6">
        <v>79.599999999999994</v>
      </c>
      <c r="N36" s="6">
        <v>-46.3</v>
      </c>
      <c r="O36" s="6">
        <v>10.186999999999999</v>
      </c>
      <c r="P36" s="6">
        <v>24.62</v>
      </c>
      <c r="Q36" s="6">
        <v>-0.89914000000000005</v>
      </c>
      <c r="R36" s="6">
        <v>-7.7450000000000005E-2</v>
      </c>
      <c r="S36" s="6">
        <v>-0.21898999999999999</v>
      </c>
      <c r="T36" s="6">
        <v>0.37079000000000001</v>
      </c>
      <c r="U36" s="6">
        <v>10.711</v>
      </c>
      <c r="V36" s="6">
        <v>1</v>
      </c>
      <c r="W36" s="6">
        <v>1</v>
      </c>
      <c r="X36" s="6" t="s">
        <v>201</v>
      </c>
      <c r="Y36" s="6">
        <v>-7.6707220600000001E-2</v>
      </c>
      <c r="Z36" s="6">
        <v>-2.1560924899999998</v>
      </c>
      <c r="AA36" s="6">
        <v>-2.45044227E-2</v>
      </c>
      <c r="AC36">
        <f t="shared" si="0"/>
        <v>1548.4682400000002</v>
      </c>
      <c r="AD36">
        <f t="shared" si="1"/>
        <v>-4.3949999999999996</v>
      </c>
      <c r="AE36">
        <f t="shared" si="2"/>
        <v>-123.535</v>
      </c>
      <c r="AF36">
        <f t="shared" si="3"/>
        <v>-1.4039999999999999</v>
      </c>
      <c r="AG36">
        <f t="shared" si="4"/>
        <v>23.658999999999999</v>
      </c>
      <c r="AH36">
        <f t="shared" si="5"/>
        <v>176.56700000000001</v>
      </c>
      <c r="AI36">
        <f t="shared" si="6"/>
        <v>23.658999999999999</v>
      </c>
      <c r="AJ36">
        <f t="shared" si="7"/>
        <v>-44.896000000000001</v>
      </c>
    </row>
    <row r="37" spans="1:36" ht="18.95" customHeight="1">
      <c r="A37" s="4">
        <v>65209729</v>
      </c>
      <c r="B37" s="6">
        <v>1.57746824</v>
      </c>
      <c r="C37" s="6">
        <v>0.521772083</v>
      </c>
      <c r="D37" s="6">
        <v>2.1000000000000001E-2</v>
      </c>
      <c r="E37" s="6">
        <v>-4.3999999999999997E-2</v>
      </c>
      <c r="F37" s="6">
        <v>0.94199999999999995</v>
      </c>
      <c r="G37" s="6">
        <v>-4.3330000000000002</v>
      </c>
      <c r="H37" s="6">
        <v>-127.93</v>
      </c>
      <c r="I37" s="6">
        <v>-1.587</v>
      </c>
      <c r="J37" s="6">
        <v>176.375</v>
      </c>
      <c r="K37" s="6">
        <v>17.314</v>
      </c>
      <c r="L37" s="6">
        <v>-44.741999999999997</v>
      </c>
      <c r="M37" s="6">
        <v>79.599999999999994</v>
      </c>
      <c r="N37" s="6">
        <v>-46.3</v>
      </c>
      <c r="O37" s="6">
        <v>10.186999999999999</v>
      </c>
      <c r="P37" s="6">
        <v>24.62</v>
      </c>
      <c r="Q37" s="6">
        <v>-0.89914000000000005</v>
      </c>
      <c r="R37" s="6">
        <v>-7.7450000000000005E-2</v>
      </c>
      <c r="S37" s="6">
        <v>-0.21898999999999999</v>
      </c>
      <c r="T37" s="6">
        <v>0.37079000000000001</v>
      </c>
      <c r="U37" s="6">
        <v>10.74</v>
      </c>
      <c r="V37" s="6">
        <v>1</v>
      </c>
      <c r="W37" s="6">
        <v>1</v>
      </c>
      <c r="X37" s="6" t="s">
        <v>202</v>
      </c>
      <c r="Y37" s="6">
        <v>-7.5625116500000006E-2</v>
      </c>
      <c r="Z37" s="6">
        <v>-2.2327997100000001</v>
      </c>
      <c r="AA37" s="6">
        <v>-2.76983752E-2</v>
      </c>
      <c r="AC37">
        <f t="shared" si="0"/>
        <v>1577.4682399999999</v>
      </c>
      <c r="AD37">
        <f t="shared" si="1"/>
        <v>-4.3330000000000002</v>
      </c>
      <c r="AE37">
        <f t="shared" si="2"/>
        <v>-127.93</v>
      </c>
      <c r="AF37">
        <f t="shared" si="3"/>
        <v>-1.587</v>
      </c>
      <c r="AG37">
        <f t="shared" si="4"/>
        <v>17.314</v>
      </c>
      <c r="AH37">
        <f t="shared" si="5"/>
        <v>176.375</v>
      </c>
      <c r="AI37">
        <f t="shared" si="6"/>
        <v>17.314</v>
      </c>
      <c r="AJ37">
        <f t="shared" si="7"/>
        <v>-44.741999999999997</v>
      </c>
    </row>
    <row r="38" spans="1:36" ht="18.95" customHeight="1">
      <c r="A38" s="4">
        <v>65209819</v>
      </c>
      <c r="B38" s="6">
        <v>1.66746824</v>
      </c>
      <c r="C38" s="6">
        <v>0.55154097899999999</v>
      </c>
      <c r="D38" s="6">
        <v>0.14000000000000001</v>
      </c>
      <c r="E38" s="6">
        <v>-4.2999999999999997E-2</v>
      </c>
      <c r="F38" s="6">
        <v>0.94799999999999995</v>
      </c>
      <c r="G38" s="6">
        <v>-4.4560000000000004</v>
      </c>
      <c r="H38" s="6">
        <v>-129.517</v>
      </c>
      <c r="I38" s="6">
        <v>-1.526</v>
      </c>
      <c r="J38" s="6">
        <v>176.17699999999999</v>
      </c>
      <c r="K38" s="6">
        <v>10.882</v>
      </c>
      <c r="L38" s="6">
        <v>-44.572000000000003</v>
      </c>
      <c r="M38" s="6">
        <v>79.599999999999994</v>
      </c>
      <c r="N38" s="6">
        <v>-46.3</v>
      </c>
      <c r="O38" s="6">
        <v>10.186999999999999</v>
      </c>
      <c r="P38" s="6">
        <v>24.62</v>
      </c>
      <c r="Q38" s="6">
        <v>-0.89914000000000005</v>
      </c>
      <c r="R38" s="6">
        <v>-7.7450000000000005E-2</v>
      </c>
      <c r="S38" s="6">
        <v>-0.21898999999999999</v>
      </c>
      <c r="T38" s="6">
        <v>0.37079000000000001</v>
      </c>
      <c r="U38" s="6">
        <v>10.83</v>
      </c>
      <c r="V38" s="6">
        <v>1</v>
      </c>
      <c r="W38" s="6">
        <v>1</v>
      </c>
      <c r="X38" s="6" t="s">
        <v>203</v>
      </c>
      <c r="Y38" s="6">
        <v>-7.7771871500000006E-2</v>
      </c>
      <c r="Z38" s="6">
        <v>-2.26049809</v>
      </c>
      <c r="AA38" s="6">
        <v>-2.6633724399999999E-2</v>
      </c>
      <c r="AC38">
        <f t="shared" ref="AC38:AC64" si="8">B38*1000</f>
        <v>1667.4682400000002</v>
      </c>
      <c r="AD38">
        <f t="shared" ref="AD38:AD64" si="9">G38</f>
        <v>-4.4560000000000004</v>
      </c>
      <c r="AE38">
        <f t="shared" ref="AE38:AE64" si="10">H38</f>
        <v>-129.517</v>
      </c>
      <c r="AF38">
        <f t="shared" ref="AF38:AF64" si="11">I38</f>
        <v>-1.526</v>
      </c>
      <c r="AG38">
        <f t="shared" ref="AG38:AG64" si="12">K38</f>
        <v>10.882</v>
      </c>
      <c r="AH38">
        <f t="shared" ref="AH38:AH64" si="13">J38</f>
        <v>176.17699999999999</v>
      </c>
      <c r="AI38">
        <f t="shared" ref="AI38:AI64" si="14">K38</f>
        <v>10.882</v>
      </c>
      <c r="AJ38">
        <f t="shared" ref="AJ38:AJ64" si="15">L38</f>
        <v>-44.572000000000003</v>
      </c>
    </row>
    <row r="39" spans="1:36" ht="18.95" customHeight="1">
      <c r="A39" s="4">
        <v>65209850</v>
      </c>
      <c r="B39" s="6">
        <v>1.69846824</v>
      </c>
      <c r="C39" s="6">
        <v>0.56179471000000003</v>
      </c>
      <c r="D39" s="6">
        <v>0.27400000000000002</v>
      </c>
      <c r="E39" s="6">
        <v>-4.3999999999999997E-2</v>
      </c>
      <c r="F39" s="6">
        <v>0.93</v>
      </c>
      <c r="G39" s="6">
        <v>-4.7</v>
      </c>
      <c r="H39" s="6">
        <v>-131.89699999999999</v>
      </c>
      <c r="I39" s="6">
        <v>-1.343</v>
      </c>
      <c r="J39" s="6">
        <v>175.952</v>
      </c>
      <c r="K39" s="6">
        <v>4.3289999999999997</v>
      </c>
      <c r="L39" s="6">
        <v>-44.368000000000002</v>
      </c>
      <c r="M39" s="6">
        <v>46.2</v>
      </c>
      <c r="N39" s="6">
        <v>-60.5</v>
      </c>
      <c r="O39" s="6">
        <v>3.2530000000000001</v>
      </c>
      <c r="P39" s="6">
        <v>24.62</v>
      </c>
      <c r="Q39" s="6">
        <v>-0.89914000000000005</v>
      </c>
      <c r="R39" s="6">
        <v>-7.7450000000000005E-2</v>
      </c>
      <c r="S39" s="6">
        <v>-0.21898999999999999</v>
      </c>
      <c r="T39" s="6">
        <v>0.37079000000000001</v>
      </c>
      <c r="U39" s="6">
        <v>10.861000000000001</v>
      </c>
      <c r="V39" s="6">
        <v>1</v>
      </c>
      <c r="W39" s="6">
        <v>1</v>
      </c>
      <c r="X39" s="6" t="s">
        <v>204</v>
      </c>
      <c r="Y39" s="6">
        <v>-8.2030474800000003E-2</v>
      </c>
      <c r="Z39" s="6">
        <v>-2.3020369199999999</v>
      </c>
      <c r="AA39" s="6">
        <v>-2.34397719E-2</v>
      </c>
      <c r="AC39">
        <f t="shared" si="8"/>
        <v>1698.4682399999999</v>
      </c>
      <c r="AD39">
        <f t="shared" si="9"/>
        <v>-4.7</v>
      </c>
      <c r="AE39">
        <f t="shared" si="10"/>
        <v>-131.89699999999999</v>
      </c>
      <c r="AF39">
        <f t="shared" si="11"/>
        <v>-1.343</v>
      </c>
      <c r="AG39">
        <f t="shared" si="12"/>
        <v>4.3289999999999997</v>
      </c>
      <c r="AH39">
        <f t="shared" si="13"/>
        <v>175.952</v>
      </c>
      <c r="AI39">
        <f t="shared" si="14"/>
        <v>4.3289999999999997</v>
      </c>
      <c r="AJ39">
        <f t="shared" si="15"/>
        <v>-44.368000000000002</v>
      </c>
    </row>
    <row r="40" spans="1:36" ht="18.95" customHeight="1">
      <c r="A40" s="4">
        <v>65209879</v>
      </c>
      <c r="B40" s="6">
        <v>1.7274682400000001</v>
      </c>
      <c r="C40" s="6">
        <v>0.57138690999999997</v>
      </c>
      <c r="D40" s="6">
        <v>0.38900000000000001</v>
      </c>
      <c r="E40" s="6">
        <v>-5.1999999999999998E-2</v>
      </c>
      <c r="F40" s="6">
        <v>0.878</v>
      </c>
      <c r="G40" s="6">
        <v>-4.7</v>
      </c>
      <c r="H40" s="6">
        <v>-133.78899999999999</v>
      </c>
      <c r="I40" s="6">
        <v>-1.2210000000000001</v>
      </c>
      <c r="J40" s="6">
        <v>175.69300000000001</v>
      </c>
      <c r="K40" s="6">
        <v>-2.3570000000000002</v>
      </c>
      <c r="L40" s="6">
        <v>-44.127000000000002</v>
      </c>
      <c r="M40" s="6">
        <v>46.2</v>
      </c>
      <c r="N40" s="6">
        <v>-60.5</v>
      </c>
      <c r="O40" s="6">
        <v>3.2530000000000001</v>
      </c>
      <c r="P40" s="6">
        <v>24.62</v>
      </c>
      <c r="Q40" s="6">
        <v>-0.89914000000000005</v>
      </c>
      <c r="R40" s="6">
        <v>-7.7450000000000005E-2</v>
      </c>
      <c r="S40" s="6">
        <v>-0.21898999999999999</v>
      </c>
      <c r="T40" s="6">
        <v>0.37079000000000001</v>
      </c>
      <c r="U40" s="6">
        <v>10.89</v>
      </c>
      <c r="V40" s="6">
        <v>1</v>
      </c>
      <c r="W40" s="6">
        <v>1</v>
      </c>
      <c r="X40" s="6" t="s">
        <v>205</v>
      </c>
      <c r="Y40" s="6">
        <v>-8.2030474800000003E-2</v>
      </c>
      <c r="Z40" s="6">
        <v>-2.3350585499999998</v>
      </c>
      <c r="AA40" s="6">
        <v>-2.1310470200000001E-2</v>
      </c>
      <c r="AC40">
        <f t="shared" si="8"/>
        <v>1727.4682400000002</v>
      </c>
      <c r="AD40">
        <f t="shared" si="9"/>
        <v>-4.7</v>
      </c>
      <c r="AE40">
        <f t="shared" si="10"/>
        <v>-133.78899999999999</v>
      </c>
      <c r="AF40">
        <f t="shared" si="11"/>
        <v>-1.2210000000000001</v>
      </c>
      <c r="AG40">
        <f t="shared" si="12"/>
        <v>-2.3570000000000002</v>
      </c>
      <c r="AH40">
        <f t="shared" si="13"/>
        <v>175.69300000000001</v>
      </c>
      <c r="AI40">
        <f t="shared" si="14"/>
        <v>-2.3570000000000002</v>
      </c>
      <c r="AJ40">
        <f t="shared" si="15"/>
        <v>-44.127000000000002</v>
      </c>
    </row>
    <row r="41" spans="1:36" ht="18.95" customHeight="1">
      <c r="A41" s="4">
        <v>65209940</v>
      </c>
      <c r="B41" s="6">
        <v>1.78846824</v>
      </c>
      <c r="C41" s="6">
        <v>0.59156360600000002</v>
      </c>
      <c r="D41" s="6">
        <v>0.45800000000000002</v>
      </c>
      <c r="E41" s="6">
        <v>-5.3999999999999999E-2</v>
      </c>
      <c r="F41" s="6">
        <v>0.83299999999999996</v>
      </c>
      <c r="G41" s="6">
        <v>-4.6390000000000002</v>
      </c>
      <c r="H41" s="6">
        <v>-130.91999999999999</v>
      </c>
      <c r="I41" s="6">
        <v>-1.77</v>
      </c>
      <c r="J41" s="6">
        <v>175.39699999999999</v>
      </c>
      <c r="K41" s="6">
        <v>-9.0470000000000006</v>
      </c>
      <c r="L41" s="6">
        <v>-43.851999999999997</v>
      </c>
      <c r="M41" s="6">
        <v>46.2</v>
      </c>
      <c r="N41" s="6">
        <v>-60.5</v>
      </c>
      <c r="O41" s="6">
        <v>3.2530000000000001</v>
      </c>
      <c r="P41" s="6">
        <v>24.62</v>
      </c>
      <c r="Q41" s="6">
        <v>-0.91286999999999996</v>
      </c>
      <c r="R41" s="6">
        <v>8.5239999999999996E-2</v>
      </c>
      <c r="S41" s="6">
        <v>0.14291000000000001</v>
      </c>
      <c r="T41" s="6">
        <v>0.37262000000000001</v>
      </c>
      <c r="U41" s="6">
        <v>10.951000000000001</v>
      </c>
      <c r="V41" s="6">
        <v>1</v>
      </c>
      <c r="W41" s="6">
        <v>1</v>
      </c>
      <c r="X41" s="6" t="s">
        <v>206</v>
      </c>
      <c r="Y41" s="6">
        <v>-8.0965824000000006E-2</v>
      </c>
      <c r="Z41" s="6">
        <v>-2.2849850599999999</v>
      </c>
      <c r="AA41" s="6">
        <v>-3.0892327800000001E-2</v>
      </c>
      <c r="AC41">
        <f t="shared" si="8"/>
        <v>1788.4682400000002</v>
      </c>
      <c r="AD41">
        <f t="shared" si="9"/>
        <v>-4.6390000000000002</v>
      </c>
      <c r="AE41">
        <f t="shared" si="10"/>
        <v>-130.91999999999999</v>
      </c>
      <c r="AF41">
        <f t="shared" si="11"/>
        <v>-1.77</v>
      </c>
      <c r="AG41">
        <f t="shared" si="12"/>
        <v>-9.0470000000000006</v>
      </c>
      <c r="AH41">
        <f t="shared" si="13"/>
        <v>175.39699999999999</v>
      </c>
      <c r="AI41">
        <f t="shared" si="14"/>
        <v>-9.0470000000000006</v>
      </c>
      <c r="AJ41">
        <f t="shared" si="15"/>
        <v>-43.851999999999997</v>
      </c>
    </row>
    <row r="42" spans="1:36" ht="18.95" customHeight="1">
      <c r="A42" s="4">
        <v>65210029</v>
      </c>
      <c r="B42" s="6">
        <v>1.87746824</v>
      </c>
      <c r="C42" s="6">
        <v>0.62100173599999997</v>
      </c>
      <c r="D42" s="6">
        <v>0.57099999999999995</v>
      </c>
      <c r="E42" s="6">
        <v>-5.1999999999999998E-2</v>
      </c>
      <c r="F42" s="6">
        <v>0.80600000000000005</v>
      </c>
      <c r="G42" s="6">
        <v>-4.7</v>
      </c>
      <c r="H42" s="6">
        <v>-131.34800000000001</v>
      </c>
      <c r="I42" s="6">
        <v>-1.526</v>
      </c>
      <c r="J42" s="6">
        <v>175.05099999999999</v>
      </c>
      <c r="K42" s="6">
        <v>-15.628</v>
      </c>
      <c r="L42" s="6">
        <v>-43.527999999999999</v>
      </c>
      <c r="M42" s="6">
        <v>46.2</v>
      </c>
      <c r="N42" s="6">
        <v>-60.5</v>
      </c>
      <c r="O42" s="6">
        <v>3.2530000000000001</v>
      </c>
      <c r="P42" s="6">
        <v>24.62</v>
      </c>
      <c r="Q42" s="6">
        <v>-0.91286999999999996</v>
      </c>
      <c r="R42" s="6">
        <v>8.5239999999999996E-2</v>
      </c>
      <c r="S42" s="6">
        <v>0.14291000000000001</v>
      </c>
      <c r="T42" s="6">
        <v>0.37262000000000001</v>
      </c>
      <c r="U42" s="6">
        <v>11.04</v>
      </c>
      <c r="V42" s="6">
        <v>1</v>
      </c>
      <c r="W42" s="6">
        <v>1</v>
      </c>
      <c r="X42" s="6" t="s">
        <v>207</v>
      </c>
      <c r="Y42" s="6">
        <v>-8.2030474800000003E-2</v>
      </c>
      <c r="Z42" s="6">
        <v>-2.2924550699999999</v>
      </c>
      <c r="AA42" s="6">
        <v>-2.6633724399999999E-2</v>
      </c>
      <c r="AC42">
        <f t="shared" si="8"/>
        <v>1877.4682399999999</v>
      </c>
      <c r="AD42">
        <f t="shared" si="9"/>
        <v>-4.7</v>
      </c>
      <c r="AE42">
        <f t="shared" si="10"/>
        <v>-131.34800000000001</v>
      </c>
      <c r="AF42">
        <f t="shared" si="11"/>
        <v>-1.526</v>
      </c>
      <c r="AG42">
        <f t="shared" si="12"/>
        <v>-15.628</v>
      </c>
      <c r="AH42">
        <f t="shared" si="13"/>
        <v>175.05099999999999</v>
      </c>
      <c r="AI42">
        <f t="shared" si="14"/>
        <v>-15.628</v>
      </c>
      <c r="AJ42">
        <f t="shared" si="15"/>
        <v>-43.527999999999999</v>
      </c>
    </row>
    <row r="43" spans="1:36" ht="18.95" customHeight="1">
      <c r="A43" s="4">
        <v>65210060</v>
      </c>
      <c r="B43" s="6">
        <v>1.9084682399999999</v>
      </c>
      <c r="C43" s="6">
        <v>0.63125546700000001</v>
      </c>
      <c r="D43" s="6">
        <v>0.69299999999999995</v>
      </c>
      <c r="E43" s="6">
        <v>-5.7000000000000002E-2</v>
      </c>
      <c r="F43" s="6">
        <v>0.73299999999999998</v>
      </c>
      <c r="G43" s="6">
        <v>-4.5170000000000003</v>
      </c>
      <c r="H43" s="6">
        <v>-128.72300000000001</v>
      </c>
      <c r="I43" s="6">
        <v>-1.282</v>
      </c>
      <c r="J43" s="6">
        <v>174.64400000000001</v>
      </c>
      <c r="K43" s="6">
        <v>-22.11</v>
      </c>
      <c r="L43" s="6">
        <v>-43.149000000000001</v>
      </c>
      <c r="M43" s="6">
        <v>46.2</v>
      </c>
      <c r="N43" s="6">
        <v>-60.5</v>
      </c>
      <c r="O43" s="6">
        <v>3.2530000000000001</v>
      </c>
      <c r="P43" s="6">
        <v>24.62</v>
      </c>
      <c r="Q43" s="6">
        <v>-0.91286999999999996</v>
      </c>
      <c r="R43" s="6">
        <v>8.5239999999999996E-2</v>
      </c>
      <c r="S43" s="6">
        <v>0.14291000000000001</v>
      </c>
      <c r="T43" s="6">
        <v>0.37262000000000001</v>
      </c>
      <c r="U43" s="6">
        <v>11.071</v>
      </c>
      <c r="V43" s="6">
        <v>1</v>
      </c>
      <c r="W43" s="6">
        <v>1</v>
      </c>
      <c r="X43" s="6" t="s">
        <v>208</v>
      </c>
      <c r="Y43" s="6">
        <v>-7.8836522300000003E-2</v>
      </c>
      <c r="Z43" s="6">
        <v>-2.24664017</v>
      </c>
      <c r="AA43" s="6">
        <v>-2.2375121000000001E-2</v>
      </c>
      <c r="AC43">
        <f t="shared" si="8"/>
        <v>1908.4682399999999</v>
      </c>
      <c r="AD43">
        <f t="shared" si="9"/>
        <v>-4.5170000000000003</v>
      </c>
      <c r="AE43">
        <f t="shared" si="10"/>
        <v>-128.72300000000001</v>
      </c>
      <c r="AF43">
        <f t="shared" si="11"/>
        <v>-1.282</v>
      </c>
      <c r="AG43">
        <f t="shared" si="12"/>
        <v>-22.11</v>
      </c>
      <c r="AH43">
        <f t="shared" si="13"/>
        <v>174.64400000000001</v>
      </c>
      <c r="AI43">
        <f t="shared" si="14"/>
        <v>-22.11</v>
      </c>
      <c r="AJ43">
        <f t="shared" si="15"/>
        <v>-43.149000000000001</v>
      </c>
    </row>
    <row r="44" spans="1:36" ht="18.95" customHeight="1">
      <c r="A44" s="4">
        <v>65210089</v>
      </c>
      <c r="B44" s="6">
        <v>1.9374682400000001</v>
      </c>
      <c r="C44" s="6">
        <v>0.64084766599999998</v>
      </c>
      <c r="D44" s="6">
        <v>0.75900000000000001</v>
      </c>
      <c r="E44" s="6">
        <v>-6.3E-2</v>
      </c>
      <c r="F44" s="6">
        <v>0.64100000000000001</v>
      </c>
      <c r="G44" s="6">
        <v>-4.3949999999999996</v>
      </c>
      <c r="H44" s="6">
        <v>-122.986</v>
      </c>
      <c r="I44" s="6">
        <v>-1.526</v>
      </c>
      <c r="J44" s="6">
        <v>174.161</v>
      </c>
      <c r="K44" s="6">
        <v>-28.427</v>
      </c>
      <c r="L44" s="6">
        <v>-42.731000000000002</v>
      </c>
      <c r="M44" s="6">
        <v>46.2</v>
      </c>
      <c r="N44" s="6">
        <v>-60.5</v>
      </c>
      <c r="O44" s="6">
        <v>3.2530000000000001</v>
      </c>
      <c r="P44" s="6">
        <v>24.62</v>
      </c>
      <c r="Q44" s="6">
        <v>-0.91286999999999996</v>
      </c>
      <c r="R44" s="6">
        <v>8.5239999999999996E-2</v>
      </c>
      <c r="S44" s="6">
        <v>0.14291000000000001</v>
      </c>
      <c r="T44" s="6">
        <v>0.37262000000000001</v>
      </c>
      <c r="U44" s="6">
        <v>11.1</v>
      </c>
      <c r="V44" s="6">
        <v>1</v>
      </c>
      <c r="W44" s="6">
        <v>1</v>
      </c>
      <c r="X44" s="6" t="s">
        <v>209</v>
      </c>
      <c r="Y44" s="6">
        <v>-7.6707220600000001E-2</v>
      </c>
      <c r="Z44" s="6">
        <v>-2.1465106299999999</v>
      </c>
      <c r="AA44" s="6">
        <v>-2.6633724399999999E-2</v>
      </c>
      <c r="AC44">
        <f t="shared" si="8"/>
        <v>1937.4682400000002</v>
      </c>
      <c r="AD44">
        <f t="shared" si="9"/>
        <v>-4.3949999999999996</v>
      </c>
      <c r="AE44">
        <f t="shared" si="10"/>
        <v>-122.986</v>
      </c>
      <c r="AF44">
        <f t="shared" si="11"/>
        <v>-1.526</v>
      </c>
      <c r="AG44">
        <f t="shared" si="12"/>
        <v>-28.427</v>
      </c>
      <c r="AH44">
        <f t="shared" si="13"/>
        <v>174.161</v>
      </c>
      <c r="AI44">
        <f t="shared" si="14"/>
        <v>-28.427</v>
      </c>
      <c r="AJ44">
        <f t="shared" si="15"/>
        <v>-42.731000000000002</v>
      </c>
    </row>
    <row r="45" spans="1:36" ht="18.95" customHeight="1">
      <c r="A45" s="4">
        <v>65210150</v>
      </c>
      <c r="B45" s="6">
        <v>1.99846824</v>
      </c>
      <c r="C45" s="6">
        <v>0.66102436200000003</v>
      </c>
      <c r="D45" s="6">
        <v>0.78100000000000003</v>
      </c>
      <c r="E45" s="6">
        <v>-6.2E-2</v>
      </c>
      <c r="F45" s="6">
        <v>0.56699999999999995</v>
      </c>
      <c r="G45" s="6">
        <v>-4.2720000000000002</v>
      </c>
      <c r="H45" s="6">
        <v>-119.324</v>
      </c>
      <c r="I45" s="6">
        <v>-1.343</v>
      </c>
      <c r="J45" s="6">
        <v>173.57300000000001</v>
      </c>
      <c r="K45" s="6">
        <v>-34.518999999999998</v>
      </c>
      <c r="L45" s="6">
        <v>-42.192999999999998</v>
      </c>
      <c r="M45" s="6">
        <v>46.2</v>
      </c>
      <c r="N45" s="6">
        <v>-60.5</v>
      </c>
      <c r="O45" s="6">
        <v>3.2530000000000001</v>
      </c>
      <c r="P45" s="6">
        <v>24.62</v>
      </c>
      <c r="Q45" s="6">
        <v>-0.91286999999999996</v>
      </c>
      <c r="R45" s="6">
        <v>8.5239999999999996E-2</v>
      </c>
      <c r="S45" s="6">
        <v>0.14291000000000001</v>
      </c>
      <c r="T45" s="6">
        <v>0.37262000000000001</v>
      </c>
      <c r="U45" s="6">
        <v>11.161</v>
      </c>
      <c r="V45" s="6">
        <v>1</v>
      </c>
      <c r="W45" s="6">
        <v>1</v>
      </c>
      <c r="X45" s="6" t="s">
        <v>210</v>
      </c>
      <c r="Y45" s="6">
        <v>-7.45604656E-2</v>
      </c>
      <c r="Z45" s="6">
        <v>-2.08259668</v>
      </c>
      <c r="AA45" s="6">
        <v>-2.34397719E-2</v>
      </c>
      <c r="AC45">
        <f t="shared" si="8"/>
        <v>1998.4682399999999</v>
      </c>
      <c r="AD45">
        <f t="shared" si="9"/>
        <v>-4.2720000000000002</v>
      </c>
      <c r="AE45">
        <f t="shared" si="10"/>
        <v>-119.324</v>
      </c>
      <c r="AF45">
        <f t="shared" si="11"/>
        <v>-1.343</v>
      </c>
      <c r="AG45">
        <f t="shared" si="12"/>
        <v>-34.518999999999998</v>
      </c>
      <c r="AH45">
        <f t="shared" si="13"/>
        <v>173.57300000000001</v>
      </c>
      <c r="AI45">
        <f t="shared" si="14"/>
        <v>-34.518999999999998</v>
      </c>
      <c r="AJ45">
        <f t="shared" si="15"/>
        <v>-42.192999999999998</v>
      </c>
    </row>
    <row r="46" spans="1:36" ht="18.95" customHeight="1">
      <c r="A46" s="4">
        <v>65210210</v>
      </c>
      <c r="B46" s="6">
        <v>2.0584682399999998</v>
      </c>
      <c r="C46" s="6">
        <v>0.68087029300000002</v>
      </c>
      <c r="D46" s="6">
        <v>0.84</v>
      </c>
      <c r="E46" s="6">
        <v>-5.8999999999999997E-2</v>
      </c>
      <c r="F46" s="6">
        <v>0.50700000000000001</v>
      </c>
      <c r="G46" s="6">
        <v>-4.2720000000000002</v>
      </c>
      <c r="H46" s="6">
        <v>-120.97199999999999</v>
      </c>
      <c r="I46" s="6">
        <v>-1.2210000000000001</v>
      </c>
      <c r="J46" s="6">
        <v>172.82599999999999</v>
      </c>
      <c r="K46" s="6">
        <v>-40.54</v>
      </c>
      <c r="L46" s="6">
        <v>-41.506</v>
      </c>
      <c r="M46" s="6">
        <v>18.899999999999999</v>
      </c>
      <c r="N46" s="6">
        <v>-48.3</v>
      </c>
      <c r="O46" s="6">
        <v>6.3730000000000002</v>
      </c>
      <c r="P46" s="6">
        <v>24.62</v>
      </c>
      <c r="Q46" s="6">
        <v>-0.91286999999999996</v>
      </c>
      <c r="R46" s="6">
        <v>8.5239999999999996E-2</v>
      </c>
      <c r="S46" s="6">
        <v>0.14291000000000001</v>
      </c>
      <c r="T46" s="6">
        <v>0.37262000000000001</v>
      </c>
      <c r="U46" s="6">
        <v>11.221</v>
      </c>
      <c r="V46" s="6">
        <v>1</v>
      </c>
      <c r="W46" s="6">
        <v>1</v>
      </c>
      <c r="X46" s="6" t="s">
        <v>211</v>
      </c>
      <c r="Y46" s="6">
        <v>-7.45604656E-2</v>
      </c>
      <c r="Z46" s="6">
        <v>-2.1113597</v>
      </c>
      <c r="AA46" s="6">
        <v>-2.1310470200000001E-2</v>
      </c>
      <c r="AC46">
        <f t="shared" si="8"/>
        <v>2058.4682399999997</v>
      </c>
      <c r="AD46">
        <f t="shared" si="9"/>
        <v>-4.2720000000000002</v>
      </c>
      <c r="AE46">
        <f t="shared" si="10"/>
        <v>-120.97199999999999</v>
      </c>
      <c r="AF46">
        <f t="shared" si="11"/>
        <v>-1.2210000000000001</v>
      </c>
      <c r="AG46">
        <f t="shared" si="12"/>
        <v>-40.54</v>
      </c>
      <c r="AH46">
        <f t="shared" si="13"/>
        <v>172.82599999999999</v>
      </c>
      <c r="AI46">
        <f t="shared" si="14"/>
        <v>-40.54</v>
      </c>
      <c r="AJ46">
        <f t="shared" si="15"/>
        <v>-41.506</v>
      </c>
    </row>
    <row r="47" spans="1:36" ht="18.95" customHeight="1">
      <c r="A47" s="4">
        <v>65210300</v>
      </c>
      <c r="B47" s="6">
        <v>2.1484682400000001</v>
      </c>
      <c r="C47" s="6">
        <v>0.710639189</v>
      </c>
      <c r="D47" s="6">
        <v>0.88600000000000001</v>
      </c>
      <c r="E47" s="6">
        <v>-6.25E-2</v>
      </c>
      <c r="F47" s="6">
        <v>0.372</v>
      </c>
      <c r="G47" s="6">
        <v>-4.3330000000000002</v>
      </c>
      <c r="H47" s="6">
        <v>-122.3755</v>
      </c>
      <c r="I47" s="6">
        <v>-1.3734999999999999</v>
      </c>
      <c r="J47" s="6">
        <v>171.03</v>
      </c>
      <c r="K47" s="6">
        <v>-49.713000000000001</v>
      </c>
      <c r="L47" s="6">
        <v>-39.781500000000001</v>
      </c>
      <c r="M47" s="6">
        <v>18.899999999999999</v>
      </c>
      <c r="N47" s="6">
        <v>-48.3</v>
      </c>
      <c r="O47" s="6">
        <v>6.3730000000000002</v>
      </c>
      <c r="P47" s="6">
        <v>24.62</v>
      </c>
      <c r="Q47" s="6">
        <v>-0.80242999999999998</v>
      </c>
      <c r="R47" s="6">
        <v>0.22064</v>
      </c>
      <c r="S47" s="6">
        <v>0.44857999999999998</v>
      </c>
      <c r="T47" s="6">
        <v>0.32568000000000003</v>
      </c>
      <c r="U47" s="6">
        <v>11.311</v>
      </c>
      <c r="V47" s="6">
        <v>2</v>
      </c>
      <c r="W47" s="6">
        <v>2</v>
      </c>
      <c r="X47" s="6" t="s">
        <v>212</v>
      </c>
      <c r="Y47" s="6">
        <v>-7.5625116500000006E-2</v>
      </c>
      <c r="Z47" s="6">
        <v>-2.1358554000000001</v>
      </c>
      <c r="AA47" s="6">
        <v>-2.3972097299999998E-2</v>
      </c>
      <c r="AC47">
        <f t="shared" si="8"/>
        <v>2148.4682400000002</v>
      </c>
      <c r="AD47">
        <f t="shared" si="9"/>
        <v>-4.3330000000000002</v>
      </c>
      <c r="AE47">
        <f t="shared" si="10"/>
        <v>-122.3755</v>
      </c>
      <c r="AF47">
        <f t="shared" si="11"/>
        <v>-1.3734999999999999</v>
      </c>
      <c r="AG47">
        <f t="shared" si="12"/>
        <v>-49.713000000000001</v>
      </c>
      <c r="AH47">
        <f t="shared" si="13"/>
        <v>171.03</v>
      </c>
      <c r="AI47">
        <f t="shared" si="14"/>
        <v>-49.713000000000001</v>
      </c>
      <c r="AJ47">
        <f t="shared" si="15"/>
        <v>-39.781500000000001</v>
      </c>
    </row>
    <row r="48" spans="1:36" ht="18.95" customHeight="1">
      <c r="A48" s="4">
        <v>65210329</v>
      </c>
      <c r="B48" s="6">
        <v>2.1774682400000001</v>
      </c>
      <c r="C48" s="6">
        <v>0.72023138799999997</v>
      </c>
      <c r="D48" s="6">
        <v>0.93600000000000005</v>
      </c>
      <c r="E48" s="6">
        <v>-6.3E-2</v>
      </c>
      <c r="F48" s="6">
        <v>0.22900000000000001</v>
      </c>
      <c r="G48" s="6">
        <v>-4.5170000000000003</v>
      </c>
      <c r="H48" s="6">
        <v>-122.681</v>
      </c>
      <c r="I48" s="6">
        <v>-1.4039999999999999</v>
      </c>
      <c r="J48" s="6">
        <v>167.904</v>
      </c>
      <c r="K48" s="6">
        <v>-58.777000000000001</v>
      </c>
      <c r="L48" s="6">
        <v>-36.726999999999997</v>
      </c>
      <c r="M48" s="6">
        <v>18.899999999999999</v>
      </c>
      <c r="N48" s="6">
        <v>-48.3</v>
      </c>
      <c r="O48" s="6">
        <v>6.3730000000000002</v>
      </c>
      <c r="P48" s="6">
        <v>24.62</v>
      </c>
      <c r="Q48" s="6">
        <v>-0.80242999999999998</v>
      </c>
      <c r="R48" s="6">
        <v>0.22064</v>
      </c>
      <c r="S48" s="6">
        <v>0.44857999999999998</v>
      </c>
      <c r="T48" s="6">
        <v>0.32568000000000003</v>
      </c>
      <c r="U48" s="6">
        <v>11.34</v>
      </c>
      <c r="V48" s="6">
        <v>1</v>
      </c>
      <c r="W48" s="6">
        <v>1</v>
      </c>
      <c r="X48" s="6" t="s">
        <v>213</v>
      </c>
      <c r="Y48" s="6">
        <v>-7.8836522300000003E-2</v>
      </c>
      <c r="Z48" s="6">
        <v>-2.1411873799999999</v>
      </c>
      <c r="AA48" s="6">
        <v>-2.45044227E-2</v>
      </c>
      <c r="AC48">
        <f t="shared" si="8"/>
        <v>2177.4682400000002</v>
      </c>
      <c r="AD48">
        <f t="shared" si="9"/>
        <v>-4.5170000000000003</v>
      </c>
      <c r="AE48">
        <f t="shared" si="10"/>
        <v>-122.681</v>
      </c>
      <c r="AF48">
        <f t="shared" si="11"/>
        <v>-1.4039999999999999</v>
      </c>
      <c r="AG48">
        <f t="shared" si="12"/>
        <v>-58.777000000000001</v>
      </c>
      <c r="AH48">
        <f t="shared" si="13"/>
        <v>167.904</v>
      </c>
      <c r="AI48">
        <f t="shared" si="14"/>
        <v>-58.777000000000001</v>
      </c>
      <c r="AJ48">
        <f t="shared" si="15"/>
        <v>-36.726999999999997</v>
      </c>
    </row>
    <row r="49" spans="1:36" ht="18.95" customHeight="1">
      <c r="A49" s="4">
        <v>65210420</v>
      </c>
      <c r="B49" s="6">
        <v>2.2684682399999998</v>
      </c>
      <c r="C49" s="6">
        <v>0.75033105</v>
      </c>
      <c r="D49" s="6">
        <v>0.97299999999999998</v>
      </c>
      <c r="E49" s="6">
        <v>-7.8E-2</v>
      </c>
      <c r="F49" s="6">
        <v>0.113</v>
      </c>
      <c r="G49" s="6">
        <v>-4.7610000000000001</v>
      </c>
      <c r="H49" s="6">
        <v>-123.047</v>
      </c>
      <c r="I49" s="6">
        <v>-2.7469999999999999</v>
      </c>
      <c r="J49" s="6">
        <v>163.477</v>
      </c>
      <c r="K49" s="6">
        <v>-64.802999999999997</v>
      </c>
      <c r="L49" s="6">
        <v>-32.36</v>
      </c>
      <c r="M49" s="6">
        <v>18.899999999999999</v>
      </c>
      <c r="N49" s="6">
        <v>-48.3</v>
      </c>
      <c r="O49" s="6">
        <v>6.3730000000000002</v>
      </c>
      <c r="P49" s="6">
        <v>24.62</v>
      </c>
      <c r="Q49" s="6">
        <v>-0.80242999999999998</v>
      </c>
      <c r="R49" s="6">
        <v>0.22064</v>
      </c>
      <c r="S49" s="6">
        <v>0.44857999999999998</v>
      </c>
      <c r="T49" s="6">
        <v>0.32568000000000003</v>
      </c>
      <c r="U49" s="6">
        <v>11.430999999999999</v>
      </c>
      <c r="V49" s="6">
        <v>1</v>
      </c>
      <c r="W49" s="6">
        <v>1</v>
      </c>
      <c r="X49" s="6" t="s">
        <v>214</v>
      </c>
      <c r="Y49" s="6">
        <v>-8.3095125699999994E-2</v>
      </c>
      <c r="Z49" s="6">
        <v>-2.1475752799999999</v>
      </c>
      <c r="AA49" s="6">
        <v>-4.7944194599999997E-2</v>
      </c>
      <c r="AC49">
        <f t="shared" si="8"/>
        <v>2268.4682399999997</v>
      </c>
      <c r="AD49">
        <f t="shared" si="9"/>
        <v>-4.7610000000000001</v>
      </c>
      <c r="AE49">
        <f t="shared" si="10"/>
        <v>-123.047</v>
      </c>
      <c r="AF49">
        <f t="shared" si="11"/>
        <v>-2.7469999999999999</v>
      </c>
      <c r="AG49">
        <f t="shared" si="12"/>
        <v>-64.802999999999997</v>
      </c>
      <c r="AH49">
        <f t="shared" si="13"/>
        <v>163.477</v>
      </c>
      <c r="AI49">
        <f t="shared" si="14"/>
        <v>-64.802999999999997</v>
      </c>
      <c r="AJ49">
        <f t="shared" si="15"/>
        <v>-32.36</v>
      </c>
    </row>
    <row r="50" spans="1:36" ht="18.95" customHeight="1">
      <c r="A50" s="4">
        <v>65210448</v>
      </c>
      <c r="B50" s="6">
        <v>2.2964682399999998</v>
      </c>
      <c r="C50" s="6">
        <v>0.75959248400000001</v>
      </c>
      <c r="D50" s="6">
        <v>0.97899999999999998</v>
      </c>
      <c r="E50" s="6">
        <v>-7.3999999999999996E-2</v>
      </c>
      <c r="F50" s="6">
        <v>-1.6E-2</v>
      </c>
      <c r="G50" s="6">
        <v>-4.1500000000000004</v>
      </c>
      <c r="H50" s="6">
        <v>-120.72799999999999</v>
      </c>
      <c r="I50" s="6">
        <v>-1.526</v>
      </c>
      <c r="J50" s="6">
        <v>152.64400000000001</v>
      </c>
      <c r="K50" s="6">
        <v>-70.608999999999995</v>
      </c>
      <c r="L50" s="6">
        <v>-21.561</v>
      </c>
      <c r="M50" s="6">
        <v>18.899999999999999</v>
      </c>
      <c r="N50" s="6">
        <v>-48.3</v>
      </c>
      <c r="O50" s="6">
        <v>6.3730000000000002</v>
      </c>
      <c r="P50" s="6">
        <v>24.62</v>
      </c>
      <c r="Q50" s="6">
        <v>-0.80242999999999998</v>
      </c>
      <c r="R50" s="6">
        <v>0.22064</v>
      </c>
      <c r="S50" s="6">
        <v>0.44857999999999998</v>
      </c>
      <c r="T50" s="6">
        <v>0.32568000000000003</v>
      </c>
      <c r="U50" s="6">
        <v>11.459</v>
      </c>
      <c r="V50" s="6">
        <v>1</v>
      </c>
      <c r="W50" s="6">
        <v>1</v>
      </c>
      <c r="X50" s="6" t="s">
        <v>215</v>
      </c>
      <c r="Y50" s="6">
        <v>-7.2431164000000006E-2</v>
      </c>
      <c r="Z50" s="6">
        <v>-2.1071010999999999</v>
      </c>
      <c r="AA50" s="6">
        <v>-2.6633724399999999E-2</v>
      </c>
      <c r="AC50">
        <f t="shared" si="8"/>
        <v>2296.4682399999997</v>
      </c>
      <c r="AD50">
        <f t="shared" si="9"/>
        <v>-4.1500000000000004</v>
      </c>
      <c r="AE50">
        <f t="shared" si="10"/>
        <v>-120.72799999999999</v>
      </c>
      <c r="AF50">
        <f t="shared" si="11"/>
        <v>-1.526</v>
      </c>
      <c r="AG50">
        <f t="shared" si="12"/>
        <v>-70.608999999999995</v>
      </c>
      <c r="AH50">
        <f t="shared" si="13"/>
        <v>152.64400000000001</v>
      </c>
      <c r="AI50">
        <f t="shared" si="14"/>
        <v>-70.608999999999995</v>
      </c>
      <c r="AJ50">
        <f t="shared" si="15"/>
        <v>-21.561</v>
      </c>
    </row>
    <row r="51" spans="1:36" ht="18.95" customHeight="1">
      <c r="A51" s="4">
        <v>65210510</v>
      </c>
      <c r="B51" s="6">
        <v>2.3584682400000001</v>
      </c>
      <c r="C51" s="6">
        <v>0.78009994500000002</v>
      </c>
      <c r="D51" s="6">
        <v>0.95099999999999996</v>
      </c>
      <c r="E51" s="6">
        <v>-6.2E-2</v>
      </c>
      <c r="F51" s="6">
        <v>-0.115</v>
      </c>
      <c r="G51" s="6">
        <v>-4.3330000000000002</v>
      </c>
      <c r="H51" s="6">
        <v>-119.08</v>
      </c>
      <c r="I51" s="6">
        <v>-1.4039999999999999</v>
      </c>
      <c r="J51" s="6">
        <v>109.122</v>
      </c>
      <c r="K51" s="6">
        <v>-75.048000000000002</v>
      </c>
      <c r="L51" s="6">
        <v>21.907</v>
      </c>
      <c r="M51" s="6">
        <v>18.899999999999999</v>
      </c>
      <c r="N51" s="6">
        <v>-48.3</v>
      </c>
      <c r="O51" s="6">
        <v>6.3730000000000002</v>
      </c>
      <c r="P51" s="6">
        <v>24.62</v>
      </c>
      <c r="Q51" s="6">
        <v>-0.80242999999999998</v>
      </c>
      <c r="R51" s="6">
        <v>0.22064</v>
      </c>
      <c r="S51" s="6">
        <v>0.44857999999999998</v>
      </c>
      <c r="T51" s="6">
        <v>0.32568000000000003</v>
      </c>
      <c r="U51" s="6">
        <v>11.521000000000001</v>
      </c>
      <c r="V51" s="6">
        <v>1</v>
      </c>
      <c r="W51" s="6">
        <v>1</v>
      </c>
      <c r="X51" s="6" t="s">
        <v>216</v>
      </c>
      <c r="Y51" s="6">
        <v>-7.5625116500000006E-2</v>
      </c>
      <c r="Z51" s="6">
        <v>-2.07833807</v>
      </c>
      <c r="AA51" s="6">
        <v>-2.45044227E-2</v>
      </c>
      <c r="AC51">
        <f t="shared" si="8"/>
        <v>2358.4682400000002</v>
      </c>
      <c r="AD51">
        <f t="shared" si="9"/>
        <v>-4.3330000000000002</v>
      </c>
      <c r="AE51">
        <f t="shared" si="10"/>
        <v>-119.08</v>
      </c>
      <c r="AF51">
        <f t="shared" si="11"/>
        <v>-1.4039999999999999</v>
      </c>
      <c r="AG51">
        <f t="shared" si="12"/>
        <v>-75.048000000000002</v>
      </c>
      <c r="AH51">
        <f t="shared" si="13"/>
        <v>109.122</v>
      </c>
      <c r="AI51">
        <f t="shared" si="14"/>
        <v>-75.048000000000002</v>
      </c>
      <c r="AJ51">
        <f t="shared" si="15"/>
        <v>21.907</v>
      </c>
    </row>
    <row r="52" spans="1:36" ht="18.95" customHeight="1">
      <c r="A52" s="4">
        <v>65210540</v>
      </c>
      <c r="B52" s="6">
        <v>2.3884682399999999</v>
      </c>
      <c r="C52" s="6">
        <v>0.79002291099999999</v>
      </c>
      <c r="D52" s="6">
        <v>0.93899999999999995</v>
      </c>
      <c r="E52" s="6">
        <v>-5.8000000000000003E-2</v>
      </c>
      <c r="F52" s="6">
        <v>-0.20799999999999999</v>
      </c>
      <c r="G52" s="6">
        <v>-4.2720000000000002</v>
      </c>
      <c r="H52" s="6">
        <v>-118.774</v>
      </c>
      <c r="I52" s="6">
        <v>-1.343</v>
      </c>
      <c r="J52" s="6">
        <v>34.865000000000002</v>
      </c>
      <c r="K52" s="6">
        <v>-73.010000000000005</v>
      </c>
      <c r="L52" s="6">
        <v>96.135999999999996</v>
      </c>
      <c r="M52" s="6">
        <v>13</v>
      </c>
      <c r="N52" s="6">
        <v>-17.2</v>
      </c>
      <c r="O52" s="6">
        <v>11.46</v>
      </c>
      <c r="P52" s="6">
        <v>24.62</v>
      </c>
      <c r="Q52" s="6">
        <v>-0.80242999999999998</v>
      </c>
      <c r="R52" s="6">
        <v>0.22064</v>
      </c>
      <c r="S52" s="6">
        <v>0.44857999999999998</v>
      </c>
      <c r="T52" s="6">
        <v>0.32568000000000003</v>
      </c>
      <c r="U52" s="6">
        <v>11.551</v>
      </c>
      <c r="V52" s="6">
        <v>1</v>
      </c>
      <c r="W52" s="6">
        <v>1</v>
      </c>
      <c r="X52" s="6" t="s">
        <v>217</v>
      </c>
      <c r="Y52" s="6">
        <v>-7.45604656E-2</v>
      </c>
      <c r="Z52" s="6">
        <v>-2.07299737</v>
      </c>
      <c r="AA52" s="6">
        <v>-2.34397719E-2</v>
      </c>
      <c r="AC52">
        <f t="shared" si="8"/>
        <v>2388.4682399999997</v>
      </c>
      <c r="AD52">
        <f t="shared" si="9"/>
        <v>-4.2720000000000002</v>
      </c>
      <c r="AE52">
        <f t="shared" si="10"/>
        <v>-118.774</v>
      </c>
      <c r="AF52">
        <f t="shared" si="11"/>
        <v>-1.343</v>
      </c>
      <c r="AG52">
        <f t="shared" si="12"/>
        <v>-73.010000000000005</v>
      </c>
      <c r="AH52">
        <f t="shared" si="13"/>
        <v>34.865000000000002</v>
      </c>
      <c r="AI52">
        <f t="shared" si="14"/>
        <v>-73.010000000000005</v>
      </c>
      <c r="AJ52">
        <f t="shared" si="15"/>
        <v>96.135999999999996</v>
      </c>
    </row>
    <row r="53" spans="1:36" ht="18.95" customHeight="1">
      <c r="A53" s="4">
        <v>65210630</v>
      </c>
      <c r="B53" s="6">
        <v>2.4784682400000002</v>
      </c>
      <c r="C53" s="6">
        <v>0.81979180600000001</v>
      </c>
      <c r="D53" s="6">
        <v>0.89600000000000002</v>
      </c>
      <c r="E53" s="6">
        <v>-5.8000000000000003E-2</v>
      </c>
      <c r="F53" s="6">
        <v>-0.32100000000000001</v>
      </c>
      <c r="G53" s="6">
        <v>-4.1500000000000004</v>
      </c>
      <c r="H53" s="6">
        <v>-118.46899999999999</v>
      </c>
      <c r="I53" s="6">
        <v>-1.4650000000000001</v>
      </c>
      <c r="J53" s="6">
        <v>15.958</v>
      </c>
      <c r="K53" s="6">
        <v>-67.626000000000005</v>
      </c>
      <c r="L53" s="6">
        <v>114.999</v>
      </c>
      <c r="M53" s="6">
        <v>13</v>
      </c>
      <c r="N53" s="6">
        <v>-17.2</v>
      </c>
      <c r="O53" s="6">
        <v>11.46</v>
      </c>
      <c r="P53" s="6">
        <v>24.62</v>
      </c>
      <c r="Q53" s="6">
        <v>-0.57372999999999996</v>
      </c>
      <c r="R53" s="6">
        <v>0.33507999999999999</v>
      </c>
      <c r="S53" s="6">
        <v>0.71099999999999997</v>
      </c>
      <c r="T53" s="6">
        <v>0.23000999999999999</v>
      </c>
      <c r="U53" s="6">
        <v>11.641</v>
      </c>
      <c r="V53" s="6">
        <v>1</v>
      </c>
      <c r="W53" s="6">
        <v>1</v>
      </c>
      <c r="X53" s="6" t="s">
        <v>218</v>
      </c>
      <c r="Y53" s="6">
        <v>-7.2431164000000006E-2</v>
      </c>
      <c r="Z53" s="6">
        <v>-2.06767411</v>
      </c>
      <c r="AA53" s="6">
        <v>-2.5569073500000001E-2</v>
      </c>
      <c r="AC53">
        <f t="shared" si="8"/>
        <v>2478.4682400000002</v>
      </c>
      <c r="AD53">
        <f t="shared" si="9"/>
        <v>-4.1500000000000004</v>
      </c>
      <c r="AE53">
        <f t="shared" si="10"/>
        <v>-118.46899999999999</v>
      </c>
      <c r="AF53">
        <f t="shared" si="11"/>
        <v>-1.4650000000000001</v>
      </c>
      <c r="AG53">
        <f t="shared" si="12"/>
        <v>-67.626000000000005</v>
      </c>
      <c r="AH53">
        <f t="shared" si="13"/>
        <v>15.958</v>
      </c>
      <c r="AI53">
        <f t="shared" si="14"/>
        <v>-67.626000000000005</v>
      </c>
      <c r="AJ53">
        <f t="shared" si="15"/>
        <v>114.999</v>
      </c>
    </row>
    <row r="54" spans="1:36" ht="18.95" customHeight="1">
      <c r="A54" s="4">
        <v>65210660</v>
      </c>
      <c r="B54" s="6">
        <v>2.50846824</v>
      </c>
      <c r="C54" s="6">
        <v>0.82971477199999999</v>
      </c>
      <c r="D54" s="6">
        <v>0.84399999999999997</v>
      </c>
      <c r="E54" s="6">
        <v>-5.3999999999999999E-2</v>
      </c>
      <c r="F54" s="6">
        <v>-0.40500000000000003</v>
      </c>
      <c r="G54" s="6">
        <v>-4.1500000000000004</v>
      </c>
      <c r="H54" s="6">
        <v>-117.065</v>
      </c>
      <c r="I54" s="6">
        <v>-1.4650000000000001</v>
      </c>
      <c r="J54" s="6">
        <v>9.6240000000000006</v>
      </c>
      <c r="K54" s="6">
        <v>-61.875</v>
      </c>
      <c r="L54" s="6">
        <v>121.31699999999999</v>
      </c>
      <c r="M54" s="6">
        <v>13</v>
      </c>
      <c r="N54" s="6">
        <v>-17.2</v>
      </c>
      <c r="O54" s="6">
        <v>11.46</v>
      </c>
      <c r="P54" s="6">
        <v>24.62</v>
      </c>
      <c r="Q54" s="6">
        <v>-0.57372999999999996</v>
      </c>
      <c r="R54" s="6">
        <v>0.33507999999999999</v>
      </c>
      <c r="S54" s="6">
        <v>0.71099999999999997</v>
      </c>
      <c r="T54" s="6">
        <v>0.23000999999999999</v>
      </c>
      <c r="U54" s="6">
        <v>11.670999999999999</v>
      </c>
      <c r="V54" s="6">
        <v>1</v>
      </c>
      <c r="W54" s="6">
        <v>1</v>
      </c>
      <c r="X54" s="6" t="s">
        <v>219</v>
      </c>
      <c r="Y54" s="6">
        <v>-7.2431164000000006E-2</v>
      </c>
      <c r="Z54" s="6">
        <v>-2.04316969</v>
      </c>
      <c r="AA54" s="6">
        <v>-2.5569073500000001E-2</v>
      </c>
      <c r="AC54">
        <f t="shared" si="8"/>
        <v>2508.4682400000002</v>
      </c>
      <c r="AD54">
        <f t="shared" si="9"/>
        <v>-4.1500000000000004</v>
      </c>
      <c r="AE54">
        <f t="shared" si="10"/>
        <v>-117.065</v>
      </c>
      <c r="AF54">
        <f t="shared" si="11"/>
        <v>-1.4650000000000001</v>
      </c>
      <c r="AG54">
        <f t="shared" si="12"/>
        <v>-61.875</v>
      </c>
      <c r="AH54">
        <f t="shared" si="13"/>
        <v>9.6240000000000006</v>
      </c>
      <c r="AI54">
        <f t="shared" si="14"/>
        <v>-61.875</v>
      </c>
      <c r="AJ54">
        <f t="shared" si="15"/>
        <v>121.31699999999999</v>
      </c>
    </row>
    <row r="55" spans="1:36" ht="18.95" customHeight="1">
      <c r="A55" s="4">
        <v>65210689</v>
      </c>
      <c r="B55" s="6">
        <v>2.5374682399999999</v>
      </c>
      <c r="C55" s="6">
        <v>0.83930697099999996</v>
      </c>
      <c r="D55" s="6">
        <v>0.77700000000000002</v>
      </c>
      <c r="E55" s="6">
        <v>-4.7E-2</v>
      </c>
      <c r="F55" s="6">
        <v>-0.48899999999999999</v>
      </c>
      <c r="G55" s="6">
        <v>-4.3330000000000002</v>
      </c>
      <c r="H55" s="6">
        <v>-117.554</v>
      </c>
      <c r="I55" s="6">
        <v>-1.2210000000000001</v>
      </c>
      <c r="J55" s="6">
        <v>6.52</v>
      </c>
      <c r="K55" s="6">
        <v>-56.069000000000003</v>
      </c>
      <c r="L55" s="6">
        <v>124.387</v>
      </c>
      <c r="M55" s="6">
        <v>13</v>
      </c>
      <c r="N55" s="6">
        <v>-17.2</v>
      </c>
      <c r="O55" s="6">
        <v>11.46</v>
      </c>
      <c r="P55" s="6">
        <v>24.62</v>
      </c>
      <c r="Q55" s="6">
        <v>-0.57372999999999996</v>
      </c>
      <c r="R55" s="6">
        <v>0.33507999999999999</v>
      </c>
      <c r="S55" s="6">
        <v>0.71099999999999997</v>
      </c>
      <c r="T55" s="6">
        <v>0.23000999999999999</v>
      </c>
      <c r="U55" s="6">
        <v>11.7</v>
      </c>
      <c r="V55" s="6">
        <v>1</v>
      </c>
      <c r="W55" s="6">
        <v>1</v>
      </c>
      <c r="X55" s="6" t="s">
        <v>220</v>
      </c>
      <c r="Y55" s="6">
        <v>-7.5625116500000006E-2</v>
      </c>
      <c r="Z55" s="6">
        <v>-2.0517043500000001</v>
      </c>
      <c r="AA55" s="6">
        <v>-2.1310470200000001E-2</v>
      </c>
      <c r="AC55">
        <f t="shared" si="8"/>
        <v>2537.4682400000002</v>
      </c>
      <c r="AD55">
        <f t="shared" si="9"/>
        <v>-4.3330000000000002</v>
      </c>
      <c r="AE55">
        <f t="shared" si="10"/>
        <v>-117.554</v>
      </c>
      <c r="AF55">
        <f t="shared" si="11"/>
        <v>-1.2210000000000001</v>
      </c>
      <c r="AG55">
        <f t="shared" si="12"/>
        <v>-56.069000000000003</v>
      </c>
      <c r="AH55">
        <f t="shared" si="13"/>
        <v>6.52</v>
      </c>
      <c r="AI55">
        <f t="shared" si="14"/>
        <v>-56.069000000000003</v>
      </c>
      <c r="AJ55">
        <f t="shared" si="15"/>
        <v>124.387</v>
      </c>
    </row>
    <row r="56" spans="1:36" ht="18.95" customHeight="1">
      <c r="A56" s="4">
        <v>65210750</v>
      </c>
      <c r="B56" s="6">
        <v>2.5984682399999999</v>
      </c>
      <c r="C56" s="6">
        <v>0.85948366700000001</v>
      </c>
      <c r="D56" s="6">
        <v>0.752</v>
      </c>
      <c r="E56" s="6">
        <v>-4.9000000000000002E-2</v>
      </c>
      <c r="F56" s="6">
        <v>-0.57099999999999995</v>
      </c>
      <c r="G56" s="6">
        <v>-4.2720000000000002</v>
      </c>
      <c r="H56" s="6">
        <v>-120.422</v>
      </c>
      <c r="I56" s="6">
        <v>-1.4039999999999999</v>
      </c>
      <c r="J56" s="6">
        <v>4.6529999999999996</v>
      </c>
      <c r="K56" s="6">
        <v>-50.158000000000001</v>
      </c>
      <c r="L56" s="6">
        <v>126.238</v>
      </c>
      <c r="M56" s="6">
        <v>13</v>
      </c>
      <c r="N56" s="6">
        <v>-17.2</v>
      </c>
      <c r="O56" s="6">
        <v>11.46</v>
      </c>
      <c r="P56" s="6">
        <v>24.62</v>
      </c>
      <c r="Q56" s="6">
        <v>-0.57372999999999996</v>
      </c>
      <c r="R56" s="6">
        <v>0.33507999999999999</v>
      </c>
      <c r="S56" s="6">
        <v>0.71099999999999997</v>
      </c>
      <c r="T56" s="6">
        <v>0.23000999999999999</v>
      </c>
      <c r="U56" s="6">
        <v>11.760999999999999</v>
      </c>
      <c r="V56" s="6">
        <v>1</v>
      </c>
      <c r="W56" s="6">
        <v>1</v>
      </c>
      <c r="X56" s="6" t="s">
        <v>221</v>
      </c>
      <c r="Y56" s="6">
        <v>-7.45604656E-2</v>
      </c>
      <c r="Z56" s="6">
        <v>-2.1017603899999999</v>
      </c>
      <c r="AA56" s="6">
        <v>-2.45044227E-2</v>
      </c>
      <c r="AC56">
        <f t="shared" si="8"/>
        <v>2598.4682399999997</v>
      </c>
      <c r="AD56">
        <f t="shared" si="9"/>
        <v>-4.2720000000000002</v>
      </c>
      <c r="AE56">
        <f t="shared" si="10"/>
        <v>-120.422</v>
      </c>
      <c r="AF56">
        <f t="shared" si="11"/>
        <v>-1.4039999999999999</v>
      </c>
      <c r="AG56">
        <f t="shared" si="12"/>
        <v>-50.158000000000001</v>
      </c>
      <c r="AH56">
        <f t="shared" si="13"/>
        <v>4.6529999999999996</v>
      </c>
      <c r="AI56">
        <f t="shared" si="14"/>
        <v>-50.158000000000001</v>
      </c>
      <c r="AJ56">
        <f t="shared" si="15"/>
        <v>126.238</v>
      </c>
    </row>
    <row r="57" spans="1:36" ht="18.95" customHeight="1">
      <c r="A57" s="4">
        <v>65210810</v>
      </c>
      <c r="B57" s="6">
        <v>2.6584682399999999</v>
      </c>
      <c r="C57" s="6">
        <v>0.87932959799999999</v>
      </c>
      <c r="D57" s="6">
        <v>0.66800000000000004</v>
      </c>
      <c r="E57" s="6">
        <v>-4.5999999999999999E-2</v>
      </c>
      <c r="F57" s="6">
        <v>-0.67800000000000005</v>
      </c>
      <c r="G57" s="6">
        <v>-4.2720000000000002</v>
      </c>
      <c r="H57" s="6">
        <v>-118.59099999999999</v>
      </c>
      <c r="I57" s="6">
        <v>-1.2210000000000001</v>
      </c>
      <c r="J57" s="6">
        <v>3.4060000000000001</v>
      </c>
      <c r="K57" s="6">
        <v>-44.186999999999998</v>
      </c>
      <c r="L57" s="6">
        <v>127.46899999999999</v>
      </c>
      <c r="M57" s="6">
        <v>13</v>
      </c>
      <c r="N57" s="6">
        <v>-17.2</v>
      </c>
      <c r="O57" s="6">
        <v>11.46</v>
      </c>
      <c r="P57" s="6">
        <v>24.62</v>
      </c>
      <c r="Q57" s="6">
        <v>-0.57372999999999996</v>
      </c>
      <c r="R57" s="6">
        <v>0.33507999999999999</v>
      </c>
      <c r="S57" s="6">
        <v>0.71099999999999997</v>
      </c>
      <c r="T57" s="6">
        <v>0.23000999999999999</v>
      </c>
      <c r="U57" s="6">
        <v>11.821</v>
      </c>
      <c r="V57" s="6">
        <v>1</v>
      </c>
      <c r="W57" s="6">
        <v>1</v>
      </c>
      <c r="X57" s="6" t="s">
        <v>222</v>
      </c>
      <c r="Y57" s="6">
        <v>-7.45604656E-2</v>
      </c>
      <c r="Z57" s="6">
        <v>-2.06980341</v>
      </c>
      <c r="AA57" s="6">
        <v>-2.1310470200000001E-2</v>
      </c>
      <c r="AC57">
        <f t="shared" si="8"/>
        <v>2658.4682400000002</v>
      </c>
      <c r="AD57">
        <f t="shared" si="9"/>
        <v>-4.2720000000000002</v>
      </c>
      <c r="AE57">
        <f t="shared" si="10"/>
        <v>-118.59099999999999</v>
      </c>
      <c r="AF57">
        <f t="shared" si="11"/>
        <v>-1.2210000000000001</v>
      </c>
      <c r="AG57">
        <f t="shared" si="12"/>
        <v>-44.186999999999998</v>
      </c>
      <c r="AH57">
        <f t="shared" si="13"/>
        <v>3.4060000000000001</v>
      </c>
      <c r="AI57">
        <f t="shared" si="14"/>
        <v>-44.186999999999998</v>
      </c>
      <c r="AJ57">
        <f t="shared" si="15"/>
        <v>127.46899999999999</v>
      </c>
    </row>
    <row r="58" spans="1:36" ht="18.95" customHeight="1">
      <c r="A58" s="4">
        <v>65210870</v>
      </c>
      <c r="B58" s="6">
        <v>2.71846824</v>
      </c>
      <c r="C58" s="6">
        <v>0.899175528</v>
      </c>
      <c r="D58" s="6">
        <v>0.59299999999999997</v>
      </c>
      <c r="E58" s="6">
        <v>-4.4999999999999998E-2</v>
      </c>
      <c r="F58" s="6">
        <v>-0.74399999999999999</v>
      </c>
      <c r="G58" s="6">
        <v>-4.3330000000000002</v>
      </c>
      <c r="H58" s="6">
        <v>-116.63800000000001</v>
      </c>
      <c r="I58" s="6">
        <v>-1.2210000000000001</v>
      </c>
      <c r="J58" s="6">
        <v>2.5379999999999998</v>
      </c>
      <c r="K58" s="6">
        <v>-38.353000000000002</v>
      </c>
      <c r="L58" s="6">
        <v>128.33699999999999</v>
      </c>
      <c r="M58" s="6">
        <v>13</v>
      </c>
      <c r="N58" s="6">
        <v>-17.2</v>
      </c>
      <c r="O58" s="6">
        <v>11.46</v>
      </c>
      <c r="P58" s="6">
        <v>24.62</v>
      </c>
      <c r="Q58" s="6">
        <v>-0.57372999999999996</v>
      </c>
      <c r="R58" s="6">
        <v>0.33507999999999999</v>
      </c>
      <c r="S58" s="6">
        <v>0.71099999999999997</v>
      </c>
      <c r="T58" s="6">
        <v>0.23000999999999999</v>
      </c>
      <c r="U58" s="6">
        <v>11.881</v>
      </c>
      <c r="V58" s="6">
        <v>1</v>
      </c>
      <c r="W58" s="6">
        <v>1</v>
      </c>
      <c r="X58" s="6" t="s">
        <v>223</v>
      </c>
      <c r="Y58" s="6">
        <v>-7.5625116500000006E-2</v>
      </c>
      <c r="Z58" s="6">
        <v>-2.0357171300000001</v>
      </c>
      <c r="AA58" s="6">
        <v>-2.1310470200000001E-2</v>
      </c>
      <c r="AC58">
        <f t="shared" si="8"/>
        <v>2718.4682400000002</v>
      </c>
      <c r="AD58">
        <f t="shared" si="9"/>
        <v>-4.3330000000000002</v>
      </c>
      <c r="AE58">
        <f t="shared" si="10"/>
        <v>-116.63800000000001</v>
      </c>
      <c r="AF58">
        <f t="shared" si="11"/>
        <v>-1.2210000000000001</v>
      </c>
      <c r="AG58">
        <f t="shared" si="12"/>
        <v>-38.353000000000002</v>
      </c>
      <c r="AH58">
        <f t="shared" si="13"/>
        <v>2.5379999999999998</v>
      </c>
      <c r="AI58">
        <f t="shared" si="14"/>
        <v>-38.353000000000002</v>
      </c>
      <c r="AJ58">
        <f t="shared" si="15"/>
        <v>128.33699999999999</v>
      </c>
    </row>
    <row r="59" spans="1:36" ht="18.95" customHeight="1">
      <c r="A59" s="4">
        <v>65210900</v>
      </c>
      <c r="B59" s="6">
        <v>2.7484682399999998</v>
      </c>
      <c r="C59" s="6">
        <v>0.90909849399999998</v>
      </c>
      <c r="D59" s="6">
        <v>0.51600000000000001</v>
      </c>
      <c r="E59" s="6">
        <v>-4.3999999999999997E-2</v>
      </c>
      <c r="F59" s="6">
        <v>-0.82199999999999995</v>
      </c>
      <c r="G59" s="6">
        <v>-4.0890000000000004</v>
      </c>
      <c r="H59" s="6">
        <v>-117.371</v>
      </c>
      <c r="I59" s="6">
        <v>-1.4650000000000001</v>
      </c>
      <c r="J59" s="6">
        <v>1.873</v>
      </c>
      <c r="K59" s="6">
        <v>-32.497999999999998</v>
      </c>
      <c r="L59" s="6">
        <v>128.98500000000001</v>
      </c>
      <c r="M59" s="6">
        <v>28.3</v>
      </c>
      <c r="N59" s="6">
        <v>18.8</v>
      </c>
      <c r="O59" s="6">
        <v>18.347000000000001</v>
      </c>
      <c r="P59" s="6">
        <v>24.62</v>
      </c>
      <c r="Q59" s="6">
        <v>-0.57372999999999996</v>
      </c>
      <c r="R59" s="6">
        <v>0.33507999999999999</v>
      </c>
      <c r="S59" s="6">
        <v>0.71099999999999997</v>
      </c>
      <c r="T59" s="6">
        <v>0.23000999999999999</v>
      </c>
      <c r="U59" s="6">
        <v>11.911</v>
      </c>
      <c r="V59" s="6">
        <v>1</v>
      </c>
      <c r="W59" s="6">
        <v>1</v>
      </c>
      <c r="X59" s="6" t="s">
        <v>224</v>
      </c>
      <c r="Y59" s="6">
        <v>-7.1366513100000001E-2</v>
      </c>
      <c r="Z59" s="6">
        <v>-2.0485104000000001</v>
      </c>
      <c r="AA59" s="6">
        <v>-2.5569073500000001E-2</v>
      </c>
      <c r="AC59">
        <f t="shared" si="8"/>
        <v>2748.4682399999997</v>
      </c>
      <c r="AD59">
        <f t="shared" si="9"/>
        <v>-4.0890000000000004</v>
      </c>
      <c r="AE59">
        <f t="shared" si="10"/>
        <v>-117.371</v>
      </c>
      <c r="AF59">
        <f t="shared" si="11"/>
        <v>-1.4650000000000001</v>
      </c>
      <c r="AG59">
        <f t="shared" si="12"/>
        <v>-32.497999999999998</v>
      </c>
      <c r="AH59">
        <f t="shared" si="13"/>
        <v>1.873</v>
      </c>
      <c r="AI59">
        <f t="shared" si="14"/>
        <v>-32.497999999999998</v>
      </c>
      <c r="AJ59">
        <f t="shared" si="15"/>
        <v>128.98500000000001</v>
      </c>
    </row>
    <row r="60" spans="1:36" ht="18.95" customHeight="1">
      <c r="A60" s="4">
        <v>65210930</v>
      </c>
      <c r="B60" s="6">
        <v>2.77846824</v>
      </c>
      <c r="C60" s="6">
        <v>0.91902145899999999</v>
      </c>
      <c r="D60" s="6">
        <v>0.435</v>
      </c>
      <c r="E60" s="6">
        <v>-3.9E-2</v>
      </c>
      <c r="F60" s="6">
        <v>-0.88700000000000001</v>
      </c>
      <c r="G60" s="6">
        <v>-4.2720000000000002</v>
      </c>
      <c r="H60" s="6">
        <v>-119.202</v>
      </c>
      <c r="I60" s="6">
        <v>-1.4650000000000001</v>
      </c>
      <c r="J60" s="6">
        <v>1.3460000000000001</v>
      </c>
      <c r="K60" s="6">
        <v>-26.536999999999999</v>
      </c>
      <c r="L60" s="6">
        <v>129.512</v>
      </c>
      <c r="M60" s="6">
        <v>28.3</v>
      </c>
      <c r="N60" s="6">
        <v>18.8</v>
      </c>
      <c r="O60" s="6">
        <v>18.347000000000001</v>
      </c>
      <c r="P60" s="6">
        <v>24.62</v>
      </c>
      <c r="Q60" s="6">
        <v>-0.57372999999999996</v>
      </c>
      <c r="R60" s="6">
        <v>0.33507999999999999</v>
      </c>
      <c r="S60" s="6">
        <v>0.71099999999999997</v>
      </c>
      <c r="T60" s="6">
        <v>0.23000999999999999</v>
      </c>
      <c r="U60" s="6">
        <v>11.941000000000001</v>
      </c>
      <c r="V60" s="6">
        <v>1</v>
      </c>
      <c r="W60" s="6">
        <v>1</v>
      </c>
      <c r="X60" s="6" t="s">
        <v>225</v>
      </c>
      <c r="Y60" s="6">
        <v>-7.45604656E-2</v>
      </c>
      <c r="Z60" s="6">
        <v>-2.08046737</v>
      </c>
      <c r="AA60" s="6">
        <v>-2.5569073500000001E-2</v>
      </c>
      <c r="AC60">
        <f t="shared" si="8"/>
        <v>2778.4682400000002</v>
      </c>
      <c r="AD60">
        <f t="shared" si="9"/>
        <v>-4.2720000000000002</v>
      </c>
      <c r="AE60">
        <f t="shared" si="10"/>
        <v>-119.202</v>
      </c>
      <c r="AF60">
        <f t="shared" si="11"/>
        <v>-1.4650000000000001</v>
      </c>
      <c r="AG60">
        <f t="shared" si="12"/>
        <v>-26.536999999999999</v>
      </c>
      <c r="AH60">
        <f t="shared" si="13"/>
        <v>1.3460000000000001</v>
      </c>
      <c r="AI60">
        <f t="shared" si="14"/>
        <v>-26.536999999999999</v>
      </c>
      <c r="AJ60">
        <f t="shared" si="15"/>
        <v>129.512</v>
      </c>
    </row>
    <row r="61" spans="1:36" ht="18.95" customHeight="1">
      <c r="A61" s="4">
        <v>65211021</v>
      </c>
      <c r="B61" s="6">
        <v>2.8694682399999998</v>
      </c>
      <c r="C61" s="6">
        <v>0.94912112000000004</v>
      </c>
      <c r="D61" s="6">
        <v>0.32700000000000001</v>
      </c>
      <c r="E61" s="6">
        <v>-3.5999999999999997E-2</v>
      </c>
      <c r="F61" s="6">
        <v>-0.94199999999999995</v>
      </c>
      <c r="G61" s="6">
        <v>-4.3330000000000002</v>
      </c>
      <c r="H61" s="6">
        <v>-118.22499999999999</v>
      </c>
      <c r="I61" s="6">
        <v>-1.4039999999999999</v>
      </c>
      <c r="J61" s="6">
        <v>0.90600000000000003</v>
      </c>
      <c r="K61" s="6">
        <v>-20.565999999999999</v>
      </c>
      <c r="L61" s="6">
        <v>129.935</v>
      </c>
      <c r="M61" s="6">
        <v>28.3</v>
      </c>
      <c r="N61" s="6">
        <v>18.8</v>
      </c>
      <c r="O61" s="6">
        <v>18.347000000000001</v>
      </c>
      <c r="P61" s="6">
        <v>24.62</v>
      </c>
      <c r="Q61" s="6">
        <v>-0.27523999999999998</v>
      </c>
      <c r="R61" s="6">
        <v>0.39938000000000001</v>
      </c>
      <c r="S61" s="6">
        <v>0.86812999999999996</v>
      </c>
      <c r="T61" s="6">
        <v>0.10471</v>
      </c>
      <c r="U61" s="6">
        <v>12.032</v>
      </c>
      <c r="V61" s="6">
        <v>1</v>
      </c>
      <c r="W61" s="6">
        <v>1</v>
      </c>
      <c r="X61" s="6" t="s">
        <v>226</v>
      </c>
      <c r="Y61" s="6">
        <v>-7.5625116500000006E-2</v>
      </c>
      <c r="Z61" s="6">
        <v>-2.06341551</v>
      </c>
      <c r="AA61" s="6">
        <v>-2.45044227E-2</v>
      </c>
      <c r="AC61">
        <f t="shared" si="8"/>
        <v>2869.4682399999997</v>
      </c>
      <c r="AD61">
        <f t="shared" si="9"/>
        <v>-4.3330000000000002</v>
      </c>
      <c r="AE61">
        <f t="shared" si="10"/>
        <v>-118.22499999999999</v>
      </c>
      <c r="AF61">
        <f t="shared" si="11"/>
        <v>-1.4039999999999999</v>
      </c>
      <c r="AG61">
        <f t="shared" si="12"/>
        <v>-20.565999999999999</v>
      </c>
      <c r="AH61">
        <f t="shared" si="13"/>
        <v>0.90600000000000003</v>
      </c>
      <c r="AI61">
        <f t="shared" si="14"/>
        <v>-20.565999999999999</v>
      </c>
      <c r="AJ61">
        <f t="shared" si="15"/>
        <v>129.935</v>
      </c>
    </row>
    <row r="62" spans="1:36" ht="18.95" customHeight="1">
      <c r="A62" s="4">
        <v>65211050</v>
      </c>
      <c r="B62" s="6">
        <v>2.8984682400000001</v>
      </c>
      <c r="C62" s="6">
        <v>0.95871331999999998</v>
      </c>
      <c r="D62" s="6">
        <v>0.224</v>
      </c>
      <c r="E62" s="6">
        <v>-3.2000000000000001E-2</v>
      </c>
      <c r="F62" s="6">
        <v>-0.98</v>
      </c>
      <c r="G62" s="6">
        <v>-4.2110000000000003</v>
      </c>
      <c r="H62" s="6">
        <v>-119.69</v>
      </c>
      <c r="I62" s="6">
        <v>-1.4650000000000001</v>
      </c>
      <c r="J62" s="6">
        <v>0.54400000000000004</v>
      </c>
      <c r="K62" s="6">
        <v>-14.561999999999999</v>
      </c>
      <c r="L62" s="6">
        <v>130.292</v>
      </c>
      <c r="M62" s="6">
        <v>28.3</v>
      </c>
      <c r="N62" s="6">
        <v>18.8</v>
      </c>
      <c r="O62" s="6">
        <v>18.347000000000001</v>
      </c>
      <c r="P62" s="6">
        <v>24.62</v>
      </c>
      <c r="Q62" s="6">
        <v>-0.27523999999999998</v>
      </c>
      <c r="R62" s="6">
        <v>0.39938000000000001</v>
      </c>
      <c r="S62" s="6">
        <v>0.86812999999999996</v>
      </c>
      <c r="T62" s="6">
        <v>0.10471</v>
      </c>
      <c r="U62" s="6">
        <v>12.061</v>
      </c>
      <c r="V62" s="6">
        <v>1</v>
      </c>
      <c r="W62" s="6">
        <v>1</v>
      </c>
      <c r="X62" s="6" t="s">
        <v>227</v>
      </c>
      <c r="Y62" s="6">
        <v>-7.3495814800000003E-2</v>
      </c>
      <c r="Z62" s="6">
        <v>-2.08898458</v>
      </c>
      <c r="AA62" s="6">
        <v>-2.5569073500000001E-2</v>
      </c>
      <c r="AC62">
        <f t="shared" si="8"/>
        <v>2898.4682400000002</v>
      </c>
      <c r="AD62">
        <f t="shared" si="9"/>
        <v>-4.2110000000000003</v>
      </c>
      <c r="AE62">
        <f t="shared" si="10"/>
        <v>-119.69</v>
      </c>
      <c r="AF62">
        <f t="shared" si="11"/>
        <v>-1.4650000000000001</v>
      </c>
      <c r="AG62">
        <f t="shared" si="12"/>
        <v>-14.561999999999999</v>
      </c>
      <c r="AH62">
        <f t="shared" si="13"/>
        <v>0.54400000000000004</v>
      </c>
      <c r="AI62">
        <f t="shared" si="14"/>
        <v>-14.561999999999999</v>
      </c>
      <c r="AJ62">
        <f t="shared" si="15"/>
        <v>130.292</v>
      </c>
    </row>
    <row r="63" spans="1:36" ht="18.95" customHeight="1">
      <c r="A63" s="4">
        <v>65211109</v>
      </c>
      <c r="B63" s="6">
        <v>2.9574682399999999</v>
      </c>
      <c r="C63" s="6">
        <v>0.97822848500000004</v>
      </c>
      <c r="D63" s="6">
        <v>0.11899999999999999</v>
      </c>
      <c r="E63" s="6">
        <v>-2.5999999999999999E-2</v>
      </c>
      <c r="F63" s="6">
        <v>-1.012</v>
      </c>
      <c r="G63" s="6">
        <v>-4.3330000000000002</v>
      </c>
      <c r="H63" s="6">
        <v>-121.09399999999999</v>
      </c>
      <c r="I63" s="6">
        <v>-1.526</v>
      </c>
      <c r="J63" s="6">
        <v>0.23599999999999999</v>
      </c>
      <c r="K63" s="6">
        <v>-8.4979999999999993</v>
      </c>
      <c r="L63" s="6">
        <v>130.589</v>
      </c>
      <c r="M63" s="6">
        <v>28.3</v>
      </c>
      <c r="N63" s="6">
        <v>18.8</v>
      </c>
      <c r="O63" s="6">
        <v>18.347000000000001</v>
      </c>
      <c r="P63" s="6">
        <v>24.62</v>
      </c>
      <c r="Q63" s="6">
        <v>-0.27523999999999998</v>
      </c>
      <c r="R63" s="6">
        <v>0.39938000000000001</v>
      </c>
      <c r="S63" s="6">
        <v>0.86812999999999996</v>
      </c>
      <c r="T63" s="6">
        <v>0.10471</v>
      </c>
      <c r="U63" s="6">
        <v>12.12</v>
      </c>
      <c r="V63" s="6">
        <v>1</v>
      </c>
      <c r="W63" s="6">
        <v>1</v>
      </c>
      <c r="X63" s="6" t="s">
        <v>228</v>
      </c>
      <c r="Y63" s="6">
        <v>-7.5625116500000006E-2</v>
      </c>
      <c r="Z63" s="6">
        <v>-2.113489</v>
      </c>
      <c r="AA63" s="6">
        <v>-2.6633724399999999E-2</v>
      </c>
      <c r="AC63">
        <f t="shared" si="8"/>
        <v>2957.4682399999997</v>
      </c>
      <c r="AD63">
        <f t="shared" si="9"/>
        <v>-4.3330000000000002</v>
      </c>
      <c r="AE63">
        <f t="shared" si="10"/>
        <v>-121.09399999999999</v>
      </c>
      <c r="AF63">
        <f t="shared" si="11"/>
        <v>-1.526</v>
      </c>
      <c r="AG63">
        <f t="shared" si="12"/>
        <v>-8.4979999999999993</v>
      </c>
      <c r="AH63">
        <f t="shared" si="13"/>
        <v>0.23599999999999999</v>
      </c>
      <c r="AI63">
        <f t="shared" si="14"/>
        <v>-8.4979999999999993</v>
      </c>
      <c r="AJ63">
        <f t="shared" si="15"/>
        <v>130.589</v>
      </c>
    </row>
    <row r="64" spans="1:36" ht="18.95" customHeight="1">
      <c r="A64" s="4">
        <v>65211140</v>
      </c>
      <c r="B64" s="6">
        <v>2.98846824</v>
      </c>
      <c r="C64" s="6">
        <v>0.98848221599999997</v>
      </c>
      <c r="D64" s="6">
        <v>0.01</v>
      </c>
      <c r="E64" s="6">
        <v>-2.4E-2</v>
      </c>
      <c r="F64" s="6">
        <v>-1.0329999999999999</v>
      </c>
      <c r="G64" s="6">
        <v>-4.3330000000000002</v>
      </c>
      <c r="H64" s="6">
        <v>-121.643</v>
      </c>
      <c r="I64" s="6">
        <v>-1.4650000000000001</v>
      </c>
      <c r="J64" s="6">
        <v>-3.3000000000000002E-2</v>
      </c>
      <c r="K64" s="6">
        <v>-2.3620000000000001</v>
      </c>
      <c r="L64" s="6">
        <v>130.85300000000001</v>
      </c>
      <c r="M64" s="6">
        <v>28.3</v>
      </c>
      <c r="N64" s="6">
        <v>18.8</v>
      </c>
      <c r="O64" s="6">
        <v>18.347000000000001</v>
      </c>
      <c r="P64" s="6">
        <v>24.62</v>
      </c>
      <c r="Q64" s="6">
        <v>-0.27523999999999998</v>
      </c>
      <c r="R64" s="6">
        <v>0.39938000000000001</v>
      </c>
      <c r="S64" s="6">
        <v>0.86812999999999996</v>
      </c>
      <c r="T64" s="6">
        <v>0.10471</v>
      </c>
      <c r="U64" s="6">
        <v>12.151</v>
      </c>
      <c r="V64" s="6">
        <v>1</v>
      </c>
      <c r="W64" s="6">
        <v>1</v>
      </c>
      <c r="X64" s="6" t="s">
        <v>229</v>
      </c>
      <c r="Y64" s="6">
        <v>-7.5625116500000006E-2</v>
      </c>
      <c r="Z64" s="6">
        <v>-2.1230708599999999</v>
      </c>
      <c r="AA64" s="6">
        <v>-2.5569073500000001E-2</v>
      </c>
      <c r="AC64">
        <f t="shared" si="8"/>
        <v>2988.4682400000002</v>
      </c>
      <c r="AD64">
        <f t="shared" si="9"/>
        <v>-4.3330000000000002</v>
      </c>
      <c r="AE64">
        <f t="shared" si="10"/>
        <v>-121.643</v>
      </c>
      <c r="AF64">
        <f t="shared" si="11"/>
        <v>-1.4650000000000001</v>
      </c>
      <c r="AG64">
        <f t="shared" si="12"/>
        <v>-2.3620000000000001</v>
      </c>
      <c r="AH64">
        <f t="shared" si="13"/>
        <v>-3.3000000000000002E-2</v>
      </c>
      <c r="AI64">
        <f t="shared" si="14"/>
        <v>-2.3620000000000001</v>
      </c>
      <c r="AJ64">
        <f t="shared" si="15"/>
        <v>130.85300000000001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63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7" width="17" customWidth="1"/>
  </cols>
  <sheetData>
    <row r="1" spans="1:33" ht="18.95" customHeight="1">
      <c r="A1" s="2" t="s">
        <v>230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33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3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33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33" ht="33.950000000000003" customHeight="1">
      <c r="A5" s="3" t="s">
        <v>137</v>
      </c>
      <c r="B5" s="3" t="s">
        <v>138</v>
      </c>
      <c r="C5" s="3" t="s">
        <v>139</v>
      </c>
      <c r="D5" s="3" t="s">
        <v>140</v>
      </c>
      <c r="E5" s="3" t="s">
        <v>141</v>
      </c>
      <c r="F5" s="3" t="s">
        <v>142</v>
      </c>
      <c r="G5" s="3" t="s">
        <v>143</v>
      </c>
      <c r="H5" s="3" t="s">
        <v>144</v>
      </c>
      <c r="I5" s="3" t="s">
        <v>145</v>
      </c>
      <c r="J5" s="3" t="s">
        <v>146</v>
      </c>
      <c r="K5" s="3" t="s">
        <v>147</v>
      </c>
      <c r="L5" s="3" t="s">
        <v>148</v>
      </c>
      <c r="M5" s="3" t="s">
        <v>149</v>
      </c>
      <c r="N5" s="3" t="s">
        <v>150</v>
      </c>
      <c r="O5" s="3" t="s">
        <v>151</v>
      </c>
      <c r="P5" s="3" t="s">
        <v>152</v>
      </c>
      <c r="Q5" s="3" t="s">
        <v>153</v>
      </c>
      <c r="R5" s="3" t="s">
        <v>154</v>
      </c>
      <c r="S5" s="3" t="s">
        <v>155</v>
      </c>
      <c r="T5" s="3" t="s">
        <v>156</v>
      </c>
      <c r="U5" s="3" t="s">
        <v>157</v>
      </c>
      <c r="V5" s="3" t="s">
        <v>158</v>
      </c>
      <c r="W5" s="3" t="s">
        <v>159</v>
      </c>
      <c r="X5" s="3" t="s">
        <v>160</v>
      </c>
      <c r="Y5" s="3" t="s">
        <v>161</v>
      </c>
      <c r="Z5" s="3" t="s">
        <v>162</v>
      </c>
      <c r="AA5" s="3" t="s">
        <v>163</v>
      </c>
      <c r="AC5" t="s">
        <v>28</v>
      </c>
      <c r="AD5" t="s">
        <v>164</v>
      </c>
      <c r="AE5" t="s">
        <v>165</v>
      </c>
      <c r="AF5" t="s">
        <v>166</v>
      </c>
      <c r="AG5" t="s">
        <v>167</v>
      </c>
    </row>
    <row r="6" spans="1:33" ht="18.95" customHeight="1">
      <c r="A6" s="4">
        <v>65208184</v>
      </c>
      <c r="B6" s="6">
        <v>3.2468236099999999E-2</v>
      </c>
      <c r="C6" s="6">
        <v>1.07393726E-2</v>
      </c>
      <c r="D6" s="6">
        <v>0.75149999999999995</v>
      </c>
      <c r="E6" s="6">
        <v>-0.66600000000000004</v>
      </c>
      <c r="F6" s="6">
        <v>3.6499999999999998E-2</v>
      </c>
      <c r="G6" s="6">
        <v>-24.261500000000002</v>
      </c>
      <c r="H6" s="6">
        <v>-25.818000000000001</v>
      </c>
      <c r="I6" s="6">
        <v>-1.4955000000000001</v>
      </c>
      <c r="J6" s="6">
        <v>8.3960000000000008</v>
      </c>
      <c r="K6" s="6">
        <v>0.73899999999999999</v>
      </c>
      <c r="L6" s="6">
        <v>-106.10299999999999</v>
      </c>
      <c r="M6" s="6">
        <v>-40.700000000000003</v>
      </c>
      <c r="N6" s="6">
        <v>22.8</v>
      </c>
      <c r="O6" s="6">
        <v>-0.38700000000000001</v>
      </c>
      <c r="P6" s="6">
        <v>24.35</v>
      </c>
      <c r="Q6" s="6">
        <v>0.18567</v>
      </c>
      <c r="R6" s="6">
        <v>-0.60855000000000004</v>
      </c>
      <c r="S6" s="6">
        <v>0.31386999999999998</v>
      </c>
      <c r="T6" s="6">
        <v>-0.70465</v>
      </c>
      <c r="U6" s="6">
        <v>9.1950000000000003</v>
      </c>
      <c r="V6" s="6">
        <v>2</v>
      </c>
      <c r="W6" s="6">
        <v>2</v>
      </c>
      <c r="X6" s="6" t="s">
        <v>231</v>
      </c>
      <c r="Y6" s="6">
        <v>-0.42344305599999998</v>
      </c>
      <c r="Z6" s="6">
        <v>-0.45060910599999998</v>
      </c>
      <c r="AA6" s="6">
        <v>-2.6101399000000001E-2</v>
      </c>
      <c r="AC6">
        <f t="shared" ref="AC6:AC37" si="0">B6*1000</f>
        <v>32.468236099999999</v>
      </c>
      <c r="AD6">
        <f t="shared" ref="AD6:AD37" si="1">G6</f>
        <v>-24.261500000000002</v>
      </c>
      <c r="AE6">
        <f t="shared" ref="AE6:AE37" si="2">H6</f>
        <v>-25.818000000000001</v>
      </c>
      <c r="AF6">
        <f t="shared" ref="AF6:AF37" si="3">I6</f>
        <v>-1.4955000000000001</v>
      </c>
      <c r="AG6">
        <f t="shared" ref="AG6:AG37" si="4">K6</f>
        <v>0.73899999999999999</v>
      </c>
    </row>
    <row r="7" spans="1:33" ht="18.95" customHeight="1">
      <c r="A7" s="4">
        <v>65208215</v>
      </c>
      <c r="B7" s="6">
        <v>6.3468236100000006E-2</v>
      </c>
      <c r="C7" s="6">
        <v>2.0993103400000001E-2</v>
      </c>
      <c r="D7" s="6">
        <v>0.76200000000000001</v>
      </c>
      <c r="E7" s="6">
        <v>-0.66400000000000003</v>
      </c>
      <c r="F7" s="6">
        <v>-1E-3</v>
      </c>
      <c r="G7" s="6">
        <v>-19.713999999999999</v>
      </c>
      <c r="H7" s="6">
        <v>-21.117999999999999</v>
      </c>
      <c r="I7" s="6">
        <v>-1.1599999999999999</v>
      </c>
      <c r="J7" s="6">
        <v>4.7629999999999999</v>
      </c>
      <c r="K7" s="6">
        <v>0.52200000000000002</v>
      </c>
      <c r="L7" s="6">
        <v>-103.453</v>
      </c>
      <c r="M7" s="6">
        <v>-40.700000000000003</v>
      </c>
      <c r="N7" s="6">
        <v>22.8</v>
      </c>
      <c r="O7" s="6">
        <v>-0.38700000000000001</v>
      </c>
      <c r="P7" s="6">
        <v>24.35</v>
      </c>
      <c r="Q7" s="6">
        <v>0.18567</v>
      </c>
      <c r="R7" s="6">
        <v>-0.60855000000000004</v>
      </c>
      <c r="S7" s="6">
        <v>0.31386999999999998</v>
      </c>
      <c r="T7" s="6">
        <v>-0.70465</v>
      </c>
      <c r="U7" s="6">
        <v>9.2260000000000009</v>
      </c>
      <c r="V7" s="6">
        <v>1</v>
      </c>
      <c r="W7" s="6">
        <v>1</v>
      </c>
      <c r="X7" s="6" t="s">
        <v>232</v>
      </c>
      <c r="Y7" s="6">
        <v>-0.34407420900000002</v>
      </c>
      <c r="Z7" s="6">
        <v>-0.36857863099999999</v>
      </c>
      <c r="AA7" s="6">
        <v>-2.0245819299999999E-2</v>
      </c>
      <c r="AC7">
        <f t="shared" si="0"/>
        <v>63.468236100000006</v>
      </c>
      <c r="AD7">
        <f t="shared" si="1"/>
        <v>-19.713999999999999</v>
      </c>
      <c r="AE7">
        <f t="shared" si="2"/>
        <v>-21.117999999999999</v>
      </c>
      <c r="AF7">
        <f t="shared" si="3"/>
        <v>-1.1599999999999999</v>
      </c>
      <c r="AG7">
        <f t="shared" si="4"/>
        <v>0.52200000000000002</v>
      </c>
    </row>
    <row r="8" spans="1:33" ht="18.95" customHeight="1">
      <c r="A8" s="4">
        <v>65208304</v>
      </c>
      <c r="B8" s="6">
        <v>0.15246823600000001</v>
      </c>
      <c r="C8" s="6">
        <v>5.04312336E-2</v>
      </c>
      <c r="D8" s="6">
        <v>0.76</v>
      </c>
      <c r="E8" s="6">
        <v>-0.67200000000000004</v>
      </c>
      <c r="F8" s="6">
        <v>-3.2000000000000001E-2</v>
      </c>
      <c r="G8" s="6">
        <v>-15.747</v>
      </c>
      <c r="H8" s="6">
        <v>-16.846</v>
      </c>
      <c r="I8" s="6">
        <v>-0.91600000000000004</v>
      </c>
      <c r="J8" s="6">
        <v>2.8290000000000002</v>
      </c>
      <c r="K8" s="6">
        <v>0.46100000000000002</v>
      </c>
      <c r="L8" s="6">
        <v>-102.041</v>
      </c>
      <c r="M8" s="6">
        <v>-40.700000000000003</v>
      </c>
      <c r="N8" s="6">
        <v>22.8</v>
      </c>
      <c r="O8" s="6">
        <v>-0.38700000000000001</v>
      </c>
      <c r="P8" s="6">
        <v>24.35</v>
      </c>
      <c r="Q8" s="6">
        <v>0.18567</v>
      </c>
      <c r="R8" s="6">
        <v>-0.60855000000000004</v>
      </c>
      <c r="S8" s="6">
        <v>0.31386999999999998</v>
      </c>
      <c r="T8" s="6">
        <v>-0.70465</v>
      </c>
      <c r="U8" s="6">
        <v>9.3149999999999995</v>
      </c>
      <c r="V8" s="6">
        <v>1</v>
      </c>
      <c r="W8" s="6">
        <v>1</v>
      </c>
      <c r="X8" s="6" t="s">
        <v>233</v>
      </c>
      <c r="Y8" s="6">
        <v>-0.27483699700000003</v>
      </c>
      <c r="Z8" s="6">
        <v>-0.29401816600000003</v>
      </c>
      <c r="AA8" s="6">
        <v>-1.5987215900000001E-2</v>
      </c>
      <c r="AC8">
        <f t="shared" si="0"/>
        <v>152.46823600000002</v>
      </c>
      <c r="AD8">
        <f t="shared" si="1"/>
        <v>-15.747</v>
      </c>
      <c r="AE8">
        <f t="shared" si="2"/>
        <v>-16.846</v>
      </c>
      <c r="AF8">
        <f t="shared" si="3"/>
        <v>-0.91600000000000004</v>
      </c>
      <c r="AG8">
        <f t="shared" si="4"/>
        <v>0.46100000000000002</v>
      </c>
    </row>
    <row r="9" spans="1:33" ht="18.95" customHeight="1">
      <c r="A9" s="4">
        <v>65208333</v>
      </c>
      <c r="B9" s="6">
        <v>0.181468236</v>
      </c>
      <c r="C9" s="6">
        <v>6.0023433399999999E-2</v>
      </c>
      <c r="D9" s="6">
        <v>0.75900000000000001</v>
      </c>
      <c r="E9" s="6">
        <v>-0.67100000000000004</v>
      </c>
      <c r="F9" s="6">
        <v>-4.7E-2</v>
      </c>
      <c r="G9" s="6">
        <v>-12.023999999999999</v>
      </c>
      <c r="H9" s="6">
        <v>-12.878</v>
      </c>
      <c r="I9" s="6">
        <v>-0.73199999999999998</v>
      </c>
      <c r="J9" s="6">
        <v>1.3180000000000001</v>
      </c>
      <c r="K9" s="6">
        <v>0.42799999999999999</v>
      </c>
      <c r="L9" s="6">
        <v>-100.937</v>
      </c>
      <c r="M9" s="6">
        <v>-40.700000000000003</v>
      </c>
      <c r="N9" s="6">
        <v>22.8</v>
      </c>
      <c r="O9" s="6">
        <v>-0.38700000000000001</v>
      </c>
      <c r="P9" s="6">
        <v>24.35</v>
      </c>
      <c r="Q9" s="6">
        <v>0.18567</v>
      </c>
      <c r="R9" s="6">
        <v>-0.60855000000000004</v>
      </c>
      <c r="S9" s="6">
        <v>0.31386999999999998</v>
      </c>
      <c r="T9" s="6">
        <v>-0.70465</v>
      </c>
      <c r="U9" s="6">
        <v>9.3439999999999994</v>
      </c>
      <c r="V9" s="6">
        <v>1</v>
      </c>
      <c r="W9" s="6">
        <v>1</v>
      </c>
      <c r="X9" s="6" t="s">
        <v>234</v>
      </c>
      <c r="Y9" s="6">
        <v>-0.20985838900000001</v>
      </c>
      <c r="Z9" s="6">
        <v>-0.224763501</v>
      </c>
      <c r="AA9" s="6">
        <v>-1.27758101E-2</v>
      </c>
      <c r="AC9">
        <f t="shared" si="0"/>
        <v>181.46823600000002</v>
      </c>
      <c r="AD9">
        <f t="shared" si="1"/>
        <v>-12.023999999999999</v>
      </c>
      <c r="AE9">
        <f t="shared" si="2"/>
        <v>-12.878</v>
      </c>
      <c r="AF9">
        <f t="shared" si="3"/>
        <v>-0.73199999999999998</v>
      </c>
      <c r="AG9">
        <f t="shared" si="4"/>
        <v>0.42799999999999999</v>
      </c>
    </row>
    <row r="10" spans="1:33" ht="18.95" customHeight="1">
      <c r="A10" s="4">
        <v>65208395</v>
      </c>
      <c r="B10" s="6">
        <v>0.243468236</v>
      </c>
      <c r="C10" s="6">
        <v>8.0530894899999997E-2</v>
      </c>
      <c r="D10" s="6">
        <v>0.76300000000000001</v>
      </c>
      <c r="E10" s="6">
        <v>-0.67</v>
      </c>
      <c r="F10" s="6">
        <v>-0.06</v>
      </c>
      <c r="G10" s="6">
        <v>-8.5449999999999999</v>
      </c>
      <c r="H10" s="6">
        <v>-9.2769999999999992</v>
      </c>
      <c r="I10" s="6">
        <v>-0.54900000000000004</v>
      </c>
      <c r="J10" s="6">
        <v>0.19800000000000001</v>
      </c>
      <c r="K10" s="6">
        <v>0.41699999999999998</v>
      </c>
      <c r="L10" s="6">
        <v>-100.113</v>
      </c>
      <c r="M10" s="6">
        <v>-40.700000000000003</v>
      </c>
      <c r="N10" s="6">
        <v>22.8</v>
      </c>
      <c r="O10" s="6">
        <v>-0.38700000000000001</v>
      </c>
      <c r="P10" s="6">
        <v>24.35</v>
      </c>
      <c r="Q10" s="6">
        <v>0.18567</v>
      </c>
      <c r="R10" s="6">
        <v>-0.60855000000000004</v>
      </c>
      <c r="S10" s="6">
        <v>0.31386999999999998</v>
      </c>
      <c r="T10" s="6">
        <v>-0.70465</v>
      </c>
      <c r="U10" s="6">
        <v>9.4060000000000006</v>
      </c>
      <c r="V10" s="6">
        <v>1</v>
      </c>
      <c r="W10" s="6">
        <v>1</v>
      </c>
      <c r="X10" s="6" t="s">
        <v>235</v>
      </c>
      <c r="Y10" s="6">
        <v>-0.14913838500000001</v>
      </c>
      <c r="Z10" s="6">
        <v>-0.16191419500000001</v>
      </c>
      <c r="AA10" s="6">
        <v>-9.5818575899999994E-3</v>
      </c>
      <c r="AC10">
        <f t="shared" si="0"/>
        <v>243.46823599999999</v>
      </c>
      <c r="AD10">
        <f t="shared" si="1"/>
        <v>-8.5449999999999999</v>
      </c>
      <c r="AE10">
        <f t="shared" si="2"/>
        <v>-9.2769999999999992</v>
      </c>
      <c r="AF10">
        <f t="shared" si="3"/>
        <v>-0.54900000000000004</v>
      </c>
      <c r="AG10">
        <f t="shared" si="4"/>
        <v>0.41699999999999998</v>
      </c>
    </row>
    <row r="11" spans="1:33" ht="18.95" customHeight="1">
      <c r="A11" s="4">
        <v>65208425</v>
      </c>
      <c r="B11" s="6">
        <v>0.27346823599999998</v>
      </c>
      <c r="C11" s="6">
        <v>9.04538602E-2</v>
      </c>
      <c r="D11" s="6">
        <v>0.75800000000000001</v>
      </c>
      <c r="E11" s="6">
        <v>-0.67200000000000004</v>
      </c>
      <c r="F11" s="6">
        <v>-7.0999999999999994E-2</v>
      </c>
      <c r="G11" s="6">
        <v>-5.1269999999999998</v>
      </c>
      <c r="H11" s="6">
        <v>-5.6150000000000002</v>
      </c>
      <c r="I11" s="6">
        <v>-0.30499999999999999</v>
      </c>
      <c r="J11" s="6">
        <v>-0.56599999999999995</v>
      </c>
      <c r="K11" s="6">
        <v>0.41199999999999998</v>
      </c>
      <c r="L11" s="6">
        <v>-99.552999999999997</v>
      </c>
      <c r="M11" s="6">
        <v>-42.7</v>
      </c>
      <c r="N11" s="6">
        <v>19.7</v>
      </c>
      <c r="O11" s="6">
        <v>1.8129999999999999</v>
      </c>
      <c r="P11" s="6">
        <v>24.35</v>
      </c>
      <c r="Q11" s="6">
        <v>0.18567</v>
      </c>
      <c r="R11" s="6">
        <v>-0.60855000000000004</v>
      </c>
      <c r="S11" s="6">
        <v>0.31386999999999998</v>
      </c>
      <c r="T11" s="6">
        <v>-0.70465</v>
      </c>
      <c r="U11" s="6">
        <v>9.4359999999999999</v>
      </c>
      <c r="V11" s="6">
        <v>1</v>
      </c>
      <c r="W11" s="6">
        <v>1</v>
      </c>
      <c r="X11" s="6" t="s">
        <v>236</v>
      </c>
      <c r="Y11" s="6">
        <v>-8.9483030699999994E-2</v>
      </c>
      <c r="Z11" s="6">
        <v>-9.8000237500000004E-2</v>
      </c>
      <c r="AA11" s="6">
        <v>-5.3232542200000003E-3</v>
      </c>
      <c r="AC11">
        <f t="shared" si="0"/>
        <v>273.46823599999999</v>
      </c>
      <c r="AD11">
        <f t="shared" si="1"/>
        <v>-5.1269999999999998</v>
      </c>
      <c r="AE11">
        <f t="shared" si="2"/>
        <v>-5.6150000000000002</v>
      </c>
      <c r="AF11">
        <f t="shared" si="3"/>
        <v>-0.30499999999999999</v>
      </c>
      <c r="AG11">
        <f t="shared" si="4"/>
        <v>0.41199999999999998</v>
      </c>
    </row>
    <row r="12" spans="1:33" ht="18.95" customHeight="1">
      <c r="A12" s="4">
        <v>65208514</v>
      </c>
      <c r="B12" s="6">
        <v>0.362468236</v>
      </c>
      <c r="C12" s="6">
        <v>0.11989199</v>
      </c>
      <c r="D12" s="6">
        <v>0.755</v>
      </c>
      <c r="E12" s="6">
        <v>-0.66800000000000004</v>
      </c>
      <c r="F12" s="6">
        <v>-7.2999999999999995E-2</v>
      </c>
      <c r="G12" s="6">
        <v>-2.0750000000000002</v>
      </c>
      <c r="H12" s="6">
        <v>-2.319</v>
      </c>
      <c r="I12" s="6">
        <v>-0.122</v>
      </c>
      <c r="J12" s="6">
        <v>-0.97199999999999998</v>
      </c>
      <c r="K12" s="6">
        <v>0.41199999999999998</v>
      </c>
      <c r="L12" s="6">
        <v>-99.256</v>
      </c>
      <c r="M12" s="6">
        <v>-42.7</v>
      </c>
      <c r="N12" s="6">
        <v>19.7</v>
      </c>
      <c r="O12" s="6">
        <v>1.8129999999999999</v>
      </c>
      <c r="P12" s="6">
        <v>24.35</v>
      </c>
      <c r="Q12" s="6">
        <v>0.17258000000000001</v>
      </c>
      <c r="R12" s="6">
        <v>-0.64566000000000001</v>
      </c>
      <c r="S12" s="6">
        <v>0.33160000000000001</v>
      </c>
      <c r="T12" s="6">
        <v>-0.66579999999999995</v>
      </c>
      <c r="U12" s="6">
        <v>9.5250000000000004</v>
      </c>
      <c r="V12" s="6">
        <v>1</v>
      </c>
      <c r="W12" s="6">
        <v>1</v>
      </c>
      <c r="X12" s="6" t="s">
        <v>237</v>
      </c>
      <c r="Y12" s="6">
        <v>-3.6215582000000003E-2</v>
      </c>
      <c r="Z12" s="6">
        <v>-4.0474185400000001E-2</v>
      </c>
      <c r="AA12" s="6">
        <v>-2.12930169E-3</v>
      </c>
      <c r="AC12">
        <f t="shared" si="0"/>
        <v>362.46823599999999</v>
      </c>
      <c r="AD12">
        <f t="shared" si="1"/>
        <v>-2.0750000000000002</v>
      </c>
      <c r="AE12">
        <f t="shared" si="2"/>
        <v>-2.319</v>
      </c>
      <c r="AF12">
        <f t="shared" si="3"/>
        <v>-0.122</v>
      </c>
      <c r="AG12">
        <f t="shared" si="4"/>
        <v>0.41199999999999998</v>
      </c>
    </row>
    <row r="13" spans="1:33" ht="18.95" customHeight="1">
      <c r="A13" s="4">
        <v>65208545</v>
      </c>
      <c r="B13" s="6">
        <v>0.39346823600000003</v>
      </c>
      <c r="C13" s="6">
        <v>0.13014572099999999</v>
      </c>
      <c r="D13" s="6">
        <v>0.76200000000000001</v>
      </c>
      <c r="E13" s="6">
        <v>-0.66500000000000004</v>
      </c>
      <c r="F13" s="6">
        <v>-7.1999999999999995E-2</v>
      </c>
      <c r="G13" s="6">
        <v>0.54900000000000004</v>
      </c>
      <c r="H13" s="6">
        <v>0.36599999999999999</v>
      </c>
      <c r="I13" s="6">
        <v>0.122</v>
      </c>
      <c r="J13" s="6">
        <v>-1.06</v>
      </c>
      <c r="K13" s="6">
        <v>0.40600000000000003</v>
      </c>
      <c r="L13" s="6">
        <v>-99.19</v>
      </c>
      <c r="M13" s="6">
        <v>-42.7</v>
      </c>
      <c r="N13" s="6">
        <v>19.7</v>
      </c>
      <c r="O13" s="6">
        <v>1.8129999999999999</v>
      </c>
      <c r="P13" s="6">
        <v>24.35</v>
      </c>
      <c r="Q13" s="6">
        <v>0.17258000000000001</v>
      </c>
      <c r="R13" s="6">
        <v>-0.64566000000000001</v>
      </c>
      <c r="S13" s="6">
        <v>0.33160000000000001</v>
      </c>
      <c r="T13" s="6">
        <v>-0.66579999999999995</v>
      </c>
      <c r="U13" s="6">
        <v>9.5559999999999992</v>
      </c>
      <c r="V13" s="6">
        <v>1</v>
      </c>
      <c r="W13" s="6">
        <v>1</v>
      </c>
      <c r="X13" s="6" t="s">
        <v>238</v>
      </c>
      <c r="Y13" s="6">
        <v>9.5818575899999994E-3</v>
      </c>
      <c r="Z13" s="6">
        <v>6.3879050599999999E-3</v>
      </c>
      <c r="AA13" s="6">
        <v>2.12930169E-3</v>
      </c>
      <c r="AC13">
        <f t="shared" si="0"/>
        <v>393.46823600000005</v>
      </c>
      <c r="AD13">
        <f t="shared" si="1"/>
        <v>0.54900000000000004</v>
      </c>
      <c r="AE13">
        <f t="shared" si="2"/>
        <v>0.36599999999999999</v>
      </c>
      <c r="AF13">
        <f t="shared" si="3"/>
        <v>0.122</v>
      </c>
      <c r="AG13">
        <f t="shared" si="4"/>
        <v>0.40600000000000003</v>
      </c>
    </row>
    <row r="14" spans="1:33" ht="18.95" customHeight="1">
      <c r="A14" s="4">
        <v>65208574</v>
      </c>
      <c r="B14" s="6">
        <v>0.422468236</v>
      </c>
      <c r="C14" s="6">
        <v>0.13973792099999999</v>
      </c>
      <c r="D14" s="6">
        <v>0.75700000000000001</v>
      </c>
      <c r="E14" s="6">
        <v>-0.66600000000000004</v>
      </c>
      <c r="F14" s="6">
        <v>-7.1999999999999995E-2</v>
      </c>
      <c r="G14" s="6">
        <v>3.4180000000000001</v>
      </c>
      <c r="H14" s="6">
        <v>3.4790000000000001</v>
      </c>
      <c r="I14" s="6">
        <v>0.122</v>
      </c>
      <c r="J14" s="6">
        <v>-0.85099999999999998</v>
      </c>
      <c r="K14" s="6">
        <v>0.39600000000000002</v>
      </c>
      <c r="L14" s="6">
        <v>-99.337999999999994</v>
      </c>
      <c r="M14" s="6">
        <v>-42.7</v>
      </c>
      <c r="N14" s="6">
        <v>19.7</v>
      </c>
      <c r="O14" s="6">
        <v>1.8129999999999999</v>
      </c>
      <c r="P14" s="6">
        <v>24.35</v>
      </c>
      <c r="Q14" s="6">
        <v>0.17258000000000001</v>
      </c>
      <c r="R14" s="6">
        <v>-0.64566000000000001</v>
      </c>
      <c r="S14" s="6">
        <v>0.33160000000000001</v>
      </c>
      <c r="T14" s="6">
        <v>-0.66579999999999995</v>
      </c>
      <c r="U14" s="6">
        <v>9.5850000000000009</v>
      </c>
      <c r="V14" s="6">
        <v>1</v>
      </c>
      <c r="W14" s="6">
        <v>1</v>
      </c>
      <c r="X14" s="6" t="s">
        <v>239</v>
      </c>
      <c r="Y14" s="6">
        <v>5.9655353799999998E-2</v>
      </c>
      <c r="Z14" s="6">
        <v>6.0720004700000003E-2</v>
      </c>
      <c r="AA14" s="6">
        <v>2.12930169E-3</v>
      </c>
      <c r="AC14">
        <f t="shared" si="0"/>
        <v>422.46823599999999</v>
      </c>
      <c r="AD14">
        <f t="shared" si="1"/>
        <v>3.4180000000000001</v>
      </c>
      <c r="AE14">
        <f t="shared" si="2"/>
        <v>3.4790000000000001</v>
      </c>
      <c r="AF14">
        <f t="shared" si="3"/>
        <v>0.122</v>
      </c>
      <c r="AG14">
        <f t="shared" si="4"/>
        <v>0.39600000000000002</v>
      </c>
    </row>
    <row r="15" spans="1:33" ht="18.95" customHeight="1">
      <c r="A15" s="4">
        <v>65208634</v>
      </c>
      <c r="B15" s="6">
        <v>0.48246823599999999</v>
      </c>
      <c r="C15" s="6">
        <v>0.159583851</v>
      </c>
      <c r="D15" s="6">
        <v>0.75600000000000001</v>
      </c>
      <c r="E15" s="6">
        <v>-0.66800000000000004</v>
      </c>
      <c r="F15" s="6">
        <v>-6.5000000000000002E-2</v>
      </c>
      <c r="G15" s="6">
        <v>6.226</v>
      </c>
      <c r="H15" s="6">
        <v>6.47</v>
      </c>
      <c r="I15" s="6">
        <v>0.30499999999999999</v>
      </c>
      <c r="J15" s="6">
        <v>-0.33</v>
      </c>
      <c r="K15" s="6">
        <v>0.38500000000000001</v>
      </c>
      <c r="L15" s="6">
        <v>-99.716999999999999</v>
      </c>
      <c r="M15" s="6">
        <v>-42.7</v>
      </c>
      <c r="N15" s="6">
        <v>19.7</v>
      </c>
      <c r="O15" s="6">
        <v>1.8129999999999999</v>
      </c>
      <c r="P15" s="6">
        <v>24.35</v>
      </c>
      <c r="Q15" s="6">
        <v>0.17258000000000001</v>
      </c>
      <c r="R15" s="6">
        <v>-0.64566000000000001</v>
      </c>
      <c r="S15" s="6">
        <v>0.33160000000000001</v>
      </c>
      <c r="T15" s="6">
        <v>-0.66579999999999995</v>
      </c>
      <c r="U15" s="6">
        <v>9.6449999999999996</v>
      </c>
      <c r="V15" s="6">
        <v>1</v>
      </c>
      <c r="W15" s="6">
        <v>1</v>
      </c>
      <c r="X15" s="6" t="s">
        <v>240</v>
      </c>
      <c r="Y15" s="6">
        <v>0.108664199</v>
      </c>
      <c r="Z15" s="6">
        <v>0.112922803</v>
      </c>
      <c r="AA15" s="6">
        <v>5.3232542200000003E-3</v>
      </c>
      <c r="AC15">
        <f t="shared" si="0"/>
        <v>482.46823599999999</v>
      </c>
      <c r="AD15">
        <f t="shared" si="1"/>
        <v>6.226</v>
      </c>
      <c r="AE15">
        <f t="shared" si="2"/>
        <v>6.47</v>
      </c>
      <c r="AF15">
        <f t="shared" si="3"/>
        <v>0.30499999999999999</v>
      </c>
      <c r="AG15">
        <f t="shared" si="4"/>
        <v>0.38500000000000001</v>
      </c>
    </row>
    <row r="16" spans="1:33" ht="18.95" customHeight="1">
      <c r="A16" s="4">
        <v>65208696</v>
      </c>
      <c r="B16" s="6">
        <v>0.54446823600000005</v>
      </c>
      <c r="C16" s="6">
        <v>0.180091313</v>
      </c>
      <c r="D16" s="6">
        <v>0.755</v>
      </c>
      <c r="E16" s="6">
        <v>-0.66600000000000004</v>
      </c>
      <c r="F16" s="6">
        <v>-5.3999999999999999E-2</v>
      </c>
      <c r="G16" s="6">
        <v>8.6059999999999999</v>
      </c>
      <c r="H16" s="6">
        <v>8.9719999999999995</v>
      </c>
      <c r="I16" s="6">
        <v>0.48799999999999999</v>
      </c>
      <c r="J16" s="6">
        <v>0.47199999999999998</v>
      </c>
      <c r="K16" s="6">
        <v>0.379</v>
      </c>
      <c r="L16" s="6">
        <v>-100.3</v>
      </c>
      <c r="M16" s="6">
        <v>-42.7</v>
      </c>
      <c r="N16" s="6">
        <v>19.7</v>
      </c>
      <c r="O16" s="6">
        <v>1.8129999999999999</v>
      </c>
      <c r="P16" s="6">
        <v>24.35</v>
      </c>
      <c r="Q16" s="6">
        <v>0.17258000000000001</v>
      </c>
      <c r="R16" s="6">
        <v>-0.64566000000000001</v>
      </c>
      <c r="S16" s="6">
        <v>0.33160000000000001</v>
      </c>
      <c r="T16" s="6">
        <v>-0.66579999999999995</v>
      </c>
      <c r="U16" s="6">
        <v>9.7070000000000007</v>
      </c>
      <c r="V16" s="6">
        <v>1</v>
      </c>
      <c r="W16" s="6">
        <v>1</v>
      </c>
      <c r="X16" s="6" t="s">
        <v>241</v>
      </c>
      <c r="Y16" s="6">
        <v>0.15020303500000001</v>
      </c>
      <c r="Z16" s="6">
        <v>0.15659094000000001</v>
      </c>
      <c r="AA16" s="6">
        <v>8.5172067500000007E-3</v>
      </c>
      <c r="AC16">
        <f t="shared" si="0"/>
        <v>544.46823600000005</v>
      </c>
      <c r="AD16">
        <f t="shared" si="1"/>
        <v>8.6059999999999999</v>
      </c>
      <c r="AE16">
        <f t="shared" si="2"/>
        <v>8.9719999999999995</v>
      </c>
      <c r="AF16">
        <f t="shared" si="3"/>
        <v>0.48799999999999999</v>
      </c>
      <c r="AG16">
        <f t="shared" si="4"/>
        <v>0.379</v>
      </c>
    </row>
    <row r="17" spans="1:33" ht="18.95" customHeight="1">
      <c r="A17" s="4">
        <v>65208755</v>
      </c>
      <c r="B17" s="6">
        <v>0.60346823599999999</v>
      </c>
      <c r="C17" s="6">
        <v>0.199606478</v>
      </c>
      <c r="D17" s="6">
        <v>0.754</v>
      </c>
      <c r="E17" s="6">
        <v>-0.66500000000000004</v>
      </c>
      <c r="F17" s="6">
        <v>-4.1000000000000002E-2</v>
      </c>
      <c r="G17" s="6">
        <v>10.864000000000001</v>
      </c>
      <c r="H17" s="6">
        <v>11.353</v>
      </c>
      <c r="I17" s="6">
        <v>0.67100000000000004</v>
      </c>
      <c r="J17" s="6">
        <v>1.5329999999999999</v>
      </c>
      <c r="K17" s="6">
        <v>0.38500000000000001</v>
      </c>
      <c r="L17" s="6">
        <v>-101.074</v>
      </c>
      <c r="M17" s="6">
        <v>-42.7</v>
      </c>
      <c r="N17" s="6">
        <v>19.7</v>
      </c>
      <c r="O17" s="6">
        <v>1.8129999999999999</v>
      </c>
      <c r="P17" s="6">
        <v>24.35</v>
      </c>
      <c r="Q17" s="6">
        <v>0.17258000000000001</v>
      </c>
      <c r="R17" s="6">
        <v>-0.64566000000000001</v>
      </c>
      <c r="S17" s="6">
        <v>0.33160000000000001</v>
      </c>
      <c r="T17" s="6">
        <v>-0.66579999999999995</v>
      </c>
      <c r="U17" s="6">
        <v>9.766</v>
      </c>
      <c r="V17" s="6">
        <v>1</v>
      </c>
      <c r="W17" s="6">
        <v>1</v>
      </c>
      <c r="X17" s="6" t="s">
        <v>242</v>
      </c>
      <c r="Y17" s="6">
        <v>0.18961257000000001</v>
      </c>
      <c r="Z17" s="6">
        <v>0.19814723000000001</v>
      </c>
      <c r="AA17" s="6">
        <v>1.1711159299999999E-2</v>
      </c>
      <c r="AC17">
        <f t="shared" si="0"/>
        <v>603.46823600000005</v>
      </c>
      <c r="AD17">
        <f t="shared" si="1"/>
        <v>10.864000000000001</v>
      </c>
      <c r="AE17">
        <f t="shared" si="2"/>
        <v>11.353</v>
      </c>
      <c r="AF17">
        <f t="shared" si="3"/>
        <v>0.67100000000000004</v>
      </c>
      <c r="AG17">
        <f t="shared" si="4"/>
        <v>0.38500000000000001</v>
      </c>
    </row>
    <row r="18" spans="1:33" ht="18.95" customHeight="1">
      <c r="A18" s="4">
        <v>65208785</v>
      </c>
      <c r="B18" s="6">
        <v>0.63346823600000002</v>
      </c>
      <c r="C18" s="6">
        <v>0.20952944300000001</v>
      </c>
      <c r="D18" s="6">
        <v>0.753</v>
      </c>
      <c r="E18" s="6">
        <v>-0.66500000000000004</v>
      </c>
      <c r="F18" s="6">
        <v>-2.5999999999999999E-2</v>
      </c>
      <c r="G18" s="6">
        <v>13.305999999999999</v>
      </c>
      <c r="H18" s="6">
        <v>14.038</v>
      </c>
      <c r="I18" s="6">
        <v>0.79300000000000004</v>
      </c>
      <c r="J18" s="6">
        <v>2.851</v>
      </c>
      <c r="K18" s="6">
        <v>0.40100000000000002</v>
      </c>
      <c r="L18" s="6">
        <v>-102.036</v>
      </c>
      <c r="M18" s="6">
        <v>-42.2</v>
      </c>
      <c r="N18" s="6">
        <v>21.2</v>
      </c>
      <c r="O18" s="6">
        <v>0.433</v>
      </c>
      <c r="P18" s="6">
        <v>24.35</v>
      </c>
      <c r="Q18" s="6">
        <v>0.17258000000000001</v>
      </c>
      <c r="R18" s="6">
        <v>-0.64566000000000001</v>
      </c>
      <c r="S18" s="6">
        <v>0.33160000000000001</v>
      </c>
      <c r="T18" s="6">
        <v>-0.66579999999999995</v>
      </c>
      <c r="U18" s="6">
        <v>9.7959999999999994</v>
      </c>
      <c r="V18" s="6">
        <v>1</v>
      </c>
      <c r="W18" s="6">
        <v>1</v>
      </c>
      <c r="X18" s="6" t="s">
        <v>243</v>
      </c>
      <c r="Y18" s="6">
        <v>0.23223351</v>
      </c>
      <c r="Z18" s="6">
        <v>0.24500932</v>
      </c>
      <c r="AA18" s="6">
        <v>1.3840461E-2</v>
      </c>
      <c r="AC18">
        <f t="shared" si="0"/>
        <v>633.46823600000005</v>
      </c>
      <c r="AD18">
        <f t="shared" si="1"/>
        <v>13.305999999999999</v>
      </c>
      <c r="AE18">
        <f t="shared" si="2"/>
        <v>14.038</v>
      </c>
      <c r="AF18">
        <f t="shared" si="3"/>
        <v>0.79300000000000004</v>
      </c>
      <c r="AG18">
        <f t="shared" si="4"/>
        <v>0.40100000000000002</v>
      </c>
    </row>
    <row r="19" spans="1:33" ht="18.95" customHeight="1">
      <c r="A19" s="4">
        <v>65208815</v>
      </c>
      <c r="B19" s="6">
        <v>0.66346823600000004</v>
      </c>
      <c r="C19" s="6">
        <v>0.21945240799999999</v>
      </c>
      <c r="D19" s="6">
        <v>0.755</v>
      </c>
      <c r="E19" s="6">
        <v>-0.66400000000000003</v>
      </c>
      <c r="F19" s="6">
        <v>-6.0000000000000001E-3</v>
      </c>
      <c r="G19" s="6">
        <v>15.503</v>
      </c>
      <c r="H19" s="6">
        <v>16.295999999999999</v>
      </c>
      <c r="I19" s="6">
        <v>0.97699999999999998</v>
      </c>
      <c r="J19" s="6">
        <v>4.4269999999999996</v>
      </c>
      <c r="K19" s="6">
        <v>0.44500000000000001</v>
      </c>
      <c r="L19" s="6">
        <v>-103.178</v>
      </c>
      <c r="M19" s="6">
        <v>-42.2</v>
      </c>
      <c r="N19" s="6">
        <v>21.2</v>
      </c>
      <c r="O19" s="6">
        <v>0.433</v>
      </c>
      <c r="P19" s="6">
        <v>24.35</v>
      </c>
      <c r="Q19" s="6">
        <v>0.17258000000000001</v>
      </c>
      <c r="R19" s="6">
        <v>-0.64566000000000001</v>
      </c>
      <c r="S19" s="6">
        <v>0.33160000000000001</v>
      </c>
      <c r="T19" s="6">
        <v>-0.66579999999999995</v>
      </c>
      <c r="U19" s="6">
        <v>9.8260000000000005</v>
      </c>
      <c r="V19" s="6">
        <v>1</v>
      </c>
      <c r="W19" s="6">
        <v>1</v>
      </c>
      <c r="X19" s="6" t="s">
        <v>244</v>
      </c>
      <c r="Y19" s="6">
        <v>0.270578394</v>
      </c>
      <c r="Z19" s="6">
        <v>0.28441885500000003</v>
      </c>
      <c r="AA19" s="6">
        <v>1.7051866799999999E-2</v>
      </c>
      <c r="AC19">
        <f t="shared" si="0"/>
        <v>663.46823600000005</v>
      </c>
      <c r="AD19">
        <f t="shared" si="1"/>
        <v>15.503</v>
      </c>
      <c r="AE19">
        <f t="shared" si="2"/>
        <v>16.295999999999999</v>
      </c>
      <c r="AF19">
        <f t="shared" si="3"/>
        <v>0.97699999999999998</v>
      </c>
      <c r="AG19">
        <f t="shared" si="4"/>
        <v>0.44500000000000001</v>
      </c>
    </row>
    <row r="20" spans="1:33" ht="18.95" customHeight="1">
      <c r="A20" s="4">
        <v>65208904</v>
      </c>
      <c r="B20" s="6">
        <v>0.75246823600000001</v>
      </c>
      <c r="C20" s="6">
        <v>0.24889053899999999</v>
      </c>
      <c r="D20" s="6">
        <v>0.752</v>
      </c>
      <c r="E20" s="6">
        <v>-0.66700000000000004</v>
      </c>
      <c r="F20" s="6">
        <v>0.01</v>
      </c>
      <c r="G20" s="6">
        <v>18.065999999999999</v>
      </c>
      <c r="H20" s="6">
        <v>19.042999999999999</v>
      </c>
      <c r="I20" s="6">
        <v>1.1599999999999999</v>
      </c>
      <c r="J20" s="6">
        <v>6.2510000000000003</v>
      </c>
      <c r="K20" s="6">
        <v>0.52200000000000002</v>
      </c>
      <c r="L20" s="6">
        <v>-104.502</v>
      </c>
      <c r="M20" s="6">
        <v>-42.2</v>
      </c>
      <c r="N20" s="6">
        <v>21.2</v>
      </c>
      <c r="O20" s="6">
        <v>0.433</v>
      </c>
      <c r="P20" s="6">
        <v>24.35</v>
      </c>
      <c r="Q20" s="6">
        <v>0.18106</v>
      </c>
      <c r="R20" s="6">
        <v>-0.62185999999999997</v>
      </c>
      <c r="S20" s="6">
        <v>0.31955</v>
      </c>
      <c r="T20" s="6">
        <v>-0.69159000000000004</v>
      </c>
      <c r="U20" s="6">
        <v>9.9149999999999991</v>
      </c>
      <c r="V20" s="6">
        <v>1</v>
      </c>
      <c r="W20" s="6">
        <v>1</v>
      </c>
      <c r="X20" s="6" t="s">
        <v>245</v>
      </c>
      <c r="Y20" s="6">
        <v>0.31531118299999999</v>
      </c>
      <c r="Z20" s="6">
        <v>0.33236304900000002</v>
      </c>
      <c r="AA20" s="6">
        <v>2.0245819299999999E-2</v>
      </c>
      <c r="AC20">
        <f t="shared" si="0"/>
        <v>752.46823600000005</v>
      </c>
      <c r="AD20">
        <f t="shared" si="1"/>
        <v>18.065999999999999</v>
      </c>
      <c r="AE20">
        <f t="shared" si="2"/>
        <v>19.042999999999999</v>
      </c>
      <c r="AF20">
        <f t="shared" si="3"/>
        <v>1.1599999999999999</v>
      </c>
      <c r="AG20">
        <f t="shared" si="4"/>
        <v>0.52200000000000002</v>
      </c>
    </row>
    <row r="21" spans="1:33" ht="18.95" customHeight="1">
      <c r="A21" s="4">
        <v>65208935</v>
      </c>
      <c r="B21" s="6">
        <v>0.78346823600000004</v>
      </c>
      <c r="C21" s="6">
        <v>0.25914426899999998</v>
      </c>
      <c r="D21" s="6">
        <v>0.747</v>
      </c>
      <c r="E21" s="6">
        <v>-0.66700000000000004</v>
      </c>
      <c r="F21" s="6">
        <v>3.3000000000000002E-2</v>
      </c>
      <c r="G21" s="6">
        <v>20.690999999999999</v>
      </c>
      <c r="H21" s="6">
        <v>21.850999999999999</v>
      </c>
      <c r="I21" s="6">
        <v>1.282</v>
      </c>
      <c r="J21" s="6">
        <v>8.3550000000000004</v>
      </c>
      <c r="K21" s="6">
        <v>0.64800000000000002</v>
      </c>
      <c r="L21" s="6">
        <v>-106.029</v>
      </c>
      <c r="M21" s="6">
        <v>-42.2</v>
      </c>
      <c r="N21" s="6">
        <v>21.2</v>
      </c>
      <c r="O21" s="6">
        <v>0.433</v>
      </c>
      <c r="P21" s="6">
        <v>24.35</v>
      </c>
      <c r="Q21" s="6">
        <v>0.18106</v>
      </c>
      <c r="R21" s="6">
        <v>-0.62185999999999997</v>
      </c>
      <c r="S21" s="6">
        <v>0.31955</v>
      </c>
      <c r="T21" s="6">
        <v>-0.69159000000000004</v>
      </c>
      <c r="U21" s="6">
        <v>9.9459999999999997</v>
      </c>
      <c r="V21" s="6">
        <v>1</v>
      </c>
      <c r="W21" s="6">
        <v>1</v>
      </c>
      <c r="X21" s="6" t="s">
        <v>246</v>
      </c>
      <c r="Y21" s="6">
        <v>0.36112607600000002</v>
      </c>
      <c r="Z21" s="6">
        <v>0.38137189500000002</v>
      </c>
      <c r="AA21" s="6">
        <v>2.2375121000000001E-2</v>
      </c>
      <c r="AC21">
        <f t="shared" si="0"/>
        <v>783.46823600000005</v>
      </c>
      <c r="AD21">
        <f t="shared" si="1"/>
        <v>20.690999999999999</v>
      </c>
      <c r="AE21">
        <f t="shared" si="2"/>
        <v>21.850999999999999</v>
      </c>
      <c r="AF21">
        <f t="shared" si="3"/>
        <v>1.282</v>
      </c>
      <c r="AG21">
        <f t="shared" si="4"/>
        <v>0.64800000000000002</v>
      </c>
    </row>
    <row r="22" spans="1:33" ht="18.95" customHeight="1">
      <c r="A22" s="4">
        <v>65208994</v>
      </c>
      <c r="B22" s="6">
        <v>0.84246823599999998</v>
      </c>
      <c r="C22" s="6">
        <v>0.27865943399999998</v>
      </c>
      <c r="D22" s="6">
        <v>0.75</v>
      </c>
      <c r="E22" s="6">
        <v>-0.66600000000000004</v>
      </c>
      <c r="F22" s="6">
        <v>6.0999999999999999E-2</v>
      </c>
      <c r="G22" s="6">
        <v>23.193000000000001</v>
      </c>
      <c r="H22" s="6">
        <v>24.475000000000001</v>
      </c>
      <c r="I22" s="6">
        <v>1.4039999999999999</v>
      </c>
      <c r="J22" s="6">
        <v>10.717000000000001</v>
      </c>
      <c r="K22" s="6">
        <v>0.83499999999999996</v>
      </c>
      <c r="L22" s="6">
        <v>-107.732</v>
      </c>
      <c r="M22" s="6">
        <v>-42.2</v>
      </c>
      <c r="N22" s="6">
        <v>21.2</v>
      </c>
      <c r="O22" s="6">
        <v>0.433</v>
      </c>
      <c r="P22" s="6">
        <v>24.35</v>
      </c>
      <c r="Q22" s="6">
        <v>0.18106</v>
      </c>
      <c r="R22" s="6">
        <v>-0.62185999999999997</v>
      </c>
      <c r="S22" s="6">
        <v>0.31955</v>
      </c>
      <c r="T22" s="6">
        <v>-0.69159000000000004</v>
      </c>
      <c r="U22" s="6">
        <v>10.005000000000001</v>
      </c>
      <c r="V22" s="6">
        <v>1</v>
      </c>
      <c r="W22" s="6">
        <v>1</v>
      </c>
      <c r="X22" s="6" t="s">
        <v>247</v>
      </c>
      <c r="Y22" s="6">
        <v>0.40479421300000001</v>
      </c>
      <c r="Z22" s="6">
        <v>0.42716933400000001</v>
      </c>
      <c r="AA22" s="6">
        <v>2.45044227E-2</v>
      </c>
      <c r="AC22">
        <f t="shared" si="0"/>
        <v>842.46823599999993</v>
      </c>
      <c r="AD22">
        <f t="shared" si="1"/>
        <v>23.193000000000001</v>
      </c>
      <c r="AE22">
        <f t="shared" si="2"/>
        <v>24.475000000000001</v>
      </c>
      <c r="AF22">
        <f t="shared" si="3"/>
        <v>1.4039999999999999</v>
      </c>
      <c r="AG22">
        <f t="shared" si="4"/>
        <v>0.83499999999999996</v>
      </c>
    </row>
    <row r="23" spans="1:33" ht="18.95" customHeight="1">
      <c r="A23" s="4">
        <v>65209024</v>
      </c>
      <c r="B23" s="6">
        <v>0.87246823600000001</v>
      </c>
      <c r="C23" s="6">
        <v>0.28858240000000002</v>
      </c>
      <c r="D23" s="6">
        <v>0.747</v>
      </c>
      <c r="E23" s="6">
        <v>-0.66600000000000004</v>
      </c>
      <c r="F23" s="6">
        <v>8.5999999999999993E-2</v>
      </c>
      <c r="G23" s="6">
        <v>25.513000000000002</v>
      </c>
      <c r="H23" s="6">
        <v>26.917000000000002</v>
      </c>
      <c r="I23" s="6">
        <v>1.6479999999999999</v>
      </c>
      <c r="J23" s="6">
        <v>13.31</v>
      </c>
      <c r="K23" s="6">
        <v>1.099</v>
      </c>
      <c r="L23" s="6">
        <v>-109.6</v>
      </c>
      <c r="M23" s="6">
        <v>-42.2</v>
      </c>
      <c r="N23" s="6">
        <v>21.2</v>
      </c>
      <c r="O23" s="6">
        <v>0.433</v>
      </c>
      <c r="P23" s="6">
        <v>24.35</v>
      </c>
      <c r="Q23" s="6">
        <v>0.18106</v>
      </c>
      <c r="R23" s="6">
        <v>-0.62185999999999997</v>
      </c>
      <c r="S23" s="6">
        <v>0.31955</v>
      </c>
      <c r="T23" s="6">
        <v>-0.69159000000000004</v>
      </c>
      <c r="U23" s="6">
        <v>10.035</v>
      </c>
      <c r="V23" s="6">
        <v>1</v>
      </c>
      <c r="W23" s="6">
        <v>1</v>
      </c>
      <c r="X23" s="6" t="s">
        <v>248</v>
      </c>
      <c r="Y23" s="6">
        <v>0.44528585199999998</v>
      </c>
      <c r="Z23" s="6">
        <v>0.46979027499999998</v>
      </c>
      <c r="AA23" s="6">
        <v>2.8763026099999998E-2</v>
      </c>
      <c r="AC23">
        <f t="shared" si="0"/>
        <v>872.46823600000005</v>
      </c>
      <c r="AD23">
        <f t="shared" si="1"/>
        <v>25.513000000000002</v>
      </c>
      <c r="AE23">
        <f t="shared" si="2"/>
        <v>26.917000000000002</v>
      </c>
      <c r="AF23">
        <f t="shared" si="3"/>
        <v>1.6479999999999999</v>
      </c>
      <c r="AG23">
        <f t="shared" si="4"/>
        <v>1.099</v>
      </c>
    </row>
    <row r="24" spans="1:33" ht="18.95" customHeight="1">
      <c r="A24" s="4">
        <v>65209114</v>
      </c>
      <c r="B24" s="6">
        <v>0.96246823599999998</v>
      </c>
      <c r="C24" s="6">
        <v>0.31835129600000001</v>
      </c>
      <c r="D24" s="6">
        <v>0.746</v>
      </c>
      <c r="E24" s="6">
        <v>-0.66700000000000004</v>
      </c>
      <c r="F24" s="6">
        <v>0.114</v>
      </c>
      <c r="G24" s="6">
        <v>27.71</v>
      </c>
      <c r="H24" s="6">
        <v>29.48</v>
      </c>
      <c r="I24" s="6">
        <v>1.8919999999999999</v>
      </c>
      <c r="J24" s="6">
        <v>16.100000000000001</v>
      </c>
      <c r="K24" s="6">
        <v>1.4610000000000001</v>
      </c>
      <c r="L24" s="6">
        <v>-111.58799999999999</v>
      </c>
      <c r="M24" s="6">
        <v>-42.2</v>
      </c>
      <c r="N24" s="6">
        <v>21.2</v>
      </c>
      <c r="O24" s="6">
        <v>0.433</v>
      </c>
      <c r="P24" s="6">
        <v>24.35</v>
      </c>
      <c r="Q24" s="6">
        <v>0.18106</v>
      </c>
      <c r="R24" s="6">
        <v>-0.62185999999999997</v>
      </c>
      <c r="S24" s="6">
        <v>0.31955</v>
      </c>
      <c r="T24" s="6">
        <v>-0.69159000000000004</v>
      </c>
      <c r="U24" s="6">
        <v>10.125</v>
      </c>
      <c r="V24" s="6">
        <v>1</v>
      </c>
      <c r="W24" s="6">
        <v>1</v>
      </c>
      <c r="X24" s="6" t="s">
        <v>249</v>
      </c>
      <c r="Y24" s="6">
        <v>0.48363073600000001</v>
      </c>
      <c r="Z24" s="6">
        <v>0.51452306299999995</v>
      </c>
      <c r="AA24" s="6">
        <v>3.3021629400000002E-2</v>
      </c>
      <c r="AC24">
        <f t="shared" si="0"/>
        <v>962.46823599999993</v>
      </c>
      <c r="AD24">
        <f t="shared" si="1"/>
        <v>27.71</v>
      </c>
      <c r="AE24">
        <f t="shared" si="2"/>
        <v>29.48</v>
      </c>
      <c r="AF24">
        <f t="shared" si="3"/>
        <v>1.8919999999999999</v>
      </c>
      <c r="AG24">
        <f t="shared" si="4"/>
        <v>1.4610000000000001</v>
      </c>
    </row>
    <row r="25" spans="1:33" ht="18.95" customHeight="1">
      <c r="A25" s="4">
        <v>65209175</v>
      </c>
      <c r="B25" s="6">
        <v>1.0234682399999999</v>
      </c>
      <c r="C25" s="6">
        <v>0.338527992</v>
      </c>
      <c r="D25" s="6">
        <v>0.72550000000000003</v>
      </c>
      <c r="E25" s="6">
        <v>-0.66149999999999998</v>
      </c>
      <c r="F25" s="6">
        <v>0.16750000000000001</v>
      </c>
      <c r="G25" s="6">
        <v>32.134999999999998</v>
      </c>
      <c r="H25" s="6">
        <v>34.149000000000001</v>
      </c>
      <c r="I25" s="6">
        <v>2.0445000000000002</v>
      </c>
      <c r="J25" s="6">
        <v>20.734000000000002</v>
      </c>
      <c r="K25" s="6">
        <v>2.2440000000000002</v>
      </c>
      <c r="L25" s="6">
        <v>-114.86199999999999</v>
      </c>
      <c r="M25" s="6">
        <v>-42.2</v>
      </c>
      <c r="N25" s="6">
        <v>21.2</v>
      </c>
      <c r="O25" s="6">
        <v>0.433</v>
      </c>
      <c r="P25" s="6">
        <v>24.35</v>
      </c>
      <c r="Q25" s="6">
        <v>0.18106</v>
      </c>
      <c r="R25" s="6">
        <v>-0.62185999999999997</v>
      </c>
      <c r="S25" s="6">
        <v>0.31955</v>
      </c>
      <c r="T25" s="6">
        <v>-0.69159000000000004</v>
      </c>
      <c r="U25" s="6">
        <v>10.186</v>
      </c>
      <c r="V25" s="6">
        <v>2</v>
      </c>
      <c r="W25" s="6">
        <v>2</v>
      </c>
      <c r="X25" s="6" t="s">
        <v>250</v>
      </c>
      <c r="Y25" s="6">
        <v>0.56086155500000001</v>
      </c>
      <c r="Z25" s="6">
        <v>0.59601248600000001</v>
      </c>
      <c r="AA25" s="6">
        <v>3.5683256599999998E-2</v>
      </c>
      <c r="AC25">
        <f t="shared" si="0"/>
        <v>1023.4682399999999</v>
      </c>
      <c r="AD25">
        <f t="shared" si="1"/>
        <v>32.134999999999998</v>
      </c>
      <c r="AE25">
        <f t="shared" si="2"/>
        <v>34.149000000000001</v>
      </c>
      <c r="AF25">
        <f t="shared" si="3"/>
        <v>2.0445000000000002</v>
      </c>
      <c r="AG25">
        <f t="shared" si="4"/>
        <v>2.2440000000000002</v>
      </c>
    </row>
    <row r="26" spans="1:33" ht="18.95" customHeight="1">
      <c r="A26" s="4">
        <v>65209234</v>
      </c>
      <c r="B26" s="6">
        <v>1.0824682400000001</v>
      </c>
      <c r="C26" s="6">
        <v>0.358043157</v>
      </c>
      <c r="D26" s="6">
        <v>0.70699999999999996</v>
      </c>
      <c r="E26" s="6">
        <v>-0.65</v>
      </c>
      <c r="F26" s="6">
        <v>0.23100000000000001</v>
      </c>
      <c r="G26" s="6">
        <v>35.582999999999998</v>
      </c>
      <c r="H26" s="6">
        <v>37.963999999999999</v>
      </c>
      <c r="I26" s="6">
        <v>2.258</v>
      </c>
      <c r="J26" s="6">
        <v>25.768000000000001</v>
      </c>
      <c r="K26" s="6">
        <v>3.3119999999999998</v>
      </c>
      <c r="L26" s="6">
        <v>-118.361</v>
      </c>
      <c r="M26" s="6">
        <v>-31.4</v>
      </c>
      <c r="N26" s="6">
        <v>27.3</v>
      </c>
      <c r="O26" s="6">
        <v>-3.4870000000000001</v>
      </c>
      <c r="P26" s="6">
        <v>24.35</v>
      </c>
      <c r="Q26" s="6">
        <v>0.18106</v>
      </c>
      <c r="R26" s="6">
        <v>-0.62185999999999997</v>
      </c>
      <c r="S26" s="6">
        <v>0.31955</v>
      </c>
      <c r="T26" s="6">
        <v>-0.69159000000000004</v>
      </c>
      <c r="U26" s="6">
        <v>10.244999999999999</v>
      </c>
      <c r="V26" s="6">
        <v>1</v>
      </c>
      <c r="W26" s="6">
        <v>1</v>
      </c>
      <c r="X26" s="6" t="s">
        <v>251</v>
      </c>
      <c r="Y26" s="6">
        <v>0.62104050799999999</v>
      </c>
      <c r="Z26" s="6">
        <v>0.66259679699999996</v>
      </c>
      <c r="AA26" s="6">
        <v>3.9409534500000003E-2</v>
      </c>
      <c r="AC26">
        <f t="shared" si="0"/>
        <v>1082.4682400000002</v>
      </c>
      <c r="AD26">
        <f t="shared" si="1"/>
        <v>35.582999999999998</v>
      </c>
      <c r="AE26">
        <f t="shared" si="2"/>
        <v>37.963999999999999</v>
      </c>
      <c r="AF26">
        <f t="shared" si="3"/>
        <v>2.258</v>
      </c>
      <c r="AG26">
        <f t="shared" si="4"/>
        <v>3.3119999999999998</v>
      </c>
    </row>
    <row r="27" spans="1:33" ht="18.95" customHeight="1">
      <c r="A27" s="4">
        <v>65209324</v>
      </c>
      <c r="B27" s="6">
        <v>1.1724682399999999</v>
      </c>
      <c r="C27" s="6">
        <v>0.38781205200000002</v>
      </c>
      <c r="D27" s="6">
        <v>0.69799999999999995</v>
      </c>
      <c r="E27" s="6">
        <v>-0.63900000000000001</v>
      </c>
      <c r="F27" s="6">
        <v>0.28100000000000003</v>
      </c>
      <c r="G27" s="6">
        <v>37.597999999999999</v>
      </c>
      <c r="H27" s="6">
        <v>39.917000000000002</v>
      </c>
      <c r="I27" s="6">
        <v>2.4409999999999998</v>
      </c>
      <c r="J27" s="6">
        <v>29.300999999999998</v>
      </c>
      <c r="K27" s="6">
        <v>4.2409999999999997</v>
      </c>
      <c r="L27" s="6">
        <v>-120.751</v>
      </c>
      <c r="M27" s="6">
        <v>-31.4</v>
      </c>
      <c r="N27" s="6">
        <v>27.3</v>
      </c>
      <c r="O27" s="6">
        <v>-3.4870000000000001</v>
      </c>
      <c r="P27" s="6">
        <v>24.35</v>
      </c>
      <c r="Q27" s="6">
        <v>0.21298</v>
      </c>
      <c r="R27" s="6">
        <v>-0.52132999999999996</v>
      </c>
      <c r="S27" s="6">
        <v>0.27017000000000002</v>
      </c>
      <c r="T27" s="6">
        <v>-0.78085000000000004</v>
      </c>
      <c r="U27" s="6">
        <v>10.335000000000001</v>
      </c>
      <c r="V27" s="6">
        <v>1</v>
      </c>
      <c r="W27" s="6">
        <v>1</v>
      </c>
      <c r="X27" s="6" t="s">
        <v>252</v>
      </c>
      <c r="Y27" s="6">
        <v>0.65620889199999999</v>
      </c>
      <c r="Z27" s="6">
        <v>0.69668307799999996</v>
      </c>
      <c r="AA27" s="6">
        <v>4.2603487000000002E-2</v>
      </c>
      <c r="AC27">
        <f t="shared" si="0"/>
        <v>1172.4682399999999</v>
      </c>
      <c r="AD27">
        <f t="shared" si="1"/>
        <v>37.597999999999999</v>
      </c>
      <c r="AE27">
        <f t="shared" si="2"/>
        <v>39.917000000000002</v>
      </c>
      <c r="AF27">
        <f t="shared" si="3"/>
        <v>2.4409999999999998</v>
      </c>
      <c r="AG27">
        <f t="shared" si="4"/>
        <v>4.2409999999999997</v>
      </c>
    </row>
    <row r="28" spans="1:33" ht="18.95" customHeight="1">
      <c r="A28" s="4">
        <v>65209355</v>
      </c>
      <c r="B28" s="6">
        <v>1.2034682400000001</v>
      </c>
      <c r="C28" s="6">
        <v>0.39806578300000001</v>
      </c>
      <c r="D28" s="6">
        <v>0.67400000000000004</v>
      </c>
      <c r="E28" s="6">
        <v>-0.63300000000000001</v>
      </c>
      <c r="F28" s="6">
        <v>0.31900000000000001</v>
      </c>
      <c r="G28" s="6">
        <v>40.588000000000001</v>
      </c>
      <c r="H28" s="6">
        <v>43.091000000000001</v>
      </c>
      <c r="I28" s="6">
        <v>2.6859999999999999</v>
      </c>
      <c r="J28" s="6">
        <v>32.936999999999998</v>
      </c>
      <c r="K28" s="6">
        <v>5.3230000000000004</v>
      </c>
      <c r="L28" s="6">
        <v>-123.179</v>
      </c>
      <c r="M28" s="6">
        <v>-31.4</v>
      </c>
      <c r="N28" s="6">
        <v>27.3</v>
      </c>
      <c r="O28" s="6">
        <v>-3.4870000000000001</v>
      </c>
      <c r="P28" s="6">
        <v>24.35</v>
      </c>
      <c r="Q28" s="6">
        <v>0.21298</v>
      </c>
      <c r="R28" s="6">
        <v>-0.52132999999999996</v>
      </c>
      <c r="S28" s="6">
        <v>0.27017000000000002</v>
      </c>
      <c r="T28" s="6">
        <v>-0.78085000000000004</v>
      </c>
      <c r="U28" s="6">
        <v>10.366</v>
      </c>
      <c r="V28" s="6">
        <v>1</v>
      </c>
      <c r="W28" s="6">
        <v>1</v>
      </c>
      <c r="X28" s="6" t="s">
        <v>253</v>
      </c>
      <c r="Y28" s="6">
        <v>0.70839423700000004</v>
      </c>
      <c r="Z28" s="6">
        <v>0.75207982799999995</v>
      </c>
      <c r="AA28" s="6">
        <v>4.6879543699999998E-2</v>
      </c>
      <c r="AC28">
        <f t="shared" si="0"/>
        <v>1203.4682400000002</v>
      </c>
      <c r="AD28">
        <f t="shared" si="1"/>
        <v>40.588000000000001</v>
      </c>
      <c r="AE28">
        <f t="shared" si="2"/>
        <v>43.091000000000001</v>
      </c>
      <c r="AF28">
        <f t="shared" si="3"/>
        <v>2.6859999999999999</v>
      </c>
      <c r="AG28">
        <f t="shared" si="4"/>
        <v>5.3230000000000004</v>
      </c>
    </row>
    <row r="29" spans="1:33" ht="18.95" customHeight="1">
      <c r="A29" s="4">
        <v>65209384</v>
      </c>
      <c r="B29" s="6">
        <v>1.23246824</v>
      </c>
      <c r="C29" s="6">
        <v>0.407657983</v>
      </c>
      <c r="D29" s="6">
        <v>0.65500000000000003</v>
      </c>
      <c r="E29" s="6">
        <v>-0.61399999999999999</v>
      </c>
      <c r="F29" s="6">
        <v>0.375</v>
      </c>
      <c r="G29" s="6">
        <v>42.786000000000001</v>
      </c>
      <c r="H29" s="6">
        <v>45.654000000000003</v>
      </c>
      <c r="I29" s="6">
        <v>2.8690000000000002</v>
      </c>
      <c r="J29" s="6">
        <v>36.700000000000003</v>
      </c>
      <c r="K29" s="6">
        <v>6.6079999999999997</v>
      </c>
      <c r="L29" s="6">
        <v>-125.623</v>
      </c>
      <c r="M29" s="6">
        <v>-31.4</v>
      </c>
      <c r="N29" s="6">
        <v>27.3</v>
      </c>
      <c r="O29" s="6">
        <v>-3.4870000000000001</v>
      </c>
      <c r="P29" s="6">
        <v>24.35</v>
      </c>
      <c r="Q29" s="6">
        <v>0.21298</v>
      </c>
      <c r="R29" s="6">
        <v>-0.52132999999999996</v>
      </c>
      <c r="S29" s="6">
        <v>0.27017000000000002</v>
      </c>
      <c r="T29" s="6">
        <v>-0.78085000000000004</v>
      </c>
      <c r="U29" s="6">
        <v>10.395</v>
      </c>
      <c r="V29" s="6">
        <v>1</v>
      </c>
      <c r="W29" s="6">
        <v>1</v>
      </c>
      <c r="X29" s="6" t="s">
        <v>254</v>
      </c>
      <c r="Y29" s="6">
        <v>0.74675657399999995</v>
      </c>
      <c r="Z29" s="6">
        <v>0.79681261699999995</v>
      </c>
      <c r="AA29" s="6">
        <v>5.0073496199999998E-2</v>
      </c>
      <c r="AC29">
        <f t="shared" si="0"/>
        <v>1232.4682399999999</v>
      </c>
      <c r="AD29">
        <f t="shared" si="1"/>
        <v>42.786000000000001</v>
      </c>
      <c r="AE29">
        <f t="shared" si="2"/>
        <v>45.654000000000003</v>
      </c>
      <c r="AF29">
        <f t="shared" si="3"/>
        <v>2.8690000000000002</v>
      </c>
      <c r="AG29">
        <f t="shared" si="4"/>
        <v>6.6079999999999997</v>
      </c>
    </row>
    <row r="30" spans="1:33" ht="18.95" customHeight="1">
      <c r="A30" s="4">
        <v>65209444</v>
      </c>
      <c r="B30" s="6">
        <v>1.29246824</v>
      </c>
      <c r="C30" s="6">
        <v>0.42750391300000001</v>
      </c>
      <c r="D30" s="6">
        <v>0.63100000000000001</v>
      </c>
      <c r="E30" s="6">
        <v>-0.60099999999999998</v>
      </c>
      <c r="F30" s="6">
        <v>0.42099999999999999</v>
      </c>
      <c r="G30" s="6">
        <v>44.982999999999997</v>
      </c>
      <c r="H30" s="6">
        <v>48.034999999999997</v>
      </c>
      <c r="I30" s="6">
        <v>2.8690000000000002</v>
      </c>
      <c r="J30" s="6">
        <v>40.484999999999999</v>
      </c>
      <c r="K30" s="6">
        <v>8.0690000000000008</v>
      </c>
      <c r="L30" s="6">
        <v>-128.024</v>
      </c>
      <c r="M30" s="6">
        <v>-31.4</v>
      </c>
      <c r="N30" s="6">
        <v>27.3</v>
      </c>
      <c r="O30" s="6">
        <v>-3.4870000000000001</v>
      </c>
      <c r="P30" s="6">
        <v>24.35</v>
      </c>
      <c r="Q30" s="6">
        <v>0.21298</v>
      </c>
      <c r="R30" s="6">
        <v>-0.52132999999999996</v>
      </c>
      <c r="S30" s="6">
        <v>0.27017000000000002</v>
      </c>
      <c r="T30" s="6">
        <v>-0.78085000000000004</v>
      </c>
      <c r="U30" s="6">
        <v>10.455</v>
      </c>
      <c r="V30" s="6">
        <v>1</v>
      </c>
      <c r="W30" s="6">
        <v>1</v>
      </c>
      <c r="X30" s="6" t="s">
        <v>255</v>
      </c>
      <c r="Y30" s="6">
        <v>0.785101457</v>
      </c>
      <c r="Z30" s="6">
        <v>0.83836890600000002</v>
      </c>
      <c r="AA30" s="6">
        <v>5.0073496199999998E-2</v>
      </c>
      <c r="AC30">
        <f t="shared" si="0"/>
        <v>1292.4682400000002</v>
      </c>
      <c r="AD30">
        <f t="shared" si="1"/>
        <v>44.982999999999997</v>
      </c>
      <c r="AE30">
        <f t="shared" si="2"/>
        <v>48.034999999999997</v>
      </c>
      <c r="AF30">
        <f t="shared" si="3"/>
        <v>2.8690000000000002</v>
      </c>
      <c r="AG30">
        <f t="shared" si="4"/>
        <v>8.0690000000000008</v>
      </c>
    </row>
    <row r="31" spans="1:33" ht="18.95" customHeight="1">
      <c r="A31" s="4">
        <v>65209535</v>
      </c>
      <c r="B31" s="6">
        <v>1.38346824</v>
      </c>
      <c r="C31" s="6">
        <v>0.45760357499999998</v>
      </c>
      <c r="D31" s="6">
        <v>0.60299999999999998</v>
      </c>
      <c r="E31" s="6">
        <v>-0.57799999999999996</v>
      </c>
      <c r="F31" s="6">
        <v>0.47399999999999998</v>
      </c>
      <c r="G31" s="6">
        <v>47.18</v>
      </c>
      <c r="H31" s="6">
        <v>50.11</v>
      </c>
      <c r="I31" s="6">
        <v>3.113</v>
      </c>
      <c r="J31" s="6">
        <v>44.296999999999997</v>
      </c>
      <c r="K31" s="6">
        <v>9.734</v>
      </c>
      <c r="L31" s="6">
        <v>-130.34700000000001</v>
      </c>
      <c r="M31" s="6">
        <v>-31.4</v>
      </c>
      <c r="N31" s="6">
        <v>27.3</v>
      </c>
      <c r="O31" s="6">
        <v>-3.4870000000000001</v>
      </c>
      <c r="P31" s="6">
        <v>24.35</v>
      </c>
      <c r="Q31" s="6">
        <v>0.21298</v>
      </c>
      <c r="R31" s="6">
        <v>-0.52132999999999996</v>
      </c>
      <c r="S31" s="6">
        <v>0.27017000000000002</v>
      </c>
      <c r="T31" s="6">
        <v>-0.78085000000000004</v>
      </c>
      <c r="U31" s="6">
        <v>10.545999999999999</v>
      </c>
      <c r="V31" s="6">
        <v>1</v>
      </c>
      <c r="W31" s="6">
        <v>1</v>
      </c>
      <c r="X31" s="6" t="s">
        <v>256</v>
      </c>
      <c r="Y31" s="6">
        <v>0.82344634100000003</v>
      </c>
      <c r="Z31" s="6">
        <v>0.87458448799999999</v>
      </c>
      <c r="AA31" s="6">
        <v>5.4332099600000003E-2</v>
      </c>
      <c r="AC31">
        <f t="shared" si="0"/>
        <v>1383.4682399999999</v>
      </c>
      <c r="AD31">
        <f t="shared" si="1"/>
        <v>47.18</v>
      </c>
      <c r="AE31">
        <f t="shared" si="2"/>
        <v>50.11</v>
      </c>
      <c r="AF31">
        <f t="shared" si="3"/>
        <v>3.113</v>
      </c>
      <c r="AG31">
        <f t="shared" si="4"/>
        <v>9.734</v>
      </c>
    </row>
    <row r="32" spans="1:33" ht="18.95" customHeight="1">
      <c r="A32" s="4">
        <v>65209566</v>
      </c>
      <c r="B32" s="6">
        <v>1.4144682399999999</v>
      </c>
      <c r="C32" s="6">
        <v>0.467857305</v>
      </c>
      <c r="D32" s="6">
        <v>0.56299999999999994</v>
      </c>
      <c r="E32" s="6">
        <v>-0.55500000000000005</v>
      </c>
      <c r="F32" s="6">
        <v>0.52800000000000002</v>
      </c>
      <c r="G32" s="6">
        <v>49.561</v>
      </c>
      <c r="H32" s="6">
        <v>52.856000000000002</v>
      </c>
      <c r="I32" s="6">
        <v>3.2959999999999998</v>
      </c>
      <c r="J32" s="6">
        <v>48.115000000000002</v>
      </c>
      <c r="K32" s="6">
        <v>11.606999999999999</v>
      </c>
      <c r="L32" s="6">
        <v>-132.59399999999999</v>
      </c>
      <c r="M32" s="6">
        <v>-31.4</v>
      </c>
      <c r="N32" s="6">
        <v>27.3</v>
      </c>
      <c r="O32" s="6">
        <v>-3.4870000000000001</v>
      </c>
      <c r="P32" s="6">
        <v>24.35</v>
      </c>
      <c r="Q32" s="6">
        <v>0.21298</v>
      </c>
      <c r="R32" s="6">
        <v>-0.52132999999999996</v>
      </c>
      <c r="S32" s="6">
        <v>0.27017000000000002</v>
      </c>
      <c r="T32" s="6">
        <v>-0.78085000000000004</v>
      </c>
      <c r="U32" s="6">
        <v>10.577</v>
      </c>
      <c r="V32" s="6">
        <v>1</v>
      </c>
      <c r="W32" s="6">
        <v>1</v>
      </c>
      <c r="X32" s="6" t="s">
        <v>257</v>
      </c>
      <c r="Y32" s="6">
        <v>0.86500263099999997</v>
      </c>
      <c r="Z32" s="6">
        <v>0.92251122900000004</v>
      </c>
      <c r="AA32" s="6">
        <v>5.7526052100000002E-2</v>
      </c>
      <c r="AC32">
        <f t="shared" si="0"/>
        <v>1414.4682399999999</v>
      </c>
      <c r="AD32">
        <f t="shared" si="1"/>
        <v>49.561</v>
      </c>
      <c r="AE32">
        <f t="shared" si="2"/>
        <v>52.856000000000002</v>
      </c>
      <c r="AF32">
        <f t="shared" si="3"/>
        <v>3.2959999999999998</v>
      </c>
      <c r="AG32">
        <f t="shared" si="4"/>
        <v>11.606999999999999</v>
      </c>
    </row>
    <row r="33" spans="1:33" ht="18.95" customHeight="1">
      <c r="A33" s="4">
        <v>65209594</v>
      </c>
      <c r="B33" s="6">
        <v>1.44246824</v>
      </c>
      <c r="C33" s="6">
        <v>0.47711873999999999</v>
      </c>
      <c r="D33" s="6">
        <v>0.53</v>
      </c>
      <c r="E33" s="6">
        <v>-0.51900000000000002</v>
      </c>
      <c r="F33" s="6">
        <v>0.59699999999999998</v>
      </c>
      <c r="G33" s="6">
        <v>49.866</v>
      </c>
      <c r="H33" s="6">
        <v>53.344999999999999</v>
      </c>
      <c r="I33" s="6">
        <v>3.3570000000000002</v>
      </c>
      <c r="J33" s="6">
        <v>51.860999999999997</v>
      </c>
      <c r="K33" s="6">
        <v>13.656000000000001</v>
      </c>
      <c r="L33" s="6">
        <v>-134.67599999999999</v>
      </c>
      <c r="M33" s="6">
        <v>-16.600000000000001</v>
      </c>
      <c r="N33" s="6">
        <v>35.1</v>
      </c>
      <c r="O33" s="6">
        <v>-3.3330000000000002</v>
      </c>
      <c r="P33" s="6">
        <v>24.35</v>
      </c>
      <c r="Q33" s="6">
        <v>0.21298</v>
      </c>
      <c r="R33" s="6">
        <v>-0.52132999999999996</v>
      </c>
      <c r="S33" s="6">
        <v>0.27017000000000002</v>
      </c>
      <c r="T33" s="6">
        <v>-0.78085000000000004</v>
      </c>
      <c r="U33" s="6">
        <v>10.605</v>
      </c>
      <c r="V33" s="6">
        <v>1</v>
      </c>
      <c r="W33" s="6">
        <v>1</v>
      </c>
      <c r="X33" s="6" t="s">
        <v>258</v>
      </c>
      <c r="Y33" s="6">
        <v>0.87032588499999997</v>
      </c>
      <c r="Z33" s="6">
        <v>0.93104588899999996</v>
      </c>
      <c r="AA33" s="6">
        <v>5.8590703000000001E-2</v>
      </c>
      <c r="AC33">
        <f t="shared" si="0"/>
        <v>1442.4682399999999</v>
      </c>
      <c r="AD33">
        <f t="shared" si="1"/>
        <v>49.866</v>
      </c>
      <c r="AE33">
        <f t="shared" si="2"/>
        <v>53.344999999999999</v>
      </c>
      <c r="AF33">
        <f t="shared" si="3"/>
        <v>3.3570000000000002</v>
      </c>
      <c r="AG33">
        <f t="shared" si="4"/>
        <v>13.656000000000001</v>
      </c>
    </row>
    <row r="34" spans="1:33" ht="18.95" customHeight="1">
      <c r="A34" s="4">
        <v>65209624</v>
      </c>
      <c r="B34" s="6">
        <v>1.47246824</v>
      </c>
      <c r="C34" s="6">
        <v>0.48704170499999999</v>
      </c>
      <c r="D34" s="6">
        <v>0.48799999999999999</v>
      </c>
      <c r="E34" s="6">
        <v>-0.48599999999999999</v>
      </c>
      <c r="F34" s="6">
        <v>0.65</v>
      </c>
      <c r="G34" s="6">
        <v>49.5</v>
      </c>
      <c r="H34" s="6">
        <v>52.978999999999999</v>
      </c>
      <c r="I34" s="6">
        <v>3.4790000000000001</v>
      </c>
      <c r="J34" s="6">
        <v>55.420999999999999</v>
      </c>
      <c r="K34" s="6">
        <v>15.808999999999999</v>
      </c>
      <c r="L34" s="6">
        <v>-136.56</v>
      </c>
      <c r="M34" s="6">
        <v>-16.600000000000001</v>
      </c>
      <c r="N34" s="6">
        <v>35.1</v>
      </c>
      <c r="O34" s="6">
        <v>-3.3330000000000002</v>
      </c>
      <c r="P34" s="6">
        <v>24.35</v>
      </c>
      <c r="Q34" s="6">
        <v>0.21298</v>
      </c>
      <c r="R34" s="6">
        <v>-0.52132999999999996</v>
      </c>
      <c r="S34" s="6">
        <v>0.27017000000000002</v>
      </c>
      <c r="T34" s="6">
        <v>-0.78085000000000004</v>
      </c>
      <c r="U34" s="6">
        <v>10.635</v>
      </c>
      <c r="V34" s="6">
        <v>1</v>
      </c>
      <c r="W34" s="6">
        <v>1</v>
      </c>
      <c r="X34" s="6" t="s">
        <v>259</v>
      </c>
      <c r="Y34" s="6">
        <v>0.86393797999999999</v>
      </c>
      <c r="Z34" s="6">
        <v>0.92465798399999999</v>
      </c>
      <c r="AA34" s="6">
        <v>6.0720004700000003E-2</v>
      </c>
      <c r="AC34">
        <f t="shared" si="0"/>
        <v>1472.4682399999999</v>
      </c>
      <c r="AD34">
        <f t="shared" si="1"/>
        <v>49.5</v>
      </c>
      <c r="AE34">
        <f t="shared" si="2"/>
        <v>52.978999999999999</v>
      </c>
      <c r="AF34">
        <f t="shared" si="3"/>
        <v>3.4790000000000001</v>
      </c>
      <c r="AG34">
        <f t="shared" si="4"/>
        <v>15.808999999999999</v>
      </c>
    </row>
    <row r="35" spans="1:33" ht="18.95" customHeight="1">
      <c r="A35" s="4">
        <v>65209715</v>
      </c>
      <c r="B35" s="6">
        <v>1.56346824</v>
      </c>
      <c r="C35" s="6">
        <v>0.51714136600000005</v>
      </c>
      <c r="D35" s="6">
        <v>0.44800000000000001</v>
      </c>
      <c r="E35" s="6">
        <v>-0.45800000000000002</v>
      </c>
      <c r="F35" s="6">
        <v>0.70599999999999996</v>
      </c>
      <c r="G35" s="6">
        <v>47.851999999999997</v>
      </c>
      <c r="H35" s="6">
        <v>51.207999999999998</v>
      </c>
      <c r="I35" s="6">
        <v>3.3570000000000002</v>
      </c>
      <c r="J35" s="6">
        <v>58.76</v>
      </c>
      <c r="K35" s="6">
        <v>18.023</v>
      </c>
      <c r="L35" s="6">
        <v>-138.19200000000001</v>
      </c>
      <c r="M35" s="6">
        <v>-16.600000000000001</v>
      </c>
      <c r="N35" s="6">
        <v>35.1</v>
      </c>
      <c r="O35" s="6">
        <v>-3.3330000000000002</v>
      </c>
      <c r="P35" s="6">
        <v>24.35</v>
      </c>
      <c r="Q35" s="6">
        <v>0.25319999999999998</v>
      </c>
      <c r="R35" s="6">
        <v>-0.34566999999999998</v>
      </c>
      <c r="S35" s="6">
        <v>0.18359</v>
      </c>
      <c r="T35" s="6">
        <v>-0.88463999999999998</v>
      </c>
      <c r="U35" s="6">
        <v>10.726000000000001</v>
      </c>
      <c r="V35" s="6">
        <v>1</v>
      </c>
      <c r="W35" s="6">
        <v>1</v>
      </c>
      <c r="X35" s="6" t="s">
        <v>260</v>
      </c>
      <c r="Y35" s="6">
        <v>0.83517495399999997</v>
      </c>
      <c r="Z35" s="6">
        <v>0.89374820300000002</v>
      </c>
      <c r="AA35" s="6">
        <v>5.8590703000000001E-2</v>
      </c>
      <c r="AC35">
        <f t="shared" si="0"/>
        <v>1563.4682399999999</v>
      </c>
      <c r="AD35">
        <f t="shared" si="1"/>
        <v>47.851999999999997</v>
      </c>
      <c r="AE35">
        <f t="shared" si="2"/>
        <v>51.207999999999998</v>
      </c>
      <c r="AF35">
        <f t="shared" si="3"/>
        <v>3.3570000000000002</v>
      </c>
      <c r="AG35">
        <f t="shared" si="4"/>
        <v>18.023</v>
      </c>
    </row>
    <row r="36" spans="1:33" ht="18.95" customHeight="1">
      <c r="A36" s="4">
        <v>65209744</v>
      </c>
      <c r="B36" s="6">
        <v>1.5924682400000001</v>
      </c>
      <c r="C36" s="6">
        <v>0.52673356599999999</v>
      </c>
      <c r="D36" s="6">
        <v>0.41799999999999998</v>
      </c>
      <c r="E36" s="6">
        <v>-0.42499999999999999</v>
      </c>
      <c r="F36" s="6">
        <v>0.76300000000000001</v>
      </c>
      <c r="G36" s="6">
        <v>43.884</v>
      </c>
      <c r="H36" s="6">
        <v>46.875</v>
      </c>
      <c r="I36" s="6">
        <v>2.9910000000000001</v>
      </c>
      <c r="J36" s="6">
        <v>61.776000000000003</v>
      </c>
      <c r="K36" s="6">
        <v>20.170999999999999</v>
      </c>
      <c r="L36" s="6">
        <v>-139.58099999999999</v>
      </c>
      <c r="M36" s="6">
        <v>-16.600000000000001</v>
      </c>
      <c r="N36" s="6">
        <v>35.1</v>
      </c>
      <c r="O36" s="6">
        <v>-3.3330000000000002</v>
      </c>
      <c r="P36" s="6">
        <v>24.35</v>
      </c>
      <c r="Q36" s="6">
        <v>0.25319999999999998</v>
      </c>
      <c r="R36" s="6">
        <v>-0.34566999999999998</v>
      </c>
      <c r="S36" s="6">
        <v>0.18359</v>
      </c>
      <c r="T36" s="6">
        <v>-0.88463999999999998</v>
      </c>
      <c r="U36" s="6">
        <v>10.755000000000001</v>
      </c>
      <c r="V36" s="6">
        <v>1</v>
      </c>
      <c r="W36" s="6">
        <v>1</v>
      </c>
      <c r="X36" s="6" t="s">
        <v>261</v>
      </c>
      <c r="Y36" s="6">
        <v>0.76592028899999998</v>
      </c>
      <c r="Z36" s="6">
        <v>0.81812308700000003</v>
      </c>
      <c r="AA36" s="6">
        <v>5.22027979E-2</v>
      </c>
      <c r="AC36">
        <f t="shared" si="0"/>
        <v>1592.4682400000002</v>
      </c>
      <c r="AD36">
        <f t="shared" si="1"/>
        <v>43.884</v>
      </c>
      <c r="AE36">
        <f t="shared" si="2"/>
        <v>46.875</v>
      </c>
      <c r="AF36">
        <f t="shared" si="3"/>
        <v>2.9910000000000001</v>
      </c>
      <c r="AG36">
        <f t="shared" si="4"/>
        <v>20.170999999999999</v>
      </c>
    </row>
    <row r="37" spans="1:33" ht="18.95" customHeight="1">
      <c r="A37" s="4">
        <v>65209804</v>
      </c>
      <c r="B37" s="6">
        <v>1.6524682399999999</v>
      </c>
      <c r="C37" s="6">
        <v>0.546579496</v>
      </c>
      <c r="D37" s="6">
        <v>0.38500000000000001</v>
      </c>
      <c r="E37" s="6">
        <v>-0.40300000000000002</v>
      </c>
      <c r="F37" s="6">
        <v>0.80300000000000005</v>
      </c>
      <c r="G37" s="6">
        <v>37.17</v>
      </c>
      <c r="H37" s="6">
        <v>39.734000000000002</v>
      </c>
      <c r="I37" s="6">
        <v>2.4409999999999998</v>
      </c>
      <c r="J37" s="6">
        <v>64.313999999999993</v>
      </c>
      <c r="K37" s="6">
        <v>22.11</v>
      </c>
      <c r="L37" s="6">
        <v>-140.64699999999999</v>
      </c>
      <c r="M37" s="6">
        <v>-16.600000000000001</v>
      </c>
      <c r="N37" s="6">
        <v>35.1</v>
      </c>
      <c r="O37" s="6">
        <v>-3.3330000000000002</v>
      </c>
      <c r="P37" s="6">
        <v>24.35</v>
      </c>
      <c r="Q37" s="6">
        <v>0.25319999999999998</v>
      </c>
      <c r="R37" s="6">
        <v>-0.34566999999999998</v>
      </c>
      <c r="S37" s="6">
        <v>0.18359</v>
      </c>
      <c r="T37" s="6">
        <v>-0.88463999999999998</v>
      </c>
      <c r="U37" s="6">
        <v>10.815</v>
      </c>
      <c r="V37" s="6">
        <v>1</v>
      </c>
      <c r="W37" s="6">
        <v>1</v>
      </c>
      <c r="X37" s="6" t="s">
        <v>262</v>
      </c>
      <c r="Y37" s="6">
        <v>0.64873888300000004</v>
      </c>
      <c r="Z37" s="6">
        <v>0.69348912500000004</v>
      </c>
      <c r="AA37" s="6">
        <v>4.2603487000000002E-2</v>
      </c>
      <c r="AC37">
        <f t="shared" si="0"/>
        <v>1652.4682399999999</v>
      </c>
      <c r="AD37">
        <f t="shared" si="1"/>
        <v>37.17</v>
      </c>
      <c r="AE37">
        <f t="shared" si="2"/>
        <v>39.734000000000002</v>
      </c>
      <c r="AF37">
        <f t="shared" si="3"/>
        <v>2.4409999999999998</v>
      </c>
      <c r="AG37">
        <f t="shared" si="4"/>
        <v>22.11</v>
      </c>
    </row>
    <row r="38" spans="1:33" ht="18.95" customHeight="1">
      <c r="A38" s="4">
        <v>65209834</v>
      </c>
      <c r="B38" s="6">
        <v>1.6824682399999999</v>
      </c>
      <c r="C38" s="6">
        <v>0.55650246199999998</v>
      </c>
      <c r="D38" s="6">
        <v>0.35499999999999998</v>
      </c>
      <c r="E38" s="6">
        <v>-0.38100000000000001</v>
      </c>
      <c r="F38" s="6">
        <v>0.84</v>
      </c>
      <c r="G38" s="6">
        <v>29.175000000000001</v>
      </c>
      <c r="H38" s="6">
        <v>31.25</v>
      </c>
      <c r="I38" s="6">
        <v>1.8919999999999999</v>
      </c>
      <c r="J38" s="6">
        <v>66.323999999999998</v>
      </c>
      <c r="K38" s="6">
        <v>23.713999999999999</v>
      </c>
      <c r="L38" s="6">
        <v>-141.44300000000001</v>
      </c>
      <c r="M38" s="6">
        <v>-16.600000000000001</v>
      </c>
      <c r="N38" s="6">
        <v>35.1</v>
      </c>
      <c r="O38" s="6">
        <v>-3.3330000000000002</v>
      </c>
      <c r="P38" s="6">
        <v>24.35</v>
      </c>
      <c r="Q38" s="6">
        <v>0.25319999999999998</v>
      </c>
      <c r="R38" s="6">
        <v>-0.34566999999999998</v>
      </c>
      <c r="S38" s="6">
        <v>0.18359</v>
      </c>
      <c r="T38" s="6">
        <v>-0.88463999999999998</v>
      </c>
      <c r="U38" s="6">
        <v>10.845000000000001</v>
      </c>
      <c r="V38" s="6">
        <v>1</v>
      </c>
      <c r="W38" s="6">
        <v>1</v>
      </c>
      <c r="X38" s="6" t="s">
        <v>263</v>
      </c>
      <c r="Y38" s="6">
        <v>0.50919980899999995</v>
      </c>
      <c r="Z38" s="6">
        <v>0.54541539100000003</v>
      </c>
      <c r="AA38" s="6">
        <v>3.3021629400000002E-2</v>
      </c>
      <c r="AC38">
        <f t="shared" ref="AC38:AC63" si="5">B38*1000</f>
        <v>1682.4682399999999</v>
      </c>
      <c r="AD38">
        <f t="shared" ref="AD38:AD63" si="6">G38</f>
        <v>29.175000000000001</v>
      </c>
      <c r="AE38">
        <f t="shared" ref="AE38:AE63" si="7">H38</f>
        <v>31.25</v>
      </c>
      <c r="AF38">
        <f t="shared" ref="AF38:AF63" si="8">I38</f>
        <v>1.8919999999999999</v>
      </c>
      <c r="AG38">
        <f t="shared" ref="AG38:AG63" si="9">K38</f>
        <v>23.713999999999999</v>
      </c>
    </row>
    <row r="39" spans="1:33" ht="18.95" customHeight="1">
      <c r="A39" s="4">
        <v>65209924</v>
      </c>
      <c r="B39" s="6">
        <v>1.77246824</v>
      </c>
      <c r="C39" s="6">
        <v>0.58627135699999999</v>
      </c>
      <c r="D39" s="6">
        <v>0.34599999999999997</v>
      </c>
      <c r="E39" s="6">
        <v>-0.35299999999999998</v>
      </c>
      <c r="F39" s="6">
        <v>0.88</v>
      </c>
      <c r="G39" s="6">
        <v>19.774999999999999</v>
      </c>
      <c r="H39" s="6">
        <v>21.24</v>
      </c>
      <c r="I39" s="6">
        <v>1.2210000000000001</v>
      </c>
      <c r="J39" s="6">
        <v>67.775000000000006</v>
      </c>
      <c r="K39" s="6">
        <v>24.922000000000001</v>
      </c>
      <c r="L39" s="6">
        <v>-141.95400000000001</v>
      </c>
      <c r="M39" s="6">
        <v>-16.600000000000001</v>
      </c>
      <c r="N39" s="6">
        <v>35.1</v>
      </c>
      <c r="O39" s="6">
        <v>-3.3330000000000002</v>
      </c>
      <c r="P39" s="6">
        <v>24.35</v>
      </c>
      <c r="Q39" s="6">
        <v>0.25319999999999998</v>
      </c>
      <c r="R39" s="6">
        <v>-0.34566999999999998</v>
      </c>
      <c r="S39" s="6">
        <v>0.18359</v>
      </c>
      <c r="T39" s="6">
        <v>-0.88463999999999998</v>
      </c>
      <c r="U39" s="6">
        <v>10.935</v>
      </c>
      <c r="V39" s="6">
        <v>1</v>
      </c>
      <c r="W39" s="6">
        <v>1</v>
      </c>
      <c r="X39" s="6" t="s">
        <v>264</v>
      </c>
      <c r="Y39" s="6">
        <v>0.34513885999999999</v>
      </c>
      <c r="Z39" s="6">
        <v>0.37070793299999999</v>
      </c>
      <c r="AA39" s="6">
        <v>2.1310470200000001E-2</v>
      </c>
      <c r="AC39">
        <f t="shared" si="5"/>
        <v>1772.4682399999999</v>
      </c>
      <c r="AD39">
        <f t="shared" si="6"/>
        <v>19.774999999999999</v>
      </c>
      <c r="AE39">
        <f t="shared" si="7"/>
        <v>21.24</v>
      </c>
      <c r="AF39">
        <f t="shared" si="8"/>
        <v>1.2210000000000001</v>
      </c>
      <c r="AG39">
        <f t="shared" si="9"/>
        <v>24.922000000000001</v>
      </c>
    </row>
    <row r="40" spans="1:33" ht="18.95" customHeight="1">
      <c r="A40" s="4">
        <v>65209954</v>
      </c>
      <c r="B40" s="6">
        <v>1.8024682400000001</v>
      </c>
      <c r="C40" s="6">
        <v>0.59619432299999997</v>
      </c>
      <c r="D40" s="6">
        <v>0.34899999999999998</v>
      </c>
      <c r="E40" s="6">
        <v>-0.33700000000000002</v>
      </c>
      <c r="F40" s="6">
        <v>0.89900000000000002</v>
      </c>
      <c r="G40" s="6">
        <v>9.0329999999999995</v>
      </c>
      <c r="H40" s="6">
        <v>9.827</v>
      </c>
      <c r="I40" s="6">
        <v>0.91600000000000004</v>
      </c>
      <c r="J40" s="6">
        <v>68.620999999999995</v>
      </c>
      <c r="K40" s="6">
        <v>25.637</v>
      </c>
      <c r="L40" s="6">
        <v>-142.23400000000001</v>
      </c>
      <c r="M40" s="6">
        <v>-2.2000000000000002</v>
      </c>
      <c r="N40" s="6">
        <v>35.9</v>
      </c>
      <c r="O40" s="6">
        <v>-4.9800000000000004</v>
      </c>
      <c r="P40" s="6">
        <v>24.35</v>
      </c>
      <c r="Q40" s="6">
        <v>0.25319999999999998</v>
      </c>
      <c r="R40" s="6">
        <v>-0.34566999999999998</v>
      </c>
      <c r="S40" s="6">
        <v>0.18359</v>
      </c>
      <c r="T40" s="6">
        <v>-0.88463999999999998</v>
      </c>
      <c r="U40" s="6">
        <v>10.965</v>
      </c>
      <c r="V40" s="6">
        <v>1</v>
      </c>
      <c r="W40" s="6">
        <v>1</v>
      </c>
      <c r="X40" s="6" t="s">
        <v>265</v>
      </c>
      <c r="Y40" s="6">
        <v>0.15765559100000001</v>
      </c>
      <c r="Z40" s="6">
        <v>0.17151350600000001</v>
      </c>
      <c r="AA40" s="6">
        <v>1.5987215900000001E-2</v>
      </c>
      <c r="AC40">
        <f t="shared" si="5"/>
        <v>1802.4682400000002</v>
      </c>
      <c r="AD40">
        <f t="shared" si="6"/>
        <v>9.0329999999999995</v>
      </c>
      <c r="AE40">
        <f t="shared" si="7"/>
        <v>9.827</v>
      </c>
      <c r="AF40">
        <f t="shared" si="8"/>
        <v>0.91600000000000004</v>
      </c>
      <c r="AG40">
        <f t="shared" si="9"/>
        <v>25.637</v>
      </c>
    </row>
    <row r="41" spans="1:33" ht="18.95" customHeight="1">
      <c r="A41" s="4">
        <v>65210014</v>
      </c>
      <c r="B41" s="6">
        <v>1.8624682400000001</v>
      </c>
      <c r="C41" s="6">
        <v>0.61604025299999998</v>
      </c>
      <c r="D41" s="6">
        <v>0.35399999999999998</v>
      </c>
      <c r="E41" s="6">
        <v>-0.34300000000000003</v>
      </c>
      <c r="F41" s="6">
        <v>0.89</v>
      </c>
      <c r="G41" s="6">
        <v>0.24399999999999999</v>
      </c>
      <c r="H41" s="6">
        <v>0.24399999999999999</v>
      </c>
      <c r="I41" s="6">
        <v>6.0999999999999999E-2</v>
      </c>
      <c r="J41" s="6">
        <v>68.894999999999996</v>
      </c>
      <c r="K41" s="6">
        <v>25.873000000000001</v>
      </c>
      <c r="L41" s="6">
        <v>-142.28899999999999</v>
      </c>
      <c r="M41" s="6">
        <v>-2.2000000000000002</v>
      </c>
      <c r="N41" s="6">
        <v>35.9</v>
      </c>
      <c r="O41" s="6">
        <v>-4.9800000000000004</v>
      </c>
      <c r="P41" s="6">
        <v>24.35</v>
      </c>
      <c r="Q41" s="6">
        <v>0.25319999999999998</v>
      </c>
      <c r="R41" s="6">
        <v>-0.34566999999999998</v>
      </c>
      <c r="S41" s="6">
        <v>0.18359</v>
      </c>
      <c r="T41" s="6">
        <v>-0.88463999999999998</v>
      </c>
      <c r="U41" s="6">
        <v>11.025</v>
      </c>
      <c r="V41" s="6">
        <v>1</v>
      </c>
      <c r="W41" s="6">
        <v>1</v>
      </c>
      <c r="X41" s="6" t="s">
        <v>266</v>
      </c>
      <c r="Y41" s="6">
        <v>4.25860337E-3</v>
      </c>
      <c r="Z41" s="6">
        <v>4.25860337E-3</v>
      </c>
      <c r="AA41" s="6">
        <v>1.06465084E-3</v>
      </c>
      <c r="AC41">
        <f t="shared" si="5"/>
        <v>1862.4682400000002</v>
      </c>
      <c r="AD41">
        <f t="shared" si="6"/>
        <v>0.24399999999999999</v>
      </c>
      <c r="AE41">
        <f t="shared" si="7"/>
        <v>0.24399999999999999</v>
      </c>
      <c r="AF41">
        <f t="shared" si="8"/>
        <v>6.0999999999999999E-2</v>
      </c>
      <c r="AG41">
        <f t="shared" si="9"/>
        <v>25.873000000000001</v>
      </c>
    </row>
    <row r="42" spans="1:33" ht="18.95" customHeight="1">
      <c r="A42" s="4">
        <v>65210046</v>
      </c>
      <c r="B42" s="6">
        <v>1.8944682399999999</v>
      </c>
      <c r="C42" s="6">
        <v>0.62662474899999998</v>
      </c>
      <c r="D42" s="6">
        <v>0.374</v>
      </c>
      <c r="E42" s="6">
        <v>-0.35399999999999998</v>
      </c>
      <c r="F42" s="6">
        <v>0.88100000000000001</v>
      </c>
      <c r="G42" s="6">
        <v>-7.69</v>
      </c>
      <c r="H42" s="6">
        <v>-7.9960000000000004</v>
      </c>
      <c r="I42" s="6">
        <v>-0.61</v>
      </c>
      <c r="J42" s="6">
        <v>68.676000000000002</v>
      </c>
      <c r="K42" s="6">
        <v>25.692</v>
      </c>
      <c r="L42" s="6">
        <v>-142.196</v>
      </c>
      <c r="M42" s="6">
        <v>-2.2000000000000002</v>
      </c>
      <c r="N42" s="6">
        <v>35.9</v>
      </c>
      <c r="O42" s="6">
        <v>-4.9800000000000004</v>
      </c>
      <c r="P42" s="6">
        <v>24.35</v>
      </c>
      <c r="Q42" s="6">
        <v>0.26956000000000002</v>
      </c>
      <c r="R42" s="6">
        <v>-0.25146000000000002</v>
      </c>
      <c r="S42" s="6">
        <v>0.13683999999999999</v>
      </c>
      <c r="T42" s="6">
        <v>-0.91937000000000002</v>
      </c>
      <c r="U42" s="6">
        <v>11.057</v>
      </c>
      <c r="V42" s="6">
        <v>1</v>
      </c>
      <c r="W42" s="6">
        <v>1</v>
      </c>
      <c r="X42" s="6" t="s">
        <v>267</v>
      </c>
      <c r="Y42" s="6">
        <v>-0.13421581899999999</v>
      </c>
      <c r="Z42" s="6">
        <v>-0.13955652700000001</v>
      </c>
      <c r="AA42" s="6">
        <v>-1.0646508400000001E-2</v>
      </c>
      <c r="AC42">
        <f t="shared" si="5"/>
        <v>1894.4682399999999</v>
      </c>
      <c r="AD42">
        <f t="shared" si="6"/>
        <v>-7.69</v>
      </c>
      <c r="AE42">
        <f t="shared" si="7"/>
        <v>-7.9960000000000004</v>
      </c>
      <c r="AF42">
        <f t="shared" si="8"/>
        <v>-0.61</v>
      </c>
      <c r="AG42">
        <f t="shared" si="9"/>
        <v>25.692</v>
      </c>
    </row>
    <row r="43" spans="1:33" ht="18.95" customHeight="1">
      <c r="A43" s="4">
        <v>65210105</v>
      </c>
      <c r="B43" s="6">
        <v>1.9534682400000001</v>
      </c>
      <c r="C43" s="6">
        <v>0.64613991400000004</v>
      </c>
      <c r="D43" s="6">
        <v>0.39300000000000002</v>
      </c>
      <c r="E43" s="6">
        <v>-0.36499999999999999</v>
      </c>
      <c r="F43" s="6">
        <v>0.86399999999999999</v>
      </c>
      <c r="G43" s="6">
        <v>-14.282</v>
      </c>
      <c r="H43" s="6">
        <v>-15.137</v>
      </c>
      <c r="I43" s="6">
        <v>-0.73199999999999998</v>
      </c>
      <c r="J43" s="6">
        <v>68.033000000000001</v>
      </c>
      <c r="K43" s="6">
        <v>25.148</v>
      </c>
      <c r="L43" s="6">
        <v>-141.91</v>
      </c>
      <c r="M43" s="6">
        <v>-2.2000000000000002</v>
      </c>
      <c r="N43" s="6">
        <v>35.9</v>
      </c>
      <c r="O43" s="6">
        <v>-4.9800000000000004</v>
      </c>
      <c r="P43" s="6">
        <v>24.35</v>
      </c>
      <c r="Q43" s="6">
        <v>0.26956000000000002</v>
      </c>
      <c r="R43" s="6">
        <v>-0.25146000000000002</v>
      </c>
      <c r="S43" s="6">
        <v>0.13683999999999999</v>
      </c>
      <c r="T43" s="6">
        <v>-0.91937000000000002</v>
      </c>
      <c r="U43" s="6">
        <v>11.116</v>
      </c>
      <c r="V43" s="6">
        <v>1</v>
      </c>
      <c r="W43" s="6">
        <v>1</v>
      </c>
      <c r="X43" s="6" t="s">
        <v>268</v>
      </c>
      <c r="Y43" s="6">
        <v>-0.249267924</v>
      </c>
      <c r="Z43" s="6">
        <v>-0.26419048899999997</v>
      </c>
      <c r="AA43" s="6">
        <v>-1.27758101E-2</v>
      </c>
      <c r="AC43">
        <f t="shared" si="5"/>
        <v>1953.4682400000002</v>
      </c>
      <c r="AD43">
        <f t="shared" si="6"/>
        <v>-14.282</v>
      </c>
      <c r="AE43">
        <f t="shared" si="7"/>
        <v>-15.137</v>
      </c>
      <c r="AF43">
        <f t="shared" si="8"/>
        <v>-0.73199999999999998</v>
      </c>
      <c r="AG43">
        <f t="shared" si="9"/>
        <v>25.148</v>
      </c>
    </row>
    <row r="44" spans="1:33" ht="18.95" customHeight="1">
      <c r="A44" s="4">
        <v>65210165</v>
      </c>
      <c r="B44" s="6">
        <v>2.0134682399999999</v>
      </c>
      <c r="C44" s="6">
        <v>0.66598584500000002</v>
      </c>
      <c r="D44" s="6">
        <v>0.40500000000000003</v>
      </c>
      <c r="E44" s="6">
        <v>-0.38300000000000001</v>
      </c>
      <c r="F44" s="6">
        <v>0.83599999999999997</v>
      </c>
      <c r="G44" s="6">
        <v>-19.103999999999999</v>
      </c>
      <c r="H44" s="6">
        <v>-20.324999999999999</v>
      </c>
      <c r="I44" s="6">
        <v>-1.2210000000000001</v>
      </c>
      <c r="J44" s="6">
        <v>67.039000000000001</v>
      </c>
      <c r="K44" s="6">
        <v>24.318000000000001</v>
      </c>
      <c r="L44" s="6">
        <v>-141.50899999999999</v>
      </c>
      <c r="M44" s="6">
        <v>-2.2000000000000002</v>
      </c>
      <c r="N44" s="6">
        <v>35.9</v>
      </c>
      <c r="O44" s="6">
        <v>-4.9800000000000004</v>
      </c>
      <c r="P44" s="6">
        <v>24.35</v>
      </c>
      <c r="Q44" s="6">
        <v>0.26956000000000002</v>
      </c>
      <c r="R44" s="6">
        <v>-0.25146000000000002</v>
      </c>
      <c r="S44" s="6">
        <v>0.13683999999999999</v>
      </c>
      <c r="T44" s="6">
        <v>-0.91937000000000002</v>
      </c>
      <c r="U44" s="6">
        <v>11.176</v>
      </c>
      <c r="V44" s="6">
        <v>1</v>
      </c>
      <c r="W44" s="6">
        <v>1</v>
      </c>
      <c r="X44" s="6" t="s">
        <v>269</v>
      </c>
      <c r="Y44" s="6">
        <v>-0.33342769999999999</v>
      </c>
      <c r="Z44" s="6">
        <v>-0.35473817000000002</v>
      </c>
      <c r="AA44" s="6">
        <v>-2.1310470200000001E-2</v>
      </c>
      <c r="AC44">
        <f t="shared" si="5"/>
        <v>2013.4682399999999</v>
      </c>
      <c r="AD44">
        <f t="shared" si="6"/>
        <v>-19.103999999999999</v>
      </c>
      <c r="AE44">
        <f t="shared" si="7"/>
        <v>-20.324999999999999</v>
      </c>
      <c r="AF44">
        <f t="shared" si="8"/>
        <v>-1.2210000000000001</v>
      </c>
      <c r="AG44">
        <f t="shared" si="9"/>
        <v>24.318000000000001</v>
      </c>
    </row>
    <row r="45" spans="1:33" ht="18.95" customHeight="1">
      <c r="A45" s="4">
        <v>65210194</v>
      </c>
      <c r="B45" s="6">
        <v>2.0424682399999998</v>
      </c>
      <c r="C45" s="6">
        <v>0.67557804499999996</v>
      </c>
      <c r="D45" s="6">
        <v>0.42299999999999999</v>
      </c>
      <c r="E45" s="6">
        <v>-0.39200000000000002</v>
      </c>
      <c r="F45" s="6">
        <v>0.82399999999999995</v>
      </c>
      <c r="G45" s="6">
        <v>-23.925999999999998</v>
      </c>
      <c r="H45" s="6">
        <v>-25.635000000000002</v>
      </c>
      <c r="I45" s="6">
        <v>-1.6479999999999999</v>
      </c>
      <c r="J45" s="6">
        <v>65.742000000000004</v>
      </c>
      <c r="K45" s="6">
        <v>23.257999999999999</v>
      </c>
      <c r="L45" s="6">
        <v>-140.94900000000001</v>
      </c>
      <c r="M45" s="6">
        <v>-2.2000000000000002</v>
      </c>
      <c r="N45" s="6">
        <v>35.9</v>
      </c>
      <c r="O45" s="6">
        <v>-4.9800000000000004</v>
      </c>
      <c r="P45" s="6">
        <v>24.35</v>
      </c>
      <c r="Q45" s="6">
        <v>0.26956000000000002</v>
      </c>
      <c r="R45" s="6">
        <v>-0.25146000000000002</v>
      </c>
      <c r="S45" s="6">
        <v>0.13683999999999999</v>
      </c>
      <c r="T45" s="6">
        <v>-0.91937000000000002</v>
      </c>
      <c r="U45" s="6">
        <v>11.205</v>
      </c>
      <c r="V45" s="6">
        <v>1</v>
      </c>
      <c r="W45" s="6">
        <v>1</v>
      </c>
      <c r="X45" s="6" t="s">
        <v>270</v>
      </c>
      <c r="Y45" s="6">
        <v>-0.41758747699999998</v>
      </c>
      <c r="Z45" s="6">
        <v>-0.44741515399999998</v>
      </c>
      <c r="AA45" s="6">
        <v>-2.8763026099999998E-2</v>
      </c>
      <c r="AC45">
        <f t="shared" si="5"/>
        <v>2042.4682399999999</v>
      </c>
      <c r="AD45">
        <f t="shared" si="6"/>
        <v>-23.925999999999998</v>
      </c>
      <c r="AE45">
        <f t="shared" si="7"/>
        <v>-25.635000000000002</v>
      </c>
      <c r="AF45">
        <f t="shared" si="8"/>
        <v>-1.6479999999999999</v>
      </c>
      <c r="AG45">
        <f t="shared" si="9"/>
        <v>23.257999999999999</v>
      </c>
    </row>
    <row r="46" spans="1:33" ht="18.95" customHeight="1">
      <c r="A46" s="4">
        <v>65210225</v>
      </c>
      <c r="B46" s="6">
        <v>2.07346824</v>
      </c>
      <c r="C46" s="6">
        <v>0.68583177500000003</v>
      </c>
      <c r="D46" s="6">
        <v>0.442</v>
      </c>
      <c r="E46" s="6">
        <v>-0.41099999999999998</v>
      </c>
      <c r="F46" s="6">
        <v>0.79800000000000004</v>
      </c>
      <c r="G46" s="6">
        <v>-28.625</v>
      </c>
      <c r="H46" s="6">
        <v>-30.579000000000001</v>
      </c>
      <c r="I46" s="6">
        <v>-1.9530000000000001</v>
      </c>
      <c r="J46" s="6">
        <v>64.111000000000004</v>
      </c>
      <c r="K46" s="6">
        <v>21.962</v>
      </c>
      <c r="L46" s="6">
        <v>-140.24600000000001</v>
      </c>
      <c r="M46" s="6">
        <v>-2.2000000000000002</v>
      </c>
      <c r="N46" s="6">
        <v>35.9</v>
      </c>
      <c r="O46" s="6">
        <v>-4.9800000000000004</v>
      </c>
      <c r="P46" s="6">
        <v>24.35</v>
      </c>
      <c r="Q46" s="6">
        <v>0.26956000000000002</v>
      </c>
      <c r="R46" s="6">
        <v>-0.25146000000000002</v>
      </c>
      <c r="S46" s="6">
        <v>0.13683999999999999</v>
      </c>
      <c r="T46" s="6">
        <v>-0.91937000000000002</v>
      </c>
      <c r="U46" s="6">
        <v>11.236000000000001</v>
      </c>
      <c r="V46" s="6">
        <v>1</v>
      </c>
      <c r="W46" s="6">
        <v>1</v>
      </c>
      <c r="X46" s="6" t="s">
        <v>271</v>
      </c>
      <c r="Y46" s="6">
        <v>-0.499600498</v>
      </c>
      <c r="Z46" s="6">
        <v>-0.53370423199999995</v>
      </c>
      <c r="AA46" s="6">
        <v>-3.4086280300000001E-2</v>
      </c>
      <c r="AC46">
        <f t="shared" si="5"/>
        <v>2073.4682400000002</v>
      </c>
      <c r="AD46">
        <f t="shared" si="6"/>
        <v>-28.625</v>
      </c>
      <c r="AE46">
        <f t="shared" si="7"/>
        <v>-30.579000000000001</v>
      </c>
      <c r="AF46">
        <f t="shared" si="8"/>
        <v>-1.9530000000000001</v>
      </c>
      <c r="AG46">
        <f t="shared" si="9"/>
        <v>21.962</v>
      </c>
    </row>
    <row r="47" spans="1:33" ht="18.95" customHeight="1">
      <c r="A47" s="4">
        <v>65210315</v>
      </c>
      <c r="B47" s="6">
        <v>2.1634682399999998</v>
      </c>
      <c r="C47" s="6">
        <v>0.71560067100000002</v>
      </c>
      <c r="D47" s="6">
        <v>0.46700000000000003</v>
      </c>
      <c r="E47" s="6">
        <v>-0.42599999999999999</v>
      </c>
      <c r="F47" s="6">
        <v>0.77900000000000003</v>
      </c>
      <c r="G47" s="6">
        <v>-31.798999999999999</v>
      </c>
      <c r="H47" s="6">
        <v>-34.119</v>
      </c>
      <c r="I47" s="6">
        <v>-2.0139999999999998</v>
      </c>
      <c r="J47" s="6">
        <v>62.226999999999997</v>
      </c>
      <c r="K47" s="6">
        <v>20.527999999999999</v>
      </c>
      <c r="L47" s="6">
        <v>-139.37799999999999</v>
      </c>
      <c r="M47" s="6">
        <v>-2.2000000000000002</v>
      </c>
      <c r="N47" s="6">
        <v>35.9</v>
      </c>
      <c r="O47" s="6">
        <v>-4.9800000000000004</v>
      </c>
      <c r="P47" s="6">
        <v>24.35</v>
      </c>
      <c r="Q47" s="6">
        <v>0.26956000000000002</v>
      </c>
      <c r="R47" s="6">
        <v>-0.25146000000000002</v>
      </c>
      <c r="S47" s="6">
        <v>0.13683999999999999</v>
      </c>
      <c r="T47" s="6">
        <v>-0.91937000000000002</v>
      </c>
      <c r="U47" s="6">
        <v>11.326000000000001</v>
      </c>
      <c r="V47" s="6">
        <v>1</v>
      </c>
      <c r="W47" s="6">
        <v>1</v>
      </c>
      <c r="X47" s="6" t="s">
        <v>272</v>
      </c>
      <c r="Y47" s="6">
        <v>-0.55499724900000003</v>
      </c>
      <c r="Z47" s="6">
        <v>-0.59548888700000002</v>
      </c>
      <c r="AA47" s="6">
        <v>-3.5150931099999998E-2</v>
      </c>
      <c r="AC47">
        <f t="shared" si="5"/>
        <v>2163.4682399999997</v>
      </c>
      <c r="AD47">
        <f t="shared" si="6"/>
        <v>-31.798999999999999</v>
      </c>
      <c r="AE47">
        <f t="shared" si="7"/>
        <v>-34.119</v>
      </c>
      <c r="AF47">
        <f t="shared" si="8"/>
        <v>-2.0139999999999998</v>
      </c>
      <c r="AG47">
        <f t="shared" si="9"/>
        <v>20.527999999999999</v>
      </c>
    </row>
    <row r="48" spans="1:33" ht="18.95" customHeight="1">
      <c r="A48" s="4">
        <v>65210345</v>
      </c>
      <c r="B48" s="6">
        <v>2.1934682400000001</v>
      </c>
      <c r="C48" s="6">
        <v>0.72552363600000003</v>
      </c>
      <c r="D48" s="6">
        <v>0.498</v>
      </c>
      <c r="E48" s="6">
        <v>-0.44800000000000001</v>
      </c>
      <c r="F48" s="6">
        <v>0.747</v>
      </c>
      <c r="G48" s="6">
        <v>-35.094999999999999</v>
      </c>
      <c r="H48" s="6">
        <v>-37.597999999999999</v>
      </c>
      <c r="I48" s="6">
        <v>-2.1970000000000001</v>
      </c>
      <c r="J48" s="6">
        <v>60.094999999999999</v>
      </c>
      <c r="K48" s="6">
        <v>18.968</v>
      </c>
      <c r="L48" s="6">
        <v>-138.36699999999999</v>
      </c>
      <c r="M48" s="6">
        <v>-2.2000000000000002</v>
      </c>
      <c r="N48" s="6">
        <v>35.9</v>
      </c>
      <c r="O48" s="6">
        <v>-4.9800000000000004</v>
      </c>
      <c r="P48" s="6">
        <v>24.35</v>
      </c>
      <c r="Q48" s="6">
        <v>0.26956000000000002</v>
      </c>
      <c r="R48" s="6">
        <v>-0.25146000000000002</v>
      </c>
      <c r="S48" s="6">
        <v>0.13683999999999999</v>
      </c>
      <c r="T48" s="6">
        <v>-0.91937000000000002</v>
      </c>
      <c r="U48" s="6">
        <v>11.356</v>
      </c>
      <c r="V48" s="6">
        <v>1</v>
      </c>
      <c r="W48" s="6">
        <v>1</v>
      </c>
      <c r="X48" s="6" t="s">
        <v>273</v>
      </c>
      <c r="Y48" s="6">
        <v>-0.61252330099999996</v>
      </c>
      <c r="Z48" s="6">
        <v>-0.65620889199999999</v>
      </c>
      <c r="AA48" s="6">
        <v>-3.8344883699999999E-2</v>
      </c>
      <c r="AC48">
        <f t="shared" si="5"/>
        <v>2193.4682400000002</v>
      </c>
      <c r="AD48">
        <f t="shared" si="6"/>
        <v>-35.094999999999999</v>
      </c>
      <c r="AE48">
        <f t="shared" si="7"/>
        <v>-37.597999999999999</v>
      </c>
      <c r="AF48">
        <f t="shared" si="8"/>
        <v>-2.1970000000000001</v>
      </c>
      <c r="AG48">
        <f t="shared" si="9"/>
        <v>18.968</v>
      </c>
    </row>
    <row r="49" spans="1:33" ht="18.95" customHeight="1">
      <c r="A49" s="4">
        <v>65210404</v>
      </c>
      <c r="B49" s="6">
        <v>2.2524682399999998</v>
      </c>
      <c r="C49" s="6">
        <v>0.74503880099999997</v>
      </c>
      <c r="D49" s="6">
        <v>0.53800000000000003</v>
      </c>
      <c r="E49" s="6">
        <v>-0.46600000000000003</v>
      </c>
      <c r="F49" s="6">
        <v>0.70699999999999996</v>
      </c>
      <c r="G49" s="6">
        <v>-37.841999999999999</v>
      </c>
      <c r="H49" s="6">
        <v>-40.405000000000001</v>
      </c>
      <c r="I49" s="6">
        <v>-2.1360000000000001</v>
      </c>
      <c r="J49" s="6">
        <v>57.695</v>
      </c>
      <c r="K49" s="6">
        <v>17.314</v>
      </c>
      <c r="L49" s="6">
        <v>-137.15899999999999</v>
      </c>
      <c r="M49" s="6">
        <v>-14.1</v>
      </c>
      <c r="N49" s="6">
        <v>37.1</v>
      </c>
      <c r="O49" s="6">
        <v>-6.1870000000000003</v>
      </c>
      <c r="P49" s="6">
        <v>24.35</v>
      </c>
      <c r="Q49" s="6">
        <v>0.26956000000000002</v>
      </c>
      <c r="R49" s="6">
        <v>-0.25146000000000002</v>
      </c>
      <c r="S49" s="6">
        <v>0.13683999999999999</v>
      </c>
      <c r="T49" s="6">
        <v>-0.91937000000000002</v>
      </c>
      <c r="U49" s="6">
        <v>11.414999999999999</v>
      </c>
      <c r="V49" s="6">
        <v>1</v>
      </c>
      <c r="W49" s="6">
        <v>1</v>
      </c>
      <c r="X49" s="6" t="s">
        <v>274</v>
      </c>
      <c r="Y49" s="6">
        <v>-0.66046749599999999</v>
      </c>
      <c r="Z49" s="6">
        <v>-0.70520028400000001</v>
      </c>
      <c r="AA49" s="6">
        <v>-3.72802328E-2</v>
      </c>
      <c r="AC49">
        <f t="shared" si="5"/>
        <v>2252.4682399999997</v>
      </c>
      <c r="AD49">
        <f t="shared" si="6"/>
        <v>-37.841999999999999</v>
      </c>
      <c r="AE49">
        <f t="shared" si="7"/>
        <v>-40.405000000000001</v>
      </c>
      <c r="AF49">
        <f t="shared" si="8"/>
        <v>-2.1360000000000001</v>
      </c>
      <c r="AG49">
        <f t="shared" si="9"/>
        <v>17.314</v>
      </c>
    </row>
    <row r="50" spans="1:33" ht="18.95" customHeight="1">
      <c r="A50" s="4">
        <v>65210435</v>
      </c>
      <c r="B50" s="6">
        <v>2.2834682399999999</v>
      </c>
      <c r="C50" s="6">
        <v>0.75529253200000002</v>
      </c>
      <c r="D50" s="6">
        <v>0.56399999999999995</v>
      </c>
      <c r="E50" s="6">
        <v>-0.504</v>
      </c>
      <c r="F50" s="6">
        <v>0.65200000000000002</v>
      </c>
      <c r="G50" s="6">
        <v>-38.451999999999998</v>
      </c>
      <c r="H50" s="6">
        <v>-41.015999999999998</v>
      </c>
      <c r="I50" s="6">
        <v>-2.5630000000000002</v>
      </c>
      <c r="J50" s="6">
        <v>55.08</v>
      </c>
      <c r="K50" s="6">
        <v>15.622999999999999</v>
      </c>
      <c r="L50" s="6">
        <v>-135.791</v>
      </c>
      <c r="M50" s="6">
        <v>-14.1</v>
      </c>
      <c r="N50" s="6">
        <v>37.1</v>
      </c>
      <c r="O50" s="6">
        <v>-6.1870000000000003</v>
      </c>
      <c r="P50" s="6">
        <v>24.35</v>
      </c>
      <c r="Q50" s="6">
        <v>0.25330000000000003</v>
      </c>
      <c r="R50" s="6">
        <v>-0.37119000000000002</v>
      </c>
      <c r="S50" s="6">
        <v>0.19388</v>
      </c>
      <c r="T50" s="6">
        <v>-0.87197999999999998</v>
      </c>
      <c r="U50" s="6">
        <v>11.446</v>
      </c>
      <c r="V50" s="6">
        <v>1</v>
      </c>
      <c r="W50" s="6">
        <v>1</v>
      </c>
      <c r="X50" s="6" t="s">
        <v>275</v>
      </c>
      <c r="Y50" s="6">
        <v>-0.67111400399999999</v>
      </c>
      <c r="Z50" s="6">
        <v>-0.71586424599999998</v>
      </c>
      <c r="AA50" s="6">
        <v>-4.4732788699999998E-2</v>
      </c>
      <c r="AC50">
        <f t="shared" si="5"/>
        <v>2283.4682400000002</v>
      </c>
      <c r="AD50">
        <f t="shared" si="6"/>
        <v>-38.451999999999998</v>
      </c>
      <c r="AE50">
        <f t="shared" si="7"/>
        <v>-41.015999999999998</v>
      </c>
      <c r="AF50">
        <f t="shared" si="8"/>
        <v>-2.5630000000000002</v>
      </c>
      <c r="AG50">
        <f t="shared" si="9"/>
        <v>15.622999999999999</v>
      </c>
    </row>
    <row r="51" spans="1:33" ht="18.95" customHeight="1">
      <c r="A51" s="4">
        <v>65210524</v>
      </c>
      <c r="B51" s="6">
        <v>2.3724682399999999</v>
      </c>
      <c r="C51" s="6">
        <v>0.78473066199999997</v>
      </c>
      <c r="D51" s="6">
        <v>0.57999999999999996</v>
      </c>
      <c r="E51" s="6">
        <v>-0.52400000000000002</v>
      </c>
      <c r="F51" s="6">
        <v>0.60899999999999999</v>
      </c>
      <c r="G51" s="6">
        <v>-39.307000000000002</v>
      </c>
      <c r="H51" s="6">
        <v>-41.991999999999997</v>
      </c>
      <c r="I51" s="6">
        <v>-2.4409999999999998</v>
      </c>
      <c r="J51" s="6">
        <v>52.305999999999997</v>
      </c>
      <c r="K51" s="6">
        <v>13.946999999999999</v>
      </c>
      <c r="L51" s="6">
        <v>-134.25800000000001</v>
      </c>
      <c r="M51" s="6">
        <v>-14.1</v>
      </c>
      <c r="N51" s="6">
        <v>37.1</v>
      </c>
      <c r="O51" s="6">
        <v>-6.1870000000000003</v>
      </c>
      <c r="P51" s="6">
        <v>24.35</v>
      </c>
      <c r="Q51" s="6">
        <v>0.25330000000000003</v>
      </c>
      <c r="R51" s="6">
        <v>-0.37119000000000002</v>
      </c>
      <c r="S51" s="6">
        <v>0.19388</v>
      </c>
      <c r="T51" s="6">
        <v>-0.87197999999999998</v>
      </c>
      <c r="U51" s="6">
        <v>11.535</v>
      </c>
      <c r="V51" s="6">
        <v>1</v>
      </c>
      <c r="W51" s="6">
        <v>1</v>
      </c>
      <c r="X51" s="6" t="s">
        <v>276</v>
      </c>
      <c r="Y51" s="6">
        <v>-0.68603656899999998</v>
      </c>
      <c r="Z51" s="6">
        <v>-0.73289865899999995</v>
      </c>
      <c r="AA51" s="6">
        <v>-4.2603487000000002E-2</v>
      </c>
      <c r="AC51">
        <f t="shared" si="5"/>
        <v>2372.4682399999997</v>
      </c>
      <c r="AD51">
        <f t="shared" si="6"/>
        <v>-39.307000000000002</v>
      </c>
      <c r="AE51">
        <f t="shared" si="7"/>
        <v>-41.991999999999997</v>
      </c>
      <c r="AF51">
        <f t="shared" si="8"/>
        <v>-2.4409999999999998</v>
      </c>
      <c r="AG51">
        <f t="shared" si="9"/>
        <v>13.946999999999999</v>
      </c>
    </row>
    <row r="52" spans="1:33" ht="18.95" customHeight="1">
      <c r="A52" s="4">
        <v>65210585</v>
      </c>
      <c r="B52" s="6">
        <v>2.4334682399999998</v>
      </c>
      <c r="C52" s="6">
        <v>0.80490735899999999</v>
      </c>
      <c r="D52" s="6">
        <v>0.62</v>
      </c>
      <c r="E52" s="6">
        <v>-0.55449999999999999</v>
      </c>
      <c r="F52" s="6">
        <v>0.54800000000000004</v>
      </c>
      <c r="G52" s="6">
        <v>-40.222000000000001</v>
      </c>
      <c r="H52" s="6">
        <v>-42.938499999999998</v>
      </c>
      <c r="I52" s="6">
        <v>-2.6555</v>
      </c>
      <c r="J52" s="6">
        <v>47.814999999999998</v>
      </c>
      <c r="K52" s="6">
        <v>11.513500000000001</v>
      </c>
      <c r="L52" s="6">
        <v>-131.655</v>
      </c>
      <c r="M52" s="6">
        <v>-14.1</v>
      </c>
      <c r="N52" s="6">
        <v>37.1</v>
      </c>
      <c r="O52" s="6">
        <v>-6.1870000000000003</v>
      </c>
      <c r="P52" s="6">
        <v>24.35</v>
      </c>
      <c r="Q52" s="6">
        <v>0.25330000000000003</v>
      </c>
      <c r="R52" s="6">
        <v>-0.37119000000000002</v>
      </c>
      <c r="S52" s="6">
        <v>0.19388</v>
      </c>
      <c r="T52" s="6">
        <v>-0.87197999999999998</v>
      </c>
      <c r="U52" s="6">
        <v>11.596</v>
      </c>
      <c r="V52" s="6">
        <v>2</v>
      </c>
      <c r="W52" s="6">
        <v>2</v>
      </c>
      <c r="X52" s="6" t="s">
        <v>277</v>
      </c>
      <c r="Y52" s="6">
        <v>-0.70200633199999996</v>
      </c>
      <c r="Z52" s="6">
        <v>-0.74941820100000001</v>
      </c>
      <c r="AA52" s="6">
        <v>-4.63472183E-2</v>
      </c>
      <c r="AC52">
        <f t="shared" si="5"/>
        <v>2433.4682399999997</v>
      </c>
      <c r="AD52">
        <f t="shared" si="6"/>
        <v>-40.222000000000001</v>
      </c>
      <c r="AE52">
        <f t="shared" si="7"/>
        <v>-42.938499999999998</v>
      </c>
      <c r="AF52">
        <f t="shared" si="8"/>
        <v>-2.6555</v>
      </c>
      <c r="AG52">
        <f t="shared" si="9"/>
        <v>11.513500000000001</v>
      </c>
    </row>
    <row r="53" spans="1:33" ht="18.95" customHeight="1">
      <c r="A53" s="4">
        <v>65210644</v>
      </c>
      <c r="B53" s="6">
        <v>2.49246824</v>
      </c>
      <c r="C53" s="6">
        <v>0.82442252400000005</v>
      </c>
      <c r="D53" s="6">
        <v>0.63900000000000001</v>
      </c>
      <c r="E53" s="6">
        <v>-0.57799999999999996</v>
      </c>
      <c r="F53" s="6">
        <v>0.48099999999999998</v>
      </c>
      <c r="G53" s="6">
        <v>-40.1</v>
      </c>
      <c r="H53" s="6">
        <v>-42.847000000000001</v>
      </c>
      <c r="I53" s="6">
        <v>-2.625</v>
      </c>
      <c r="J53" s="6">
        <v>43</v>
      </c>
      <c r="K53" s="6">
        <v>9.2070000000000007</v>
      </c>
      <c r="L53" s="6">
        <v>-128.727</v>
      </c>
      <c r="M53" s="6">
        <v>-14.1</v>
      </c>
      <c r="N53" s="6">
        <v>37.1</v>
      </c>
      <c r="O53" s="6">
        <v>-6.1870000000000003</v>
      </c>
      <c r="P53" s="6">
        <v>24.35</v>
      </c>
      <c r="Q53" s="6">
        <v>0.25330000000000003</v>
      </c>
      <c r="R53" s="6">
        <v>-0.37119000000000002</v>
      </c>
      <c r="S53" s="6">
        <v>0.19388</v>
      </c>
      <c r="T53" s="6">
        <v>-0.87197999999999998</v>
      </c>
      <c r="U53" s="6">
        <v>11.654999999999999</v>
      </c>
      <c r="V53" s="6">
        <v>1</v>
      </c>
      <c r="W53" s="6">
        <v>1</v>
      </c>
      <c r="X53" s="6" t="s">
        <v>278</v>
      </c>
      <c r="Y53" s="6">
        <v>-0.69987703000000001</v>
      </c>
      <c r="Z53" s="6">
        <v>-0.74782122500000003</v>
      </c>
      <c r="AA53" s="6">
        <v>-4.5814892900000001E-2</v>
      </c>
      <c r="AC53">
        <f t="shared" si="5"/>
        <v>2492.4682400000002</v>
      </c>
      <c r="AD53">
        <f t="shared" si="6"/>
        <v>-40.1</v>
      </c>
      <c r="AE53">
        <f t="shared" si="7"/>
        <v>-42.847000000000001</v>
      </c>
      <c r="AF53">
        <f t="shared" si="8"/>
        <v>-2.625</v>
      </c>
      <c r="AG53">
        <f t="shared" si="9"/>
        <v>9.2070000000000007</v>
      </c>
    </row>
    <row r="54" spans="1:33" ht="18.95" customHeight="1">
      <c r="A54" s="4">
        <v>65210735</v>
      </c>
      <c r="B54" s="6">
        <v>2.5834682400000002</v>
      </c>
      <c r="C54" s="6">
        <v>0.85452218499999999</v>
      </c>
      <c r="D54" s="6">
        <v>0.65400000000000003</v>
      </c>
      <c r="E54" s="6">
        <v>-0.59099999999999997</v>
      </c>
      <c r="F54" s="6">
        <v>0.44</v>
      </c>
      <c r="G54" s="6">
        <v>-40.161000000000001</v>
      </c>
      <c r="H54" s="6">
        <v>-43.03</v>
      </c>
      <c r="I54" s="6">
        <v>-2.5630000000000002</v>
      </c>
      <c r="J54" s="6">
        <v>39.628</v>
      </c>
      <c r="K54" s="6">
        <v>7.7949999999999999</v>
      </c>
      <c r="L54" s="6">
        <v>-126.57299999999999</v>
      </c>
      <c r="M54" s="6">
        <v>-14.1</v>
      </c>
      <c r="N54" s="6">
        <v>37.1</v>
      </c>
      <c r="O54" s="6">
        <v>-6.1870000000000003</v>
      </c>
      <c r="P54" s="6">
        <v>24.35</v>
      </c>
      <c r="Q54" s="6">
        <v>0.25330000000000003</v>
      </c>
      <c r="R54" s="6">
        <v>-0.37119000000000002</v>
      </c>
      <c r="S54" s="6">
        <v>0.19388</v>
      </c>
      <c r="T54" s="6">
        <v>-0.87197999999999998</v>
      </c>
      <c r="U54" s="6">
        <v>11.746</v>
      </c>
      <c r="V54" s="6">
        <v>1</v>
      </c>
      <c r="W54" s="6">
        <v>1</v>
      </c>
      <c r="X54" s="6" t="s">
        <v>279</v>
      </c>
      <c r="Y54" s="6">
        <v>-0.70094168099999998</v>
      </c>
      <c r="Z54" s="6">
        <v>-0.75101517699999998</v>
      </c>
      <c r="AA54" s="6">
        <v>-4.4732788699999998E-2</v>
      </c>
      <c r="AC54">
        <f t="shared" si="5"/>
        <v>2583.4682400000002</v>
      </c>
      <c r="AD54">
        <f t="shared" si="6"/>
        <v>-40.161000000000001</v>
      </c>
      <c r="AE54">
        <f t="shared" si="7"/>
        <v>-43.03</v>
      </c>
      <c r="AF54">
        <f t="shared" si="8"/>
        <v>-2.5630000000000002</v>
      </c>
      <c r="AG54">
        <f t="shared" si="9"/>
        <v>7.7949999999999999</v>
      </c>
    </row>
    <row r="55" spans="1:33" ht="18.95" customHeight="1">
      <c r="A55" s="4">
        <v>65210765</v>
      </c>
      <c r="B55" s="6">
        <v>2.61346824</v>
      </c>
      <c r="C55" s="6">
        <v>0.86444515</v>
      </c>
      <c r="D55" s="6">
        <v>0.68300000000000005</v>
      </c>
      <c r="E55" s="6">
        <v>-0.59799999999999998</v>
      </c>
      <c r="F55" s="6">
        <v>0.40100000000000002</v>
      </c>
      <c r="G55" s="6">
        <v>-40.71</v>
      </c>
      <c r="H55" s="6">
        <v>-43.457000000000001</v>
      </c>
      <c r="I55" s="6">
        <v>-2.5630000000000002</v>
      </c>
      <c r="J55" s="6">
        <v>36.112000000000002</v>
      </c>
      <c r="K55" s="6">
        <v>6.4820000000000002</v>
      </c>
      <c r="L55" s="6">
        <v>-124.283</v>
      </c>
      <c r="M55" s="6">
        <v>-30.9</v>
      </c>
      <c r="N55" s="6">
        <v>29.2</v>
      </c>
      <c r="O55" s="6">
        <v>-3.2469999999999999</v>
      </c>
      <c r="P55" s="6">
        <v>24.35</v>
      </c>
      <c r="Q55" s="6">
        <v>0.25330000000000003</v>
      </c>
      <c r="R55" s="6">
        <v>-0.37119000000000002</v>
      </c>
      <c r="S55" s="6">
        <v>0.19388</v>
      </c>
      <c r="T55" s="6">
        <v>-0.87197999999999998</v>
      </c>
      <c r="U55" s="6">
        <v>11.776</v>
      </c>
      <c r="V55" s="6">
        <v>1</v>
      </c>
      <c r="W55" s="6">
        <v>1</v>
      </c>
      <c r="X55" s="6" t="s">
        <v>280</v>
      </c>
      <c r="Y55" s="6">
        <v>-0.71052353800000001</v>
      </c>
      <c r="Z55" s="6">
        <v>-0.75846773300000003</v>
      </c>
      <c r="AA55" s="6">
        <v>-4.4732788699999998E-2</v>
      </c>
      <c r="AC55">
        <f t="shared" si="5"/>
        <v>2613.4682400000002</v>
      </c>
      <c r="AD55">
        <f t="shared" si="6"/>
        <v>-40.71</v>
      </c>
      <c r="AE55">
        <f t="shared" si="7"/>
        <v>-43.457000000000001</v>
      </c>
      <c r="AF55">
        <f t="shared" si="8"/>
        <v>-2.5630000000000002</v>
      </c>
      <c r="AG55">
        <f t="shared" si="9"/>
        <v>6.4820000000000002</v>
      </c>
    </row>
    <row r="56" spans="1:33" ht="18.95" customHeight="1">
      <c r="A56" s="4">
        <v>65210796</v>
      </c>
      <c r="B56" s="6">
        <v>2.6444682400000001</v>
      </c>
      <c r="C56" s="6">
        <v>0.87469888100000004</v>
      </c>
      <c r="D56" s="6">
        <v>0.69599999999999995</v>
      </c>
      <c r="E56" s="6">
        <v>-0.625</v>
      </c>
      <c r="F56" s="6">
        <v>0.33500000000000002</v>
      </c>
      <c r="G56" s="6">
        <v>-39.307000000000002</v>
      </c>
      <c r="H56" s="6">
        <v>-42.052999999999997</v>
      </c>
      <c r="I56" s="6">
        <v>-2.38</v>
      </c>
      <c r="J56" s="6">
        <v>32.475999999999999</v>
      </c>
      <c r="K56" s="6">
        <v>5.3010000000000002</v>
      </c>
      <c r="L56" s="6">
        <v>-121.84399999999999</v>
      </c>
      <c r="M56" s="6">
        <v>-30.9</v>
      </c>
      <c r="N56" s="6">
        <v>29.2</v>
      </c>
      <c r="O56" s="6">
        <v>-3.2469999999999999</v>
      </c>
      <c r="P56" s="6">
        <v>24.35</v>
      </c>
      <c r="Q56" s="6">
        <v>0.25330000000000003</v>
      </c>
      <c r="R56" s="6">
        <v>-0.37119000000000002</v>
      </c>
      <c r="S56" s="6">
        <v>0.19388</v>
      </c>
      <c r="T56" s="6">
        <v>-0.87197999999999998</v>
      </c>
      <c r="U56" s="6">
        <v>11.807</v>
      </c>
      <c r="V56" s="6">
        <v>1</v>
      </c>
      <c r="W56" s="6">
        <v>1</v>
      </c>
      <c r="X56" s="6" t="s">
        <v>281</v>
      </c>
      <c r="Y56" s="6">
        <v>-0.68603656899999998</v>
      </c>
      <c r="Z56" s="6">
        <v>-0.73396331000000004</v>
      </c>
      <c r="AA56" s="6">
        <v>-4.1538836199999998E-2</v>
      </c>
      <c r="AC56">
        <f t="shared" si="5"/>
        <v>2644.4682400000002</v>
      </c>
      <c r="AD56">
        <f t="shared" si="6"/>
        <v>-39.307000000000002</v>
      </c>
      <c r="AE56">
        <f t="shared" si="7"/>
        <v>-42.052999999999997</v>
      </c>
      <c r="AF56">
        <f t="shared" si="8"/>
        <v>-2.38</v>
      </c>
      <c r="AG56">
        <f t="shared" si="9"/>
        <v>5.3010000000000002</v>
      </c>
    </row>
    <row r="57" spans="1:33" ht="18.95" customHeight="1">
      <c r="A57" s="4">
        <v>65210885</v>
      </c>
      <c r="B57" s="6">
        <v>2.7334682400000001</v>
      </c>
      <c r="C57" s="6">
        <v>0.90413701099999999</v>
      </c>
      <c r="D57" s="6">
        <v>0.71399999999999997</v>
      </c>
      <c r="E57" s="6">
        <v>-0.63200000000000001</v>
      </c>
      <c r="F57" s="6">
        <v>0.29499999999999998</v>
      </c>
      <c r="G57" s="6">
        <v>-37.475999999999999</v>
      </c>
      <c r="H57" s="6">
        <v>-40.039000000000001</v>
      </c>
      <c r="I57" s="6">
        <v>-2.258</v>
      </c>
      <c r="J57" s="6">
        <v>28.911000000000001</v>
      </c>
      <c r="K57" s="6">
        <v>4.2789999999999999</v>
      </c>
      <c r="L57" s="6">
        <v>-119.41</v>
      </c>
      <c r="M57" s="6">
        <v>-30.9</v>
      </c>
      <c r="N57" s="6">
        <v>29.2</v>
      </c>
      <c r="O57" s="6">
        <v>-3.2469999999999999</v>
      </c>
      <c r="P57" s="6">
        <v>24.35</v>
      </c>
      <c r="Q57" s="6">
        <v>0.22098000000000001</v>
      </c>
      <c r="R57" s="6">
        <v>-0.52327999999999997</v>
      </c>
      <c r="S57" s="6">
        <v>0.26605000000000001</v>
      </c>
      <c r="T57" s="6">
        <v>-0.77875000000000005</v>
      </c>
      <c r="U57" s="6">
        <v>11.896000000000001</v>
      </c>
      <c r="V57" s="6">
        <v>1</v>
      </c>
      <c r="W57" s="6">
        <v>1</v>
      </c>
      <c r="X57" s="6" t="s">
        <v>282</v>
      </c>
      <c r="Y57" s="6">
        <v>-0.65407959000000004</v>
      </c>
      <c r="Z57" s="6">
        <v>-0.69881237900000004</v>
      </c>
      <c r="AA57" s="6">
        <v>-3.9409534500000003E-2</v>
      </c>
      <c r="AC57">
        <f t="shared" si="5"/>
        <v>2733.4682400000002</v>
      </c>
      <c r="AD57">
        <f t="shared" si="6"/>
        <v>-37.475999999999999</v>
      </c>
      <c r="AE57">
        <f t="shared" si="7"/>
        <v>-40.039000000000001</v>
      </c>
      <c r="AF57">
        <f t="shared" si="8"/>
        <v>-2.258</v>
      </c>
      <c r="AG57">
        <f t="shared" si="9"/>
        <v>4.2789999999999999</v>
      </c>
    </row>
    <row r="58" spans="1:33" ht="18.95" customHeight="1">
      <c r="A58" s="4">
        <v>65210914</v>
      </c>
      <c r="B58" s="6">
        <v>2.76246824</v>
      </c>
      <c r="C58" s="6">
        <v>0.91372921100000004</v>
      </c>
      <c r="D58" s="6">
        <v>0.72599999999999998</v>
      </c>
      <c r="E58" s="6">
        <v>-0.64500000000000002</v>
      </c>
      <c r="F58" s="6">
        <v>0.245</v>
      </c>
      <c r="G58" s="6">
        <v>-36.072000000000003</v>
      </c>
      <c r="H58" s="6">
        <v>-38.451999999999998</v>
      </c>
      <c r="I58" s="6">
        <v>-2.258</v>
      </c>
      <c r="J58" s="6">
        <v>25.329000000000001</v>
      </c>
      <c r="K58" s="6">
        <v>3.4</v>
      </c>
      <c r="L58" s="6">
        <v>-116.917</v>
      </c>
      <c r="M58" s="6">
        <v>-30.9</v>
      </c>
      <c r="N58" s="6">
        <v>29.2</v>
      </c>
      <c r="O58" s="6">
        <v>-3.2469999999999999</v>
      </c>
      <c r="P58" s="6">
        <v>24.35</v>
      </c>
      <c r="Q58" s="6">
        <v>0.22098000000000001</v>
      </c>
      <c r="R58" s="6">
        <v>-0.52327999999999997</v>
      </c>
      <c r="S58" s="6">
        <v>0.26605000000000001</v>
      </c>
      <c r="T58" s="6">
        <v>-0.77875000000000005</v>
      </c>
      <c r="U58" s="6">
        <v>11.925000000000001</v>
      </c>
      <c r="V58" s="6">
        <v>1</v>
      </c>
      <c r="W58" s="6">
        <v>1</v>
      </c>
      <c r="X58" s="6" t="s">
        <v>283</v>
      </c>
      <c r="Y58" s="6">
        <v>-0.62957516800000002</v>
      </c>
      <c r="Z58" s="6">
        <v>-0.67111400399999999</v>
      </c>
      <c r="AA58" s="6">
        <v>-3.9409534500000003E-2</v>
      </c>
      <c r="AC58">
        <f t="shared" si="5"/>
        <v>2762.4682400000002</v>
      </c>
      <c r="AD58">
        <f t="shared" si="6"/>
        <v>-36.072000000000003</v>
      </c>
      <c r="AE58">
        <f t="shared" si="7"/>
        <v>-38.451999999999998</v>
      </c>
      <c r="AF58">
        <f t="shared" si="8"/>
        <v>-2.258</v>
      </c>
      <c r="AG58">
        <f t="shared" si="9"/>
        <v>3.4</v>
      </c>
    </row>
    <row r="59" spans="1:33" ht="18.95" customHeight="1">
      <c r="A59" s="4">
        <v>65210975</v>
      </c>
      <c r="B59" s="6">
        <v>2.82346824</v>
      </c>
      <c r="C59" s="6">
        <v>0.93390590699999998</v>
      </c>
      <c r="D59" s="6">
        <v>0.74</v>
      </c>
      <c r="E59" s="6">
        <v>-0.65300000000000002</v>
      </c>
      <c r="F59" s="6">
        <v>0.19600000000000001</v>
      </c>
      <c r="G59" s="6">
        <v>-34.79</v>
      </c>
      <c r="H59" s="6">
        <v>-37.231000000000002</v>
      </c>
      <c r="I59" s="6">
        <v>-2.258</v>
      </c>
      <c r="J59" s="6">
        <v>21.763999999999999</v>
      </c>
      <c r="K59" s="6">
        <v>2.6480000000000001</v>
      </c>
      <c r="L59" s="6">
        <v>-114.40600000000001</v>
      </c>
      <c r="M59" s="6">
        <v>-30.9</v>
      </c>
      <c r="N59" s="6">
        <v>29.2</v>
      </c>
      <c r="O59" s="6">
        <v>-3.2469999999999999</v>
      </c>
      <c r="P59" s="6">
        <v>24.35</v>
      </c>
      <c r="Q59" s="6">
        <v>0.22098000000000001</v>
      </c>
      <c r="R59" s="6">
        <v>-0.52327999999999997</v>
      </c>
      <c r="S59" s="6">
        <v>0.26605000000000001</v>
      </c>
      <c r="T59" s="6">
        <v>-0.77875000000000005</v>
      </c>
      <c r="U59" s="6">
        <v>11.986000000000001</v>
      </c>
      <c r="V59" s="6">
        <v>1</v>
      </c>
      <c r="W59" s="6">
        <v>1</v>
      </c>
      <c r="X59" s="6" t="s">
        <v>284</v>
      </c>
      <c r="Y59" s="6">
        <v>-0.60720004699999997</v>
      </c>
      <c r="Z59" s="6">
        <v>-0.64980353400000002</v>
      </c>
      <c r="AA59" s="6">
        <v>-3.9409534500000003E-2</v>
      </c>
      <c r="AC59">
        <f t="shared" si="5"/>
        <v>2823.4682400000002</v>
      </c>
      <c r="AD59">
        <f t="shared" si="6"/>
        <v>-34.79</v>
      </c>
      <c r="AE59">
        <f t="shared" si="7"/>
        <v>-37.231000000000002</v>
      </c>
      <c r="AF59">
        <f t="shared" si="8"/>
        <v>-2.258</v>
      </c>
      <c r="AG59">
        <f t="shared" si="9"/>
        <v>2.6480000000000001</v>
      </c>
    </row>
    <row r="60" spans="1:33" ht="18.95" customHeight="1">
      <c r="A60" s="4">
        <v>65211033</v>
      </c>
      <c r="B60" s="6">
        <v>2.8814682399999998</v>
      </c>
      <c r="C60" s="6">
        <v>0.953090306</v>
      </c>
      <c r="D60" s="6">
        <v>0.74399999999999999</v>
      </c>
      <c r="E60" s="6">
        <v>-0.66300000000000003</v>
      </c>
      <c r="F60" s="6">
        <v>0.14799999999999999</v>
      </c>
      <c r="G60" s="6">
        <v>-32.287999999999997</v>
      </c>
      <c r="H60" s="6">
        <v>-34.484999999999999</v>
      </c>
      <c r="I60" s="6">
        <v>-2.1360000000000001</v>
      </c>
      <c r="J60" s="6">
        <v>18.292000000000002</v>
      </c>
      <c r="K60" s="6">
        <v>2.0379999999999998</v>
      </c>
      <c r="L60" s="6">
        <v>-111.929</v>
      </c>
      <c r="M60" s="6">
        <v>-30.9</v>
      </c>
      <c r="N60" s="6">
        <v>29.2</v>
      </c>
      <c r="O60" s="6">
        <v>-3.2469999999999999</v>
      </c>
      <c r="P60" s="6">
        <v>24.35</v>
      </c>
      <c r="Q60" s="6">
        <v>0.22098000000000001</v>
      </c>
      <c r="R60" s="6">
        <v>-0.52327999999999997</v>
      </c>
      <c r="S60" s="6">
        <v>0.26605000000000001</v>
      </c>
      <c r="T60" s="6">
        <v>-0.77875000000000005</v>
      </c>
      <c r="U60" s="6">
        <v>12.044</v>
      </c>
      <c r="V60" s="6">
        <v>1</v>
      </c>
      <c r="W60" s="6">
        <v>1</v>
      </c>
      <c r="X60" s="6" t="s">
        <v>285</v>
      </c>
      <c r="Y60" s="6">
        <v>-0.56353190900000005</v>
      </c>
      <c r="Z60" s="6">
        <v>-0.60187679299999997</v>
      </c>
      <c r="AA60" s="6">
        <v>-3.72802328E-2</v>
      </c>
      <c r="AC60">
        <f t="shared" si="5"/>
        <v>2881.4682399999997</v>
      </c>
      <c r="AD60">
        <f t="shared" si="6"/>
        <v>-32.287999999999997</v>
      </c>
      <c r="AE60">
        <f t="shared" si="7"/>
        <v>-34.484999999999999</v>
      </c>
      <c r="AF60">
        <f t="shared" si="8"/>
        <v>-2.1360000000000001</v>
      </c>
      <c r="AG60">
        <f t="shared" si="9"/>
        <v>2.0379999999999998</v>
      </c>
    </row>
    <row r="61" spans="1:33" ht="18.95" customHeight="1">
      <c r="A61" s="4">
        <v>65211035</v>
      </c>
      <c r="B61" s="6">
        <v>2.88346824</v>
      </c>
      <c r="C61" s="6">
        <v>0.95375183699999999</v>
      </c>
      <c r="D61" s="6">
        <v>0.751</v>
      </c>
      <c r="E61" s="6">
        <v>-0.66500000000000004</v>
      </c>
      <c r="F61" s="6">
        <v>0.114</v>
      </c>
      <c r="G61" s="6">
        <v>-30.212</v>
      </c>
      <c r="H61" s="6">
        <v>-32.226999999999997</v>
      </c>
      <c r="I61" s="6">
        <v>-1.8919999999999999</v>
      </c>
      <c r="J61" s="6">
        <v>15.002000000000001</v>
      </c>
      <c r="K61" s="6">
        <v>1.5549999999999999</v>
      </c>
      <c r="L61" s="6">
        <v>-109.56699999999999</v>
      </c>
      <c r="M61" s="6">
        <v>-30.9</v>
      </c>
      <c r="N61" s="6">
        <v>29.2</v>
      </c>
      <c r="O61" s="6">
        <v>-3.2469999999999999</v>
      </c>
      <c r="P61" s="6">
        <v>24.35</v>
      </c>
      <c r="Q61" s="6">
        <v>0.22098000000000001</v>
      </c>
      <c r="R61" s="6">
        <v>-0.52327999999999997</v>
      </c>
      <c r="S61" s="6">
        <v>0.26605000000000001</v>
      </c>
      <c r="T61" s="6">
        <v>-0.77875000000000005</v>
      </c>
      <c r="U61" s="6">
        <v>12.045999999999999</v>
      </c>
      <c r="V61" s="6">
        <v>1</v>
      </c>
      <c r="W61" s="6">
        <v>1</v>
      </c>
      <c r="X61" s="6" t="s">
        <v>286</v>
      </c>
      <c r="Y61" s="6">
        <v>-0.52729887399999997</v>
      </c>
      <c r="Z61" s="6">
        <v>-0.56246725799999997</v>
      </c>
      <c r="AA61" s="6">
        <v>-3.3021629400000002E-2</v>
      </c>
      <c r="AC61">
        <f t="shared" si="5"/>
        <v>2883.4682400000002</v>
      </c>
      <c r="AD61">
        <f t="shared" si="6"/>
        <v>-30.212</v>
      </c>
      <c r="AE61">
        <f t="shared" si="7"/>
        <v>-32.226999999999997</v>
      </c>
      <c r="AF61">
        <f t="shared" si="8"/>
        <v>-1.8919999999999999</v>
      </c>
      <c r="AG61">
        <f t="shared" si="9"/>
        <v>1.5549999999999999</v>
      </c>
    </row>
    <row r="62" spans="1:33" ht="18.95" customHeight="1">
      <c r="A62" s="4">
        <v>65211124</v>
      </c>
      <c r="B62" s="6">
        <v>2.97246824</v>
      </c>
      <c r="C62" s="6">
        <v>0.98318996800000003</v>
      </c>
      <c r="D62" s="6">
        <v>0.752</v>
      </c>
      <c r="E62" s="6">
        <v>-0.66700000000000004</v>
      </c>
      <c r="F62" s="6">
        <v>7.3999999999999996E-2</v>
      </c>
      <c r="G62" s="6">
        <v>-27.649000000000001</v>
      </c>
      <c r="H62" s="6">
        <v>-29.419</v>
      </c>
      <c r="I62" s="6">
        <v>-1.77</v>
      </c>
      <c r="J62" s="6">
        <v>11.898</v>
      </c>
      <c r="K62" s="6">
        <v>1.198</v>
      </c>
      <c r="L62" s="6">
        <v>-107.325</v>
      </c>
      <c r="M62" s="6">
        <v>-40.1</v>
      </c>
      <c r="N62" s="6">
        <v>21.2</v>
      </c>
      <c r="O62" s="6">
        <v>-3.2669999999999999</v>
      </c>
      <c r="P62" s="6">
        <v>24.35</v>
      </c>
      <c r="Q62" s="6">
        <v>0.22098000000000001</v>
      </c>
      <c r="R62" s="6">
        <v>-0.52327999999999997</v>
      </c>
      <c r="S62" s="6">
        <v>0.26605000000000001</v>
      </c>
      <c r="T62" s="6">
        <v>-0.77875000000000005</v>
      </c>
      <c r="U62" s="6">
        <v>12.135</v>
      </c>
      <c r="V62" s="6">
        <v>1</v>
      </c>
      <c r="W62" s="6">
        <v>1</v>
      </c>
      <c r="X62" s="6" t="s">
        <v>287</v>
      </c>
      <c r="Y62" s="6">
        <v>-0.48256608499999998</v>
      </c>
      <c r="Z62" s="6">
        <v>-0.51345841299999995</v>
      </c>
      <c r="AA62" s="6">
        <v>-3.0892327800000001E-2</v>
      </c>
      <c r="AC62">
        <f t="shared" si="5"/>
        <v>2972.4682400000002</v>
      </c>
      <c r="AD62">
        <f t="shared" si="6"/>
        <v>-27.649000000000001</v>
      </c>
      <c r="AE62">
        <f t="shared" si="7"/>
        <v>-29.419</v>
      </c>
      <c r="AF62">
        <f t="shared" si="8"/>
        <v>-1.77</v>
      </c>
      <c r="AG62">
        <f t="shared" si="9"/>
        <v>1.198</v>
      </c>
    </row>
    <row r="63" spans="1:33" ht="18.95" customHeight="1">
      <c r="A63" s="4">
        <v>65211155</v>
      </c>
      <c r="B63" s="6">
        <v>3.0034682400000001</v>
      </c>
      <c r="C63" s="6">
        <v>0.99344369799999999</v>
      </c>
      <c r="D63" s="6">
        <v>0.752</v>
      </c>
      <c r="E63" s="6">
        <v>-0.66800000000000004</v>
      </c>
      <c r="F63" s="6">
        <v>4.2000000000000003E-2</v>
      </c>
      <c r="G63" s="6">
        <v>-24.658000000000001</v>
      </c>
      <c r="H63" s="6">
        <v>-26.306000000000001</v>
      </c>
      <c r="I63" s="6">
        <v>-1.526</v>
      </c>
      <c r="J63" s="6">
        <v>9.0690000000000008</v>
      </c>
      <c r="K63" s="6">
        <v>0.93400000000000005</v>
      </c>
      <c r="L63" s="6">
        <v>-105.276</v>
      </c>
      <c r="M63" s="6">
        <v>-40.1</v>
      </c>
      <c r="N63" s="6">
        <v>21.2</v>
      </c>
      <c r="O63" s="6">
        <v>-3.2669999999999999</v>
      </c>
      <c r="P63" s="6">
        <v>24.35</v>
      </c>
      <c r="Q63" s="6">
        <v>0.22098000000000001</v>
      </c>
      <c r="R63" s="6">
        <v>-0.52327999999999997</v>
      </c>
      <c r="S63" s="6">
        <v>0.26605000000000001</v>
      </c>
      <c r="T63" s="6">
        <v>-0.77875000000000005</v>
      </c>
      <c r="U63" s="6">
        <v>12.166</v>
      </c>
      <c r="V63" s="6">
        <v>1</v>
      </c>
      <c r="W63" s="6">
        <v>1</v>
      </c>
      <c r="X63" s="6" t="s">
        <v>288</v>
      </c>
      <c r="Y63" s="6">
        <v>-0.43036328699999998</v>
      </c>
      <c r="Z63" s="6">
        <v>-0.45912631300000001</v>
      </c>
      <c r="AA63" s="6">
        <v>-2.6633724399999999E-2</v>
      </c>
      <c r="AC63">
        <f t="shared" si="5"/>
        <v>3003.4682400000002</v>
      </c>
      <c r="AD63">
        <f t="shared" si="6"/>
        <v>-24.658000000000001</v>
      </c>
      <c r="AE63">
        <f t="shared" si="7"/>
        <v>-26.306000000000001</v>
      </c>
      <c r="AF63">
        <f t="shared" si="8"/>
        <v>-1.526</v>
      </c>
      <c r="AG63">
        <f t="shared" si="9"/>
        <v>0.93400000000000005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7" width="17" customWidth="1"/>
  </cols>
  <sheetData>
    <row r="1" spans="1:36" ht="18.95" customHeight="1">
      <c r="A1" s="2" t="s">
        <v>289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3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6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36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36" ht="33.950000000000003" customHeight="1">
      <c r="A5" s="3" t="s">
        <v>137</v>
      </c>
      <c r="B5" s="3" t="s">
        <v>138</v>
      </c>
      <c r="C5" s="3" t="s">
        <v>139</v>
      </c>
      <c r="D5" s="3" t="s">
        <v>140</v>
      </c>
      <c r="E5" s="3" t="s">
        <v>141</v>
      </c>
      <c r="F5" s="3" t="s">
        <v>142</v>
      </c>
      <c r="G5" s="3" t="s">
        <v>143</v>
      </c>
      <c r="H5" s="3" t="s">
        <v>144</v>
      </c>
      <c r="I5" s="3" t="s">
        <v>145</v>
      </c>
      <c r="J5" s="3" t="s">
        <v>146</v>
      </c>
      <c r="K5" s="3" t="s">
        <v>147</v>
      </c>
      <c r="L5" s="3" t="s">
        <v>148</v>
      </c>
      <c r="M5" s="3" t="s">
        <v>149</v>
      </c>
      <c r="N5" s="3" t="s">
        <v>150</v>
      </c>
      <c r="O5" s="3" t="s">
        <v>151</v>
      </c>
      <c r="P5" s="3" t="s">
        <v>152</v>
      </c>
      <c r="Q5" s="3" t="s">
        <v>153</v>
      </c>
      <c r="R5" s="3" t="s">
        <v>154</v>
      </c>
      <c r="S5" s="3" t="s">
        <v>155</v>
      </c>
      <c r="T5" s="3" t="s">
        <v>156</v>
      </c>
      <c r="U5" s="3" t="s">
        <v>157</v>
      </c>
      <c r="V5" s="3" t="s">
        <v>158</v>
      </c>
      <c r="W5" s="3" t="s">
        <v>159</v>
      </c>
      <c r="X5" s="3" t="s">
        <v>160</v>
      </c>
      <c r="Y5" s="3" t="s">
        <v>161</v>
      </c>
      <c r="Z5" s="3" t="s">
        <v>162</v>
      </c>
      <c r="AA5" s="3" t="s">
        <v>163</v>
      </c>
      <c r="AC5" t="s">
        <v>28</v>
      </c>
      <c r="AD5" t="s">
        <v>164</v>
      </c>
      <c r="AE5" t="s">
        <v>165</v>
      </c>
      <c r="AF5" t="s">
        <v>166</v>
      </c>
      <c r="AG5" t="s">
        <v>167</v>
      </c>
      <c r="AH5" t="s">
        <v>168</v>
      </c>
      <c r="AI5" t="s">
        <v>169</v>
      </c>
      <c r="AJ5" t="s">
        <v>170</v>
      </c>
    </row>
    <row r="6" spans="1:36" ht="18.95" customHeight="1">
      <c r="A6" s="4">
        <v>49678875</v>
      </c>
      <c r="B6" s="6">
        <v>1.26343828E-2</v>
      </c>
      <c r="C6" s="6">
        <v>4.4082090399999996E-3</v>
      </c>
      <c r="D6" s="6">
        <v>-0.184</v>
      </c>
      <c r="E6" s="6">
        <v>1.0475000000000001</v>
      </c>
      <c r="F6" s="6">
        <v>-4.7E-2</v>
      </c>
      <c r="G6" s="6">
        <v>3.6619999999999999</v>
      </c>
      <c r="H6" s="6">
        <v>-0.82350000000000001</v>
      </c>
      <c r="I6" s="6">
        <v>-120.6665</v>
      </c>
      <c r="J6" s="6">
        <v>-176.12700000000001</v>
      </c>
      <c r="K6" s="6">
        <v>3.7410000000000001</v>
      </c>
      <c r="L6" s="6">
        <v>-67.662000000000006</v>
      </c>
      <c r="M6" s="6">
        <v>35.299999999999997</v>
      </c>
      <c r="N6" s="6">
        <v>-21.527000000000001</v>
      </c>
      <c r="O6" s="6">
        <v>26.2</v>
      </c>
      <c r="P6" s="6">
        <v>24.32</v>
      </c>
      <c r="Q6" s="6">
        <v>-0.65029999999999999</v>
      </c>
      <c r="R6" s="6">
        <v>-0.49356</v>
      </c>
      <c r="S6" s="6">
        <v>0.51895000000000002</v>
      </c>
      <c r="T6" s="6">
        <v>0.25311</v>
      </c>
      <c r="U6" s="6">
        <v>8.8659999999999997</v>
      </c>
      <c r="V6" s="6">
        <v>3</v>
      </c>
      <c r="W6" s="6">
        <v>2</v>
      </c>
      <c r="X6" s="6" t="s">
        <v>290</v>
      </c>
      <c r="Y6" s="6">
        <v>6.3913957199999996E-2</v>
      </c>
      <c r="Z6" s="6">
        <v>-1.43727864E-2</v>
      </c>
      <c r="AA6" s="6">
        <v>-2.1060277200000002</v>
      </c>
      <c r="AC6">
        <f t="shared" ref="AC6:AC37" si="0">B6*1000</f>
        <v>12.634382799999999</v>
      </c>
      <c r="AD6">
        <f t="shared" ref="AD6:AD37" si="1">G6</f>
        <v>3.6619999999999999</v>
      </c>
      <c r="AE6">
        <f t="shared" ref="AE6:AE37" si="2">H6</f>
        <v>-0.82350000000000001</v>
      </c>
      <c r="AF6">
        <f t="shared" ref="AF6:AF37" si="3">I6</f>
        <v>-120.6665</v>
      </c>
      <c r="AG6">
        <f t="shared" ref="AG6:AG37" si="4">K6</f>
        <v>3.7410000000000001</v>
      </c>
      <c r="AH6">
        <f t="shared" ref="AH6:AH37" si="5">J6</f>
        <v>-176.12700000000001</v>
      </c>
      <c r="AI6">
        <f t="shared" ref="AI6:AI37" si="6">K6</f>
        <v>3.7410000000000001</v>
      </c>
      <c r="AJ6">
        <f t="shared" ref="AJ6:AJ37" si="7">L6</f>
        <v>-67.662000000000006</v>
      </c>
    </row>
    <row r="7" spans="1:36" ht="18.95" customHeight="1">
      <c r="A7" s="4">
        <v>49678904</v>
      </c>
      <c r="B7" s="6">
        <v>4.1634382800000001E-2</v>
      </c>
      <c r="C7" s="6">
        <v>1.4526476300000001E-2</v>
      </c>
      <c r="D7" s="6">
        <v>-0.29499999999999998</v>
      </c>
      <c r="E7" s="6">
        <v>1.042</v>
      </c>
      <c r="F7" s="6">
        <v>-4.9000000000000002E-2</v>
      </c>
      <c r="G7" s="6">
        <v>3.6619999999999999</v>
      </c>
      <c r="H7" s="6">
        <v>-0.79300000000000004</v>
      </c>
      <c r="I7" s="6">
        <v>-120.483</v>
      </c>
      <c r="J7" s="6">
        <v>-176.017</v>
      </c>
      <c r="K7" s="6">
        <v>6.7839999999999998</v>
      </c>
      <c r="L7" s="6">
        <v>-67.56</v>
      </c>
      <c r="M7" s="6">
        <v>73.400000000000006</v>
      </c>
      <c r="N7" s="6">
        <v>-31.472999999999999</v>
      </c>
      <c r="O7" s="6">
        <v>39.700000000000003</v>
      </c>
      <c r="P7" s="6">
        <v>24.32</v>
      </c>
      <c r="Q7" s="6">
        <v>-0.65029999999999999</v>
      </c>
      <c r="R7" s="6">
        <v>-0.49356</v>
      </c>
      <c r="S7" s="6">
        <v>0.51895000000000002</v>
      </c>
      <c r="T7" s="6">
        <v>0.25311</v>
      </c>
      <c r="U7" s="6">
        <v>8.8949999999999996</v>
      </c>
      <c r="V7" s="6">
        <v>1</v>
      </c>
      <c r="W7" s="6">
        <v>1</v>
      </c>
      <c r="X7" s="6" t="s">
        <v>206</v>
      </c>
      <c r="Y7" s="6">
        <v>6.3913957199999996E-2</v>
      </c>
      <c r="Z7" s="6">
        <v>-1.3840461E-2</v>
      </c>
      <c r="AA7" s="6">
        <v>-2.1028250399999999</v>
      </c>
      <c r="AC7">
        <f t="shared" si="0"/>
        <v>41.634382800000004</v>
      </c>
      <c r="AD7">
        <f t="shared" si="1"/>
        <v>3.6619999999999999</v>
      </c>
      <c r="AE7">
        <f t="shared" si="2"/>
        <v>-0.79300000000000004</v>
      </c>
      <c r="AF7">
        <f t="shared" si="3"/>
        <v>-120.483</v>
      </c>
      <c r="AG7">
        <f t="shared" si="4"/>
        <v>6.7839999999999998</v>
      </c>
      <c r="AH7">
        <f t="shared" si="5"/>
        <v>-176.017</v>
      </c>
      <c r="AI7">
        <f t="shared" si="6"/>
        <v>6.7839999999999998</v>
      </c>
      <c r="AJ7">
        <f t="shared" si="7"/>
        <v>-67.56</v>
      </c>
    </row>
    <row r="8" spans="1:36" ht="18.95" customHeight="1">
      <c r="A8" s="4">
        <v>49678965</v>
      </c>
      <c r="B8" s="6">
        <v>0.102634383</v>
      </c>
      <c r="C8" s="6">
        <v>3.58097281E-2</v>
      </c>
      <c r="D8" s="6">
        <v>-0.39400000000000002</v>
      </c>
      <c r="E8" s="6">
        <v>1.012</v>
      </c>
      <c r="F8" s="6">
        <v>-5.3999999999999999E-2</v>
      </c>
      <c r="G8" s="6">
        <v>3.601</v>
      </c>
      <c r="H8" s="6">
        <v>-0.61</v>
      </c>
      <c r="I8" s="6">
        <v>-118.34699999999999</v>
      </c>
      <c r="J8" s="6">
        <v>-175.68433300000001</v>
      </c>
      <c r="K8" s="6">
        <v>12.827</v>
      </c>
      <c r="L8" s="6">
        <v>-67.242000099999998</v>
      </c>
      <c r="M8" s="6">
        <v>73.400000000000006</v>
      </c>
      <c r="N8" s="6">
        <v>-31.472999999999999</v>
      </c>
      <c r="O8" s="6">
        <v>39.700000000000003</v>
      </c>
      <c r="P8" s="6">
        <v>24.32</v>
      </c>
      <c r="Q8" s="6">
        <v>-0.65029999999999999</v>
      </c>
      <c r="R8" s="6">
        <v>-0.49356</v>
      </c>
      <c r="S8" s="6">
        <v>0.51895000000000002</v>
      </c>
      <c r="T8" s="6">
        <v>0.25311</v>
      </c>
      <c r="U8" s="6">
        <v>8.9559999999999995</v>
      </c>
      <c r="V8" s="6">
        <v>3</v>
      </c>
      <c r="W8" s="6">
        <v>3</v>
      </c>
      <c r="X8" s="6" t="s">
        <v>291</v>
      </c>
      <c r="Y8" s="6">
        <v>6.2849306399999999E-2</v>
      </c>
      <c r="Z8" s="6">
        <v>-1.0646508400000001E-2</v>
      </c>
      <c r="AA8" s="6">
        <v>-2.06554481</v>
      </c>
      <c r="AC8">
        <f t="shared" si="0"/>
        <v>102.634383</v>
      </c>
      <c r="AD8">
        <f t="shared" si="1"/>
        <v>3.601</v>
      </c>
      <c r="AE8">
        <f t="shared" si="2"/>
        <v>-0.61</v>
      </c>
      <c r="AF8">
        <f t="shared" si="3"/>
        <v>-118.34699999999999</v>
      </c>
      <c r="AG8">
        <f t="shared" si="4"/>
        <v>12.827</v>
      </c>
      <c r="AH8">
        <f t="shared" si="5"/>
        <v>-175.68433300000001</v>
      </c>
      <c r="AI8">
        <f t="shared" si="6"/>
        <v>12.827</v>
      </c>
      <c r="AJ8">
        <f t="shared" si="7"/>
        <v>-67.242000099999998</v>
      </c>
    </row>
    <row r="9" spans="1:36" ht="18.95" customHeight="1">
      <c r="A9" s="4">
        <v>49679025</v>
      </c>
      <c r="B9" s="6">
        <v>0.16263438299999999</v>
      </c>
      <c r="C9" s="6">
        <v>5.6744074200000001E-2</v>
      </c>
      <c r="D9" s="6">
        <v>-0.45600000000000002</v>
      </c>
      <c r="E9" s="6">
        <v>0.98</v>
      </c>
      <c r="F9" s="6">
        <v>-5.6000000000000001E-2</v>
      </c>
      <c r="G9" s="6">
        <v>3.6619999999999999</v>
      </c>
      <c r="H9" s="6">
        <v>-0.67100000000000004</v>
      </c>
      <c r="I9" s="6">
        <v>-119.812</v>
      </c>
      <c r="J9" s="6">
        <v>-175.501</v>
      </c>
      <c r="K9" s="6">
        <v>18.885000000000002</v>
      </c>
      <c r="L9" s="6">
        <v>-67.066000000000003</v>
      </c>
      <c r="M9" s="6">
        <v>73.400000000000006</v>
      </c>
      <c r="N9" s="6">
        <v>-31.472999999999999</v>
      </c>
      <c r="O9" s="6">
        <v>39.700000000000003</v>
      </c>
      <c r="P9" s="6">
        <v>24.32</v>
      </c>
      <c r="Q9" s="6">
        <v>-0.51507999999999998</v>
      </c>
      <c r="R9" s="6">
        <v>-0.64937999999999996</v>
      </c>
      <c r="S9" s="6">
        <v>0.32135000000000002</v>
      </c>
      <c r="T9" s="6">
        <v>0.45782</v>
      </c>
      <c r="U9" s="6">
        <v>9.016</v>
      </c>
      <c r="V9" s="6">
        <v>2</v>
      </c>
      <c r="W9" s="6">
        <v>2</v>
      </c>
      <c r="X9" s="6" t="s">
        <v>292</v>
      </c>
      <c r="Y9" s="6">
        <v>6.3913957199999996E-2</v>
      </c>
      <c r="Z9" s="6">
        <v>-1.1711159299999999E-2</v>
      </c>
      <c r="AA9" s="6">
        <v>-2.09111388</v>
      </c>
      <c r="AC9">
        <f t="shared" si="0"/>
        <v>162.63438299999999</v>
      </c>
      <c r="AD9">
        <f t="shared" si="1"/>
        <v>3.6619999999999999</v>
      </c>
      <c r="AE9">
        <f t="shared" si="2"/>
        <v>-0.67100000000000004</v>
      </c>
      <c r="AF9">
        <f t="shared" si="3"/>
        <v>-119.812</v>
      </c>
      <c r="AG9">
        <f t="shared" si="4"/>
        <v>18.885000000000002</v>
      </c>
      <c r="AH9">
        <f t="shared" si="5"/>
        <v>-175.501</v>
      </c>
      <c r="AI9">
        <f t="shared" si="6"/>
        <v>18.885000000000002</v>
      </c>
      <c r="AJ9">
        <f t="shared" si="7"/>
        <v>-67.066000000000003</v>
      </c>
    </row>
    <row r="10" spans="1:36" ht="18.95" customHeight="1">
      <c r="A10" s="4">
        <v>49679084</v>
      </c>
      <c r="B10" s="6">
        <v>0.22163438299999999</v>
      </c>
      <c r="C10" s="6">
        <v>7.7329514500000002E-2</v>
      </c>
      <c r="D10" s="6">
        <v>-0.622</v>
      </c>
      <c r="E10" s="6">
        <v>0.92</v>
      </c>
      <c r="F10" s="6">
        <v>-6.0999999999999999E-2</v>
      </c>
      <c r="G10" s="6">
        <v>3.7839999999999998</v>
      </c>
      <c r="H10" s="6">
        <v>-0.79300000000000004</v>
      </c>
      <c r="I10" s="6">
        <v>-122.559</v>
      </c>
      <c r="J10" s="6">
        <v>-175.17699999999999</v>
      </c>
      <c r="K10" s="6">
        <v>25.01</v>
      </c>
      <c r="L10" s="6">
        <v>-66.753</v>
      </c>
      <c r="M10" s="6">
        <v>73.400000000000006</v>
      </c>
      <c r="N10" s="6">
        <v>-31.472999999999999</v>
      </c>
      <c r="O10" s="6">
        <v>39.700000000000003</v>
      </c>
      <c r="P10" s="6">
        <v>24.32</v>
      </c>
      <c r="Q10" s="6">
        <v>-0.51507999999999998</v>
      </c>
      <c r="R10" s="6">
        <v>-0.64937999999999996</v>
      </c>
      <c r="S10" s="6">
        <v>0.32135000000000002</v>
      </c>
      <c r="T10" s="6">
        <v>0.45782</v>
      </c>
      <c r="U10" s="6">
        <v>9.0749999999999993</v>
      </c>
      <c r="V10" s="6">
        <v>1</v>
      </c>
      <c r="W10" s="6">
        <v>1</v>
      </c>
      <c r="X10" s="6" t="s">
        <v>269</v>
      </c>
      <c r="Y10" s="6">
        <v>6.6043258899999999E-2</v>
      </c>
      <c r="Z10" s="6">
        <v>-1.3840461E-2</v>
      </c>
      <c r="AA10" s="6">
        <v>-2.1390580799999999</v>
      </c>
      <c r="AC10">
        <f t="shared" si="0"/>
        <v>221.63438299999999</v>
      </c>
      <c r="AD10">
        <f t="shared" si="1"/>
        <v>3.7839999999999998</v>
      </c>
      <c r="AE10">
        <f t="shared" si="2"/>
        <v>-0.79300000000000004</v>
      </c>
      <c r="AF10">
        <f t="shared" si="3"/>
        <v>-122.559</v>
      </c>
      <c r="AG10">
        <f t="shared" si="4"/>
        <v>25.01</v>
      </c>
      <c r="AH10">
        <f t="shared" si="5"/>
        <v>-175.17699999999999</v>
      </c>
      <c r="AI10">
        <f t="shared" si="6"/>
        <v>25.01</v>
      </c>
      <c r="AJ10">
        <f t="shared" si="7"/>
        <v>-66.753</v>
      </c>
    </row>
    <row r="11" spans="1:36" ht="18.95" customHeight="1">
      <c r="A11" s="4">
        <v>49679113</v>
      </c>
      <c r="B11" s="6">
        <v>0.25063438300000002</v>
      </c>
      <c r="C11" s="6">
        <v>8.7447781700000005E-2</v>
      </c>
      <c r="D11" s="6">
        <v>-0.66800000000000004</v>
      </c>
      <c r="E11" s="6">
        <v>0.86299999999999999</v>
      </c>
      <c r="F11" s="6">
        <v>-6.5000000000000002E-2</v>
      </c>
      <c r="G11" s="6">
        <v>3.9670000000000001</v>
      </c>
      <c r="H11" s="6">
        <v>-0.73199999999999998</v>
      </c>
      <c r="I11" s="6">
        <v>-127.502</v>
      </c>
      <c r="J11" s="6">
        <v>-174.78700000000001</v>
      </c>
      <c r="K11" s="6">
        <v>31.327999999999999</v>
      </c>
      <c r="L11" s="6">
        <v>-66.367999999999995</v>
      </c>
      <c r="M11" s="6">
        <v>73.400000000000006</v>
      </c>
      <c r="N11" s="6">
        <v>-31.472999999999999</v>
      </c>
      <c r="O11" s="6">
        <v>39.700000000000003</v>
      </c>
      <c r="P11" s="6">
        <v>24.32</v>
      </c>
      <c r="Q11" s="6">
        <v>-0.51507999999999998</v>
      </c>
      <c r="R11" s="6">
        <v>-0.64937999999999996</v>
      </c>
      <c r="S11" s="6">
        <v>0.32135000000000002</v>
      </c>
      <c r="T11" s="6">
        <v>0.45782</v>
      </c>
      <c r="U11" s="6">
        <v>9.1039999999999992</v>
      </c>
      <c r="V11" s="6">
        <v>2</v>
      </c>
      <c r="W11" s="6">
        <v>2</v>
      </c>
      <c r="X11" s="6" t="s">
        <v>293</v>
      </c>
      <c r="Y11" s="6">
        <v>6.9237211399999998E-2</v>
      </c>
      <c r="Z11" s="6">
        <v>-1.27758101E-2</v>
      </c>
      <c r="AA11" s="6">
        <v>-2.2253297000000001</v>
      </c>
      <c r="AC11">
        <f t="shared" si="0"/>
        <v>250.63438300000001</v>
      </c>
      <c r="AD11">
        <f t="shared" si="1"/>
        <v>3.9670000000000001</v>
      </c>
      <c r="AE11">
        <f t="shared" si="2"/>
        <v>-0.73199999999999998</v>
      </c>
      <c r="AF11">
        <f t="shared" si="3"/>
        <v>-127.502</v>
      </c>
      <c r="AG11">
        <f t="shared" si="4"/>
        <v>31.327999999999999</v>
      </c>
      <c r="AH11">
        <f t="shared" si="5"/>
        <v>-174.78700000000001</v>
      </c>
      <c r="AI11">
        <f t="shared" si="6"/>
        <v>31.327999999999999</v>
      </c>
      <c r="AJ11">
        <f t="shared" si="7"/>
        <v>-66.367999999999995</v>
      </c>
    </row>
    <row r="12" spans="1:36" ht="18.95" customHeight="1">
      <c r="A12" s="4">
        <v>49679144</v>
      </c>
      <c r="B12" s="6">
        <v>0.28163438299999999</v>
      </c>
      <c r="C12" s="6">
        <v>9.8263860499999994E-2</v>
      </c>
      <c r="D12" s="6">
        <v>-0.75700000000000001</v>
      </c>
      <c r="E12" s="6">
        <v>0.79600000000000004</v>
      </c>
      <c r="F12" s="6">
        <v>-6.8000000000000005E-2</v>
      </c>
      <c r="G12" s="6">
        <v>4.1500000000000004</v>
      </c>
      <c r="H12" s="6">
        <v>-0.79300000000000004</v>
      </c>
      <c r="I12" s="6">
        <v>-129.578</v>
      </c>
      <c r="J12" s="6">
        <v>-174.298</v>
      </c>
      <c r="K12" s="6">
        <v>37.749000000000002</v>
      </c>
      <c r="L12" s="6">
        <v>-65.900999999999996</v>
      </c>
      <c r="M12" s="6">
        <v>73.400000000000006</v>
      </c>
      <c r="N12" s="6">
        <v>-31.472999999999999</v>
      </c>
      <c r="O12" s="6">
        <v>39.700000000000003</v>
      </c>
      <c r="P12" s="6">
        <v>24.32</v>
      </c>
      <c r="Q12" s="6">
        <v>-0.51507999999999998</v>
      </c>
      <c r="R12" s="6">
        <v>-0.64937999999999996</v>
      </c>
      <c r="S12" s="6">
        <v>0.32135000000000002</v>
      </c>
      <c r="T12" s="6">
        <v>0.45782</v>
      </c>
      <c r="U12" s="6">
        <v>9.1349999999999998</v>
      </c>
      <c r="V12" s="6">
        <v>1</v>
      </c>
      <c r="W12" s="6">
        <v>1</v>
      </c>
      <c r="X12" s="6" t="s">
        <v>271</v>
      </c>
      <c r="Y12" s="6">
        <v>7.2431164000000006E-2</v>
      </c>
      <c r="Z12" s="6">
        <v>-1.3840461E-2</v>
      </c>
      <c r="AA12" s="6">
        <v>-2.26156274</v>
      </c>
      <c r="AC12">
        <f t="shared" si="0"/>
        <v>281.63438300000001</v>
      </c>
      <c r="AD12">
        <f t="shared" si="1"/>
        <v>4.1500000000000004</v>
      </c>
      <c r="AE12">
        <f t="shared" si="2"/>
        <v>-0.79300000000000004</v>
      </c>
      <c r="AF12">
        <f t="shared" si="3"/>
        <v>-129.578</v>
      </c>
      <c r="AG12">
        <f t="shared" si="4"/>
        <v>37.749000000000002</v>
      </c>
      <c r="AH12">
        <f t="shared" si="5"/>
        <v>-174.298</v>
      </c>
      <c r="AI12">
        <f t="shared" si="6"/>
        <v>37.749000000000002</v>
      </c>
      <c r="AJ12">
        <f t="shared" si="7"/>
        <v>-65.900999999999996</v>
      </c>
    </row>
    <row r="13" spans="1:36" ht="18.95" customHeight="1">
      <c r="A13" s="4">
        <v>49679204</v>
      </c>
      <c r="B13" s="6">
        <v>0.34163438299999999</v>
      </c>
      <c r="C13" s="6">
        <v>0.119198207</v>
      </c>
      <c r="D13" s="6">
        <v>-0.75700000000000001</v>
      </c>
      <c r="E13" s="6">
        <v>0.73899999999999999</v>
      </c>
      <c r="F13" s="6">
        <v>-6.6000000000000003E-2</v>
      </c>
      <c r="G13" s="6">
        <v>3.9670000000000001</v>
      </c>
      <c r="H13" s="6">
        <v>-0.79300000000000004</v>
      </c>
      <c r="I13" s="6">
        <v>-127.502</v>
      </c>
      <c r="J13" s="6">
        <v>-173.69900000000001</v>
      </c>
      <c r="K13" s="6">
        <v>44.198</v>
      </c>
      <c r="L13" s="6">
        <v>-65.308000000000007</v>
      </c>
      <c r="M13" s="6">
        <v>73.400000000000006</v>
      </c>
      <c r="N13" s="6">
        <v>-31.472999999999999</v>
      </c>
      <c r="O13" s="6">
        <v>39.700000000000003</v>
      </c>
      <c r="P13" s="6">
        <v>24.32</v>
      </c>
      <c r="Q13" s="6">
        <v>-0.51507999999999998</v>
      </c>
      <c r="R13" s="6">
        <v>-0.64937999999999996</v>
      </c>
      <c r="S13" s="6">
        <v>0.32135000000000002</v>
      </c>
      <c r="T13" s="6">
        <v>0.45782</v>
      </c>
      <c r="U13" s="6">
        <v>9.1950000000000003</v>
      </c>
      <c r="V13" s="6">
        <v>1</v>
      </c>
      <c r="W13" s="6">
        <v>1</v>
      </c>
      <c r="X13" s="6" t="s">
        <v>294</v>
      </c>
      <c r="Y13" s="6">
        <v>6.9237211399999998E-2</v>
      </c>
      <c r="Z13" s="6">
        <v>-1.3840461E-2</v>
      </c>
      <c r="AA13" s="6">
        <v>-2.2253297000000001</v>
      </c>
      <c r="AC13">
        <f t="shared" si="0"/>
        <v>341.63438300000001</v>
      </c>
      <c r="AD13">
        <f t="shared" si="1"/>
        <v>3.9670000000000001</v>
      </c>
      <c r="AE13">
        <f t="shared" si="2"/>
        <v>-0.79300000000000004</v>
      </c>
      <c r="AF13">
        <f t="shared" si="3"/>
        <v>-127.502</v>
      </c>
      <c r="AG13">
        <f t="shared" si="4"/>
        <v>44.198</v>
      </c>
      <c r="AH13">
        <f t="shared" si="5"/>
        <v>-173.69900000000001</v>
      </c>
      <c r="AI13">
        <f t="shared" si="6"/>
        <v>44.198</v>
      </c>
      <c r="AJ13">
        <f t="shared" si="7"/>
        <v>-65.308000000000007</v>
      </c>
    </row>
    <row r="14" spans="1:36" ht="18.95" customHeight="1">
      <c r="A14" s="4">
        <v>49679234</v>
      </c>
      <c r="B14" s="6">
        <v>0.37163438300000001</v>
      </c>
      <c r="C14" s="6">
        <v>0.12966538</v>
      </c>
      <c r="D14" s="6">
        <v>-0.82</v>
      </c>
      <c r="E14" s="6">
        <v>0.73899999999999999</v>
      </c>
      <c r="F14" s="6">
        <v>-6.6000000000000003E-2</v>
      </c>
      <c r="G14" s="6">
        <v>3.9670000000000001</v>
      </c>
      <c r="H14" s="6">
        <v>-0.79300000000000004</v>
      </c>
      <c r="I14" s="6">
        <v>-127.502</v>
      </c>
      <c r="J14" s="6">
        <v>-173.69900000000001</v>
      </c>
      <c r="K14" s="6">
        <v>44.198</v>
      </c>
      <c r="L14" s="6">
        <v>-65.308000000000007</v>
      </c>
      <c r="M14" s="6">
        <v>98.1</v>
      </c>
      <c r="N14" s="6">
        <v>-37.087000000000003</v>
      </c>
      <c r="O14" s="6">
        <v>24.7</v>
      </c>
      <c r="P14" s="6">
        <v>24.32</v>
      </c>
      <c r="Q14" s="6">
        <v>-0.51507999999999998</v>
      </c>
      <c r="R14" s="6">
        <v>-0.64937999999999996</v>
      </c>
      <c r="S14" s="6">
        <v>0.32135000000000002</v>
      </c>
      <c r="T14" s="6">
        <v>0.45782</v>
      </c>
      <c r="U14" s="6">
        <v>9.2249999999999996</v>
      </c>
      <c r="V14" s="6">
        <v>1</v>
      </c>
      <c r="W14" s="6">
        <v>1</v>
      </c>
      <c r="X14" s="6" t="s">
        <v>272</v>
      </c>
      <c r="Y14" s="6">
        <v>6.9237211399999998E-2</v>
      </c>
      <c r="Z14" s="6">
        <v>-1.3840461E-2</v>
      </c>
      <c r="AA14" s="6">
        <v>-2.2253297000000001</v>
      </c>
      <c r="AC14">
        <f t="shared" si="0"/>
        <v>371.63438300000001</v>
      </c>
      <c r="AD14">
        <f t="shared" si="1"/>
        <v>3.9670000000000001</v>
      </c>
      <c r="AE14">
        <f t="shared" si="2"/>
        <v>-0.79300000000000004</v>
      </c>
      <c r="AF14">
        <f t="shared" si="3"/>
        <v>-127.502</v>
      </c>
      <c r="AG14">
        <f t="shared" si="4"/>
        <v>44.198</v>
      </c>
      <c r="AH14">
        <f t="shared" si="5"/>
        <v>-173.69900000000001</v>
      </c>
      <c r="AI14">
        <f t="shared" si="6"/>
        <v>44.198</v>
      </c>
      <c r="AJ14">
        <f t="shared" si="7"/>
        <v>-65.308000000000007</v>
      </c>
    </row>
    <row r="15" spans="1:36" ht="18.95" customHeight="1">
      <c r="A15" s="4">
        <v>49679264</v>
      </c>
      <c r="B15" s="6">
        <v>0.40163438299999998</v>
      </c>
      <c r="C15" s="6">
        <v>0.14013255299999999</v>
      </c>
      <c r="D15" s="6">
        <v>-0.91</v>
      </c>
      <c r="E15" s="6">
        <v>0.65700000000000003</v>
      </c>
      <c r="F15" s="6">
        <v>-6.5000000000000002E-2</v>
      </c>
      <c r="G15" s="6">
        <v>4.2110000000000003</v>
      </c>
      <c r="H15" s="6">
        <v>-0.67100000000000004</v>
      </c>
      <c r="I15" s="6">
        <v>-128.78399999999999</v>
      </c>
      <c r="J15" s="6">
        <v>-172.54000500000001</v>
      </c>
      <c r="K15" s="6">
        <v>50.691000000000003</v>
      </c>
      <c r="L15" s="6">
        <v>-64.167671200000001</v>
      </c>
      <c r="M15" s="6">
        <v>98.1</v>
      </c>
      <c r="N15" s="6">
        <v>-37.087000000000003</v>
      </c>
      <c r="O15" s="6">
        <v>24.7</v>
      </c>
      <c r="P15" s="6">
        <v>24.32</v>
      </c>
      <c r="Q15" s="6">
        <v>-0.51507999999999998</v>
      </c>
      <c r="R15" s="6">
        <v>-0.64937999999999996</v>
      </c>
      <c r="S15" s="6">
        <v>0.32135000000000002</v>
      </c>
      <c r="T15" s="6">
        <v>0.45782</v>
      </c>
      <c r="U15" s="6">
        <v>9.2550000000000008</v>
      </c>
      <c r="V15" s="6">
        <v>3</v>
      </c>
      <c r="W15" s="6">
        <v>3</v>
      </c>
      <c r="X15" s="6" t="s">
        <v>295</v>
      </c>
      <c r="Y15" s="6">
        <v>7.3495814800000003E-2</v>
      </c>
      <c r="Z15" s="6">
        <v>-1.1711159299999999E-2</v>
      </c>
      <c r="AA15" s="6">
        <v>-2.24770482</v>
      </c>
      <c r="AC15">
        <f t="shared" si="0"/>
        <v>401.63438299999996</v>
      </c>
      <c r="AD15">
        <f t="shared" si="1"/>
        <v>4.2110000000000003</v>
      </c>
      <c r="AE15">
        <f t="shared" si="2"/>
        <v>-0.67100000000000004</v>
      </c>
      <c r="AF15">
        <f t="shared" si="3"/>
        <v>-128.78399999999999</v>
      </c>
      <c r="AG15">
        <f t="shared" si="4"/>
        <v>50.691000000000003</v>
      </c>
      <c r="AH15">
        <f t="shared" si="5"/>
        <v>-172.54000500000001</v>
      </c>
      <c r="AI15">
        <f t="shared" si="6"/>
        <v>50.691000000000003</v>
      </c>
      <c r="AJ15">
        <f t="shared" si="7"/>
        <v>-64.167671200000001</v>
      </c>
    </row>
    <row r="16" spans="1:36" ht="18.95" customHeight="1">
      <c r="A16" s="4">
        <v>49679383</v>
      </c>
      <c r="B16" s="6">
        <v>0.52063438299999998</v>
      </c>
      <c r="C16" s="6">
        <v>0.181652339</v>
      </c>
      <c r="D16" s="6">
        <v>-0.96199999999999997</v>
      </c>
      <c r="E16" s="6">
        <v>0.54100000000000004</v>
      </c>
      <c r="F16" s="6">
        <v>-6.5000000000000002E-2</v>
      </c>
      <c r="G16" s="6">
        <v>3.8450000000000002</v>
      </c>
      <c r="H16" s="6">
        <v>-1.099</v>
      </c>
      <c r="I16" s="6">
        <v>-129.27199999999999</v>
      </c>
      <c r="J16" s="6">
        <v>-171.82599999999999</v>
      </c>
      <c r="K16" s="6">
        <v>57.155999999999999</v>
      </c>
      <c r="L16" s="6">
        <v>-63.457000000000001</v>
      </c>
      <c r="M16" s="6">
        <v>98.1</v>
      </c>
      <c r="N16" s="6">
        <v>-37.087000000000003</v>
      </c>
      <c r="O16" s="6">
        <v>24.7</v>
      </c>
      <c r="P16" s="6">
        <v>24.32</v>
      </c>
      <c r="Q16" s="6">
        <v>-0.31058000000000002</v>
      </c>
      <c r="R16" s="6">
        <v>-0.72585999999999995</v>
      </c>
      <c r="S16" s="6">
        <v>7.8E-2</v>
      </c>
      <c r="T16" s="6">
        <v>0.60867000000000004</v>
      </c>
      <c r="U16" s="6">
        <v>9.3740000000000006</v>
      </c>
      <c r="V16" s="6">
        <v>1</v>
      </c>
      <c r="W16" s="6">
        <v>1</v>
      </c>
      <c r="X16" s="6" t="s">
        <v>215</v>
      </c>
      <c r="Y16" s="6">
        <v>6.7107909699999996E-2</v>
      </c>
      <c r="Z16" s="6">
        <v>-1.9181168500000002E-2</v>
      </c>
      <c r="AA16" s="6">
        <v>-2.25622203</v>
      </c>
      <c r="AC16">
        <f t="shared" si="0"/>
        <v>520.63438299999996</v>
      </c>
      <c r="AD16">
        <f t="shared" si="1"/>
        <v>3.8450000000000002</v>
      </c>
      <c r="AE16">
        <f t="shared" si="2"/>
        <v>-1.099</v>
      </c>
      <c r="AF16">
        <f t="shared" si="3"/>
        <v>-129.27199999999999</v>
      </c>
      <c r="AG16">
        <f t="shared" si="4"/>
        <v>57.155999999999999</v>
      </c>
      <c r="AH16">
        <f t="shared" si="5"/>
        <v>-171.82599999999999</v>
      </c>
      <c r="AI16">
        <f t="shared" si="6"/>
        <v>57.155999999999999</v>
      </c>
      <c r="AJ16">
        <f t="shared" si="7"/>
        <v>-63.457000000000001</v>
      </c>
    </row>
    <row r="17" spans="1:36" ht="18.95" customHeight="1">
      <c r="A17" s="4">
        <v>49679385</v>
      </c>
      <c r="B17" s="6">
        <v>0.52263438299999998</v>
      </c>
      <c r="C17" s="6">
        <v>0.18235014999999999</v>
      </c>
      <c r="D17" s="6">
        <v>-0.97799999999999998</v>
      </c>
      <c r="E17" s="6">
        <v>0.44700000000000001</v>
      </c>
      <c r="F17" s="6">
        <v>-0.08</v>
      </c>
      <c r="G17" s="6">
        <v>4.1500000000000004</v>
      </c>
      <c r="H17" s="6">
        <v>-0.61</v>
      </c>
      <c r="I17" s="6">
        <v>-130.61500000000001</v>
      </c>
      <c r="J17" s="6">
        <v>-170.244</v>
      </c>
      <c r="K17" s="6">
        <v>63.698999999999998</v>
      </c>
      <c r="L17" s="6">
        <v>-61.890999999999998</v>
      </c>
      <c r="M17" s="6">
        <v>98.1</v>
      </c>
      <c r="N17" s="6">
        <v>-37.087000000000003</v>
      </c>
      <c r="O17" s="6">
        <v>24.7</v>
      </c>
      <c r="P17" s="6">
        <v>24.32</v>
      </c>
      <c r="Q17" s="6">
        <v>-0.31058000000000002</v>
      </c>
      <c r="R17" s="6">
        <v>-0.72585999999999995</v>
      </c>
      <c r="S17" s="6">
        <v>7.8E-2</v>
      </c>
      <c r="T17" s="6">
        <v>0.60867000000000004</v>
      </c>
      <c r="U17" s="6">
        <v>9.3759999999999994</v>
      </c>
      <c r="V17" s="6">
        <v>2</v>
      </c>
      <c r="W17" s="6">
        <v>2</v>
      </c>
      <c r="X17" s="6" t="s">
        <v>296</v>
      </c>
      <c r="Y17" s="6">
        <v>7.2431164000000006E-2</v>
      </c>
      <c r="Z17" s="6">
        <v>-1.0646508400000001E-2</v>
      </c>
      <c r="AA17" s="6">
        <v>-2.2796618</v>
      </c>
      <c r="AC17">
        <f t="shared" si="0"/>
        <v>522.63438299999996</v>
      </c>
      <c r="AD17">
        <f t="shared" si="1"/>
        <v>4.1500000000000004</v>
      </c>
      <c r="AE17">
        <f t="shared" si="2"/>
        <v>-0.61</v>
      </c>
      <c r="AF17">
        <f t="shared" si="3"/>
        <v>-130.61500000000001</v>
      </c>
      <c r="AG17">
        <f t="shared" si="4"/>
        <v>63.698999999999998</v>
      </c>
      <c r="AH17">
        <f t="shared" si="5"/>
        <v>-170.244</v>
      </c>
      <c r="AI17">
        <f t="shared" si="6"/>
        <v>63.698999999999998</v>
      </c>
      <c r="AJ17">
        <f t="shared" si="7"/>
        <v>-61.890999999999998</v>
      </c>
    </row>
    <row r="18" spans="1:36" ht="18.95" customHeight="1">
      <c r="A18" s="4">
        <v>49679444</v>
      </c>
      <c r="B18" s="6">
        <v>0.58163438300000003</v>
      </c>
      <c r="C18" s="6">
        <v>0.202935591</v>
      </c>
      <c r="D18" s="6">
        <v>-0.97899999999999998</v>
      </c>
      <c r="E18" s="6">
        <v>0.34499999999999997</v>
      </c>
      <c r="F18" s="6">
        <v>-7.8E-2</v>
      </c>
      <c r="G18" s="6">
        <v>4.2110000000000003</v>
      </c>
      <c r="H18" s="6">
        <v>-0.42699999999999999</v>
      </c>
      <c r="I18" s="6">
        <v>-129.94399999999999</v>
      </c>
      <c r="J18" s="6">
        <v>-167.56299999999999</v>
      </c>
      <c r="K18" s="6">
        <v>70.159000000000006</v>
      </c>
      <c r="L18" s="6">
        <v>-59.183</v>
      </c>
      <c r="M18" s="6">
        <v>98.1</v>
      </c>
      <c r="N18" s="6">
        <v>-37.087000000000003</v>
      </c>
      <c r="O18" s="6">
        <v>24.7</v>
      </c>
      <c r="P18" s="6">
        <v>24.32</v>
      </c>
      <c r="Q18" s="6">
        <v>-0.31058000000000002</v>
      </c>
      <c r="R18" s="6">
        <v>-0.72585999999999995</v>
      </c>
      <c r="S18" s="6">
        <v>7.8E-2</v>
      </c>
      <c r="T18" s="6">
        <v>0.60867000000000004</v>
      </c>
      <c r="U18" s="6">
        <v>9.4350000000000005</v>
      </c>
      <c r="V18" s="6">
        <v>1</v>
      </c>
      <c r="W18" s="6">
        <v>1</v>
      </c>
      <c r="X18" s="6" t="s">
        <v>297</v>
      </c>
      <c r="Y18" s="6">
        <v>7.3495814800000003E-2</v>
      </c>
      <c r="Z18" s="6">
        <v>-7.4525559100000003E-3</v>
      </c>
      <c r="AA18" s="6">
        <v>-2.26795064</v>
      </c>
      <c r="AC18">
        <f t="shared" si="0"/>
        <v>581.63438300000007</v>
      </c>
      <c r="AD18">
        <f t="shared" si="1"/>
        <v>4.2110000000000003</v>
      </c>
      <c r="AE18">
        <f t="shared" si="2"/>
        <v>-0.42699999999999999</v>
      </c>
      <c r="AF18">
        <f t="shared" si="3"/>
        <v>-129.94399999999999</v>
      </c>
      <c r="AG18">
        <f t="shared" si="4"/>
        <v>70.159000000000006</v>
      </c>
      <c r="AH18">
        <f t="shared" si="5"/>
        <v>-167.56299999999999</v>
      </c>
      <c r="AI18">
        <f t="shared" si="6"/>
        <v>70.159000000000006</v>
      </c>
      <c r="AJ18">
        <f t="shared" si="7"/>
        <v>-59.183</v>
      </c>
    </row>
    <row r="19" spans="1:36" ht="18.95" customHeight="1">
      <c r="A19" s="4">
        <v>49679475</v>
      </c>
      <c r="B19" s="6">
        <v>0.61263438299999995</v>
      </c>
      <c r="C19" s="6">
        <v>0.21375167</v>
      </c>
      <c r="D19" s="6">
        <v>-0.99099999999999999</v>
      </c>
      <c r="E19" s="6">
        <v>0.24399999999999999</v>
      </c>
      <c r="F19" s="6">
        <v>-6.4000000000000001E-2</v>
      </c>
      <c r="G19" s="6">
        <v>3.8450000000000002</v>
      </c>
      <c r="H19" s="6">
        <v>-0.73199999999999998</v>
      </c>
      <c r="I19" s="6">
        <v>-123.596</v>
      </c>
      <c r="J19" s="6">
        <v>-159.27712700000001</v>
      </c>
      <c r="K19" s="6">
        <v>76.465000000000003</v>
      </c>
      <c r="L19" s="6">
        <v>-50.864483200000002</v>
      </c>
      <c r="M19" s="6">
        <v>98.1</v>
      </c>
      <c r="N19" s="6">
        <v>-37.087000000000003</v>
      </c>
      <c r="O19" s="6">
        <v>24.7</v>
      </c>
      <c r="P19" s="6">
        <v>24.32</v>
      </c>
      <c r="Q19" s="6">
        <v>-0.31058000000000002</v>
      </c>
      <c r="R19" s="6">
        <v>-0.72585999999999995</v>
      </c>
      <c r="S19" s="6">
        <v>7.8E-2</v>
      </c>
      <c r="T19" s="6">
        <v>0.60867000000000004</v>
      </c>
      <c r="U19" s="6">
        <v>9.4659999999999993</v>
      </c>
      <c r="V19" s="6">
        <v>3</v>
      </c>
      <c r="W19" s="6">
        <v>3</v>
      </c>
      <c r="X19" s="6" t="s">
        <v>298</v>
      </c>
      <c r="Y19" s="6">
        <v>6.7107909699999996E-2</v>
      </c>
      <c r="Z19" s="6">
        <v>-1.27758101E-2</v>
      </c>
      <c r="AA19" s="6">
        <v>-2.1571571399999998</v>
      </c>
      <c r="AC19">
        <f t="shared" si="0"/>
        <v>612.63438299999996</v>
      </c>
      <c r="AD19">
        <f t="shared" si="1"/>
        <v>3.8450000000000002</v>
      </c>
      <c r="AE19">
        <f t="shared" si="2"/>
        <v>-0.73199999999999998</v>
      </c>
      <c r="AF19">
        <f t="shared" si="3"/>
        <v>-123.596</v>
      </c>
      <c r="AG19">
        <f t="shared" si="4"/>
        <v>76.465000000000003</v>
      </c>
      <c r="AH19">
        <f t="shared" si="5"/>
        <v>-159.27712700000001</v>
      </c>
      <c r="AI19">
        <f t="shared" si="6"/>
        <v>76.465000000000003</v>
      </c>
      <c r="AJ19">
        <f t="shared" si="7"/>
        <v>-50.864483200000002</v>
      </c>
    </row>
    <row r="20" spans="1:36" ht="18.95" customHeight="1">
      <c r="A20" s="4">
        <v>49679505</v>
      </c>
      <c r="B20" s="6">
        <v>0.64263438299999998</v>
      </c>
      <c r="C20" s="6">
        <v>0.224218843</v>
      </c>
      <c r="D20" s="6">
        <v>-1.0289999999999999</v>
      </c>
      <c r="E20" s="6">
        <v>0.13300000000000001</v>
      </c>
      <c r="F20" s="6">
        <v>-6.4000000000000001E-2</v>
      </c>
      <c r="G20" s="6">
        <v>3.6619999999999999</v>
      </c>
      <c r="H20" s="6">
        <v>-1.343</v>
      </c>
      <c r="I20" s="6">
        <v>-122.559</v>
      </c>
      <c r="J20" s="6">
        <v>-152.05099999999999</v>
      </c>
      <c r="K20" s="6">
        <v>82.375</v>
      </c>
      <c r="L20" s="6">
        <v>-43.627000000000002</v>
      </c>
      <c r="M20" s="6">
        <v>102.8</v>
      </c>
      <c r="N20" s="6">
        <v>-32.173000000000002</v>
      </c>
      <c r="O20" s="6">
        <v>-7.8</v>
      </c>
      <c r="P20" s="6">
        <v>24.32</v>
      </c>
      <c r="Q20" s="6">
        <v>-0.31058000000000002</v>
      </c>
      <c r="R20" s="6">
        <v>-0.72585999999999995</v>
      </c>
      <c r="S20" s="6">
        <v>7.8E-2</v>
      </c>
      <c r="T20" s="6">
        <v>0.60867000000000004</v>
      </c>
      <c r="U20" s="6">
        <v>9.4960000000000004</v>
      </c>
      <c r="V20" s="6">
        <v>1</v>
      </c>
      <c r="W20" s="6">
        <v>1</v>
      </c>
      <c r="X20" s="6" t="s">
        <v>220</v>
      </c>
      <c r="Y20" s="6">
        <v>6.3913957199999996E-2</v>
      </c>
      <c r="Z20" s="6">
        <v>-2.34397719E-2</v>
      </c>
      <c r="AA20" s="6">
        <v>-2.1390580799999999</v>
      </c>
      <c r="AC20">
        <f t="shared" si="0"/>
        <v>642.63438299999996</v>
      </c>
      <c r="AD20">
        <f t="shared" si="1"/>
        <v>3.6619999999999999</v>
      </c>
      <c r="AE20">
        <f t="shared" si="2"/>
        <v>-1.343</v>
      </c>
      <c r="AF20">
        <f t="shared" si="3"/>
        <v>-122.559</v>
      </c>
      <c r="AG20">
        <f t="shared" si="4"/>
        <v>82.375</v>
      </c>
      <c r="AH20">
        <f t="shared" si="5"/>
        <v>-152.05099999999999</v>
      </c>
      <c r="AI20">
        <f t="shared" si="6"/>
        <v>82.375</v>
      </c>
      <c r="AJ20">
        <f t="shared" si="7"/>
        <v>-43.627000000000002</v>
      </c>
    </row>
    <row r="21" spans="1:36" ht="18.95" customHeight="1">
      <c r="A21" s="4">
        <v>49679566</v>
      </c>
      <c r="B21" s="6">
        <v>0.70363438300000003</v>
      </c>
      <c r="C21" s="6">
        <v>0.245502094</v>
      </c>
      <c r="D21" s="6">
        <v>-1.0249999999999999</v>
      </c>
      <c r="E21" s="6">
        <v>8.0000000000000002E-3</v>
      </c>
      <c r="F21" s="6">
        <v>-7.0999999999999994E-2</v>
      </c>
      <c r="G21" s="6">
        <v>3.7839999999999998</v>
      </c>
      <c r="H21" s="6">
        <v>-1.1599999999999999</v>
      </c>
      <c r="I21" s="6">
        <v>-121.521</v>
      </c>
      <c r="J21" s="6">
        <v>-89.593448899999999</v>
      </c>
      <c r="K21" s="6">
        <v>86.950999999999993</v>
      </c>
      <c r="L21" s="6">
        <v>18.832725199999999</v>
      </c>
      <c r="M21" s="6">
        <v>102.8</v>
      </c>
      <c r="N21" s="6">
        <v>-32.173000000000002</v>
      </c>
      <c r="O21" s="6">
        <v>-7.8</v>
      </c>
      <c r="P21" s="6">
        <v>24.32</v>
      </c>
      <c r="Q21" s="6">
        <v>-0.31058000000000002</v>
      </c>
      <c r="R21" s="6">
        <v>-0.72585999999999995</v>
      </c>
      <c r="S21" s="6">
        <v>7.8E-2</v>
      </c>
      <c r="T21" s="6">
        <v>0.60867000000000004</v>
      </c>
      <c r="U21" s="6">
        <v>9.5570000000000004</v>
      </c>
      <c r="V21" s="6">
        <v>3</v>
      </c>
      <c r="W21" s="6">
        <v>3</v>
      </c>
      <c r="X21" s="6" t="s">
        <v>299</v>
      </c>
      <c r="Y21" s="6">
        <v>6.6043258899999999E-2</v>
      </c>
      <c r="Z21" s="6">
        <v>-2.0245819299999999E-2</v>
      </c>
      <c r="AA21" s="6">
        <v>-2.1209415599999999</v>
      </c>
      <c r="AC21">
        <f t="shared" si="0"/>
        <v>703.63438300000007</v>
      </c>
      <c r="AD21">
        <f t="shared" si="1"/>
        <v>3.7839999999999998</v>
      </c>
      <c r="AE21">
        <f t="shared" si="2"/>
        <v>-1.1599999999999999</v>
      </c>
      <c r="AF21">
        <f t="shared" si="3"/>
        <v>-121.521</v>
      </c>
      <c r="AG21">
        <f t="shared" si="4"/>
        <v>86.950999999999993</v>
      </c>
      <c r="AH21">
        <f t="shared" si="5"/>
        <v>-89.593448899999999</v>
      </c>
      <c r="AI21">
        <f t="shared" si="6"/>
        <v>86.950999999999993</v>
      </c>
      <c r="AJ21">
        <f t="shared" si="7"/>
        <v>18.832725199999999</v>
      </c>
    </row>
    <row r="22" spans="1:36" ht="18.95" customHeight="1">
      <c r="A22" s="4">
        <v>49679624</v>
      </c>
      <c r="B22" s="6">
        <v>0.76163438299999997</v>
      </c>
      <c r="C22" s="6">
        <v>0.265738629</v>
      </c>
      <c r="D22" s="6">
        <v>-1.0265</v>
      </c>
      <c r="E22" s="6">
        <v>-0.104</v>
      </c>
      <c r="F22" s="6">
        <v>-6.9000000000000006E-2</v>
      </c>
      <c r="G22" s="6">
        <v>3.601</v>
      </c>
      <c r="H22" s="6">
        <v>-0.73199999999999998</v>
      </c>
      <c r="I22" s="6">
        <v>-121.09399999999999</v>
      </c>
      <c r="J22" s="6">
        <v>-39.243000000000002</v>
      </c>
      <c r="K22" s="6">
        <v>85.331000000000003</v>
      </c>
      <c r="L22" s="6">
        <v>69.174999999999997</v>
      </c>
      <c r="M22" s="6">
        <v>102.8</v>
      </c>
      <c r="N22" s="6">
        <v>-32.173000000000002</v>
      </c>
      <c r="O22" s="6">
        <v>-7.8</v>
      </c>
      <c r="P22" s="6">
        <v>24.32</v>
      </c>
      <c r="Q22" s="6">
        <v>-0.10913</v>
      </c>
      <c r="R22" s="6">
        <v>-0.71792999999999996</v>
      </c>
      <c r="S22" s="6">
        <v>-0.13428000000000001</v>
      </c>
      <c r="T22" s="6">
        <v>0.67418999999999996</v>
      </c>
      <c r="U22" s="6">
        <v>9.6150000000000002</v>
      </c>
      <c r="V22" s="6">
        <v>2</v>
      </c>
      <c r="W22" s="6">
        <v>2</v>
      </c>
      <c r="X22" s="6" t="s">
        <v>300</v>
      </c>
      <c r="Y22" s="6">
        <v>6.2849306399999999E-2</v>
      </c>
      <c r="Z22" s="6">
        <v>-1.27758101E-2</v>
      </c>
      <c r="AA22" s="6">
        <v>-2.113489</v>
      </c>
      <c r="AC22">
        <f t="shared" si="0"/>
        <v>761.63438299999996</v>
      </c>
      <c r="AD22">
        <f t="shared" si="1"/>
        <v>3.601</v>
      </c>
      <c r="AE22">
        <f t="shared" si="2"/>
        <v>-0.73199999999999998</v>
      </c>
      <c r="AF22">
        <f t="shared" si="3"/>
        <v>-121.09399999999999</v>
      </c>
      <c r="AG22">
        <f t="shared" si="4"/>
        <v>85.331000000000003</v>
      </c>
      <c r="AH22">
        <f t="shared" si="5"/>
        <v>-39.243000000000002</v>
      </c>
      <c r="AI22">
        <f t="shared" si="6"/>
        <v>85.331000000000003</v>
      </c>
      <c r="AJ22">
        <f t="shared" si="7"/>
        <v>69.174999999999997</v>
      </c>
    </row>
    <row r="23" spans="1:36" ht="18.95" customHeight="1">
      <c r="A23" s="4">
        <v>49679685</v>
      </c>
      <c r="B23" s="6">
        <v>0.82263438300000002</v>
      </c>
      <c r="C23" s="6">
        <v>0.28702188099999998</v>
      </c>
      <c r="D23" s="6">
        <v>-0.95199999999999996</v>
      </c>
      <c r="E23" s="6">
        <v>-0.215</v>
      </c>
      <c r="F23" s="6">
        <v>-7.0000000000000007E-2</v>
      </c>
      <c r="G23" s="6">
        <v>3.7229999999999999</v>
      </c>
      <c r="H23" s="6">
        <v>-0.54900000000000004</v>
      </c>
      <c r="I23" s="6">
        <v>-123.108</v>
      </c>
      <c r="J23" s="6">
        <v>-18.177</v>
      </c>
      <c r="K23" s="6">
        <v>79.997</v>
      </c>
      <c r="L23" s="6">
        <v>90.242000000000004</v>
      </c>
      <c r="M23" s="6">
        <v>102.8</v>
      </c>
      <c r="N23" s="6">
        <v>-32.173000000000002</v>
      </c>
      <c r="O23" s="6">
        <v>-7.8</v>
      </c>
      <c r="P23" s="6">
        <v>24.32</v>
      </c>
      <c r="Q23" s="6">
        <v>-0.10913</v>
      </c>
      <c r="R23" s="6">
        <v>-0.71792999999999996</v>
      </c>
      <c r="S23" s="6">
        <v>-0.13428000000000001</v>
      </c>
      <c r="T23" s="6">
        <v>0.67418999999999996</v>
      </c>
      <c r="U23" s="6">
        <v>9.6760000000000002</v>
      </c>
      <c r="V23" s="6">
        <v>1</v>
      </c>
      <c r="W23" s="6">
        <v>1</v>
      </c>
      <c r="X23" s="6" t="s">
        <v>224</v>
      </c>
      <c r="Y23" s="6">
        <v>6.4978608100000002E-2</v>
      </c>
      <c r="Z23" s="6">
        <v>-9.5818575899999994E-3</v>
      </c>
      <c r="AA23" s="6">
        <v>-2.1486399399999998</v>
      </c>
      <c r="AC23">
        <f t="shared" si="0"/>
        <v>822.63438300000007</v>
      </c>
      <c r="AD23">
        <f t="shared" si="1"/>
        <v>3.7229999999999999</v>
      </c>
      <c r="AE23">
        <f t="shared" si="2"/>
        <v>-0.54900000000000004</v>
      </c>
      <c r="AF23">
        <f t="shared" si="3"/>
        <v>-123.108</v>
      </c>
      <c r="AG23">
        <f t="shared" si="4"/>
        <v>79.997</v>
      </c>
      <c r="AH23">
        <f t="shared" si="5"/>
        <v>-18.177</v>
      </c>
      <c r="AI23">
        <f t="shared" si="6"/>
        <v>79.997</v>
      </c>
      <c r="AJ23">
        <f t="shared" si="7"/>
        <v>90.242000000000004</v>
      </c>
    </row>
    <row r="24" spans="1:36" ht="18.95" customHeight="1">
      <c r="A24" s="4">
        <v>49679714</v>
      </c>
      <c r="B24" s="6">
        <v>0.85163438300000005</v>
      </c>
      <c r="C24" s="6">
        <v>0.29714014799999999</v>
      </c>
      <c r="D24" s="6">
        <v>-0.92500000000000004</v>
      </c>
      <c r="E24" s="6">
        <v>-0.29599999999999999</v>
      </c>
      <c r="F24" s="6">
        <v>-6.4000000000000001E-2</v>
      </c>
      <c r="G24" s="6">
        <v>3.7229999999999999</v>
      </c>
      <c r="H24" s="6">
        <v>-0.61</v>
      </c>
      <c r="I24" s="6">
        <v>-121.58199999999999</v>
      </c>
      <c r="J24" s="6">
        <v>-11.019</v>
      </c>
      <c r="K24" s="6">
        <v>74.091999999999999</v>
      </c>
      <c r="L24" s="6">
        <v>97.405000000000001</v>
      </c>
      <c r="M24" s="6">
        <v>102.8</v>
      </c>
      <c r="N24" s="6">
        <v>-32.173000000000002</v>
      </c>
      <c r="O24" s="6">
        <v>-7.8</v>
      </c>
      <c r="P24" s="6">
        <v>24.32</v>
      </c>
      <c r="Q24" s="6">
        <v>-0.10913</v>
      </c>
      <c r="R24" s="6">
        <v>-0.71792999999999996</v>
      </c>
      <c r="S24" s="6">
        <v>-0.13428000000000001</v>
      </c>
      <c r="T24" s="6">
        <v>0.67418999999999996</v>
      </c>
      <c r="U24" s="6">
        <v>9.7050000000000001</v>
      </c>
      <c r="V24" s="6">
        <v>2</v>
      </c>
      <c r="W24" s="6">
        <v>2</v>
      </c>
      <c r="X24" s="6" t="s">
        <v>301</v>
      </c>
      <c r="Y24" s="6">
        <v>6.4978608100000002E-2</v>
      </c>
      <c r="Z24" s="6">
        <v>-1.0646508400000001E-2</v>
      </c>
      <c r="AA24" s="6">
        <v>-2.1220062099999999</v>
      </c>
      <c r="AC24">
        <f t="shared" si="0"/>
        <v>851.63438300000007</v>
      </c>
      <c r="AD24">
        <f t="shared" si="1"/>
        <v>3.7229999999999999</v>
      </c>
      <c r="AE24">
        <f t="shared" si="2"/>
        <v>-0.61</v>
      </c>
      <c r="AF24">
        <f t="shared" si="3"/>
        <v>-121.58199999999999</v>
      </c>
      <c r="AG24">
        <f t="shared" si="4"/>
        <v>74.091999999999999</v>
      </c>
      <c r="AH24">
        <f t="shared" si="5"/>
        <v>-11.019</v>
      </c>
      <c r="AI24">
        <f t="shared" si="6"/>
        <v>74.091999999999999</v>
      </c>
      <c r="AJ24">
        <f t="shared" si="7"/>
        <v>97.405000000000001</v>
      </c>
    </row>
    <row r="25" spans="1:36" ht="18.95" customHeight="1">
      <c r="A25" s="4">
        <v>49679744</v>
      </c>
      <c r="B25" s="6">
        <v>0.88163438299999997</v>
      </c>
      <c r="C25" s="6">
        <v>0.30760732099999999</v>
      </c>
      <c r="D25" s="6">
        <v>-0.84099999999999997</v>
      </c>
      <c r="E25" s="6">
        <v>-0.39</v>
      </c>
      <c r="F25" s="6">
        <v>-5.8000000000000003E-2</v>
      </c>
      <c r="G25" s="6">
        <v>3.601</v>
      </c>
      <c r="H25" s="6">
        <v>-0.61</v>
      </c>
      <c r="I25" s="6">
        <v>-121.033</v>
      </c>
      <c r="J25" s="6">
        <v>-7.5529999999999999</v>
      </c>
      <c r="K25" s="6">
        <v>68.070999999999998</v>
      </c>
      <c r="L25" s="6">
        <v>100.871</v>
      </c>
      <c r="M25" s="6">
        <v>102.8</v>
      </c>
      <c r="N25" s="6">
        <v>-32.173000000000002</v>
      </c>
      <c r="O25" s="6">
        <v>-7.8</v>
      </c>
      <c r="P25" s="6">
        <v>24.32</v>
      </c>
      <c r="Q25" s="6">
        <v>-0.10913</v>
      </c>
      <c r="R25" s="6">
        <v>-0.71792999999999996</v>
      </c>
      <c r="S25" s="6">
        <v>-0.13428000000000001</v>
      </c>
      <c r="T25" s="6">
        <v>0.67418999999999996</v>
      </c>
      <c r="U25" s="6">
        <v>9.7349999999999994</v>
      </c>
      <c r="V25" s="6">
        <v>1</v>
      </c>
      <c r="W25" s="6">
        <v>1</v>
      </c>
      <c r="X25" s="6" t="s">
        <v>284</v>
      </c>
      <c r="Y25" s="6">
        <v>6.2849306399999999E-2</v>
      </c>
      <c r="Z25" s="6">
        <v>-1.0646508400000001E-2</v>
      </c>
      <c r="AA25" s="6">
        <v>-2.11242435</v>
      </c>
      <c r="AC25">
        <f t="shared" si="0"/>
        <v>881.63438299999996</v>
      </c>
      <c r="AD25">
        <f t="shared" si="1"/>
        <v>3.601</v>
      </c>
      <c r="AE25">
        <f t="shared" si="2"/>
        <v>-0.61</v>
      </c>
      <c r="AF25">
        <f t="shared" si="3"/>
        <v>-121.033</v>
      </c>
      <c r="AG25">
        <f t="shared" si="4"/>
        <v>68.070999999999998</v>
      </c>
      <c r="AH25">
        <f t="shared" si="5"/>
        <v>-7.5529999999999999</v>
      </c>
      <c r="AI25">
        <f t="shared" si="6"/>
        <v>68.070999999999998</v>
      </c>
      <c r="AJ25">
        <f t="shared" si="7"/>
        <v>100.871</v>
      </c>
    </row>
    <row r="26" spans="1:36" ht="18.95" customHeight="1">
      <c r="A26" s="4">
        <v>49679804</v>
      </c>
      <c r="B26" s="6">
        <v>0.94163438300000002</v>
      </c>
      <c r="C26" s="6">
        <v>0.32854166699999998</v>
      </c>
      <c r="D26" s="6">
        <v>-0.84099999999999997</v>
      </c>
      <c r="E26" s="6">
        <v>-0.47899999999999998</v>
      </c>
      <c r="F26" s="6">
        <v>-5.5E-2</v>
      </c>
      <c r="G26" s="6">
        <v>3.601</v>
      </c>
      <c r="H26" s="6">
        <v>-0.73199999999999998</v>
      </c>
      <c r="I26" s="6">
        <v>-117.371</v>
      </c>
      <c r="J26" s="6">
        <v>-5.5430000000000001</v>
      </c>
      <c r="K26" s="6">
        <v>62.106000000000002</v>
      </c>
      <c r="L26" s="6">
        <v>102.887</v>
      </c>
      <c r="M26" s="6">
        <v>102.8</v>
      </c>
      <c r="N26" s="6">
        <v>-32.173000000000002</v>
      </c>
      <c r="O26" s="6">
        <v>-7.8</v>
      </c>
      <c r="P26" s="6">
        <v>24.32</v>
      </c>
      <c r="Q26" s="6">
        <v>-0.10913</v>
      </c>
      <c r="R26" s="6">
        <v>-0.71792999999999996</v>
      </c>
      <c r="S26" s="6">
        <v>-0.13428000000000001</v>
      </c>
      <c r="T26" s="6">
        <v>0.67418999999999996</v>
      </c>
      <c r="U26" s="6">
        <v>9.7949999999999999</v>
      </c>
      <c r="V26" s="6">
        <v>1</v>
      </c>
      <c r="W26" s="6">
        <v>1</v>
      </c>
      <c r="X26" s="6" t="s">
        <v>285</v>
      </c>
      <c r="Y26" s="6">
        <v>6.2849306399999999E-2</v>
      </c>
      <c r="Z26" s="6">
        <v>-1.27758101E-2</v>
      </c>
      <c r="AA26" s="6">
        <v>-2.0485104000000001</v>
      </c>
      <c r="AC26">
        <f t="shared" si="0"/>
        <v>941.63438300000007</v>
      </c>
      <c r="AD26">
        <f t="shared" si="1"/>
        <v>3.601</v>
      </c>
      <c r="AE26">
        <f t="shared" si="2"/>
        <v>-0.73199999999999998</v>
      </c>
      <c r="AF26">
        <f t="shared" si="3"/>
        <v>-117.371</v>
      </c>
      <c r="AG26">
        <f t="shared" si="4"/>
        <v>62.106000000000002</v>
      </c>
      <c r="AH26">
        <f t="shared" si="5"/>
        <v>-5.5430000000000001</v>
      </c>
      <c r="AI26">
        <f t="shared" si="6"/>
        <v>62.106000000000002</v>
      </c>
      <c r="AJ26">
        <f t="shared" si="7"/>
        <v>102.887</v>
      </c>
    </row>
    <row r="27" spans="1:36" ht="18.95" customHeight="1">
      <c r="A27" s="4">
        <v>49679835</v>
      </c>
      <c r="B27" s="6">
        <v>0.97263438300000005</v>
      </c>
      <c r="C27" s="6">
        <v>0.33935774600000002</v>
      </c>
      <c r="D27" s="6">
        <v>-0.78900000000000003</v>
      </c>
      <c r="E27" s="6">
        <v>-0.47899999999999998</v>
      </c>
      <c r="F27" s="6">
        <v>-5.5E-2</v>
      </c>
      <c r="G27" s="6">
        <v>3.601</v>
      </c>
      <c r="H27" s="6">
        <v>-0.73199999999999998</v>
      </c>
      <c r="I27" s="6">
        <v>-117.371</v>
      </c>
      <c r="J27" s="6">
        <v>-5.5430000000000001</v>
      </c>
      <c r="K27" s="6">
        <v>62.106000000000002</v>
      </c>
      <c r="L27" s="6">
        <v>102.887</v>
      </c>
      <c r="M27" s="6">
        <v>91.3</v>
      </c>
      <c r="N27" s="6">
        <v>-18.88</v>
      </c>
      <c r="O27" s="6">
        <v>-30.7</v>
      </c>
      <c r="P27" s="6">
        <v>24.32</v>
      </c>
      <c r="Q27" s="6">
        <v>-0.10913</v>
      </c>
      <c r="R27" s="6">
        <v>-0.71792999999999996</v>
      </c>
      <c r="S27" s="6">
        <v>-0.13428000000000001</v>
      </c>
      <c r="T27" s="6">
        <v>0.67418999999999996</v>
      </c>
      <c r="U27" s="6">
        <v>9.8260000000000005</v>
      </c>
      <c r="V27" s="6">
        <v>1</v>
      </c>
      <c r="W27" s="6">
        <v>1</v>
      </c>
      <c r="X27" s="6" t="s">
        <v>286</v>
      </c>
      <c r="Y27" s="6">
        <v>6.2849306399999999E-2</v>
      </c>
      <c r="Z27" s="6">
        <v>-1.27758101E-2</v>
      </c>
      <c r="AA27" s="6">
        <v>-2.0485104000000001</v>
      </c>
      <c r="AC27">
        <f t="shared" si="0"/>
        <v>972.63438300000007</v>
      </c>
      <c r="AD27">
        <f t="shared" si="1"/>
        <v>3.601</v>
      </c>
      <c r="AE27">
        <f t="shared" si="2"/>
        <v>-0.73199999999999998</v>
      </c>
      <c r="AF27">
        <f t="shared" si="3"/>
        <v>-117.371</v>
      </c>
      <c r="AG27">
        <f t="shared" si="4"/>
        <v>62.106000000000002</v>
      </c>
      <c r="AH27">
        <f t="shared" si="5"/>
        <v>-5.5430000000000001</v>
      </c>
      <c r="AI27">
        <f t="shared" si="6"/>
        <v>62.106000000000002</v>
      </c>
      <c r="AJ27">
        <f t="shared" si="7"/>
        <v>102.887</v>
      </c>
    </row>
    <row r="28" spans="1:36" ht="18.95" customHeight="1">
      <c r="A28" s="4">
        <v>49679865</v>
      </c>
      <c r="B28" s="6">
        <v>1.0026343799999999</v>
      </c>
      <c r="C28" s="6">
        <v>0.34982491900000001</v>
      </c>
      <c r="D28" s="6">
        <v>-0.73</v>
      </c>
      <c r="E28" s="6">
        <v>-0.56799999999999995</v>
      </c>
      <c r="F28" s="6">
        <v>-5.8000000000000003E-2</v>
      </c>
      <c r="G28" s="6">
        <v>3.8450000000000002</v>
      </c>
      <c r="H28" s="6">
        <v>-0.91600000000000004</v>
      </c>
      <c r="I28" s="6">
        <v>-117.798</v>
      </c>
      <c r="J28" s="6">
        <v>-3.8816700000000002</v>
      </c>
      <c r="K28" s="6">
        <v>56.167999999999999</v>
      </c>
      <c r="L28" s="6">
        <v>104.54433</v>
      </c>
      <c r="M28" s="6">
        <v>91.3</v>
      </c>
      <c r="N28" s="6">
        <v>-18.88</v>
      </c>
      <c r="O28" s="6">
        <v>-30.7</v>
      </c>
      <c r="P28" s="6">
        <v>24.32</v>
      </c>
      <c r="Q28" s="6">
        <v>-0.10913</v>
      </c>
      <c r="R28" s="6">
        <v>-0.71792999999999996</v>
      </c>
      <c r="S28" s="6">
        <v>-0.13428000000000001</v>
      </c>
      <c r="T28" s="6">
        <v>0.67418999999999996</v>
      </c>
      <c r="U28" s="6">
        <v>9.8559999999999999</v>
      </c>
      <c r="V28" s="6">
        <v>3</v>
      </c>
      <c r="W28" s="6">
        <v>3</v>
      </c>
      <c r="X28" s="6" t="s">
        <v>302</v>
      </c>
      <c r="Y28" s="6">
        <v>6.7107909699999996E-2</v>
      </c>
      <c r="Z28" s="6">
        <v>-1.5987215900000001E-2</v>
      </c>
      <c r="AA28" s="6">
        <v>-2.0559629500000001</v>
      </c>
      <c r="AC28">
        <f t="shared" si="0"/>
        <v>1002.63438</v>
      </c>
      <c r="AD28">
        <f t="shared" si="1"/>
        <v>3.8450000000000002</v>
      </c>
      <c r="AE28">
        <f t="shared" si="2"/>
        <v>-0.91600000000000004</v>
      </c>
      <c r="AF28">
        <f t="shared" si="3"/>
        <v>-117.798</v>
      </c>
      <c r="AG28">
        <f t="shared" si="4"/>
        <v>56.167999999999999</v>
      </c>
      <c r="AH28">
        <f t="shared" si="5"/>
        <v>-3.8816700000000002</v>
      </c>
      <c r="AI28">
        <f t="shared" si="6"/>
        <v>56.167999999999999</v>
      </c>
      <c r="AJ28">
        <f t="shared" si="7"/>
        <v>104.54433</v>
      </c>
    </row>
    <row r="29" spans="1:36" ht="18.95" customHeight="1">
      <c r="A29" s="4">
        <v>49679955</v>
      </c>
      <c r="B29" s="6">
        <v>1.09263438</v>
      </c>
      <c r="C29" s="6">
        <v>0.381226438</v>
      </c>
      <c r="D29" s="6">
        <v>-0.64900000000000002</v>
      </c>
      <c r="E29" s="6">
        <v>-0.65400000000000003</v>
      </c>
      <c r="F29" s="6">
        <v>-5.5E-2</v>
      </c>
      <c r="G29" s="6">
        <v>3.6619999999999999</v>
      </c>
      <c r="H29" s="6">
        <v>-0.85399999999999998</v>
      </c>
      <c r="I29" s="6">
        <v>-116.211</v>
      </c>
      <c r="J29" s="6">
        <v>-3.2410000000000001</v>
      </c>
      <c r="K29" s="6">
        <v>50.295000000000002</v>
      </c>
      <c r="L29" s="6">
        <v>105.18899999999999</v>
      </c>
      <c r="M29" s="6">
        <v>91.3</v>
      </c>
      <c r="N29" s="6">
        <v>-18.88</v>
      </c>
      <c r="O29" s="6">
        <v>-30.7</v>
      </c>
      <c r="P29" s="6">
        <v>24.32</v>
      </c>
      <c r="Q29" s="6">
        <v>0.13174</v>
      </c>
      <c r="R29" s="6">
        <v>-0.62994000000000006</v>
      </c>
      <c r="S29" s="6">
        <v>-0.36008000000000001</v>
      </c>
      <c r="T29" s="6">
        <v>0.67528999999999995</v>
      </c>
      <c r="U29" s="6">
        <v>9.9459999999999997</v>
      </c>
      <c r="V29" s="6">
        <v>1</v>
      </c>
      <c r="W29" s="6">
        <v>1</v>
      </c>
      <c r="X29" s="6" t="s">
        <v>288</v>
      </c>
      <c r="Y29" s="6">
        <v>6.3913957199999996E-2</v>
      </c>
      <c r="Z29" s="6">
        <v>-1.4905111800000001E-2</v>
      </c>
      <c r="AA29" s="6">
        <v>-2.0282645800000001</v>
      </c>
      <c r="AC29">
        <f t="shared" si="0"/>
        <v>1092.63438</v>
      </c>
      <c r="AD29">
        <f t="shared" si="1"/>
        <v>3.6619999999999999</v>
      </c>
      <c r="AE29">
        <f t="shared" si="2"/>
        <v>-0.85399999999999998</v>
      </c>
      <c r="AF29">
        <f t="shared" si="3"/>
        <v>-116.211</v>
      </c>
      <c r="AG29">
        <f t="shared" si="4"/>
        <v>50.295000000000002</v>
      </c>
      <c r="AH29">
        <f t="shared" si="5"/>
        <v>-3.2410000000000001</v>
      </c>
      <c r="AI29">
        <f t="shared" si="6"/>
        <v>50.295000000000002</v>
      </c>
      <c r="AJ29">
        <f t="shared" si="7"/>
        <v>105.18899999999999</v>
      </c>
    </row>
    <row r="30" spans="1:36" ht="18.95" customHeight="1">
      <c r="A30" s="4">
        <v>49679984</v>
      </c>
      <c r="B30" s="6">
        <v>1.1216343799999999</v>
      </c>
      <c r="C30" s="6">
        <v>0.39134470500000001</v>
      </c>
      <c r="D30" s="6">
        <v>-0.622</v>
      </c>
      <c r="E30" s="6">
        <v>-0.72199999999999998</v>
      </c>
      <c r="F30" s="6">
        <v>-5.0999999999999997E-2</v>
      </c>
      <c r="G30" s="6">
        <v>3.6619999999999999</v>
      </c>
      <c r="H30" s="6">
        <v>-0.85399999999999998</v>
      </c>
      <c r="I30" s="6">
        <v>-115.35599999999999</v>
      </c>
      <c r="J30" s="6">
        <v>-2.516</v>
      </c>
      <c r="K30" s="6">
        <v>44.445</v>
      </c>
      <c r="L30" s="6">
        <v>105.914</v>
      </c>
      <c r="M30" s="6">
        <v>91.3</v>
      </c>
      <c r="N30" s="6">
        <v>-18.88</v>
      </c>
      <c r="O30" s="6">
        <v>-30.7</v>
      </c>
      <c r="P30" s="6">
        <v>24.32</v>
      </c>
      <c r="Q30" s="6">
        <v>0.13174</v>
      </c>
      <c r="R30" s="6">
        <v>-0.62994000000000006</v>
      </c>
      <c r="S30" s="6">
        <v>-0.36008000000000001</v>
      </c>
      <c r="T30" s="6">
        <v>0.67528999999999995</v>
      </c>
      <c r="U30" s="6">
        <v>9.9749999999999996</v>
      </c>
      <c r="V30" s="6">
        <v>2</v>
      </c>
      <c r="W30" s="6">
        <v>2</v>
      </c>
      <c r="X30" s="6" t="s">
        <v>303</v>
      </c>
      <c r="Y30" s="6">
        <v>6.3913957199999996E-2</v>
      </c>
      <c r="Z30" s="6">
        <v>-1.4905111800000001E-2</v>
      </c>
      <c r="AA30" s="6">
        <v>-2.0133420100000001</v>
      </c>
      <c r="AC30">
        <f t="shared" si="0"/>
        <v>1121.63438</v>
      </c>
      <c r="AD30">
        <f t="shared" si="1"/>
        <v>3.6619999999999999</v>
      </c>
      <c r="AE30">
        <f t="shared" si="2"/>
        <v>-0.85399999999999998</v>
      </c>
      <c r="AF30">
        <f t="shared" si="3"/>
        <v>-115.35599999999999</v>
      </c>
      <c r="AG30">
        <f t="shared" si="4"/>
        <v>44.445</v>
      </c>
      <c r="AH30">
        <f t="shared" si="5"/>
        <v>-2.516</v>
      </c>
      <c r="AI30">
        <f t="shared" si="6"/>
        <v>44.445</v>
      </c>
      <c r="AJ30">
        <f t="shared" si="7"/>
        <v>105.914</v>
      </c>
    </row>
    <row r="31" spans="1:36" ht="18.95" customHeight="1">
      <c r="A31" s="4">
        <v>49680044</v>
      </c>
      <c r="B31" s="6">
        <v>1.18163438</v>
      </c>
      <c r="C31" s="6">
        <v>0.41227905100000001</v>
      </c>
      <c r="D31" s="6">
        <v>-0.503</v>
      </c>
      <c r="E31" s="6">
        <v>-0.79600000000000004</v>
      </c>
      <c r="F31" s="6">
        <v>-4.5999999999999999E-2</v>
      </c>
      <c r="G31" s="6">
        <v>3.7229999999999999</v>
      </c>
      <c r="H31" s="6">
        <v>-0.79300000000000004</v>
      </c>
      <c r="I31" s="6">
        <v>-116.88200000000001</v>
      </c>
      <c r="J31" s="6">
        <v>-1.9390000000000001</v>
      </c>
      <c r="K31" s="6">
        <v>38.633000000000003</v>
      </c>
      <c r="L31" s="6">
        <v>106.49</v>
      </c>
      <c r="M31" s="6">
        <v>91.3</v>
      </c>
      <c r="N31" s="6">
        <v>-18.88</v>
      </c>
      <c r="O31" s="6">
        <v>-30.7</v>
      </c>
      <c r="P31" s="6">
        <v>24.32</v>
      </c>
      <c r="Q31" s="6">
        <v>0.13174</v>
      </c>
      <c r="R31" s="6">
        <v>-0.62994000000000006</v>
      </c>
      <c r="S31" s="6">
        <v>-0.36008000000000001</v>
      </c>
      <c r="T31" s="6">
        <v>0.67528999999999995</v>
      </c>
      <c r="U31" s="6">
        <v>10.035</v>
      </c>
      <c r="V31" s="6">
        <v>1</v>
      </c>
      <c r="W31" s="6">
        <v>1</v>
      </c>
      <c r="X31" s="6" t="s">
        <v>304</v>
      </c>
      <c r="Y31" s="6">
        <v>6.4978608100000002E-2</v>
      </c>
      <c r="Z31" s="6">
        <v>-1.3840461E-2</v>
      </c>
      <c r="AA31" s="6">
        <v>-2.03997574</v>
      </c>
      <c r="AC31">
        <f t="shared" si="0"/>
        <v>1181.63438</v>
      </c>
      <c r="AD31">
        <f t="shared" si="1"/>
        <v>3.7229999999999999</v>
      </c>
      <c r="AE31">
        <f t="shared" si="2"/>
        <v>-0.79300000000000004</v>
      </c>
      <c r="AF31">
        <f t="shared" si="3"/>
        <v>-116.88200000000001</v>
      </c>
      <c r="AG31">
        <f t="shared" si="4"/>
        <v>38.633000000000003</v>
      </c>
      <c r="AH31">
        <f t="shared" si="5"/>
        <v>-1.9390000000000001</v>
      </c>
      <c r="AI31">
        <f t="shared" si="6"/>
        <v>38.633000000000003</v>
      </c>
      <c r="AJ31">
        <f t="shared" si="7"/>
        <v>106.49</v>
      </c>
    </row>
    <row r="32" spans="1:36" ht="18.95" customHeight="1">
      <c r="A32" s="4">
        <v>49680075</v>
      </c>
      <c r="B32" s="6">
        <v>1.2126343799999999</v>
      </c>
      <c r="C32" s="6">
        <v>0.42309512999999999</v>
      </c>
      <c r="D32" s="6">
        <v>-0.41299999999999998</v>
      </c>
      <c r="E32" s="6">
        <v>-0.84599999999999997</v>
      </c>
      <c r="F32" s="6">
        <v>-0.04</v>
      </c>
      <c r="G32" s="6">
        <v>3.54</v>
      </c>
      <c r="H32" s="6">
        <v>-0.85399999999999998</v>
      </c>
      <c r="I32" s="6">
        <v>-119.568</v>
      </c>
      <c r="J32" s="6">
        <v>-1.3480002200000001</v>
      </c>
      <c r="K32" s="6">
        <v>32.661999999999999</v>
      </c>
      <c r="L32" s="6">
        <v>107.09266599999999</v>
      </c>
      <c r="M32" s="6">
        <v>91.3</v>
      </c>
      <c r="N32" s="6">
        <v>-18.88</v>
      </c>
      <c r="O32" s="6">
        <v>-30.7</v>
      </c>
      <c r="P32" s="6">
        <v>24.32</v>
      </c>
      <c r="Q32" s="6">
        <v>0.13174</v>
      </c>
      <c r="R32" s="6">
        <v>-0.62994000000000006</v>
      </c>
      <c r="S32" s="6">
        <v>-0.36008000000000001</v>
      </c>
      <c r="T32" s="6">
        <v>0.67528999999999995</v>
      </c>
      <c r="U32" s="6">
        <v>10.066000000000001</v>
      </c>
      <c r="V32" s="6">
        <v>3</v>
      </c>
      <c r="W32" s="6">
        <v>3</v>
      </c>
      <c r="X32" s="6" t="s">
        <v>305</v>
      </c>
      <c r="Y32" s="6">
        <v>6.1784655500000001E-2</v>
      </c>
      <c r="Z32" s="6">
        <v>-1.4905111800000001E-2</v>
      </c>
      <c r="AA32" s="6">
        <v>-2.08685528</v>
      </c>
      <c r="AC32">
        <f t="shared" si="0"/>
        <v>1212.63438</v>
      </c>
      <c r="AD32">
        <f t="shared" si="1"/>
        <v>3.54</v>
      </c>
      <c r="AE32">
        <f t="shared" si="2"/>
        <v>-0.85399999999999998</v>
      </c>
      <c r="AF32">
        <f t="shared" si="3"/>
        <v>-119.568</v>
      </c>
      <c r="AG32">
        <f t="shared" si="4"/>
        <v>32.661999999999999</v>
      </c>
      <c r="AH32">
        <f t="shared" si="5"/>
        <v>-1.3480002200000001</v>
      </c>
      <c r="AI32">
        <f t="shared" si="6"/>
        <v>32.661999999999999</v>
      </c>
      <c r="AJ32">
        <f t="shared" si="7"/>
        <v>107.09266599999999</v>
      </c>
    </row>
    <row r="33" spans="1:36" ht="18.95" customHeight="1">
      <c r="A33" s="4">
        <v>49680105</v>
      </c>
      <c r="B33" s="6">
        <v>1.2426343799999999</v>
      </c>
      <c r="C33" s="6">
        <v>0.43356230299999998</v>
      </c>
      <c r="D33" s="6">
        <v>-0.30299999999999999</v>
      </c>
      <c r="E33" s="6">
        <v>-0.89100000000000001</v>
      </c>
      <c r="F33" s="6">
        <v>-3.9E-2</v>
      </c>
      <c r="G33" s="6">
        <v>3.601</v>
      </c>
      <c r="H33" s="6">
        <v>-0.85399999999999998</v>
      </c>
      <c r="I33" s="6">
        <v>-123.047</v>
      </c>
      <c r="J33" s="6">
        <v>-1.0880000000000001</v>
      </c>
      <c r="K33" s="6">
        <v>26.581</v>
      </c>
      <c r="L33" s="6">
        <v>107.364</v>
      </c>
      <c r="M33" s="6">
        <v>71</v>
      </c>
      <c r="N33" s="6">
        <v>-7.72</v>
      </c>
      <c r="O33" s="6">
        <v>-52.5</v>
      </c>
      <c r="P33" s="6">
        <v>24.32</v>
      </c>
      <c r="Q33" s="6">
        <v>0.13174</v>
      </c>
      <c r="R33" s="6">
        <v>-0.62994000000000006</v>
      </c>
      <c r="S33" s="6">
        <v>-0.36008000000000001</v>
      </c>
      <c r="T33" s="6">
        <v>0.67528999999999995</v>
      </c>
      <c r="U33" s="6">
        <v>10.096</v>
      </c>
      <c r="V33" s="6">
        <v>1</v>
      </c>
      <c r="W33" s="6">
        <v>1</v>
      </c>
      <c r="X33" s="6" t="s">
        <v>306</v>
      </c>
      <c r="Y33" s="6">
        <v>6.2849306399999999E-2</v>
      </c>
      <c r="Z33" s="6">
        <v>-1.4905111800000001E-2</v>
      </c>
      <c r="AA33" s="6">
        <v>-2.1475752799999999</v>
      </c>
      <c r="AC33">
        <f t="shared" si="0"/>
        <v>1242.63438</v>
      </c>
      <c r="AD33">
        <f t="shared" si="1"/>
        <v>3.601</v>
      </c>
      <c r="AE33">
        <f t="shared" si="2"/>
        <v>-0.85399999999999998</v>
      </c>
      <c r="AF33">
        <f t="shared" si="3"/>
        <v>-123.047</v>
      </c>
      <c r="AG33">
        <f t="shared" si="4"/>
        <v>26.581</v>
      </c>
      <c r="AH33">
        <f t="shared" si="5"/>
        <v>-1.0880000000000001</v>
      </c>
      <c r="AI33">
        <f t="shared" si="6"/>
        <v>26.581</v>
      </c>
      <c r="AJ33">
        <f t="shared" si="7"/>
        <v>107.364</v>
      </c>
    </row>
    <row r="34" spans="1:36" ht="18.95" customHeight="1">
      <c r="A34" s="4">
        <v>49680194</v>
      </c>
      <c r="B34" s="6">
        <v>1.3316343799999999</v>
      </c>
      <c r="C34" s="6">
        <v>0.46461491599999999</v>
      </c>
      <c r="D34" s="6">
        <v>-0.192</v>
      </c>
      <c r="E34" s="6">
        <v>-0.91300000000000003</v>
      </c>
      <c r="F34" s="6">
        <v>-3.7999999999999999E-2</v>
      </c>
      <c r="G34" s="6">
        <v>3.7229999999999999</v>
      </c>
      <c r="H34" s="6">
        <v>-0.73199999999999998</v>
      </c>
      <c r="I34" s="6">
        <v>-124.93899999999999</v>
      </c>
      <c r="J34" s="6">
        <v>-0.648000099</v>
      </c>
      <c r="K34" s="6">
        <v>20.352</v>
      </c>
      <c r="L34" s="6">
        <v>107.816333</v>
      </c>
      <c r="M34" s="6">
        <v>71</v>
      </c>
      <c r="N34" s="6">
        <v>-7.72</v>
      </c>
      <c r="O34" s="6">
        <v>-52.5</v>
      </c>
      <c r="P34" s="6">
        <v>24.32</v>
      </c>
      <c r="Q34" s="6">
        <v>0.13174</v>
      </c>
      <c r="R34" s="6">
        <v>-0.62994000000000006</v>
      </c>
      <c r="S34" s="6">
        <v>-0.36008000000000001</v>
      </c>
      <c r="T34" s="6">
        <v>0.67528999999999995</v>
      </c>
      <c r="U34" s="6">
        <v>10.185</v>
      </c>
      <c r="V34" s="6">
        <v>3</v>
      </c>
      <c r="W34" s="6">
        <v>3</v>
      </c>
      <c r="X34" s="6" t="s">
        <v>307</v>
      </c>
      <c r="Y34" s="6">
        <v>6.4978608100000002E-2</v>
      </c>
      <c r="Z34" s="6">
        <v>-1.27758101E-2</v>
      </c>
      <c r="AA34" s="6">
        <v>-2.1805969100000002</v>
      </c>
      <c r="AC34">
        <f t="shared" si="0"/>
        <v>1331.63438</v>
      </c>
      <c r="AD34">
        <f t="shared" si="1"/>
        <v>3.7229999999999999</v>
      </c>
      <c r="AE34">
        <f t="shared" si="2"/>
        <v>-0.73199999999999998</v>
      </c>
      <c r="AF34">
        <f t="shared" si="3"/>
        <v>-124.93899999999999</v>
      </c>
      <c r="AG34">
        <f t="shared" si="4"/>
        <v>20.352</v>
      </c>
      <c r="AH34">
        <f t="shared" si="5"/>
        <v>-0.648000099</v>
      </c>
      <c r="AI34">
        <f t="shared" si="6"/>
        <v>20.352</v>
      </c>
      <c r="AJ34">
        <f t="shared" si="7"/>
        <v>107.816333</v>
      </c>
    </row>
    <row r="35" spans="1:36" ht="18.95" customHeight="1">
      <c r="A35" s="4">
        <v>49680225</v>
      </c>
      <c r="B35" s="6">
        <v>1.36263438</v>
      </c>
      <c r="C35" s="6">
        <v>0.47543099500000002</v>
      </c>
      <c r="D35" s="6">
        <v>-0.13950000000000001</v>
      </c>
      <c r="E35" s="6">
        <v>-0.92700000000000005</v>
      </c>
      <c r="F35" s="6">
        <v>-3.4000000000000002E-2</v>
      </c>
      <c r="G35" s="6">
        <v>4.1500000000000004</v>
      </c>
      <c r="H35" s="6">
        <v>-0.79300000000000004</v>
      </c>
      <c r="I35" s="6">
        <v>-130.005</v>
      </c>
      <c r="J35" s="6">
        <v>-0.45</v>
      </c>
      <c r="K35" s="6">
        <v>13.925000000000001</v>
      </c>
      <c r="L35" s="6">
        <v>108.029</v>
      </c>
      <c r="M35" s="6">
        <v>71</v>
      </c>
      <c r="N35" s="6">
        <v>-7.72</v>
      </c>
      <c r="O35" s="6">
        <v>-52.5</v>
      </c>
      <c r="P35" s="6">
        <v>24.32</v>
      </c>
      <c r="Q35" s="6">
        <v>0.32042999999999999</v>
      </c>
      <c r="R35" s="6">
        <v>-0.50051999999999996</v>
      </c>
      <c r="S35" s="6">
        <v>-0.51619999999999999</v>
      </c>
      <c r="T35" s="6">
        <v>0.61660999999999999</v>
      </c>
      <c r="U35" s="6">
        <v>10.215999999999999</v>
      </c>
      <c r="V35" s="6">
        <v>2</v>
      </c>
      <c r="W35" s="6">
        <v>2</v>
      </c>
      <c r="X35" s="6" t="s">
        <v>308</v>
      </c>
      <c r="Y35" s="6">
        <v>7.2431164000000006E-2</v>
      </c>
      <c r="Z35" s="6">
        <v>-1.3840461E-2</v>
      </c>
      <c r="AA35" s="6">
        <v>-2.26901529</v>
      </c>
      <c r="AC35">
        <f t="shared" si="0"/>
        <v>1362.63438</v>
      </c>
      <c r="AD35">
        <f t="shared" si="1"/>
        <v>4.1500000000000004</v>
      </c>
      <c r="AE35">
        <f t="shared" si="2"/>
        <v>-0.79300000000000004</v>
      </c>
      <c r="AF35">
        <f t="shared" si="3"/>
        <v>-130.005</v>
      </c>
      <c r="AG35">
        <f t="shared" si="4"/>
        <v>13.925000000000001</v>
      </c>
      <c r="AH35">
        <f t="shared" si="5"/>
        <v>-0.45</v>
      </c>
      <c r="AI35">
        <f t="shared" si="6"/>
        <v>13.925000000000001</v>
      </c>
      <c r="AJ35">
        <f t="shared" si="7"/>
        <v>108.029</v>
      </c>
    </row>
    <row r="36" spans="1:36" ht="18.95" customHeight="1">
      <c r="A36" s="4">
        <v>49680285</v>
      </c>
      <c r="B36" s="6">
        <v>1.4226343800000001</v>
      </c>
      <c r="C36" s="6">
        <v>0.49636534100000002</v>
      </c>
      <c r="D36" s="6">
        <v>4.4999999999999998E-2</v>
      </c>
      <c r="E36" s="6">
        <v>-0.93899999999999995</v>
      </c>
      <c r="F36" s="6">
        <v>-3.3000000000000002E-2</v>
      </c>
      <c r="G36" s="6">
        <v>4.2110000000000003</v>
      </c>
      <c r="H36" s="6">
        <v>-0.67100000000000004</v>
      </c>
      <c r="I36" s="6">
        <v>-132.874</v>
      </c>
      <c r="J36" s="6">
        <v>-0.18099999999999999</v>
      </c>
      <c r="K36" s="6">
        <v>7.2729999999999997</v>
      </c>
      <c r="L36" s="6">
        <v>108.309</v>
      </c>
      <c r="M36" s="6">
        <v>71</v>
      </c>
      <c r="N36" s="6">
        <v>-7.72</v>
      </c>
      <c r="O36" s="6">
        <v>-52.5</v>
      </c>
      <c r="P36" s="6">
        <v>24.32</v>
      </c>
      <c r="Q36" s="6">
        <v>0.32042999999999999</v>
      </c>
      <c r="R36" s="6">
        <v>-0.50051999999999996</v>
      </c>
      <c r="S36" s="6">
        <v>-0.51619999999999999</v>
      </c>
      <c r="T36" s="6">
        <v>0.61660999999999999</v>
      </c>
      <c r="U36" s="6">
        <v>10.276</v>
      </c>
      <c r="V36" s="6">
        <v>1</v>
      </c>
      <c r="W36" s="6">
        <v>1</v>
      </c>
      <c r="X36" s="6" t="s">
        <v>309</v>
      </c>
      <c r="Y36" s="6">
        <v>7.3495814800000003E-2</v>
      </c>
      <c r="Z36" s="6">
        <v>-1.1711159299999999E-2</v>
      </c>
      <c r="AA36" s="6">
        <v>-2.3190887899999999</v>
      </c>
      <c r="AC36">
        <f t="shared" si="0"/>
        <v>1422.6343800000002</v>
      </c>
      <c r="AD36">
        <f t="shared" si="1"/>
        <v>4.2110000000000003</v>
      </c>
      <c r="AE36">
        <f t="shared" si="2"/>
        <v>-0.67100000000000004</v>
      </c>
      <c r="AF36">
        <f t="shared" si="3"/>
        <v>-132.874</v>
      </c>
      <c r="AG36">
        <f t="shared" si="4"/>
        <v>7.2729999999999997</v>
      </c>
      <c r="AH36">
        <f t="shared" si="5"/>
        <v>-0.18099999999999999</v>
      </c>
      <c r="AI36">
        <f t="shared" si="6"/>
        <v>7.2729999999999997</v>
      </c>
      <c r="AJ36">
        <f t="shared" si="7"/>
        <v>108.309</v>
      </c>
    </row>
    <row r="37" spans="1:36" ht="18.95" customHeight="1">
      <c r="A37" s="4">
        <v>49680314</v>
      </c>
      <c r="B37" s="6">
        <v>1.45163438</v>
      </c>
      <c r="C37" s="6">
        <v>0.506483609</v>
      </c>
      <c r="D37" s="6">
        <v>9.6000000000000002E-2</v>
      </c>
      <c r="E37" s="6">
        <v>-0.93200000000000005</v>
      </c>
      <c r="F37" s="6">
        <v>-2.1999999999999999E-2</v>
      </c>
      <c r="G37" s="6">
        <v>4.2720000000000002</v>
      </c>
      <c r="H37" s="6">
        <v>-0.91600000000000004</v>
      </c>
      <c r="I37" s="6">
        <v>-134.64400000000001</v>
      </c>
      <c r="J37" s="6">
        <v>0.06</v>
      </c>
      <c r="K37" s="6">
        <v>0.5</v>
      </c>
      <c r="L37" s="6">
        <v>108.578</v>
      </c>
      <c r="M37" s="6">
        <v>71</v>
      </c>
      <c r="N37" s="6">
        <v>-7.72</v>
      </c>
      <c r="O37" s="6">
        <v>-52.5</v>
      </c>
      <c r="P37" s="6">
        <v>24.32</v>
      </c>
      <c r="Q37" s="6">
        <v>0.32042999999999999</v>
      </c>
      <c r="R37" s="6">
        <v>-0.50051999999999996</v>
      </c>
      <c r="S37" s="6">
        <v>-0.51619999999999999</v>
      </c>
      <c r="T37" s="6">
        <v>0.61660999999999999</v>
      </c>
      <c r="U37" s="6">
        <v>10.305</v>
      </c>
      <c r="V37" s="6">
        <v>2</v>
      </c>
      <c r="W37" s="6">
        <v>2</v>
      </c>
      <c r="X37" s="6" t="s">
        <v>310</v>
      </c>
      <c r="Y37" s="6">
        <v>7.45604656E-2</v>
      </c>
      <c r="Z37" s="6">
        <v>-1.5987215900000001E-2</v>
      </c>
      <c r="AA37" s="6">
        <v>-2.3499811199999998</v>
      </c>
      <c r="AC37">
        <f t="shared" si="0"/>
        <v>1451.63438</v>
      </c>
      <c r="AD37">
        <f t="shared" si="1"/>
        <v>4.2720000000000002</v>
      </c>
      <c r="AE37">
        <f t="shared" si="2"/>
        <v>-0.91600000000000004</v>
      </c>
      <c r="AF37">
        <f t="shared" si="3"/>
        <v>-134.64400000000001</v>
      </c>
      <c r="AG37">
        <f t="shared" si="4"/>
        <v>0.5</v>
      </c>
      <c r="AH37">
        <f t="shared" si="5"/>
        <v>0.06</v>
      </c>
      <c r="AI37">
        <f t="shared" si="6"/>
        <v>0.5</v>
      </c>
      <c r="AJ37">
        <f t="shared" si="7"/>
        <v>108.578</v>
      </c>
    </row>
    <row r="38" spans="1:36" ht="18.95" customHeight="1">
      <c r="A38" s="4">
        <v>49680375</v>
      </c>
      <c r="B38" s="6">
        <v>1.5126343799999999</v>
      </c>
      <c r="C38" s="6">
        <v>0.52776685999999995</v>
      </c>
      <c r="D38" s="6">
        <v>0.28599999999999998</v>
      </c>
      <c r="E38" s="6">
        <v>-0.92200000000000004</v>
      </c>
      <c r="F38" s="6">
        <v>-1.4999999999999999E-2</v>
      </c>
      <c r="G38" s="6">
        <v>4.1500000000000004</v>
      </c>
      <c r="H38" s="6">
        <v>-1.099</v>
      </c>
      <c r="I38" s="6">
        <v>-137.024</v>
      </c>
      <c r="J38" s="6">
        <v>0.28000000000000003</v>
      </c>
      <c r="K38" s="6">
        <v>-6.306</v>
      </c>
      <c r="L38" s="6">
        <v>108.809</v>
      </c>
      <c r="M38" s="6">
        <v>71</v>
      </c>
      <c r="N38" s="6">
        <v>-7.72</v>
      </c>
      <c r="O38" s="6">
        <v>-52.5</v>
      </c>
      <c r="P38" s="6">
        <v>24.32</v>
      </c>
      <c r="Q38" s="6">
        <v>0.32042999999999999</v>
      </c>
      <c r="R38" s="6">
        <v>-0.50051999999999996</v>
      </c>
      <c r="S38" s="6">
        <v>-0.51619999999999999</v>
      </c>
      <c r="T38" s="6">
        <v>0.61660999999999999</v>
      </c>
      <c r="U38" s="6">
        <v>10.366</v>
      </c>
      <c r="V38" s="6">
        <v>1</v>
      </c>
      <c r="W38" s="6">
        <v>1</v>
      </c>
      <c r="X38" s="6" t="s">
        <v>311</v>
      </c>
      <c r="Y38" s="6">
        <v>7.2431164000000006E-2</v>
      </c>
      <c r="Z38" s="6">
        <v>-1.9181168500000002E-2</v>
      </c>
      <c r="AA38" s="6">
        <v>-2.3915199500000002</v>
      </c>
      <c r="AC38">
        <f t="shared" ref="AC38:AC66" si="8">B38*1000</f>
        <v>1512.63438</v>
      </c>
      <c r="AD38">
        <f t="shared" ref="AD38:AD66" si="9">G38</f>
        <v>4.1500000000000004</v>
      </c>
      <c r="AE38">
        <f t="shared" ref="AE38:AE66" si="10">H38</f>
        <v>-1.099</v>
      </c>
      <c r="AF38">
        <f t="shared" ref="AF38:AF66" si="11">I38</f>
        <v>-137.024</v>
      </c>
      <c r="AG38">
        <f t="shared" ref="AG38:AG66" si="12">K38</f>
        <v>-6.306</v>
      </c>
      <c r="AH38">
        <f t="shared" ref="AH38:AH66" si="13">J38</f>
        <v>0.28000000000000003</v>
      </c>
      <c r="AI38">
        <f t="shared" ref="AI38:AI66" si="14">K38</f>
        <v>-6.306</v>
      </c>
      <c r="AJ38">
        <f t="shared" ref="AJ38:AJ66" si="15">L38</f>
        <v>108.809</v>
      </c>
    </row>
    <row r="39" spans="1:36" ht="18.95" customHeight="1">
      <c r="A39" s="4">
        <v>49680404</v>
      </c>
      <c r="B39" s="6">
        <v>1.5416343800000001</v>
      </c>
      <c r="C39" s="6">
        <v>0.53788512799999999</v>
      </c>
      <c r="D39" s="6">
        <v>0.28599999999999998</v>
      </c>
      <c r="E39" s="6">
        <v>-0.874</v>
      </c>
      <c r="F39" s="6">
        <v>-1.4E-2</v>
      </c>
      <c r="G39" s="6">
        <v>4.2110000000000003</v>
      </c>
      <c r="H39" s="6">
        <v>-0.85399999999999998</v>
      </c>
      <c r="I39" s="6">
        <v>-135.315</v>
      </c>
      <c r="J39" s="6">
        <v>0.47799999999999998</v>
      </c>
      <c r="K39" s="6">
        <v>-13.156000000000001</v>
      </c>
      <c r="L39" s="6">
        <v>109.03400000000001</v>
      </c>
      <c r="M39" s="6">
        <v>71</v>
      </c>
      <c r="N39" s="6">
        <v>-7.72</v>
      </c>
      <c r="O39" s="6">
        <v>-52.5</v>
      </c>
      <c r="P39" s="6">
        <v>24.32</v>
      </c>
      <c r="Q39" s="6">
        <v>0.32042999999999999</v>
      </c>
      <c r="R39" s="6">
        <v>-0.50051999999999996</v>
      </c>
      <c r="S39" s="6">
        <v>-0.51619999999999999</v>
      </c>
      <c r="T39" s="6">
        <v>0.61660999999999999</v>
      </c>
      <c r="U39" s="6">
        <v>10.395</v>
      </c>
      <c r="V39" s="6">
        <v>1</v>
      </c>
      <c r="W39" s="6">
        <v>1</v>
      </c>
      <c r="X39" s="6" t="s">
        <v>312</v>
      </c>
      <c r="Y39" s="6">
        <v>7.3495814800000003E-2</v>
      </c>
      <c r="Z39" s="6">
        <v>-1.4905111800000001E-2</v>
      </c>
      <c r="AA39" s="6">
        <v>-2.3616922800000002</v>
      </c>
      <c r="AC39">
        <f t="shared" si="8"/>
        <v>1541.6343800000002</v>
      </c>
      <c r="AD39">
        <f t="shared" si="9"/>
        <v>4.2110000000000003</v>
      </c>
      <c r="AE39">
        <f t="shared" si="10"/>
        <v>-0.85399999999999998</v>
      </c>
      <c r="AF39">
        <f t="shared" si="11"/>
        <v>-135.315</v>
      </c>
      <c r="AG39">
        <f t="shared" si="12"/>
        <v>-13.156000000000001</v>
      </c>
      <c r="AH39">
        <f t="shared" si="13"/>
        <v>0.47799999999999998</v>
      </c>
      <c r="AI39">
        <f t="shared" si="14"/>
        <v>-13.156000000000001</v>
      </c>
      <c r="AJ39">
        <f t="shared" si="15"/>
        <v>109.03400000000001</v>
      </c>
    </row>
    <row r="40" spans="1:36" ht="18.95" customHeight="1">
      <c r="A40" s="4">
        <v>49680434</v>
      </c>
      <c r="B40" s="6">
        <v>1.5716343800000001</v>
      </c>
      <c r="C40" s="6">
        <v>0.54835230099999999</v>
      </c>
      <c r="D40" s="6">
        <v>0.40799999999999997</v>
      </c>
      <c r="E40" s="6">
        <v>-0.874</v>
      </c>
      <c r="F40" s="6">
        <v>-1.4E-2</v>
      </c>
      <c r="G40" s="6">
        <v>4.2110000000000003</v>
      </c>
      <c r="H40" s="6">
        <v>-0.85399999999999998</v>
      </c>
      <c r="I40" s="6">
        <v>-135.315</v>
      </c>
      <c r="J40" s="6">
        <v>0.47799999999999998</v>
      </c>
      <c r="K40" s="6">
        <v>-13.156000000000001</v>
      </c>
      <c r="L40" s="6">
        <v>109.03400000000001</v>
      </c>
      <c r="M40" s="6">
        <v>38.9</v>
      </c>
      <c r="N40" s="6">
        <v>-3.8330000000000002</v>
      </c>
      <c r="O40" s="6">
        <v>-57.7</v>
      </c>
      <c r="P40" s="6">
        <v>24.32</v>
      </c>
      <c r="Q40" s="6">
        <v>0.32042999999999999</v>
      </c>
      <c r="R40" s="6">
        <v>-0.50051999999999996</v>
      </c>
      <c r="S40" s="6">
        <v>-0.51619999999999999</v>
      </c>
      <c r="T40" s="6">
        <v>0.61660999999999999</v>
      </c>
      <c r="U40" s="6">
        <v>10.425000000000001</v>
      </c>
      <c r="V40" s="6">
        <v>1</v>
      </c>
      <c r="W40" s="6">
        <v>1</v>
      </c>
      <c r="X40" s="6" t="s">
        <v>313</v>
      </c>
      <c r="Y40" s="6">
        <v>7.3495814800000003E-2</v>
      </c>
      <c r="Z40" s="6">
        <v>-1.4905111800000001E-2</v>
      </c>
      <c r="AA40" s="6">
        <v>-2.3616922800000002</v>
      </c>
      <c r="AC40">
        <f t="shared" si="8"/>
        <v>1571.6343800000002</v>
      </c>
      <c r="AD40">
        <f t="shared" si="9"/>
        <v>4.2110000000000003</v>
      </c>
      <c r="AE40">
        <f t="shared" si="10"/>
        <v>-0.85399999999999998</v>
      </c>
      <c r="AF40">
        <f t="shared" si="11"/>
        <v>-135.315</v>
      </c>
      <c r="AG40">
        <f t="shared" si="12"/>
        <v>-13.156000000000001</v>
      </c>
      <c r="AH40">
        <f t="shared" si="13"/>
        <v>0.47799999999999998</v>
      </c>
      <c r="AI40">
        <f t="shared" si="14"/>
        <v>-13.156000000000001</v>
      </c>
      <c r="AJ40">
        <f t="shared" si="15"/>
        <v>109.03400000000001</v>
      </c>
    </row>
    <row r="41" spans="1:36" ht="18.95" customHeight="1">
      <c r="A41" s="4">
        <v>49680495</v>
      </c>
      <c r="B41" s="6">
        <v>1.6326343800000001</v>
      </c>
      <c r="C41" s="6">
        <v>0.56963555200000004</v>
      </c>
      <c r="D41" s="6">
        <v>0.47499999999999998</v>
      </c>
      <c r="E41" s="6">
        <v>-0.82099999999999995</v>
      </c>
      <c r="F41" s="6">
        <v>-1.2999999999999999E-2</v>
      </c>
      <c r="G41" s="6">
        <v>4.2110000000000003</v>
      </c>
      <c r="H41" s="6">
        <v>-0.91600000000000004</v>
      </c>
      <c r="I41" s="6">
        <v>-134.52099999999999</v>
      </c>
      <c r="J41" s="6">
        <v>0.713999983</v>
      </c>
      <c r="K41" s="6">
        <v>-20.001000000000001</v>
      </c>
      <c r="L41" s="6">
        <v>109.301333</v>
      </c>
      <c r="M41" s="6">
        <v>38.9</v>
      </c>
      <c r="N41" s="6">
        <v>-3.8330000000000002</v>
      </c>
      <c r="O41" s="6">
        <v>-57.7</v>
      </c>
      <c r="P41" s="6">
        <v>24.32</v>
      </c>
      <c r="Q41" s="6">
        <v>0.32042999999999999</v>
      </c>
      <c r="R41" s="6">
        <v>-0.50051999999999996</v>
      </c>
      <c r="S41" s="6">
        <v>-0.51619999999999999</v>
      </c>
      <c r="T41" s="6">
        <v>0.61660999999999999</v>
      </c>
      <c r="U41" s="6">
        <v>10.486000000000001</v>
      </c>
      <c r="V41" s="6">
        <v>3</v>
      </c>
      <c r="W41" s="6">
        <v>3</v>
      </c>
      <c r="X41" s="6" t="s">
        <v>314</v>
      </c>
      <c r="Y41" s="6">
        <v>7.3495814800000003E-2</v>
      </c>
      <c r="Z41" s="6">
        <v>-1.5987215900000001E-2</v>
      </c>
      <c r="AA41" s="6">
        <v>-2.3478343599999998</v>
      </c>
      <c r="AC41">
        <f t="shared" si="8"/>
        <v>1632.63438</v>
      </c>
      <c r="AD41">
        <f t="shared" si="9"/>
        <v>4.2110000000000003</v>
      </c>
      <c r="AE41">
        <f t="shared" si="10"/>
        <v>-0.91600000000000004</v>
      </c>
      <c r="AF41">
        <f t="shared" si="11"/>
        <v>-134.52099999999999</v>
      </c>
      <c r="AG41">
        <f t="shared" si="12"/>
        <v>-20.001000000000001</v>
      </c>
      <c r="AH41">
        <f t="shared" si="13"/>
        <v>0.713999983</v>
      </c>
      <c r="AI41">
        <f t="shared" si="14"/>
        <v>-20.001000000000001</v>
      </c>
      <c r="AJ41">
        <f t="shared" si="15"/>
        <v>109.301333</v>
      </c>
    </row>
    <row r="42" spans="1:36" ht="18.95" customHeight="1">
      <c r="A42" s="4">
        <v>49680524</v>
      </c>
      <c r="B42" s="6">
        <v>1.66163438</v>
      </c>
      <c r="C42" s="6">
        <v>0.57975381999999998</v>
      </c>
      <c r="D42" s="6">
        <v>0.53749999999999998</v>
      </c>
      <c r="E42" s="6">
        <v>-0.79300000000000004</v>
      </c>
      <c r="F42" s="6">
        <v>-6.0000000000000001E-3</v>
      </c>
      <c r="G42" s="6">
        <v>4.2720000000000002</v>
      </c>
      <c r="H42" s="6">
        <v>-1.099</v>
      </c>
      <c r="I42" s="6">
        <v>-134.03299999999999</v>
      </c>
      <c r="J42" s="6">
        <v>0.82399999999999995</v>
      </c>
      <c r="K42" s="6">
        <v>-26.73</v>
      </c>
      <c r="L42" s="6">
        <v>109.44</v>
      </c>
      <c r="M42" s="6">
        <v>38.9</v>
      </c>
      <c r="N42" s="6">
        <v>-3.8330000000000002</v>
      </c>
      <c r="O42" s="6">
        <v>-57.7</v>
      </c>
      <c r="P42" s="6">
        <v>24.32</v>
      </c>
      <c r="Q42" s="6">
        <v>0.53149000000000002</v>
      </c>
      <c r="R42" s="6">
        <v>-0.26384999999999997</v>
      </c>
      <c r="S42" s="6">
        <v>-0.65954999999999997</v>
      </c>
      <c r="T42" s="6">
        <v>0.46123999999999998</v>
      </c>
      <c r="U42" s="6">
        <v>10.515000000000001</v>
      </c>
      <c r="V42" s="6">
        <v>2</v>
      </c>
      <c r="W42" s="6">
        <v>2</v>
      </c>
      <c r="X42" s="6" t="s">
        <v>315</v>
      </c>
      <c r="Y42" s="6">
        <v>7.45604656E-2</v>
      </c>
      <c r="Z42" s="6">
        <v>-1.9181168500000002E-2</v>
      </c>
      <c r="AA42" s="6">
        <v>-2.3393171599999998</v>
      </c>
      <c r="AC42">
        <f t="shared" si="8"/>
        <v>1661.63438</v>
      </c>
      <c r="AD42">
        <f t="shared" si="9"/>
        <v>4.2720000000000002</v>
      </c>
      <c r="AE42">
        <f t="shared" si="10"/>
        <v>-1.099</v>
      </c>
      <c r="AF42">
        <f t="shared" si="11"/>
        <v>-134.03299999999999</v>
      </c>
      <c r="AG42">
        <f t="shared" si="12"/>
        <v>-26.73</v>
      </c>
      <c r="AH42">
        <f t="shared" si="13"/>
        <v>0.82399999999999995</v>
      </c>
      <c r="AI42">
        <f t="shared" si="14"/>
        <v>-26.73</v>
      </c>
      <c r="AJ42">
        <f t="shared" si="15"/>
        <v>109.44</v>
      </c>
    </row>
    <row r="43" spans="1:36" ht="18.95" customHeight="1">
      <c r="A43" s="4">
        <v>49680555</v>
      </c>
      <c r="B43" s="6">
        <v>1.6926343800000001</v>
      </c>
      <c r="C43" s="6">
        <v>0.59056989900000001</v>
      </c>
      <c r="D43" s="6">
        <v>0.70699999999999996</v>
      </c>
      <c r="E43" s="6">
        <v>-0.70799999999999996</v>
      </c>
      <c r="F43" s="6">
        <v>-5.0000000000000001E-3</v>
      </c>
      <c r="G43" s="6">
        <v>3.9060000000000001</v>
      </c>
      <c r="H43" s="6">
        <v>-0.79300000000000004</v>
      </c>
      <c r="I43" s="6">
        <v>-129.089</v>
      </c>
      <c r="J43" s="6">
        <v>0.97799999999999998</v>
      </c>
      <c r="K43" s="6">
        <v>-33.348999999999997</v>
      </c>
      <c r="L43" s="6">
        <v>109.616</v>
      </c>
      <c r="M43" s="6">
        <v>38.9</v>
      </c>
      <c r="N43" s="6">
        <v>-3.8330000000000002</v>
      </c>
      <c r="O43" s="6">
        <v>-57.7</v>
      </c>
      <c r="P43" s="6">
        <v>24.32</v>
      </c>
      <c r="Q43" s="6">
        <v>0.53149000000000002</v>
      </c>
      <c r="R43" s="6">
        <v>-0.26384999999999997</v>
      </c>
      <c r="S43" s="6">
        <v>-0.65954999999999997</v>
      </c>
      <c r="T43" s="6">
        <v>0.46123999999999998</v>
      </c>
      <c r="U43" s="6">
        <v>10.545999999999999</v>
      </c>
      <c r="V43" s="6">
        <v>1</v>
      </c>
      <c r="W43" s="6">
        <v>1</v>
      </c>
      <c r="X43" s="6" t="s">
        <v>316</v>
      </c>
      <c r="Y43" s="6">
        <v>6.8172560600000001E-2</v>
      </c>
      <c r="Z43" s="6">
        <v>-1.3840461E-2</v>
      </c>
      <c r="AA43" s="6">
        <v>-2.25302808</v>
      </c>
      <c r="AC43">
        <f t="shared" si="8"/>
        <v>1692.6343800000002</v>
      </c>
      <c r="AD43">
        <f t="shared" si="9"/>
        <v>3.9060000000000001</v>
      </c>
      <c r="AE43">
        <f t="shared" si="10"/>
        <v>-0.79300000000000004</v>
      </c>
      <c r="AF43">
        <f t="shared" si="11"/>
        <v>-129.089</v>
      </c>
      <c r="AG43">
        <f t="shared" si="12"/>
        <v>-33.348999999999997</v>
      </c>
      <c r="AH43">
        <f t="shared" si="13"/>
        <v>0.97799999999999998</v>
      </c>
      <c r="AI43">
        <f t="shared" si="14"/>
        <v>-33.348999999999997</v>
      </c>
      <c r="AJ43">
        <f t="shared" si="15"/>
        <v>109.616</v>
      </c>
    </row>
    <row r="44" spans="1:36" ht="18.95" customHeight="1">
      <c r="A44" s="4">
        <v>49680644</v>
      </c>
      <c r="B44" s="6">
        <v>1.7816343800000001</v>
      </c>
      <c r="C44" s="6">
        <v>0.62162251199999996</v>
      </c>
      <c r="D44" s="6">
        <v>0.72950000000000004</v>
      </c>
      <c r="E44" s="6">
        <v>-0.625</v>
      </c>
      <c r="F44" s="6">
        <v>-5.0000000000000001E-3</v>
      </c>
      <c r="G44" s="6">
        <v>3.6619999999999999</v>
      </c>
      <c r="H44" s="6">
        <v>-0.61</v>
      </c>
      <c r="I44" s="6">
        <v>-123.901</v>
      </c>
      <c r="J44" s="6">
        <v>1.115</v>
      </c>
      <c r="K44" s="6">
        <v>-39.720999999999997</v>
      </c>
      <c r="L44" s="6">
        <v>109.797</v>
      </c>
      <c r="M44" s="6">
        <v>38.9</v>
      </c>
      <c r="N44" s="6">
        <v>-3.8330000000000002</v>
      </c>
      <c r="O44" s="6">
        <v>-57.7</v>
      </c>
      <c r="P44" s="6">
        <v>24.32</v>
      </c>
      <c r="Q44" s="6">
        <v>0.53149000000000002</v>
      </c>
      <c r="R44" s="6">
        <v>-0.26384999999999997</v>
      </c>
      <c r="S44" s="6">
        <v>-0.65954999999999997</v>
      </c>
      <c r="T44" s="6">
        <v>0.46123999999999998</v>
      </c>
      <c r="U44" s="6">
        <v>10.635</v>
      </c>
      <c r="V44" s="6">
        <v>2</v>
      </c>
      <c r="W44" s="6">
        <v>2</v>
      </c>
      <c r="X44" s="6" t="s">
        <v>317</v>
      </c>
      <c r="Y44" s="6">
        <v>6.3913957199999996E-2</v>
      </c>
      <c r="Z44" s="6">
        <v>-1.0646508400000001E-2</v>
      </c>
      <c r="AA44" s="6">
        <v>-2.1624804000000002</v>
      </c>
      <c r="AC44">
        <f t="shared" si="8"/>
        <v>1781.63438</v>
      </c>
      <c r="AD44">
        <f t="shared" si="9"/>
        <v>3.6619999999999999</v>
      </c>
      <c r="AE44">
        <f t="shared" si="10"/>
        <v>-0.61</v>
      </c>
      <c r="AF44">
        <f t="shared" si="11"/>
        <v>-123.901</v>
      </c>
      <c r="AG44">
        <f t="shared" si="12"/>
        <v>-39.720999999999997</v>
      </c>
      <c r="AH44">
        <f t="shared" si="13"/>
        <v>1.115</v>
      </c>
      <c r="AI44">
        <f t="shared" si="14"/>
        <v>-39.720999999999997</v>
      </c>
      <c r="AJ44">
        <f t="shared" si="15"/>
        <v>109.797</v>
      </c>
    </row>
    <row r="45" spans="1:36" ht="18.95" customHeight="1">
      <c r="A45" s="4">
        <v>49680674</v>
      </c>
      <c r="B45" s="6">
        <v>1.8116343800000001</v>
      </c>
      <c r="C45" s="6">
        <v>0.63208968499999996</v>
      </c>
      <c r="D45" s="6">
        <v>0.82</v>
      </c>
      <c r="E45" s="6">
        <v>-0.56000000000000005</v>
      </c>
      <c r="F45" s="6">
        <v>-1E-3</v>
      </c>
      <c r="G45" s="6">
        <v>3.9060000000000001</v>
      </c>
      <c r="H45" s="6">
        <v>-1.038</v>
      </c>
      <c r="I45" s="6">
        <v>-121.521</v>
      </c>
      <c r="J45" s="6">
        <v>1.2470000000000001</v>
      </c>
      <c r="K45" s="6">
        <v>-45.89</v>
      </c>
      <c r="L45" s="6">
        <v>109.95099999999999</v>
      </c>
      <c r="M45" s="6">
        <v>38.9</v>
      </c>
      <c r="N45" s="6">
        <v>-3.8330000000000002</v>
      </c>
      <c r="O45" s="6">
        <v>-57.7</v>
      </c>
      <c r="P45" s="6">
        <v>24.32</v>
      </c>
      <c r="Q45" s="6">
        <v>0.53149000000000002</v>
      </c>
      <c r="R45" s="6">
        <v>-0.26384999999999997</v>
      </c>
      <c r="S45" s="6">
        <v>-0.65954999999999997</v>
      </c>
      <c r="T45" s="6">
        <v>0.46123999999999998</v>
      </c>
      <c r="U45" s="6">
        <v>10.664999999999999</v>
      </c>
      <c r="V45" s="6">
        <v>1</v>
      </c>
      <c r="W45" s="6">
        <v>1</v>
      </c>
      <c r="X45" s="6" t="s">
        <v>318</v>
      </c>
      <c r="Y45" s="6">
        <v>6.8172560600000001E-2</v>
      </c>
      <c r="Z45" s="6">
        <v>-1.81165176E-2</v>
      </c>
      <c r="AA45" s="6">
        <v>-2.1209415599999999</v>
      </c>
      <c r="AC45">
        <f t="shared" si="8"/>
        <v>1811.6343800000002</v>
      </c>
      <c r="AD45">
        <f t="shared" si="9"/>
        <v>3.9060000000000001</v>
      </c>
      <c r="AE45">
        <f t="shared" si="10"/>
        <v>-1.038</v>
      </c>
      <c r="AF45">
        <f t="shared" si="11"/>
        <v>-121.521</v>
      </c>
      <c r="AG45">
        <f t="shared" si="12"/>
        <v>-45.89</v>
      </c>
      <c r="AH45">
        <f t="shared" si="13"/>
        <v>1.2470000000000001</v>
      </c>
      <c r="AI45">
        <f t="shared" si="14"/>
        <v>-45.89</v>
      </c>
      <c r="AJ45">
        <f t="shared" si="15"/>
        <v>109.95099999999999</v>
      </c>
    </row>
    <row r="46" spans="1:36" ht="18.95" customHeight="1">
      <c r="A46" s="4">
        <v>49680734</v>
      </c>
      <c r="B46" s="6">
        <v>1.8716343799999999</v>
      </c>
      <c r="C46" s="6">
        <v>0.65302403099999995</v>
      </c>
      <c r="D46" s="6">
        <v>0.85799999999999998</v>
      </c>
      <c r="E46" s="6">
        <v>-0.46800000000000003</v>
      </c>
      <c r="F46" s="6">
        <v>3.0000000000000001E-3</v>
      </c>
      <c r="G46" s="6">
        <v>3.7839999999999998</v>
      </c>
      <c r="H46" s="6">
        <v>-0.85399999999999998</v>
      </c>
      <c r="I46" s="6">
        <v>-122.19199999999999</v>
      </c>
      <c r="J46" s="6">
        <v>1.4153333299999999</v>
      </c>
      <c r="K46" s="6">
        <v>-52.097000000000001</v>
      </c>
      <c r="L46" s="6">
        <v>110.176333</v>
      </c>
      <c r="M46" s="6">
        <v>38.9</v>
      </c>
      <c r="N46" s="6">
        <v>-3.8330000000000002</v>
      </c>
      <c r="O46" s="6">
        <v>-57.7</v>
      </c>
      <c r="P46" s="6">
        <v>24.32</v>
      </c>
      <c r="Q46" s="6">
        <v>0.53149000000000002</v>
      </c>
      <c r="R46" s="6">
        <v>-0.26384999999999997</v>
      </c>
      <c r="S46" s="6">
        <v>-0.65954999999999997</v>
      </c>
      <c r="T46" s="6">
        <v>0.46123999999999998</v>
      </c>
      <c r="U46" s="6">
        <v>10.725</v>
      </c>
      <c r="V46" s="6">
        <v>3</v>
      </c>
      <c r="W46" s="6">
        <v>3</v>
      </c>
      <c r="X46" s="6" t="s">
        <v>319</v>
      </c>
      <c r="Y46" s="6">
        <v>6.6043258899999999E-2</v>
      </c>
      <c r="Z46" s="6">
        <v>-1.4905111800000001E-2</v>
      </c>
      <c r="AA46" s="6">
        <v>-2.1326527199999998</v>
      </c>
      <c r="AC46">
        <f t="shared" si="8"/>
        <v>1871.63438</v>
      </c>
      <c r="AD46">
        <f t="shared" si="9"/>
        <v>3.7839999999999998</v>
      </c>
      <c r="AE46">
        <f t="shared" si="10"/>
        <v>-0.85399999999999998</v>
      </c>
      <c r="AF46">
        <f t="shared" si="11"/>
        <v>-122.19199999999999</v>
      </c>
      <c r="AG46">
        <f t="shared" si="12"/>
        <v>-52.097000000000001</v>
      </c>
      <c r="AH46">
        <f t="shared" si="13"/>
        <v>1.4153333299999999</v>
      </c>
      <c r="AI46">
        <f t="shared" si="14"/>
        <v>-52.097000000000001</v>
      </c>
      <c r="AJ46">
        <f t="shared" si="15"/>
        <v>110.176333</v>
      </c>
    </row>
    <row r="47" spans="1:36" ht="18.95" customHeight="1">
      <c r="A47" s="4">
        <v>49680765</v>
      </c>
      <c r="B47" s="6">
        <v>1.9026343800000001</v>
      </c>
      <c r="C47" s="6">
        <v>0.66384010999999998</v>
      </c>
      <c r="D47" s="6">
        <v>0.88300000000000001</v>
      </c>
      <c r="E47" s="6">
        <v>-0.39200000000000002</v>
      </c>
      <c r="F47" s="6">
        <v>6.0000000000000001E-3</v>
      </c>
      <c r="G47" s="6">
        <v>3.601</v>
      </c>
      <c r="H47" s="6">
        <v>-0.73199999999999998</v>
      </c>
      <c r="I47" s="6">
        <v>-119.812</v>
      </c>
      <c r="J47" s="6">
        <v>1.5</v>
      </c>
      <c r="K47" s="6">
        <v>-58.206000000000003</v>
      </c>
      <c r="L47" s="6">
        <v>110.27500000000001</v>
      </c>
      <c r="M47" s="6">
        <v>17.600000000000001</v>
      </c>
      <c r="N47" s="6">
        <v>-5.4</v>
      </c>
      <c r="O47" s="6">
        <v>-44.9</v>
      </c>
      <c r="P47" s="6">
        <v>24.32</v>
      </c>
      <c r="Q47" s="6">
        <v>0.53149000000000002</v>
      </c>
      <c r="R47" s="6">
        <v>-0.26384999999999997</v>
      </c>
      <c r="S47" s="6">
        <v>-0.65954999999999997</v>
      </c>
      <c r="T47" s="6">
        <v>0.46123999999999998</v>
      </c>
      <c r="U47" s="6">
        <v>10.756</v>
      </c>
      <c r="V47" s="6">
        <v>2</v>
      </c>
      <c r="W47" s="6">
        <v>2</v>
      </c>
      <c r="X47" s="6" t="s">
        <v>320</v>
      </c>
      <c r="Y47" s="6">
        <v>6.2849306399999999E-2</v>
      </c>
      <c r="Z47" s="6">
        <v>-1.27758101E-2</v>
      </c>
      <c r="AA47" s="6">
        <v>-2.09111388</v>
      </c>
      <c r="AC47">
        <f t="shared" si="8"/>
        <v>1902.63438</v>
      </c>
      <c r="AD47">
        <f t="shared" si="9"/>
        <v>3.601</v>
      </c>
      <c r="AE47">
        <f t="shared" si="10"/>
        <v>-0.73199999999999998</v>
      </c>
      <c r="AF47">
        <f t="shared" si="11"/>
        <v>-119.812</v>
      </c>
      <c r="AG47">
        <f t="shared" si="12"/>
        <v>-58.206000000000003</v>
      </c>
      <c r="AH47">
        <f t="shared" si="13"/>
        <v>1.5</v>
      </c>
      <c r="AI47">
        <f t="shared" si="14"/>
        <v>-58.206000000000003</v>
      </c>
      <c r="AJ47">
        <f t="shared" si="15"/>
        <v>110.27500000000001</v>
      </c>
    </row>
    <row r="48" spans="1:36" ht="18.95" customHeight="1">
      <c r="A48" s="4">
        <v>49680853</v>
      </c>
      <c r="B48" s="6">
        <v>1.9906343799999999</v>
      </c>
      <c r="C48" s="6">
        <v>0.69454381700000001</v>
      </c>
      <c r="D48" s="6">
        <v>0.91</v>
      </c>
      <c r="E48" s="6">
        <v>-0.29099999999999998</v>
      </c>
      <c r="F48" s="6">
        <v>0</v>
      </c>
      <c r="G48" s="6">
        <v>3.54</v>
      </c>
      <c r="H48" s="6">
        <v>-0.79300000000000004</v>
      </c>
      <c r="I48" s="6">
        <v>-116.943</v>
      </c>
      <c r="J48" s="6">
        <v>1.6259999999999999</v>
      </c>
      <c r="K48" s="6">
        <v>-64.165999999999997</v>
      </c>
      <c r="L48" s="6">
        <v>110.435</v>
      </c>
      <c r="M48" s="6">
        <v>17.600000000000001</v>
      </c>
      <c r="N48" s="6">
        <v>-5.4</v>
      </c>
      <c r="O48" s="6">
        <v>-44.9</v>
      </c>
      <c r="P48" s="6">
        <v>24.32</v>
      </c>
      <c r="Q48" s="6">
        <v>0.65964</v>
      </c>
      <c r="R48" s="6">
        <v>-5.8900000000000003E-3</v>
      </c>
      <c r="S48" s="6">
        <v>-0.70638999999999996</v>
      </c>
      <c r="T48" s="6">
        <v>0.25635000000000002</v>
      </c>
      <c r="U48" s="6">
        <v>10.843999999999999</v>
      </c>
      <c r="V48" s="6">
        <v>1</v>
      </c>
      <c r="W48" s="6">
        <v>1</v>
      </c>
      <c r="X48" s="6" t="s">
        <v>321</v>
      </c>
      <c r="Y48" s="6">
        <v>6.1784655500000001E-2</v>
      </c>
      <c r="Z48" s="6">
        <v>-1.3840461E-2</v>
      </c>
      <c r="AA48" s="6">
        <v>-2.04104039</v>
      </c>
      <c r="AC48">
        <f t="shared" si="8"/>
        <v>1990.63438</v>
      </c>
      <c r="AD48">
        <f t="shared" si="9"/>
        <v>3.54</v>
      </c>
      <c r="AE48">
        <f t="shared" si="10"/>
        <v>-0.79300000000000004</v>
      </c>
      <c r="AF48">
        <f t="shared" si="11"/>
        <v>-116.943</v>
      </c>
      <c r="AG48">
        <f t="shared" si="12"/>
        <v>-64.165999999999997</v>
      </c>
      <c r="AH48">
        <f t="shared" si="13"/>
        <v>1.6259999999999999</v>
      </c>
      <c r="AI48">
        <f t="shared" si="14"/>
        <v>-64.165999999999997</v>
      </c>
      <c r="AJ48">
        <f t="shared" si="15"/>
        <v>110.435</v>
      </c>
    </row>
    <row r="49" spans="1:36" ht="18.95" customHeight="1">
      <c r="A49" s="4">
        <v>49680884</v>
      </c>
      <c r="B49" s="6">
        <v>2.0216343800000001</v>
      </c>
      <c r="C49" s="6">
        <v>0.70535989600000004</v>
      </c>
      <c r="D49" s="6">
        <v>0.9345</v>
      </c>
      <c r="E49" s="6">
        <v>-0.21099999999999999</v>
      </c>
      <c r="F49" s="6">
        <v>0</v>
      </c>
      <c r="G49" s="6">
        <v>3.601</v>
      </c>
      <c r="H49" s="6">
        <v>-0.79300000000000004</v>
      </c>
      <c r="I49" s="6">
        <v>-118.042</v>
      </c>
      <c r="J49" s="6">
        <v>1.7689999999999999</v>
      </c>
      <c r="K49" s="6">
        <v>-70.043000000000006</v>
      </c>
      <c r="L49" s="6">
        <v>110.55</v>
      </c>
      <c r="M49" s="6">
        <v>17.600000000000001</v>
      </c>
      <c r="N49" s="6">
        <v>-5.4</v>
      </c>
      <c r="O49" s="6">
        <v>-44.9</v>
      </c>
      <c r="P49" s="6">
        <v>24.32</v>
      </c>
      <c r="Q49" s="6">
        <v>0.65964</v>
      </c>
      <c r="R49" s="6">
        <v>-5.8900000000000003E-3</v>
      </c>
      <c r="S49" s="6">
        <v>-0.70638999999999996</v>
      </c>
      <c r="T49" s="6">
        <v>0.25635000000000002</v>
      </c>
      <c r="U49" s="6">
        <v>10.875</v>
      </c>
      <c r="V49" s="6">
        <v>2</v>
      </c>
      <c r="W49" s="6">
        <v>2</v>
      </c>
      <c r="X49" s="6" t="s">
        <v>322</v>
      </c>
      <c r="Y49" s="6">
        <v>6.2849306399999999E-2</v>
      </c>
      <c r="Z49" s="6">
        <v>-1.3840461E-2</v>
      </c>
      <c r="AA49" s="6">
        <v>-2.06022156</v>
      </c>
      <c r="AC49">
        <f t="shared" si="8"/>
        <v>2021.63438</v>
      </c>
      <c r="AD49">
        <f t="shared" si="9"/>
        <v>3.601</v>
      </c>
      <c r="AE49">
        <f t="shared" si="10"/>
        <v>-0.79300000000000004</v>
      </c>
      <c r="AF49">
        <f t="shared" si="11"/>
        <v>-118.042</v>
      </c>
      <c r="AG49">
        <f t="shared" si="12"/>
        <v>-70.043000000000006</v>
      </c>
      <c r="AH49">
        <f t="shared" si="13"/>
        <v>1.7689999999999999</v>
      </c>
      <c r="AI49">
        <f t="shared" si="14"/>
        <v>-70.043000000000006</v>
      </c>
      <c r="AJ49">
        <f t="shared" si="15"/>
        <v>110.55</v>
      </c>
    </row>
    <row r="50" spans="1:36" ht="18.95" customHeight="1">
      <c r="A50" s="4">
        <v>49680914</v>
      </c>
      <c r="B50" s="6">
        <v>2.0516343799999999</v>
      </c>
      <c r="C50" s="6">
        <v>0.71582706900000004</v>
      </c>
      <c r="D50" s="6">
        <v>0.96799999999999997</v>
      </c>
      <c r="E50" s="6">
        <v>-9.1999999999999998E-2</v>
      </c>
      <c r="F50" s="6">
        <v>-2E-3</v>
      </c>
      <c r="G50" s="6">
        <v>3.601</v>
      </c>
      <c r="H50" s="6">
        <v>-0.79300000000000004</v>
      </c>
      <c r="I50" s="6">
        <v>-117.371</v>
      </c>
      <c r="J50" s="6">
        <v>1.9670000000000001</v>
      </c>
      <c r="K50" s="6">
        <v>-75.992000000000004</v>
      </c>
      <c r="L50" s="6">
        <v>110.643</v>
      </c>
      <c r="M50" s="6">
        <v>17.600000000000001</v>
      </c>
      <c r="N50" s="6">
        <v>-5.4</v>
      </c>
      <c r="O50" s="6">
        <v>-44.9</v>
      </c>
      <c r="P50" s="6">
        <v>24.32</v>
      </c>
      <c r="Q50" s="6">
        <v>0.65964</v>
      </c>
      <c r="R50" s="6">
        <v>-5.8900000000000003E-3</v>
      </c>
      <c r="S50" s="6">
        <v>-0.70638999999999996</v>
      </c>
      <c r="T50" s="6">
        <v>0.25635000000000002</v>
      </c>
      <c r="U50" s="6">
        <v>10.904999999999999</v>
      </c>
      <c r="V50" s="6">
        <v>1</v>
      </c>
      <c r="W50" s="6">
        <v>1</v>
      </c>
      <c r="X50" s="6" t="s">
        <v>323</v>
      </c>
      <c r="Y50" s="6">
        <v>6.2849306399999999E-2</v>
      </c>
      <c r="Z50" s="6">
        <v>-1.3840461E-2</v>
      </c>
      <c r="AA50" s="6">
        <v>-2.0485104000000001</v>
      </c>
      <c r="AC50">
        <f t="shared" si="8"/>
        <v>2051.63438</v>
      </c>
      <c r="AD50">
        <f t="shared" si="9"/>
        <v>3.601</v>
      </c>
      <c r="AE50">
        <f t="shared" si="10"/>
        <v>-0.79300000000000004</v>
      </c>
      <c r="AF50">
        <f t="shared" si="11"/>
        <v>-117.371</v>
      </c>
      <c r="AG50">
        <f t="shared" si="12"/>
        <v>-75.992000000000004</v>
      </c>
      <c r="AH50">
        <f t="shared" si="13"/>
        <v>1.9670000000000001</v>
      </c>
      <c r="AI50">
        <f t="shared" si="14"/>
        <v>-75.992000000000004</v>
      </c>
      <c r="AJ50">
        <f t="shared" si="15"/>
        <v>110.643</v>
      </c>
    </row>
    <row r="51" spans="1:36" ht="18.95" customHeight="1">
      <c r="A51" s="4">
        <v>49680974</v>
      </c>
      <c r="B51" s="6">
        <v>2.1116343799999999</v>
      </c>
      <c r="C51" s="6">
        <v>0.73676141500000003</v>
      </c>
      <c r="D51" s="6">
        <v>0.97150000000000003</v>
      </c>
      <c r="E51" s="6">
        <v>1.4E-2</v>
      </c>
      <c r="F51" s="6">
        <v>-6.0000000000000001E-3</v>
      </c>
      <c r="G51" s="6">
        <v>3.54</v>
      </c>
      <c r="H51" s="6">
        <v>-0.67100000000000004</v>
      </c>
      <c r="I51" s="6">
        <v>-117.432</v>
      </c>
      <c r="J51" s="6">
        <v>2.2959999999999998</v>
      </c>
      <c r="K51" s="6">
        <v>-81.92</v>
      </c>
      <c r="L51" s="6">
        <v>110.577</v>
      </c>
      <c r="M51" s="6">
        <v>17.600000000000001</v>
      </c>
      <c r="N51" s="6">
        <v>-5.4</v>
      </c>
      <c r="O51" s="6">
        <v>-44.9</v>
      </c>
      <c r="P51" s="6">
        <v>24.32</v>
      </c>
      <c r="Q51" s="6">
        <v>0.65964</v>
      </c>
      <c r="R51" s="6">
        <v>-5.8900000000000003E-3</v>
      </c>
      <c r="S51" s="6">
        <v>-0.70638999999999996</v>
      </c>
      <c r="T51" s="6">
        <v>0.25635000000000002</v>
      </c>
      <c r="U51" s="6">
        <v>10.965</v>
      </c>
      <c r="V51" s="6">
        <v>2</v>
      </c>
      <c r="W51" s="6">
        <v>2</v>
      </c>
      <c r="X51" s="6" t="s">
        <v>324</v>
      </c>
      <c r="Y51" s="6">
        <v>6.1784655500000001E-2</v>
      </c>
      <c r="Z51" s="6">
        <v>-1.1711159299999999E-2</v>
      </c>
      <c r="AA51" s="6">
        <v>-2.0495750500000001</v>
      </c>
      <c r="AC51">
        <f t="shared" si="8"/>
        <v>2111.63438</v>
      </c>
      <c r="AD51">
        <f t="shared" si="9"/>
        <v>3.54</v>
      </c>
      <c r="AE51">
        <f t="shared" si="10"/>
        <v>-0.67100000000000004</v>
      </c>
      <c r="AF51">
        <f t="shared" si="11"/>
        <v>-117.432</v>
      </c>
      <c r="AG51">
        <f t="shared" si="12"/>
        <v>-81.92</v>
      </c>
      <c r="AH51">
        <f t="shared" si="13"/>
        <v>2.2959999999999998</v>
      </c>
      <c r="AI51">
        <f t="shared" si="14"/>
        <v>-81.92</v>
      </c>
      <c r="AJ51">
        <f t="shared" si="15"/>
        <v>110.577</v>
      </c>
    </row>
    <row r="52" spans="1:36" ht="18.95" customHeight="1">
      <c r="A52" s="4">
        <v>49681034</v>
      </c>
      <c r="B52" s="6">
        <v>2.17163438</v>
      </c>
      <c r="C52" s="6">
        <v>0.75769576100000002</v>
      </c>
      <c r="D52" s="6">
        <v>0.95599999999999996</v>
      </c>
      <c r="E52" s="6">
        <v>0.124</v>
      </c>
      <c r="F52" s="6">
        <v>-4.0000000000000001E-3</v>
      </c>
      <c r="G52" s="6">
        <v>3.601</v>
      </c>
      <c r="H52" s="6">
        <v>-0.61</v>
      </c>
      <c r="I52" s="6">
        <v>-116.02800000000001</v>
      </c>
      <c r="J52" s="6">
        <v>5.3609999999999998</v>
      </c>
      <c r="K52" s="6">
        <v>-87.83</v>
      </c>
      <c r="L52" s="6">
        <v>107.81399999999999</v>
      </c>
      <c r="M52" s="6">
        <v>17.600000000000001</v>
      </c>
      <c r="N52" s="6">
        <v>-5.4</v>
      </c>
      <c r="O52" s="6">
        <v>-44.9</v>
      </c>
      <c r="P52" s="6">
        <v>24.32</v>
      </c>
      <c r="Q52" s="6">
        <v>0.65964</v>
      </c>
      <c r="R52" s="6">
        <v>-5.8900000000000003E-3</v>
      </c>
      <c r="S52" s="6">
        <v>-0.70638999999999996</v>
      </c>
      <c r="T52" s="6">
        <v>0.25635000000000002</v>
      </c>
      <c r="U52" s="6">
        <v>11.025</v>
      </c>
      <c r="V52" s="6">
        <v>1</v>
      </c>
      <c r="W52" s="6">
        <v>1</v>
      </c>
      <c r="X52" s="6" t="s">
        <v>325</v>
      </c>
      <c r="Y52" s="6">
        <v>6.2849306399999999E-2</v>
      </c>
      <c r="Z52" s="6">
        <v>-1.0646508400000001E-2</v>
      </c>
      <c r="AA52" s="6">
        <v>-2.0250706200000002</v>
      </c>
      <c r="AC52">
        <f t="shared" si="8"/>
        <v>2171.63438</v>
      </c>
      <c r="AD52">
        <f t="shared" si="9"/>
        <v>3.601</v>
      </c>
      <c r="AE52">
        <f t="shared" si="10"/>
        <v>-0.61</v>
      </c>
      <c r="AF52">
        <f t="shared" si="11"/>
        <v>-116.02800000000001</v>
      </c>
      <c r="AG52">
        <f t="shared" si="12"/>
        <v>-87.83</v>
      </c>
      <c r="AH52">
        <f t="shared" si="13"/>
        <v>5.3609999999999998</v>
      </c>
      <c r="AI52">
        <f t="shared" si="14"/>
        <v>-87.83</v>
      </c>
      <c r="AJ52">
        <f t="shared" si="15"/>
        <v>107.81399999999999</v>
      </c>
    </row>
    <row r="53" spans="1:36" ht="18.95" customHeight="1">
      <c r="A53" s="4">
        <v>49681095</v>
      </c>
      <c r="B53" s="6">
        <v>2.2326343799999999</v>
      </c>
      <c r="C53" s="6">
        <v>0.77897901300000005</v>
      </c>
      <c r="D53" s="6">
        <v>0.91800000000000004</v>
      </c>
      <c r="E53" s="6">
        <v>0.22600000000000001</v>
      </c>
      <c r="F53" s="6">
        <v>-5.0000000000000001E-3</v>
      </c>
      <c r="G53" s="6">
        <v>3.7229999999999999</v>
      </c>
      <c r="H53" s="6">
        <v>-0.67100000000000004</v>
      </c>
      <c r="I53" s="6">
        <v>-117.676</v>
      </c>
      <c r="J53" s="6">
        <v>-178.53366700000001</v>
      </c>
      <c r="K53" s="6">
        <v>-83.852999999999994</v>
      </c>
      <c r="L53" s="6">
        <v>-67.914000000000001</v>
      </c>
      <c r="M53" s="6">
        <v>17.600000000000001</v>
      </c>
      <c r="N53" s="6">
        <v>-5.4</v>
      </c>
      <c r="O53" s="6">
        <v>-44.9</v>
      </c>
      <c r="P53" s="6">
        <v>24.32</v>
      </c>
      <c r="Q53" s="6">
        <v>0.65964</v>
      </c>
      <c r="R53" s="6">
        <v>-5.8900000000000003E-3</v>
      </c>
      <c r="S53" s="6">
        <v>-0.70638999999999996</v>
      </c>
      <c r="T53" s="6">
        <v>0.25635000000000002</v>
      </c>
      <c r="U53" s="6">
        <v>11.086</v>
      </c>
      <c r="V53" s="6">
        <v>3</v>
      </c>
      <c r="W53" s="6">
        <v>3</v>
      </c>
      <c r="X53" s="6" t="s">
        <v>326</v>
      </c>
      <c r="Y53" s="6">
        <v>6.4978608100000002E-2</v>
      </c>
      <c r="Z53" s="6">
        <v>-1.1711159299999999E-2</v>
      </c>
      <c r="AA53" s="6">
        <v>-2.0538336500000001</v>
      </c>
      <c r="AC53">
        <f t="shared" si="8"/>
        <v>2232.63438</v>
      </c>
      <c r="AD53">
        <f t="shared" si="9"/>
        <v>3.7229999999999999</v>
      </c>
      <c r="AE53">
        <f t="shared" si="10"/>
        <v>-0.67100000000000004</v>
      </c>
      <c r="AF53">
        <f t="shared" si="11"/>
        <v>-117.676</v>
      </c>
      <c r="AG53">
        <f t="shared" si="12"/>
        <v>-83.852999999999994</v>
      </c>
      <c r="AH53">
        <f t="shared" si="13"/>
        <v>-178.53366700000001</v>
      </c>
      <c r="AI53">
        <f t="shared" si="14"/>
        <v>-83.852999999999994</v>
      </c>
      <c r="AJ53">
        <f t="shared" si="15"/>
        <v>-67.914000000000001</v>
      </c>
    </row>
    <row r="54" spans="1:36" ht="18.95" customHeight="1">
      <c r="A54" s="4">
        <v>49681125</v>
      </c>
      <c r="B54" s="6">
        <v>2.2626343800000002</v>
      </c>
      <c r="C54" s="6">
        <v>0.78944618600000005</v>
      </c>
      <c r="D54" s="6">
        <v>0.89900000000000002</v>
      </c>
      <c r="E54" s="6">
        <v>0.316</v>
      </c>
      <c r="F54" s="6">
        <v>-3.0000000000000001E-3</v>
      </c>
      <c r="G54" s="6">
        <v>3.6619999999999999</v>
      </c>
      <c r="H54" s="6">
        <v>-0.79300000000000004</v>
      </c>
      <c r="I54" s="6">
        <v>-120.3</v>
      </c>
      <c r="J54" s="6">
        <v>-178.215</v>
      </c>
      <c r="K54" s="6">
        <v>-77.837999999999994</v>
      </c>
      <c r="L54" s="6">
        <v>-68.016000000000005</v>
      </c>
      <c r="M54" s="6">
        <v>13.6</v>
      </c>
      <c r="N54" s="6">
        <v>-12.347</v>
      </c>
      <c r="O54" s="6">
        <v>-15.3</v>
      </c>
      <c r="P54" s="6">
        <v>24.32</v>
      </c>
      <c r="Q54" s="6">
        <v>0.65964</v>
      </c>
      <c r="R54" s="6">
        <v>-5.8900000000000003E-3</v>
      </c>
      <c r="S54" s="6">
        <v>-0.70638999999999996</v>
      </c>
      <c r="T54" s="6">
        <v>0.25635000000000002</v>
      </c>
      <c r="U54" s="6">
        <v>11.116</v>
      </c>
      <c r="V54" s="6">
        <v>2</v>
      </c>
      <c r="W54" s="6">
        <v>2</v>
      </c>
      <c r="X54" s="6" t="s">
        <v>327</v>
      </c>
      <c r="Y54" s="6">
        <v>6.3913957199999996E-2</v>
      </c>
      <c r="Z54" s="6">
        <v>-1.3840461E-2</v>
      </c>
      <c r="AA54" s="6">
        <v>-2.0996310899999999</v>
      </c>
      <c r="AC54">
        <f t="shared" si="8"/>
        <v>2262.63438</v>
      </c>
      <c r="AD54">
        <f t="shared" si="9"/>
        <v>3.6619999999999999</v>
      </c>
      <c r="AE54">
        <f t="shared" si="10"/>
        <v>-0.79300000000000004</v>
      </c>
      <c r="AF54">
        <f t="shared" si="11"/>
        <v>-120.3</v>
      </c>
      <c r="AG54">
        <f t="shared" si="12"/>
        <v>-77.837999999999994</v>
      </c>
      <c r="AH54">
        <f t="shared" si="13"/>
        <v>-178.215</v>
      </c>
      <c r="AI54">
        <f t="shared" si="14"/>
        <v>-77.837999999999994</v>
      </c>
      <c r="AJ54">
        <f t="shared" si="15"/>
        <v>-68.016000000000005</v>
      </c>
    </row>
    <row r="55" spans="1:36" ht="18.95" customHeight="1">
      <c r="A55" s="4">
        <v>49681155</v>
      </c>
      <c r="B55" s="6">
        <v>2.29263438</v>
      </c>
      <c r="C55" s="6">
        <v>0.79991335900000005</v>
      </c>
      <c r="D55" s="6">
        <v>0.81899999999999995</v>
      </c>
      <c r="E55" s="6">
        <v>0.46450000000000002</v>
      </c>
      <c r="F55" s="6">
        <v>-4.4999999999999997E-3</v>
      </c>
      <c r="G55" s="6">
        <v>3.9060000000000001</v>
      </c>
      <c r="H55" s="6">
        <v>-0.82399999999999995</v>
      </c>
      <c r="I55" s="6">
        <v>-124.35899999999999</v>
      </c>
      <c r="J55" s="6">
        <v>-177.9205</v>
      </c>
      <c r="K55" s="6">
        <v>-68.524500000000003</v>
      </c>
      <c r="L55" s="6">
        <v>-67.826999999999998</v>
      </c>
      <c r="M55" s="6">
        <v>13.6</v>
      </c>
      <c r="N55" s="6">
        <v>-12.347</v>
      </c>
      <c r="O55" s="6">
        <v>-15.3</v>
      </c>
      <c r="P55" s="6">
        <v>24.32</v>
      </c>
      <c r="Q55" s="6">
        <v>0.68254000000000004</v>
      </c>
      <c r="R55" s="6">
        <v>0.12904499999999999</v>
      </c>
      <c r="S55" s="6">
        <v>-0.681975</v>
      </c>
      <c r="T55" s="6">
        <v>0.13411000000000001</v>
      </c>
      <c r="U55" s="6">
        <v>11.146000000000001</v>
      </c>
      <c r="V55" s="6">
        <v>2</v>
      </c>
      <c r="W55" s="6">
        <v>2</v>
      </c>
      <c r="X55" s="6" t="s">
        <v>328</v>
      </c>
      <c r="Y55" s="6">
        <v>6.8172560600000001E-2</v>
      </c>
      <c r="Z55" s="6">
        <v>-1.4381513E-2</v>
      </c>
      <c r="AA55" s="6">
        <v>-2.170474</v>
      </c>
      <c r="AC55">
        <f t="shared" si="8"/>
        <v>2292.63438</v>
      </c>
      <c r="AD55">
        <f t="shared" si="9"/>
        <v>3.9060000000000001</v>
      </c>
      <c r="AE55">
        <f t="shared" si="10"/>
        <v>-0.82399999999999995</v>
      </c>
      <c r="AF55">
        <f t="shared" si="11"/>
        <v>-124.35899999999999</v>
      </c>
      <c r="AG55">
        <f t="shared" si="12"/>
        <v>-68.524500000000003</v>
      </c>
      <c r="AH55">
        <f t="shared" si="13"/>
        <v>-177.9205</v>
      </c>
      <c r="AI55">
        <f t="shared" si="14"/>
        <v>-68.524500000000003</v>
      </c>
      <c r="AJ55">
        <f t="shared" si="15"/>
        <v>-67.826999999999998</v>
      </c>
    </row>
    <row r="56" spans="1:36" ht="18.95" customHeight="1">
      <c r="A56" s="4">
        <v>49681245</v>
      </c>
      <c r="B56" s="6">
        <v>2.3826343799999998</v>
      </c>
      <c r="C56" s="6">
        <v>0.83131487800000003</v>
      </c>
      <c r="D56" s="6">
        <v>0.79849999999999999</v>
      </c>
      <c r="E56" s="6">
        <v>0.50700000000000001</v>
      </c>
      <c r="F56" s="6">
        <v>-3.0000000000000001E-3</v>
      </c>
      <c r="G56" s="6">
        <v>3.8450000000000002</v>
      </c>
      <c r="H56" s="6">
        <v>-0.91600000000000004</v>
      </c>
      <c r="I56" s="6">
        <v>-125.54900000000001</v>
      </c>
      <c r="J56" s="6">
        <v>-177.84100000000001</v>
      </c>
      <c r="K56" s="6">
        <v>-65.402000000000001</v>
      </c>
      <c r="L56" s="6">
        <v>-67.72</v>
      </c>
      <c r="M56" s="6">
        <v>13.6</v>
      </c>
      <c r="N56" s="6">
        <v>-12.347</v>
      </c>
      <c r="O56" s="6">
        <v>-15.3</v>
      </c>
      <c r="P56" s="6">
        <v>24.32</v>
      </c>
      <c r="Q56" s="6">
        <v>0.70543999999999996</v>
      </c>
      <c r="R56" s="6">
        <v>0.26397999999999999</v>
      </c>
      <c r="S56" s="6">
        <v>-0.65756000000000003</v>
      </c>
      <c r="T56" s="6">
        <v>1.187E-2</v>
      </c>
      <c r="U56" s="6">
        <v>11.236000000000001</v>
      </c>
      <c r="V56" s="6">
        <v>2</v>
      </c>
      <c r="W56" s="6">
        <v>2</v>
      </c>
      <c r="X56" s="6" t="s">
        <v>329</v>
      </c>
      <c r="Y56" s="6">
        <v>6.7107909699999996E-2</v>
      </c>
      <c r="Z56" s="6">
        <v>-1.5987215900000001E-2</v>
      </c>
      <c r="AA56" s="6">
        <v>-2.1912434200000002</v>
      </c>
      <c r="AC56">
        <f t="shared" si="8"/>
        <v>2382.63438</v>
      </c>
      <c r="AD56">
        <f t="shared" si="9"/>
        <v>3.8450000000000002</v>
      </c>
      <c r="AE56">
        <f t="shared" si="10"/>
        <v>-0.91600000000000004</v>
      </c>
      <c r="AF56">
        <f t="shared" si="11"/>
        <v>-125.54900000000001</v>
      </c>
      <c r="AG56">
        <f t="shared" si="12"/>
        <v>-65.402000000000001</v>
      </c>
      <c r="AH56">
        <f t="shared" si="13"/>
        <v>-177.84100000000001</v>
      </c>
      <c r="AI56">
        <f t="shared" si="14"/>
        <v>-65.402000000000001</v>
      </c>
      <c r="AJ56">
        <f t="shared" si="15"/>
        <v>-67.72</v>
      </c>
    </row>
    <row r="57" spans="1:36" ht="18.95" customHeight="1">
      <c r="A57" s="4">
        <v>49681274</v>
      </c>
      <c r="B57" s="6">
        <v>2.4116343800000002</v>
      </c>
      <c r="C57" s="6">
        <v>0.84143314499999999</v>
      </c>
      <c r="D57" s="6">
        <v>0.71299999999999997</v>
      </c>
      <c r="E57" s="6">
        <v>0.60899999999999999</v>
      </c>
      <c r="F57" s="6">
        <v>-8.9999999999999993E-3</v>
      </c>
      <c r="G57" s="6">
        <v>3.7839999999999998</v>
      </c>
      <c r="H57" s="6">
        <v>-0.91600000000000004</v>
      </c>
      <c r="I57" s="6">
        <v>-126.526</v>
      </c>
      <c r="J57" s="6">
        <v>-177.69300000000001</v>
      </c>
      <c r="K57" s="6">
        <v>-59.040999999999997</v>
      </c>
      <c r="L57" s="6">
        <v>-67.587999999999994</v>
      </c>
      <c r="M57" s="6">
        <v>13.6</v>
      </c>
      <c r="N57" s="6">
        <v>-12.347</v>
      </c>
      <c r="O57" s="6">
        <v>-15.3</v>
      </c>
      <c r="P57" s="6">
        <v>24.32</v>
      </c>
      <c r="Q57" s="6">
        <v>0.70543999999999996</v>
      </c>
      <c r="R57" s="6">
        <v>0.26397999999999999</v>
      </c>
      <c r="S57" s="6">
        <v>-0.65756000000000003</v>
      </c>
      <c r="T57" s="6">
        <v>1.187E-2</v>
      </c>
      <c r="U57" s="6">
        <v>11.265000000000001</v>
      </c>
      <c r="V57" s="6">
        <v>1</v>
      </c>
      <c r="W57" s="6">
        <v>1</v>
      </c>
      <c r="X57" s="6" t="s">
        <v>330</v>
      </c>
      <c r="Y57" s="6">
        <v>6.6043258899999999E-2</v>
      </c>
      <c r="Z57" s="6">
        <v>-1.5987215900000001E-2</v>
      </c>
      <c r="AA57" s="6">
        <v>-2.2082952900000001</v>
      </c>
      <c r="AC57">
        <f t="shared" si="8"/>
        <v>2411.63438</v>
      </c>
      <c r="AD57">
        <f t="shared" si="9"/>
        <v>3.7839999999999998</v>
      </c>
      <c r="AE57">
        <f t="shared" si="10"/>
        <v>-0.91600000000000004</v>
      </c>
      <c r="AF57">
        <f t="shared" si="11"/>
        <v>-126.526</v>
      </c>
      <c r="AG57">
        <f t="shared" si="12"/>
        <v>-59.040999999999997</v>
      </c>
      <c r="AH57">
        <f t="shared" si="13"/>
        <v>-177.69300000000001</v>
      </c>
      <c r="AI57">
        <f t="shared" si="14"/>
        <v>-59.040999999999997</v>
      </c>
      <c r="AJ57">
        <f t="shared" si="15"/>
        <v>-67.587999999999994</v>
      </c>
    </row>
    <row r="58" spans="1:36" ht="18.95" customHeight="1">
      <c r="A58" s="4">
        <v>49681335</v>
      </c>
      <c r="B58" s="6">
        <v>2.4726343800000001</v>
      </c>
      <c r="C58" s="6">
        <v>0.86271639700000002</v>
      </c>
      <c r="D58" s="6">
        <v>0.67249999999999999</v>
      </c>
      <c r="E58" s="6">
        <v>0.70699999999999996</v>
      </c>
      <c r="F58" s="6">
        <v>-1.6E-2</v>
      </c>
      <c r="G58" s="6">
        <v>3.9670000000000001</v>
      </c>
      <c r="H58" s="6">
        <v>-0.85399999999999998</v>
      </c>
      <c r="I58" s="6">
        <v>-127.258</v>
      </c>
      <c r="J58" s="6">
        <v>-177.54499999999999</v>
      </c>
      <c r="K58" s="6">
        <v>-52.652000000000001</v>
      </c>
      <c r="L58" s="6">
        <v>-67.5</v>
      </c>
      <c r="M58" s="6">
        <v>13.6</v>
      </c>
      <c r="N58" s="6">
        <v>-12.347</v>
      </c>
      <c r="O58" s="6">
        <v>-15.3</v>
      </c>
      <c r="P58" s="6">
        <v>24.32</v>
      </c>
      <c r="Q58" s="6">
        <v>0.70543999999999996</v>
      </c>
      <c r="R58" s="6">
        <v>0.26397999999999999</v>
      </c>
      <c r="S58" s="6">
        <v>-0.65756000000000003</v>
      </c>
      <c r="T58" s="6">
        <v>1.187E-2</v>
      </c>
      <c r="U58" s="6">
        <v>11.326000000000001</v>
      </c>
      <c r="V58" s="6">
        <v>2</v>
      </c>
      <c r="W58" s="6">
        <v>2</v>
      </c>
      <c r="X58" s="6" t="s">
        <v>331</v>
      </c>
      <c r="Y58" s="6">
        <v>6.9237211399999998E-2</v>
      </c>
      <c r="Z58" s="6">
        <v>-1.4905111800000001E-2</v>
      </c>
      <c r="AA58" s="6">
        <v>-2.2210711000000001</v>
      </c>
      <c r="AC58">
        <f t="shared" si="8"/>
        <v>2472.63438</v>
      </c>
      <c r="AD58">
        <f t="shared" si="9"/>
        <v>3.9670000000000001</v>
      </c>
      <c r="AE58">
        <f t="shared" si="10"/>
        <v>-0.85399999999999998</v>
      </c>
      <c r="AF58">
        <f t="shared" si="11"/>
        <v>-127.258</v>
      </c>
      <c r="AG58">
        <f t="shared" si="12"/>
        <v>-52.652000000000001</v>
      </c>
      <c r="AH58">
        <f t="shared" si="13"/>
        <v>-177.54499999999999</v>
      </c>
      <c r="AI58">
        <f t="shared" si="14"/>
        <v>-52.652000000000001</v>
      </c>
      <c r="AJ58">
        <f t="shared" si="15"/>
        <v>-67.5</v>
      </c>
    </row>
    <row r="59" spans="1:36" ht="18.95" customHeight="1">
      <c r="A59" s="4">
        <v>49681364</v>
      </c>
      <c r="B59" s="6">
        <v>2.50163438</v>
      </c>
      <c r="C59" s="6">
        <v>0.87283466399999998</v>
      </c>
      <c r="D59" s="6">
        <v>0.54500000000000004</v>
      </c>
      <c r="E59" s="6">
        <v>0.82850000000000001</v>
      </c>
      <c r="F59" s="6">
        <v>-2.2499999999999999E-2</v>
      </c>
      <c r="G59" s="6">
        <v>4.0585000000000004</v>
      </c>
      <c r="H59" s="6">
        <v>-0.76249999999999996</v>
      </c>
      <c r="I59" s="6">
        <v>-129.4555</v>
      </c>
      <c r="J59" s="6">
        <v>-177.3305</v>
      </c>
      <c r="K59" s="6">
        <v>-42.920999999999999</v>
      </c>
      <c r="L59" s="6">
        <v>-67.343500000000006</v>
      </c>
      <c r="M59" s="6">
        <v>13.6</v>
      </c>
      <c r="N59" s="6">
        <v>-12.347</v>
      </c>
      <c r="O59" s="6">
        <v>-15.3</v>
      </c>
      <c r="P59" s="6">
        <v>24.32</v>
      </c>
      <c r="Q59" s="6">
        <v>0.70543999999999996</v>
      </c>
      <c r="R59" s="6">
        <v>0.26397999999999999</v>
      </c>
      <c r="S59" s="6">
        <v>-0.65756000000000003</v>
      </c>
      <c r="T59" s="6">
        <v>1.187E-2</v>
      </c>
      <c r="U59" s="6">
        <v>11.355</v>
      </c>
      <c r="V59" s="6">
        <v>2</v>
      </c>
      <c r="W59" s="6">
        <v>2</v>
      </c>
      <c r="X59" s="6" t="s">
        <v>332</v>
      </c>
      <c r="Y59" s="6">
        <v>7.0834187699999995E-2</v>
      </c>
      <c r="Z59" s="6">
        <v>-1.33081355E-2</v>
      </c>
      <c r="AA59" s="6">
        <v>-2.2594247099999998</v>
      </c>
      <c r="AC59">
        <f t="shared" si="8"/>
        <v>2501.63438</v>
      </c>
      <c r="AD59">
        <f t="shared" si="9"/>
        <v>4.0585000000000004</v>
      </c>
      <c r="AE59">
        <f t="shared" si="10"/>
        <v>-0.76249999999999996</v>
      </c>
      <c r="AF59">
        <f t="shared" si="11"/>
        <v>-129.4555</v>
      </c>
      <c r="AG59">
        <f t="shared" si="12"/>
        <v>-42.920999999999999</v>
      </c>
      <c r="AH59">
        <f t="shared" si="13"/>
        <v>-177.3305</v>
      </c>
      <c r="AI59">
        <f t="shared" si="14"/>
        <v>-42.920999999999999</v>
      </c>
      <c r="AJ59">
        <f t="shared" si="15"/>
        <v>-67.343500000000006</v>
      </c>
    </row>
    <row r="60" spans="1:36" ht="18.95" customHeight="1">
      <c r="A60" s="4">
        <v>49681455</v>
      </c>
      <c r="B60" s="6">
        <v>2.5926343799999998</v>
      </c>
      <c r="C60" s="6">
        <v>0.90458508900000001</v>
      </c>
      <c r="D60" s="6">
        <v>0.438</v>
      </c>
      <c r="E60" s="6">
        <v>0.872</v>
      </c>
      <c r="F60" s="6">
        <v>-2.5000000000000001E-2</v>
      </c>
      <c r="G60" s="6">
        <v>4.1500000000000004</v>
      </c>
      <c r="H60" s="6">
        <v>-0.67100000000000004</v>
      </c>
      <c r="I60" s="6">
        <v>-130.85900000000001</v>
      </c>
      <c r="J60" s="6">
        <v>-177.209667</v>
      </c>
      <c r="K60" s="6">
        <v>-39.628</v>
      </c>
      <c r="L60" s="6">
        <v>-67.243666700000006</v>
      </c>
      <c r="M60" s="6">
        <v>28.2</v>
      </c>
      <c r="N60" s="6">
        <v>-20.16</v>
      </c>
      <c r="O60" s="6">
        <v>19.100000000000001</v>
      </c>
      <c r="P60" s="6">
        <v>24.32</v>
      </c>
      <c r="Q60" s="6">
        <v>0.70543999999999996</v>
      </c>
      <c r="R60" s="6">
        <v>0.26397999999999999</v>
      </c>
      <c r="S60" s="6">
        <v>-0.65756000000000003</v>
      </c>
      <c r="T60" s="6">
        <v>1.187E-2</v>
      </c>
      <c r="U60" s="6">
        <v>11.446</v>
      </c>
      <c r="V60" s="6">
        <v>3</v>
      </c>
      <c r="W60" s="6">
        <v>3</v>
      </c>
      <c r="X60" s="6" t="s">
        <v>333</v>
      </c>
      <c r="Y60" s="6">
        <v>7.2431164000000006E-2</v>
      </c>
      <c r="Z60" s="6">
        <v>-1.1711159299999999E-2</v>
      </c>
      <c r="AA60" s="6">
        <v>-2.2839204099999999</v>
      </c>
      <c r="AC60">
        <f t="shared" si="8"/>
        <v>2592.63438</v>
      </c>
      <c r="AD60">
        <f t="shared" si="9"/>
        <v>4.1500000000000004</v>
      </c>
      <c r="AE60">
        <f t="shared" si="10"/>
        <v>-0.67100000000000004</v>
      </c>
      <c r="AF60">
        <f t="shared" si="11"/>
        <v>-130.85900000000001</v>
      </c>
      <c r="AG60">
        <f t="shared" si="12"/>
        <v>-39.628</v>
      </c>
      <c r="AH60">
        <f t="shared" si="13"/>
        <v>-177.209667</v>
      </c>
      <c r="AI60">
        <f t="shared" si="14"/>
        <v>-39.628</v>
      </c>
      <c r="AJ60">
        <f t="shared" si="15"/>
        <v>-67.243666700000006</v>
      </c>
    </row>
    <row r="61" spans="1:36" ht="18.95" customHeight="1">
      <c r="A61" s="4">
        <v>49681484</v>
      </c>
      <c r="B61" s="6">
        <v>2.6216343800000002</v>
      </c>
      <c r="C61" s="6">
        <v>0.91470335700000005</v>
      </c>
      <c r="D61" s="6">
        <v>0.36899999999999999</v>
      </c>
      <c r="E61" s="6">
        <v>0.91700000000000004</v>
      </c>
      <c r="F61" s="6">
        <v>-2.5000000000000001E-2</v>
      </c>
      <c r="G61" s="6">
        <v>3.9670000000000001</v>
      </c>
      <c r="H61" s="6">
        <v>-0.91600000000000004</v>
      </c>
      <c r="I61" s="6">
        <v>-131.40899999999999</v>
      </c>
      <c r="J61" s="6">
        <v>-177.11099999999999</v>
      </c>
      <c r="K61" s="6">
        <v>-33.008000000000003</v>
      </c>
      <c r="L61" s="6">
        <v>-67.159000000000006</v>
      </c>
      <c r="M61" s="6">
        <v>28.2</v>
      </c>
      <c r="N61" s="6">
        <v>-20.16</v>
      </c>
      <c r="O61" s="6">
        <v>19.100000000000001</v>
      </c>
      <c r="P61" s="6">
        <v>24.32</v>
      </c>
      <c r="Q61" s="6">
        <v>0.67218</v>
      </c>
      <c r="R61" s="6">
        <v>0.45678999999999997</v>
      </c>
      <c r="S61" s="6">
        <v>-0.54952999999999996</v>
      </c>
      <c r="T61" s="6">
        <v>-0.19350999999999999</v>
      </c>
      <c r="U61" s="6">
        <v>11.475</v>
      </c>
      <c r="V61" s="6">
        <v>1</v>
      </c>
      <c r="W61" s="6">
        <v>1</v>
      </c>
      <c r="X61" s="6" t="s">
        <v>334</v>
      </c>
      <c r="Y61" s="6">
        <v>6.9237211399999998E-2</v>
      </c>
      <c r="Z61" s="6">
        <v>-1.5987215900000001E-2</v>
      </c>
      <c r="AA61" s="6">
        <v>-2.2935197199999999</v>
      </c>
      <c r="AC61">
        <f t="shared" si="8"/>
        <v>2621.63438</v>
      </c>
      <c r="AD61">
        <f t="shared" si="9"/>
        <v>3.9670000000000001</v>
      </c>
      <c r="AE61">
        <f t="shared" si="10"/>
        <v>-0.91600000000000004</v>
      </c>
      <c r="AF61">
        <f t="shared" si="11"/>
        <v>-131.40899999999999</v>
      </c>
      <c r="AG61">
        <f t="shared" si="12"/>
        <v>-33.008000000000003</v>
      </c>
      <c r="AH61">
        <f t="shared" si="13"/>
        <v>-177.11099999999999</v>
      </c>
      <c r="AI61">
        <f t="shared" si="14"/>
        <v>-33.008000000000003</v>
      </c>
      <c r="AJ61">
        <f t="shared" si="15"/>
        <v>-67.159000000000006</v>
      </c>
    </row>
    <row r="62" spans="1:36" ht="18.95" customHeight="1">
      <c r="A62" s="4">
        <v>49681515</v>
      </c>
      <c r="B62" s="6">
        <v>2.6526343799999998</v>
      </c>
      <c r="C62" s="6">
        <v>0.925519435</v>
      </c>
      <c r="D62" s="6">
        <v>0.30449999999999999</v>
      </c>
      <c r="E62" s="6">
        <v>0.98599999999999999</v>
      </c>
      <c r="F62" s="6">
        <v>-2.8000000000000001E-2</v>
      </c>
      <c r="G62" s="6">
        <v>3.9060000000000001</v>
      </c>
      <c r="H62" s="6">
        <v>-0.97699999999999998</v>
      </c>
      <c r="I62" s="6">
        <v>-129.578</v>
      </c>
      <c r="J62" s="6">
        <v>-176.95699999999999</v>
      </c>
      <c r="K62" s="6">
        <v>-26.395</v>
      </c>
      <c r="L62" s="6">
        <v>-67.022000000000006</v>
      </c>
      <c r="M62" s="6">
        <v>28.2</v>
      </c>
      <c r="N62" s="6">
        <v>-20.16</v>
      </c>
      <c r="O62" s="6">
        <v>19.100000000000001</v>
      </c>
      <c r="P62" s="6">
        <v>24.32</v>
      </c>
      <c r="Q62" s="6">
        <v>0.67218</v>
      </c>
      <c r="R62" s="6">
        <v>0.45678999999999997</v>
      </c>
      <c r="S62" s="6">
        <v>-0.54952999999999996</v>
      </c>
      <c r="T62" s="6">
        <v>-0.19350999999999999</v>
      </c>
      <c r="U62" s="6">
        <v>11.506</v>
      </c>
      <c r="V62" s="6">
        <v>2</v>
      </c>
      <c r="W62" s="6">
        <v>2</v>
      </c>
      <c r="X62" s="6" t="s">
        <v>335</v>
      </c>
      <c r="Y62" s="6">
        <v>6.8172560600000001E-2</v>
      </c>
      <c r="Z62" s="6">
        <v>-1.7051866799999999E-2</v>
      </c>
      <c r="AA62" s="6">
        <v>-2.26156274</v>
      </c>
      <c r="AC62">
        <f t="shared" si="8"/>
        <v>2652.63438</v>
      </c>
      <c r="AD62">
        <f t="shared" si="9"/>
        <v>3.9060000000000001</v>
      </c>
      <c r="AE62">
        <f t="shared" si="10"/>
        <v>-0.97699999999999998</v>
      </c>
      <c r="AF62">
        <f t="shared" si="11"/>
        <v>-129.578</v>
      </c>
      <c r="AG62">
        <f t="shared" si="12"/>
        <v>-26.395</v>
      </c>
      <c r="AH62">
        <f t="shared" si="13"/>
        <v>-176.95699999999999</v>
      </c>
      <c r="AI62">
        <f t="shared" si="14"/>
        <v>-26.395</v>
      </c>
      <c r="AJ62">
        <f t="shared" si="15"/>
        <v>-67.022000000000006</v>
      </c>
    </row>
    <row r="63" spans="1:36" ht="18.95" customHeight="1">
      <c r="A63" s="4">
        <v>49681574</v>
      </c>
      <c r="B63" s="6">
        <v>2.71163438</v>
      </c>
      <c r="C63" s="6">
        <v>0.94610487600000004</v>
      </c>
      <c r="D63" s="6">
        <v>0.14299999999999999</v>
      </c>
      <c r="E63" s="6">
        <v>1.0189999999999999</v>
      </c>
      <c r="F63" s="6">
        <v>-3.5999999999999997E-2</v>
      </c>
      <c r="G63" s="6">
        <v>3.9670000000000001</v>
      </c>
      <c r="H63" s="6">
        <v>-0.73199999999999998</v>
      </c>
      <c r="I63" s="6">
        <v>-130.61500000000001</v>
      </c>
      <c r="J63" s="6">
        <v>-176.797</v>
      </c>
      <c r="K63" s="6">
        <v>-19.841000000000001</v>
      </c>
      <c r="L63" s="6">
        <v>-66.873999999999995</v>
      </c>
      <c r="M63" s="6">
        <v>28.2</v>
      </c>
      <c r="N63" s="6">
        <v>-20.16</v>
      </c>
      <c r="O63" s="6">
        <v>19.100000000000001</v>
      </c>
      <c r="P63" s="6">
        <v>24.32</v>
      </c>
      <c r="Q63" s="6">
        <v>0.67218</v>
      </c>
      <c r="R63" s="6">
        <v>0.45678999999999997</v>
      </c>
      <c r="S63" s="6">
        <v>-0.54952999999999996</v>
      </c>
      <c r="T63" s="6">
        <v>-0.19350999999999999</v>
      </c>
      <c r="U63" s="6">
        <v>11.565</v>
      </c>
      <c r="V63" s="6">
        <v>1</v>
      </c>
      <c r="W63" s="6">
        <v>1</v>
      </c>
      <c r="X63" s="6" t="s">
        <v>336</v>
      </c>
      <c r="Y63" s="6">
        <v>6.9237211399999998E-2</v>
      </c>
      <c r="Z63" s="6">
        <v>-1.27758101E-2</v>
      </c>
      <c r="AA63" s="6">
        <v>-2.2796618</v>
      </c>
      <c r="AC63">
        <f t="shared" si="8"/>
        <v>2711.63438</v>
      </c>
      <c r="AD63">
        <f t="shared" si="9"/>
        <v>3.9670000000000001</v>
      </c>
      <c r="AE63">
        <f t="shared" si="10"/>
        <v>-0.73199999999999998</v>
      </c>
      <c r="AF63">
        <f t="shared" si="11"/>
        <v>-130.61500000000001</v>
      </c>
      <c r="AG63">
        <f t="shared" si="12"/>
        <v>-19.841000000000001</v>
      </c>
      <c r="AH63">
        <f t="shared" si="13"/>
        <v>-176.797</v>
      </c>
      <c r="AI63">
        <f t="shared" si="14"/>
        <v>-19.841000000000001</v>
      </c>
      <c r="AJ63">
        <f t="shared" si="15"/>
        <v>-66.873999999999995</v>
      </c>
    </row>
    <row r="64" spans="1:36" ht="18.95" customHeight="1">
      <c r="A64" s="4">
        <v>49681665</v>
      </c>
      <c r="B64" s="6">
        <v>2.8026343800000002</v>
      </c>
      <c r="C64" s="6">
        <v>0.97785529999999998</v>
      </c>
      <c r="D64" s="6">
        <v>7.6499999999999999E-2</v>
      </c>
      <c r="E64" s="6">
        <v>1.048</v>
      </c>
      <c r="F64" s="6">
        <v>-3.7999999999999999E-2</v>
      </c>
      <c r="G64" s="6">
        <v>3.9060000000000001</v>
      </c>
      <c r="H64" s="6">
        <v>-0.79300000000000004</v>
      </c>
      <c r="I64" s="6">
        <v>-127.502</v>
      </c>
      <c r="J64" s="6">
        <v>-176.62700000000001</v>
      </c>
      <c r="K64" s="6">
        <v>-13.321</v>
      </c>
      <c r="L64" s="6">
        <v>-66.713999999999999</v>
      </c>
      <c r="M64" s="6">
        <v>28.2</v>
      </c>
      <c r="N64" s="6">
        <v>-20.16</v>
      </c>
      <c r="O64" s="6">
        <v>19.100000000000001</v>
      </c>
      <c r="P64" s="6">
        <v>24.32</v>
      </c>
      <c r="Q64" s="6">
        <v>0.67218</v>
      </c>
      <c r="R64" s="6">
        <v>0.45678999999999997</v>
      </c>
      <c r="S64" s="6">
        <v>-0.54952999999999996</v>
      </c>
      <c r="T64" s="6">
        <v>-0.19350999999999999</v>
      </c>
      <c r="U64" s="6">
        <v>11.656000000000001</v>
      </c>
      <c r="V64" s="6">
        <v>2</v>
      </c>
      <c r="W64" s="6">
        <v>2</v>
      </c>
      <c r="X64" s="6" t="s">
        <v>337</v>
      </c>
      <c r="Y64" s="6">
        <v>6.8172560600000001E-2</v>
      </c>
      <c r="Z64" s="6">
        <v>-1.3840461E-2</v>
      </c>
      <c r="AA64" s="6">
        <v>-2.2253297000000001</v>
      </c>
      <c r="AC64">
        <f t="shared" si="8"/>
        <v>2802.6343800000004</v>
      </c>
      <c r="AD64">
        <f t="shared" si="9"/>
        <v>3.9060000000000001</v>
      </c>
      <c r="AE64">
        <f t="shared" si="10"/>
        <v>-0.79300000000000004</v>
      </c>
      <c r="AF64">
        <f t="shared" si="11"/>
        <v>-127.502</v>
      </c>
      <c r="AG64">
        <f t="shared" si="12"/>
        <v>-13.321</v>
      </c>
      <c r="AH64">
        <f t="shared" si="13"/>
        <v>-176.62700000000001</v>
      </c>
      <c r="AI64">
        <f t="shared" si="14"/>
        <v>-13.321</v>
      </c>
      <c r="AJ64">
        <f t="shared" si="15"/>
        <v>-66.713999999999999</v>
      </c>
    </row>
    <row r="65" spans="1:36" ht="18.95" customHeight="1">
      <c r="A65" s="4">
        <v>49681694</v>
      </c>
      <c r="B65" s="6">
        <v>2.8316343800000001</v>
      </c>
      <c r="C65" s="6">
        <v>0.98797356800000002</v>
      </c>
      <c r="D65" s="6">
        <v>-0.11899999999999999</v>
      </c>
      <c r="E65" s="6">
        <v>1.04</v>
      </c>
      <c r="F65" s="6">
        <v>-4.4999999999999998E-2</v>
      </c>
      <c r="G65" s="6">
        <v>3.9975000000000001</v>
      </c>
      <c r="H65" s="6">
        <v>-0.85450000000000004</v>
      </c>
      <c r="I65" s="6">
        <v>-129.45599999999999</v>
      </c>
      <c r="J65" s="6">
        <v>-176.33600000000001</v>
      </c>
      <c r="K65" s="6">
        <v>-3.6120000000000001</v>
      </c>
      <c r="L65" s="6">
        <v>-66.442499999999995</v>
      </c>
      <c r="M65" s="6">
        <v>28.2</v>
      </c>
      <c r="N65" s="6">
        <v>-20.16</v>
      </c>
      <c r="O65" s="6">
        <v>19.100000000000001</v>
      </c>
      <c r="P65" s="6">
        <v>24.32</v>
      </c>
      <c r="Q65" s="6">
        <v>0.67218</v>
      </c>
      <c r="R65" s="6">
        <v>0.45678999999999997</v>
      </c>
      <c r="S65" s="6">
        <v>-0.54952999999999996</v>
      </c>
      <c r="T65" s="6">
        <v>-0.19350999999999999</v>
      </c>
      <c r="U65" s="6">
        <v>11.685</v>
      </c>
      <c r="V65" s="6">
        <v>3</v>
      </c>
      <c r="W65" s="6">
        <v>2</v>
      </c>
      <c r="X65" s="6" t="s">
        <v>338</v>
      </c>
      <c r="Y65" s="6">
        <v>6.9769536800000004E-2</v>
      </c>
      <c r="Z65" s="6">
        <v>-1.49138385E-2</v>
      </c>
      <c r="AA65" s="6">
        <v>-2.25943344</v>
      </c>
      <c r="AC65">
        <f t="shared" si="8"/>
        <v>2831.63438</v>
      </c>
      <c r="AD65">
        <f t="shared" si="9"/>
        <v>3.9975000000000001</v>
      </c>
      <c r="AE65">
        <f t="shared" si="10"/>
        <v>-0.85450000000000004</v>
      </c>
      <c r="AF65">
        <f t="shared" si="11"/>
        <v>-129.45599999999999</v>
      </c>
      <c r="AG65">
        <f t="shared" si="12"/>
        <v>-3.6120000000000001</v>
      </c>
      <c r="AH65">
        <f t="shared" si="13"/>
        <v>-176.33600000000001</v>
      </c>
      <c r="AI65">
        <f t="shared" si="14"/>
        <v>-3.6120000000000001</v>
      </c>
      <c r="AJ65">
        <f t="shared" si="15"/>
        <v>-66.442499999999995</v>
      </c>
    </row>
    <row r="66" spans="1:36" ht="18.95" customHeight="1">
      <c r="A66" s="4">
        <v>49681725</v>
      </c>
      <c r="B66" s="6">
        <v>2.8626343799999998</v>
      </c>
      <c r="C66" s="6">
        <v>0.99878964699999995</v>
      </c>
      <c r="D66" s="6">
        <v>-0.19500000000000001</v>
      </c>
      <c r="E66" s="6">
        <v>1.034</v>
      </c>
      <c r="F66" s="6">
        <v>-4.7E-2</v>
      </c>
      <c r="G66" s="6">
        <v>4.0279999999999996</v>
      </c>
      <c r="H66" s="6">
        <v>-1.038</v>
      </c>
      <c r="I66" s="6">
        <v>-131.10400000000001</v>
      </c>
      <c r="J66" s="6">
        <v>-176.232</v>
      </c>
      <c r="K66" s="6">
        <v>-0.38500000000000001</v>
      </c>
      <c r="L66" s="6">
        <v>-66.346000000000004</v>
      </c>
      <c r="M66" s="6">
        <v>67</v>
      </c>
      <c r="N66" s="6">
        <v>-31.266999999999999</v>
      </c>
      <c r="O66" s="6">
        <v>39.5</v>
      </c>
      <c r="P66" s="6">
        <v>24.32</v>
      </c>
      <c r="Q66" s="6">
        <v>0.67218</v>
      </c>
      <c r="R66" s="6">
        <v>0.45678999999999997</v>
      </c>
      <c r="S66" s="6">
        <v>-0.54952999999999996</v>
      </c>
      <c r="T66" s="6">
        <v>-0.19350999999999999</v>
      </c>
      <c r="U66" s="6">
        <v>11.715999999999999</v>
      </c>
      <c r="V66" s="6">
        <v>1</v>
      </c>
      <c r="W66" s="6">
        <v>1</v>
      </c>
      <c r="X66" s="6" t="s">
        <v>339</v>
      </c>
      <c r="Y66" s="6">
        <v>7.0301862300000004E-2</v>
      </c>
      <c r="Z66" s="6">
        <v>-1.81165176E-2</v>
      </c>
      <c r="AA66" s="6">
        <v>-2.28819646</v>
      </c>
      <c r="AC66">
        <f t="shared" si="8"/>
        <v>2862.63438</v>
      </c>
      <c r="AD66">
        <f t="shared" si="9"/>
        <v>4.0279999999999996</v>
      </c>
      <c r="AE66">
        <f t="shared" si="10"/>
        <v>-1.038</v>
      </c>
      <c r="AF66">
        <f t="shared" si="11"/>
        <v>-131.10400000000001</v>
      </c>
      <c r="AG66">
        <f t="shared" si="12"/>
        <v>-0.38500000000000001</v>
      </c>
      <c r="AH66">
        <f t="shared" si="13"/>
        <v>-176.232</v>
      </c>
      <c r="AI66">
        <f t="shared" si="14"/>
        <v>-0.38500000000000001</v>
      </c>
      <c r="AJ66">
        <f t="shared" si="15"/>
        <v>-66.346000000000004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7" width="17" customWidth="1"/>
  </cols>
  <sheetData>
    <row r="1" spans="1:33" ht="18.95" customHeight="1">
      <c r="A1" s="2" t="s">
        <v>340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33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3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33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33" ht="33.950000000000003" customHeight="1">
      <c r="A5" s="3" t="s">
        <v>137</v>
      </c>
      <c r="B5" s="3" t="s">
        <v>138</v>
      </c>
      <c r="C5" s="3" t="s">
        <v>139</v>
      </c>
      <c r="D5" s="3" t="s">
        <v>140</v>
      </c>
      <c r="E5" s="3" t="s">
        <v>141</v>
      </c>
      <c r="F5" s="3" t="s">
        <v>142</v>
      </c>
      <c r="G5" s="3" t="s">
        <v>143</v>
      </c>
      <c r="H5" s="3" t="s">
        <v>144</v>
      </c>
      <c r="I5" s="3" t="s">
        <v>145</v>
      </c>
      <c r="J5" s="3" t="s">
        <v>146</v>
      </c>
      <c r="K5" s="3" t="s">
        <v>147</v>
      </c>
      <c r="L5" s="3" t="s">
        <v>148</v>
      </c>
      <c r="M5" s="3" t="s">
        <v>149</v>
      </c>
      <c r="N5" s="3" t="s">
        <v>150</v>
      </c>
      <c r="O5" s="3" t="s">
        <v>151</v>
      </c>
      <c r="P5" s="3" t="s">
        <v>152</v>
      </c>
      <c r="Q5" s="3" t="s">
        <v>153</v>
      </c>
      <c r="R5" s="3" t="s">
        <v>154</v>
      </c>
      <c r="S5" s="3" t="s">
        <v>155</v>
      </c>
      <c r="T5" s="3" t="s">
        <v>156</v>
      </c>
      <c r="U5" s="3" t="s">
        <v>157</v>
      </c>
      <c r="V5" s="3" t="s">
        <v>158</v>
      </c>
      <c r="W5" s="3" t="s">
        <v>159</v>
      </c>
      <c r="X5" s="3" t="s">
        <v>160</v>
      </c>
      <c r="Y5" s="3" t="s">
        <v>161</v>
      </c>
      <c r="Z5" s="3" t="s">
        <v>162</v>
      </c>
      <c r="AA5" s="3" t="s">
        <v>163</v>
      </c>
      <c r="AC5" t="s">
        <v>28</v>
      </c>
      <c r="AD5" t="s">
        <v>164</v>
      </c>
      <c r="AE5" t="s">
        <v>165</v>
      </c>
      <c r="AF5" t="s">
        <v>166</v>
      </c>
      <c r="AG5" t="s">
        <v>167</v>
      </c>
    </row>
    <row r="6" spans="1:33" ht="18.95" customHeight="1">
      <c r="A6" s="4">
        <v>49678889</v>
      </c>
      <c r="B6" s="6">
        <v>2.6634382799999998E-2</v>
      </c>
      <c r="C6" s="6">
        <v>9.2928897800000007E-3</v>
      </c>
      <c r="D6" s="6">
        <v>7.0000000000000001E-3</v>
      </c>
      <c r="E6" s="6">
        <v>-0.86399999999999999</v>
      </c>
      <c r="F6" s="6">
        <v>-0.53300000000000003</v>
      </c>
      <c r="G6" s="6">
        <v>-16.663</v>
      </c>
      <c r="H6" s="6">
        <v>16.785</v>
      </c>
      <c r="I6" s="6">
        <v>-24.78</v>
      </c>
      <c r="J6" s="6">
        <v>-29.190999999999999</v>
      </c>
      <c r="K6" s="6">
        <v>-39.188000000000002</v>
      </c>
      <c r="L6" s="6">
        <v>-65.572000000000003</v>
      </c>
      <c r="M6" s="6">
        <v>-41.7</v>
      </c>
      <c r="N6" s="6">
        <v>0.98699999999999999</v>
      </c>
      <c r="O6" s="6">
        <v>21.2</v>
      </c>
      <c r="P6" s="6">
        <v>24.36</v>
      </c>
      <c r="Q6" s="6">
        <v>0.43941999999999998</v>
      </c>
      <c r="R6" s="6">
        <v>-0.71667000000000003</v>
      </c>
      <c r="S6" s="6">
        <v>0.48581000000000002</v>
      </c>
      <c r="T6" s="6">
        <v>-0.23910999999999999</v>
      </c>
      <c r="U6" s="6">
        <v>8.8800000000000008</v>
      </c>
      <c r="V6" s="6">
        <v>1</v>
      </c>
      <c r="W6" s="6">
        <v>1</v>
      </c>
      <c r="X6" s="6" t="s">
        <v>264</v>
      </c>
      <c r="Y6" s="6">
        <v>-0.290824213</v>
      </c>
      <c r="Z6" s="6">
        <v>0.292953515</v>
      </c>
      <c r="AA6" s="6">
        <v>-0.43249258899999998</v>
      </c>
      <c r="AC6">
        <f t="shared" ref="AC6:AC38" si="0">B6*1000</f>
        <v>26.634382799999997</v>
      </c>
      <c r="AD6">
        <f t="shared" ref="AD6:AD38" si="1">G6</f>
        <v>-16.663</v>
      </c>
      <c r="AE6">
        <f t="shared" ref="AE6:AE38" si="2">H6</f>
        <v>16.785</v>
      </c>
      <c r="AF6">
        <f t="shared" ref="AF6:AF38" si="3">I6</f>
        <v>-24.78</v>
      </c>
      <c r="AG6">
        <f t="shared" ref="AG6:AG38" si="4">K6</f>
        <v>-39.188000000000002</v>
      </c>
    </row>
    <row r="7" spans="1:33" ht="18.95" customHeight="1">
      <c r="A7" s="4">
        <v>49678920</v>
      </c>
      <c r="B7" s="6">
        <v>5.7634382800000002E-2</v>
      </c>
      <c r="C7" s="6">
        <v>2.0108968599999999E-2</v>
      </c>
      <c r="D7" s="6">
        <v>2.8000000000000001E-2</v>
      </c>
      <c r="E7" s="6">
        <v>-0.85499999999999998</v>
      </c>
      <c r="F7" s="6">
        <v>-0.55500000000000005</v>
      </c>
      <c r="G7" s="6">
        <v>-11.840999999999999</v>
      </c>
      <c r="H7" s="6">
        <v>11.78</v>
      </c>
      <c r="I7" s="6">
        <v>-17.516999999999999</v>
      </c>
      <c r="J7" s="6">
        <v>-30.597000000000001</v>
      </c>
      <c r="K7" s="6">
        <v>-41.780999999999999</v>
      </c>
      <c r="L7" s="6">
        <v>-65.725999999999999</v>
      </c>
      <c r="M7" s="6">
        <v>-41.7</v>
      </c>
      <c r="N7" s="6">
        <v>0.98699999999999999</v>
      </c>
      <c r="O7" s="6">
        <v>21.2</v>
      </c>
      <c r="P7" s="6">
        <v>24.36</v>
      </c>
      <c r="Q7" s="6">
        <v>0.43941999999999998</v>
      </c>
      <c r="R7" s="6">
        <v>-0.71667000000000003</v>
      </c>
      <c r="S7" s="6">
        <v>0.48581000000000002</v>
      </c>
      <c r="T7" s="6">
        <v>-0.23910999999999999</v>
      </c>
      <c r="U7" s="6">
        <v>8.9109999999999996</v>
      </c>
      <c r="V7" s="6">
        <v>1</v>
      </c>
      <c r="W7" s="6">
        <v>1</v>
      </c>
      <c r="X7" s="6" t="s">
        <v>265</v>
      </c>
      <c r="Y7" s="6">
        <v>-0.20666443700000001</v>
      </c>
      <c r="Z7" s="6">
        <v>0.20559978600000001</v>
      </c>
      <c r="AA7" s="6">
        <v>-0.305729325</v>
      </c>
      <c r="AC7">
        <f t="shared" si="0"/>
        <v>57.634382800000004</v>
      </c>
      <c r="AD7">
        <f t="shared" si="1"/>
        <v>-11.840999999999999</v>
      </c>
      <c r="AE7">
        <f t="shared" si="2"/>
        <v>11.78</v>
      </c>
      <c r="AF7">
        <f t="shared" si="3"/>
        <v>-17.516999999999999</v>
      </c>
      <c r="AG7">
        <f t="shared" si="4"/>
        <v>-41.780999999999999</v>
      </c>
    </row>
    <row r="8" spans="1:33" ht="18.95" customHeight="1">
      <c r="A8" s="4">
        <v>49679039</v>
      </c>
      <c r="B8" s="6">
        <v>0.17663438300000001</v>
      </c>
      <c r="C8" s="6">
        <v>6.1628754899999999E-2</v>
      </c>
      <c r="D8" s="6">
        <v>4.1000000000000002E-2</v>
      </c>
      <c r="E8" s="6">
        <v>-0.83899999999999997</v>
      </c>
      <c r="F8" s="6">
        <v>-0.55700000000000005</v>
      </c>
      <c r="G8" s="6">
        <v>-7.3849999999999998</v>
      </c>
      <c r="H8" s="6">
        <v>7.0190000000000001</v>
      </c>
      <c r="I8" s="6">
        <v>-10.680999999999999</v>
      </c>
      <c r="J8" s="6">
        <v>-31.513999999999999</v>
      </c>
      <c r="K8" s="6">
        <v>-43.472999999999999</v>
      </c>
      <c r="L8" s="6">
        <v>-65.792000000000002</v>
      </c>
      <c r="M8" s="6">
        <v>-43.7</v>
      </c>
      <c r="N8" s="6">
        <v>-2</v>
      </c>
      <c r="O8" s="6">
        <v>17.8</v>
      </c>
      <c r="P8" s="6">
        <v>24.36</v>
      </c>
      <c r="Q8" s="6">
        <v>0.43941999999999998</v>
      </c>
      <c r="R8" s="6">
        <v>-0.71667000000000003</v>
      </c>
      <c r="S8" s="6">
        <v>0.48581000000000002</v>
      </c>
      <c r="T8" s="6">
        <v>-0.23910999999999999</v>
      </c>
      <c r="U8" s="6">
        <v>9.0299999999999994</v>
      </c>
      <c r="V8" s="6">
        <v>1</v>
      </c>
      <c r="W8" s="6">
        <v>1</v>
      </c>
      <c r="X8" s="6" t="s">
        <v>268</v>
      </c>
      <c r="Y8" s="6">
        <v>-0.12889256499999999</v>
      </c>
      <c r="Z8" s="6">
        <v>0.12250466</v>
      </c>
      <c r="AA8" s="6">
        <v>-0.18641861700000001</v>
      </c>
      <c r="AC8">
        <f t="shared" si="0"/>
        <v>176.63438300000001</v>
      </c>
      <c r="AD8">
        <f t="shared" si="1"/>
        <v>-7.3849999999999998</v>
      </c>
      <c r="AE8">
        <f t="shared" si="2"/>
        <v>7.0190000000000001</v>
      </c>
      <c r="AF8">
        <f t="shared" si="3"/>
        <v>-10.680999999999999</v>
      </c>
      <c r="AG8">
        <f t="shared" si="4"/>
        <v>-43.472999999999999</v>
      </c>
    </row>
    <row r="9" spans="1:33" ht="18.95" customHeight="1">
      <c r="A9" s="4">
        <v>49679068</v>
      </c>
      <c r="B9" s="6">
        <v>0.205634383</v>
      </c>
      <c r="C9" s="6">
        <v>7.1747022199999996E-2</v>
      </c>
      <c r="D9" s="6">
        <v>4.7E-2</v>
      </c>
      <c r="E9" s="6">
        <v>-0.83799999999999997</v>
      </c>
      <c r="F9" s="6">
        <v>-0.56299999999999994</v>
      </c>
      <c r="G9" s="6">
        <v>-5.1879999999999997</v>
      </c>
      <c r="H9" s="6">
        <v>4.6390000000000002</v>
      </c>
      <c r="I9" s="6">
        <v>-7.202</v>
      </c>
      <c r="J9" s="6">
        <v>-31.8</v>
      </c>
      <c r="K9" s="6">
        <v>-44.006</v>
      </c>
      <c r="L9" s="6">
        <v>-65.802999999999997</v>
      </c>
      <c r="M9" s="6">
        <v>-43.7</v>
      </c>
      <c r="N9" s="6">
        <v>-2</v>
      </c>
      <c r="O9" s="6">
        <v>17.8</v>
      </c>
      <c r="P9" s="6">
        <v>24.36</v>
      </c>
      <c r="Q9" s="6">
        <v>0.39240000000000003</v>
      </c>
      <c r="R9" s="6">
        <v>-0.74212999999999996</v>
      </c>
      <c r="S9" s="6">
        <v>0.47371999999999997</v>
      </c>
      <c r="T9" s="6">
        <v>-0.26590000000000003</v>
      </c>
      <c r="U9" s="6">
        <v>9.0589999999999993</v>
      </c>
      <c r="V9" s="6">
        <v>1</v>
      </c>
      <c r="W9" s="6">
        <v>1</v>
      </c>
      <c r="X9" s="6" t="s">
        <v>210</v>
      </c>
      <c r="Y9" s="6">
        <v>-9.0547681599999999E-2</v>
      </c>
      <c r="Z9" s="6">
        <v>8.0965824000000006E-2</v>
      </c>
      <c r="AA9" s="6">
        <v>-0.12569861299999999</v>
      </c>
      <c r="AC9">
        <f t="shared" si="0"/>
        <v>205.63438300000001</v>
      </c>
      <c r="AD9">
        <f t="shared" si="1"/>
        <v>-5.1879999999999997</v>
      </c>
      <c r="AE9">
        <f t="shared" si="2"/>
        <v>4.6390000000000002</v>
      </c>
      <c r="AF9">
        <f t="shared" si="3"/>
        <v>-7.202</v>
      </c>
      <c r="AG9">
        <f t="shared" si="4"/>
        <v>-44.006</v>
      </c>
    </row>
    <row r="10" spans="1:33" ht="18.95" customHeight="1">
      <c r="A10" s="4">
        <v>49679190</v>
      </c>
      <c r="B10" s="6">
        <v>0.32763438299999997</v>
      </c>
      <c r="C10" s="6">
        <v>0.114313526</v>
      </c>
      <c r="D10" s="6">
        <v>0.05</v>
      </c>
      <c r="E10" s="6">
        <v>-0.83699999999999997</v>
      </c>
      <c r="F10" s="6">
        <v>-0.56499999999999995</v>
      </c>
      <c r="G10" s="6">
        <v>-2.9910000000000001</v>
      </c>
      <c r="H10" s="6">
        <v>2.4409999999999998</v>
      </c>
      <c r="I10" s="6">
        <v>-3.9060000000000001</v>
      </c>
      <c r="J10" s="6">
        <v>-31.981000000000002</v>
      </c>
      <c r="K10" s="6">
        <v>-44.341000000000001</v>
      </c>
      <c r="L10" s="6">
        <v>-65.813999999999993</v>
      </c>
      <c r="M10" s="6">
        <v>-43.7</v>
      </c>
      <c r="N10" s="6">
        <v>-2</v>
      </c>
      <c r="O10" s="6">
        <v>17.8</v>
      </c>
      <c r="P10" s="6">
        <v>24.36</v>
      </c>
      <c r="Q10" s="6">
        <v>0.39240000000000003</v>
      </c>
      <c r="R10" s="6">
        <v>-0.74212999999999996</v>
      </c>
      <c r="S10" s="6">
        <v>0.47371999999999997</v>
      </c>
      <c r="T10" s="6">
        <v>-0.26590000000000003</v>
      </c>
      <c r="U10" s="6">
        <v>9.1809999999999992</v>
      </c>
      <c r="V10" s="6">
        <v>1</v>
      </c>
      <c r="W10" s="6">
        <v>1</v>
      </c>
      <c r="X10" s="6" t="s">
        <v>341</v>
      </c>
      <c r="Y10" s="6">
        <v>-5.22027979E-2</v>
      </c>
      <c r="Z10" s="6">
        <v>4.2603487000000002E-2</v>
      </c>
      <c r="AA10" s="6">
        <v>-6.8172560600000001E-2</v>
      </c>
      <c r="AC10">
        <f t="shared" si="0"/>
        <v>327.63438299999996</v>
      </c>
      <c r="AD10">
        <f t="shared" si="1"/>
        <v>-2.9910000000000001</v>
      </c>
      <c r="AE10">
        <f t="shared" si="2"/>
        <v>2.4409999999999998</v>
      </c>
      <c r="AF10">
        <f t="shared" si="3"/>
        <v>-3.9060000000000001</v>
      </c>
      <c r="AG10">
        <f t="shared" si="4"/>
        <v>-44.341000000000001</v>
      </c>
    </row>
    <row r="11" spans="1:33" ht="18.95" customHeight="1">
      <c r="A11" s="4">
        <v>49679250</v>
      </c>
      <c r="B11" s="6">
        <v>0.38763438300000003</v>
      </c>
      <c r="C11" s="6">
        <v>0.13524787199999999</v>
      </c>
      <c r="D11" s="6">
        <v>3.6999999999999998E-2</v>
      </c>
      <c r="E11" s="6">
        <v>-0.83699999999999997</v>
      </c>
      <c r="F11" s="6">
        <v>-0.56799999999999995</v>
      </c>
      <c r="G11" s="6">
        <v>1.587</v>
      </c>
      <c r="H11" s="6">
        <v>-2.319</v>
      </c>
      <c r="I11" s="6">
        <v>2.6859999999999999</v>
      </c>
      <c r="J11" s="6">
        <v>-31.998000000000001</v>
      </c>
      <c r="K11" s="6">
        <v>-44.396000000000001</v>
      </c>
      <c r="L11" s="6">
        <v>-65.819000000000003</v>
      </c>
      <c r="M11" s="6">
        <v>-43.7</v>
      </c>
      <c r="N11" s="6">
        <v>-2</v>
      </c>
      <c r="O11" s="6">
        <v>17.8</v>
      </c>
      <c r="P11" s="6">
        <v>24.36</v>
      </c>
      <c r="Q11" s="6">
        <v>0.39240000000000003</v>
      </c>
      <c r="R11" s="6">
        <v>-0.74212999999999996</v>
      </c>
      <c r="S11" s="6">
        <v>0.47371999999999997</v>
      </c>
      <c r="T11" s="6">
        <v>-0.26590000000000003</v>
      </c>
      <c r="U11" s="6">
        <v>9.2409999999999997</v>
      </c>
      <c r="V11" s="6">
        <v>1</v>
      </c>
      <c r="W11" s="6">
        <v>1</v>
      </c>
      <c r="X11" s="6" t="s">
        <v>213</v>
      </c>
      <c r="Y11" s="6">
        <v>2.76983752E-2</v>
      </c>
      <c r="Z11" s="6">
        <v>-4.0474185400000001E-2</v>
      </c>
      <c r="AA11" s="6">
        <v>4.6879543699999998E-2</v>
      </c>
      <c r="AC11">
        <f t="shared" si="0"/>
        <v>387.63438300000001</v>
      </c>
      <c r="AD11">
        <f t="shared" si="1"/>
        <v>1.587</v>
      </c>
      <c r="AE11">
        <f t="shared" si="2"/>
        <v>-2.319</v>
      </c>
      <c r="AF11">
        <f t="shared" si="3"/>
        <v>2.6859999999999999</v>
      </c>
      <c r="AG11">
        <f t="shared" si="4"/>
        <v>-44.396000000000001</v>
      </c>
    </row>
    <row r="12" spans="1:33" ht="18.95" customHeight="1">
      <c r="A12" s="4">
        <v>49679309</v>
      </c>
      <c r="B12" s="6">
        <v>0.44663438300000002</v>
      </c>
      <c r="C12" s="6">
        <v>0.155833312</v>
      </c>
      <c r="D12" s="6">
        <v>3.1E-2</v>
      </c>
      <c r="E12" s="6">
        <v>-0.84</v>
      </c>
      <c r="F12" s="6">
        <v>-0.56200000000000006</v>
      </c>
      <c r="G12" s="6">
        <v>5.859</v>
      </c>
      <c r="H12" s="6">
        <v>-6.8360000000000003</v>
      </c>
      <c r="I12" s="6">
        <v>9.3989999999999991</v>
      </c>
      <c r="J12" s="6">
        <v>-31.58</v>
      </c>
      <c r="K12" s="6">
        <v>-43.627000000000002</v>
      </c>
      <c r="L12" s="6">
        <v>-65.796999999999997</v>
      </c>
      <c r="M12" s="6">
        <v>-43.2</v>
      </c>
      <c r="N12" s="6">
        <v>-1.56</v>
      </c>
      <c r="O12" s="6">
        <v>17.3</v>
      </c>
      <c r="P12" s="6">
        <v>24.36</v>
      </c>
      <c r="Q12" s="6">
        <v>0.39240000000000003</v>
      </c>
      <c r="R12" s="6">
        <v>-0.74212999999999996</v>
      </c>
      <c r="S12" s="6">
        <v>0.47371999999999997</v>
      </c>
      <c r="T12" s="6">
        <v>-0.26590000000000003</v>
      </c>
      <c r="U12" s="6">
        <v>9.3000000000000007</v>
      </c>
      <c r="V12" s="6">
        <v>1</v>
      </c>
      <c r="W12" s="6">
        <v>1</v>
      </c>
      <c r="X12" s="6" t="s">
        <v>275</v>
      </c>
      <c r="Y12" s="6">
        <v>0.102258841</v>
      </c>
      <c r="Z12" s="6">
        <v>-0.119310708</v>
      </c>
      <c r="AA12" s="6">
        <v>0.16404349600000001</v>
      </c>
      <c r="AC12">
        <f t="shared" si="0"/>
        <v>446.63438300000001</v>
      </c>
      <c r="AD12">
        <f t="shared" si="1"/>
        <v>5.859</v>
      </c>
      <c r="AE12">
        <f t="shared" si="2"/>
        <v>-6.8360000000000003</v>
      </c>
      <c r="AF12">
        <f t="shared" si="3"/>
        <v>9.3989999999999991</v>
      </c>
      <c r="AG12">
        <f t="shared" si="4"/>
        <v>-43.627000000000002</v>
      </c>
    </row>
    <row r="13" spans="1:33" ht="18.95" customHeight="1">
      <c r="A13" s="4">
        <v>49679399</v>
      </c>
      <c r="B13" s="6">
        <v>0.53663438299999999</v>
      </c>
      <c r="C13" s="6">
        <v>0.18723483099999999</v>
      </c>
      <c r="D13" s="6">
        <v>5.0000000000000001E-3</v>
      </c>
      <c r="E13" s="6">
        <v>-0.84799999999999998</v>
      </c>
      <c r="F13" s="6">
        <v>-0.56399999999999995</v>
      </c>
      <c r="G13" s="6">
        <v>8.1790000000000003</v>
      </c>
      <c r="H13" s="6">
        <v>-9.2769999999999992</v>
      </c>
      <c r="I13" s="6">
        <v>12.939</v>
      </c>
      <c r="J13" s="6">
        <v>-31.207000000000001</v>
      </c>
      <c r="K13" s="6">
        <v>-42.951000000000001</v>
      </c>
      <c r="L13" s="6">
        <v>-65.781000000000006</v>
      </c>
      <c r="M13" s="6">
        <v>-43.2</v>
      </c>
      <c r="N13" s="6">
        <v>-1.56</v>
      </c>
      <c r="O13" s="6">
        <v>17.3</v>
      </c>
      <c r="P13" s="6">
        <v>24.36</v>
      </c>
      <c r="Q13" s="6">
        <v>0.40570000000000001</v>
      </c>
      <c r="R13" s="6">
        <v>-0.73526000000000002</v>
      </c>
      <c r="S13" s="6">
        <v>0.47722999999999999</v>
      </c>
      <c r="T13" s="6">
        <v>-0.25873000000000002</v>
      </c>
      <c r="U13" s="6">
        <v>9.39</v>
      </c>
      <c r="V13" s="6">
        <v>1</v>
      </c>
      <c r="W13" s="6">
        <v>1</v>
      </c>
      <c r="X13" s="6" t="s">
        <v>217</v>
      </c>
      <c r="Y13" s="6">
        <v>0.14275048000000001</v>
      </c>
      <c r="Z13" s="6">
        <v>-0.16191419500000001</v>
      </c>
      <c r="AA13" s="6">
        <v>0.225828152</v>
      </c>
      <c r="AC13">
        <f t="shared" si="0"/>
        <v>536.63438299999996</v>
      </c>
      <c r="AD13">
        <f t="shared" si="1"/>
        <v>8.1790000000000003</v>
      </c>
      <c r="AE13">
        <f t="shared" si="2"/>
        <v>-9.2769999999999992</v>
      </c>
      <c r="AF13">
        <f t="shared" si="3"/>
        <v>12.939</v>
      </c>
      <c r="AG13">
        <f t="shared" si="4"/>
        <v>-42.951000000000001</v>
      </c>
    </row>
    <row r="14" spans="1:33" ht="18.95" customHeight="1">
      <c r="A14" s="4">
        <v>49679489</v>
      </c>
      <c r="B14" s="6">
        <v>0.62663438299999996</v>
      </c>
      <c r="C14" s="6">
        <v>0.21863635000000001</v>
      </c>
      <c r="D14" s="6">
        <v>-2.5000000000000001E-2</v>
      </c>
      <c r="E14" s="6">
        <v>-0.84599999999999997</v>
      </c>
      <c r="F14" s="6">
        <v>-0.54600000000000004</v>
      </c>
      <c r="G14" s="6">
        <v>10.071</v>
      </c>
      <c r="H14" s="6">
        <v>-11.414</v>
      </c>
      <c r="I14" s="6">
        <v>15.625</v>
      </c>
      <c r="J14" s="6">
        <v>-30.722999999999999</v>
      </c>
      <c r="K14" s="6">
        <v>-42.078000000000003</v>
      </c>
      <c r="L14" s="6">
        <v>-65.748000000000005</v>
      </c>
      <c r="M14" s="6">
        <v>-43.2</v>
      </c>
      <c r="N14" s="6">
        <v>-1.56</v>
      </c>
      <c r="O14" s="6">
        <v>17.3</v>
      </c>
      <c r="P14" s="6">
        <v>24.36</v>
      </c>
      <c r="Q14" s="6">
        <v>0.40570000000000001</v>
      </c>
      <c r="R14" s="6">
        <v>-0.73526000000000002</v>
      </c>
      <c r="S14" s="6">
        <v>0.47722999999999999</v>
      </c>
      <c r="T14" s="6">
        <v>-0.25873000000000002</v>
      </c>
      <c r="U14" s="6">
        <v>9.48</v>
      </c>
      <c r="V14" s="6">
        <v>1</v>
      </c>
      <c r="W14" s="6">
        <v>1</v>
      </c>
      <c r="X14" s="6" t="s">
        <v>219</v>
      </c>
      <c r="Y14" s="6">
        <v>0.17577210900000001</v>
      </c>
      <c r="Z14" s="6">
        <v>-0.19921188100000001</v>
      </c>
      <c r="AA14" s="6">
        <v>0.272707696</v>
      </c>
      <c r="AC14">
        <f t="shared" si="0"/>
        <v>626.63438299999996</v>
      </c>
      <c r="AD14">
        <f t="shared" si="1"/>
        <v>10.071</v>
      </c>
      <c r="AE14">
        <f t="shared" si="2"/>
        <v>-11.414</v>
      </c>
      <c r="AF14">
        <f t="shared" si="3"/>
        <v>15.625</v>
      </c>
      <c r="AG14">
        <f t="shared" si="4"/>
        <v>-42.078000000000003</v>
      </c>
    </row>
    <row r="15" spans="1:33" ht="18.95" customHeight="1">
      <c r="A15" s="4">
        <v>49679609</v>
      </c>
      <c r="B15" s="6">
        <v>0.74663438299999996</v>
      </c>
      <c r="C15" s="6">
        <v>0.26050504200000002</v>
      </c>
      <c r="D15" s="6">
        <v>-6.9000000000000006E-2</v>
      </c>
      <c r="E15" s="6">
        <v>-0.85599999999999998</v>
      </c>
      <c r="F15" s="6">
        <v>-0.53600000000000003</v>
      </c>
      <c r="G15" s="6">
        <v>13.611000000000001</v>
      </c>
      <c r="H15" s="6">
        <v>-15.198</v>
      </c>
      <c r="I15" s="6">
        <v>21.178999999999998</v>
      </c>
      <c r="J15" s="6">
        <v>-29.481999999999999</v>
      </c>
      <c r="K15" s="6">
        <v>-39.792000000000002</v>
      </c>
      <c r="L15" s="6">
        <v>-65.620999999999995</v>
      </c>
      <c r="M15" s="6">
        <v>-38.200000000000003</v>
      </c>
      <c r="N15" s="6">
        <v>1.093</v>
      </c>
      <c r="O15" s="6">
        <v>23.1</v>
      </c>
      <c r="P15" s="6">
        <v>24.36</v>
      </c>
      <c r="Q15" s="6">
        <v>0.40570000000000001</v>
      </c>
      <c r="R15" s="6">
        <v>-0.73526000000000002</v>
      </c>
      <c r="S15" s="6">
        <v>0.47722999999999999</v>
      </c>
      <c r="T15" s="6">
        <v>-0.25873000000000002</v>
      </c>
      <c r="U15" s="6">
        <v>9.6</v>
      </c>
      <c r="V15" s="6">
        <v>1</v>
      </c>
      <c r="W15" s="6">
        <v>1</v>
      </c>
      <c r="X15" s="6" t="s">
        <v>281</v>
      </c>
      <c r="Y15" s="6">
        <v>0.237556764</v>
      </c>
      <c r="Z15" s="6">
        <v>-0.26525514</v>
      </c>
      <c r="AA15" s="6">
        <v>0.36964328200000002</v>
      </c>
      <c r="AC15">
        <f t="shared" si="0"/>
        <v>746.63438299999996</v>
      </c>
      <c r="AD15">
        <f t="shared" si="1"/>
        <v>13.611000000000001</v>
      </c>
      <c r="AE15">
        <f t="shared" si="2"/>
        <v>-15.198</v>
      </c>
      <c r="AF15">
        <f t="shared" si="3"/>
        <v>21.178999999999998</v>
      </c>
      <c r="AG15">
        <f t="shared" si="4"/>
        <v>-39.792000000000002</v>
      </c>
    </row>
    <row r="16" spans="1:33" ht="18.95" customHeight="1">
      <c r="A16" s="4">
        <v>49679668</v>
      </c>
      <c r="B16" s="6">
        <v>0.80563438300000001</v>
      </c>
      <c r="C16" s="6">
        <v>0.281090483</v>
      </c>
      <c r="D16" s="6">
        <v>-0.14199999999999999</v>
      </c>
      <c r="E16" s="6">
        <v>-0.872</v>
      </c>
      <c r="F16" s="6">
        <v>-0.51</v>
      </c>
      <c r="G16" s="6">
        <v>17.577999999999999</v>
      </c>
      <c r="H16" s="6">
        <v>-19.103999999999999</v>
      </c>
      <c r="I16" s="6">
        <v>27.405000000000001</v>
      </c>
      <c r="J16" s="6">
        <v>-27.867000000000001</v>
      </c>
      <c r="K16" s="6">
        <v>-36.859000000000002</v>
      </c>
      <c r="L16" s="6">
        <v>-65.391000000000005</v>
      </c>
      <c r="M16" s="6">
        <v>-38.200000000000003</v>
      </c>
      <c r="N16" s="6">
        <v>1.093</v>
      </c>
      <c r="O16" s="6">
        <v>23.1</v>
      </c>
      <c r="P16" s="6">
        <v>24.36</v>
      </c>
      <c r="Q16" s="6">
        <v>0.46176</v>
      </c>
      <c r="R16" s="6">
        <v>-0.70325000000000004</v>
      </c>
      <c r="S16" s="6">
        <v>0.49091000000000001</v>
      </c>
      <c r="T16" s="6">
        <v>-0.22614000000000001</v>
      </c>
      <c r="U16" s="6">
        <v>9.6590000000000007</v>
      </c>
      <c r="V16" s="6">
        <v>1</v>
      </c>
      <c r="W16" s="6">
        <v>1</v>
      </c>
      <c r="X16" s="6" t="s">
        <v>282</v>
      </c>
      <c r="Y16" s="6">
        <v>0.30679397600000002</v>
      </c>
      <c r="Z16" s="6">
        <v>-0.33342769999999999</v>
      </c>
      <c r="AA16" s="6">
        <v>0.47830748200000001</v>
      </c>
      <c r="AC16">
        <f t="shared" si="0"/>
        <v>805.63438299999996</v>
      </c>
      <c r="AD16">
        <f t="shared" si="1"/>
        <v>17.577999999999999</v>
      </c>
      <c r="AE16">
        <f t="shared" si="2"/>
        <v>-19.103999999999999</v>
      </c>
      <c r="AF16">
        <f t="shared" si="3"/>
        <v>27.405000000000001</v>
      </c>
      <c r="AG16">
        <f t="shared" si="4"/>
        <v>-36.859000000000002</v>
      </c>
    </row>
    <row r="17" spans="1:33" ht="18.95" customHeight="1">
      <c r="A17" s="4">
        <v>49679789</v>
      </c>
      <c r="B17" s="6">
        <v>0.92663438300000001</v>
      </c>
      <c r="C17" s="6">
        <v>0.32330808100000002</v>
      </c>
      <c r="D17" s="6">
        <v>-0.21299999999999999</v>
      </c>
      <c r="E17" s="6">
        <v>-0.86799999999999999</v>
      </c>
      <c r="F17" s="6">
        <v>-0.46400000000000002</v>
      </c>
      <c r="G17" s="6">
        <v>21.422999999999998</v>
      </c>
      <c r="H17" s="6">
        <v>-23.376000000000001</v>
      </c>
      <c r="I17" s="6">
        <v>33.081000000000003</v>
      </c>
      <c r="J17" s="6">
        <v>-25.829000000000001</v>
      </c>
      <c r="K17" s="6">
        <v>-33.238999999999997</v>
      </c>
      <c r="L17" s="6">
        <v>-64.978999999999999</v>
      </c>
      <c r="M17" s="6">
        <v>-38.200000000000003</v>
      </c>
      <c r="N17" s="6">
        <v>1.093</v>
      </c>
      <c r="O17" s="6">
        <v>23.1</v>
      </c>
      <c r="P17" s="6">
        <v>24.36</v>
      </c>
      <c r="Q17" s="6">
        <v>0.46176</v>
      </c>
      <c r="R17" s="6">
        <v>-0.70325000000000004</v>
      </c>
      <c r="S17" s="6">
        <v>0.49091000000000001</v>
      </c>
      <c r="T17" s="6">
        <v>-0.22614000000000001</v>
      </c>
      <c r="U17" s="6">
        <v>9.7799999999999994</v>
      </c>
      <c r="V17" s="6">
        <v>1</v>
      </c>
      <c r="W17" s="6">
        <v>1</v>
      </c>
      <c r="X17" s="6" t="s">
        <v>226</v>
      </c>
      <c r="Y17" s="6">
        <v>0.37390188600000002</v>
      </c>
      <c r="Z17" s="6">
        <v>-0.40798816599999999</v>
      </c>
      <c r="AA17" s="6">
        <v>0.57737236999999997</v>
      </c>
      <c r="AC17">
        <f t="shared" si="0"/>
        <v>926.63438299999996</v>
      </c>
      <c r="AD17">
        <f t="shared" si="1"/>
        <v>21.422999999999998</v>
      </c>
      <c r="AE17">
        <f t="shared" si="2"/>
        <v>-23.376000000000001</v>
      </c>
      <c r="AF17">
        <f t="shared" si="3"/>
        <v>33.081000000000003</v>
      </c>
      <c r="AG17">
        <f t="shared" si="4"/>
        <v>-33.238999999999997</v>
      </c>
    </row>
    <row r="18" spans="1:33" ht="18.95" customHeight="1">
      <c r="A18" s="4">
        <v>49679879</v>
      </c>
      <c r="B18" s="6">
        <v>1.0166343799999999</v>
      </c>
      <c r="C18" s="6">
        <v>0.35470960000000001</v>
      </c>
      <c r="D18" s="6">
        <v>-0.29099999999999998</v>
      </c>
      <c r="E18" s="6">
        <v>-0.873</v>
      </c>
      <c r="F18" s="6">
        <v>-0.42299999999999999</v>
      </c>
      <c r="G18" s="6">
        <v>25.757000000000001</v>
      </c>
      <c r="H18" s="6">
        <v>-27.893000000000001</v>
      </c>
      <c r="I18" s="6">
        <v>39.551000000000002</v>
      </c>
      <c r="J18" s="6">
        <v>-23.263999999999999</v>
      </c>
      <c r="K18" s="6">
        <v>-28.812000000000001</v>
      </c>
      <c r="L18" s="6">
        <v>-64.286000000000001</v>
      </c>
      <c r="M18" s="6">
        <v>-29.1</v>
      </c>
      <c r="N18" s="6">
        <v>-0.307</v>
      </c>
      <c r="O18" s="6">
        <v>30.3</v>
      </c>
      <c r="P18" s="6">
        <v>24.36</v>
      </c>
      <c r="Q18" s="6">
        <v>0.46176</v>
      </c>
      <c r="R18" s="6">
        <v>-0.70325000000000004</v>
      </c>
      <c r="S18" s="6">
        <v>0.49091000000000001</v>
      </c>
      <c r="T18" s="6">
        <v>-0.22614000000000001</v>
      </c>
      <c r="U18" s="6">
        <v>9.8699999999999992</v>
      </c>
      <c r="V18" s="6">
        <v>1</v>
      </c>
      <c r="W18" s="6">
        <v>1</v>
      </c>
      <c r="X18" s="6" t="s">
        <v>229</v>
      </c>
      <c r="Y18" s="6">
        <v>0.44954445500000001</v>
      </c>
      <c r="Z18" s="6">
        <v>-0.48682468800000001</v>
      </c>
      <c r="AA18" s="6">
        <v>0.69029517200000001</v>
      </c>
      <c r="AC18">
        <f t="shared" si="0"/>
        <v>1016.63438</v>
      </c>
      <c r="AD18">
        <f t="shared" si="1"/>
        <v>25.757000000000001</v>
      </c>
      <c r="AE18">
        <f t="shared" si="2"/>
        <v>-27.893000000000001</v>
      </c>
      <c r="AF18">
        <f t="shared" si="3"/>
        <v>39.551000000000002</v>
      </c>
      <c r="AG18">
        <f t="shared" si="4"/>
        <v>-28.812000000000001</v>
      </c>
    </row>
    <row r="19" spans="1:33" ht="18.95" customHeight="1">
      <c r="A19" s="4">
        <v>49679999</v>
      </c>
      <c r="B19" s="6">
        <v>1.1366343800000001</v>
      </c>
      <c r="C19" s="6">
        <v>0.396578292</v>
      </c>
      <c r="D19" s="6">
        <v>-0.38500000000000001</v>
      </c>
      <c r="E19" s="6">
        <v>-0.872</v>
      </c>
      <c r="F19" s="6">
        <v>-0.36599999999999999</v>
      </c>
      <c r="G19" s="6">
        <v>29.663</v>
      </c>
      <c r="H19" s="6">
        <v>-31.86</v>
      </c>
      <c r="I19" s="6">
        <v>45.776000000000003</v>
      </c>
      <c r="J19" s="6">
        <v>-20.138000000000002</v>
      </c>
      <c r="K19" s="6">
        <v>-23.713999999999999</v>
      </c>
      <c r="L19" s="6">
        <v>-63.198999999999998</v>
      </c>
      <c r="M19" s="6">
        <v>-29.1</v>
      </c>
      <c r="N19" s="6">
        <v>-0.307</v>
      </c>
      <c r="O19" s="6">
        <v>30.3</v>
      </c>
      <c r="P19" s="6">
        <v>24.36</v>
      </c>
      <c r="Q19" s="6">
        <v>0.57403999999999999</v>
      </c>
      <c r="R19" s="6">
        <v>-0.62128000000000005</v>
      </c>
      <c r="S19" s="6">
        <v>0.51132</v>
      </c>
      <c r="T19" s="6">
        <v>-0.15134</v>
      </c>
      <c r="U19" s="6">
        <v>9.99</v>
      </c>
      <c r="V19" s="6">
        <v>1</v>
      </c>
      <c r="W19" s="6">
        <v>1</v>
      </c>
      <c r="X19" s="6" t="s">
        <v>342</v>
      </c>
      <c r="Y19" s="6">
        <v>0.51771701599999997</v>
      </c>
      <c r="Z19" s="6">
        <v>-0.5560619</v>
      </c>
      <c r="AA19" s="6">
        <v>0.79894191800000003</v>
      </c>
      <c r="AC19">
        <f t="shared" si="0"/>
        <v>1136.63438</v>
      </c>
      <c r="AD19">
        <f t="shared" si="1"/>
        <v>29.663</v>
      </c>
      <c r="AE19">
        <f t="shared" si="2"/>
        <v>-31.86</v>
      </c>
      <c r="AF19">
        <f t="shared" si="3"/>
        <v>45.776000000000003</v>
      </c>
      <c r="AG19">
        <f t="shared" si="4"/>
        <v>-23.713999999999999</v>
      </c>
    </row>
    <row r="20" spans="1:33" ht="18.95" customHeight="1">
      <c r="A20" s="4">
        <v>49680089</v>
      </c>
      <c r="B20" s="6">
        <v>1.2266343799999999</v>
      </c>
      <c r="C20" s="6">
        <v>0.42797981099999999</v>
      </c>
      <c r="D20" s="6">
        <v>-0.48399999999999999</v>
      </c>
      <c r="E20" s="6">
        <v>-0.85299999999999998</v>
      </c>
      <c r="F20" s="6">
        <v>-0.29099999999999998</v>
      </c>
      <c r="G20" s="6">
        <v>32.593000000000004</v>
      </c>
      <c r="H20" s="6">
        <v>-34.850999999999999</v>
      </c>
      <c r="I20" s="6">
        <v>50.170999999999999</v>
      </c>
      <c r="J20" s="6">
        <v>-16.375</v>
      </c>
      <c r="K20" s="6">
        <v>-18.067</v>
      </c>
      <c r="L20" s="6">
        <v>-61.573</v>
      </c>
      <c r="M20" s="6">
        <v>-29.1</v>
      </c>
      <c r="N20" s="6">
        <v>-0.307</v>
      </c>
      <c r="O20" s="6">
        <v>30.3</v>
      </c>
      <c r="P20" s="6">
        <v>24.36</v>
      </c>
      <c r="Q20" s="6">
        <v>0.57403999999999999</v>
      </c>
      <c r="R20" s="6">
        <v>-0.62128000000000005</v>
      </c>
      <c r="S20" s="6">
        <v>0.51132</v>
      </c>
      <c r="T20" s="6">
        <v>-0.15134</v>
      </c>
      <c r="U20" s="6">
        <v>10.08</v>
      </c>
      <c r="V20" s="6">
        <v>1</v>
      </c>
      <c r="W20" s="6">
        <v>1</v>
      </c>
      <c r="X20" s="6" t="s">
        <v>343</v>
      </c>
      <c r="Y20" s="6">
        <v>0.56885516300000005</v>
      </c>
      <c r="Z20" s="6">
        <v>-0.60826469800000005</v>
      </c>
      <c r="AA20" s="6">
        <v>0.87564913899999997</v>
      </c>
      <c r="AC20">
        <f t="shared" si="0"/>
        <v>1226.63438</v>
      </c>
      <c r="AD20">
        <f t="shared" si="1"/>
        <v>32.593000000000004</v>
      </c>
      <c r="AE20">
        <f t="shared" si="2"/>
        <v>-34.850999999999999</v>
      </c>
      <c r="AF20">
        <f t="shared" si="3"/>
        <v>50.170999999999999</v>
      </c>
      <c r="AG20">
        <f t="shared" si="4"/>
        <v>-18.067</v>
      </c>
    </row>
    <row r="21" spans="1:33" ht="18.95" customHeight="1">
      <c r="A21" s="4">
        <v>49680209</v>
      </c>
      <c r="B21" s="6">
        <v>1.34663438</v>
      </c>
      <c r="C21" s="6">
        <v>0.46984850299999997</v>
      </c>
      <c r="D21" s="6">
        <v>-0.58699999999999997</v>
      </c>
      <c r="E21" s="6">
        <v>-0.81599999999999995</v>
      </c>
      <c r="F21" s="6">
        <v>-0.20399999999999999</v>
      </c>
      <c r="G21" s="6">
        <v>35.706000000000003</v>
      </c>
      <c r="H21" s="6">
        <v>-38.268999999999998</v>
      </c>
      <c r="I21" s="6">
        <v>54.871000000000002</v>
      </c>
      <c r="J21" s="6">
        <v>-11.782999999999999</v>
      </c>
      <c r="K21" s="6">
        <v>-11.97</v>
      </c>
      <c r="L21" s="6">
        <v>-59.189</v>
      </c>
      <c r="M21" s="6">
        <v>-14</v>
      </c>
      <c r="N21" s="6">
        <v>2.6930000000000001</v>
      </c>
      <c r="O21" s="6">
        <v>33.799999999999997</v>
      </c>
      <c r="P21" s="6">
        <v>24.36</v>
      </c>
      <c r="Q21" s="6">
        <v>0.57403999999999999</v>
      </c>
      <c r="R21" s="6">
        <v>-0.62128000000000005</v>
      </c>
      <c r="S21" s="6">
        <v>0.51132</v>
      </c>
      <c r="T21" s="6">
        <v>-0.15134</v>
      </c>
      <c r="U21" s="6">
        <v>10.199999999999999</v>
      </c>
      <c r="V21" s="6">
        <v>1</v>
      </c>
      <c r="W21" s="6">
        <v>1</v>
      </c>
      <c r="X21" s="6" t="s">
        <v>344</v>
      </c>
      <c r="Y21" s="6">
        <v>0.62318726300000005</v>
      </c>
      <c r="Z21" s="6">
        <v>-0.66792005099999996</v>
      </c>
      <c r="AA21" s="6">
        <v>0.95767961400000001</v>
      </c>
      <c r="AC21">
        <f t="shared" si="0"/>
        <v>1346.63438</v>
      </c>
      <c r="AD21">
        <f t="shared" si="1"/>
        <v>35.706000000000003</v>
      </c>
      <c r="AE21">
        <f t="shared" si="2"/>
        <v>-38.268999999999998</v>
      </c>
      <c r="AF21">
        <f t="shared" si="3"/>
        <v>54.871000000000002</v>
      </c>
      <c r="AG21">
        <f t="shared" si="4"/>
        <v>-11.97</v>
      </c>
    </row>
    <row r="22" spans="1:33" ht="18.95" customHeight="1">
      <c r="A22" s="4">
        <v>49680298</v>
      </c>
      <c r="B22" s="6">
        <v>1.43563438</v>
      </c>
      <c r="C22" s="6">
        <v>0.50090111599999998</v>
      </c>
      <c r="D22" s="6">
        <v>-0.67900000000000005</v>
      </c>
      <c r="E22" s="6">
        <v>-0.76200000000000001</v>
      </c>
      <c r="F22" s="6">
        <v>-9.6000000000000002E-2</v>
      </c>
      <c r="G22" s="6">
        <v>35.338999999999999</v>
      </c>
      <c r="H22" s="6">
        <v>-37.902999999999999</v>
      </c>
      <c r="I22" s="6">
        <v>54.749000000000002</v>
      </c>
      <c r="J22" s="6">
        <v>-6.2789999999999999</v>
      </c>
      <c r="K22" s="6">
        <v>-5.7949999999999999</v>
      </c>
      <c r="L22" s="6">
        <v>-55.848999999999997</v>
      </c>
      <c r="M22" s="6">
        <v>-14</v>
      </c>
      <c r="N22" s="6">
        <v>2.6930000000000001</v>
      </c>
      <c r="O22" s="6">
        <v>33.799999999999997</v>
      </c>
      <c r="P22" s="6">
        <v>24.36</v>
      </c>
      <c r="Q22" s="6">
        <v>0.68066000000000004</v>
      </c>
      <c r="R22" s="6">
        <v>-0.51288</v>
      </c>
      <c r="S22" s="6">
        <v>0.51903999999999995</v>
      </c>
      <c r="T22" s="6">
        <v>-6.4269999999999994E-2</v>
      </c>
      <c r="U22" s="6">
        <v>10.289</v>
      </c>
      <c r="V22" s="6">
        <v>1</v>
      </c>
      <c r="W22" s="6">
        <v>1</v>
      </c>
      <c r="X22" s="6" t="s">
        <v>345</v>
      </c>
      <c r="Y22" s="6">
        <v>0.61678190399999999</v>
      </c>
      <c r="Z22" s="6">
        <v>-0.66153214599999999</v>
      </c>
      <c r="AA22" s="6">
        <v>0.95555031199999996</v>
      </c>
      <c r="AC22">
        <f t="shared" si="0"/>
        <v>1435.63438</v>
      </c>
      <c r="AD22">
        <f t="shared" si="1"/>
        <v>35.338999999999999</v>
      </c>
      <c r="AE22">
        <f t="shared" si="2"/>
        <v>-37.902999999999999</v>
      </c>
      <c r="AF22">
        <f t="shared" si="3"/>
        <v>54.749000000000002</v>
      </c>
      <c r="AG22">
        <f t="shared" si="4"/>
        <v>-5.7949999999999999</v>
      </c>
    </row>
    <row r="23" spans="1:33" ht="18.95" customHeight="1">
      <c r="A23" s="4">
        <v>49680419</v>
      </c>
      <c r="B23" s="6">
        <v>1.55663438</v>
      </c>
      <c r="C23" s="6">
        <v>0.543118714</v>
      </c>
      <c r="D23" s="6">
        <v>-0.77200000000000002</v>
      </c>
      <c r="E23" s="6">
        <v>-0.70499999999999996</v>
      </c>
      <c r="F23" s="6">
        <v>-3.0000000000000001E-3</v>
      </c>
      <c r="G23" s="6">
        <v>30.701000000000001</v>
      </c>
      <c r="H23" s="6">
        <v>-32.593000000000004</v>
      </c>
      <c r="I23" s="6">
        <v>46.875</v>
      </c>
      <c r="J23" s="6">
        <v>-0.26900000000000002</v>
      </c>
      <c r="K23" s="6">
        <v>-0.32400000000000001</v>
      </c>
      <c r="L23" s="6">
        <v>-51.750999999999998</v>
      </c>
      <c r="M23" s="6">
        <v>-14</v>
      </c>
      <c r="N23" s="6">
        <v>2.6930000000000001</v>
      </c>
      <c r="O23" s="6">
        <v>33.799999999999997</v>
      </c>
      <c r="P23" s="6">
        <v>24.36</v>
      </c>
      <c r="Q23" s="6">
        <v>0.68066000000000004</v>
      </c>
      <c r="R23" s="6">
        <v>-0.51288</v>
      </c>
      <c r="S23" s="6">
        <v>0.51903999999999995</v>
      </c>
      <c r="T23" s="6">
        <v>-6.4269999999999994E-2</v>
      </c>
      <c r="U23" s="6">
        <v>10.41</v>
      </c>
      <c r="V23" s="6">
        <v>1</v>
      </c>
      <c r="W23" s="6">
        <v>1</v>
      </c>
      <c r="X23" s="6" t="s">
        <v>346</v>
      </c>
      <c r="Y23" s="6">
        <v>0.535833534</v>
      </c>
      <c r="Z23" s="6">
        <v>-0.56885516300000005</v>
      </c>
      <c r="AA23" s="6">
        <v>0.81812308700000003</v>
      </c>
      <c r="AC23">
        <f t="shared" si="0"/>
        <v>1556.63438</v>
      </c>
      <c r="AD23">
        <f t="shared" si="1"/>
        <v>30.701000000000001</v>
      </c>
      <c r="AE23">
        <f t="shared" si="2"/>
        <v>-32.593000000000004</v>
      </c>
      <c r="AF23">
        <f t="shared" si="3"/>
        <v>46.875</v>
      </c>
      <c r="AG23">
        <f t="shared" si="4"/>
        <v>-0.32400000000000001</v>
      </c>
    </row>
    <row r="24" spans="1:33" ht="18.95" customHeight="1">
      <c r="A24" s="4">
        <v>49680449</v>
      </c>
      <c r="B24" s="6">
        <v>1.58663438</v>
      </c>
      <c r="C24" s="6">
        <v>0.553585887</v>
      </c>
      <c r="D24" s="6">
        <v>-0.78800000000000003</v>
      </c>
      <c r="E24" s="6">
        <v>-0.64600000000000002</v>
      </c>
      <c r="F24" s="6">
        <v>0.106</v>
      </c>
      <c r="G24" s="6">
        <v>17.09</v>
      </c>
      <c r="H24" s="6">
        <v>-18.616</v>
      </c>
      <c r="I24" s="6">
        <v>26.917000000000002</v>
      </c>
      <c r="J24" s="6">
        <v>4.6859999999999999</v>
      </c>
      <c r="K24" s="6">
        <v>3.3450000000000002</v>
      </c>
      <c r="L24" s="6">
        <v>-48.097999999999999</v>
      </c>
      <c r="M24" s="6">
        <v>-14</v>
      </c>
      <c r="N24" s="6">
        <v>2.6930000000000001</v>
      </c>
      <c r="O24" s="6">
        <v>33.799999999999997</v>
      </c>
      <c r="P24" s="6">
        <v>24.36</v>
      </c>
      <c r="Q24" s="6">
        <v>0.68066000000000004</v>
      </c>
      <c r="R24" s="6">
        <v>-0.51288</v>
      </c>
      <c r="S24" s="6">
        <v>0.51903999999999995</v>
      </c>
      <c r="T24" s="6">
        <v>-6.4269999999999994E-2</v>
      </c>
      <c r="U24" s="6">
        <v>10.44</v>
      </c>
      <c r="V24" s="6">
        <v>1</v>
      </c>
      <c r="W24" s="6">
        <v>1</v>
      </c>
      <c r="X24" s="6" t="s">
        <v>347</v>
      </c>
      <c r="Y24" s="6">
        <v>0.298276769</v>
      </c>
      <c r="Z24" s="6">
        <v>-0.32491049399999999</v>
      </c>
      <c r="AA24" s="6">
        <v>0.46979027499999998</v>
      </c>
      <c r="AC24">
        <f t="shared" si="0"/>
        <v>1586.63438</v>
      </c>
      <c r="AD24">
        <f t="shared" si="1"/>
        <v>17.09</v>
      </c>
      <c r="AE24">
        <f t="shared" si="2"/>
        <v>-18.616</v>
      </c>
      <c r="AF24">
        <f t="shared" si="3"/>
        <v>26.917000000000002</v>
      </c>
      <c r="AG24">
        <f t="shared" si="4"/>
        <v>3.3450000000000002</v>
      </c>
    </row>
    <row r="25" spans="1:33" ht="18.95" customHeight="1">
      <c r="A25" s="4">
        <v>49680539</v>
      </c>
      <c r="B25" s="6">
        <v>1.6766343800000001</v>
      </c>
      <c r="C25" s="6">
        <v>0.58498740599999999</v>
      </c>
      <c r="D25" s="6">
        <v>-0.78600000000000003</v>
      </c>
      <c r="E25" s="6">
        <v>-0.63400000000000001</v>
      </c>
      <c r="F25" s="6">
        <v>0.11700000000000001</v>
      </c>
      <c r="G25" s="6">
        <v>3.052</v>
      </c>
      <c r="H25" s="6">
        <v>-3.7839999999999998</v>
      </c>
      <c r="I25" s="6">
        <v>5.1269999999999998</v>
      </c>
      <c r="J25" s="6">
        <v>7.0039999999999996</v>
      </c>
      <c r="K25" s="6">
        <v>4.8449999999999998</v>
      </c>
      <c r="L25" s="6">
        <v>-46.295999999999999</v>
      </c>
      <c r="M25" s="6">
        <v>-5.9</v>
      </c>
      <c r="N25" s="6">
        <v>6.0129999999999999</v>
      </c>
      <c r="O25" s="6">
        <v>35.799999999999997</v>
      </c>
      <c r="P25" s="6">
        <v>24.36</v>
      </c>
      <c r="Q25" s="6">
        <v>0.68066000000000004</v>
      </c>
      <c r="R25" s="6">
        <v>-0.51288</v>
      </c>
      <c r="S25" s="6">
        <v>0.51903999999999995</v>
      </c>
      <c r="T25" s="6">
        <v>-6.4269999999999994E-2</v>
      </c>
      <c r="U25" s="6">
        <v>10.53</v>
      </c>
      <c r="V25" s="6">
        <v>1</v>
      </c>
      <c r="W25" s="6">
        <v>1</v>
      </c>
      <c r="X25" s="6" t="s">
        <v>348</v>
      </c>
      <c r="Y25" s="6">
        <v>5.3267448799999999E-2</v>
      </c>
      <c r="Z25" s="6">
        <v>-6.6043258899999999E-2</v>
      </c>
      <c r="AA25" s="6">
        <v>8.9483030699999994E-2</v>
      </c>
      <c r="AC25">
        <f t="shared" si="0"/>
        <v>1676.6343800000002</v>
      </c>
      <c r="AD25">
        <f t="shared" si="1"/>
        <v>3.052</v>
      </c>
      <c r="AE25">
        <f t="shared" si="2"/>
        <v>-3.7839999999999998</v>
      </c>
      <c r="AF25">
        <f t="shared" si="3"/>
        <v>5.1269999999999998</v>
      </c>
      <c r="AG25">
        <f t="shared" si="4"/>
        <v>4.8449999999999998</v>
      </c>
    </row>
    <row r="26" spans="1:33" ht="18.95" customHeight="1">
      <c r="A26" s="4">
        <v>49680599</v>
      </c>
      <c r="B26" s="6">
        <v>1.7366343799999999</v>
      </c>
      <c r="C26" s="6">
        <v>0.60592175199999998</v>
      </c>
      <c r="D26" s="6">
        <v>-0.76900000000000002</v>
      </c>
      <c r="E26" s="6">
        <v>-0.63800000000000001</v>
      </c>
      <c r="F26" s="6">
        <v>0.122</v>
      </c>
      <c r="G26" s="6">
        <v>-3.1739999999999999</v>
      </c>
      <c r="H26" s="6">
        <v>3.052</v>
      </c>
      <c r="I26" s="6">
        <v>-4.0890000000000004</v>
      </c>
      <c r="J26" s="6">
        <v>7.0259999999999998</v>
      </c>
      <c r="K26" s="6">
        <v>4.8559999999999999</v>
      </c>
      <c r="L26" s="6">
        <v>-46.268999999999998</v>
      </c>
      <c r="M26" s="6">
        <v>-5.9</v>
      </c>
      <c r="N26" s="6">
        <v>6.0129999999999999</v>
      </c>
      <c r="O26" s="6">
        <v>35.799999999999997</v>
      </c>
      <c r="P26" s="6">
        <v>24.36</v>
      </c>
      <c r="Q26" s="6">
        <v>0.72811999999999999</v>
      </c>
      <c r="R26" s="6">
        <v>-0.45019999999999999</v>
      </c>
      <c r="S26" s="6">
        <v>0.51648000000000005</v>
      </c>
      <c r="T26" s="6">
        <v>-1.7149999999999999E-2</v>
      </c>
      <c r="U26" s="6">
        <v>10.59</v>
      </c>
      <c r="V26" s="6">
        <v>1</v>
      </c>
      <c r="W26" s="6">
        <v>1</v>
      </c>
      <c r="X26" s="6" t="s">
        <v>349</v>
      </c>
      <c r="Y26" s="6">
        <v>-5.5396750500000001E-2</v>
      </c>
      <c r="Z26" s="6">
        <v>5.3267448799999999E-2</v>
      </c>
      <c r="AA26" s="6">
        <v>-7.1366513100000001E-2</v>
      </c>
      <c r="AC26">
        <f t="shared" si="0"/>
        <v>1736.63438</v>
      </c>
      <c r="AD26">
        <f t="shared" si="1"/>
        <v>-3.1739999999999999</v>
      </c>
      <c r="AE26">
        <f t="shared" si="2"/>
        <v>3.052</v>
      </c>
      <c r="AF26">
        <f t="shared" si="3"/>
        <v>-4.0890000000000004</v>
      </c>
      <c r="AG26">
        <f t="shared" si="4"/>
        <v>4.8559999999999999</v>
      </c>
    </row>
    <row r="27" spans="1:33" ht="18.95" customHeight="1">
      <c r="A27" s="4">
        <v>49680689</v>
      </c>
      <c r="B27" s="6">
        <v>1.82663438</v>
      </c>
      <c r="C27" s="6">
        <v>0.63732327099999997</v>
      </c>
      <c r="D27" s="6">
        <v>-0.746</v>
      </c>
      <c r="E27" s="6">
        <v>-0.64700000000000002</v>
      </c>
      <c r="F27" s="6">
        <v>9.6000000000000002E-2</v>
      </c>
      <c r="G27" s="6">
        <v>-8.3620000000000001</v>
      </c>
      <c r="H27" s="6">
        <v>8.0570000000000004</v>
      </c>
      <c r="I27" s="6">
        <v>-12.329000000000001</v>
      </c>
      <c r="J27" s="6">
        <v>6.3719999999999999</v>
      </c>
      <c r="K27" s="6">
        <v>4.4660000000000002</v>
      </c>
      <c r="L27" s="6">
        <v>-46.747</v>
      </c>
      <c r="M27" s="6">
        <v>-5.9</v>
      </c>
      <c r="N27" s="6">
        <v>6.0129999999999999</v>
      </c>
      <c r="O27" s="6">
        <v>35.799999999999997</v>
      </c>
      <c r="P27" s="6">
        <v>24.36</v>
      </c>
      <c r="Q27" s="6">
        <v>0.72811999999999999</v>
      </c>
      <c r="R27" s="6">
        <v>-0.45019999999999999</v>
      </c>
      <c r="S27" s="6">
        <v>0.51648000000000005</v>
      </c>
      <c r="T27" s="6">
        <v>-1.7149999999999999E-2</v>
      </c>
      <c r="U27" s="6">
        <v>10.68</v>
      </c>
      <c r="V27" s="6">
        <v>1</v>
      </c>
      <c r="W27" s="6">
        <v>1</v>
      </c>
      <c r="X27" s="6" t="s">
        <v>350</v>
      </c>
      <c r="Y27" s="6">
        <v>-0.14594443200000001</v>
      </c>
      <c r="Z27" s="6">
        <v>0.14062117800000001</v>
      </c>
      <c r="AA27" s="6">
        <v>-0.21518164300000001</v>
      </c>
      <c r="AC27">
        <f t="shared" si="0"/>
        <v>1826.63438</v>
      </c>
      <c r="AD27">
        <f t="shared" si="1"/>
        <v>-8.3620000000000001</v>
      </c>
      <c r="AE27">
        <f t="shared" si="2"/>
        <v>8.0570000000000004</v>
      </c>
      <c r="AF27">
        <f t="shared" si="3"/>
        <v>-12.329000000000001</v>
      </c>
      <c r="AG27">
        <f t="shared" si="4"/>
        <v>4.4660000000000002</v>
      </c>
    </row>
    <row r="28" spans="1:33" ht="18.95" customHeight="1">
      <c r="A28" s="4">
        <v>49680780</v>
      </c>
      <c r="B28" s="6">
        <v>1.91763438</v>
      </c>
      <c r="C28" s="6">
        <v>0.669073696</v>
      </c>
      <c r="D28" s="6">
        <v>-0.68899999999999995</v>
      </c>
      <c r="E28" s="6">
        <v>-0.66700000000000004</v>
      </c>
      <c r="F28" s="6">
        <v>6.8000000000000005E-2</v>
      </c>
      <c r="G28" s="6">
        <v>-16.356999999999999</v>
      </c>
      <c r="H28" s="6">
        <v>16.356999999999999</v>
      </c>
      <c r="I28" s="6">
        <v>-24.292000000000002</v>
      </c>
      <c r="J28" s="6">
        <v>3.7189999999999999</v>
      </c>
      <c r="K28" s="6">
        <v>2.7080000000000002</v>
      </c>
      <c r="L28" s="6">
        <v>-48.697000000000003</v>
      </c>
      <c r="M28" s="6">
        <v>-5.9</v>
      </c>
      <c r="N28" s="6">
        <v>6.0129999999999999</v>
      </c>
      <c r="O28" s="6">
        <v>35.799999999999997</v>
      </c>
      <c r="P28" s="6">
        <v>24.36</v>
      </c>
      <c r="Q28" s="6">
        <v>0.72811999999999999</v>
      </c>
      <c r="R28" s="6">
        <v>-0.45019999999999999</v>
      </c>
      <c r="S28" s="6">
        <v>0.51648000000000005</v>
      </c>
      <c r="T28" s="6">
        <v>-1.7149999999999999E-2</v>
      </c>
      <c r="U28" s="6">
        <v>10.771000000000001</v>
      </c>
      <c r="V28" s="6">
        <v>1</v>
      </c>
      <c r="W28" s="6">
        <v>1</v>
      </c>
      <c r="X28" s="6" t="s">
        <v>351</v>
      </c>
      <c r="Y28" s="6">
        <v>-0.285483506</v>
      </c>
      <c r="Z28" s="6">
        <v>0.285483506</v>
      </c>
      <c r="AA28" s="6">
        <v>-0.42397538200000001</v>
      </c>
      <c r="AC28">
        <f t="shared" si="0"/>
        <v>1917.63438</v>
      </c>
      <c r="AD28">
        <f t="shared" si="1"/>
        <v>-16.356999999999999</v>
      </c>
      <c r="AE28">
        <f t="shared" si="2"/>
        <v>16.356999999999999</v>
      </c>
      <c r="AF28">
        <f t="shared" si="3"/>
        <v>-24.292000000000002</v>
      </c>
      <c r="AG28">
        <f t="shared" si="4"/>
        <v>2.7080000000000002</v>
      </c>
    </row>
    <row r="29" spans="1:33" ht="18.95" customHeight="1">
      <c r="A29" s="4">
        <v>49680839</v>
      </c>
      <c r="B29" s="6">
        <v>1.9766343799999999</v>
      </c>
      <c r="C29" s="6">
        <v>0.68965913599999995</v>
      </c>
      <c r="D29" s="6">
        <v>-0.66</v>
      </c>
      <c r="E29" s="6">
        <v>-0.71399999999999997</v>
      </c>
      <c r="F29" s="6">
        <v>3.0000000000000001E-3</v>
      </c>
      <c r="G29" s="6">
        <v>-21.484000000000002</v>
      </c>
      <c r="H29" s="6">
        <v>21.728999999999999</v>
      </c>
      <c r="I29" s="6">
        <v>-31.920999999999999</v>
      </c>
      <c r="J29" s="6">
        <v>-6.6000000000000003E-2</v>
      </c>
      <c r="K29" s="6">
        <v>-0.126</v>
      </c>
      <c r="L29" s="6">
        <v>-51.411000000000001</v>
      </c>
      <c r="M29" s="6">
        <v>-12.3</v>
      </c>
      <c r="N29" s="6">
        <v>-0.1</v>
      </c>
      <c r="O29" s="6">
        <v>36.1</v>
      </c>
      <c r="P29" s="6">
        <v>24.36</v>
      </c>
      <c r="Q29" s="6">
        <v>0.72811999999999999</v>
      </c>
      <c r="R29" s="6">
        <v>-0.45019999999999999</v>
      </c>
      <c r="S29" s="6">
        <v>0.51648000000000005</v>
      </c>
      <c r="T29" s="6">
        <v>-1.7149999999999999E-2</v>
      </c>
      <c r="U29" s="6">
        <v>10.83</v>
      </c>
      <c r="V29" s="6">
        <v>1</v>
      </c>
      <c r="W29" s="6">
        <v>1</v>
      </c>
      <c r="X29" s="6" t="s">
        <v>352</v>
      </c>
      <c r="Y29" s="6">
        <v>-0.37496653600000002</v>
      </c>
      <c r="Z29" s="6">
        <v>0.37924259300000002</v>
      </c>
      <c r="AA29" s="6">
        <v>-0.55712655099999997</v>
      </c>
      <c r="AC29">
        <f t="shared" si="0"/>
        <v>1976.63438</v>
      </c>
      <c r="AD29">
        <f t="shared" si="1"/>
        <v>-21.484000000000002</v>
      </c>
      <c r="AE29">
        <f t="shared" si="2"/>
        <v>21.728999999999999</v>
      </c>
      <c r="AF29">
        <f t="shared" si="3"/>
        <v>-31.920999999999999</v>
      </c>
      <c r="AG29">
        <f t="shared" si="4"/>
        <v>-0.126</v>
      </c>
    </row>
    <row r="30" spans="1:33" ht="18.95" customHeight="1">
      <c r="A30" s="4">
        <v>49680929</v>
      </c>
      <c r="B30" s="6">
        <v>2.06663438</v>
      </c>
      <c r="C30" s="6">
        <v>0.72106065600000002</v>
      </c>
      <c r="D30" s="6">
        <v>-0.60399999999999998</v>
      </c>
      <c r="E30" s="6">
        <v>-0.73399999999999999</v>
      </c>
      <c r="F30" s="6">
        <v>-3.3000000000000002E-2</v>
      </c>
      <c r="G30" s="6">
        <v>-22.704999999999998</v>
      </c>
      <c r="H30" s="6">
        <v>23.193000000000001</v>
      </c>
      <c r="I30" s="6">
        <v>-33.997</v>
      </c>
      <c r="J30" s="6">
        <v>-2.093</v>
      </c>
      <c r="K30" s="6">
        <v>-1.8240000000000001</v>
      </c>
      <c r="L30" s="6">
        <v>-52.811</v>
      </c>
      <c r="M30" s="6">
        <v>-12.3</v>
      </c>
      <c r="N30" s="6">
        <v>-0.1</v>
      </c>
      <c r="O30" s="6">
        <v>36.1</v>
      </c>
      <c r="P30" s="6">
        <v>24.36</v>
      </c>
      <c r="Q30" s="6">
        <v>0.67435</v>
      </c>
      <c r="R30" s="6">
        <v>-0.52170000000000005</v>
      </c>
      <c r="S30" s="6">
        <v>0.51797000000000004</v>
      </c>
      <c r="T30" s="6">
        <v>-6.8419999999999995E-2</v>
      </c>
      <c r="U30" s="6">
        <v>10.92</v>
      </c>
      <c r="V30" s="6">
        <v>1</v>
      </c>
      <c r="W30" s="6">
        <v>1</v>
      </c>
      <c r="X30" s="6" t="s">
        <v>353</v>
      </c>
      <c r="Y30" s="6">
        <v>-0.39627700700000001</v>
      </c>
      <c r="Z30" s="6">
        <v>0.40479421300000001</v>
      </c>
      <c r="AA30" s="6">
        <v>-0.59335958600000005</v>
      </c>
      <c r="AC30">
        <f t="shared" si="0"/>
        <v>2066.63438</v>
      </c>
      <c r="AD30">
        <f t="shared" si="1"/>
        <v>-22.704999999999998</v>
      </c>
      <c r="AE30">
        <f t="shared" si="2"/>
        <v>23.193000000000001</v>
      </c>
      <c r="AF30">
        <f t="shared" si="3"/>
        <v>-33.997</v>
      </c>
      <c r="AG30">
        <f t="shared" si="4"/>
        <v>-1.8240000000000001</v>
      </c>
    </row>
    <row r="31" spans="1:33" ht="18.95" customHeight="1">
      <c r="A31" s="4">
        <v>49681049</v>
      </c>
      <c r="B31" s="6">
        <v>2.1866343800000001</v>
      </c>
      <c r="C31" s="6">
        <v>0.76292934800000001</v>
      </c>
      <c r="D31" s="6">
        <v>-0.54200000000000004</v>
      </c>
      <c r="E31" s="6">
        <v>-0.77300000000000002</v>
      </c>
      <c r="F31" s="6">
        <v>-9.7000000000000003E-2</v>
      </c>
      <c r="G31" s="6">
        <v>-25.635000000000002</v>
      </c>
      <c r="H31" s="6">
        <v>26.489000000000001</v>
      </c>
      <c r="I31" s="6">
        <v>-38.573999999999998</v>
      </c>
      <c r="J31" s="6">
        <v>-6.2619999999999996</v>
      </c>
      <c r="K31" s="6">
        <v>-5.7460000000000004</v>
      </c>
      <c r="L31" s="6">
        <v>-55.552</v>
      </c>
      <c r="M31" s="6">
        <v>-12.3</v>
      </c>
      <c r="N31" s="6">
        <v>-0.1</v>
      </c>
      <c r="O31" s="6">
        <v>36.1</v>
      </c>
      <c r="P31" s="6">
        <v>24.36</v>
      </c>
      <c r="Q31" s="6">
        <v>0.67435</v>
      </c>
      <c r="R31" s="6">
        <v>-0.52170000000000005</v>
      </c>
      <c r="S31" s="6">
        <v>0.51797000000000004</v>
      </c>
      <c r="T31" s="6">
        <v>-6.8419999999999995E-2</v>
      </c>
      <c r="U31" s="6">
        <v>11.04</v>
      </c>
      <c r="V31" s="6">
        <v>1</v>
      </c>
      <c r="W31" s="6">
        <v>1</v>
      </c>
      <c r="X31" s="6" t="s">
        <v>354</v>
      </c>
      <c r="Y31" s="6">
        <v>-0.44741515399999998</v>
      </c>
      <c r="Z31" s="6">
        <v>0.46232026599999998</v>
      </c>
      <c r="AA31" s="6">
        <v>-0.67324330600000004</v>
      </c>
      <c r="AC31">
        <f t="shared" si="0"/>
        <v>2186.63438</v>
      </c>
      <c r="AD31">
        <f t="shared" si="1"/>
        <v>-25.635000000000002</v>
      </c>
      <c r="AE31">
        <f t="shared" si="2"/>
        <v>26.489000000000001</v>
      </c>
      <c r="AF31">
        <f t="shared" si="3"/>
        <v>-38.573999999999998</v>
      </c>
      <c r="AG31">
        <f t="shared" si="4"/>
        <v>-5.7460000000000004</v>
      </c>
    </row>
    <row r="32" spans="1:33" ht="18.95" customHeight="1">
      <c r="A32" s="4">
        <v>49681139</v>
      </c>
      <c r="B32" s="6">
        <v>2.27663438</v>
      </c>
      <c r="C32" s="6">
        <v>0.794330867</v>
      </c>
      <c r="D32" s="6">
        <v>-0.47599999999999998</v>
      </c>
      <c r="E32" s="6">
        <v>-0.8</v>
      </c>
      <c r="F32" s="6">
        <v>-0.156</v>
      </c>
      <c r="G32" s="6">
        <v>-27.771000000000001</v>
      </c>
      <c r="H32" s="6">
        <v>28.381</v>
      </c>
      <c r="I32" s="6">
        <v>-41.503999999999998</v>
      </c>
      <c r="J32" s="6">
        <v>-10.343999999999999</v>
      </c>
      <c r="K32" s="6">
        <v>-10.201000000000001</v>
      </c>
      <c r="L32" s="6">
        <v>-58.018999999999998</v>
      </c>
      <c r="M32" s="6">
        <v>-24.1</v>
      </c>
      <c r="N32" s="6">
        <v>1.44</v>
      </c>
      <c r="O32" s="6">
        <v>33.200000000000003</v>
      </c>
      <c r="P32" s="6">
        <v>24.36</v>
      </c>
      <c r="Q32" s="6">
        <v>0.67435</v>
      </c>
      <c r="R32" s="6">
        <v>-0.52170000000000005</v>
      </c>
      <c r="S32" s="6">
        <v>0.51797000000000004</v>
      </c>
      <c r="T32" s="6">
        <v>-6.8419999999999995E-2</v>
      </c>
      <c r="U32" s="6">
        <v>11.13</v>
      </c>
      <c r="V32" s="6">
        <v>1</v>
      </c>
      <c r="W32" s="6">
        <v>1</v>
      </c>
      <c r="X32" s="6" t="s">
        <v>355</v>
      </c>
      <c r="Y32" s="6">
        <v>-0.48469538699999998</v>
      </c>
      <c r="Z32" s="6">
        <v>0.49534189499999998</v>
      </c>
      <c r="AA32" s="6">
        <v>-0.72438145300000001</v>
      </c>
      <c r="AC32">
        <f t="shared" si="0"/>
        <v>2276.63438</v>
      </c>
      <c r="AD32">
        <f t="shared" si="1"/>
        <v>-27.771000000000001</v>
      </c>
      <c r="AE32">
        <f t="shared" si="2"/>
        <v>28.381</v>
      </c>
      <c r="AF32">
        <f t="shared" si="3"/>
        <v>-41.503999999999998</v>
      </c>
      <c r="AG32">
        <f t="shared" si="4"/>
        <v>-10.201000000000001</v>
      </c>
    </row>
    <row r="33" spans="1:33" ht="18.95" customHeight="1">
      <c r="A33" s="4">
        <v>49681199</v>
      </c>
      <c r="B33" s="6">
        <v>2.33663438</v>
      </c>
      <c r="C33" s="6">
        <v>0.81526521299999999</v>
      </c>
      <c r="D33" s="6">
        <v>-0.41799999999999998</v>
      </c>
      <c r="E33" s="6">
        <v>-0.82099999999999995</v>
      </c>
      <c r="F33" s="6">
        <v>-0.21299999999999999</v>
      </c>
      <c r="G33" s="6">
        <v>-29.785</v>
      </c>
      <c r="H33" s="6">
        <v>30.701000000000001</v>
      </c>
      <c r="I33" s="6">
        <v>-44.860999999999997</v>
      </c>
      <c r="J33" s="6">
        <v>-14.249000000000001</v>
      </c>
      <c r="K33" s="6">
        <v>-15.09</v>
      </c>
      <c r="L33" s="6">
        <v>-60.128</v>
      </c>
      <c r="M33" s="6">
        <v>-24.1</v>
      </c>
      <c r="N33" s="6">
        <v>1.44</v>
      </c>
      <c r="O33" s="6">
        <v>33.200000000000003</v>
      </c>
      <c r="P33" s="6">
        <v>24.36</v>
      </c>
      <c r="Q33" s="6">
        <v>0.59524999999999995</v>
      </c>
      <c r="R33" s="6">
        <v>-0.60463999999999996</v>
      </c>
      <c r="S33" s="6">
        <v>0.51195999999999997</v>
      </c>
      <c r="T33" s="6">
        <v>-0.13361000000000001</v>
      </c>
      <c r="U33" s="6">
        <v>11.19</v>
      </c>
      <c r="V33" s="6">
        <v>1</v>
      </c>
      <c r="W33" s="6">
        <v>1</v>
      </c>
      <c r="X33" s="6" t="s">
        <v>356</v>
      </c>
      <c r="Y33" s="6">
        <v>-0.51984631800000003</v>
      </c>
      <c r="Z33" s="6">
        <v>0.535833534</v>
      </c>
      <c r="AA33" s="6">
        <v>-0.78297215600000003</v>
      </c>
      <c r="AC33">
        <f t="shared" si="0"/>
        <v>2336.63438</v>
      </c>
      <c r="AD33">
        <f t="shared" si="1"/>
        <v>-29.785</v>
      </c>
      <c r="AE33">
        <f t="shared" si="2"/>
        <v>30.701000000000001</v>
      </c>
      <c r="AF33">
        <f t="shared" si="3"/>
        <v>-44.860999999999997</v>
      </c>
      <c r="AG33">
        <f t="shared" si="4"/>
        <v>-15.09</v>
      </c>
    </row>
    <row r="34" spans="1:33" ht="18.95" customHeight="1">
      <c r="A34" s="4">
        <v>49681289</v>
      </c>
      <c r="B34" s="6">
        <v>2.4266343799999999</v>
      </c>
      <c r="C34" s="6">
        <v>0.84666673199999998</v>
      </c>
      <c r="D34" s="6">
        <v>-0.32400000000000001</v>
      </c>
      <c r="E34" s="6">
        <v>-0.83799999999999997</v>
      </c>
      <c r="F34" s="6">
        <v>-0.26500000000000001</v>
      </c>
      <c r="G34" s="6">
        <v>-30.518000000000001</v>
      </c>
      <c r="H34" s="6">
        <v>30.945</v>
      </c>
      <c r="I34" s="6">
        <v>-45.715000000000003</v>
      </c>
      <c r="J34" s="6">
        <v>-16.149999999999999</v>
      </c>
      <c r="K34" s="6">
        <v>-17.699000000000002</v>
      </c>
      <c r="L34" s="6">
        <v>-61.057000000000002</v>
      </c>
      <c r="M34" s="6">
        <v>-24.1</v>
      </c>
      <c r="N34" s="6">
        <v>1.44</v>
      </c>
      <c r="O34" s="6">
        <v>33.200000000000003</v>
      </c>
      <c r="P34" s="6">
        <v>24.36</v>
      </c>
      <c r="Q34" s="6">
        <v>0.59524999999999995</v>
      </c>
      <c r="R34" s="6">
        <v>-0.60463999999999996</v>
      </c>
      <c r="S34" s="6">
        <v>0.51195999999999997</v>
      </c>
      <c r="T34" s="6">
        <v>-0.13361000000000001</v>
      </c>
      <c r="U34" s="6">
        <v>11.28</v>
      </c>
      <c r="V34" s="6">
        <v>1</v>
      </c>
      <c r="W34" s="6">
        <v>1</v>
      </c>
      <c r="X34" s="6" t="s">
        <v>357</v>
      </c>
      <c r="Y34" s="6">
        <v>-0.53263958099999997</v>
      </c>
      <c r="Z34" s="6">
        <v>0.54009213700000003</v>
      </c>
      <c r="AA34" s="6">
        <v>-0.79787726800000003</v>
      </c>
      <c r="AC34">
        <f t="shared" si="0"/>
        <v>2426.63438</v>
      </c>
      <c r="AD34">
        <f t="shared" si="1"/>
        <v>-30.518000000000001</v>
      </c>
      <c r="AE34">
        <f t="shared" si="2"/>
        <v>30.945</v>
      </c>
      <c r="AF34">
        <f t="shared" si="3"/>
        <v>-45.715000000000003</v>
      </c>
      <c r="AG34">
        <f t="shared" si="4"/>
        <v>-17.699000000000002</v>
      </c>
    </row>
    <row r="35" spans="1:33" ht="18.95" customHeight="1">
      <c r="A35" s="4">
        <v>49681379</v>
      </c>
      <c r="B35" s="6">
        <v>2.5166343800000002</v>
      </c>
      <c r="C35" s="6">
        <v>0.87806825099999997</v>
      </c>
      <c r="D35" s="6">
        <v>-0.245</v>
      </c>
      <c r="E35" s="6">
        <v>-0.86399999999999999</v>
      </c>
      <c r="F35" s="6">
        <v>-0.34300000000000003</v>
      </c>
      <c r="G35" s="6">
        <v>-29.846</v>
      </c>
      <c r="H35" s="6">
        <v>30.64</v>
      </c>
      <c r="I35" s="6">
        <v>-44.8</v>
      </c>
      <c r="J35" s="6">
        <v>-19.715</v>
      </c>
      <c r="K35" s="6">
        <v>-23</v>
      </c>
      <c r="L35" s="6">
        <v>-62.588999999999999</v>
      </c>
      <c r="M35" s="6">
        <v>-24.1</v>
      </c>
      <c r="N35" s="6">
        <v>1.44</v>
      </c>
      <c r="O35" s="6">
        <v>33.200000000000003</v>
      </c>
      <c r="P35" s="6">
        <v>24.36</v>
      </c>
      <c r="Q35" s="6">
        <v>0.59524999999999995</v>
      </c>
      <c r="R35" s="6">
        <v>-0.60463999999999996</v>
      </c>
      <c r="S35" s="6">
        <v>0.51195999999999997</v>
      </c>
      <c r="T35" s="6">
        <v>-0.13361000000000001</v>
      </c>
      <c r="U35" s="6">
        <v>11.37</v>
      </c>
      <c r="V35" s="6">
        <v>1</v>
      </c>
      <c r="W35" s="6">
        <v>1</v>
      </c>
      <c r="X35" s="6" t="s">
        <v>358</v>
      </c>
      <c r="Y35" s="6">
        <v>-0.520910969</v>
      </c>
      <c r="Z35" s="6">
        <v>0.53476888300000003</v>
      </c>
      <c r="AA35" s="6">
        <v>-0.78190750499999995</v>
      </c>
      <c r="AC35">
        <f t="shared" si="0"/>
        <v>2516.63438</v>
      </c>
      <c r="AD35">
        <f t="shared" si="1"/>
        <v>-29.846</v>
      </c>
      <c r="AE35">
        <f t="shared" si="2"/>
        <v>30.64</v>
      </c>
      <c r="AF35">
        <f t="shared" si="3"/>
        <v>-44.8</v>
      </c>
      <c r="AG35">
        <f t="shared" si="4"/>
        <v>-23</v>
      </c>
    </row>
    <row r="36" spans="1:33" ht="18.95" customHeight="1">
      <c r="A36" s="4">
        <v>49681439</v>
      </c>
      <c r="B36" s="6">
        <v>2.5766343799999998</v>
      </c>
      <c r="C36" s="6">
        <v>0.89900259699999996</v>
      </c>
      <c r="D36" s="6">
        <v>-0.192</v>
      </c>
      <c r="E36" s="6">
        <v>-0.86299999999999999</v>
      </c>
      <c r="F36" s="6">
        <v>-0.39200000000000002</v>
      </c>
      <c r="G36" s="6">
        <v>-28.625</v>
      </c>
      <c r="H36" s="6">
        <v>29.419</v>
      </c>
      <c r="I36" s="6">
        <v>-42.908000000000001</v>
      </c>
      <c r="J36" s="6">
        <v>-22.928000000000001</v>
      </c>
      <c r="K36" s="6">
        <v>-28.196000000000002</v>
      </c>
      <c r="L36" s="6">
        <v>-63.71</v>
      </c>
      <c r="M36" s="6">
        <v>-37.6</v>
      </c>
      <c r="N36" s="6">
        <v>2.8530000000000002</v>
      </c>
      <c r="O36" s="6">
        <v>25.3</v>
      </c>
      <c r="P36" s="6">
        <v>24.36</v>
      </c>
      <c r="Q36" s="6">
        <v>0.59524999999999995</v>
      </c>
      <c r="R36" s="6">
        <v>-0.60463999999999996</v>
      </c>
      <c r="S36" s="6">
        <v>0.51195999999999997</v>
      </c>
      <c r="T36" s="6">
        <v>-0.13361000000000001</v>
      </c>
      <c r="U36" s="6">
        <v>11.43</v>
      </c>
      <c r="V36" s="6">
        <v>1</v>
      </c>
      <c r="W36" s="6">
        <v>1</v>
      </c>
      <c r="X36" s="6" t="s">
        <v>359</v>
      </c>
      <c r="Y36" s="6">
        <v>-0.499600498</v>
      </c>
      <c r="Z36" s="6">
        <v>0.51345841299999995</v>
      </c>
      <c r="AA36" s="6">
        <v>-0.74888587500000003</v>
      </c>
      <c r="AC36">
        <f t="shared" si="0"/>
        <v>2576.63438</v>
      </c>
      <c r="AD36">
        <f t="shared" si="1"/>
        <v>-28.625</v>
      </c>
      <c r="AE36">
        <f t="shared" si="2"/>
        <v>29.419</v>
      </c>
      <c r="AF36">
        <f t="shared" si="3"/>
        <v>-42.908000000000001</v>
      </c>
      <c r="AG36">
        <f t="shared" si="4"/>
        <v>-28.196000000000002</v>
      </c>
    </row>
    <row r="37" spans="1:33" ht="18.95" customHeight="1">
      <c r="A37" s="4">
        <v>49681559</v>
      </c>
      <c r="B37" s="6">
        <v>2.6966343799999999</v>
      </c>
      <c r="C37" s="6">
        <v>0.94087128900000006</v>
      </c>
      <c r="D37" s="6">
        <v>-0.10100000000000001</v>
      </c>
      <c r="E37" s="6">
        <v>-0.86299999999999999</v>
      </c>
      <c r="F37" s="6">
        <v>-0.432</v>
      </c>
      <c r="G37" s="6">
        <v>-27.71</v>
      </c>
      <c r="H37" s="6">
        <v>28.198</v>
      </c>
      <c r="I37" s="6">
        <v>-41.503999999999998</v>
      </c>
      <c r="J37" s="6">
        <v>-24.417000000000002</v>
      </c>
      <c r="K37" s="6">
        <v>-30.728999999999999</v>
      </c>
      <c r="L37" s="6">
        <v>-64.138000000000005</v>
      </c>
      <c r="M37" s="6">
        <v>-37.6</v>
      </c>
      <c r="N37" s="6">
        <v>2.8530000000000002</v>
      </c>
      <c r="O37" s="6">
        <v>25.3</v>
      </c>
      <c r="P37" s="6">
        <v>24.36</v>
      </c>
      <c r="Q37" s="6">
        <v>0.47628999999999999</v>
      </c>
      <c r="R37" s="6">
        <v>-0.69674999999999998</v>
      </c>
      <c r="S37" s="6">
        <v>0.49106</v>
      </c>
      <c r="T37" s="6">
        <v>-0.21554999999999999</v>
      </c>
      <c r="U37" s="6">
        <v>11.55</v>
      </c>
      <c r="V37" s="6">
        <v>1</v>
      </c>
      <c r="W37" s="6">
        <v>1</v>
      </c>
      <c r="X37" s="6" t="s">
        <v>360</v>
      </c>
      <c r="Y37" s="6">
        <v>-0.48363073600000001</v>
      </c>
      <c r="Z37" s="6">
        <v>0.492147942</v>
      </c>
      <c r="AA37" s="6">
        <v>-0.72438145300000001</v>
      </c>
      <c r="AC37">
        <f t="shared" si="0"/>
        <v>2696.63438</v>
      </c>
      <c r="AD37">
        <f t="shared" si="1"/>
        <v>-27.71</v>
      </c>
      <c r="AE37">
        <f t="shared" si="2"/>
        <v>28.198</v>
      </c>
      <c r="AF37">
        <f t="shared" si="3"/>
        <v>-41.503999999999998</v>
      </c>
      <c r="AG37">
        <f t="shared" si="4"/>
        <v>-30.728999999999999</v>
      </c>
    </row>
    <row r="38" spans="1:33" ht="18.95" customHeight="1">
      <c r="A38" s="4">
        <v>49681649</v>
      </c>
      <c r="B38" s="6">
        <v>2.7866343800000002</v>
      </c>
      <c r="C38" s="6">
        <v>0.97227280800000004</v>
      </c>
      <c r="D38" s="6">
        <v>-4.8000000000000001E-2</v>
      </c>
      <c r="E38" s="6">
        <v>-0.877</v>
      </c>
      <c r="F38" s="6">
        <v>-0.496</v>
      </c>
      <c r="G38" s="6">
        <v>-22.643999999999998</v>
      </c>
      <c r="H38" s="6">
        <v>23.193000000000001</v>
      </c>
      <c r="I38" s="6">
        <v>-33.997</v>
      </c>
      <c r="J38" s="6">
        <v>-27.015000000000001</v>
      </c>
      <c r="K38" s="6">
        <v>-35.293999999999997</v>
      </c>
      <c r="L38" s="6">
        <v>-64.736999999999995</v>
      </c>
      <c r="M38" s="6">
        <v>-37.6</v>
      </c>
      <c r="N38" s="6">
        <v>2.8530000000000002</v>
      </c>
      <c r="O38" s="6">
        <v>25.3</v>
      </c>
      <c r="P38" s="6">
        <v>24.36</v>
      </c>
      <c r="Q38" s="6">
        <v>0.47628999999999999</v>
      </c>
      <c r="R38" s="6">
        <v>-0.69674999999999998</v>
      </c>
      <c r="S38" s="6">
        <v>0.49106</v>
      </c>
      <c r="T38" s="6">
        <v>-0.21554999999999999</v>
      </c>
      <c r="U38" s="6">
        <v>11.64</v>
      </c>
      <c r="V38" s="6">
        <v>1</v>
      </c>
      <c r="W38" s="6">
        <v>1</v>
      </c>
      <c r="X38" s="6" t="s">
        <v>361</v>
      </c>
      <c r="Y38" s="6">
        <v>-0.39521235599999999</v>
      </c>
      <c r="Z38" s="6">
        <v>0.40479421300000001</v>
      </c>
      <c r="AA38" s="6">
        <v>-0.59335958600000005</v>
      </c>
      <c r="AC38">
        <f t="shared" si="0"/>
        <v>2786.63438</v>
      </c>
      <c r="AD38">
        <f t="shared" si="1"/>
        <v>-22.643999999999998</v>
      </c>
      <c r="AE38">
        <f t="shared" si="2"/>
        <v>23.193000000000001</v>
      </c>
      <c r="AF38">
        <f t="shared" si="3"/>
        <v>-33.997</v>
      </c>
      <c r="AG38">
        <f t="shared" si="4"/>
        <v>-35.293999999999997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Paired Data</vt:lpstr>
      <vt:lpstr>Raw Data</vt:lpstr>
      <vt:lpstr>Native PMKS</vt:lpstr>
      <vt:lpstr>TimeStep</vt:lpstr>
      <vt:lpstr>Instructor 360</vt:lpstr>
      <vt:lpstr>BNO1 Rate</vt:lpstr>
      <vt:lpstr>MPU Rate</vt:lpstr>
      <vt:lpstr>BNO2 Rate</vt:lpstr>
      <vt:lpstr>Comparison Charts</vt:lpstr>
      <vt:lpstr>Wireless Summary</vt:lpstr>
      <vt:lpstr>Wireless Cycles</vt:lpstr>
      <vt:lpstr>Wireless Charts</vt:lpstr>
      <vt:lpstr>Original input</vt:lpstr>
      <vt:lpstr>Original follower</vt:lpstr>
      <vt:lpstr>Replacement input</vt:lpstr>
      <vt:lpstr>Replacement follower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zhao</cp:lastModifiedBy>
  <dcterms:modified xsi:type="dcterms:W3CDTF">2026-09-22T18:58:28Z</dcterms:modified>
</cp:coreProperties>
</file>