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4148E21E-9949-47DA-B199-C99921DE270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ummary" sheetId="1" r:id="rId1"/>
    <sheet name="Paired Data" sheetId="2" r:id="rId2"/>
    <sheet name="Raw Data" sheetId="3" r:id="rId3"/>
    <sheet name="Native PMKS" sheetId="4" r:id="rId4"/>
    <sheet name="TimeStep" sheetId="5" r:id="rId5"/>
    <sheet name="Instructor 360" sheetId="6" r:id="rId6"/>
    <sheet name="CS Rate" sheetId="7" r:id="rId7"/>
    <sheet name="Comparison Char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7" l="1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A6" i="2"/>
  <c r="B19" i="1"/>
  <c r="B16" i="1"/>
  <c r="B12" i="1"/>
  <c r="B13" i="1" s="1"/>
  <c r="B14" i="1" s="1"/>
  <c r="B11" i="1"/>
  <c r="B172" i="5" l="1"/>
  <c r="B63" i="5"/>
  <c r="B131" i="5"/>
  <c r="B17" i="1"/>
  <c r="B20" i="1"/>
  <c r="C172" i="4"/>
  <c r="G172" i="4" s="1"/>
  <c r="D172" i="5"/>
  <c r="B91" i="5"/>
  <c r="G49" i="5"/>
  <c r="B49" i="6" s="1"/>
  <c r="B159" i="5"/>
  <c r="B216" i="5"/>
  <c r="C63" i="4"/>
  <c r="G63" i="4" s="1"/>
  <c r="D63" i="5"/>
  <c r="G298" i="5"/>
  <c r="B298" i="6" s="1"/>
  <c r="G347" i="5"/>
  <c r="B347" i="6" s="1"/>
  <c r="G61" i="5"/>
  <c r="B61" i="6" s="1"/>
  <c r="B359" i="5"/>
  <c r="B62" i="5"/>
  <c r="C131" i="4"/>
  <c r="G131" i="4" s="1"/>
  <c r="D131" i="5"/>
  <c r="B363" i="5"/>
  <c r="B357" i="5"/>
  <c r="B351" i="5"/>
  <c r="B345" i="5"/>
  <c r="B339" i="5"/>
  <c r="B333" i="5"/>
  <c r="B327" i="5"/>
  <c r="B321" i="5"/>
  <c r="B315" i="5"/>
  <c r="B309" i="5"/>
  <c r="B303" i="5"/>
  <c r="B297" i="5"/>
  <c r="B291" i="5"/>
  <c r="B285" i="5"/>
  <c r="B279" i="5"/>
  <c r="B273" i="5"/>
  <c r="B267" i="5"/>
  <c r="B261" i="5"/>
  <c r="B255" i="5"/>
  <c r="B249" i="5"/>
  <c r="B243" i="5"/>
  <c r="B237" i="5"/>
  <c r="B231" i="5"/>
  <c r="B225" i="5"/>
  <c r="B219" i="5"/>
  <c r="B213" i="5"/>
  <c r="B207" i="5"/>
  <c r="B201" i="5"/>
  <c r="B195" i="5"/>
  <c r="B362" i="5"/>
  <c r="B356" i="5"/>
  <c r="B350" i="5"/>
  <c r="B344" i="5"/>
  <c r="B338" i="5"/>
  <c r="B332" i="5"/>
  <c r="B326" i="5"/>
  <c r="B320" i="5"/>
  <c r="B314" i="5"/>
  <c r="B308" i="5"/>
  <c r="B302" i="5"/>
  <c r="B296" i="5"/>
  <c r="B290" i="5"/>
  <c r="B284" i="5"/>
  <c r="B278" i="5"/>
  <c r="B272" i="5"/>
  <c r="B266" i="5"/>
  <c r="B260" i="5"/>
  <c r="B254" i="5"/>
  <c r="B248" i="5"/>
  <c r="B242" i="5"/>
  <c r="B236" i="5"/>
  <c r="B230" i="5"/>
  <c r="B224" i="5"/>
  <c r="B218" i="5"/>
  <c r="B212" i="5"/>
  <c r="B206" i="5"/>
  <c r="B200" i="5"/>
  <c r="B310" i="5"/>
  <c r="B287" i="5"/>
  <c r="B264" i="5"/>
  <c r="B241" i="5"/>
  <c r="B176" i="5"/>
  <c r="B340" i="5"/>
  <c r="B317" i="5"/>
  <c r="B294" i="5"/>
  <c r="B271" i="5"/>
  <c r="B196" i="5"/>
  <c r="B189" i="5"/>
  <c r="B169" i="5"/>
  <c r="B156" i="5"/>
  <c r="B143" i="5"/>
  <c r="B130" i="5"/>
  <c r="B124" i="5"/>
  <c r="B118" i="5"/>
  <c r="B112" i="5"/>
  <c r="B106" i="5"/>
  <c r="B100" i="5"/>
  <c r="B94" i="5"/>
  <c r="B88" i="5"/>
  <c r="B82" i="5"/>
  <c r="B76" i="5"/>
  <c r="B70" i="5"/>
  <c r="B64" i="5"/>
  <c r="B58" i="5"/>
  <c r="B52" i="5"/>
  <c r="B46" i="5"/>
  <c r="B40" i="5"/>
  <c r="B34" i="5"/>
  <c r="B28" i="5"/>
  <c r="B22" i="5"/>
  <c r="B16" i="5"/>
  <c r="B10" i="5"/>
  <c r="B347" i="5"/>
  <c r="B324" i="5"/>
  <c r="B301" i="5"/>
  <c r="B226" i="5"/>
  <c r="B203" i="5"/>
  <c r="B182" i="5"/>
  <c r="B354" i="5"/>
  <c r="B331" i="5"/>
  <c r="B256" i="5"/>
  <c r="B233" i="5"/>
  <c r="B210" i="5"/>
  <c r="B175" i="5"/>
  <c r="B162" i="5"/>
  <c r="B149" i="5"/>
  <c r="B136" i="5"/>
  <c r="B361" i="5"/>
  <c r="B286" i="5"/>
  <c r="B263" i="5"/>
  <c r="B240" i="5"/>
  <c r="B217" i="5"/>
  <c r="B188" i="5"/>
  <c r="B346" i="5"/>
  <c r="B323" i="5"/>
  <c r="B300" i="5"/>
  <c r="B277" i="5"/>
  <c r="B202" i="5"/>
  <c r="B194" i="5"/>
  <c r="B353" i="5"/>
  <c r="B330" i="5"/>
  <c r="B307" i="5"/>
  <c r="B232" i="5"/>
  <c r="B209" i="5"/>
  <c r="B187" i="5"/>
  <c r="B174" i="5"/>
  <c r="B161" i="5"/>
  <c r="B148" i="5"/>
  <c r="B135" i="5"/>
  <c r="B328" i="5"/>
  <c r="B318" i="5"/>
  <c r="B186" i="5"/>
  <c r="B145" i="5"/>
  <c r="B121" i="5"/>
  <c r="B98" i="5"/>
  <c r="B23" i="5"/>
  <c r="B15" i="5"/>
  <c r="B365" i="5"/>
  <c r="B336" i="5"/>
  <c r="B280" i="5"/>
  <c r="B269" i="5"/>
  <c r="B251" i="5"/>
  <c r="B222" i="5"/>
  <c r="B214" i="5"/>
  <c r="B178" i="5"/>
  <c r="B170" i="5"/>
  <c r="B153" i="5"/>
  <c r="B137" i="5"/>
  <c r="B128" i="5"/>
  <c r="B53" i="5"/>
  <c r="B45" i="5"/>
  <c r="B30" i="5"/>
  <c r="B7" i="5"/>
  <c r="B21" i="5"/>
  <c r="B6" i="5"/>
  <c r="B298" i="5"/>
  <c r="B259" i="5"/>
  <c r="B204" i="5"/>
  <c r="B193" i="5"/>
  <c r="B83" i="5"/>
  <c r="B75" i="5"/>
  <c r="B60" i="5"/>
  <c r="B37" i="5"/>
  <c r="B14" i="5"/>
  <c r="B355" i="5"/>
  <c r="B288" i="5"/>
  <c r="B113" i="5"/>
  <c r="B105" i="5"/>
  <c r="B90" i="5"/>
  <c r="B67" i="5"/>
  <c r="B44" i="5"/>
  <c r="B127" i="5"/>
  <c r="B104" i="5"/>
  <c r="B29" i="5"/>
  <c r="B185" i="5"/>
  <c r="B160" i="5"/>
  <c r="B152" i="5"/>
  <c r="B144" i="5"/>
  <c r="B120" i="5"/>
  <c r="B97" i="5"/>
  <c r="B74" i="5"/>
  <c r="B364" i="5"/>
  <c r="B335" i="5"/>
  <c r="B316" i="5"/>
  <c r="B306" i="5"/>
  <c r="B268" i="5"/>
  <c r="B250" i="5"/>
  <c r="B221" i="5"/>
  <c r="B177" i="5"/>
  <c r="B168" i="5"/>
  <c r="B343" i="5"/>
  <c r="B258" i="5"/>
  <c r="B239" i="5"/>
  <c r="B192" i="5"/>
  <c r="B59" i="5"/>
  <c r="B51" i="5"/>
  <c r="B36" i="5"/>
  <c r="B13" i="5"/>
  <c r="B325" i="5"/>
  <c r="B276" i="5"/>
  <c r="B229" i="5"/>
  <c r="B167" i="5"/>
  <c r="B151" i="5"/>
  <c r="B134" i="5"/>
  <c r="B89" i="5"/>
  <c r="B81" i="5"/>
  <c r="B66" i="5"/>
  <c r="B43" i="5"/>
  <c r="B20" i="5"/>
  <c r="B295" i="5"/>
  <c r="B247" i="5"/>
  <c r="B99" i="5"/>
  <c r="B220" i="5"/>
  <c r="B55" i="5"/>
  <c r="B190" i="5"/>
  <c r="B138" i="5"/>
  <c r="B117" i="5"/>
  <c r="B108" i="5"/>
  <c r="B49" i="5"/>
  <c r="B293" i="5"/>
  <c r="B257" i="5"/>
  <c r="B208" i="5"/>
  <c r="B165" i="5"/>
  <c r="B103" i="5"/>
  <c r="B319" i="5"/>
  <c r="B246" i="5"/>
  <c r="B179" i="5"/>
  <c r="B158" i="5"/>
  <c r="B87" i="5"/>
  <c r="B78" i="5"/>
  <c r="B69" i="5"/>
  <c r="B19" i="5"/>
  <c r="B305" i="5"/>
  <c r="B342" i="5"/>
  <c r="B282" i="5"/>
  <c r="B235" i="5"/>
  <c r="B223" i="5"/>
  <c r="B199" i="5"/>
  <c r="B126" i="5"/>
  <c r="B116" i="5"/>
  <c r="B107" i="5"/>
  <c r="B48" i="5"/>
  <c r="B366" i="5"/>
  <c r="B211" i="5"/>
  <c r="B147" i="5"/>
  <c r="B96" i="5"/>
  <c r="B86" i="5"/>
  <c r="B68" i="5"/>
  <c r="B57" i="5"/>
  <c r="B39" i="5"/>
  <c r="B9" i="5"/>
  <c r="B157" i="5"/>
  <c r="B47" i="5"/>
  <c r="B270" i="5"/>
  <c r="B245" i="5"/>
  <c r="B77" i="5"/>
  <c r="B56" i="5"/>
  <c r="B38" i="5"/>
  <c r="B27" i="5"/>
  <c r="B18" i="5"/>
  <c r="B8" i="5"/>
  <c r="B95" i="5"/>
  <c r="B26" i="5"/>
  <c r="B244" i="5"/>
  <c r="B155" i="5"/>
  <c r="B133" i="5"/>
  <c r="B65" i="5"/>
  <c r="B17" i="5"/>
  <c r="B352" i="5"/>
  <c r="B341" i="5"/>
  <c r="B329" i="5"/>
  <c r="B292" i="5"/>
  <c r="B281" i="5"/>
  <c r="B234" i="5"/>
  <c r="B198" i="5"/>
  <c r="B166" i="5"/>
  <c r="B146" i="5"/>
  <c r="B125" i="5"/>
  <c r="B115" i="5"/>
  <c r="B85" i="5"/>
  <c r="B304" i="5"/>
  <c r="B197" i="5"/>
  <c r="B114" i="5"/>
  <c r="B312" i="5"/>
  <c r="B184" i="5"/>
  <c r="B73" i="5"/>
  <c r="B33" i="5"/>
  <c r="B181" i="5"/>
  <c r="B42" i="5"/>
  <c r="B289" i="5"/>
  <c r="B123" i="5"/>
  <c r="B54" i="5"/>
  <c r="B191" i="5"/>
  <c r="B93" i="5"/>
  <c r="B132" i="5"/>
  <c r="B299" i="5"/>
  <c r="B141" i="5"/>
  <c r="B31" i="5"/>
  <c r="B139" i="5"/>
  <c r="B122" i="5"/>
  <c r="B80" i="5"/>
  <c r="B41" i="5"/>
  <c r="B313" i="5"/>
  <c r="B265" i="5"/>
  <c r="B61" i="5"/>
  <c r="B32" i="5"/>
  <c r="B274" i="5"/>
  <c r="B238" i="5"/>
  <c r="B334" i="5"/>
  <c r="B92" i="5"/>
  <c r="B24" i="5"/>
  <c r="B119" i="5"/>
  <c r="B35" i="5"/>
  <c r="B358" i="5"/>
  <c r="B262" i="5"/>
  <c r="B215" i="5"/>
  <c r="B171" i="5"/>
  <c r="B129" i="5"/>
  <c r="B101" i="5"/>
  <c r="B164" i="5"/>
  <c r="B25" i="5"/>
  <c r="B283" i="5"/>
  <c r="B252" i="5"/>
  <c r="B173" i="5"/>
  <c r="B50" i="5"/>
  <c r="B311" i="5"/>
  <c r="B183" i="5"/>
  <c r="B154" i="5"/>
  <c r="B140" i="5"/>
  <c r="B72" i="5"/>
  <c r="B337" i="5"/>
  <c r="B180" i="5"/>
  <c r="B109" i="5"/>
  <c r="B349" i="5"/>
  <c r="B79" i="5"/>
  <c r="B360" i="5"/>
  <c r="B275" i="5"/>
  <c r="B228" i="5"/>
  <c r="B111" i="5"/>
  <c r="B84" i="5"/>
  <c r="B110" i="5"/>
  <c r="B71" i="5"/>
  <c r="B227" i="5"/>
  <c r="B12" i="5"/>
  <c r="B150" i="5"/>
  <c r="B253" i="5"/>
  <c r="B11" i="5"/>
  <c r="B163" i="5"/>
  <c r="B205" i="5"/>
  <c r="B348" i="5"/>
  <c r="B322" i="5"/>
  <c r="G362" i="5"/>
  <c r="B362" i="6" s="1"/>
  <c r="G356" i="5"/>
  <c r="B356" i="6" s="1"/>
  <c r="G350" i="5"/>
  <c r="B350" i="6" s="1"/>
  <c r="G344" i="5"/>
  <c r="B344" i="6" s="1"/>
  <c r="G338" i="5"/>
  <c r="B338" i="6" s="1"/>
  <c r="G332" i="5"/>
  <c r="B332" i="6" s="1"/>
  <c r="G326" i="5"/>
  <c r="B326" i="6" s="1"/>
  <c r="G320" i="5"/>
  <c r="B320" i="6" s="1"/>
  <c r="G314" i="5"/>
  <c r="B314" i="6" s="1"/>
  <c r="G308" i="5"/>
  <c r="B308" i="6" s="1"/>
  <c r="G302" i="5"/>
  <c r="B302" i="6" s="1"/>
  <c r="G296" i="5"/>
  <c r="B296" i="6" s="1"/>
  <c r="G290" i="5"/>
  <c r="B290" i="6" s="1"/>
  <c r="G284" i="5"/>
  <c r="B284" i="6" s="1"/>
  <c r="G278" i="5"/>
  <c r="B278" i="6" s="1"/>
  <c r="G272" i="5"/>
  <c r="B272" i="6" s="1"/>
  <c r="G266" i="5"/>
  <c r="B266" i="6" s="1"/>
  <c r="G260" i="5"/>
  <c r="B260" i="6" s="1"/>
  <c r="G254" i="5"/>
  <c r="B254" i="6" s="1"/>
  <c r="G248" i="5"/>
  <c r="B248" i="6" s="1"/>
  <c r="G242" i="5"/>
  <c r="B242" i="6" s="1"/>
  <c r="G236" i="5"/>
  <c r="B236" i="6" s="1"/>
  <c r="G230" i="5"/>
  <c r="B230" i="6" s="1"/>
  <c r="G224" i="5"/>
  <c r="B224" i="6" s="1"/>
  <c r="G218" i="5"/>
  <c r="B218" i="6" s="1"/>
  <c r="G212" i="5"/>
  <c r="B212" i="6" s="1"/>
  <c r="G206" i="5"/>
  <c r="B206" i="6" s="1"/>
  <c r="G200" i="5"/>
  <c r="B200" i="6" s="1"/>
  <c r="G194" i="5"/>
  <c r="B194" i="6" s="1"/>
  <c r="G354" i="5"/>
  <c r="B354" i="6" s="1"/>
  <c r="G301" i="5"/>
  <c r="B301" i="6" s="1"/>
  <c r="G279" i="5"/>
  <c r="B279" i="6" s="1"/>
  <c r="G256" i="5"/>
  <c r="B256" i="6" s="1"/>
  <c r="G233" i="5"/>
  <c r="B233" i="6" s="1"/>
  <c r="G210" i="5"/>
  <c r="B210" i="6" s="1"/>
  <c r="G182" i="5"/>
  <c r="B182" i="6" s="1"/>
  <c r="G162" i="5"/>
  <c r="B162" i="6" s="1"/>
  <c r="G149" i="5"/>
  <c r="B149" i="6" s="1"/>
  <c r="G136" i="5"/>
  <c r="B136" i="6" s="1"/>
  <c r="G331" i="5"/>
  <c r="B331" i="6" s="1"/>
  <c r="G309" i="5"/>
  <c r="B309" i="6" s="1"/>
  <c r="G286" i="5"/>
  <c r="B286" i="6" s="1"/>
  <c r="G263" i="5"/>
  <c r="B263" i="6" s="1"/>
  <c r="G240" i="5"/>
  <c r="B240" i="6" s="1"/>
  <c r="G175" i="5"/>
  <c r="B175" i="6" s="1"/>
  <c r="G361" i="5"/>
  <c r="B361" i="6" s="1"/>
  <c r="G339" i="5"/>
  <c r="B339" i="6" s="1"/>
  <c r="G316" i="5"/>
  <c r="B316" i="6" s="1"/>
  <c r="G293" i="5"/>
  <c r="B293" i="6" s="1"/>
  <c r="G270" i="5"/>
  <c r="B270" i="6" s="1"/>
  <c r="G217" i="5"/>
  <c r="B217" i="6" s="1"/>
  <c r="G195" i="5"/>
  <c r="B195" i="6" s="1"/>
  <c r="G188" i="5"/>
  <c r="B188" i="6" s="1"/>
  <c r="G168" i="5"/>
  <c r="B168" i="6" s="1"/>
  <c r="G155" i="5"/>
  <c r="B155" i="6" s="1"/>
  <c r="G142" i="5"/>
  <c r="B142" i="6" s="1"/>
  <c r="G129" i="5"/>
  <c r="B129" i="6" s="1"/>
  <c r="G123" i="5"/>
  <c r="B123" i="6" s="1"/>
  <c r="G117" i="5"/>
  <c r="B117" i="6" s="1"/>
  <c r="G111" i="5"/>
  <c r="B111" i="6" s="1"/>
  <c r="G105" i="5"/>
  <c r="B105" i="6" s="1"/>
  <c r="G99" i="5"/>
  <c r="B99" i="6" s="1"/>
  <c r="G93" i="5"/>
  <c r="B93" i="6" s="1"/>
  <c r="G87" i="5"/>
  <c r="B87" i="6" s="1"/>
  <c r="G81" i="5"/>
  <c r="B81" i="6" s="1"/>
  <c r="G75" i="5"/>
  <c r="B75" i="6" s="1"/>
  <c r="G69" i="5"/>
  <c r="B69" i="6" s="1"/>
  <c r="G63" i="5"/>
  <c r="B63" i="6" s="1"/>
  <c r="G57" i="5"/>
  <c r="B57" i="6" s="1"/>
  <c r="G51" i="5"/>
  <c r="B51" i="6" s="1"/>
  <c r="G45" i="5"/>
  <c r="B45" i="6" s="1"/>
  <c r="G39" i="5"/>
  <c r="B39" i="6" s="1"/>
  <c r="G33" i="5"/>
  <c r="B33" i="6" s="1"/>
  <c r="G27" i="5"/>
  <c r="B27" i="6" s="1"/>
  <c r="G21" i="5"/>
  <c r="B21" i="6" s="1"/>
  <c r="G15" i="5"/>
  <c r="B15" i="6" s="1"/>
  <c r="G9" i="5"/>
  <c r="B9" i="6" s="1"/>
  <c r="G346" i="5"/>
  <c r="B346" i="6" s="1"/>
  <c r="G323" i="5"/>
  <c r="B323" i="6" s="1"/>
  <c r="G300" i="5"/>
  <c r="B300" i="6" s="1"/>
  <c r="G247" i="5"/>
  <c r="B247" i="6" s="1"/>
  <c r="G225" i="5"/>
  <c r="B225" i="6" s="1"/>
  <c r="G202" i="5"/>
  <c r="B202" i="6" s="1"/>
  <c r="G181" i="5"/>
  <c r="B181" i="6" s="1"/>
  <c r="G353" i="5"/>
  <c r="B353" i="6" s="1"/>
  <c r="G330" i="5"/>
  <c r="B330" i="6" s="1"/>
  <c r="G277" i="5"/>
  <c r="B277" i="6" s="1"/>
  <c r="G255" i="5"/>
  <c r="B255" i="6" s="1"/>
  <c r="G232" i="5"/>
  <c r="B232" i="6" s="1"/>
  <c r="G209" i="5"/>
  <c r="B209" i="6" s="1"/>
  <c r="G174" i="5"/>
  <c r="B174" i="6" s="1"/>
  <c r="G161" i="5"/>
  <c r="B161" i="6" s="1"/>
  <c r="G148" i="5"/>
  <c r="B148" i="6" s="1"/>
  <c r="G135" i="5"/>
  <c r="B135" i="6" s="1"/>
  <c r="G360" i="5"/>
  <c r="B360" i="6" s="1"/>
  <c r="G337" i="5"/>
  <c r="B337" i="6" s="1"/>
  <c r="G315" i="5"/>
  <c r="B315" i="6" s="1"/>
  <c r="G292" i="5"/>
  <c r="B292" i="6" s="1"/>
  <c r="G269" i="5"/>
  <c r="B269" i="6" s="1"/>
  <c r="G246" i="5"/>
  <c r="B246" i="6" s="1"/>
  <c r="G180" i="5"/>
  <c r="B180" i="6" s="1"/>
  <c r="G167" i="5"/>
  <c r="B167" i="6" s="1"/>
  <c r="G154" i="5"/>
  <c r="B154" i="6" s="1"/>
  <c r="G141" i="5"/>
  <c r="B141" i="6" s="1"/>
  <c r="G128" i="5"/>
  <c r="B128" i="6" s="1"/>
  <c r="G122" i="5"/>
  <c r="B122" i="6" s="1"/>
  <c r="G116" i="5"/>
  <c r="B116" i="6" s="1"/>
  <c r="G110" i="5"/>
  <c r="B110" i="6" s="1"/>
  <c r="G104" i="5"/>
  <c r="B104" i="6" s="1"/>
  <c r="G98" i="5"/>
  <c r="B98" i="6" s="1"/>
  <c r="G92" i="5"/>
  <c r="B92" i="6" s="1"/>
  <c r="G86" i="5"/>
  <c r="B86" i="6" s="1"/>
  <c r="G80" i="5"/>
  <c r="B80" i="6" s="1"/>
  <c r="G74" i="5"/>
  <c r="B74" i="6" s="1"/>
  <c r="G68" i="5"/>
  <c r="B68" i="6" s="1"/>
  <c r="G62" i="5"/>
  <c r="B62" i="6" s="1"/>
  <c r="G56" i="5"/>
  <c r="B56" i="6" s="1"/>
  <c r="G50" i="5"/>
  <c r="B50" i="6" s="1"/>
  <c r="G44" i="5"/>
  <c r="B44" i="6" s="1"/>
  <c r="G38" i="5"/>
  <c r="B38" i="6" s="1"/>
  <c r="G32" i="5"/>
  <c r="B32" i="6" s="1"/>
  <c r="G26" i="5"/>
  <c r="B26" i="6" s="1"/>
  <c r="G20" i="5"/>
  <c r="B20" i="6" s="1"/>
  <c r="G14" i="5"/>
  <c r="B14" i="6" s="1"/>
  <c r="G8" i="5"/>
  <c r="B8" i="6" s="1"/>
  <c r="G345" i="5"/>
  <c r="B345" i="6" s="1"/>
  <c r="G322" i="5"/>
  <c r="B322" i="6" s="1"/>
  <c r="G299" i="5"/>
  <c r="B299" i="6" s="1"/>
  <c r="G276" i="5"/>
  <c r="B276" i="6" s="1"/>
  <c r="G223" i="5"/>
  <c r="B223" i="6" s="1"/>
  <c r="G201" i="5"/>
  <c r="B201" i="6" s="1"/>
  <c r="G193" i="5"/>
  <c r="B193" i="6" s="1"/>
  <c r="G307" i="5"/>
  <c r="B307" i="6" s="1"/>
  <c r="G288" i="5"/>
  <c r="B288" i="6" s="1"/>
  <c r="G259" i="5"/>
  <c r="B259" i="6" s="1"/>
  <c r="G113" i="5"/>
  <c r="B113" i="6" s="1"/>
  <c r="G90" i="5"/>
  <c r="B90" i="6" s="1"/>
  <c r="G67" i="5"/>
  <c r="B67" i="6" s="1"/>
  <c r="G355" i="5"/>
  <c r="B355" i="6" s="1"/>
  <c r="G327" i="5"/>
  <c r="B327" i="6" s="1"/>
  <c r="G317" i="5"/>
  <c r="B317" i="6" s="1"/>
  <c r="G241" i="5"/>
  <c r="B241" i="6" s="1"/>
  <c r="G231" i="5"/>
  <c r="B231" i="6" s="1"/>
  <c r="G185" i="5"/>
  <c r="B185" i="6" s="1"/>
  <c r="G160" i="5"/>
  <c r="B160" i="6" s="1"/>
  <c r="G144" i="5"/>
  <c r="B144" i="6" s="1"/>
  <c r="G120" i="5"/>
  <c r="B120" i="6" s="1"/>
  <c r="G97" i="5"/>
  <c r="B97" i="6" s="1"/>
  <c r="G22" i="5"/>
  <c r="B22" i="6" s="1"/>
  <c r="G134" i="5"/>
  <c r="B134" i="6" s="1"/>
  <c r="G364" i="5"/>
  <c r="B364" i="6" s="1"/>
  <c r="G335" i="5"/>
  <c r="B335" i="6" s="1"/>
  <c r="G306" i="5"/>
  <c r="B306" i="6" s="1"/>
  <c r="G268" i="5"/>
  <c r="B268" i="6" s="1"/>
  <c r="G250" i="5"/>
  <c r="B250" i="6" s="1"/>
  <c r="G221" i="5"/>
  <c r="B221" i="6" s="1"/>
  <c r="G213" i="5"/>
  <c r="B213" i="6" s="1"/>
  <c r="G177" i="5"/>
  <c r="B177" i="6" s="1"/>
  <c r="G169" i="5"/>
  <c r="B169" i="6" s="1"/>
  <c r="G152" i="5"/>
  <c r="B152" i="6" s="1"/>
  <c r="G127" i="5"/>
  <c r="B127" i="6" s="1"/>
  <c r="G52" i="5"/>
  <c r="B52" i="6" s="1"/>
  <c r="G29" i="5"/>
  <c r="B29" i="6" s="1"/>
  <c r="G6" i="5"/>
  <c r="B6" i="6" s="1"/>
  <c r="G297" i="5"/>
  <c r="B297" i="6" s="1"/>
  <c r="G258" i="5"/>
  <c r="B258" i="6" s="1"/>
  <c r="G203" i="5"/>
  <c r="B203" i="6" s="1"/>
  <c r="G192" i="5"/>
  <c r="B192" i="6" s="1"/>
  <c r="G82" i="5"/>
  <c r="B82" i="6" s="1"/>
  <c r="G59" i="5"/>
  <c r="B59" i="6" s="1"/>
  <c r="G36" i="5"/>
  <c r="B36" i="6" s="1"/>
  <c r="G13" i="5"/>
  <c r="B13" i="6" s="1"/>
  <c r="G73" i="5"/>
  <c r="B73" i="6" s="1"/>
  <c r="G343" i="5"/>
  <c r="B343" i="6" s="1"/>
  <c r="G287" i="5"/>
  <c r="B287" i="6" s="1"/>
  <c r="G239" i="5"/>
  <c r="B239" i="6" s="1"/>
  <c r="G112" i="5"/>
  <c r="B112" i="6" s="1"/>
  <c r="G89" i="5"/>
  <c r="B89" i="6" s="1"/>
  <c r="G66" i="5"/>
  <c r="B66" i="6" s="1"/>
  <c r="G43" i="5"/>
  <c r="B43" i="6" s="1"/>
  <c r="G325" i="5"/>
  <c r="B325" i="6" s="1"/>
  <c r="G229" i="5"/>
  <c r="B229" i="6" s="1"/>
  <c r="G184" i="5"/>
  <c r="B184" i="6" s="1"/>
  <c r="G159" i="5"/>
  <c r="B159" i="6" s="1"/>
  <c r="G151" i="5"/>
  <c r="B151" i="6" s="1"/>
  <c r="G143" i="5"/>
  <c r="B143" i="6" s="1"/>
  <c r="G119" i="5"/>
  <c r="B119" i="6" s="1"/>
  <c r="G96" i="5"/>
  <c r="B96" i="6" s="1"/>
  <c r="G363" i="5"/>
  <c r="B363" i="6" s="1"/>
  <c r="G334" i="5"/>
  <c r="B334" i="6" s="1"/>
  <c r="G305" i="5"/>
  <c r="B305" i="6" s="1"/>
  <c r="G267" i="5"/>
  <c r="B267" i="6" s="1"/>
  <c r="G249" i="5"/>
  <c r="B249" i="6" s="1"/>
  <c r="G220" i="5"/>
  <c r="B220" i="6" s="1"/>
  <c r="G211" i="5"/>
  <c r="B211" i="6" s="1"/>
  <c r="G176" i="5"/>
  <c r="B176" i="6" s="1"/>
  <c r="G126" i="5"/>
  <c r="B126" i="6" s="1"/>
  <c r="G103" i="5"/>
  <c r="B103" i="6" s="1"/>
  <c r="G28" i="5"/>
  <c r="B28" i="6" s="1"/>
  <c r="G352" i="5"/>
  <c r="B352" i="6" s="1"/>
  <c r="G342" i="5"/>
  <c r="B342" i="6" s="1"/>
  <c r="G295" i="5"/>
  <c r="B295" i="6" s="1"/>
  <c r="G257" i="5"/>
  <c r="B257" i="6" s="1"/>
  <c r="G238" i="5"/>
  <c r="B238" i="6" s="1"/>
  <c r="G191" i="5"/>
  <c r="B191" i="6" s="1"/>
  <c r="G58" i="5"/>
  <c r="B58" i="6" s="1"/>
  <c r="G35" i="5"/>
  <c r="B35" i="6" s="1"/>
  <c r="G12" i="5"/>
  <c r="B12" i="6" s="1"/>
  <c r="G319" i="5"/>
  <c r="B319" i="6" s="1"/>
  <c r="G282" i="5"/>
  <c r="B282" i="6" s="1"/>
  <c r="G158" i="5"/>
  <c r="B158" i="6" s="1"/>
  <c r="G40" i="5"/>
  <c r="B40" i="6" s="1"/>
  <c r="G30" i="5"/>
  <c r="B30" i="6" s="1"/>
  <c r="G10" i="5"/>
  <c r="B10" i="6" s="1"/>
  <c r="G313" i="5"/>
  <c r="B313" i="6" s="1"/>
  <c r="G294" i="5"/>
  <c r="B294" i="6" s="1"/>
  <c r="G235" i="5"/>
  <c r="B235" i="6" s="1"/>
  <c r="G199" i="5"/>
  <c r="B199" i="6" s="1"/>
  <c r="G147" i="5"/>
  <c r="B147" i="6" s="1"/>
  <c r="G146" i="5"/>
  <c r="B146" i="6" s="1"/>
  <c r="G85" i="5"/>
  <c r="B85" i="6" s="1"/>
  <c r="G243" i="5"/>
  <c r="B243" i="6" s="1"/>
  <c r="G132" i="5"/>
  <c r="B132" i="6" s="1"/>
  <c r="G54" i="5"/>
  <c r="B54" i="6" s="1"/>
  <c r="G16" i="5"/>
  <c r="B16" i="6" s="1"/>
  <c r="G189" i="5"/>
  <c r="B189" i="6" s="1"/>
  <c r="G137" i="5"/>
  <c r="B137" i="6" s="1"/>
  <c r="G107" i="5"/>
  <c r="B107" i="6" s="1"/>
  <c r="G48" i="5"/>
  <c r="B48" i="6" s="1"/>
  <c r="G365" i="5"/>
  <c r="B365" i="6" s="1"/>
  <c r="G133" i="5"/>
  <c r="B133" i="6" s="1"/>
  <c r="G318" i="5"/>
  <c r="B318" i="6" s="1"/>
  <c r="G271" i="5"/>
  <c r="B271" i="6" s="1"/>
  <c r="G245" i="5"/>
  <c r="B245" i="6" s="1"/>
  <c r="G178" i="5"/>
  <c r="B178" i="6" s="1"/>
  <c r="G157" i="5"/>
  <c r="B157" i="6" s="1"/>
  <c r="G77" i="5"/>
  <c r="B77" i="6" s="1"/>
  <c r="G18" i="5"/>
  <c r="B18" i="6" s="1"/>
  <c r="G253" i="5"/>
  <c r="B253" i="6" s="1"/>
  <c r="G173" i="5"/>
  <c r="B173" i="6" s="1"/>
  <c r="G64" i="5"/>
  <c r="B64" i="6" s="1"/>
  <c r="G341" i="5"/>
  <c r="B341" i="6" s="1"/>
  <c r="G329" i="5"/>
  <c r="B329" i="6" s="1"/>
  <c r="G281" i="5"/>
  <c r="B281" i="6" s="1"/>
  <c r="G234" i="5"/>
  <c r="B234" i="6" s="1"/>
  <c r="G222" i="5"/>
  <c r="B222" i="6" s="1"/>
  <c r="G198" i="5"/>
  <c r="B198" i="6" s="1"/>
  <c r="G166" i="5"/>
  <c r="B166" i="6" s="1"/>
  <c r="G125" i="5"/>
  <c r="B125" i="6" s="1"/>
  <c r="G115" i="5"/>
  <c r="B115" i="6" s="1"/>
  <c r="G95" i="5"/>
  <c r="B95" i="6" s="1"/>
  <c r="G145" i="5"/>
  <c r="B145" i="6" s="1"/>
  <c r="G303" i="5"/>
  <c r="B303" i="6" s="1"/>
  <c r="G304" i="5"/>
  <c r="B304" i="6" s="1"/>
  <c r="G187" i="5"/>
  <c r="B187" i="6" s="1"/>
  <c r="G156" i="5"/>
  <c r="B156" i="6" s="1"/>
  <c r="G106" i="5"/>
  <c r="B106" i="6" s="1"/>
  <c r="G47" i="5"/>
  <c r="B47" i="6" s="1"/>
  <c r="G351" i="5"/>
  <c r="B351" i="6" s="1"/>
  <c r="G340" i="5"/>
  <c r="B340" i="6" s="1"/>
  <c r="G291" i="5"/>
  <c r="B291" i="6" s="1"/>
  <c r="G280" i="5"/>
  <c r="B280" i="6" s="1"/>
  <c r="G197" i="5"/>
  <c r="B197" i="6" s="1"/>
  <c r="G186" i="5"/>
  <c r="B186" i="6" s="1"/>
  <c r="G165" i="5"/>
  <c r="B165" i="6" s="1"/>
  <c r="G124" i="5"/>
  <c r="B124" i="6" s="1"/>
  <c r="G94" i="5"/>
  <c r="B94" i="6" s="1"/>
  <c r="G219" i="5"/>
  <c r="B219" i="6" s="1"/>
  <c r="G46" i="5"/>
  <c r="B46" i="6" s="1"/>
  <c r="G265" i="5"/>
  <c r="B265" i="6" s="1"/>
  <c r="G244" i="5"/>
  <c r="B244" i="6" s="1"/>
  <c r="G76" i="5"/>
  <c r="B76" i="6" s="1"/>
  <c r="G65" i="5"/>
  <c r="B65" i="6" s="1"/>
  <c r="G55" i="5"/>
  <c r="B55" i="6" s="1"/>
  <c r="G37" i="5"/>
  <c r="B37" i="6" s="1"/>
  <c r="G17" i="5"/>
  <c r="B17" i="6" s="1"/>
  <c r="G7" i="5"/>
  <c r="B7" i="6" s="1"/>
  <c r="G328" i="5"/>
  <c r="B328" i="6" s="1"/>
  <c r="G208" i="5"/>
  <c r="B208" i="6" s="1"/>
  <c r="G114" i="5"/>
  <c r="B114" i="6" s="1"/>
  <c r="G84" i="5"/>
  <c r="B84" i="6" s="1"/>
  <c r="G25" i="5"/>
  <c r="B25" i="6" s="1"/>
  <c r="G358" i="5"/>
  <c r="B358" i="6" s="1"/>
  <c r="G215" i="5"/>
  <c r="B215" i="6" s="1"/>
  <c r="G171" i="5"/>
  <c r="B171" i="6" s="1"/>
  <c r="G101" i="5"/>
  <c r="B101" i="6" s="1"/>
  <c r="G19" i="5"/>
  <c r="B19" i="6" s="1"/>
  <c r="G227" i="5"/>
  <c r="B227" i="6" s="1"/>
  <c r="G70" i="5"/>
  <c r="B70" i="6" s="1"/>
  <c r="G150" i="5"/>
  <c r="B150" i="6" s="1"/>
  <c r="G79" i="5"/>
  <c r="B79" i="6" s="1"/>
  <c r="G349" i="5"/>
  <c r="B349" i="6" s="1"/>
  <c r="G311" i="5"/>
  <c r="B311" i="6" s="1"/>
  <c r="G262" i="5"/>
  <c r="B262" i="6" s="1"/>
  <c r="G183" i="5"/>
  <c r="B183" i="6" s="1"/>
  <c r="G72" i="5"/>
  <c r="B72" i="6" s="1"/>
  <c r="G273" i="5"/>
  <c r="B273" i="6" s="1"/>
  <c r="G226" i="5"/>
  <c r="B226" i="6" s="1"/>
  <c r="G190" i="5"/>
  <c r="B190" i="6" s="1"/>
  <c r="G359" i="5"/>
  <c r="B359" i="6" s="1"/>
  <c r="G172" i="5"/>
  <c r="B172" i="6" s="1"/>
  <c r="G102" i="5"/>
  <c r="B102" i="6" s="1"/>
  <c r="G34" i="5"/>
  <c r="B34" i="6" s="1"/>
  <c r="G275" i="5"/>
  <c r="B275" i="6" s="1"/>
  <c r="G228" i="5"/>
  <c r="B228" i="6" s="1"/>
  <c r="G140" i="5"/>
  <c r="B140" i="6" s="1"/>
  <c r="G83" i="5"/>
  <c r="B83" i="6" s="1"/>
  <c r="G336" i="5"/>
  <c r="B336" i="6" s="1"/>
  <c r="G179" i="5"/>
  <c r="B179" i="6" s="1"/>
  <c r="G164" i="5"/>
  <c r="B164" i="6" s="1"/>
  <c r="G163" i="5"/>
  <c r="B163" i="6" s="1"/>
  <c r="G24" i="5"/>
  <c r="B24" i="6" s="1"/>
  <c r="G252" i="5"/>
  <c r="B252" i="6" s="1"/>
  <c r="G23" i="5"/>
  <c r="B23" i="6" s="1"/>
  <c r="G324" i="5"/>
  <c r="B324" i="6" s="1"/>
  <c r="G60" i="5"/>
  <c r="B60" i="6" s="1"/>
  <c r="G31" i="5"/>
  <c r="B31" i="6" s="1"/>
  <c r="G109" i="5"/>
  <c r="B109" i="6" s="1"/>
  <c r="G11" i="5"/>
  <c r="B11" i="6" s="1"/>
  <c r="G285" i="5"/>
  <c r="B285" i="6" s="1"/>
  <c r="G207" i="5"/>
  <c r="B207" i="6" s="1"/>
  <c r="G121" i="5"/>
  <c r="B121" i="6" s="1"/>
  <c r="G237" i="5"/>
  <c r="B237" i="6" s="1"/>
  <c r="G348" i="5"/>
  <c r="B348" i="6" s="1"/>
  <c r="G205" i="5"/>
  <c r="B205" i="6" s="1"/>
  <c r="G91" i="5"/>
  <c r="B91" i="6" s="1"/>
  <c r="G131" i="5"/>
  <c r="B131" i="6" s="1"/>
  <c r="G118" i="5"/>
  <c r="B118" i="6" s="1"/>
  <c r="G357" i="5"/>
  <c r="B357" i="6" s="1"/>
  <c r="G261" i="5"/>
  <c r="B261" i="6" s="1"/>
  <c r="G214" i="5"/>
  <c r="B214" i="6" s="1"/>
  <c r="G170" i="5"/>
  <c r="B170" i="6" s="1"/>
  <c r="G100" i="5"/>
  <c r="B100" i="6" s="1"/>
  <c r="G274" i="5"/>
  <c r="B274" i="6" s="1"/>
  <c r="G289" i="5"/>
  <c r="B289" i="6" s="1"/>
  <c r="G138" i="5"/>
  <c r="B138" i="6" s="1"/>
  <c r="G41" i="5"/>
  <c r="B41" i="6" s="1"/>
  <c r="G283" i="5"/>
  <c r="B283" i="6" s="1"/>
  <c r="G251" i="5"/>
  <c r="B251" i="6" s="1"/>
  <c r="G310" i="5"/>
  <c r="B310" i="6" s="1"/>
  <c r="G196" i="5"/>
  <c r="B196" i="6" s="1"/>
  <c r="G153" i="5"/>
  <c r="B153" i="6" s="1"/>
  <c r="G139" i="5"/>
  <c r="B139" i="6" s="1"/>
  <c r="G71" i="5"/>
  <c r="B71" i="6" s="1"/>
  <c r="G42" i="5"/>
  <c r="B42" i="6" s="1"/>
  <c r="G321" i="5"/>
  <c r="B321" i="6" s="1"/>
  <c r="G108" i="5"/>
  <c r="B108" i="6" s="1"/>
  <c r="G53" i="5"/>
  <c r="B53" i="6" s="1"/>
  <c r="G333" i="5"/>
  <c r="B333" i="6" s="1"/>
  <c r="G78" i="5"/>
  <c r="B78" i="6" s="1"/>
  <c r="G204" i="5"/>
  <c r="B204" i="6" s="1"/>
  <c r="G312" i="5"/>
  <c r="B312" i="6" s="1"/>
  <c r="B142" i="5"/>
  <c r="B102" i="5"/>
  <c r="A7" i="7"/>
  <c r="B6" i="7"/>
  <c r="J6" i="7"/>
  <c r="K6" i="7" s="1"/>
  <c r="G216" i="5" l="1"/>
  <c r="B216" i="6" s="1"/>
  <c r="G88" i="5"/>
  <c r="B88" i="6" s="1"/>
  <c r="G264" i="5"/>
  <c r="B264" i="6" s="1"/>
  <c r="G130" i="5"/>
  <c r="B130" i="6" s="1"/>
  <c r="C42" i="4"/>
  <c r="G42" i="4" s="1"/>
  <c r="D42" i="5"/>
  <c r="D90" i="5"/>
  <c r="C90" i="4"/>
  <c r="G90" i="4" s="1"/>
  <c r="D248" i="5"/>
  <c r="C248" i="4"/>
  <c r="G248" i="4" s="1"/>
  <c r="D119" i="5"/>
  <c r="C119" i="4"/>
  <c r="G119" i="4" s="1"/>
  <c r="D225" i="5"/>
  <c r="C225" i="4"/>
  <c r="G225" i="4" s="1"/>
  <c r="D33" i="5"/>
  <c r="C33" i="4"/>
  <c r="G33" i="4" s="1"/>
  <c r="C231" i="4"/>
  <c r="G231" i="4" s="1"/>
  <c r="D231" i="5"/>
  <c r="C95" i="4"/>
  <c r="G95" i="4" s="1"/>
  <c r="D95" i="5"/>
  <c r="D168" i="5"/>
  <c r="C168" i="4"/>
  <c r="G168" i="4" s="1"/>
  <c r="C251" i="4"/>
  <c r="G251" i="4" s="1"/>
  <c r="D251" i="5"/>
  <c r="D266" i="5"/>
  <c r="C266" i="4"/>
  <c r="G266" i="4" s="1"/>
  <c r="D8" i="5"/>
  <c r="C8" i="4"/>
  <c r="G8" i="4" s="1"/>
  <c r="D277" i="5"/>
  <c r="C277" i="4"/>
  <c r="G277" i="4" s="1"/>
  <c r="C243" i="4"/>
  <c r="G243" i="4" s="1"/>
  <c r="D243" i="5"/>
  <c r="D238" i="5"/>
  <c r="C238" i="4"/>
  <c r="G238" i="4" s="1"/>
  <c r="D249" i="5"/>
  <c r="C249" i="4"/>
  <c r="G249" i="4" s="1"/>
  <c r="D337" i="5"/>
  <c r="C337" i="4"/>
  <c r="G337" i="4" s="1"/>
  <c r="D247" i="5"/>
  <c r="C247" i="4"/>
  <c r="G247" i="4" s="1"/>
  <c r="D323" i="5"/>
  <c r="C323" i="4"/>
  <c r="G323" i="4" s="1"/>
  <c r="C255" i="4"/>
  <c r="G255" i="4" s="1"/>
  <c r="D255" i="5"/>
  <c r="D342" i="5"/>
  <c r="C342" i="4"/>
  <c r="G342" i="4" s="1"/>
  <c r="D140" i="5"/>
  <c r="C140" i="4"/>
  <c r="G140" i="4" s="1"/>
  <c r="D306" i="5"/>
  <c r="C306" i="4"/>
  <c r="G306" i="4" s="1"/>
  <c r="C267" i="4"/>
  <c r="G267" i="4" s="1"/>
  <c r="D267" i="5"/>
  <c r="D43" i="5"/>
  <c r="C43" i="4"/>
  <c r="G43" i="4" s="1"/>
  <c r="D317" i="5"/>
  <c r="C317" i="4"/>
  <c r="G317" i="4" s="1"/>
  <c r="C322" i="4"/>
  <c r="G322" i="4" s="1"/>
  <c r="D322" i="5"/>
  <c r="C115" i="4"/>
  <c r="G115" i="4" s="1"/>
  <c r="D115" i="5"/>
  <c r="D245" i="5"/>
  <c r="C245" i="4"/>
  <c r="G245" i="4" s="1"/>
  <c r="C66" i="4"/>
  <c r="G66" i="4" s="1"/>
  <c r="D66" i="5"/>
  <c r="C335" i="4"/>
  <c r="G335" i="4" s="1"/>
  <c r="D335" i="5"/>
  <c r="D193" i="5"/>
  <c r="C193" i="4"/>
  <c r="G193" i="4" s="1"/>
  <c r="C98" i="4"/>
  <c r="G98" i="4" s="1"/>
  <c r="D98" i="5"/>
  <c r="D240" i="5"/>
  <c r="C240" i="4"/>
  <c r="G240" i="4" s="1"/>
  <c r="D40" i="5"/>
  <c r="C40" i="4"/>
  <c r="G40" i="4" s="1"/>
  <c r="D308" i="5"/>
  <c r="C308" i="4"/>
  <c r="G308" i="4" s="1"/>
  <c r="C159" i="4"/>
  <c r="G159" i="4" s="1"/>
  <c r="D159" i="5"/>
  <c r="D80" i="5"/>
  <c r="C80" i="4"/>
  <c r="G80" i="4" s="1"/>
  <c r="D146" i="5"/>
  <c r="C146" i="4"/>
  <c r="G146" i="4" s="1"/>
  <c r="D89" i="5"/>
  <c r="C89" i="4"/>
  <c r="G89" i="4" s="1"/>
  <c r="D259" i="5"/>
  <c r="C259" i="4"/>
  <c r="G259" i="4" s="1"/>
  <c r="D286" i="5"/>
  <c r="C286" i="4"/>
  <c r="G286" i="4" s="1"/>
  <c r="D52" i="5"/>
  <c r="C52" i="4"/>
  <c r="G52" i="4" s="1"/>
  <c r="D320" i="5"/>
  <c r="C320" i="4"/>
  <c r="G320" i="4" s="1"/>
  <c r="D163" i="5"/>
  <c r="C163" i="4"/>
  <c r="G163" i="4" s="1"/>
  <c r="C198" i="4"/>
  <c r="G198" i="4" s="1"/>
  <c r="D198" i="5"/>
  <c r="C303" i="4"/>
  <c r="G303" i="4" s="1"/>
  <c r="D303" i="5"/>
  <c r="A8" i="7"/>
  <c r="B7" i="7"/>
  <c r="C7" i="7" s="1"/>
  <c r="J7" i="7"/>
  <c r="K7" i="7" s="1"/>
  <c r="A7" i="2"/>
  <c r="D253" i="5"/>
  <c r="C253" i="4"/>
  <c r="G253" i="4" s="1"/>
  <c r="C234" i="4"/>
  <c r="G234" i="4" s="1"/>
  <c r="D234" i="5"/>
  <c r="C144" i="4"/>
  <c r="G144" i="4" s="1"/>
  <c r="D144" i="5"/>
  <c r="D310" i="5"/>
  <c r="C310" i="4"/>
  <c r="G310" i="4" s="1"/>
  <c r="C102" i="4"/>
  <c r="G102" i="4" s="1"/>
  <c r="D102" i="5"/>
  <c r="D281" i="5"/>
  <c r="C281" i="4"/>
  <c r="G281" i="4" s="1"/>
  <c r="D292" i="5"/>
  <c r="C292" i="4"/>
  <c r="G292" i="4" s="1"/>
  <c r="C148" i="4"/>
  <c r="G148" i="4" s="1"/>
  <c r="D148" i="5"/>
  <c r="D350" i="5"/>
  <c r="C350" i="4"/>
  <c r="G350" i="4" s="1"/>
  <c r="D227" i="5"/>
  <c r="C227" i="4"/>
  <c r="G227" i="4" s="1"/>
  <c r="C101" i="4"/>
  <c r="G101" i="4" s="1"/>
  <c r="D101" i="5"/>
  <c r="C132" i="4"/>
  <c r="G132" i="4" s="1"/>
  <c r="D132" i="5"/>
  <c r="D329" i="5"/>
  <c r="C329" i="4"/>
  <c r="G329" i="4" s="1"/>
  <c r="C86" i="4"/>
  <c r="G86" i="4" s="1"/>
  <c r="D86" i="5"/>
  <c r="C165" i="4"/>
  <c r="G165" i="4" s="1"/>
  <c r="D165" i="5"/>
  <c r="D325" i="5"/>
  <c r="C325" i="4"/>
  <c r="G325" i="4" s="1"/>
  <c r="C185" i="4"/>
  <c r="G185" i="4" s="1"/>
  <c r="D185" i="5"/>
  <c r="D45" i="5"/>
  <c r="C45" i="4"/>
  <c r="G45" i="4" s="1"/>
  <c r="D161" i="5"/>
  <c r="C161" i="4"/>
  <c r="G161" i="4" s="1"/>
  <c r="D210" i="5"/>
  <c r="C210" i="4"/>
  <c r="G210" i="4" s="1"/>
  <c r="D88" i="5"/>
  <c r="C88" i="4"/>
  <c r="G88" i="4" s="1"/>
  <c r="D212" i="5"/>
  <c r="C212" i="4"/>
  <c r="G212" i="4" s="1"/>
  <c r="D356" i="5"/>
  <c r="C356" i="4"/>
  <c r="G356" i="4" s="1"/>
  <c r="C327" i="4"/>
  <c r="G327" i="4" s="1"/>
  <c r="D327" i="5"/>
  <c r="C275" i="4"/>
  <c r="G275" i="4" s="1"/>
  <c r="D275" i="5"/>
  <c r="D155" i="5"/>
  <c r="C155" i="4"/>
  <c r="G155" i="4" s="1"/>
  <c r="D117" i="5"/>
  <c r="C117" i="4"/>
  <c r="G117" i="4" s="1"/>
  <c r="C178" i="4"/>
  <c r="G178" i="4" s="1"/>
  <c r="D178" i="5"/>
  <c r="D330" i="5"/>
  <c r="C330" i="4"/>
  <c r="G330" i="4" s="1"/>
  <c r="D258" i="5"/>
  <c r="C258" i="4"/>
  <c r="G258" i="4" s="1"/>
  <c r="D226" i="5"/>
  <c r="C226" i="4"/>
  <c r="G226" i="4" s="1"/>
  <c r="D194" i="5"/>
  <c r="C194" i="4"/>
  <c r="G194" i="4" s="1"/>
  <c r="D202" i="5"/>
  <c r="C202" i="4"/>
  <c r="G202" i="4" s="1"/>
  <c r="D220" i="5"/>
  <c r="C220" i="4"/>
  <c r="G220" i="4" s="1"/>
  <c r="C10" i="4"/>
  <c r="G10" i="4" s="1"/>
  <c r="D10" i="5"/>
  <c r="C6" i="7"/>
  <c r="B24" i="1"/>
  <c r="B25" i="1" s="1"/>
  <c r="D136" i="5"/>
  <c r="C136" i="4"/>
  <c r="G136" i="4" s="1"/>
  <c r="D141" i="5"/>
  <c r="C141" i="4"/>
  <c r="G141" i="4" s="1"/>
  <c r="D319" i="5"/>
  <c r="C319" i="4"/>
  <c r="G319" i="4" s="1"/>
  <c r="D7" i="5"/>
  <c r="C7" i="4"/>
  <c r="G7" i="4" s="1"/>
  <c r="C135" i="4"/>
  <c r="G135" i="4" s="1"/>
  <c r="D135" i="5"/>
  <c r="D162" i="5"/>
  <c r="C162" i="4"/>
  <c r="G162" i="4" s="1"/>
  <c r="C12" i="4"/>
  <c r="G12" i="4" s="1"/>
  <c r="D12" i="5"/>
  <c r="D160" i="5"/>
  <c r="C160" i="4"/>
  <c r="G160" i="4" s="1"/>
  <c r="C321" i="4"/>
  <c r="G321" i="4" s="1"/>
  <c r="D321" i="5"/>
  <c r="C71" i="4"/>
  <c r="G71" i="4" s="1"/>
  <c r="D71" i="5"/>
  <c r="D129" i="5"/>
  <c r="C129" i="4"/>
  <c r="G129" i="4" s="1"/>
  <c r="D93" i="5"/>
  <c r="C93" i="4"/>
  <c r="G93" i="4" s="1"/>
  <c r="D341" i="5"/>
  <c r="C341" i="4"/>
  <c r="G341" i="4" s="1"/>
  <c r="C96" i="4"/>
  <c r="G96" i="4" s="1"/>
  <c r="D96" i="5"/>
  <c r="D208" i="5"/>
  <c r="C208" i="4"/>
  <c r="G208" i="4" s="1"/>
  <c r="C13" i="4"/>
  <c r="G13" i="4" s="1"/>
  <c r="D13" i="5"/>
  <c r="D29" i="5"/>
  <c r="C29" i="4"/>
  <c r="G29" i="4" s="1"/>
  <c r="D53" i="5"/>
  <c r="C53" i="4"/>
  <c r="G53" i="4" s="1"/>
  <c r="C174" i="4"/>
  <c r="G174" i="4" s="1"/>
  <c r="D174" i="5"/>
  <c r="D233" i="5"/>
  <c r="C233" i="4"/>
  <c r="G233" i="4" s="1"/>
  <c r="C94" i="4"/>
  <c r="G94" i="4" s="1"/>
  <c r="D94" i="5"/>
  <c r="D218" i="5"/>
  <c r="C218" i="4"/>
  <c r="G218" i="4" s="1"/>
  <c r="D362" i="5"/>
  <c r="C362" i="4"/>
  <c r="G362" i="4" s="1"/>
  <c r="C333" i="4"/>
  <c r="G333" i="4" s="1"/>
  <c r="D333" i="5"/>
  <c r="D107" i="5"/>
  <c r="C107" i="4"/>
  <c r="G107" i="4" s="1"/>
  <c r="C124" i="4"/>
  <c r="G124" i="4" s="1"/>
  <c r="D124" i="5"/>
  <c r="C42" i="6"/>
  <c r="D181" i="5"/>
  <c r="C181" i="4"/>
  <c r="G181" i="4" s="1"/>
  <c r="C130" i="4"/>
  <c r="G130" i="4" s="1"/>
  <c r="D130" i="5"/>
  <c r="C79" i="4"/>
  <c r="G79" i="4" s="1"/>
  <c r="D79" i="5"/>
  <c r="D126" i="5"/>
  <c r="C126" i="4"/>
  <c r="G126" i="4" s="1"/>
  <c r="D343" i="5"/>
  <c r="C343" i="4"/>
  <c r="G343" i="4" s="1"/>
  <c r="D222" i="5"/>
  <c r="C222" i="4"/>
  <c r="G222" i="4" s="1"/>
  <c r="D143" i="5"/>
  <c r="C143" i="4"/>
  <c r="G143" i="4" s="1"/>
  <c r="D349" i="5"/>
  <c r="C349" i="4"/>
  <c r="G349" i="4" s="1"/>
  <c r="C62" i="4"/>
  <c r="G62" i="4" s="1"/>
  <c r="D62" i="5"/>
  <c r="C184" i="4"/>
  <c r="G184" i="4" s="1"/>
  <c r="D184" i="5"/>
  <c r="D177" i="5"/>
  <c r="C177" i="4"/>
  <c r="G177" i="4" s="1"/>
  <c r="D269" i="5"/>
  <c r="C269" i="4"/>
  <c r="G269" i="4" s="1"/>
  <c r="D347" i="5"/>
  <c r="C347" i="4"/>
  <c r="G347" i="4" s="1"/>
  <c r="D169" i="5"/>
  <c r="C169" i="4"/>
  <c r="G169" i="4" s="1"/>
  <c r="C196" i="6"/>
  <c r="C114" i="4"/>
  <c r="G114" i="4" s="1"/>
  <c r="D114" i="5"/>
  <c r="C27" i="4"/>
  <c r="G27" i="4" s="1"/>
  <c r="D27" i="5"/>
  <c r="D37" i="5"/>
  <c r="C37" i="4"/>
  <c r="G37" i="4" s="1"/>
  <c r="C196" i="4"/>
  <c r="G196" i="4" s="1"/>
  <c r="D196" i="5"/>
  <c r="D32" i="5"/>
  <c r="C32" i="4"/>
  <c r="G32" i="4" s="1"/>
  <c r="D268" i="5"/>
  <c r="C268" i="4"/>
  <c r="G268" i="4" s="1"/>
  <c r="C261" i="4"/>
  <c r="G261" i="4" s="1"/>
  <c r="D261" i="5"/>
  <c r="C304" i="4"/>
  <c r="G304" i="4" s="1"/>
  <c r="D304" i="5"/>
  <c r="D305" i="5"/>
  <c r="C305" i="4"/>
  <c r="G305" i="4" s="1"/>
  <c r="C75" i="4"/>
  <c r="G75" i="4" s="1"/>
  <c r="D75" i="5"/>
  <c r="C15" i="4"/>
  <c r="G15" i="4" s="1"/>
  <c r="D15" i="5"/>
  <c r="D188" i="5"/>
  <c r="C188" i="4"/>
  <c r="G188" i="4" s="1"/>
  <c r="D28" i="5"/>
  <c r="C28" i="4"/>
  <c r="G28" i="4" s="1"/>
  <c r="D294" i="5"/>
  <c r="C294" i="4"/>
  <c r="G294" i="4" s="1"/>
  <c r="D265" i="5"/>
  <c r="C265" i="4"/>
  <c r="G265" i="4" s="1"/>
  <c r="D273" i="5"/>
  <c r="C273" i="4"/>
  <c r="G273" i="4" s="1"/>
  <c r="C183" i="4"/>
  <c r="G183" i="4" s="1"/>
  <c r="D183" i="5"/>
  <c r="D340" i="5"/>
  <c r="C340" i="4"/>
  <c r="G340" i="4" s="1"/>
  <c r="C348" i="4"/>
  <c r="G348" i="4" s="1"/>
  <c r="D348" i="5"/>
  <c r="D285" i="5"/>
  <c r="C285" i="4"/>
  <c r="G285" i="4" s="1"/>
  <c r="C50" i="4"/>
  <c r="G50" i="4" s="1"/>
  <c r="D50" i="5"/>
  <c r="C47" i="4"/>
  <c r="G47" i="4" s="1"/>
  <c r="D47" i="5"/>
  <c r="D145" i="5"/>
  <c r="C145" i="4"/>
  <c r="G145" i="4" s="1"/>
  <c r="C291" i="4"/>
  <c r="G291" i="4" s="1"/>
  <c r="D291" i="5"/>
  <c r="C173" i="4"/>
  <c r="G173" i="4" s="1"/>
  <c r="D173" i="5"/>
  <c r="D158" i="5"/>
  <c r="C158" i="4"/>
  <c r="G158" i="4" s="1"/>
  <c r="D298" i="5"/>
  <c r="C298" i="4"/>
  <c r="G298" i="4" s="1"/>
  <c r="D361" i="5"/>
  <c r="C361" i="4"/>
  <c r="G361" i="4" s="1"/>
  <c r="D58" i="5"/>
  <c r="C58" i="4"/>
  <c r="G58" i="4" s="1"/>
  <c r="D9" i="5"/>
  <c r="C9" i="4"/>
  <c r="G9" i="4" s="1"/>
  <c r="D246" i="5"/>
  <c r="C246" i="4"/>
  <c r="G246" i="4" s="1"/>
  <c r="D149" i="5"/>
  <c r="C149" i="4"/>
  <c r="G149" i="4" s="1"/>
  <c r="D25" i="5"/>
  <c r="C25" i="4"/>
  <c r="G25" i="4" s="1"/>
  <c r="D152" i="5"/>
  <c r="C152" i="4"/>
  <c r="G152" i="4" s="1"/>
  <c r="D200" i="5"/>
  <c r="C200" i="4"/>
  <c r="G200" i="4" s="1"/>
  <c r="D142" i="5"/>
  <c r="C142" i="4"/>
  <c r="G142" i="4" s="1"/>
  <c r="C299" i="4"/>
  <c r="G299" i="4" s="1"/>
  <c r="D299" i="5"/>
  <c r="C276" i="4"/>
  <c r="G276" i="4" s="1"/>
  <c r="D276" i="5"/>
  <c r="D175" i="5"/>
  <c r="C175" i="4"/>
  <c r="G175" i="4" s="1"/>
  <c r="D206" i="5"/>
  <c r="C206" i="4"/>
  <c r="G206" i="4" s="1"/>
  <c r="C110" i="4"/>
  <c r="G110" i="4" s="1"/>
  <c r="D110" i="5"/>
  <c r="C171" i="4"/>
  <c r="G171" i="4" s="1"/>
  <c r="D171" i="5"/>
  <c r="C191" i="4"/>
  <c r="G191" i="4" s="1"/>
  <c r="D191" i="5"/>
  <c r="C352" i="4"/>
  <c r="G352" i="4" s="1"/>
  <c r="D352" i="5"/>
  <c r="C147" i="4"/>
  <c r="G147" i="4" s="1"/>
  <c r="D147" i="5"/>
  <c r="D257" i="5"/>
  <c r="C257" i="4"/>
  <c r="G257" i="4" s="1"/>
  <c r="C36" i="4"/>
  <c r="G36" i="4" s="1"/>
  <c r="D36" i="5"/>
  <c r="D104" i="5"/>
  <c r="C104" i="4"/>
  <c r="G104" i="4" s="1"/>
  <c r="D128" i="5"/>
  <c r="C128" i="4"/>
  <c r="G128" i="4" s="1"/>
  <c r="D187" i="5"/>
  <c r="C187" i="4"/>
  <c r="G187" i="4" s="1"/>
  <c r="D256" i="5"/>
  <c r="C256" i="4"/>
  <c r="G256" i="4" s="1"/>
  <c r="C100" i="4"/>
  <c r="G100" i="4" s="1"/>
  <c r="D100" i="5"/>
  <c r="D224" i="5"/>
  <c r="C224" i="4"/>
  <c r="G224" i="4" s="1"/>
  <c r="C195" i="4"/>
  <c r="G195" i="4" s="1"/>
  <c r="D195" i="5"/>
  <c r="C339" i="4"/>
  <c r="G339" i="4" s="1"/>
  <c r="D339" i="5"/>
  <c r="D35" i="5"/>
  <c r="C35" i="4"/>
  <c r="G35" i="4" s="1"/>
  <c r="C219" i="4"/>
  <c r="G219" i="4" s="1"/>
  <c r="D219" i="5"/>
  <c r="D116" i="5"/>
  <c r="C116" i="4"/>
  <c r="G116" i="4" s="1"/>
  <c r="D254" i="5"/>
  <c r="C254" i="4"/>
  <c r="G254" i="4" s="1"/>
  <c r="C190" i="4"/>
  <c r="G190" i="4" s="1"/>
  <c r="D190" i="5"/>
  <c r="D55" i="5"/>
  <c r="C55" i="4"/>
  <c r="G55" i="4" s="1"/>
  <c r="C237" i="4"/>
  <c r="G237" i="4" s="1"/>
  <c r="D237" i="5"/>
  <c r="C334" i="4"/>
  <c r="G334" i="4" s="1"/>
  <c r="D334" i="5"/>
  <c r="C359" i="4"/>
  <c r="G359" i="4" s="1"/>
  <c r="D359" i="5"/>
  <c r="D18" i="5"/>
  <c r="C18" i="4"/>
  <c r="G18" i="4" s="1"/>
  <c r="D278" i="5"/>
  <c r="C278" i="4"/>
  <c r="G278" i="4" s="1"/>
  <c r="C274" i="4"/>
  <c r="G274" i="4" s="1"/>
  <c r="D274" i="5"/>
  <c r="C282" i="4"/>
  <c r="G282" i="4" s="1"/>
  <c r="D282" i="5"/>
  <c r="C336" i="4"/>
  <c r="G336" i="4" s="1"/>
  <c r="D336" i="5"/>
  <c r="C16" i="4"/>
  <c r="G16" i="4" s="1"/>
  <c r="D16" i="5"/>
  <c r="D284" i="5"/>
  <c r="C284" i="4"/>
  <c r="G284" i="4" s="1"/>
  <c r="C72" i="4"/>
  <c r="G72" i="4" s="1"/>
  <c r="D72" i="5"/>
  <c r="C38" i="4"/>
  <c r="G38" i="4" s="1"/>
  <c r="D38" i="5"/>
  <c r="C60" i="4"/>
  <c r="G60" i="4" s="1"/>
  <c r="D60" i="5"/>
  <c r="D346" i="5"/>
  <c r="C346" i="4"/>
  <c r="G346" i="4" s="1"/>
  <c r="D271" i="5"/>
  <c r="C271" i="4"/>
  <c r="G271" i="4" s="1"/>
  <c r="C61" i="4"/>
  <c r="G61" i="4" s="1"/>
  <c r="D61" i="5"/>
  <c r="D20" i="5"/>
  <c r="C20" i="4"/>
  <c r="G20" i="4" s="1"/>
  <c r="D296" i="5"/>
  <c r="C296" i="4"/>
  <c r="G296" i="4" s="1"/>
  <c r="D154" i="5"/>
  <c r="C154" i="4"/>
  <c r="G154" i="4" s="1"/>
  <c r="D85" i="5"/>
  <c r="C85" i="4"/>
  <c r="G85" i="4" s="1"/>
  <c r="D19" i="5"/>
  <c r="C19" i="4"/>
  <c r="G19" i="4" s="1"/>
  <c r="D316" i="5"/>
  <c r="C316" i="4"/>
  <c r="G316" i="4" s="1"/>
  <c r="D83" i="5"/>
  <c r="C83" i="4"/>
  <c r="G83" i="4" s="1"/>
  <c r="D23" i="5"/>
  <c r="C23" i="4"/>
  <c r="G23" i="4" s="1"/>
  <c r="D217" i="5"/>
  <c r="C217" i="4"/>
  <c r="G217" i="4" s="1"/>
  <c r="D34" i="5"/>
  <c r="C34" i="4"/>
  <c r="G34" i="4" s="1"/>
  <c r="D313" i="5"/>
  <c r="C313" i="4"/>
  <c r="G313" i="4" s="1"/>
  <c r="D216" i="5"/>
  <c r="C216" i="4"/>
  <c r="G216" i="4" s="1"/>
  <c r="C311" i="4"/>
  <c r="G311" i="4" s="1"/>
  <c r="D311" i="5"/>
  <c r="C125" i="4"/>
  <c r="G125" i="4" s="1"/>
  <c r="D125" i="5"/>
  <c r="D270" i="5"/>
  <c r="C270" i="4"/>
  <c r="G270" i="4" s="1"/>
  <c r="D81" i="5"/>
  <c r="C81" i="4"/>
  <c r="G81" i="4" s="1"/>
  <c r="D364" i="5"/>
  <c r="C364" i="4"/>
  <c r="G364" i="4" s="1"/>
  <c r="C204" i="4"/>
  <c r="G204" i="4" s="1"/>
  <c r="D204" i="5"/>
  <c r="C121" i="4"/>
  <c r="G121" i="4" s="1"/>
  <c r="D121" i="5"/>
  <c r="D263" i="5"/>
  <c r="C263" i="4"/>
  <c r="G263" i="4" s="1"/>
  <c r="C46" i="4"/>
  <c r="G46" i="4" s="1"/>
  <c r="D46" i="5"/>
  <c r="D314" i="5"/>
  <c r="C314" i="4"/>
  <c r="G314" i="4" s="1"/>
  <c r="C74" i="4"/>
  <c r="G74" i="4" s="1"/>
  <c r="D74" i="5"/>
  <c r="C122" i="4"/>
  <c r="G122" i="4" s="1"/>
  <c r="D122" i="5"/>
  <c r="D97" i="5"/>
  <c r="C97" i="4"/>
  <c r="G97" i="4" s="1"/>
  <c r="C264" i="4"/>
  <c r="G264" i="4" s="1"/>
  <c r="D264" i="5"/>
  <c r="C252" i="4"/>
  <c r="G252" i="4" s="1"/>
  <c r="D252" i="5"/>
  <c r="C179" i="4"/>
  <c r="G179" i="4" s="1"/>
  <c r="D179" i="5"/>
  <c r="D6" i="5"/>
  <c r="C6" i="4"/>
  <c r="G6" i="4" s="1"/>
  <c r="C318" i="4"/>
  <c r="G318" i="4" s="1"/>
  <c r="D318" i="5"/>
  <c r="C64" i="4"/>
  <c r="G64" i="4" s="1"/>
  <c r="D64" i="5"/>
  <c r="D338" i="5"/>
  <c r="C338" i="4"/>
  <c r="G338" i="4" s="1"/>
  <c r="D57" i="5"/>
  <c r="C57" i="4"/>
  <c r="G57" i="4" s="1"/>
  <c r="D344" i="5"/>
  <c r="C344" i="4"/>
  <c r="G344" i="4" s="1"/>
  <c r="D103" i="5"/>
  <c r="C103" i="4"/>
  <c r="G103" i="4" s="1"/>
  <c r="C91" i="4"/>
  <c r="G91" i="4" s="1"/>
  <c r="D91" i="5"/>
  <c r="C78" i="6"/>
  <c r="C84" i="4"/>
  <c r="G84" i="4" s="1"/>
  <c r="D84" i="5"/>
  <c r="C215" i="4"/>
  <c r="G215" i="4" s="1"/>
  <c r="D215" i="5"/>
  <c r="C54" i="4"/>
  <c r="G54" i="4" s="1"/>
  <c r="D54" i="5"/>
  <c r="C17" i="4"/>
  <c r="G17" i="4" s="1"/>
  <c r="D17" i="5"/>
  <c r="D211" i="5"/>
  <c r="C211" i="4"/>
  <c r="G211" i="4" s="1"/>
  <c r="D293" i="5"/>
  <c r="C293" i="4"/>
  <c r="G293" i="4" s="1"/>
  <c r="C51" i="4"/>
  <c r="G51" i="4" s="1"/>
  <c r="D51" i="5"/>
  <c r="D127" i="5"/>
  <c r="C127" i="4"/>
  <c r="G127" i="4" s="1"/>
  <c r="D137" i="5"/>
  <c r="C137" i="4"/>
  <c r="G137" i="4" s="1"/>
  <c r="D209" i="5"/>
  <c r="C209" i="4"/>
  <c r="G209" i="4" s="1"/>
  <c r="D331" i="5"/>
  <c r="C331" i="4"/>
  <c r="G331" i="4" s="1"/>
  <c r="D106" i="5"/>
  <c r="C106" i="4"/>
  <c r="G106" i="4" s="1"/>
  <c r="D230" i="5"/>
  <c r="C230" i="4"/>
  <c r="G230" i="4" s="1"/>
  <c r="D201" i="5"/>
  <c r="C201" i="4"/>
  <c r="G201" i="4" s="1"/>
  <c r="D345" i="5"/>
  <c r="C345" i="4"/>
  <c r="G345" i="4" s="1"/>
  <c r="D239" i="5"/>
  <c r="C239" i="4"/>
  <c r="G239" i="4" s="1"/>
  <c r="C363" i="4"/>
  <c r="G363" i="4" s="1"/>
  <c r="D363" i="5"/>
  <c r="C26" i="4"/>
  <c r="G26" i="4" s="1"/>
  <c r="D26" i="5"/>
  <c r="D113" i="5"/>
  <c r="C113" i="4"/>
  <c r="G113" i="4" s="1"/>
  <c r="D301" i="5"/>
  <c r="C301" i="4"/>
  <c r="G301" i="4" s="1"/>
  <c r="D73" i="5"/>
  <c r="C73" i="4"/>
  <c r="G73" i="4" s="1"/>
  <c r="D199" i="5"/>
  <c r="C199" i="4"/>
  <c r="G199" i="4" s="1"/>
  <c r="C288" i="4"/>
  <c r="G288" i="4" s="1"/>
  <c r="D288" i="5"/>
  <c r="C156" i="4"/>
  <c r="G156" i="4" s="1"/>
  <c r="D156" i="5"/>
  <c r="C109" i="4"/>
  <c r="G109" i="4" s="1"/>
  <c r="D109" i="5"/>
  <c r="D355" i="5"/>
  <c r="C355" i="4"/>
  <c r="G355" i="4" s="1"/>
  <c r="D272" i="5"/>
  <c r="C272" i="4"/>
  <c r="G272" i="4" s="1"/>
  <c r="D180" i="5"/>
  <c r="C180" i="4"/>
  <c r="G180" i="4" s="1"/>
  <c r="C312" i="4"/>
  <c r="G312" i="4" s="1"/>
  <c r="D312" i="5"/>
  <c r="D235" i="5"/>
  <c r="C235" i="4"/>
  <c r="G235" i="4" s="1"/>
  <c r="C99" i="4"/>
  <c r="G99" i="4" s="1"/>
  <c r="D99" i="5"/>
  <c r="D221" i="5"/>
  <c r="C221" i="4"/>
  <c r="G221" i="4" s="1"/>
  <c r="C14" i="4"/>
  <c r="G14" i="4" s="1"/>
  <c r="D14" i="5"/>
  <c r="D280" i="5"/>
  <c r="C280" i="4"/>
  <c r="G280" i="4" s="1"/>
  <c r="C189" i="4"/>
  <c r="G189" i="4" s="1"/>
  <c r="D189" i="5"/>
  <c r="C250" i="4"/>
  <c r="G250" i="4" s="1"/>
  <c r="D250" i="5"/>
  <c r="C197" i="4"/>
  <c r="G197" i="4" s="1"/>
  <c r="D197" i="5"/>
  <c r="D295" i="5"/>
  <c r="C295" i="4"/>
  <c r="G295" i="4" s="1"/>
  <c r="D365" i="5"/>
  <c r="C365" i="4"/>
  <c r="G365" i="4" s="1"/>
  <c r="D22" i="5"/>
  <c r="C22" i="4"/>
  <c r="G22" i="4" s="1"/>
  <c r="D290" i="5"/>
  <c r="C290" i="4"/>
  <c r="G290" i="4" s="1"/>
  <c r="D56" i="5"/>
  <c r="C56" i="4"/>
  <c r="G56" i="4" s="1"/>
  <c r="D77" i="5"/>
  <c r="C77" i="4"/>
  <c r="G77" i="4" s="1"/>
  <c r="D302" i="5"/>
  <c r="C302" i="4"/>
  <c r="G302" i="4" s="1"/>
  <c r="C38" i="6"/>
  <c r="C224" i="6"/>
  <c r="D69" i="5"/>
  <c r="C69" i="4"/>
  <c r="G69" i="4" s="1"/>
  <c r="D279" i="5"/>
  <c r="C279" i="4"/>
  <c r="G279" i="4" s="1"/>
  <c r="C41" i="4"/>
  <c r="G41" i="4" s="1"/>
  <c r="D41" i="5"/>
  <c r="C78" i="4"/>
  <c r="G78" i="4" s="1"/>
  <c r="D78" i="5"/>
  <c r="D176" i="5"/>
  <c r="C176" i="4"/>
  <c r="G176" i="4" s="1"/>
  <c r="D205" i="5"/>
  <c r="C205" i="4"/>
  <c r="G205" i="4" s="1"/>
  <c r="C87" i="4"/>
  <c r="G87" i="4" s="1"/>
  <c r="D87" i="5"/>
  <c r="D241" i="5"/>
  <c r="C241" i="4"/>
  <c r="G241" i="4" s="1"/>
  <c r="D157" i="5"/>
  <c r="C157" i="4"/>
  <c r="G157" i="4" s="1"/>
  <c r="D297" i="5"/>
  <c r="C297" i="4"/>
  <c r="G297" i="4" s="1"/>
  <c r="C240" i="6"/>
  <c r="D139" i="5"/>
  <c r="C139" i="4"/>
  <c r="G139" i="4" s="1"/>
  <c r="C120" i="4"/>
  <c r="G120" i="4" s="1"/>
  <c r="D120" i="5"/>
  <c r="D287" i="5"/>
  <c r="C287" i="4"/>
  <c r="G287" i="4" s="1"/>
  <c r="D283" i="5"/>
  <c r="C283" i="4"/>
  <c r="G283" i="4" s="1"/>
  <c r="C39" i="4"/>
  <c r="G39" i="4" s="1"/>
  <c r="D39" i="5"/>
  <c r="D167" i="5"/>
  <c r="C167" i="4"/>
  <c r="G167" i="4" s="1"/>
  <c r="D21" i="5"/>
  <c r="C21" i="4"/>
  <c r="G21" i="4" s="1"/>
  <c r="C328" i="4"/>
  <c r="G328" i="4" s="1"/>
  <c r="D328" i="5"/>
  <c r="C70" i="4"/>
  <c r="G70" i="4" s="1"/>
  <c r="D70" i="5"/>
  <c r="C74" i="6"/>
  <c r="C315" i="4"/>
  <c r="G315" i="4" s="1"/>
  <c r="D315" i="5"/>
  <c r="C111" i="4"/>
  <c r="G111" i="4" s="1"/>
  <c r="D111" i="5"/>
  <c r="D262" i="5"/>
  <c r="C262" i="4"/>
  <c r="G262" i="4" s="1"/>
  <c r="C123" i="4"/>
  <c r="G123" i="4" s="1"/>
  <c r="D123" i="5"/>
  <c r="C65" i="4"/>
  <c r="G65" i="4" s="1"/>
  <c r="D65" i="5"/>
  <c r="C366" i="4"/>
  <c r="G366" i="4" s="1"/>
  <c r="D366" i="5"/>
  <c r="C49" i="4"/>
  <c r="G49" i="4" s="1"/>
  <c r="D49" i="5"/>
  <c r="D59" i="5"/>
  <c r="C59" i="4"/>
  <c r="G59" i="4" s="1"/>
  <c r="D44" i="5"/>
  <c r="C44" i="4"/>
  <c r="G44" i="4" s="1"/>
  <c r="C153" i="4"/>
  <c r="G153" i="4" s="1"/>
  <c r="D153" i="5"/>
  <c r="C232" i="4"/>
  <c r="G232" i="4" s="1"/>
  <c r="D232" i="5"/>
  <c r="D354" i="5"/>
  <c r="C354" i="4"/>
  <c r="G354" i="4" s="1"/>
  <c r="D112" i="5"/>
  <c r="C112" i="4"/>
  <c r="G112" i="4" s="1"/>
  <c r="D236" i="5"/>
  <c r="C236" i="4"/>
  <c r="G236" i="4" s="1"/>
  <c r="C351" i="4"/>
  <c r="G351" i="4" s="1"/>
  <c r="D351" i="5"/>
  <c r="D203" i="5"/>
  <c r="C203" i="4"/>
  <c r="G203" i="4" s="1"/>
  <c r="D360" i="5"/>
  <c r="C360" i="4"/>
  <c r="G360" i="4" s="1"/>
  <c r="D244" i="5"/>
  <c r="C244" i="4"/>
  <c r="G244" i="4" s="1"/>
  <c r="C138" i="4"/>
  <c r="G138" i="4" s="1"/>
  <c r="D138" i="5"/>
  <c r="D105" i="5"/>
  <c r="C105" i="4"/>
  <c r="G105" i="4" s="1"/>
  <c r="C214" i="4"/>
  <c r="G214" i="4" s="1"/>
  <c r="D214" i="5"/>
  <c r="C353" i="4"/>
  <c r="G353" i="4" s="1"/>
  <c r="D353" i="5"/>
  <c r="C24" i="4"/>
  <c r="G24" i="4" s="1"/>
  <c r="D24" i="5"/>
  <c r="D260" i="5"/>
  <c r="C260" i="4"/>
  <c r="G260" i="4" s="1"/>
  <c r="D92" i="5"/>
  <c r="C92" i="4"/>
  <c r="G92" i="4" s="1"/>
  <c r="D324" i="5"/>
  <c r="C324" i="4"/>
  <c r="G324" i="4" s="1"/>
  <c r="D223" i="5"/>
  <c r="C223" i="4"/>
  <c r="G223" i="4" s="1"/>
  <c r="D300" i="5"/>
  <c r="C300" i="4"/>
  <c r="G300" i="4" s="1"/>
  <c r="AB6" i="7"/>
  <c r="C6" i="2"/>
  <c r="C166" i="4"/>
  <c r="G166" i="4" s="1"/>
  <c r="D166" i="5"/>
  <c r="D134" i="5"/>
  <c r="C134" i="4"/>
  <c r="G134" i="4" s="1"/>
  <c r="D186" i="5"/>
  <c r="C186" i="4"/>
  <c r="C151" i="6" s="1"/>
  <c r="D326" i="5"/>
  <c r="C326" i="4"/>
  <c r="G326" i="4" s="1"/>
  <c r="C11" i="4"/>
  <c r="G11" i="4" s="1"/>
  <c r="D11" i="5"/>
  <c r="D151" i="5"/>
  <c r="C151" i="4"/>
  <c r="G151" i="4" s="1"/>
  <c r="D332" i="5"/>
  <c r="C332" i="4"/>
  <c r="G332" i="4" s="1"/>
  <c r="C31" i="4"/>
  <c r="G31" i="4" s="1"/>
  <c r="D31" i="5"/>
  <c r="D309" i="5"/>
  <c r="C309" i="4"/>
  <c r="G309" i="4" s="1"/>
  <c r="C150" i="4"/>
  <c r="G150" i="4" s="1"/>
  <c r="D150" i="5"/>
  <c r="D229" i="5"/>
  <c r="C229" i="4"/>
  <c r="G229" i="4" s="1"/>
  <c r="D76" i="5"/>
  <c r="C76" i="4"/>
  <c r="G76" i="4" s="1"/>
  <c r="D164" i="5"/>
  <c r="C164" i="4"/>
  <c r="G164" i="4" s="1"/>
  <c r="D68" i="5"/>
  <c r="C68" i="4"/>
  <c r="G68" i="4" s="1"/>
  <c r="C30" i="4"/>
  <c r="G30" i="4" s="1"/>
  <c r="D30" i="5"/>
  <c r="D82" i="5"/>
  <c r="C82" i="4"/>
  <c r="G82" i="4" s="1"/>
  <c r="C207" i="4"/>
  <c r="G207" i="4" s="1"/>
  <c r="D207" i="5"/>
  <c r="C228" i="4"/>
  <c r="G228" i="4" s="1"/>
  <c r="D228" i="5"/>
  <c r="D358" i="5"/>
  <c r="C358" i="4"/>
  <c r="G358" i="4" s="1"/>
  <c r="D289" i="5"/>
  <c r="C289" i="4"/>
  <c r="G289" i="4" s="1"/>
  <c r="D133" i="5"/>
  <c r="C133" i="4"/>
  <c r="G133" i="4" s="1"/>
  <c r="C48" i="4"/>
  <c r="G48" i="4" s="1"/>
  <c r="D48" i="5"/>
  <c r="C108" i="4"/>
  <c r="G108" i="4" s="1"/>
  <c r="D108" i="5"/>
  <c r="C192" i="4"/>
  <c r="G192" i="4" s="1"/>
  <c r="D192" i="5"/>
  <c r="D67" i="5"/>
  <c r="C67" i="4"/>
  <c r="G67" i="4" s="1"/>
  <c r="D170" i="5"/>
  <c r="C170" i="4"/>
  <c r="G170" i="4" s="1"/>
  <c r="D307" i="5"/>
  <c r="C307" i="4"/>
  <c r="G307" i="4" s="1"/>
  <c r="D182" i="5"/>
  <c r="C182" i="4"/>
  <c r="G182" i="4" s="1"/>
  <c r="C118" i="4"/>
  <c r="G118" i="4" s="1"/>
  <c r="D118" i="5"/>
  <c r="D242" i="5"/>
  <c r="C242" i="4"/>
  <c r="G242" i="4" s="1"/>
  <c r="D213" i="5"/>
  <c r="C213" i="4"/>
  <c r="G213" i="4" s="1"/>
  <c r="C357" i="4"/>
  <c r="G357" i="4" s="1"/>
  <c r="D357" i="5"/>
  <c r="C228" i="6" l="1"/>
  <c r="C24" i="6"/>
  <c r="C280" i="6"/>
  <c r="C192" i="6"/>
  <c r="C200" i="6"/>
  <c r="C273" i="6"/>
  <c r="E273" i="6" s="1"/>
  <c r="F273" i="6" s="1"/>
  <c r="C105" i="6"/>
  <c r="C357" i="6"/>
  <c r="C187" i="6"/>
  <c r="D187" i="6" s="1"/>
  <c r="E187" i="6" s="1"/>
  <c r="F187" i="6" s="1"/>
  <c r="C256" i="6"/>
  <c r="C267" i="6"/>
  <c r="D267" i="6" s="1"/>
  <c r="C225" i="6"/>
  <c r="C294" i="6"/>
  <c r="C188" i="6"/>
  <c r="D188" i="6" s="1"/>
  <c r="C274" i="6"/>
  <c r="D274" i="6" s="1"/>
  <c r="E274" i="6" s="1"/>
  <c r="C39" i="6"/>
  <c r="E39" i="6" s="1"/>
  <c r="F39" i="6" s="1"/>
  <c r="C217" i="6"/>
  <c r="C28" i="6"/>
  <c r="D28" i="6" s="1"/>
  <c r="C277" i="6"/>
  <c r="E277" i="6" s="1"/>
  <c r="C314" i="6"/>
  <c r="C41" i="6"/>
  <c r="D41" i="6" s="1"/>
  <c r="C46" i="6"/>
  <c r="D46" i="6" s="1"/>
  <c r="E46" i="6" s="1"/>
  <c r="C319" i="6"/>
  <c r="D319" i="6" s="1"/>
  <c r="E319" i="6" s="1"/>
  <c r="F319" i="6" s="1"/>
  <c r="C272" i="6"/>
  <c r="D272" i="6" s="1"/>
  <c r="E272" i="6" s="1"/>
  <c r="C358" i="6"/>
  <c r="C150" i="6"/>
  <c r="C36" i="6"/>
  <c r="C239" i="6"/>
  <c r="C18" i="6"/>
  <c r="C71" i="6"/>
  <c r="C269" i="6"/>
  <c r="E151" i="6"/>
  <c r="E240" i="6"/>
  <c r="D150" i="6"/>
  <c r="E150" i="6" s="1"/>
  <c r="F150" i="6" s="1"/>
  <c r="D71" i="6"/>
  <c r="D78" i="6"/>
  <c r="E78" i="6" s="1"/>
  <c r="F78" i="6" s="1"/>
  <c r="D273" i="6"/>
  <c r="D39" i="6"/>
  <c r="C126" i="6"/>
  <c r="C173" i="6"/>
  <c r="C359" i="6"/>
  <c r="C227" i="6"/>
  <c r="C286" i="6"/>
  <c r="C87" i="6"/>
  <c r="C170" i="6"/>
  <c r="C236" i="6"/>
  <c r="C22" i="6"/>
  <c r="C12" i="6"/>
  <c r="C312" i="6"/>
  <c r="C323" i="6"/>
  <c r="C258" i="6"/>
  <c r="C82" i="6"/>
  <c r="C300" i="6"/>
  <c r="C341" i="6"/>
  <c r="C318" i="6"/>
  <c r="C116" i="6"/>
  <c r="C147" i="6"/>
  <c r="C76" i="6"/>
  <c r="C158" i="6"/>
  <c r="C83" i="6"/>
  <c r="C185" i="6"/>
  <c r="C23" i="6"/>
  <c r="C100" i="6"/>
  <c r="C94" i="6"/>
  <c r="C322" i="6"/>
  <c r="C107" i="6"/>
  <c r="C361" i="6"/>
  <c r="C332" i="6"/>
  <c r="A9" i="7"/>
  <c r="B8" i="7"/>
  <c r="C8" i="7" s="1"/>
  <c r="A8" i="2"/>
  <c r="J8" i="7"/>
  <c r="K8" i="7" s="1"/>
  <c r="C169" i="6"/>
  <c r="D196" i="6"/>
  <c r="E196" i="6" s="1"/>
  <c r="C190" i="6"/>
  <c r="C152" i="6"/>
  <c r="C53" i="6"/>
  <c r="C234" i="6"/>
  <c r="C89" i="6"/>
  <c r="C143" i="6"/>
  <c r="C44" i="6"/>
  <c r="C121" i="6"/>
  <c r="C159" i="6"/>
  <c r="C344" i="6"/>
  <c r="C59" i="6"/>
  <c r="C25" i="6"/>
  <c r="C181" i="6"/>
  <c r="C168" i="6"/>
  <c r="C263" i="6"/>
  <c r="C363" i="6"/>
  <c r="C10" i="6"/>
  <c r="C251" i="6"/>
  <c r="C31" i="6"/>
  <c r="C198" i="6"/>
  <c r="C122" i="6"/>
  <c r="D240" i="6"/>
  <c r="F240" i="6" s="1"/>
  <c r="D357" i="6"/>
  <c r="C133" i="6"/>
  <c r="C335" i="6"/>
  <c r="C257" i="6"/>
  <c r="D7" i="7"/>
  <c r="AA7" i="7"/>
  <c r="B7" i="2"/>
  <c r="C106" i="6"/>
  <c r="D38" i="6"/>
  <c r="E38" i="6" s="1"/>
  <c r="F38" i="6"/>
  <c r="C95" i="6"/>
  <c r="C73" i="6"/>
  <c r="C104" i="6"/>
  <c r="C343" i="6"/>
  <c r="D24" i="6"/>
  <c r="C287" i="6"/>
  <c r="C336" i="6"/>
  <c r="C134" i="6"/>
  <c r="C307" i="6"/>
  <c r="C324" i="6"/>
  <c r="C302" i="6"/>
  <c r="C282" i="6"/>
  <c r="C199" i="6"/>
  <c r="C34" i="6"/>
  <c r="C255" i="6"/>
  <c r="C19" i="6"/>
  <c r="C156" i="6"/>
  <c r="C295" i="6"/>
  <c r="C325" i="6"/>
  <c r="C58" i="6"/>
  <c r="C111" i="6"/>
  <c r="C191" i="6"/>
  <c r="C218" i="6"/>
  <c r="C365" i="6"/>
  <c r="C114" i="6"/>
  <c r="C174" i="6"/>
  <c r="C132" i="6"/>
  <c r="C301" i="6"/>
  <c r="C193" i="6"/>
  <c r="C354" i="6"/>
  <c r="C123" i="6"/>
  <c r="C68" i="6"/>
  <c r="C43" i="6"/>
  <c r="C153" i="6"/>
  <c r="C297" i="6"/>
  <c r="C281" i="6"/>
  <c r="C278" i="6"/>
  <c r="C142" i="6"/>
  <c r="D74" i="6"/>
  <c r="C342" i="6"/>
  <c r="AB7" i="7"/>
  <c r="C7" i="2"/>
  <c r="C327" i="6"/>
  <c r="C8" i="6"/>
  <c r="C339" i="6"/>
  <c r="C92" i="6"/>
  <c r="C72" i="6"/>
  <c r="C226" i="6"/>
  <c r="C349" i="6"/>
  <c r="C212" i="6"/>
  <c r="C259" i="6"/>
  <c r="C112" i="6"/>
  <c r="C17" i="6"/>
  <c r="C329" i="6"/>
  <c r="C37" i="6"/>
  <c r="C6" i="6"/>
  <c r="C204" i="6"/>
  <c r="C348" i="6"/>
  <c r="C244" i="6"/>
  <c r="C237" i="6"/>
  <c r="C261" i="6"/>
  <c r="C292" i="6"/>
  <c r="C86" i="6"/>
  <c r="C65" i="6"/>
  <c r="G186" i="4"/>
  <c r="C216" i="6"/>
  <c r="C130" i="6"/>
  <c r="C264" i="6"/>
  <c r="C88" i="6"/>
  <c r="C77" i="6"/>
  <c r="C245" i="6"/>
  <c r="C362" i="6"/>
  <c r="C140" i="6"/>
  <c r="C141" i="6"/>
  <c r="C164" i="6"/>
  <c r="C64" i="6"/>
  <c r="C110" i="6"/>
  <c r="C306" i="6"/>
  <c r="C289" i="6"/>
  <c r="C299" i="6"/>
  <c r="C186" i="6"/>
  <c r="C346" i="6"/>
  <c r="C284" i="6"/>
  <c r="C57" i="6"/>
  <c r="C103" i="6"/>
  <c r="C221" i="6"/>
  <c r="C309" i="6"/>
  <c r="C317" i="6"/>
  <c r="C16" i="6"/>
  <c r="C84" i="6"/>
  <c r="C50" i="6"/>
  <c r="C270" i="6"/>
  <c r="C347" i="6"/>
  <c r="C54" i="6"/>
  <c r="C290" i="6"/>
  <c r="C171" i="6"/>
  <c r="C14" i="6"/>
  <c r="C149" i="6"/>
  <c r="C91" i="6"/>
  <c r="C254" i="6"/>
  <c r="C56" i="6"/>
  <c r="C60" i="6"/>
  <c r="C109" i="6"/>
  <c r="C136" i="6"/>
  <c r="C90" i="6"/>
  <c r="C248" i="6"/>
  <c r="C55" i="6"/>
  <c r="C266" i="6"/>
  <c r="C189" i="6"/>
  <c r="D239" i="6"/>
  <c r="E239" i="6" s="1"/>
  <c r="D280" i="6"/>
  <c r="E280" i="6" s="1"/>
  <c r="C333" i="6"/>
  <c r="D269" i="6"/>
  <c r="D358" i="6"/>
  <c r="E358" i="6" s="1"/>
  <c r="D228" i="6"/>
  <c r="E228" i="6" s="1"/>
  <c r="F228" i="6" s="1"/>
  <c r="C163" i="6"/>
  <c r="C337" i="6"/>
  <c r="C179" i="6"/>
  <c r="C360" i="6"/>
  <c r="C52" i="6"/>
  <c r="C326" i="6"/>
  <c r="C63" i="6"/>
  <c r="C96" i="6"/>
  <c r="C208" i="6"/>
  <c r="C26" i="6"/>
  <c r="C177" i="6"/>
  <c r="C176" i="6"/>
  <c r="E24" i="6"/>
  <c r="C35" i="6"/>
  <c r="C138" i="6"/>
  <c r="C167" i="6"/>
  <c r="C308" i="6"/>
  <c r="C223" i="6"/>
  <c r="C356" i="6"/>
  <c r="C276" i="6"/>
  <c r="C222" i="6"/>
  <c r="C283" i="6"/>
  <c r="C340" i="6"/>
  <c r="C135" i="6"/>
  <c r="C210" i="6"/>
  <c r="C148" i="6"/>
  <c r="C51" i="6"/>
  <c r="C315" i="6"/>
  <c r="C67" i="6"/>
  <c r="C20" i="6"/>
  <c r="C48" i="6"/>
  <c r="C33" i="6"/>
  <c r="C101" i="6"/>
  <c r="C246" i="6"/>
  <c r="C47" i="6"/>
  <c r="C180" i="6"/>
  <c r="C305" i="6"/>
  <c r="C364" i="6"/>
  <c r="C197" i="6"/>
  <c r="C328" i="6"/>
  <c r="C351" i="6"/>
  <c r="C69" i="6"/>
  <c r="C85" i="6"/>
  <c r="C242" i="6"/>
  <c r="C102" i="6"/>
  <c r="C250" i="6"/>
  <c r="C119" i="6"/>
  <c r="C172" i="6"/>
  <c r="C70" i="6"/>
  <c r="C243" i="6"/>
  <c r="C231" i="6"/>
  <c r="C166" i="6"/>
  <c r="C29" i="6"/>
  <c r="C230" i="6"/>
  <c r="D256" i="6"/>
  <c r="D217" i="6"/>
  <c r="C128" i="6"/>
  <c r="D224" i="6"/>
  <c r="E224" i="6" s="1"/>
  <c r="E217" i="6"/>
  <c r="D6" i="7"/>
  <c r="AA6" i="7"/>
  <c r="B6" i="2"/>
  <c r="D225" i="6"/>
  <c r="E225" i="6" s="1"/>
  <c r="F225" i="6" s="1"/>
  <c r="C125" i="6"/>
  <c r="D36" i="6"/>
  <c r="E36" i="6" s="1"/>
  <c r="F36" i="6" s="1"/>
  <c r="C98" i="6"/>
  <c r="C120" i="6"/>
  <c r="D314" i="6"/>
  <c r="C137" i="6"/>
  <c r="D192" i="6"/>
  <c r="E192" i="6" s="1"/>
  <c r="D18" i="6"/>
  <c r="F18" i="6" s="1"/>
  <c r="C144" i="6"/>
  <c r="C155" i="6"/>
  <c r="C131" i="6"/>
  <c r="C331" i="6"/>
  <c r="C229" i="6"/>
  <c r="C265" i="6"/>
  <c r="C219" i="6"/>
  <c r="C215" i="6"/>
  <c r="C161" i="6"/>
  <c r="C296" i="6"/>
  <c r="C115" i="6"/>
  <c r="C117" i="6"/>
  <c r="C350" i="6"/>
  <c r="C241" i="6"/>
  <c r="C21" i="6"/>
  <c r="C279" i="6"/>
  <c r="C211" i="6"/>
  <c r="C165" i="6"/>
  <c r="C320" i="6"/>
  <c r="C275" i="6"/>
  <c r="C32" i="6"/>
  <c r="C13" i="6"/>
  <c r="C79" i="6"/>
  <c r="C7" i="6"/>
  <c r="C195" i="6"/>
  <c r="C352" i="6"/>
  <c r="C232" i="6"/>
  <c r="C291" i="6"/>
  <c r="C207" i="6"/>
  <c r="C334" i="6"/>
  <c r="C220" i="6"/>
  <c r="C194" i="6"/>
  <c r="C285" i="6"/>
  <c r="C162" i="6"/>
  <c r="C205" i="6"/>
  <c r="C80" i="6"/>
  <c r="C49" i="6"/>
  <c r="C146" i="6"/>
  <c r="C129" i="6"/>
  <c r="C99" i="6"/>
  <c r="C184" i="6"/>
  <c r="C355" i="6"/>
  <c r="C30" i="6"/>
  <c r="C93" i="6"/>
  <c r="C271" i="6"/>
  <c r="C40" i="6"/>
  <c r="C127" i="6"/>
  <c r="C313" i="6"/>
  <c r="C321" i="6"/>
  <c r="D151" i="6"/>
  <c r="F151" i="6" s="1"/>
  <c r="D200" i="6"/>
  <c r="E200" i="6" s="1"/>
  <c r="F200" i="6" s="1"/>
  <c r="D105" i="6"/>
  <c r="E105" i="6" s="1"/>
  <c r="F105" i="6" s="1"/>
  <c r="C330" i="6"/>
  <c r="C338" i="6"/>
  <c r="D277" i="6"/>
  <c r="E74" i="6"/>
  <c r="C9" i="6"/>
  <c r="C310" i="6"/>
  <c r="C145" i="6"/>
  <c r="C97" i="6"/>
  <c r="D42" i="6"/>
  <c r="C27" i="6"/>
  <c r="C353" i="6"/>
  <c r="E42" i="6"/>
  <c r="C157" i="6"/>
  <c r="C62" i="6"/>
  <c r="C15" i="6"/>
  <c r="E18" i="6"/>
  <c r="C288" i="6"/>
  <c r="C154" i="6"/>
  <c r="C203" i="6"/>
  <c r="C124" i="6"/>
  <c r="C213" i="6"/>
  <c r="C253" i="6"/>
  <c r="C298" i="6"/>
  <c r="C11" i="6"/>
  <c r="C233" i="6"/>
  <c r="C113" i="6"/>
  <c r="C75" i="6"/>
  <c r="C45" i="6"/>
  <c r="C260" i="6"/>
  <c r="C139" i="6"/>
  <c r="C209" i="6"/>
  <c r="C108" i="6"/>
  <c r="C293" i="6"/>
  <c r="C311" i="6"/>
  <c r="C118" i="6"/>
  <c r="C202" i="6"/>
  <c r="C304" i="6"/>
  <c r="C160" i="6"/>
  <c r="C235" i="6"/>
  <c r="C247" i="6"/>
  <c r="C345" i="6"/>
  <c r="C303" i="6"/>
  <c r="C175" i="6"/>
  <c r="C252" i="6"/>
  <c r="C182" i="6"/>
  <c r="C201" i="6"/>
  <c r="C183" i="6"/>
  <c r="C249" i="6"/>
  <c r="C268" i="6"/>
  <c r="C66" i="6"/>
  <c r="C238" i="6"/>
  <c r="C214" i="6"/>
  <c r="C206" i="6"/>
  <c r="C262" i="6"/>
  <c r="C81" i="6"/>
  <c r="C61" i="6"/>
  <c r="C178" i="6"/>
  <c r="C316" i="6"/>
  <c r="E41" i="6" l="1"/>
  <c r="F41" i="6" s="1"/>
  <c r="E28" i="6"/>
  <c r="F28" i="6" s="1"/>
  <c r="F217" i="6"/>
  <c r="E188" i="6"/>
  <c r="F188" i="6" s="1"/>
  <c r="F277" i="6"/>
  <c r="F74" i="6"/>
  <c r="E267" i="6"/>
  <c r="F267" i="6" s="1"/>
  <c r="D294" i="6"/>
  <c r="E294" i="6" s="1"/>
  <c r="F192" i="6"/>
  <c r="F42" i="6"/>
  <c r="E357" i="6"/>
  <c r="F357" i="6" s="1"/>
  <c r="F196" i="6"/>
  <c r="F24" i="6"/>
  <c r="D352" i="6"/>
  <c r="D337" i="6"/>
  <c r="E337" i="6"/>
  <c r="D153" i="6"/>
  <c r="E153" i="6"/>
  <c r="D14" i="6"/>
  <c r="D43" i="6"/>
  <c r="E43" i="6"/>
  <c r="D364" i="6"/>
  <c r="E364" i="6" s="1"/>
  <c r="D127" i="6"/>
  <c r="E127" i="6" s="1"/>
  <c r="D336" i="6"/>
  <c r="E336" i="6"/>
  <c r="D202" i="6"/>
  <c r="D176" i="6"/>
  <c r="E176" i="6"/>
  <c r="D287" i="6"/>
  <c r="E287" i="6"/>
  <c r="D271" i="6"/>
  <c r="E271" i="6"/>
  <c r="D347" i="6"/>
  <c r="E347" i="6" s="1"/>
  <c r="D10" i="6"/>
  <c r="E10" i="6"/>
  <c r="D332" i="6"/>
  <c r="E332" i="6" s="1"/>
  <c r="D101" i="6"/>
  <c r="E101" i="6"/>
  <c r="D132" i="6"/>
  <c r="E132" i="6" s="1"/>
  <c r="F132" i="6" s="1"/>
  <c r="D99" i="6"/>
  <c r="D317" i="6"/>
  <c r="E317" i="6"/>
  <c r="D95" i="6"/>
  <c r="E95" i="6" s="1"/>
  <c r="D206" i="6"/>
  <c r="E206" i="6"/>
  <c r="F206" i="6" s="1"/>
  <c r="D137" i="6"/>
  <c r="E137" i="6"/>
  <c r="F137" i="6" s="1"/>
  <c r="D59" i="6"/>
  <c r="E59" i="6" s="1"/>
  <c r="D166" i="6"/>
  <c r="E166" i="6"/>
  <c r="D327" i="6"/>
  <c r="D238" i="6"/>
  <c r="E238" i="6"/>
  <c r="D189" i="6"/>
  <c r="E189" i="6" s="1"/>
  <c r="D117" i="6"/>
  <c r="E117" i="6"/>
  <c r="D266" i="6"/>
  <c r="E266" i="6"/>
  <c r="D106" i="6"/>
  <c r="E106" i="6"/>
  <c r="D70" i="6"/>
  <c r="E70" i="6" s="1"/>
  <c r="D11" i="6"/>
  <c r="E11" i="6"/>
  <c r="D135" i="6"/>
  <c r="D248" i="6"/>
  <c r="E248" i="6" s="1"/>
  <c r="D346" i="6"/>
  <c r="E346" i="6"/>
  <c r="D348" i="6"/>
  <c r="E348" i="6"/>
  <c r="F348" i="6" s="1"/>
  <c r="D295" i="6"/>
  <c r="E295" i="6"/>
  <c r="D143" i="6"/>
  <c r="E143" i="6"/>
  <c r="D83" i="6"/>
  <c r="E83" i="6" s="1"/>
  <c r="E256" i="6"/>
  <c r="F256" i="6" s="1"/>
  <c r="D149" i="6"/>
  <c r="E149" i="6" s="1"/>
  <c r="D169" i="6"/>
  <c r="F169" i="6" s="1"/>
  <c r="E169" i="6"/>
  <c r="D235" i="6"/>
  <c r="E235" i="6"/>
  <c r="D131" i="6"/>
  <c r="E131" i="6"/>
  <c r="D163" i="6"/>
  <c r="D122" i="6"/>
  <c r="E122" i="6"/>
  <c r="D155" i="6"/>
  <c r="E155" i="6" s="1"/>
  <c r="D259" i="6"/>
  <c r="D134" i="6"/>
  <c r="E134" i="6"/>
  <c r="D305" i="6"/>
  <c r="D312" i="6"/>
  <c r="E312" i="6"/>
  <c r="D13" i="6"/>
  <c r="D77" i="6"/>
  <c r="E77" i="6" s="1"/>
  <c r="D354" i="6"/>
  <c r="E354" i="6" s="1"/>
  <c r="D47" i="6"/>
  <c r="E47" i="6"/>
  <c r="D275" i="6"/>
  <c r="F275" i="6" s="1"/>
  <c r="E275" i="6"/>
  <c r="D270" i="6"/>
  <c r="E270" i="6"/>
  <c r="D301" i="6"/>
  <c r="F301" i="6" s="1"/>
  <c r="E301" i="6"/>
  <c r="D320" i="6"/>
  <c r="E320" i="6" s="1"/>
  <c r="D170" i="6"/>
  <c r="E170" i="6"/>
  <c r="D355" i="6"/>
  <c r="D96" i="6"/>
  <c r="E96" i="6"/>
  <c r="D72" i="6"/>
  <c r="E72" i="6"/>
  <c r="D168" i="6"/>
  <c r="D209" i="6"/>
  <c r="E209" i="6"/>
  <c r="F209" i="6" s="1"/>
  <c r="D63" i="6"/>
  <c r="E63" i="6" s="1"/>
  <c r="F63" i="6" s="1"/>
  <c r="D73" i="6"/>
  <c r="E73" i="6"/>
  <c r="D262" i="6"/>
  <c r="E262" i="6"/>
  <c r="D279" i="6"/>
  <c r="E279" i="6" s="1"/>
  <c r="F279" i="6" s="1"/>
  <c r="F280" i="6"/>
  <c r="D25" i="6"/>
  <c r="D29" i="6"/>
  <c r="E29" i="6"/>
  <c r="F29" i="6" s="1"/>
  <c r="D146" i="6"/>
  <c r="F239" i="6"/>
  <c r="D9" i="6"/>
  <c r="E9" i="6" s="1"/>
  <c r="F9" i="6" s="1"/>
  <c r="D172" i="6"/>
  <c r="E172" i="6" s="1"/>
  <c r="D183" i="6"/>
  <c r="E183" i="6"/>
  <c r="D298" i="6"/>
  <c r="E298" i="6"/>
  <c r="D338" i="6"/>
  <c r="E338" i="6"/>
  <c r="D285" i="6"/>
  <c r="E285" i="6"/>
  <c r="F285" i="6" s="1"/>
  <c r="D161" i="6"/>
  <c r="E161" i="6" s="1"/>
  <c r="F161" i="6" s="1"/>
  <c r="D119" i="6"/>
  <c r="E119" i="6"/>
  <c r="D340" i="6"/>
  <c r="F274" i="6"/>
  <c r="D90" i="6"/>
  <c r="E90" i="6"/>
  <c r="D186" i="6"/>
  <c r="D204" i="6"/>
  <c r="E204" i="6" s="1"/>
  <c r="F204" i="6" s="1"/>
  <c r="D342" i="6"/>
  <c r="E342" i="6"/>
  <c r="D156" i="6"/>
  <c r="E156" i="6"/>
  <c r="F156" i="6" s="1"/>
  <c r="H7" i="7"/>
  <c r="G7" i="7"/>
  <c r="F7" i="7"/>
  <c r="E7" i="7"/>
  <c r="I7" i="7" s="1"/>
  <c r="L7" i="7" s="1"/>
  <c r="M7" i="7" s="1"/>
  <c r="N7" i="7" s="1"/>
  <c r="Q7" i="7"/>
  <c r="P7" i="7"/>
  <c r="O7" i="7"/>
  <c r="D89" i="6"/>
  <c r="E89" i="6"/>
  <c r="F89" i="6" s="1"/>
  <c r="D158" i="6"/>
  <c r="E158" i="6" s="1"/>
  <c r="F158" i="6" s="1"/>
  <c r="F272" i="6"/>
  <c r="D324" i="6"/>
  <c r="E324" i="6" s="1"/>
  <c r="F324" i="6" s="1"/>
  <c r="D68" i="6"/>
  <c r="E68" i="6"/>
  <c r="D79" i="6"/>
  <c r="E79" i="6"/>
  <c r="F193" i="6"/>
  <c r="D193" i="6"/>
  <c r="E193" i="6"/>
  <c r="E71" i="6"/>
  <c r="F71" i="6" s="1"/>
  <c r="D292" i="6"/>
  <c r="E292" i="6" s="1"/>
  <c r="D247" i="6"/>
  <c r="E247" i="6"/>
  <c r="F247" i="6" s="1"/>
  <c r="D167" i="6"/>
  <c r="E167" i="6"/>
  <c r="F167" i="6" s="1"/>
  <c r="D15" i="6"/>
  <c r="E15" i="6"/>
  <c r="F15" i="6" s="1"/>
  <c r="Q6" i="7" s="1"/>
  <c r="D138" i="6"/>
  <c r="D258" i="6"/>
  <c r="E258" i="6"/>
  <c r="F258" i="6" s="1"/>
  <c r="D62" i="6"/>
  <c r="E62" i="6" s="1"/>
  <c r="D35" i="6"/>
  <c r="E35" i="6"/>
  <c r="D157" i="6"/>
  <c r="E157" i="6"/>
  <c r="D290" i="6"/>
  <c r="E290" i="6"/>
  <c r="F290" i="6" s="1"/>
  <c r="D31" i="6"/>
  <c r="D180" i="6"/>
  <c r="E180" i="6"/>
  <c r="F180" i="6" s="1"/>
  <c r="F251" i="6"/>
  <c r="D251" i="6"/>
  <c r="E251" i="6"/>
  <c r="D353" i="6"/>
  <c r="D88" i="6"/>
  <c r="E88" i="6"/>
  <c r="D316" i="6"/>
  <c r="E316" i="6"/>
  <c r="F316" i="6" s="1"/>
  <c r="D216" i="6"/>
  <c r="E216" i="6"/>
  <c r="D104" i="6"/>
  <c r="E104" i="6"/>
  <c r="D81" i="6"/>
  <c r="E81" i="6" s="1"/>
  <c r="D48" i="6"/>
  <c r="E48" i="6"/>
  <c r="D361" i="6"/>
  <c r="F361" i="6" s="1"/>
  <c r="E361" i="6"/>
  <c r="D145" i="6"/>
  <c r="D65" i="6"/>
  <c r="E65" i="6" s="1"/>
  <c r="F65" i="6" s="1"/>
  <c r="D214" i="6"/>
  <c r="E214" i="6"/>
  <c r="F214" i="6" s="1"/>
  <c r="D344" i="6"/>
  <c r="E344" i="6" s="1"/>
  <c r="F344" i="6" s="1"/>
  <c r="D231" i="6"/>
  <c r="E231" i="6"/>
  <c r="D113" i="6"/>
  <c r="E113" i="6"/>
  <c r="F113" i="6" s="1"/>
  <c r="D360" i="6"/>
  <c r="E360" i="6"/>
  <c r="D23" i="6"/>
  <c r="F23" i="6" s="1"/>
  <c r="E23" i="6"/>
  <c r="D233" i="6"/>
  <c r="E233" i="6" s="1"/>
  <c r="F233" i="6" s="1"/>
  <c r="D210" i="6"/>
  <c r="E210" i="6"/>
  <c r="D244" i="6"/>
  <c r="E244" i="6"/>
  <c r="D325" i="6"/>
  <c r="E325" i="6"/>
  <c r="F325" i="6" s="1"/>
  <c r="D257" i="6"/>
  <c r="D182" i="6"/>
  <c r="E182" i="6"/>
  <c r="F182" i="6" s="1"/>
  <c r="D213" i="6"/>
  <c r="E213" i="6" s="1"/>
  <c r="D220" i="6"/>
  <c r="F220" i="6" s="1"/>
  <c r="E220" i="6"/>
  <c r="D219" i="6"/>
  <c r="D102" i="6"/>
  <c r="E102" i="6"/>
  <c r="F102" i="6" s="1"/>
  <c r="D222" i="6"/>
  <c r="E222" i="6"/>
  <c r="D179" i="6"/>
  <c r="E179" i="6"/>
  <c r="D109" i="6"/>
  <c r="E109" i="6" s="1"/>
  <c r="F109" i="6" s="1"/>
  <c r="D289" i="6"/>
  <c r="E289" i="6"/>
  <c r="F46" i="6"/>
  <c r="D255" i="6"/>
  <c r="E255" i="6"/>
  <c r="D335" i="6"/>
  <c r="E335" i="6"/>
  <c r="F335" i="6" s="1"/>
  <c r="D53" i="6"/>
  <c r="E53" i="6"/>
  <c r="F53" i="6" s="1"/>
  <c r="D147" i="6"/>
  <c r="E147" i="6" s="1"/>
  <c r="F147" i="6" s="1"/>
  <c r="D126" i="6"/>
  <c r="E126" i="6" s="1"/>
  <c r="F126" i="6" s="1"/>
  <c r="D328" i="6"/>
  <c r="E328" i="6"/>
  <c r="D141" i="6"/>
  <c r="E141" i="6"/>
  <c r="D321" i="6"/>
  <c r="E321" i="6"/>
  <c r="D197" i="6"/>
  <c r="E197" i="6"/>
  <c r="D112" i="6"/>
  <c r="E112" i="6"/>
  <c r="D307" i="6"/>
  <c r="E307" i="6"/>
  <c r="F307" i="6" s="1"/>
  <c r="D313" i="6"/>
  <c r="E313" i="6" s="1"/>
  <c r="D171" i="6"/>
  <c r="D323" i="6"/>
  <c r="E323" i="6"/>
  <c r="D245" i="6"/>
  <c r="E245" i="6"/>
  <c r="D123" i="6"/>
  <c r="E123" i="6"/>
  <c r="D144" i="6"/>
  <c r="E144" i="6"/>
  <c r="F144" i="6" s="1"/>
  <c r="D177" i="6"/>
  <c r="E177" i="6"/>
  <c r="D226" i="6"/>
  <c r="E226" i="6"/>
  <c r="F226" i="6" s="1"/>
  <c r="D27" i="6"/>
  <c r="E27" i="6" s="1"/>
  <c r="D26" i="6"/>
  <c r="D363" i="6"/>
  <c r="E363" i="6"/>
  <c r="D30" i="6"/>
  <c r="E30" i="6"/>
  <c r="F30" i="6" s="1"/>
  <c r="D130" i="6"/>
  <c r="E130" i="6"/>
  <c r="D211" i="6"/>
  <c r="E211" i="6"/>
  <c r="D92" i="6"/>
  <c r="E92" i="6" s="1"/>
  <c r="D339" i="6"/>
  <c r="E339" i="6"/>
  <c r="F339" i="6" s="1"/>
  <c r="D365" i="6"/>
  <c r="E365" i="6" s="1"/>
  <c r="D260" i="6"/>
  <c r="D52" i="6"/>
  <c r="E52" i="6"/>
  <c r="D227" i="6"/>
  <c r="E227" i="6"/>
  <c r="D241" i="6"/>
  <c r="E241" i="6"/>
  <c r="D315" i="6"/>
  <c r="E315" i="6"/>
  <c r="D191" i="6"/>
  <c r="E191" i="6"/>
  <c r="D75" i="6"/>
  <c r="E75" i="6"/>
  <c r="F75" i="6" s="1"/>
  <c r="D51" i="6"/>
  <c r="E51" i="6" s="1"/>
  <c r="D159" i="6"/>
  <c r="E159" i="6"/>
  <c r="F159" i="6" s="1"/>
  <c r="D66" i="6"/>
  <c r="D148" i="6"/>
  <c r="E148" i="6"/>
  <c r="F148" i="6" s="1"/>
  <c r="D121" i="6"/>
  <c r="E121" i="6" s="1"/>
  <c r="D268" i="6"/>
  <c r="E268" i="6" s="1"/>
  <c r="F268" i="6" s="1"/>
  <c r="D98" i="6"/>
  <c r="E98" i="6"/>
  <c r="D284" i="6"/>
  <c r="E284" i="6"/>
  <c r="F44" i="6"/>
  <c r="D44" i="6"/>
  <c r="E44" i="6"/>
  <c r="D249" i="6"/>
  <c r="D296" i="6"/>
  <c r="D253" i="6"/>
  <c r="E253" i="6"/>
  <c r="D215" i="6"/>
  <c r="E215" i="6"/>
  <c r="F215" i="6" s="1"/>
  <c r="D283" i="6"/>
  <c r="D19" i="6"/>
  <c r="E19" i="6"/>
  <c r="D124" i="6"/>
  <c r="E124" i="6"/>
  <c r="F124" i="6" s="1"/>
  <c r="D265" i="6"/>
  <c r="F265" i="6" s="1"/>
  <c r="E265" i="6"/>
  <c r="D242" i="6"/>
  <c r="E242" i="6"/>
  <c r="F242" i="6" s="1"/>
  <c r="D276" i="6"/>
  <c r="E276" i="6" s="1"/>
  <c r="F276" i="6" s="1"/>
  <c r="D60" i="6"/>
  <c r="E60" i="6"/>
  <c r="F60" i="6" s="1"/>
  <c r="D306" i="6"/>
  <c r="E306" i="6"/>
  <c r="D6" i="6"/>
  <c r="E6" i="6" s="1"/>
  <c r="F6" i="6" s="1"/>
  <c r="D142" i="6"/>
  <c r="E142" i="6"/>
  <c r="D34" i="6"/>
  <c r="E34" i="6" s="1"/>
  <c r="D133" i="6"/>
  <c r="F133" i="6" s="1"/>
  <c r="E133" i="6"/>
  <c r="D152" i="6"/>
  <c r="F152" i="6" s="1"/>
  <c r="E152" i="6"/>
  <c r="D116" i="6"/>
  <c r="D8" i="7"/>
  <c r="AA8" i="7"/>
  <c r="B8" i="2"/>
  <c r="A10" i="7"/>
  <c r="B9" i="7"/>
  <c r="C9" i="7" s="1"/>
  <c r="J9" i="7"/>
  <c r="K9" i="7" s="1"/>
  <c r="A9" i="2"/>
  <c r="D118" i="6"/>
  <c r="F358" i="6"/>
  <c r="D50" i="6"/>
  <c r="E50" i="6"/>
  <c r="F50" i="6" s="1"/>
  <c r="D343" i="6"/>
  <c r="E343" i="6" s="1"/>
  <c r="F343" i="6" s="1"/>
  <c r="D33" i="6"/>
  <c r="D87" i="6"/>
  <c r="E87" i="6"/>
  <c r="F87" i="6" s="1"/>
  <c r="D184" i="6"/>
  <c r="E184" i="6" s="1"/>
  <c r="D114" i="6"/>
  <c r="E114" i="6"/>
  <c r="D326" i="6"/>
  <c r="E326" i="6"/>
  <c r="E269" i="6"/>
  <c r="F269" i="6" s="1"/>
  <c r="D67" i="6"/>
  <c r="E67" i="6"/>
  <c r="F67" i="6" s="1"/>
  <c r="D86" i="6"/>
  <c r="E86" i="6"/>
  <c r="D218" i="6"/>
  <c r="D45" i="6"/>
  <c r="F45" i="6" s="1"/>
  <c r="E45" i="6"/>
  <c r="D350" i="6"/>
  <c r="D261" i="6"/>
  <c r="E261" i="6"/>
  <c r="D80" i="6"/>
  <c r="E80" i="6" s="1"/>
  <c r="F80" i="6" s="1"/>
  <c r="D201" i="6"/>
  <c r="D125" i="6"/>
  <c r="E125" i="6"/>
  <c r="D136" i="6"/>
  <c r="E136" i="6"/>
  <c r="D76" i="6"/>
  <c r="F76" i="6" s="1"/>
  <c r="E76" i="6"/>
  <c r="D252" i="6"/>
  <c r="D334" i="6"/>
  <c r="D175" i="6"/>
  <c r="E175" i="6"/>
  <c r="D203" i="6"/>
  <c r="E203" i="6"/>
  <c r="D207" i="6"/>
  <c r="E207" i="6" s="1"/>
  <c r="D229" i="6"/>
  <c r="E229" i="6" s="1"/>
  <c r="D85" i="6"/>
  <c r="E85" i="6"/>
  <c r="D356" i="6"/>
  <c r="E356" i="6"/>
  <c r="D56" i="6"/>
  <c r="E56" i="6"/>
  <c r="D110" i="6"/>
  <c r="E110" i="6"/>
  <c r="F110" i="6" s="1"/>
  <c r="D37" i="6"/>
  <c r="E37" i="6"/>
  <c r="D278" i="6"/>
  <c r="E278" i="6"/>
  <c r="F278" i="6" s="1"/>
  <c r="D199" i="6"/>
  <c r="F199" i="6" s="1"/>
  <c r="E199" i="6"/>
  <c r="D190" i="6"/>
  <c r="D318" i="6"/>
  <c r="E318" i="6"/>
  <c r="AB8" i="7"/>
  <c r="C8" i="2"/>
  <c r="D7" i="6"/>
  <c r="E7" i="6"/>
  <c r="D362" i="6"/>
  <c r="E362" i="6" s="1"/>
  <c r="D40" i="6"/>
  <c r="E40" i="6"/>
  <c r="D349" i="6"/>
  <c r="E349" i="6"/>
  <c r="D32" i="6"/>
  <c r="E32" i="6"/>
  <c r="D246" i="6"/>
  <c r="E246" i="6"/>
  <c r="F246" i="6" s="1"/>
  <c r="D236" i="6"/>
  <c r="E236" i="6" s="1"/>
  <c r="D293" i="6"/>
  <c r="D263" i="6"/>
  <c r="E263" i="6"/>
  <c r="D108" i="6"/>
  <c r="E108" i="6"/>
  <c r="F108" i="6" s="1"/>
  <c r="D84" i="6"/>
  <c r="E84" i="6"/>
  <c r="F84" i="6" s="1"/>
  <c r="D174" i="6"/>
  <c r="E174" i="6"/>
  <c r="F174" i="6" s="1"/>
  <c r="D97" i="6"/>
  <c r="E97" i="6"/>
  <c r="D16" i="6"/>
  <c r="E16" i="6"/>
  <c r="F16" i="6" s="1"/>
  <c r="R6" i="7" s="1"/>
  <c r="D181" i="6"/>
  <c r="E181" i="6" s="1"/>
  <c r="D230" i="6"/>
  <c r="E230" i="6" s="1"/>
  <c r="F230" i="6" s="1"/>
  <c r="D286" i="6"/>
  <c r="E286" i="6"/>
  <c r="F286" i="6" s="1"/>
  <c r="D129" i="6"/>
  <c r="E129" i="6"/>
  <c r="D8" i="6"/>
  <c r="E8" i="6"/>
  <c r="D49" i="6"/>
  <c r="E49" i="6"/>
  <c r="D111" i="6"/>
  <c r="E111" i="6"/>
  <c r="D243" i="6"/>
  <c r="E243" i="6"/>
  <c r="F243" i="6" s="1"/>
  <c r="D57" i="6"/>
  <c r="E57" i="6" s="1"/>
  <c r="D58" i="6"/>
  <c r="D115" i="6"/>
  <c r="E115" i="6"/>
  <c r="D173" i="6"/>
  <c r="E173" i="6"/>
  <c r="F173" i="6" s="1"/>
  <c r="D162" i="6"/>
  <c r="E162" i="6"/>
  <c r="D194" i="6"/>
  <c r="E194" i="6"/>
  <c r="D299" i="6"/>
  <c r="E299" i="6" s="1"/>
  <c r="D303" i="6"/>
  <c r="E303" i="6"/>
  <c r="F303" i="6" s="1"/>
  <c r="D69" i="6"/>
  <c r="E69" i="6" s="1"/>
  <c r="D254" i="6"/>
  <c r="D281" i="6"/>
  <c r="E281" i="6"/>
  <c r="F281" i="6" s="1"/>
  <c r="D282" i="6"/>
  <c r="E282" i="6"/>
  <c r="D341" i="6"/>
  <c r="E341" i="6"/>
  <c r="F341" i="6" s="1"/>
  <c r="E314" i="6"/>
  <c r="F314" i="6" s="1"/>
  <c r="D17" i="6"/>
  <c r="E17" i="6" s="1"/>
  <c r="F17" i="6" s="1"/>
  <c r="D82" i="6"/>
  <c r="E82" i="6"/>
  <c r="D195" i="6"/>
  <c r="E195" i="6"/>
  <c r="D140" i="6"/>
  <c r="F140" i="6" s="1"/>
  <c r="E140" i="6"/>
  <c r="D160" i="6"/>
  <c r="F160" i="6" s="1"/>
  <c r="E160" i="6"/>
  <c r="F224" i="6"/>
  <c r="D198" i="6"/>
  <c r="E198" i="6"/>
  <c r="F198" i="6" s="1"/>
  <c r="D304" i="6"/>
  <c r="E304" i="6"/>
  <c r="D128" i="6"/>
  <c r="E128" i="6"/>
  <c r="F212" i="6"/>
  <c r="D212" i="6"/>
  <c r="E212" i="6"/>
  <c r="D54" i="6"/>
  <c r="E54" i="6" s="1"/>
  <c r="F54" i="6" s="1"/>
  <c r="D12" i="6"/>
  <c r="E12" i="6"/>
  <c r="F12" i="6" s="1"/>
  <c r="D22" i="6"/>
  <c r="E22" i="6"/>
  <c r="D311" i="6"/>
  <c r="E311" i="6"/>
  <c r="F311" i="6" s="1"/>
  <c r="D93" i="6"/>
  <c r="E93" i="6"/>
  <c r="F93" i="6" s="1"/>
  <c r="D264" i="6"/>
  <c r="E264" i="6"/>
  <c r="D178" i="6"/>
  <c r="E178" i="6" s="1"/>
  <c r="F178" i="6" s="1"/>
  <c r="D208" i="6"/>
  <c r="E208" i="6"/>
  <c r="F208" i="6" s="1"/>
  <c r="D61" i="6"/>
  <c r="D165" i="6"/>
  <c r="E165" i="6"/>
  <c r="D333" i="6"/>
  <c r="E333" i="6"/>
  <c r="D139" i="6"/>
  <c r="E139" i="6"/>
  <c r="D20" i="6"/>
  <c r="E20" i="6"/>
  <c r="F20" i="6" s="1"/>
  <c r="D107" i="6"/>
  <c r="E107" i="6"/>
  <c r="D21" i="6"/>
  <c r="E21" i="6"/>
  <c r="D309" i="6"/>
  <c r="D322" i="6"/>
  <c r="E322" i="6"/>
  <c r="F322" i="6" s="1"/>
  <c r="D310" i="6"/>
  <c r="E310" i="6"/>
  <c r="F310" i="6" s="1"/>
  <c r="D221" i="6"/>
  <c r="E221" i="6"/>
  <c r="D94" i="6"/>
  <c r="E94" i="6" s="1"/>
  <c r="D103" i="6"/>
  <c r="E103" i="6"/>
  <c r="F103" i="6" s="1"/>
  <c r="D100" i="6"/>
  <c r="E100" i="6"/>
  <c r="F100" i="6" s="1"/>
  <c r="D120" i="6"/>
  <c r="E120" i="6"/>
  <c r="D237" i="6"/>
  <c r="F237" i="6" s="1"/>
  <c r="E237" i="6"/>
  <c r="D359" i="6"/>
  <c r="D205" i="6"/>
  <c r="E205" i="6"/>
  <c r="D55" i="6"/>
  <c r="E55" i="6"/>
  <c r="D185" i="6"/>
  <c r="E185" i="6"/>
  <c r="F185" i="6" s="1"/>
  <c r="D330" i="6"/>
  <c r="E330" i="6"/>
  <c r="F330" i="6" s="1"/>
  <c r="D250" i="6"/>
  <c r="E250" i="6"/>
  <c r="D234" i="6"/>
  <c r="E234" i="6"/>
  <c r="D154" i="6"/>
  <c r="E154" i="6"/>
  <c r="F154" i="6" s="1"/>
  <c r="D291" i="6"/>
  <c r="D331" i="6"/>
  <c r="E331" i="6"/>
  <c r="D223" i="6"/>
  <c r="E223" i="6"/>
  <c r="D64" i="6"/>
  <c r="E64" i="6"/>
  <c r="D345" i="6"/>
  <c r="E345" i="6"/>
  <c r="F345" i="6" s="1"/>
  <c r="D288" i="6"/>
  <c r="E288" i="6"/>
  <c r="D232" i="6"/>
  <c r="E232" i="6"/>
  <c r="H6" i="7"/>
  <c r="G6" i="7"/>
  <c r="F6" i="7"/>
  <c r="E6" i="7"/>
  <c r="P6" i="7"/>
  <c r="O6" i="7"/>
  <c r="D351" i="6"/>
  <c r="D308" i="6"/>
  <c r="F308" i="6" s="1"/>
  <c r="E308" i="6"/>
  <c r="D91" i="6"/>
  <c r="D164" i="6"/>
  <c r="E164" i="6"/>
  <c r="D329" i="6"/>
  <c r="E329" i="6" s="1"/>
  <c r="F329" i="6" s="1"/>
  <c r="D297" i="6"/>
  <c r="E297" i="6" s="1"/>
  <c r="D302" i="6"/>
  <c r="E302" i="6"/>
  <c r="D300" i="6"/>
  <c r="E300" i="6"/>
  <c r="F300" i="6" s="1"/>
  <c r="F123" i="6" l="1"/>
  <c r="F128" i="6"/>
  <c r="F129" i="6"/>
  <c r="F356" i="6"/>
  <c r="F245" i="6"/>
  <c r="F255" i="6"/>
  <c r="F235" i="6"/>
  <c r="F304" i="6"/>
  <c r="F244" i="6"/>
  <c r="F157" i="6"/>
  <c r="F266" i="6"/>
  <c r="F85" i="6"/>
  <c r="F323" i="6"/>
  <c r="F73" i="6"/>
  <c r="F289" i="6"/>
  <c r="F210" i="6"/>
  <c r="F48" i="6"/>
  <c r="F35" i="6"/>
  <c r="F119" i="6"/>
  <c r="F47" i="6"/>
  <c r="F117" i="6"/>
  <c r="F10" i="6"/>
  <c r="F79" i="6"/>
  <c r="F165" i="6"/>
  <c r="F349" i="6"/>
  <c r="F262" i="6"/>
  <c r="F101" i="6"/>
  <c r="F98" i="6"/>
  <c r="F68" i="6"/>
  <c r="F337" i="6"/>
  <c r="F40" i="6"/>
  <c r="E351" i="6"/>
  <c r="F351" i="6" s="1"/>
  <c r="F94" i="6"/>
  <c r="F299" i="6"/>
  <c r="F362" i="6"/>
  <c r="F229" i="6"/>
  <c r="E218" i="6"/>
  <c r="F218" i="6" s="1"/>
  <c r="F121" i="6"/>
  <c r="F92" i="6"/>
  <c r="F56" i="6"/>
  <c r="F7" i="6"/>
  <c r="F264" i="6"/>
  <c r="F134" i="6"/>
  <c r="F32" i="6"/>
  <c r="E259" i="6"/>
  <c r="F259" i="6" s="1"/>
  <c r="F8" i="6"/>
  <c r="F172" i="6"/>
  <c r="F336" i="6"/>
  <c r="F333" i="6"/>
  <c r="F306" i="6"/>
  <c r="F189" i="6"/>
  <c r="F234" i="6"/>
  <c r="F203" i="6"/>
  <c r="F271" i="6"/>
  <c r="F175" i="6"/>
  <c r="F222" i="6"/>
  <c r="F216" i="6"/>
  <c r="F312" i="6"/>
  <c r="F287" i="6"/>
  <c r="F318" i="6"/>
  <c r="F298" i="6"/>
  <c r="F166" i="6"/>
  <c r="F55" i="6"/>
  <c r="F21" i="6"/>
  <c r="F114" i="6"/>
  <c r="F231" i="6"/>
  <c r="F170" i="6"/>
  <c r="F346" i="6"/>
  <c r="F223" i="6"/>
  <c r="F261" i="6"/>
  <c r="F106" i="6"/>
  <c r="F62" i="6"/>
  <c r="F347" i="6"/>
  <c r="F211" i="6"/>
  <c r="F197" i="6"/>
  <c r="F72" i="6"/>
  <c r="F19" i="6"/>
  <c r="R7" i="7" s="1"/>
  <c r="F360" i="6"/>
  <c r="F295" i="6"/>
  <c r="F176" i="6"/>
  <c r="F195" i="6"/>
  <c r="F363" i="6"/>
  <c r="F183" i="6"/>
  <c r="F22" i="6"/>
  <c r="F88" i="6"/>
  <c r="F232" i="6"/>
  <c r="F82" i="6"/>
  <c r="F191" i="6"/>
  <c r="F141" i="6"/>
  <c r="F288" i="6"/>
  <c r="F205" i="6"/>
  <c r="F107" i="6"/>
  <c r="F263" i="6"/>
  <c r="F136" i="6"/>
  <c r="F253" i="6"/>
  <c r="F315" i="6"/>
  <c r="F328" i="6"/>
  <c r="F131" i="6"/>
  <c r="F149" i="6"/>
  <c r="F97" i="6"/>
  <c r="F130" i="6"/>
  <c r="F184" i="6"/>
  <c r="F95" i="6"/>
  <c r="F37" i="6"/>
  <c r="F241" i="6"/>
  <c r="F177" i="6"/>
  <c r="F342" i="6"/>
  <c r="F270" i="6"/>
  <c r="F153" i="6"/>
  <c r="F354" i="6"/>
  <c r="F221" i="6"/>
  <c r="F104" i="6"/>
  <c r="F238" i="6"/>
  <c r="F86" i="6"/>
  <c r="F321" i="6"/>
  <c r="F364" i="6"/>
  <c r="F302" i="6"/>
  <c r="F142" i="6"/>
  <c r="F122" i="6"/>
  <c r="F317" i="6"/>
  <c r="F43" i="6"/>
  <c r="F120" i="6"/>
  <c r="F52" i="6"/>
  <c r="F164" i="6"/>
  <c r="F284" i="6"/>
  <c r="F90" i="6"/>
  <c r="F331" i="6"/>
  <c r="F81" i="6"/>
  <c r="F194" i="6"/>
  <c r="F179" i="6"/>
  <c r="F250" i="6"/>
  <c r="F162" i="6"/>
  <c r="F112" i="6"/>
  <c r="F338" i="6"/>
  <c r="F294" i="6"/>
  <c r="F143" i="6"/>
  <c r="F115" i="6"/>
  <c r="F96" i="6"/>
  <c r="F326" i="6"/>
  <c r="F34" i="6"/>
  <c r="F213" i="6"/>
  <c r="F292" i="6"/>
  <c r="F320" i="6"/>
  <c r="F155" i="6"/>
  <c r="F248" i="6"/>
  <c r="F111" i="6"/>
  <c r="F125" i="6"/>
  <c r="F64" i="6"/>
  <c r="F139" i="6"/>
  <c r="F282" i="6"/>
  <c r="F49" i="6"/>
  <c r="F227" i="6"/>
  <c r="E257" i="6"/>
  <c r="F257" i="6" s="1"/>
  <c r="E31" i="6"/>
  <c r="F31" i="6" s="1"/>
  <c r="E186" i="6"/>
  <c r="F186" i="6" s="1"/>
  <c r="F11" i="6"/>
  <c r="E99" i="6"/>
  <c r="F99" i="6" s="1"/>
  <c r="E14" i="6"/>
  <c r="F14" i="6" s="1"/>
  <c r="F66" i="6"/>
  <c r="F116" i="6"/>
  <c r="F249" i="6"/>
  <c r="F352" i="6"/>
  <c r="F297" i="6"/>
  <c r="AB9" i="7"/>
  <c r="C9" i="2"/>
  <c r="S6" i="7"/>
  <c r="T6" i="7" s="1"/>
  <c r="F69" i="6"/>
  <c r="F236" i="6"/>
  <c r="F365" i="6"/>
  <c r="F313" i="6"/>
  <c r="F59" i="6"/>
  <c r="F207" i="6"/>
  <c r="D9" i="7"/>
  <c r="AA9" i="7"/>
  <c r="B9" i="2"/>
  <c r="A11" i="7"/>
  <c r="B10" i="7"/>
  <c r="C10" i="7" s="1"/>
  <c r="J10" i="7"/>
  <c r="K10" i="7" s="1"/>
  <c r="A10" i="2"/>
  <c r="F181" i="6"/>
  <c r="F332" i="6"/>
  <c r="E291" i="6"/>
  <c r="F291" i="6" s="1"/>
  <c r="E359" i="6"/>
  <c r="F359" i="6" s="1"/>
  <c r="E61" i="6"/>
  <c r="F61" i="6" s="1"/>
  <c r="E190" i="6"/>
  <c r="F190" i="6" s="1"/>
  <c r="E219" i="6"/>
  <c r="F219" i="6" s="1"/>
  <c r="E145" i="6"/>
  <c r="F145" i="6" s="1"/>
  <c r="E353" i="6"/>
  <c r="F353" i="6" s="1"/>
  <c r="E25" i="6"/>
  <c r="F25" i="6" s="1"/>
  <c r="F57" i="6"/>
  <c r="F83" i="6"/>
  <c r="G8" i="7"/>
  <c r="F8" i="7"/>
  <c r="E8" i="7"/>
  <c r="R8" i="7"/>
  <c r="Q8" i="7"/>
  <c r="H8" i="7"/>
  <c r="P8" i="7"/>
  <c r="O8" i="7"/>
  <c r="F51" i="6"/>
  <c r="F70" i="6"/>
  <c r="I6" i="7"/>
  <c r="L6" i="7" s="1"/>
  <c r="M6" i="7" s="1"/>
  <c r="N6" i="7" s="1"/>
  <c r="F77" i="6"/>
  <c r="E13" i="6"/>
  <c r="F13" i="6" s="1"/>
  <c r="F27" i="6"/>
  <c r="F127" i="6"/>
  <c r="E309" i="6"/>
  <c r="F309" i="6" s="1"/>
  <c r="E118" i="6"/>
  <c r="F118" i="6" s="1"/>
  <c r="E138" i="6"/>
  <c r="F138" i="6" s="1"/>
  <c r="E201" i="6"/>
  <c r="F201" i="6" s="1"/>
  <c r="E283" i="6"/>
  <c r="F283" i="6" s="1"/>
  <c r="E355" i="6"/>
  <c r="F355" i="6" s="1"/>
  <c r="E163" i="6"/>
  <c r="F163" i="6" s="1"/>
  <c r="E91" i="6"/>
  <c r="F91" i="6" s="1"/>
  <c r="E334" i="6"/>
  <c r="F334" i="6" s="1"/>
  <c r="E350" i="6"/>
  <c r="F350" i="6" s="1"/>
  <c r="E116" i="6"/>
  <c r="E296" i="6"/>
  <c r="F296" i="6" s="1"/>
  <c r="E66" i="6"/>
  <c r="E305" i="6"/>
  <c r="F305" i="6" s="1"/>
  <c r="S7" i="7"/>
  <c r="T7" i="7" s="1"/>
  <c r="E340" i="6"/>
  <c r="F340" i="6" s="1"/>
  <c r="E135" i="6"/>
  <c r="F135" i="6" s="1"/>
  <c r="E327" i="6"/>
  <c r="F327" i="6" s="1"/>
  <c r="E202" i="6"/>
  <c r="F202" i="6" s="1"/>
  <c r="E352" i="6"/>
  <c r="E252" i="6"/>
  <c r="F252" i="6" s="1"/>
  <c r="E249" i="6"/>
  <c r="E254" i="6"/>
  <c r="F254" i="6" s="1"/>
  <c r="E58" i="6"/>
  <c r="F58" i="6" s="1"/>
  <c r="E293" i="6"/>
  <c r="F293" i="6" s="1"/>
  <c r="E33" i="6"/>
  <c r="F33" i="6" s="1"/>
  <c r="E260" i="6"/>
  <c r="F260" i="6" s="1"/>
  <c r="E26" i="6"/>
  <c r="F26" i="6" s="1"/>
  <c r="E171" i="6"/>
  <c r="F171" i="6" s="1"/>
  <c r="E146" i="6"/>
  <c r="F146" i="6" s="1"/>
  <c r="E168" i="6"/>
  <c r="F168" i="6" s="1"/>
  <c r="S8" i="7" l="1"/>
  <c r="T8" i="7" s="1"/>
  <c r="F9" i="7"/>
  <c r="E9" i="7"/>
  <c r="H9" i="7"/>
  <c r="G9" i="7"/>
  <c r="R9" i="7"/>
  <c r="Q9" i="7"/>
  <c r="P9" i="7"/>
  <c r="O9" i="7"/>
  <c r="AC6" i="7"/>
  <c r="D6" i="2"/>
  <c r="U6" i="7"/>
  <c r="W6" i="7" s="1"/>
  <c r="D10" i="7"/>
  <c r="AA10" i="7"/>
  <c r="B10" i="2"/>
  <c r="A12" i="7"/>
  <c r="B11" i="7"/>
  <c r="C11" i="7" s="1"/>
  <c r="J11" i="7"/>
  <c r="K11" i="7" s="1"/>
  <c r="A11" i="2"/>
  <c r="AC8" i="7"/>
  <c r="D8" i="2"/>
  <c r="E8" i="2" s="1"/>
  <c r="U8" i="7"/>
  <c r="W8" i="7" s="1"/>
  <c r="AB10" i="7"/>
  <c r="C10" i="2"/>
  <c r="AC7" i="7"/>
  <c r="D7" i="2"/>
  <c r="E7" i="2" s="1"/>
  <c r="U7" i="7"/>
  <c r="W7" i="7" s="1"/>
  <c r="I8" i="7"/>
  <c r="L8" i="7" s="1"/>
  <c r="M8" i="7" s="1"/>
  <c r="N8" i="7" s="1"/>
  <c r="AB11" i="7" l="1"/>
  <c r="C11" i="2"/>
  <c r="E10" i="7"/>
  <c r="H10" i="7"/>
  <c r="G10" i="7"/>
  <c r="F10" i="7"/>
  <c r="R10" i="7"/>
  <c r="Q10" i="7"/>
  <c r="P10" i="7"/>
  <c r="O10" i="7"/>
  <c r="E6" i="2"/>
  <c r="I9" i="7"/>
  <c r="L9" i="7" s="1"/>
  <c r="M9" i="7" s="1"/>
  <c r="N9" i="7" s="1"/>
  <c r="D11" i="7"/>
  <c r="AA11" i="7"/>
  <c r="B11" i="2"/>
  <c r="A13" i="7"/>
  <c r="B12" i="7"/>
  <c r="C12" i="7" s="1"/>
  <c r="A12" i="2"/>
  <c r="J12" i="7"/>
  <c r="K12" i="7" s="1"/>
  <c r="S9" i="7"/>
  <c r="T9" i="7" s="1"/>
  <c r="A14" i="7" l="1"/>
  <c r="B13" i="7"/>
  <c r="C13" i="7" s="1"/>
  <c r="J13" i="7"/>
  <c r="K13" i="7" s="1"/>
  <c r="A13" i="2"/>
  <c r="AB12" i="7"/>
  <c r="C12" i="2"/>
  <c r="AA12" i="7"/>
  <c r="D12" i="7"/>
  <c r="B12" i="2"/>
  <c r="R11" i="7"/>
  <c r="Q11" i="7"/>
  <c r="P11" i="7"/>
  <c r="O11" i="7"/>
  <c r="H11" i="7"/>
  <c r="G11" i="7"/>
  <c r="F11" i="7"/>
  <c r="E11" i="7"/>
  <c r="AC9" i="7"/>
  <c r="D9" i="2"/>
  <c r="U9" i="7"/>
  <c r="W9" i="7" s="1"/>
  <c r="I10" i="7"/>
  <c r="L10" i="7" s="1"/>
  <c r="M10" i="7" s="1"/>
  <c r="N10" i="7" s="1"/>
  <c r="S10" i="7"/>
  <c r="T10" i="7" s="1"/>
  <c r="S11" i="7" l="1"/>
  <c r="T11" i="7" s="1"/>
  <c r="E9" i="2"/>
  <c r="AC10" i="7"/>
  <c r="D10" i="2"/>
  <c r="E10" i="2" s="1"/>
  <c r="U10" i="7"/>
  <c r="W10" i="7" s="1"/>
  <c r="I11" i="7"/>
  <c r="L11" i="7" s="1"/>
  <c r="M11" i="7" s="1"/>
  <c r="N11" i="7" s="1"/>
  <c r="AB13" i="7"/>
  <c r="C13" i="2"/>
  <c r="R12" i="7"/>
  <c r="Q12" i="7"/>
  <c r="O12" i="7"/>
  <c r="P12" i="7"/>
  <c r="H12" i="7"/>
  <c r="E12" i="7"/>
  <c r="F12" i="7"/>
  <c r="G12" i="7"/>
  <c r="AC11" i="7"/>
  <c r="D11" i="2"/>
  <c r="E11" i="2" s="1"/>
  <c r="U11" i="7"/>
  <c r="W11" i="7" s="1"/>
  <c r="AA13" i="7"/>
  <c r="D13" i="7"/>
  <c r="B13" i="2"/>
  <c r="J14" i="7"/>
  <c r="K14" i="7" s="1"/>
  <c r="B14" i="7"/>
  <c r="C14" i="7" s="1"/>
  <c r="A15" i="7"/>
  <c r="A14" i="2"/>
  <c r="F13" i="7" l="1"/>
  <c r="E13" i="7"/>
  <c r="H13" i="7"/>
  <c r="G13" i="7"/>
  <c r="R13" i="7"/>
  <c r="Q13" i="7"/>
  <c r="P13" i="7"/>
  <c r="O13" i="7"/>
  <c r="S12" i="7"/>
  <c r="T12" i="7" s="1"/>
  <c r="I12" i="7"/>
  <c r="L12" i="7" s="1"/>
  <c r="M12" i="7" s="1"/>
  <c r="N12" i="7" s="1"/>
  <c r="J15" i="7"/>
  <c r="K15" i="7" s="1"/>
  <c r="A15" i="2"/>
  <c r="A16" i="7"/>
  <c r="B15" i="7"/>
  <c r="C15" i="7" s="1"/>
  <c r="AA14" i="7"/>
  <c r="D14" i="7"/>
  <c r="B14" i="2"/>
  <c r="AB14" i="7"/>
  <c r="C14" i="2"/>
  <c r="S13" i="7" l="1"/>
  <c r="T13" i="7" s="1"/>
  <c r="AB15" i="7"/>
  <c r="C15" i="2"/>
  <c r="AC12" i="7"/>
  <c r="D12" i="2"/>
  <c r="U12" i="7"/>
  <c r="W12" i="7" s="1"/>
  <c r="R14" i="7"/>
  <c r="H14" i="7"/>
  <c r="G14" i="7"/>
  <c r="F14" i="7"/>
  <c r="E14" i="7"/>
  <c r="Q14" i="7"/>
  <c r="P14" i="7"/>
  <c r="O14" i="7"/>
  <c r="A17" i="7"/>
  <c r="J16" i="7"/>
  <c r="K16" i="7" s="1"/>
  <c r="A16" i="2"/>
  <c r="B16" i="7"/>
  <c r="C16" i="7" s="1"/>
  <c r="I13" i="7"/>
  <c r="L13" i="7" s="1"/>
  <c r="M13" i="7" s="1"/>
  <c r="N13" i="7" s="1"/>
  <c r="AA15" i="7"/>
  <c r="D15" i="7"/>
  <c r="B15" i="2"/>
  <c r="R15" i="7" l="1"/>
  <c r="Q15" i="7"/>
  <c r="P15" i="7"/>
  <c r="O15" i="7"/>
  <c r="S15" i="7" s="1"/>
  <c r="T15" i="7" s="1"/>
  <c r="H15" i="7"/>
  <c r="G15" i="7"/>
  <c r="F15" i="7"/>
  <c r="E15" i="7"/>
  <c r="S14" i="7"/>
  <c r="T14" i="7" s="1"/>
  <c r="I14" i="7"/>
  <c r="L14" i="7" s="1"/>
  <c r="M14" i="7" s="1"/>
  <c r="N14" i="7" s="1"/>
  <c r="AB16" i="7"/>
  <c r="C16" i="2"/>
  <c r="B17" i="7"/>
  <c r="C17" i="7" s="1"/>
  <c r="J17" i="7"/>
  <c r="K17" i="7" s="1"/>
  <c r="A18" i="7"/>
  <c r="A17" i="2"/>
  <c r="AA16" i="7"/>
  <c r="B16" i="2"/>
  <c r="D16" i="7"/>
  <c r="E12" i="2"/>
  <c r="AC13" i="7"/>
  <c r="D13" i="2"/>
  <c r="E13" i="2" s="1"/>
  <c r="U13" i="7"/>
  <c r="W13" i="7" s="1"/>
  <c r="Q16" i="7" l="1"/>
  <c r="P16" i="7"/>
  <c r="R16" i="7"/>
  <c r="O16" i="7"/>
  <c r="H16" i="7"/>
  <c r="G16" i="7"/>
  <c r="F16" i="7"/>
  <c r="E16" i="7"/>
  <c r="J18" i="7"/>
  <c r="K18" i="7" s="1"/>
  <c r="A18" i="2"/>
  <c r="A19" i="7"/>
  <c r="B18" i="7"/>
  <c r="C18" i="7" s="1"/>
  <c r="D17" i="7"/>
  <c r="B17" i="2"/>
  <c r="AA17" i="7"/>
  <c r="AC14" i="7"/>
  <c r="D14" i="2"/>
  <c r="U14" i="7"/>
  <c r="W14" i="7" s="1"/>
  <c r="AC15" i="7"/>
  <c r="D15" i="2"/>
  <c r="E15" i="2" s="1"/>
  <c r="U15" i="7"/>
  <c r="W15" i="7" s="1"/>
  <c r="I15" i="7"/>
  <c r="L15" i="7" s="1"/>
  <c r="M15" i="7" s="1"/>
  <c r="N15" i="7" s="1"/>
  <c r="C17" i="2"/>
  <c r="AB17" i="7"/>
  <c r="I16" i="7" l="1"/>
  <c r="L16" i="7" s="1"/>
  <c r="M16" i="7" s="1"/>
  <c r="N16" i="7" s="1"/>
  <c r="C18" i="2"/>
  <c r="AB18" i="7"/>
  <c r="E14" i="2"/>
  <c r="S16" i="7"/>
  <c r="T16" i="7" s="1"/>
  <c r="B18" i="2"/>
  <c r="AA18" i="7"/>
  <c r="D18" i="7"/>
  <c r="R17" i="7"/>
  <c r="P17" i="7"/>
  <c r="O17" i="7"/>
  <c r="F17" i="7"/>
  <c r="E17" i="7"/>
  <c r="H17" i="7"/>
  <c r="G17" i="7"/>
  <c r="Q17" i="7"/>
  <c r="J19" i="7"/>
  <c r="K19" i="7" s="1"/>
  <c r="A20" i="7"/>
  <c r="A19" i="2"/>
  <c r="B19" i="7"/>
  <c r="C19" i="7" s="1"/>
  <c r="AA19" i="7" l="1"/>
  <c r="D19" i="7"/>
  <c r="B19" i="2"/>
  <c r="A21" i="7"/>
  <c r="B20" i="7"/>
  <c r="C20" i="7" s="1"/>
  <c r="A20" i="2"/>
  <c r="J20" i="7"/>
  <c r="K20" i="7" s="1"/>
  <c r="S17" i="7"/>
  <c r="T17" i="7" s="1"/>
  <c r="AB19" i="7"/>
  <c r="C19" i="2"/>
  <c r="R18" i="7"/>
  <c r="Q18" i="7"/>
  <c r="O18" i="7"/>
  <c r="H18" i="7"/>
  <c r="G18" i="7"/>
  <c r="F18" i="7"/>
  <c r="E18" i="7"/>
  <c r="P18" i="7"/>
  <c r="I17" i="7"/>
  <c r="L17" i="7" s="1"/>
  <c r="M17" i="7" s="1"/>
  <c r="N17" i="7" s="1"/>
  <c r="AC16" i="7"/>
  <c r="D16" i="2"/>
  <c r="E16" i="2" s="1"/>
  <c r="U16" i="7"/>
  <c r="W16" i="7" s="1"/>
  <c r="S18" i="7" l="1"/>
  <c r="T18" i="7" s="1"/>
  <c r="AC17" i="7"/>
  <c r="D17" i="2"/>
  <c r="E17" i="2" s="1"/>
  <c r="U17" i="7"/>
  <c r="W17" i="7" s="1"/>
  <c r="D20" i="7"/>
  <c r="B20" i="2"/>
  <c r="AA20" i="7"/>
  <c r="I18" i="7"/>
  <c r="L18" i="7" s="1"/>
  <c r="M18" i="7" s="1"/>
  <c r="N18" i="7" s="1"/>
  <c r="C20" i="2"/>
  <c r="AB20" i="7"/>
  <c r="B21" i="7"/>
  <c r="C21" i="7" s="1"/>
  <c r="J21" i="7"/>
  <c r="K21" i="7" s="1"/>
  <c r="A21" i="2"/>
  <c r="A22" i="7"/>
  <c r="R19" i="7"/>
  <c r="Q19" i="7"/>
  <c r="P19" i="7"/>
  <c r="O19" i="7"/>
  <c r="H19" i="7"/>
  <c r="G19" i="7"/>
  <c r="F19" i="7"/>
  <c r="E19" i="7"/>
  <c r="D21" i="7" l="1"/>
  <c r="AA21" i="7"/>
  <c r="B21" i="2"/>
  <c r="J22" i="7"/>
  <c r="K22" i="7" s="1"/>
  <c r="A23" i="7"/>
  <c r="A22" i="2"/>
  <c r="B22" i="7"/>
  <c r="C22" i="7" s="1"/>
  <c r="C21" i="2"/>
  <c r="AB21" i="7"/>
  <c r="E20" i="7"/>
  <c r="R20" i="7"/>
  <c r="Q20" i="7"/>
  <c r="P20" i="7"/>
  <c r="H20" i="7"/>
  <c r="G20" i="7"/>
  <c r="F20" i="7"/>
  <c r="O20" i="7"/>
  <c r="S20" i="7" s="1"/>
  <c r="T20" i="7" s="1"/>
  <c r="S19" i="7"/>
  <c r="T19" i="7" s="1"/>
  <c r="I19" i="7"/>
  <c r="L19" i="7" s="1"/>
  <c r="M19" i="7" s="1"/>
  <c r="N19" i="7" s="1"/>
  <c r="D18" i="2"/>
  <c r="E18" i="2" s="1"/>
  <c r="AC18" i="7"/>
  <c r="U18" i="7"/>
  <c r="W18" i="7" s="1"/>
  <c r="AC20" i="7" l="1"/>
  <c r="D20" i="2"/>
  <c r="E20" i="2" s="1"/>
  <c r="U20" i="7"/>
  <c r="W20" i="7" s="1"/>
  <c r="AC19" i="7"/>
  <c r="D19" i="2"/>
  <c r="E19" i="2" s="1"/>
  <c r="U19" i="7"/>
  <c r="W19" i="7" s="1"/>
  <c r="I20" i="7"/>
  <c r="L20" i="7" s="1"/>
  <c r="M20" i="7" s="1"/>
  <c r="N20" i="7" s="1"/>
  <c r="B22" i="2"/>
  <c r="AA22" i="7"/>
  <c r="D22" i="7"/>
  <c r="A24" i="7"/>
  <c r="B23" i="7"/>
  <c r="C23" i="7" s="1"/>
  <c r="J23" i="7"/>
  <c r="K23" i="7" s="1"/>
  <c r="A23" i="2"/>
  <c r="AB22" i="7"/>
  <c r="C22" i="2"/>
  <c r="R21" i="7"/>
  <c r="Q21" i="7"/>
  <c r="P21" i="7"/>
  <c r="H21" i="7"/>
  <c r="G21" i="7"/>
  <c r="F21" i="7"/>
  <c r="E21" i="7"/>
  <c r="O21" i="7"/>
  <c r="AB23" i="7" l="1"/>
  <c r="C23" i="2"/>
  <c r="R22" i="7"/>
  <c r="Q22" i="7"/>
  <c r="P22" i="7"/>
  <c r="O22" i="7"/>
  <c r="H22" i="7"/>
  <c r="F22" i="7"/>
  <c r="G22" i="7"/>
  <c r="E22" i="7"/>
  <c r="AA23" i="7"/>
  <c r="B23" i="2"/>
  <c r="D23" i="7"/>
  <c r="B24" i="7"/>
  <c r="C24" i="7" s="1"/>
  <c r="J24" i="7"/>
  <c r="K24" i="7" s="1"/>
  <c r="A24" i="2"/>
  <c r="A25" i="7"/>
  <c r="S21" i="7"/>
  <c r="T21" i="7" s="1"/>
  <c r="I21" i="7"/>
  <c r="L21" i="7" s="1"/>
  <c r="M21" i="7" s="1"/>
  <c r="N21" i="7" s="1"/>
  <c r="D24" i="7" l="1"/>
  <c r="AA24" i="7"/>
  <c r="B24" i="2"/>
  <c r="AB24" i="7"/>
  <c r="C24" i="2"/>
  <c r="R23" i="7"/>
  <c r="Q23" i="7"/>
  <c r="P23" i="7"/>
  <c r="O23" i="7"/>
  <c r="H23" i="7"/>
  <c r="G23" i="7"/>
  <c r="F23" i="7"/>
  <c r="E23" i="7"/>
  <c r="D21" i="2"/>
  <c r="E21" i="2" s="1"/>
  <c r="AC21" i="7"/>
  <c r="U21" i="7"/>
  <c r="W21" i="7" s="1"/>
  <c r="S22" i="7"/>
  <c r="T22" i="7" s="1"/>
  <c r="J25" i="7"/>
  <c r="K25" i="7" s="1"/>
  <c r="A26" i="7"/>
  <c r="A25" i="2"/>
  <c r="B25" i="7"/>
  <c r="C25" i="7" s="1"/>
  <c r="I22" i="7"/>
  <c r="L22" i="7" s="1"/>
  <c r="M22" i="7" s="1"/>
  <c r="N22" i="7" s="1"/>
  <c r="A27" i="7" l="1"/>
  <c r="B26" i="7"/>
  <c r="C26" i="7" s="1"/>
  <c r="J26" i="7"/>
  <c r="K26" i="7" s="1"/>
  <c r="A26" i="2"/>
  <c r="I23" i="7"/>
  <c r="L23" i="7" s="1"/>
  <c r="M23" i="7" s="1"/>
  <c r="N23" i="7" s="1"/>
  <c r="S23" i="7"/>
  <c r="T23" i="7" s="1"/>
  <c r="AA25" i="7"/>
  <c r="D25" i="7"/>
  <c r="B25" i="2"/>
  <c r="D22" i="2"/>
  <c r="E22" i="2" s="1"/>
  <c r="AC22" i="7"/>
  <c r="U22" i="7"/>
  <c r="W22" i="7" s="1"/>
  <c r="AB25" i="7"/>
  <c r="C25" i="2"/>
  <c r="R24" i="7"/>
  <c r="Q24" i="7"/>
  <c r="P24" i="7"/>
  <c r="E24" i="7"/>
  <c r="H24" i="7"/>
  <c r="G24" i="7"/>
  <c r="F24" i="7"/>
  <c r="O24" i="7"/>
  <c r="AC23" i="7" l="1"/>
  <c r="D23" i="2"/>
  <c r="E23" i="2" s="1"/>
  <c r="U23" i="7"/>
  <c r="W23" i="7" s="1"/>
  <c r="I24" i="7"/>
  <c r="L24" i="7" s="1"/>
  <c r="M24" i="7" s="1"/>
  <c r="N24" i="7" s="1"/>
  <c r="R25" i="7"/>
  <c r="Q25" i="7"/>
  <c r="P25" i="7"/>
  <c r="H25" i="7"/>
  <c r="G25" i="7"/>
  <c r="F25" i="7"/>
  <c r="E25" i="7"/>
  <c r="O25" i="7"/>
  <c r="S25" i="7" s="1"/>
  <c r="T25" i="7" s="1"/>
  <c r="AB26" i="7"/>
  <c r="C26" i="2"/>
  <c r="AA26" i="7"/>
  <c r="D26" i="7"/>
  <c r="B26" i="2"/>
  <c r="S24" i="7"/>
  <c r="T24" i="7" s="1"/>
  <c r="A28" i="7"/>
  <c r="B27" i="7"/>
  <c r="C27" i="7" s="1"/>
  <c r="A27" i="2"/>
  <c r="J27" i="7"/>
  <c r="K27" i="7" s="1"/>
  <c r="I25" i="7" l="1"/>
  <c r="L25" i="7" s="1"/>
  <c r="M25" i="7" s="1"/>
  <c r="N25" i="7" s="1"/>
  <c r="B28" i="7"/>
  <c r="C28" i="7" s="1"/>
  <c r="A29" i="7"/>
  <c r="J28" i="7"/>
  <c r="K28" i="7" s="1"/>
  <c r="A28" i="2"/>
  <c r="R26" i="7"/>
  <c r="P26" i="7"/>
  <c r="O26" i="7"/>
  <c r="Q26" i="7"/>
  <c r="E26" i="7"/>
  <c r="H26" i="7"/>
  <c r="G26" i="7"/>
  <c r="F26" i="7"/>
  <c r="D27" i="7"/>
  <c r="AA27" i="7"/>
  <c r="B27" i="2"/>
  <c r="AC24" i="7"/>
  <c r="D24" i="2"/>
  <c r="E24" i="2" s="1"/>
  <c r="U24" i="7"/>
  <c r="W24" i="7" s="1"/>
  <c r="AC25" i="7"/>
  <c r="D25" i="2"/>
  <c r="E25" i="2" s="1"/>
  <c r="U25" i="7"/>
  <c r="W25" i="7" s="1"/>
  <c r="AB27" i="7"/>
  <c r="C27" i="2"/>
  <c r="I26" i="7" l="1"/>
  <c r="L26" i="7" s="1"/>
  <c r="M26" i="7" s="1"/>
  <c r="N26" i="7" s="1"/>
  <c r="S26" i="7"/>
  <c r="T26" i="7" s="1"/>
  <c r="R27" i="7"/>
  <c r="G27" i="7"/>
  <c r="F27" i="7"/>
  <c r="E27" i="7"/>
  <c r="Q27" i="7"/>
  <c r="P27" i="7"/>
  <c r="O27" i="7"/>
  <c r="H27" i="7"/>
  <c r="AB28" i="7"/>
  <c r="C28" i="2"/>
  <c r="A30" i="7"/>
  <c r="J29" i="7"/>
  <c r="K29" i="7" s="1"/>
  <c r="A29" i="2"/>
  <c r="B29" i="7"/>
  <c r="C29" i="7" s="1"/>
  <c r="D28" i="7"/>
  <c r="B28" i="2"/>
  <c r="AA28" i="7"/>
  <c r="D29" i="7" l="1"/>
  <c r="AA29" i="7"/>
  <c r="B29" i="2"/>
  <c r="R28" i="7"/>
  <c r="Q28" i="7"/>
  <c r="P28" i="7"/>
  <c r="O28" i="7"/>
  <c r="H28" i="7"/>
  <c r="G28" i="7"/>
  <c r="F28" i="7"/>
  <c r="E28" i="7"/>
  <c r="S27" i="7"/>
  <c r="T27" i="7" s="1"/>
  <c r="I27" i="7"/>
  <c r="L27" i="7" s="1"/>
  <c r="M27" i="7" s="1"/>
  <c r="N27" i="7" s="1"/>
  <c r="AB29" i="7"/>
  <c r="C29" i="2"/>
  <c r="A31" i="7"/>
  <c r="J30" i="7"/>
  <c r="K30" i="7" s="1"/>
  <c r="B30" i="7"/>
  <c r="C30" i="7" s="1"/>
  <c r="A30" i="2"/>
  <c r="AC26" i="7"/>
  <c r="D26" i="2"/>
  <c r="E26" i="2" s="1"/>
  <c r="U26" i="7"/>
  <c r="W26" i="7" s="1"/>
  <c r="AA30" i="7" l="1"/>
  <c r="D30" i="7"/>
  <c r="B30" i="2"/>
  <c r="AB30" i="7"/>
  <c r="C30" i="2"/>
  <c r="A32" i="7"/>
  <c r="J31" i="7"/>
  <c r="K31" i="7" s="1"/>
  <c r="B31" i="7"/>
  <c r="C31" i="7" s="1"/>
  <c r="A31" i="2"/>
  <c r="AC27" i="7"/>
  <c r="D27" i="2"/>
  <c r="E27" i="2" s="1"/>
  <c r="U27" i="7"/>
  <c r="W27" i="7" s="1"/>
  <c r="I28" i="7"/>
  <c r="L28" i="7" s="1"/>
  <c r="M28" i="7" s="1"/>
  <c r="N28" i="7" s="1"/>
  <c r="S28" i="7"/>
  <c r="T28" i="7" s="1"/>
  <c r="Q29" i="7"/>
  <c r="R29" i="7"/>
  <c r="G29" i="7"/>
  <c r="F29" i="7"/>
  <c r="E29" i="7"/>
  <c r="P29" i="7"/>
  <c r="O29" i="7"/>
  <c r="H29" i="7"/>
  <c r="S29" i="7" l="1"/>
  <c r="T29" i="7" s="1"/>
  <c r="AC29" i="7"/>
  <c r="D29" i="2"/>
  <c r="E29" i="2" s="1"/>
  <c r="U29" i="7"/>
  <c r="W29" i="7" s="1"/>
  <c r="AC28" i="7"/>
  <c r="D28" i="2"/>
  <c r="E28" i="2" s="1"/>
  <c r="U28" i="7"/>
  <c r="W28" i="7" s="1"/>
  <c r="AA31" i="7"/>
  <c r="D31" i="7"/>
  <c r="B31" i="2"/>
  <c r="I29" i="7"/>
  <c r="L29" i="7" s="1"/>
  <c r="M29" i="7" s="1"/>
  <c r="N29" i="7" s="1"/>
  <c r="AB31" i="7"/>
  <c r="C31" i="2"/>
  <c r="B32" i="7"/>
  <c r="C32" i="7" s="1"/>
  <c r="A33" i="7"/>
  <c r="J32" i="7"/>
  <c r="K32" i="7" s="1"/>
  <c r="A32" i="2"/>
  <c r="R30" i="7"/>
  <c r="P30" i="7"/>
  <c r="H30" i="7"/>
  <c r="F30" i="7"/>
  <c r="E30" i="7"/>
  <c r="O30" i="7"/>
  <c r="G30" i="7"/>
  <c r="Q30" i="7"/>
  <c r="AA32" i="7" l="1"/>
  <c r="D32" i="7"/>
  <c r="B32" i="2"/>
  <c r="Q31" i="7"/>
  <c r="O31" i="7"/>
  <c r="R31" i="7"/>
  <c r="P31" i="7"/>
  <c r="H31" i="7"/>
  <c r="G31" i="7"/>
  <c r="E31" i="7"/>
  <c r="F31" i="7"/>
  <c r="I30" i="7"/>
  <c r="L30" i="7" s="1"/>
  <c r="M30" i="7" s="1"/>
  <c r="N30" i="7" s="1"/>
  <c r="AB32" i="7"/>
  <c r="C32" i="2"/>
  <c r="B33" i="7"/>
  <c r="C33" i="7" s="1"/>
  <c r="A34" i="7"/>
  <c r="J33" i="7"/>
  <c r="K33" i="7" s="1"/>
  <c r="A33" i="2"/>
  <c r="S30" i="7"/>
  <c r="T30" i="7" s="1"/>
  <c r="AB33" i="7" l="1"/>
  <c r="C33" i="2"/>
  <c r="A35" i="7"/>
  <c r="J34" i="7"/>
  <c r="K34" i="7" s="1"/>
  <c r="B34" i="7"/>
  <c r="C34" i="7" s="1"/>
  <c r="A34" i="2"/>
  <c r="AA33" i="7"/>
  <c r="D33" i="7"/>
  <c r="B33" i="2"/>
  <c r="I31" i="7"/>
  <c r="L31" i="7" s="1"/>
  <c r="M31" i="7" s="1"/>
  <c r="N31" i="7" s="1"/>
  <c r="AC30" i="7"/>
  <c r="D30" i="2"/>
  <c r="E30" i="2" s="1"/>
  <c r="U30" i="7"/>
  <c r="W30" i="7" s="1"/>
  <c r="S31" i="7"/>
  <c r="T31" i="7" s="1"/>
  <c r="P32" i="7"/>
  <c r="R32" i="7"/>
  <c r="H32" i="7"/>
  <c r="G32" i="7"/>
  <c r="F32" i="7"/>
  <c r="E32" i="7"/>
  <c r="I32" i="7" s="1"/>
  <c r="L32" i="7" s="1"/>
  <c r="M32" i="7" s="1"/>
  <c r="N32" i="7" s="1"/>
  <c r="O32" i="7"/>
  <c r="S32" i="7" s="1"/>
  <c r="T32" i="7" s="1"/>
  <c r="Q32" i="7"/>
  <c r="D34" i="7" l="1"/>
  <c r="B34" i="2"/>
  <c r="AA34" i="7"/>
  <c r="AC31" i="7"/>
  <c r="D31" i="2"/>
  <c r="E31" i="2" s="1"/>
  <c r="U31" i="7"/>
  <c r="W31" i="7" s="1"/>
  <c r="O33" i="7"/>
  <c r="E33" i="7"/>
  <c r="R33" i="7"/>
  <c r="Q33" i="7"/>
  <c r="P33" i="7"/>
  <c r="H33" i="7"/>
  <c r="G33" i="7"/>
  <c r="F33" i="7"/>
  <c r="AB34" i="7"/>
  <c r="C34" i="2"/>
  <c r="B35" i="7"/>
  <c r="C35" i="7" s="1"/>
  <c r="J35" i="7"/>
  <c r="K35" i="7" s="1"/>
  <c r="A36" i="7"/>
  <c r="A35" i="2"/>
  <c r="AC32" i="7"/>
  <c r="D32" i="2"/>
  <c r="E32" i="2" s="1"/>
  <c r="U32" i="7"/>
  <c r="W32" i="7" s="1"/>
  <c r="J36" i="7" l="1"/>
  <c r="K36" i="7" s="1"/>
  <c r="B36" i="7"/>
  <c r="C36" i="7" s="1"/>
  <c r="A37" i="7"/>
  <c r="A36" i="2"/>
  <c r="D35" i="7"/>
  <c r="AA35" i="7"/>
  <c r="B35" i="2"/>
  <c r="I33" i="7"/>
  <c r="L33" i="7" s="1"/>
  <c r="M33" i="7" s="1"/>
  <c r="N33" i="7" s="1"/>
  <c r="S33" i="7"/>
  <c r="T33" i="7" s="1"/>
  <c r="AB35" i="7"/>
  <c r="C35" i="2"/>
  <c r="H34" i="7"/>
  <c r="G34" i="7"/>
  <c r="E34" i="7"/>
  <c r="F34" i="7"/>
  <c r="R34" i="7"/>
  <c r="Q34" i="7"/>
  <c r="P34" i="7"/>
  <c r="O34" i="7"/>
  <c r="S34" i="7" l="1"/>
  <c r="T34" i="7" s="1"/>
  <c r="AC33" i="7"/>
  <c r="D33" i="2"/>
  <c r="E33" i="2" s="1"/>
  <c r="U33" i="7"/>
  <c r="W33" i="7" s="1"/>
  <c r="I34" i="7"/>
  <c r="L34" i="7" s="1"/>
  <c r="M34" i="7" s="1"/>
  <c r="N34" i="7" s="1"/>
  <c r="E35" i="7"/>
  <c r="R35" i="7"/>
  <c r="Q35" i="7"/>
  <c r="P35" i="7"/>
  <c r="O35" i="7"/>
  <c r="H35" i="7"/>
  <c r="G35" i="7"/>
  <c r="F35" i="7"/>
  <c r="A37" i="2"/>
  <c r="A38" i="7"/>
  <c r="J37" i="7"/>
  <c r="K37" i="7" s="1"/>
  <c r="B37" i="7"/>
  <c r="C37" i="7" s="1"/>
  <c r="AA36" i="7"/>
  <c r="D36" i="7"/>
  <c r="B36" i="2"/>
  <c r="AB36" i="7"/>
  <c r="C36" i="2"/>
  <c r="F36" i="7" l="1"/>
  <c r="E36" i="7"/>
  <c r="R36" i="7"/>
  <c r="P36" i="7"/>
  <c r="O36" i="7"/>
  <c r="H36" i="7"/>
  <c r="G36" i="7"/>
  <c r="Q36" i="7"/>
  <c r="D37" i="7"/>
  <c r="B37" i="2"/>
  <c r="AA37" i="7"/>
  <c r="S35" i="7"/>
  <c r="T35" i="7" s="1"/>
  <c r="AB37" i="7"/>
  <c r="C37" i="2"/>
  <c r="J38" i="7"/>
  <c r="K38" i="7" s="1"/>
  <c r="B38" i="7"/>
  <c r="C38" i="7" s="1"/>
  <c r="A39" i="7"/>
  <c r="A38" i="2"/>
  <c r="I35" i="7"/>
  <c r="L35" i="7" s="1"/>
  <c r="M35" i="7" s="1"/>
  <c r="N35" i="7" s="1"/>
  <c r="AC34" i="7"/>
  <c r="D34" i="2"/>
  <c r="E34" i="2" s="1"/>
  <c r="U34" i="7"/>
  <c r="W34" i="7" s="1"/>
  <c r="G37" i="7" l="1"/>
  <c r="F37" i="7"/>
  <c r="R37" i="7"/>
  <c r="Q37" i="7"/>
  <c r="P37" i="7"/>
  <c r="O37" i="7"/>
  <c r="H37" i="7"/>
  <c r="E37" i="7"/>
  <c r="J39" i="7"/>
  <c r="K39" i="7" s="1"/>
  <c r="B39" i="7"/>
  <c r="C39" i="7" s="1"/>
  <c r="A40" i="7"/>
  <c r="A39" i="2"/>
  <c r="S36" i="7"/>
  <c r="T36" i="7" s="1"/>
  <c r="D38" i="7"/>
  <c r="AA38" i="7"/>
  <c r="B38" i="2"/>
  <c r="AC35" i="7"/>
  <c r="D35" i="2"/>
  <c r="E35" i="2" s="1"/>
  <c r="U35" i="7"/>
  <c r="W35" i="7" s="1"/>
  <c r="I36" i="7"/>
  <c r="L36" i="7" s="1"/>
  <c r="M36" i="7" s="1"/>
  <c r="N36" i="7" s="1"/>
  <c r="AB38" i="7"/>
  <c r="C38" i="2"/>
  <c r="AB39" i="7" l="1"/>
  <c r="C39" i="2"/>
  <c r="H38" i="7"/>
  <c r="G38" i="7"/>
  <c r="E38" i="7"/>
  <c r="F38" i="7"/>
  <c r="R38" i="7"/>
  <c r="Q38" i="7"/>
  <c r="P38" i="7"/>
  <c r="O38" i="7"/>
  <c r="S38" i="7" s="1"/>
  <c r="T38" i="7" s="1"/>
  <c r="J40" i="7"/>
  <c r="K40" i="7" s="1"/>
  <c r="A41" i="7"/>
  <c r="B40" i="7"/>
  <c r="C40" i="7" s="1"/>
  <c r="A40" i="2"/>
  <c r="S37" i="7"/>
  <c r="T37" i="7" s="1"/>
  <c r="AA39" i="7"/>
  <c r="D39" i="7"/>
  <c r="B39" i="2"/>
  <c r="I37" i="7"/>
  <c r="L37" i="7" s="1"/>
  <c r="M37" i="7" s="1"/>
  <c r="N37" i="7" s="1"/>
  <c r="AC36" i="7"/>
  <c r="D36" i="2"/>
  <c r="E36" i="2" s="1"/>
  <c r="U36" i="7"/>
  <c r="W36" i="7" s="1"/>
  <c r="AC38" i="7" l="1"/>
  <c r="D38" i="2"/>
  <c r="E38" i="2" s="1"/>
  <c r="U38" i="7"/>
  <c r="W38" i="7" s="1"/>
  <c r="G39" i="7"/>
  <c r="F39" i="7"/>
  <c r="E39" i="7"/>
  <c r="R39" i="7"/>
  <c r="Q39" i="7"/>
  <c r="P39" i="7"/>
  <c r="O39" i="7"/>
  <c r="H39" i="7"/>
  <c r="AC37" i="7"/>
  <c r="D37" i="2"/>
  <c r="E37" i="2" s="1"/>
  <c r="U37" i="7"/>
  <c r="W37" i="7" s="1"/>
  <c r="D40" i="7"/>
  <c r="AA40" i="7"/>
  <c r="B40" i="2"/>
  <c r="J41" i="7"/>
  <c r="K41" i="7" s="1"/>
  <c r="A42" i="7"/>
  <c r="B41" i="7"/>
  <c r="C41" i="7" s="1"/>
  <c r="A41" i="2"/>
  <c r="I38" i="7"/>
  <c r="L38" i="7" s="1"/>
  <c r="M38" i="7" s="1"/>
  <c r="N38" i="7" s="1"/>
  <c r="AB40" i="7"/>
  <c r="C40" i="2"/>
  <c r="J42" i="7" l="1"/>
  <c r="K42" i="7" s="1"/>
  <c r="B42" i="7"/>
  <c r="C42" i="7" s="1"/>
  <c r="A43" i="7"/>
  <c r="A42" i="2"/>
  <c r="AA41" i="7"/>
  <c r="B41" i="2"/>
  <c r="D41" i="7"/>
  <c r="H40" i="7"/>
  <c r="F40" i="7"/>
  <c r="G40" i="7"/>
  <c r="R40" i="7"/>
  <c r="Q40" i="7"/>
  <c r="P40" i="7"/>
  <c r="O40" i="7"/>
  <c r="E40" i="7"/>
  <c r="I40" i="7" s="1"/>
  <c r="L40" i="7" s="1"/>
  <c r="M40" i="7" s="1"/>
  <c r="N40" i="7" s="1"/>
  <c r="AB41" i="7"/>
  <c r="C41" i="2"/>
  <c r="I39" i="7"/>
  <c r="L39" i="7" s="1"/>
  <c r="M39" i="7" s="1"/>
  <c r="N39" i="7" s="1"/>
  <c r="S39" i="7"/>
  <c r="T39" i="7" s="1"/>
  <c r="S40" i="7" l="1"/>
  <c r="T40" i="7" s="1"/>
  <c r="AC40" i="7"/>
  <c r="D40" i="2"/>
  <c r="E40" i="2" s="1"/>
  <c r="U40" i="7"/>
  <c r="W40" i="7" s="1"/>
  <c r="AC39" i="7"/>
  <c r="D39" i="2"/>
  <c r="E39" i="2" s="1"/>
  <c r="U39" i="7"/>
  <c r="W39" i="7" s="1"/>
  <c r="A44" i="7"/>
  <c r="B43" i="7"/>
  <c r="C43" i="7" s="1"/>
  <c r="J43" i="7"/>
  <c r="K43" i="7" s="1"/>
  <c r="A43" i="2"/>
  <c r="G41" i="7"/>
  <c r="E41" i="7"/>
  <c r="F41" i="7"/>
  <c r="R41" i="7"/>
  <c r="Q41" i="7"/>
  <c r="P41" i="7"/>
  <c r="O41" i="7"/>
  <c r="S41" i="7" s="1"/>
  <c r="T41" i="7" s="1"/>
  <c r="H41" i="7"/>
  <c r="D42" i="7"/>
  <c r="B42" i="2"/>
  <c r="AA42" i="7"/>
  <c r="C42" i="2"/>
  <c r="AB42" i="7"/>
  <c r="F42" i="7" l="1"/>
  <c r="H42" i="7"/>
  <c r="P42" i="7"/>
  <c r="O42" i="7"/>
  <c r="G42" i="7"/>
  <c r="E42" i="7"/>
  <c r="I42" i="7" s="1"/>
  <c r="L42" i="7" s="1"/>
  <c r="M42" i="7" s="1"/>
  <c r="N42" i="7" s="1"/>
  <c r="R42" i="7"/>
  <c r="Q42" i="7"/>
  <c r="I41" i="7"/>
  <c r="L41" i="7" s="1"/>
  <c r="M41" i="7" s="1"/>
  <c r="N41" i="7" s="1"/>
  <c r="AC41" i="7"/>
  <c r="D41" i="2"/>
  <c r="E41" i="2" s="1"/>
  <c r="U41" i="7"/>
  <c r="W41" i="7" s="1"/>
  <c r="AB43" i="7"/>
  <c r="C43" i="2"/>
  <c r="A45" i="7"/>
  <c r="B44" i="7"/>
  <c r="C44" i="7" s="1"/>
  <c r="J44" i="7"/>
  <c r="K44" i="7" s="1"/>
  <c r="A44" i="2"/>
  <c r="AA43" i="7"/>
  <c r="D43" i="7"/>
  <c r="B43" i="2"/>
  <c r="F43" i="7" l="1"/>
  <c r="E43" i="7"/>
  <c r="Q43" i="7"/>
  <c r="P43" i="7"/>
  <c r="O43" i="7"/>
  <c r="R43" i="7"/>
  <c r="H43" i="7"/>
  <c r="G43" i="7"/>
  <c r="S42" i="7"/>
  <c r="T42" i="7" s="1"/>
  <c r="D44" i="7"/>
  <c r="AA44" i="7"/>
  <c r="B44" i="2"/>
  <c r="AB44" i="7"/>
  <c r="C44" i="2"/>
  <c r="A46" i="7"/>
  <c r="J45" i="7"/>
  <c r="K45" i="7" s="1"/>
  <c r="B45" i="7"/>
  <c r="C45" i="7" s="1"/>
  <c r="A45" i="2"/>
  <c r="S43" i="7" l="1"/>
  <c r="T43" i="7" s="1"/>
  <c r="D45" i="7"/>
  <c r="AA45" i="7"/>
  <c r="B45" i="2"/>
  <c r="A47" i="7"/>
  <c r="B46" i="7"/>
  <c r="C46" i="7" s="1"/>
  <c r="A46" i="2"/>
  <c r="J46" i="7"/>
  <c r="K46" i="7" s="1"/>
  <c r="D42" i="2"/>
  <c r="E42" i="2" s="1"/>
  <c r="AC42" i="7"/>
  <c r="U42" i="7"/>
  <c r="W42" i="7" s="1"/>
  <c r="AB45" i="7"/>
  <c r="C45" i="2"/>
  <c r="E44" i="7"/>
  <c r="R44" i="7"/>
  <c r="Q44" i="7"/>
  <c r="O44" i="7"/>
  <c r="F44" i="7"/>
  <c r="P44" i="7"/>
  <c r="G44" i="7"/>
  <c r="H44" i="7"/>
  <c r="I43" i="7"/>
  <c r="L43" i="7" s="1"/>
  <c r="M43" i="7" s="1"/>
  <c r="N43" i="7" s="1"/>
  <c r="I44" i="7" l="1"/>
  <c r="L44" i="7" s="1"/>
  <c r="M44" i="7" s="1"/>
  <c r="N44" i="7" s="1"/>
  <c r="S44" i="7"/>
  <c r="T44" i="7" s="1"/>
  <c r="AB46" i="7"/>
  <c r="C46" i="2"/>
  <c r="O45" i="7"/>
  <c r="H45" i="7"/>
  <c r="R45" i="7"/>
  <c r="Q45" i="7"/>
  <c r="P45" i="7"/>
  <c r="G45" i="7"/>
  <c r="F45" i="7"/>
  <c r="E45" i="7"/>
  <c r="AA46" i="7"/>
  <c r="D46" i="7"/>
  <c r="B46" i="2"/>
  <c r="A48" i="7"/>
  <c r="B47" i="7"/>
  <c r="C47" i="7" s="1"/>
  <c r="J47" i="7"/>
  <c r="K47" i="7" s="1"/>
  <c r="A47" i="2"/>
  <c r="AC43" i="7"/>
  <c r="D43" i="2"/>
  <c r="E43" i="2" s="1"/>
  <c r="U43" i="7"/>
  <c r="W43" i="7" s="1"/>
  <c r="AB47" i="7" l="1"/>
  <c r="C47" i="2"/>
  <c r="J48" i="7"/>
  <c r="K48" i="7" s="1"/>
  <c r="A49" i="7"/>
  <c r="B48" i="7"/>
  <c r="C48" i="7" s="1"/>
  <c r="A48" i="2"/>
  <c r="E46" i="7"/>
  <c r="R46" i="7"/>
  <c r="H46" i="7"/>
  <c r="G46" i="7"/>
  <c r="F46" i="7"/>
  <c r="P46" i="7"/>
  <c r="Q46" i="7"/>
  <c r="O46" i="7"/>
  <c r="S46" i="7" s="1"/>
  <c r="T46" i="7" s="1"/>
  <c r="AA47" i="7"/>
  <c r="D47" i="7"/>
  <c r="B47" i="2"/>
  <c r="AC44" i="7"/>
  <c r="D44" i="2"/>
  <c r="E44" i="2" s="1"/>
  <c r="U44" i="7"/>
  <c r="W44" i="7" s="1"/>
  <c r="I45" i="7"/>
  <c r="L45" i="7" s="1"/>
  <c r="M45" i="7" s="1"/>
  <c r="N45" i="7" s="1"/>
  <c r="S45" i="7"/>
  <c r="T45" i="7" s="1"/>
  <c r="H47" i="7" l="1"/>
  <c r="G47" i="7"/>
  <c r="F47" i="7"/>
  <c r="E47" i="7"/>
  <c r="I47" i="7" s="1"/>
  <c r="L47" i="7" s="1"/>
  <c r="M47" i="7" s="1"/>
  <c r="N47" i="7" s="1"/>
  <c r="R47" i="7"/>
  <c r="Q47" i="7"/>
  <c r="P47" i="7"/>
  <c r="O47" i="7"/>
  <c r="S47" i="7" s="1"/>
  <c r="T47" i="7" s="1"/>
  <c r="I46" i="7"/>
  <c r="L46" i="7" s="1"/>
  <c r="M46" i="7" s="1"/>
  <c r="N46" i="7" s="1"/>
  <c r="AA48" i="7"/>
  <c r="D48" i="7"/>
  <c r="B48" i="2"/>
  <c r="B49" i="7"/>
  <c r="C49" i="7" s="1"/>
  <c r="A49" i="2"/>
  <c r="J49" i="7"/>
  <c r="K49" i="7" s="1"/>
  <c r="A50" i="7"/>
  <c r="AC46" i="7"/>
  <c r="D46" i="2"/>
  <c r="E46" i="2" s="1"/>
  <c r="U46" i="7"/>
  <c r="W46" i="7" s="1"/>
  <c r="AB48" i="7"/>
  <c r="C48" i="2"/>
  <c r="AC45" i="7"/>
  <c r="D45" i="2"/>
  <c r="E45" i="2" s="1"/>
  <c r="U45" i="7"/>
  <c r="W45" i="7" s="1"/>
  <c r="G48" i="7" l="1"/>
  <c r="R48" i="7"/>
  <c r="Q48" i="7"/>
  <c r="O48" i="7"/>
  <c r="F48" i="7"/>
  <c r="E48" i="7"/>
  <c r="P48" i="7"/>
  <c r="H48" i="7"/>
  <c r="AA49" i="7"/>
  <c r="D49" i="7"/>
  <c r="B49" i="2"/>
  <c r="AC47" i="7"/>
  <c r="D47" i="2"/>
  <c r="E47" i="2" s="1"/>
  <c r="U47" i="7"/>
  <c r="W47" i="7" s="1"/>
  <c r="A51" i="7"/>
  <c r="J50" i="7"/>
  <c r="K50" i="7" s="1"/>
  <c r="B50" i="7"/>
  <c r="C50" i="7" s="1"/>
  <c r="A50" i="2"/>
  <c r="AB49" i="7"/>
  <c r="C49" i="2"/>
  <c r="AA50" i="7" l="1"/>
  <c r="D50" i="7"/>
  <c r="B50" i="2"/>
  <c r="S48" i="7"/>
  <c r="T48" i="7" s="1"/>
  <c r="Q49" i="7"/>
  <c r="P49" i="7"/>
  <c r="O49" i="7"/>
  <c r="G49" i="7"/>
  <c r="F49" i="7"/>
  <c r="E49" i="7"/>
  <c r="R49" i="7"/>
  <c r="H49" i="7"/>
  <c r="AB50" i="7"/>
  <c r="C50" i="2"/>
  <c r="A52" i="7"/>
  <c r="B51" i="7"/>
  <c r="C51" i="7" s="1"/>
  <c r="A51" i="2"/>
  <c r="J51" i="7"/>
  <c r="K51" i="7" s="1"/>
  <c r="I48" i="7"/>
  <c r="L48" i="7" s="1"/>
  <c r="M48" i="7" s="1"/>
  <c r="N48" i="7" s="1"/>
  <c r="I49" i="7" l="1"/>
  <c r="L49" i="7" s="1"/>
  <c r="M49" i="7" s="1"/>
  <c r="N49" i="7" s="1"/>
  <c r="AA51" i="7"/>
  <c r="B51" i="2"/>
  <c r="D51" i="7"/>
  <c r="B52" i="7"/>
  <c r="C52" i="7" s="1"/>
  <c r="A53" i="7"/>
  <c r="J52" i="7"/>
  <c r="K52" i="7" s="1"/>
  <c r="A52" i="2"/>
  <c r="AB51" i="7"/>
  <c r="C51" i="2"/>
  <c r="S49" i="7"/>
  <c r="T49" i="7" s="1"/>
  <c r="AC48" i="7"/>
  <c r="D48" i="2"/>
  <c r="E48" i="2" s="1"/>
  <c r="U48" i="7"/>
  <c r="W48" i="7" s="1"/>
  <c r="R50" i="7"/>
  <c r="Q50" i="7"/>
  <c r="O50" i="7"/>
  <c r="H50" i="7"/>
  <c r="G50" i="7"/>
  <c r="E50" i="7"/>
  <c r="P50" i="7"/>
  <c r="F50" i="7"/>
  <c r="I50" i="7" l="1"/>
  <c r="L50" i="7" s="1"/>
  <c r="M50" i="7" s="1"/>
  <c r="N50" i="7" s="1"/>
  <c r="S50" i="7"/>
  <c r="T50" i="7" s="1"/>
  <c r="J53" i="7"/>
  <c r="K53" i="7" s="1"/>
  <c r="A54" i="7"/>
  <c r="B53" i="7"/>
  <c r="C53" i="7" s="1"/>
  <c r="A53" i="2"/>
  <c r="AC49" i="7"/>
  <c r="D49" i="2"/>
  <c r="E49" i="2" s="1"/>
  <c r="U49" i="7"/>
  <c r="W49" i="7" s="1"/>
  <c r="AB52" i="7"/>
  <c r="C52" i="2"/>
  <c r="D52" i="7"/>
  <c r="AA52" i="7"/>
  <c r="B52" i="2"/>
  <c r="R51" i="7"/>
  <c r="Q51" i="7"/>
  <c r="O51" i="7"/>
  <c r="P51" i="7"/>
  <c r="F51" i="7"/>
  <c r="G51" i="7"/>
  <c r="H51" i="7"/>
  <c r="E51" i="7"/>
  <c r="R52" i="7" l="1"/>
  <c r="Q52" i="7"/>
  <c r="P52" i="7"/>
  <c r="F52" i="7"/>
  <c r="E52" i="7"/>
  <c r="H52" i="7"/>
  <c r="G52" i="7"/>
  <c r="O52" i="7"/>
  <c r="S52" i="7" s="1"/>
  <c r="T52" i="7" s="1"/>
  <c r="AA53" i="7"/>
  <c r="D53" i="7"/>
  <c r="B53" i="2"/>
  <c r="J54" i="7"/>
  <c r="K54" i="7" s="1"/>
  <c r="A55" i="7"/>
  <c r="B54" i="7"/>
  <c r="C54" i="7" s="1"/>
  <c r="A54" i="2"/>
  <c r="AC50" i="7"/>
  <c r="D50" i="2"/>
  <c r="E50" i="2" s="1"/>
  <c r="U50" i="7"/>
  <c r="W50" i="7" s="1"/>
  <c r="S51" i="7"/>
  <c r="T51" i="7" s="1"/>
  <c r="AB53" i="7"/>
  <c r="C53" i="2"/>
  <c r="I51" i="7"/>
  <c r="L51" i="7" s="1"/>
  <c r="M51" i="7" s="1"/>
  <c r="N51" i="7" s="1"/>
  <c r="AC51" i="7" l="1"/>
  <c r="D51" i="2"/>
  <c r="E51" i="2" s="1"/>
  <c r="U51" i="7"/>
  <c r="W51" i="7" s="1"/>
  <c r="A56" i="7"/>
  <c r="J55" i="7"/>
  <c r="K55" i="7" s="1"/>
  <c r="B55" i="7"/>
  <c r="C55" i="7" s="1"/>
  <c r="A55" i="2"/>
  <c r="I52" i="7"/>
  <c r="L52" i="7" s="1"/>
  <c r="M52" i="7" s="1"/>
  <c r="N52" i="7" s="1"/>
  <c r="AA54" i="7"/>
  <c r="D54" i="7"/>
  <c r="B54" i="2"/>
  <c r="AB54" i="7"/>
  <c r="C54" i="2"/>
  <c r="R53" i="7"/>
  <c r="Q53" i="7"/>
  <c r="P53" i="7"/>
  <c r="O53" i="7"/>
  <c r="S53" i="7" s="1"/>
  <c r="T53" i="7" s="1"/>
  <c r="H53" i="7"/>
  <c r="G53" i="7"/>
  <c r="E53" i="7"/>
  <c r="F53" i="7"/>
  <c r="AC52" i="7"/>
  <c r="D52" i="2"/>
  <c r="E52" i="2" s="1"/>
  <c r="U52" i="7"/>
  <c r="W52" i="7" s="1"/>
  <c r="I53" i="7" l="1"/>
  <c r="L53" i="7" s="1"/>
  <c r="M53" i="7" s="1"/>
  <c r="N53" i="7" s="1"/>
  <c r="R54" i="7"/>
  <c r="Q54" i="7"/>
  <c r="P54" i="7"/>
  <c r="O54" i="7"/>
  <c r="S54" i="7" s="1"/>
  <c r="T54" i="7" s="1"/>
  <c r="H54" i="7"/>
  <c r="G54" i="7"/>
  <c r="F54" i="7"/>
  <c r="E54" i="7"/>
  <c r="I54" i="7" s="1"/>
  <c r="L54" i="7" s="1"/>
  <c r="M54" i="7" s="1"/>
  <c r="N54" i="7" s="1"/>
  <c r="AA55" i="7"/>
  <c r="D55" i="7"/>
  <c r="B55" i="2"/>
  <c r="AC53" i="7"/>
  <c r="D53" i="2"/>
  <c r="E53" i="2" s="1"/>
  <c r="U53" i="7"/>
  <c r="W53" i="7" s="1"/>
  <c r="B56" i="7"/>
  <c r="C56" i="7" s="1"/>
  <c r="A57" i="7"/>
  <c r="A56" i="2"/>
  <c r="J56" i="7"/>
  <c r="K56" i="7" s="1"/>
  <c r="AB55" i="7"/>
  <c r="C55" i="2"/>
  <c r="AB56" i="7" l="1"/>
  <c r="C56" i="2"/>
  <c r="B57" i="7"/>
  <c r="C57" i="7" s="1"/>
  <c r="A57" i="2"/>
  <c r="A58" i="7"/>
  <c r="J57" i="7"/>
  <c r="K57" i="7" s="1"/>
  <c r="AC54" i="7"/>
  <c r="D54" i="2"/>
  <c r="E54" i="2" s="1"/>
  <c r="U54" i="7"/>
  <c r="W54" i="7" s="1"/>
  <c r="D56" i="7"/>
  <c r="B56" i="2"/>
  <c r="AA56" i="7"/>
  <c r="R55" i="7"/>
  <c r="Q55" i="7"/>
  <c r="P55" i="7"/>
  <c r="O55" i="7"/>
  <c r="H55" i="7"/>
  <c r="G55" i="7"/>
  <c r="E55" i="7"/>
  <c r="F55" i="7"/>
  <c r="I55" i="7" l="1"/>
  <c r="L55" i="7" s="1"/>
  <c r="M55" i="7" s="1"/>
  <c r="N55" i="7" s="1"/>
  <c r="S55" i="7"/>
  <c r="T55" i="7" s="1"/>
  <c r="AB57" i="7"/>
  <c r="C57" i="2"/>
  <c r="Q56" i="7"/>
  <c r="P56" i="7"/>
  <c r="O56" i="7"/>
  <c r="H56" i="7"/>
  <c r="G56" i="7"/>
  <c r="F56" i="7"/>
  <c r="E56" i="7"/>
  <c r="R56" i="7"/>
  <c r="D57" i="7"/>
  <c r="AA57" i="7"/>
  <c r="B57" i="2"/>
  <c r="J58" i="7"/>
  <c r="K58" i="7" s="1"/>
  <c r="A59" i="7"/>
  <c r="B58" i="7"/>
  <c r="C58" i="7" s="1"/>
  <c r="A58" i="2"/>
  <c r="J59" i="7" l="1"/>
  <c r="K59" i="7" s="1"/>
  <c r="A60" i="7"/>
  <c r="B59" i="7"/>
  <c r="C59" i="7" s="1"/>
  <c r="A59" i="2"/>
  <c r="AA58" i="7"/>
  <c r="D58" i="7"/>
  <c r="B58" i="2"/>
  <c r="AB58" i="7"/>
  <c r="C58" i="2"/>
  <c r="P57" i="7"/>
  <c r="O57" i="7"/>
  <c r="G57" i="7"/>
  <c r="F57" i="7"/>
  <c r="E57" i="7"/>
  <c r="H57" i="7"/>
  <c r="R57" i="7"/>
  <c r="Q57" i="7"/>
  <c r="I56" i="7"/>
  <c r="L56" i="7" s="1"/>
  <c r="M56" i="7" s="1"/>
  <c r="N56" i="7" s="1"/>
  <c r="AC55" i="7"/>
  <c r="D55" i="2"/>
  <c r="E55" i="2" s="1"/>
  <c r="U55" i="7"/>
  <c r="W55" i="7" s="1"/>
  <c r="S56" i="7"/>
  <c r="T56" i="7" s="1"/>
  <c r="I57" i="7" l="1"/>
  <c r="L57" i="7" s="1"/>
  <c r="M57" i="7" s="1"/>
  <c r="N57" i="7" s="1"/>
  <c r="AC56" i="7"/>
  <c r="D56" i="2"/>
  <c r="E56" i="2" s="1"/>
  <c r="U56" i="7"/>
  <c r="W56" i="7" s="1"/>
  <c r="O58" i="7"/>
  <c r="R58" i="7"/>
  <c r="Q58" i="7"/>
  <c r="P58" i="7"/>
  <c r="H58" i="7"/>
  <c r="F58" i="7"/>
  <c r="G58" i="7"/>
  <c r="E58" i="7"/>
  <c r="AA59" i="7"/>
  <c r="D59" i="7"/>
  <c r="B59" i="2"/>
  <c r="J60" i="7"/>
  <c r="K60" i="7" s="1"/>
  <c r="A61" i="7"/>
  <c r="B60" i="7"/>
  <c r="C60" i="7" s="1"/>
  <c r="A60" i="2"/>
  <c r="S57" i="7"/>
  <c r="T57" i="7" s="1"/>
  <c r="AB59" i="7"/>
  <c r="C59" i="2"/>
  <c r="AC57" i="7" l="1"/>
  <c r="D57" i="2"/>
  <c r="E57" i="2" s="1"/>
  <c r="U57" i="7"/>
  <c r="W57" i="7" s="1"/>
  <c r="AB60" i="7"/>
  <c r="C60" i="2"/>
  <c r="S58" i="7"/>
  <c r="T58" i="7" s="1"/>
  <c r="I58" i="7"/>
  <c r="L58" i="7" s="1"/>
  <c r="M58" i="7" s="1"/>
  <c r="N58" i="7" s="1"/>
  <c r="D60" i="7"/>
  <c r="AA60" i="7"/>
  <c r="B60" i="2"/>
  <c r="J61" i="7"/>
  <c r="K61" i="7" s="1"/>
  <c r="B61" i="7"/>
  <c r="C61" i="7" s="1"/>
  <c r="A62" i="7"/>
  <c r="A61" i="2"/>
  <c r="Q59" i="7"/>
  <c r="R59" i="7"/>
  <c r="P59" i="7"/>
  <c r="O59" i="7"/>
  <c r="H59" i="7"/>
  <c r="G59" i="7"/>
  <c r="F59" i="7"/>
  <c r="E59" i="7"/>
  <c r="I59" i="7" l="1"/>
  <c r="L59" i="7" s="1"/>
  <c r="M59" i="7" s="1"/>
  <c r="N59" i="7" s="1"/>
  <c r="J62" i="7"/>
  <c r="K62" i="7" s="1"/>
  <c r="B62" i="7"/>
  <c r="C62" i="7" s="1"/>
  <c r="A63" i="7"/>
  <c r="A62" i="2"/>
  <c r="AB61" i="7"/>
  <c r="C61" i="2"/>
  <c r="H60" i="7"/>
  <c r="R60" i="7"/>
  <c r="Q60" i="7"/>
  <c r="P60" i="7"/>
  <c r="O60" i="7"/>
  <c r="S60" i="7" s="1"/>
  <c r="T60" i="7" s="1"/>
  <c r="F60" i="7"/>
  <c r="E60" i="7"/>
  <c r="G60" i="7"/>
  <c r="S59" i="7"/>
  <c r="T59" i="7" s="1"/>
  <c r="AA61" i="7"/>
  <c r="B61" i="2"/>
  <c r="D61" i="7"/>
  <c r="AC58" i="7"/>
  <c r="D58" i="2"/>
  <c r="E58" i="2" s="1"/>
  <c r="U58" i="7"/>
  <c r="W58" i="7" s="1"/>
  <c r="AC60" i="7" l="1"/>
  <c r="D60" i="2"/>
  <c r="E60" i="2" s="1"/>
  <c r="U60" i="7"/>
  <c r="W60" i="7" s="1"/>
  <c r="I60" i="7"/>
  <c r="L60" i="7" s="1"/>
  <c r="M60" i="7" s="1"/>
  <c r="N60" i="7" s="1"/>
  <c r="H61" i="7"/>
  <c r="G61" i="7"/>
  <c r="P61" i="7"/>
  <c r="Q61" i="7"/>
  <c r="R61" i="7"/>
  <c r="E61" i="7"/>
  <c r="F61" i="7"/>
  <c r="O61" i="7"/>
  <c r="S61" i="7" s="1"/>
  <c r="T61" i="7" s="1"/>
  <c r="AC59" i="7"/>
  <c r="D59" i="2"/>
  <c r="E59" i="2" s="1"/>
  <c r="U59" i="7"/>
  <c r="W59" i="7" s="1"/>
  <c r="J63" i="7"/>
  <c r="K63" i="7" s="1"/>
  <c r="A64" i="7"/>
  <c r="B63" i="7"/>
  <c r="C63" i="7" s="1"/>
  <c r="A63" i="2"/>
  <c r="D62" i="7"/>
  <c r="AA62" i="7"/>
  <c r="B62" i="2"/>
  <c r="AB62" i="7"/>
  <c r="C62" i="2"/>
  <c r="H62" i="7" l="1"/>
  <c r="G62" i="7"/>
  <c r="F62" i="7"/>
  <c r="E62" i="7"/>
  <c r="P62" i="7"/>
  <c r="O62" i="7"/>
  <c r="R62" i="7"/>
  <c r="Q62" i="7"/>
  <c r="AA63" i="7"/>
  <c r="D63" i="7"/>
  <c r="B63" i="2"/>
  <c r="B64" i="7"/>
  <c r="C64" i="7" s="1"/>
  <c r="A65" i="7"/>
  <c r="J64" i="7"/>
  <c r="K64" i="7" s="1"/>
  <c r="A64" i="2"/>
  <c r="AC61" i="7"/>
  <c r="D61" i="2"/>
  <c r="E61" i="2" s="1"/>
  <c r="U61" i="7"/>
  <c r="W61" i="7" s="1"/>
  <c r="AB63" i="7"/>
  <c r="C63" i="2"/>
  <c r="I61" i="7"/>
  <c r="L61" i="7" s="1"/>
  <c r="M61" i="7" s="1"/>
  <c r="N61" i="7" s="1"/>
  <c r="S62" i="7" l="1"/>
  <c r="T62" i="7" s="1"/>
  <c r="AC62" i="7"/>
  <c r="D62" i="2"/>
  <c r="E62" i="2" s="1"/>
  <c r="U62" i="7"/>
  <c r="W62" i="7" s="1"/>
  <c r="D64" i="7"/>
  <c r="AA64" i="7"/>
  <c r="B64" i="2"/>
  <c r="H63" i="7"/>
  <c r="G63" i="7"/>
  <c r="F63" i="7"/>
  <c r="E63" i="7"/>
  <c r="I63" i="7" s="1"/>
  <c r="L63" i="7" s="1"/>
  <c r="M63" i="7" s="1"/>
  <c r="N63" i="7" s="1"/>
  <c r="R63" i="7"/>
  <c r="Q63" i="7"/>
  <c r="P63" i="7"/>
  <c r="O63" i="7"/>
  <c r="I62" i="7"/>
  <c r="L62" i="7" s="1"/>
  <c r="M62" i="7" s="1"/>
  <c r="N62" i="7" s="1"/>
  <c r="AB64" i="7"/>
  <c r="C64" i="2"/>
  <c r="A66" i="7"/>
  <c r="B65" i="7"/>
  <c r="C65" i="7" s="1"/>
  <c r="J65" i="7"/>
  <c r="K65" i="7" s="1"/>
  <c r="A65" i="2"/>
  <c r="S63" i="7" l="1"/>
  <c r="T63" i="7" s="1"/>
  <c r="D65" i="7"/>
  <c r="AA65" i="7"/>
  <c r="B65" i="2"/>
  <c r="AC63" i="7"/>
  <c r="D63" i="2"/>
  <c r="E63" i="2" s="1"/>
  <c r="U63" i="7"/>
  <c r="W63" i="7" s="1"/>
  <c r="A67" i="7"/>
  <c r="B66" i="7"/>
  <c r="C66" i="7" s="1"/>
  <c r="J66" i="7"/>
  <c r="K66" i="7" s="1"/>
  <c r="A66" i="2"/>
  <c r="H64" i="7"/>
  <c r="G64" i="7"/>
  <c r="F64" i="7"/>
  <c r="E64" i="7"/>
  <c r="I64" i="7" s="1"/>
  <c r="L64" i="7" s="1"/>
  <c r="M64" i="7" s="1"/>
  <c r="N64" i="7" s="1"/>
  <c r="R64" i="7"/>
  <c r="Q64" i="7"/>
  <c r="P64" i="7"/>
  <c r="O64" i="7"/>
  <c r="S64" i="7" s="1"/>
  <c r="T64" i="7" s="1"/>
  <c r="C65" i="2"/>
  <c r="AB65" i="7"/>
  <c r="AC64" i="7" l="1"/>
  <c r="D64" i="2"/>
  <c r="E64" i="2" s="1"/>
  <c r="U64" i="7"/>
  <c r="W64" i="7" s="1"/>
  <c r="AB66" i="7"/>
  <c r="C66" i="2"/>
  <c r="A68" i="7"/>
  <c r="B67" i="7"/>
  <c r="C67" i="7" s="1"/>
  <c r="J67" i="7"/>
  <c r="K67" i="7" s="1"/>
  <c r="A67" i="2"/>
  <c r="D66" i="7"/>
  <c r="AA66" i="7"/>
  <c r="B66" i="2"/>
  <c r="H65" i="7"/>
  <c r="G65" i="7"/>
  <c r="F65" i="7"/>
  <c r="E65" i="7"/>
  <c r="I65" i="7" s="1"/>
  <c r="L65" i="7" s="1"/>
  <c r="M65" i="7" s="1"/>
  <c r="N65" i="7" s="1"/>
  <c r="R65" i="7"/>
  <c r="Q65" i="7"/>
  <c r="P65" i="7"/>
  <c r="O65" i="7"/>
  <c r="G66" i="7" l="1"/>
  <c r="F66" i="7"/>
  <c r="E66" i="7"/>
  <c r="H66" i="7"/>
  <c r="R66" i="7"/>
  <c r="Q66" i="7"/>
  <c r="P66" i="7"/>
  <c r="O66" i="7"/>
  <c r="S66" i="7" s="1"/>
  <c r="T66" i="7" s="1"/>
  <c r="S65" i="7"/>
  <c r="T65" i="7" s="1"/>
  <c r="C67" i="2"/>
  <c r="AB67" i="7"/>
  <c r="A69" i="7"/>
  <c r="B68" i="7"/>
  <c r="C68" i="7" s="1"/>
  <c r="J68" i="7"/>
  <c r="K68" i="7" s="1"/>
  <c r="A68" i="2"/>
  <c r="D67" i="7"/>
  <c r="B67" i="2"/>
  <c r="AA67" i="7"/>
  <c r="F67" i="7" l="1"/>
  <c r="E67" i="7"/>
  <c r="O67" i="7"/>
  <c r="Q67" i="7"/>
  <c r="P67" i="7"/>
  <c r="H67" i="7"/>
  <c r="G67" i="7"/>
  <c r="R67" i="7"/>
  <c r="A70" i="7"/>
  <c r="B69" i="7"/>
  <c r="C69" i="7" s="1"/>
  <c r="J69" i="7"/>
  <c r="K69" i="7" s="1"/>
  <c r="A69" i="2"/>
  <c r="AC65" i="7"/>
  <c r="D65" i="2"/>
  <c r="E65" i="2" s="1"/>
  <c r="U65" i="7"/>
  <c r="W65" i="7" s="1"/>
  <c r="AB68" i="7"/>
  <c r="C68" i="2"/>
  <c r="I66" i="7"/>
  <c r="L66" i="7" s="1"/>
  <c r="M66" i="7" s="1"/>
  <c r="N66" i="7" s="1"/>
  <c r="AC66" i="7"/>
  <c r="D66" i="2"/>
  <c r="E66" i="2" s="1"/>
  <c r="U66" i="7"/>
  <c r="W66" i="7" s="1"/>
  <c r="D68" i="7"/>
  <c r="AA68" i="7"/>
  <c r="B68" i="2"/>
  <c r="AB69" i="7" l="1"/>
  <c r="C69" i="2"/>
  <c r="D69" i="7"/>
  <c r="AA69" i="7"/>
  <c r="B69" i="2"/>
  <c r="A71" i="7"/>
  <c r="B70" i="7"/>
  <c r="C70" i="7" s="1"/>
  <c r="J70" i="7"/>
  <c r="K70" i="7" s="1"/>
  <c r="A70" i="2"/>
  <c r="S67" i="7"/>
  <c r="T67" i="7" s="1"/>
  <c r="I67" i="7"/>
  <c r="L67" i="7" s="1"/>
  <c r="M67" i="7" s="1"/>
  <c r="N67" i="7" s="1"/>
  <c r="E68" i="7"/>
  <c r="R68" i="7"/>
  <c r="Q68" i="7"/>
  <c r="P68" i="7"/>
  <c r="O68" i="7"/>
  <c r="F68" i="7"/>
  <c r="H68" i="7"/>
  <c r="G68" i="7"/>
  <c r="I68" i="7" l="1"/>
  <c r="L68" i="7" s="1"/>
  <c r="M68" i="7" s="1"/>
  <c r="N68" i="7" s="1"/>
  <c r="AC67" i="7"/>
  <c r="D67" i="2"/>
  <c r="E67" i="2" s="1"/>
  <c r="U67" i="7"/>
  <c r="W67" i="7" s="1"/>
  <c r="A72" i="7"/>
  <c r="B71" i="7"/>
  <c r="C71" i="7" s="1"/>
  <c r="J71" i="7"/>
  <c r="K71" i="7" s="1"/>
  <c r="A71" i="2"/>
  <c r="AB70" i="7"/>
  <c r="C70" i="2"/>
  <c r="H69" i="7"/>
  <c r="G69" i="7"/>
  <c r="F69" i="7"/>
  <c r="E69" i="7"/>
  <c r="R69" i="7"/>
  <c r="Q69" i="7"/>
  <c r="P69" i="7"/>
  <c r="O69" i="7"/>
  <c r="S69" i="7" s="1"/>
  <c r="T69" i="7" s="1"/>
  <c r="S68" i="7"/>
  <c r="T68" i="7" s="1"/>
  <c r="AA70" i="7"/>
  <c r="D70" i="7"/>
  <c r="B70" i="2"/>
  <c r="I69" i="7" l="1"/>
  <c r="L69" i="7" s="1"/>
  <c r="M69" i="7" s="1"/>
  <c r="N69" i="7" s="1"/>
  <c r="AA71" i="7"/>
  <c r="B71" i="2"/>
  <c r="D71" i="7"/>
  <c r="F70" i="7"/>
  <c r="E70" i="7"/>
  <c r="R70" i="7"/>
  <c r="Q70" i="7"/>
  <c r="P70" i="7"/>
  <c r="O70" i="7"/>
  <c r="S70" i="7" s="1"/>
  <c r="T70" i="7" s="1"/>
  <c r="H70" i="7"/>
  <c r="G70" i="7"/>
  <c r="AC68" i="7"/>
  <c r="D68" i="2"/>
  <c r="E68" i="2" s="1"/>
  <c r="U68" i="7"/>
  <c r="W68" i="7" s="1"/>
  <c r="AB71" i="7"/>
  <c r="C71" i="2"/>
  <c r="A73" i="7"/>
  <c r="J72" i="7"/>
  <c r="K72" i="7" s="1"/>
  <c r="B72" i="7"/>
  <c r="C72" i="7" s="1"/>
  <c r="A72" i="2"/>
  <c r="AC69" i="7"/>
  <c r="D69" i="2"/>
  <c r="E69" i="2" s="1"/>
  <c r="U69" i="7"/>
  <c r="W69" i="7" s="1"/>
  <c r="AC70" i="7" l="1"/>
  <c r="D70" i="2"/>
  <c r="E70" i="2" s="1"/>
  <c r="U70" i="7"/>
  <c r="W70" i="7" s="1"/>
  <c r="D72" i="7"/>
  <c r="AA72" i="7"/>
  <c r="B72" i="2"/>
  <c r="I70" i="7"/>
  <c r="L70" i="7" s="1"/>
  <c r="M70" i="7" s="1"/>
  <c r="N70" i="7" s="1"/>
  <c r="AB72" i="7"/>
  <c r="C72" i="2"/>
  <c r="J73" i="7"/>
  <c r="K73" i="7" s="1"/>
  <c r="B73" i="7"/>
  <c r="C73" i="7" s="1"/>
  <c r="A74" i="7"/>
  <c r="A73" i="2"/>
  <c r="H71" i="7"/>
  <c r="G71" i="7"/>
  <c r="E71" i="7"/>
  <c r="R71" i="7"/>
  <c r="Q71" i="7"/>
  <c r="P71" i="7"/>
  <c r="O71" i="7"/>
  <c r="S71" i="7" s="1"/>
  <c r="T71" i="7" s="1"/>
  <c r="F71" i="7"/>
  <c r="AC71" i="7" l="1"/>
  <c r="D71" i="2"/>
  <c r="E71" i="2" s="1"/>
  <c r="U71" i="7"/>
  <c r="W71" i="7" s="1"/>
  <c r="A75" i="7"/>
  <c r="B74" i="7"/>
  <c r="C74" i="7" s="1"/>
  <c r="J74" i="7"/>
  <c r="K74" i="7" s="1"/>
  <c r="A74" i="2"/>
  <c r="AB73" i="7"/>
  <c r="C73" i="2"/>
  <c r="I71" i="7"/>
  <c r="L71" i="7" s="1"/>
  <c r="M71" i="7" s="1"/>
  <c r="N71" i="7" s="1"/>
  <c r="D73" i="7"/>
  <c r="AA73" i="7"/>
  <c r="B73" i="2"/>
  <c r="H72" i="7"/>
  <c r="G72" i="7"/>
  <c r="F72" i="7"/>
  <c r="E72" i="7"/>
  <c r="R72" i="7"/>
  <c r="P72" i="7"/>
  <c r="Q72" i="7"/>
  <c r="O72" i="7"/>
  <c r="S72" i="7" s="1"/>
  <c r="T72" i="7" s="1"/>
  <c r="I72" i="7" l="1"/>
  <c r="L72" i="7" s="1"/>
  <c r="M72" i="7" s="1"/>
  <c r="N72" i="7" s="1"/>
  <c r="H73" i="7"/>
  <c r="G73" i="7"/>
  <c r="F73" i="7"/>
  <c r="E73" i="7"/>
  <c r="I73" i="7" s="1"/>
  <c r="L73" i="7" s="1"/>
  <c r="M73" i="7" s="1"/>
  <c r="N73" i="7" s="1"/>
  <c r="R73" i="7"/>
  <c r="Q73" i="7"/>
  <c r="P73" i="7"/>
  <c r="O73" i="7"/>
  <c r="AB74" i="7"/>
  <c r="C74" i="2"/>
  <c r="AC72" i="7"/>
  <c r="D72" i="2"/>
  <c r="E72" i="2" s="1"/>
  <c r="U72" i="7"/>
  <c r="W72" i="7" s="1"/>
  <c r="D74" i="7"/>
  <c r="AA74" i="7"/>
  <c r="B74" i="2"/>
  <c r="A76" i="7"/>
  <c r="B75" i="7"/>
  <c r="C75" i="7" s="1"/>
  <c r="J75" i="7"/>
  <c r="K75" i="7" s="1"/>
  <c r="A75" i="2"/>
  <c r="C75" i="2" l="1"/>
  <c r="AB75" i="7"/>
  <c r="G74" i="7"/>
  <c r="F74" i="7"/>
  <c r="E74" i="7"/>
  <c r="Q74" i="7"/>
  <c r="P74" i="7"/>
  <c r="O74" i="7"/>
  <c r="R74" i="7"/>
  <c r="H74" i="7"/>
  <c r="S73" i="7"/>
  <c r="T73" i="7" s="1"/>
  <c r="D75" i="7"/>
  <c r="AA75" i="7"/>
  <c r="B75" i="2"/>
  <c r="A77" i="7"/>
  <c r="B76" i="7"/>
  <c r="C76" i="7" s="1"/>
  <c r="J76" i="7"/>
  <c r="K76" i="7" s="1"/>
  <c r="A76" i="2"/>
  <c r="AB76" i="7" l="1"/>
  <c r="C76" i="2"/>
  <c r="F75" i="7"/>
  <c r="E75" i="7"/>
  <c r="R75" i="7"/>
  <c r="Q75" i="7"/>
  <c r="H75" i="7"/>
  <c r="G75" i="7"/>
  <c r="P75" i="7"/>
  <c r="O75" i="7"/>
  <c r="S75" i="7" s="1"/>
  <c r="T75" i="7" s="1"/>
  <c r="D76" i="7"/>
  <c r="AA76" i="7"/>
  <c r="B76" i="2"/>
  <c r="A78" i="7"/>
  <c r="B77" i="7"/>
  <c r="C77" i="7" s="1"/>
  <c r="J77" i="7"/>
  <c r="K77" i="7" s="1"/>
  <c r="A77" i="2"/>
  <c r="AC73" i="7"/>
  <c r="D73" i="2"/>
  <c r="E73" i="2" s="1"/>
  <c r="U73" i="7"/>
  <c r="W73" i="7" s="1"/>
  <c r="I74" i="7"/>
  <c r="L74" i="7" s="1"/>
  <c r="M74" i="7" s="1"/>
  <c r="N74" i="7" s="1"/>
  <c r="S74" i="7"/>
  <c r="T74" i="7" s="1"/>
  <c r="D77" i="7" l="1"/>
  <c r="AA77" i="7"/>
  <c r="B77" i="2"/>
  <c r="A79" i="7"/>
  <c r="B78" i="7"/>
  <c r="C78" i="7" s="1"/>
  <c r="J78" i="7"/>
  <c r="K78" i="7" s="1"/>
  <c r="A78" i="2"/>
  <c r="AC75" i="7"/>
  <c r="D75" i="2"/>
  <c r="E75" i="2" s="1"/>
  <c r="U75" i="7"/>
  <c r="W75" i="7" s="1"/>
  <c r="AB77" i="7"/>
  <c r="C77" i="2"/>
  <c r="E76" i="7"/>
  <c r="H76" i="7"/>
  <c r="F76" i="7"/>
  <c r="R76" i="7"/>
  <c r="Q76" i="7"/>
  <c r="P76" i="7"/>
  <c r="O76" i="7"/>
  <c r="S76" i="7" s="1"/>
  <c r="T76" i="7" s="1"/>
  <c r="G76" i="7"/>
  <c r="I75" i="7"/>
  <c r="L75" i="7" s="1"/>
  <c r="M75" i="7" s="1"/>
  <c r="N75" i="7" s="1"/>
  <c r="AC74" i="7"/>
  <c r="D74" i="2"/>
  <c r="E74" i="2" s="1"/>
  <c r="U74" i="7"/>
  <c r="W74" i="7" s="1"/>
  <c r="I76" i="7" l="1"/>
  <c r="L76" i="7" s="1"/>
  <c r="M76" i="7" s="1"/>
  <c r="N76" i="7" s="1"/>
  <c r="AA78" i="7"/>
  <c r="D78" i="7"/>
  <c r="B78" i="2"/>
  <c r="AC76" i="7"/>
  <c r="D76" i="2"/>
  <c r="E76" i="2" s="1"/>
  <c r="U76" i="7"/>
  <c r="W76" i="7" s="1"/>
  <c r="AB78" i="7"/>
  <c r="C78" i="2"/>
  <c r="A80" i="7"/>
  <c r="B79" i="7"/>
  <c r="C79" i="7" s="1"/>
  <c r="J79" i="7"/>
  <c r="K79" i="7" s="1"/>
  <c r="A79" i="2"/>
  <c r="H77" i="7"/>
  <c r="G77" i="7"/>
  <c r="F77" i="7"/>
  <c r="E77" i="7"/>
  <c r="I77" i="7" s="1"/>
  <c r="L77" i="7" s="1"/>
  <c r="M77" i="7" s="1"/>
  <c r="N77" i="7" s="1"/>
  <c r="Q77" i="7"/>
  <c r="P77" i="7"/>
  <c r="R77" i="7"/>
  <c r="O77" i="7"/>
  <c r="S77" i="7" s="1"/>
  <c r="T77" i="7" s="1"/>
  <c r="AC77" i="7" l="1"/>
  <c r="D77" i="2"/>
  <c r="E77" i="2" s="1"/>
  <c r="U77" i="7"/>
  <c r="W77" i="7" s="1"/>
  <c r="A81" i="7"/>
  <c r="B80" i="7"/>
  <c r="C80" i="7" s="1"/>
  <c r="J80" i="7"/>
  <c r="K80" i="7" s="1"/>
  <c r="A80" i="2"/>
  <c r="AA79" i="7"/>
  <c r="D79" i="7"/>
  <c r="B79" i="2"/>
  <c r="H78" i="7"/>
  <c r="R78" i="7"/>
  <c r="Q78" i="7"/>
  <c r="P78" i="7"/>
  <c r="O78" i="7"/>
  <c r="S78" i="7" s="1"/>
  <c r="T78" i="7" s="1"/>
  <c r="E78" i="7"/>
  <c r="F78" i="7"/>
  <c r="G78" i="7"/>
  <c r="AB79" i="7"/>
  <c r="C79" i="2"/>
  <c r="I78" i="7" l="1"/>
  <c r="L78" i="7" s="1"/>
  <c r="M78" i="7" s="1"/>
  <c r="N78" i="7" s="1"/>
  <c r="AC78" i="7"/>
  <c r="D78" i="2"/>
  <c r="E78" i="2" s="1"/>
  <c r="U78" i="7"/>
  <c r="W78" i="7" s="1"/>
  <c r="R79" i="7"/>
  <c r="Q79" i="7"/>
  <c r="P79" i="7"/>
  <c r="O79" i="7"/>
  <c r="S79" i="7" s="1"/>
  <c r="T79" i="7" s="1"/>
  <c r="H79" i="7"/>
  <c r="G79" i="7"/>
  <c r="F79" i="7"/>
  <c r="E79" i="7"/>
  <c r="I79" i="7" s="1"/>
  <c r="L79" i="7" s="1"/>
  <c r="M79" i="7" s="1"/>
  <c r="N79" i="7" s="1"/>
  <c r="AB80" i="7"/>
  <c r="C80" i="2"/>
  <c r="B81" i="7"/>
  <c r="C81" i="7" s="1"/>
  <c r="J81" i="7"/>
  <c r="K81" i="7" s="1"/>
  <c r="A82" i="7"/>
  <c r="A81" i="2"/>
  <c r="AA80" i="7"/>
  <c r="D80" i="7"/>
  <c r="B80" i="2"/>
  <c r="AB81" i="7" l="1"/>
  <c r="C81" i="2"/>
  <c r="R80" i="7"/>
  <c r="H80" i="7"/>
  <c r="G80" i="7"/>
  <c r="F80" i="7"/>
  <c r="E80" i="7"/>
  <c r="I80" i="7" s="1"/>
  <c r="L80" i="7" s="1"/>
  <c r="M80" i="7" s="1"/>
  <c r="N80" i="7" s="1"/>
  <c r="P80" i="7"/>
  <c r="Q80" i="7"/>
  <c r="O80" i="7"/>
  <c r="S80" i="7" s="1"/>
  <c r="T80" i="7" s="1"/>
  <c r="AC79" i="7"/>
  <c r="D79" i="2"/>
  <c r="E79" i="2" s="1"/>
  <c r="U79" i="7"/>
  <c r="W79" i="7" s="1"/>
  <c r="A83" i="7"/>
  <c r="B82" i="7"/>
  <c r="C82" i="7" s="1"/>
  <c r="J82" i="7"/>
  <c r="K82" i="7" s="1"/>
  <c r="A82" i="2"/>
  <c r="AA81" i="7"/>
  <c r="D81" i="7"/>
  <c r="B81" i="2"/>
  <c r="G81" i="7" l="1"/>
  <c r="R81" i="7"/>
  <c r="Q81" i="7"/>
  <c r="P81" i="7"/>
  <c r="O81" i="7"/>
  <c r="E81" i="7"/>
  <c r="H81" i="7"/>
  <c r="F81" i="7"/>
  <c r="AB82" i="7"/>
  <c r="C82" i="2"/>
  <c r="J83" i="7"/>
  <c r="K83" i="7" s="1"/>
  <c r="B83" i="7"/>
  <c r="C83" i="7" s="1"/>
  <c r="A84" i="7"/>
  <c r="A83" i="2"/>
  <c r="AC80" i="7"/>
  <c r="D80" i="2"/>
  <c r="E80" i="2" s="1"/>
  <c r="U80" i="7"/>
  <c r="W80" i="7" s="1"/>
  <c r="AA82" i="7"/>
  <c r="D82" i="7"/>
  <c r="B82" i="2"/>
  <c r="S81" i="7" l="1"/>
  <c r="T81" i="7" s="1"/>
  <c r="I81" i="7"/>
  <c r="L81" i="7" s="1"/>
  <c r="M81" i="7" s="1"/>
  <c r="N81" i="7" s="1"/>
  <c r="R82" i="7"/>
  <c r="H82" i="7"/>
  <c r="G82" i="7"/>
  <c r="F82" i="7"/>
  <c r="E82" i="7"/>
  <c r="I82" i="7" s="1"/>
  <c r="L82" i="7" s="1"/>
  <c r="M82" i="7" s="1"/>
  <c r="N82" i="7" s="1"/>
  <c r="P82" i="7"/>
  <c r="O82" i="7"/>
  <c r="Q82" i="7"/>
  <c r="AC81" i="7"/>
  <c r="D81" i="2"/>
  <c r="E81" i="2" s="1"/>
  <c r="U81" i="7"/>
  <c r="W81" i="7" s="1"/>
  <c r="D83" i="7"/>
  <c r="AA83" i="7"/>
  <c r="B83" i="2"/>
  <c r="A85" i="7"/>
  <c r="J84" i="7"/>
  <c r="K84" i="7" s="1"/>
  <c r="B84" i="7"/>
  <c r="C84" i="7" s="1"/>
  <c r="A84" i="2"/>
  <c r="AB83" i="7"/>
  <c r="C83" i="2"/>
  <c r="AB84" i="7" l="1"/>
  <c r="C84" i="2"/>
  <c r="A86" i="7"/>
  <c r="B85" i="7"/>
  <c r="C85" i="7" s="1"/>
  <c r="J85" i="7"/>
  <c r="K85" i="7" s="1"/>
  <c r="A85" i="2"/>
  <c r="R83" i="7"/>
  <c r="Q83" i="7"/>
  <c r="E83" i="7"/>
  <c r="P83" i="7"/>
  <c r="O83" i="7"/>
  <c r="S83" i="7" s="1"/>
  <c r="T83" i="7" s="1"/>
  <c r="H83" i="7"/>
  <c r="G83" i="7"/>
  <c r="F83" i="7"/>
  <c r="S82" i="7"/>
  <c r="T82" i="7" s="1"/>
  <c r="AA84" i="7"/>
  <c r="D84" i="7"/>
  <c r="B84" i="2"/>
  <c r="AC82" i="7" l="1"/>
  <c r="D82" i="2"/>
  <c r="E82" i="2" s="1"/>
  <c r="U82" i="7"/>
  <c r="W82" i="7" s="1"/>
  <c r="R84" i="7"/>
  <c r="Q84" i="7"/>
  <c r="P84" i="7"/>
  <c r="O84" i="7"/>
  <c r="S84" i="7" s="1"/>
  <c r="T84" i="7" s="1"/>
  <c r="F84" i="7"/>
  <c r="E84" i="7"/>
  <c r="H84" i="7"/>
  <c r="G84" i="7"/>
  <c r="I83" i="7"/>
  <c r="L83" i="7" s="1"/>
  <c r="M83" i="7" s="1"/>
  <c r="N83" i="7" s="1"/>
  <c r="AC83" i="7"/>
  <c r="D83" i="2"/>
  <c r="E83" i="2" s="1"/>
  <c r="U83" i="7"/>
  <c r="W83" i="7" s="1"/>
  <c r="AB85" i="7"/>
  <c r="C85" i="2"/>
  <c r="AA85" i="7"/>
  <c r="D85" i="7"/>
  <c r="B85" i="2"/>
  <c r="B86" i="7"/>
  <c r="C86" i="7" s="1"/>
  <c r="J86" i="7"/>
  <c r="K86" i="7" s="1"/>
  <c r="A87" i="7"/>
  <c r="A86" i="2"/>
  <c r="AC84" i="7" l="1"/>
  <c r="D84" i="2"/>
  <c r="E84" i="2" s="1"/>
  <c r="U84" i="7"/>
  <c r="W84" i="7" s="1"/>
  <c r="D86" i="7"/>
  <c r="B86" i="2"/>
  <c r="AA86" i="7"/>
  <c r="R85" i="7"/>
  <c r="Q85" i="7"/>
  <c r="P85" i="7"/>
  <c r="O85" i="7"/>
  <c r="H85" i="7"/>
  <c r="G85" i="7"/>
  <c r="F85" i="7"/>
  <c r="E85" i="7"/>
  <c r="I85" i="7" s="1"/>
  <c r="L85" i="7" s="1"/>
  <c r="M85" i="7" s="1"/>
  <c r="N85" i="7" s="1"/>
  <c r="C86" i="2"/>
  <c r="AB86" i="7"/>
  <c r="I84" i="7"/>
  <c r="L84" i="7" s="1"/>
  <c r="M84" i="7" s="1"/>
  <c r="N84" i="7" s="1"/>
  <c r="J87" i="7"/>
  <c r="K87" i="7" s="1"/>
  <c r="B87" i="7"/>
  <c r="C87" i="7" s="1"/>
  <c r="A88" i="7"/>
  <c r="A87" i="2"/>
  <c r="S85" i="7" l="1"/>
  <c r="T85" i="7" s="1"/>
  <c r="C87" i="2"/>
  <c r="AB87" i="7"/>
  <c r="D87" i="7"/>
  <c r="B87" i="2"/>
  <c r="AA87" i="7"/>
  <c r="AC85" i="7"/>
  <c r="D85" i="2"/>
  <c r="E85" i="2" s="1"/>
  <c r="U85" i="7"/>
  <c r="W85" i="7" s="1"/>
  <c r="J88" i="7"/>
  <c r="K88" i="7" s="1"/>
  <c r="B88" i="7"/>
  <c r="C88" i="7" s="1"/>
  <c r="A89" i="7"/>
  <c r="A88" i="2"/>
  <c r="R86" i="7"/>
  <c r="Q86" i="7"/>
  <c r="P86" i="7"/>
  <c r="O86" i="7"/>
  <c r="S86" i="7" s="1"/>
  <c r="T86" i="7" s="1"/>
  <c r="E86" i="7"/>
  <c r="H86" i="7"/>
  <c r="G86" i="7"/>
  <c r="F86" i="7"/>
  <c r="I86" i="7" l="1"/>
  <c r="L86" i="7" s="1"/>
  <c r="M86" i="7" s="1"/>
  <c r="N86" i="7" s="1"/>
  <c r="D86" i="2"/>
  <c r="E86" i="2" s="1"/>
  <c r="AC86" i="7"/>
  <c r="U86" i="7"/>
  <c r="W86" i="7" s="1"/>
  <c r="A90" i="7"/>
  <c r="B89" i="7"/>
  <c r="C89" i="7" s="1"/>
  <c r="J89" i="7"/>
  <c r="K89" i="7" s="1"/>
  <c r="A89" i="2"/>
  <c r="D88" i="7"/>
  <c r="AA88" i="7"/>
  <c r="B88" i="2"/>
  <c r="AB88" i="7"/>
  <c r="C88" i="2"/>
  <c r="R87" i="7"/>
  <c r="Q87" i="7"/>
  <c r="P87" i="7"/>
  <c r="O87" i="7"/>
  <c r="S87" i="7" s="1"/>
  <c r="T87" i="7" s="1"/>
  <c r="H87" i="7"/>
  <c r="G87" i="7"/>
  <c r="F87" i="7"/>
  <c r="E87" i="7"/>
  <c r="I87" i="7" s="1"/>
  <c r="L87" i="7" s="1"/>
  <c r="M87" i="7" s="1"/>
  <c r="N87" i="7" s="1"/>
  <c r="Q88" i="7" l="1"/>
  <c r="P88" i="7"/>
  <c r="O88" i="7"/>
  <c r="R88" i="7"/>
  <c r="F88" i="7"/>
  <c r="E88" i="7"/>
  <c r="H88" i="7"/>
  <c r="G88" i="7"/>
  <c r="AB89" i="7"/>
  <c r="C89" i="2"/>
  <c r="AA89" i="7"/>
  <c r="D89" i="7"/>
  <c r="B89" i="2"/>
  <c r="AC87" i="7"/>
  <c r="D87" i="2"/>
  <c r="E87" i="2" s="1"/>
  <c r="U87" i="7"/>
  <c r="W87" i="7" s="1"/>
  <c r="J90" i="7"/>
  <c r="K90" i="7" s="1"/>
  <c r="A91" i="7"/>
  <c r="B90" i="7"/>
  <c r="C90" i="7" s="1"/>
  <c r="A90" i="2"/>
  <c r="I88" i="7" l="1"/>
  <c r="L88" i="7" s="1"/>
  <c r="M88" i="7" s="1"/>
  <c r="N88" i="7" s="1"/>
  <c r="AB90" i="7"/>
  <c r="C90" i="2"/>
  <c r="P89" i="7"/>
  <c r="O89" i="7"/>
  <c r="Q89" i="7"/>
  <c r="H89" i="7"/>
  <c r="G89" i="7"/>
  <c r="F89" i="7"/>
  <c r="E89" i="7"/>
  <c r="R89" i="7"/>
  <c r="D90" i="7"/>
  <c r="AA90" i="7"/>
  <c r="B90" i="2"/>
  <c r="S88" i="7"/>
  <c r="T88" i="7" s="1"/>
  <c r="J91" i="7"/>
  <c r="K91" i="7" s="1"/>
  <c r="B91" i="7"/>
  <c r="C91" i="7" s="1"/>
  <c r="A92" i="7"/>
  <c r="A91" i="2"/>
  <c r="I89" i="7" l="1"/>
  <c r="L89" i="7" s="1"/>
  <c r="M89" i="7" s="1"/>
  <c r="N89" i="7" s="1"/>
  <c r="D91" i="7"/>
  <c r="AA91" i="7"/>
  <c r="B91" i="2"/>
  <c r="AB91" i="7"/>
  <c r="C91" i="2"/>
  <c r="J92" i="7"/>
  <c r="K92" i="7" s="1"/>
  <c r="A93" i="7"/>
  <c r="B92" i="7"/>
  <c r="C92" i="7" s="1"/>
  <c r="A92" i="2"/>
  <c r="AC88" i="7"/>
  <c r="D88" i="2"/>
  <c r="E88" i="2" s="1"/>
  <c r="U88" i="7"/>
  <c r="W88" i="7" s="1"/>
  <c r="O90" i="7"/>
  <c r="R90" i="7"/>
  <c r="Q90" i="7"/>
  <c r="P90" i="7"/>
  <c r="H90" i="7"/>
  <c r="G90" i="7"/>
  <c r="F90" i="7"/>
  <c r="E90" i="7"/>
  <c r="S89" i="7"/>
  <c r="T89" i="7" s="1"/>
  <c r="S90" i="7" l="1"/>
  <c r="T90" i="7" s="1"/>
  <c r="AC89" i="7"/>
  <c r="D89" i="2"/>
  <c r="E89" i="2" s="1"/>
  <c r="U89" i="7"/>
  <c r="W89" i="7" s="1"/>
  <c r="D90" i="2"/>
  <c r="E90" i="2" s="1"/>
  <c r="AC90" i="7"/>
  <c r="U90" i="7"/>
  <c r="W90" i="7" s="1"/>
  <c r="AB92" i="7"/>
  <c r="C92" i="2"/>
  <c r="I90" i="7"/>
  <c r="L90" i="7" s="1"/>
  <c r="M90" i="7" s="1"/>
  <c r="N90" i="7" s="1"/>
  <c r="AA92" i="7"/>
  <c r="D92" i="7"/>
  <c r="B92" i="2"/>
  <c r="J93" i="7"/>
  <c r="K93" i="7" s="1"/>
  <c r="B93" i="7"/>
  <c r="C93" i="7" s="1"/>
  <c r="A93" i="2"/>
  <c r="A94" i="7"/>
  <c r="F91" i="7"/>
  <c r="E91" i="7"/>
  <c r="R91" i="7"/>
  <c r="Q91" i="7"/>
  <c r="O91" i="7"/>
  <c r="S91" i="7" s="1"/>
  <c r="T91" i="7" s="1"/>
  <c r="P91" i="7"/>
  <c r="H91" i="7"/>
  <c r="G91" i="7"/>
  <c r="D93" i="7" l="1"/>
  <c r="AA93" i="7"/>
  <c r="B93" i="2"/>
  <c r="I91" i="7"/>
  <c r="L91" i="7" s="1"/>
  <c r="M91" i="7" s="1"/>
  <c r="N91" i="7" s="1"/>
  <c r="J94" i="7"/>
  <c r="K94" i="7" s="1"/>
  <c r="A95" i="7"/>
  <c r="A94" i="2"/>
  <c r="B94" i="7"/>
  <c r="C94" i="7" s="1"/>
  <c r="AB93" i="7"/>
  <c r="C93" i="2"/>
  <c r="H92" i="7"/>
  <c r="Q92" i="7"/>
  <c r="P92" i="7"/>
  <c r="O92" i="7"/>
  <c r="G92" i="7"/>
  <c r="F92" i="7"/>
  <c r="R92" i="7"/>
  <c r="E92" i="7"/>
  <c r="I92" i="7" s="1"/>
  <c r="L92" i="7" s="1"/>
  <c r="M92" i="7" s="1"/>
  <c r="N92" i="7" s="1"/>
  <c r="AC91" i="7"/>
  <c r="D91" i="2"/>
  <c r="E91" i="2" s="1"/>
  <c r="U91" i="7"/>
  <c r="W91" i="7" s="1"/>
  <c r="S92" i="7" l="1"/>
  <c r="T92" i="7" s="1"/>
  <c r="AA94" i="7"/>
  <c r="B94" i="2"/>
  <c r="D94" i="7"/>
  <c r="J95" i="7"/>
  <c r="K95" i="7" s="1"/>
  <c r="B95" i="7"/>
  <c r="C95" i="7" s="1"/>
  <c r="A96" i="7"/>
  <c r="A95" i="2"/>
  <c r="AB94" i="7"/>
  <c r="C94" i="2"/>
  <c r="H93" i="7"/>
  <c r="G93" i="7"/>
  <c r="R93" i="7"/>
  <c r="Q93" i="7"/>
  <c r="F93" i="7"/>
  <c r="E93" i="7"/>
  <c r="O93" i="7"/>
  <c r="P93" i="7"/>
  <c r="S93" i="7" l="1"/>
  <c r="T93" i="7" s="1"/>
  <c r="I93" i="7"/>
  <c r="L93" i="7" s="1"/>
  <c r="M93" i="7" s="1"/>
  <c r="N93" i="7" s="1"/>
  <c r="D95" i="7"/>
  <c r="AA95" i="7"/>
  <c r="B95" i="2"/>
  <c r="AC93" i="7"/>
  <c r="D93" i="2"/>
  <c r="E93" i="2" s="1"/>
  <c r="U93" i="7"/>
  <c r="W93" i="7" s="1"/>
  <c r="J96" i="7"/>
  <c r="K96" i="7" s="1"/>
  <c r="B96" i="7"/>
  <c r="C96" i="7" s="1"/>
  <c r="A97" i="7"/>
  <c r="A96" i="2"/>
  <c r="H94" i="7"/>
  <c r="G94" i="7"/>
  <c r="F94" i="7"/>
  <c r="R94" i="7"/>
  <c r="Q94" i="7"/>
  <c r="P94" i="7"/>
  <c r="O94" i="7"/>
  <c r="S94" i="7" s="1"/>
  <c r="T94" i="7" s="1"/>
  <c r="E94" i="7"/>
  <c r="I94" i="7" s="1"/>
  <c r="L94" i="7" s="1"/>
  <c r="M94" i="7" s="1"/>
  <c r="N94" i="7" s="1"/>
  <c r="AB95" i="7"/>
  <c r="C95" i="2"/>
  <c r="AC92" i="7"/>
  <c r="D92" i="2"/>
  <c r="E92" i="2" s="1"/>
  <c r="U92" i="7"/>
  <c r="W92" i="7" s="1"/>
  <c r="AC94" i="7" l="1"/>
  <c r="D94" i="2"/>
  <c r="E94" i="2" s="1"/>
  <c r="U94" i="7"/>
  <c r="W94" i="7" s="1"/>
  <c r="J97" i="7"/>
  <c r="K97" i="7" s="1"/>
  <c r="A98" i="7"/>
  <c r="B97" i="7"/>
  <c r="C97" i="7" s="1"/>
  <c r="A97" i="2"/>
  <c r="AB96" i="7"/>
  <c r="C96" i="2"/>
  <c r="D96" i="7"/>
  <c r="AA96" i="7"/>
  <c r="B96" i="2"/>
  <c r="H95" i="7"/>
  <c r="G95" i="7"/>
  <c r="F95" i="7"/>
  <c r="E95" i="7"/>
  <c r="I95" i="7" s="1"/>
  <c r="L95" i="7" s="1"/>
  <c r="M95" i="7" s="1"/>
  <c r="N95" i="7" s="1"/>
  <c r="R95" i="7"/>
  <c r="Q95" i="7"/>
  <c r="P95" i="7"/>
  <c r="O95" i="7"/>
  <c r="S95" i="7" l="1"/>
  <c r="T95" i="7" s="1"/>
  <c r="D97" i="7"/>
  <c r="AA97" i="7"/>
  <c r="B97" i="2"/>
  <c r="AC95" i="7"/>
  <c r="D95" i="2"/>
  <c r="E95" i="2" s="1"/>
  <c r="U95" i="7"/>
  <c r="W95" i="7" s="1"/>
  <c r="AB97" i="7"/>
  <c r="C97" i="2"/>
  <c r="H96" i="7"/>
  <c r="G96" i="7"/>
  <c r="F96" i="7"/>
  <c r="E96" i="7"/>
  <c r="I96" i="7" s="1"/>
  <c r="L96" i="7" s="1"/>
  <c r="M96" i="7" s="1"/>
  <c r="N96" i="7" s="1"/>
  <c r="R96" i="7"/>
  <c r="P96" i="7"/>
  <c r="Q96" i="7"/>
  <c r="O96" i="7"/>
  <c r="S96" i="7" s="1"/>
  <c r="T96" i="7" s="1"/>
  <c r="A99" i="7"/>
  <c r="B98" i="7"/>
  <c r="C98" i="7" s="1"/>
  <c r="J98" i="7"/>
  <c r="K98" i="7" s="1"/>
  <c r="A98" i="2"/>
  <c r="AB98" i="7" l="1"/>
  <c r="C98" i="2"/>
  <c r="D98" i="7"/>
  <c r="AA98" i="7"/>
  <c r="B98" i="2"/>
  <c r="A100" i="7"/>
  <c r="B99" i="7"/>
  <c r="C99" i="7" s="1"/>
  <c r="J99" i="7"/>
  <c r="K99" i="7" s="1"/>
  <c r="A99" i="2"/>
  <c r="AC96" i="7"/>
  <c r="D96" i="2"/>
  <c r="E96" i="2" s="1"/>
  <c r="U96" i="7"/>
  <c r="W96" i="7" s="1"/>
  <c r="H97" i="7"/>
  <c r="G97" i="7"/>
  <c r="F97" i="7"/>
  <c r="E97" i="7"/>
  <c r="I97" i="7" s="1"/>
  <c r="L97" i="7" s="1"/>
  <c r="M97" i="7" s="1"/>
  <c r="N97" i="7" s="1"/>
  <c r="R97" i="7"/>
  <c r="Q97" i="7"/>
  <c r="P97" i="7"/>
  <c r="O97" i="7"/>
  <c r="S97" i="7" l="1"/>
  <c r="T97" i="7" s="1"/>
  <c r="AB99" i="7"/>
  <c r="C99" i="2"/>
  <c r="AC97" i="7"/>
  <c r="D97" i="2"/>
  <c r="E97" i="2" s="1"/>
  <c r="U97" i="7"/>
  <c r="W97" i="7" s="1"/>
  <c r="D99" i="7"/>
  <c r="AA99" i="7"/>
  <c r="B99" i="2"/>
  <c r="A101" i="7"/>
  <c r="B100" i="7"/>
  <c r="C100" i="7" s="1"/>
  <c r="J100" i="7"/>
  <c r="K100" i="7" s="1"/>
  <c r="A100" i="2"/>
  <c r="G98" i="7"/>
  <c r="F98" i="7"/>
  <c r="E98" i="7"/>
  <c r="R98" i="7"/>
  <c r="H98" i="7"/>
  <c r="Q98" i="7"/>
  <c r="P98" i="7"/>
  <c r="O98" i="7"/>
  <c r="I98" i="7" l="1"/>
  <c r="L98" i="7" s="1"/>
  <c r="M98" i="7" s="1"/>
  <c r="N98" i="7" s="1"/>
  <c r="AB100" i="7"/>
  <c r="C100" i="2"/>
  <c r="F99" i="7"/>
  <c r="E99" i="7"/>
  <c r="R99" i="7"/>
  <c r="Q99" i="7"/>
  <c r="P99" i="7"/>
  <c r="O99" i="7"/>
  <c r="S99" i="7" s="1"/>
  <c r="T99" i="7" s="1"/>
  <c r="H99" i="7"/>
  <c r="G99" i="7"/>
  <c r="S98" i="7"/>
  <c r="T98" i="7" s="1"/>
  <c r="D100" i="7"/>
  <c r="B100" i="2"/>
  <c r="AA100" i="7"/>
  <c r="A102" i="7"/>
  <c r="B101" i="7"/>
  <c r="C101" i="7" s="1"/>
  <c r="J101" i="7"/>
  <c r="K101" i="7" s="1"/>
  <c r="A101" i="2"/>
  <c r="AC99" i="7" l="1"/>
  <c r="D99" i="2"/>
  <c r="E99" i="2" s="1"/>
  <c r="U99" i="7"/>
  <c r="W99" i="7" s="1"/>
  <c r="AB101" i="7"/>
  <c r="C101" i="2"/>
  <c r="A103" i="7"/>
  <c r="B102" i="7"/>
  <c r="C102" i="7" s="1"/>
  <c r="J102" i="7"/>
  <c r="K102" i="7" s="1"/>
  <c r="A102" i="2"/>
  <c r="D101" i="7"/>
  <c r="AA101" i="7"/>
  <c r="B101" i="2"/>
  <c r="E100" i="7"/>
  <c r="H100" i="7"/>
  <c r="G100" i="7"/>
  <c r="F100" i="7"/>
  <c r="R100" i="7"/>
  <c r="Q100" i="7"/>
  <c r="P100" i="7"/>
  <c r="O100" i="7"/>
  <c r="S100" i="7" s="1"/>
  <c r="T100" i="7" s="1"/>
  <c r="AC98" i="7"/>
  <c r="D98" i="2"/>
  <c r="E98" i="2" s="1"/>
  <c r="U98" i="7"/>
  <c r="W98" i="7" s="1"/>
  <c r="I99" i="7"/>
  <c r="L99" i="7" s="1"/>
  <c r="M99" i="7" s="1"/>
  <c r="N99" i="7" s="1"/>
  <c r="I100" i="7" l="1"/>
  <c r="L100" i="7" s="1"/>
  <c r="M100" i="7" s="1"/>
  <c r="N100" i="7" s="1"/>
  <c r="AC100" i="7"/>
  <c r="D100" i="2"/>
  <c r="E100" i="2" s="1"/>
  <c r="U100" i="7"/>
  <c r="W100" i="7" s="1"/>
  <c r="AA102" i="7"/>
  <c r="D102" i="7"/>
  <c r="B102" i="2"/>
  <c r="AB102" i="7"/>
  <c r="C102" i="2"/>
  <c r="Q101" i="7"/>
  <c r="R101" i="7"/>
  <c r="P101" i="7"/>
  <c r="F101" i="7"/>
  <c r="O101" i="7"/>
  <c r="S101" i="7" s="1"/>
  <c r="T101" i="7" s="1"/>
  <c r="G101" i="7"/>
  <c r="H101" i="7"/>
  <c r="E101" i="7"/>
  <c r="A104" i="7"/>
  <c r="B103" i="7"/>
  <c r="C103" i="7" s="1"/>
  <c r="J103" i="7"/>
  <c r="K103" i="7" s="1"/>
  <c r="A103" i="2"/>
  <c r="AC101" i="7" l="1"/>
  <c r="D101" i="2"/>
  <c r="E101" i="2" s="1"/>
  <c r="U101" i="7"/>
  <c r="W101" i="7" s="1"/>
  <c r="AB103" i="7"/>
  <c r="C103" i="2"/>
  <c r="I101" i="7"/>
  <c r="L101" i="7" s="1"/>
  <c r="M101" i="7" s="1"/>
  <c r="N101" i="7" s="1"/>
  <c r="AA103" i="7"/>
  <c r="D103" i="7"/>
  <c r="B103" i="2"/>
  <c r="B104" i="7"/>
  <c r="C104" i="7" s="1"/>
  <c r="J104" i="7"/>
  <c r="K104" i="7" s="1"/>
  <c r="A105" i="7"/>
  <c r="A104" i="2"/>
  <c r="R102" i="7"/>
  <c r="Q102" i="7"/>
  <c r="P102" i="7"/>
  <c r="O102" i="7"/>
  <c r="S102" i="7" s="1"/>
  <c r="T102" i="7" s="1"/>
  <c r="H102" i="7"/>
  <c r="G102" i="7"/>
  <c r="F102" i="7"/>
  <c r="E102" i="7"/>
  <c r="I102" i="7" s="1"/>
  <c r="L102" i="7" s="1"/>
  <c r="M102" i="7" s="1"/>
  <c r="N102" i="7" s="1"/>
  <c r="AC102" i="7" l="1"/>
  <c r="D102" i="2"/>
  <c r="E102" i="2" s="1"/>
  <c r="U102" i="7"/>
  <c r="W102" i="7" s="1"/>
  <c r="J105" i="7"/>
  <c r="K105" i="7" s="1"/>
  <c r="B105" i="7"/>
  <c r="C105" i="7" s="1"/>
  <c r="A106" i="7"/>
  <c r="A105" i="2"/>
  <c r="AB104" i="7"/>
  <c r="C104" i="2"/>
  <c r="R103" i="7"/>
  <c r="O103" i="7"/>
  <c r="G103" i="7"/>
  <c r="F103" i="7"/>
  <c r="E103" i="7"/>
  <c r="Q103" i="7"/>
  <c r="H103" i="7"/>
  <c r="P103" i="7"/>
  <c r="AA104" i="7"/>
  <c r="D104" i="7"/>
  <c r="B104" i="2"/>
  <c r="I103" i="7" l="1"/>
  <c r="L103" i="7" s="1"/>
  <c r="M103" i="7" s="1"/>
  <c r="N103" i="7" s="1"/>
  <c r="S103" i="7"/>
  <c r="T103" i="7" s="1"/>
  <c r="J106" i="7"/>
  <c r="K106" i="7" s="1"/>
  <c r="A107" i="7"/>
  <c r="B106" i="7"/>
  <c r="C106" i="7" s="1"/>
  <c r="A106" i="2"/>
  <c r="AB105" i="7"/>
  <c r="C105" i="2"/>
  <c r="E104" i="7"/>
  <c r="Q104" i="7"/>
  <c r="P104" i="7"/>
  <c r="O104" i="7"/>
  <c r="S104" i="7" s="1"/>
  <c r="T104" i="7" s="1"/>
  <c r="R104" i="7"/>
  <c r="G104" i="7"/>
  <c r="F104" i="7"/>
  <c r="H104" i="7"/>
  <c r="AA105" i="7"/>
  <c r="D105" i="7"/>
  <c r="B105" i="2"/>
  <c r="I104" i="7" l="1"/>
  <c r="L104" i="7" s="1"/>
  <c r="M104" i="7" s="1"/>
  <c r="N104" i="7" s="1"/>
  <c r="AC104" i="7"/>
  <c r="D104" i="2"/>
  <c r="E104" i="2" s="1"/>
  <c r="U104" i="7"/>
  <c r="W104" i="7" s="1"/>
  <c r="AA106" i="7"/>
  <c r="D106" i="7"/>
  <c r="B106" i="2"/>
  <c r="A108" i="7"/>
  <c r="B107" i="7"/>
  <c r="C107" i="7" s="1"/>
  <c r="J107" i="7"/>
  <c r="K107" i="7" s="1"/>
  <c r="A107" i="2"/>
  <c r="H105" i="7"/>
  <c r="G105" i="7"/>
  <c r="F105" i="7"/>
  <c r="E105" i="7"/>
  <c r="I105" i="7" s="1"/>
  <c r="L105" i="7" s="1"/>
  <c r="M105" i="7" s="1"/>
  <c r="N105" i="7" s="1"/>
  <c r="O105" i="7"/>
  <c r="R105" i="7"/>
  <c r="Q105" i="7"/>
  <c r="P105" i="7"/>
  <c r="AB106" i="7"/>
  <c r="C106" i="2"/>
  <c r="AC103" i="7"/>
  <c r="D103" i="2"/>
  <c r="E103" i="2" s="1"/>
  <c r="U103" i="7"/>
  <c r="W103" i="7" s="1"/>
  <c r="S105" i="7" l="1"/>
  <c r="T105" i="7" s="1"/>
  <c r="AB107" i="7"/>
  <c r="C107" i="2"/>
  <c r="A109" i="7"/>
  <c r="B108" i="7"/>
  <c r="C108" i="7" s="1"/>
  <c r="J108" i="7"/>
  <c r="K108" i="7" s="1"/>
  <c r="A108" i="2"/>
  <c r="AA107" i="7"/>
  <c r="D107" i="7"/>
  <c r="B107" i="2"/>
  <c r="R106" i="7"/>
  <c r="O106" i="7"/>
  <c r="Q106" i="7"/>
  <c r="P106" i="7"/>
  <c r="H106" i="7"/>
  <c r="G106" i="7"/>
  <c r="F106" i="7"/>
  <c r="E106" i="7"/>
  <c r="I106" i="7" s="1"/>
  <c r="L106" i="7" s="1"/>
  <c r="M106" i="7" s="1"/>
  <c r="N106" i="7" s="1"/>
  <c r="R107" i="7" l="1"/>
  <c r="Q107" i="7"/>
  <c r="P107" i="7"/>
  <c r="O107" i="7"/>
  <c r="H107" i="7"/>
  <c r="G107" i="7"/>
  <c r="F107" i="7"/>
  <c r="E107" i="7"/>
  <c r="AA108" i="7"/>
  <c r="D108" i="7"/>
  <c r="B108" i="2"/>
  <c r="S106" i="7"/>
  <c r="T106" i="7" s="1"/>
  <c r="AB108" i="7"/>
  <c r="C108" i="2"/>
  <c r="B109" i="7"/>
  <c r="C109" i="7" s="1"/>
  <c r="J109" i="7"/>
  <c r="K109" i="7" s="1"/>
  <c r="A110" i="7"/>
  <c r="A109" i="2"/>
  <c r="AC105" i="7"/>
  <c r="D105" i="2"/>
  <c r="E105" i="2" s="1"/>
  <c r="U105" i="7"/>
  <c r="W105" i="7" s="1"/>
  <c r="I107" i="7" l="1"/>
  <c r="L107" i="7" s="1"/>
  <c r="M107" i="7" s="1"/>
  <c r="N107" i="7" s="1"/>
  <c r="S107" i="7"/>
  <c r="T107" i="7" s="1"/>
  <c r="AC107" i="7" s="1"/>
  <c r="D109" i="7"/>
  <c r="AA109" i="7"/>
  <c r="B109" i="2"/>
  <c r="AB109" i="7"/>
  <c r="C109" i="2"/>
  <c r="AC106" i="7"/>
  <c r="D106" i="2"/>
  <c r="E106" i="2" s="1"/>
  <c r="U106" i="7"/>
  <c r="W106" i="7" s="1"/>
  <c r="R108" i="7"/>
  <c r="Q108" i="7"/>
  <c r="P108" i="7"/>
  <c r="F108" i="7"/>
  <c r="E108" i="7"/>
  <c r="H108" i="7"/>
  <c r="G108" i="7"/>
  <c r="O108" i="7"/>
  <c r="S108" i="7" s="1"/>
  <c r="T108" i="7" s="1"/>
  <c r="J110" i="7"/>
  <c r="K110" i="7" s="1"/>
  <c r="A111" i="7"/>
  <c r="B110" i="7"/>
  <c r="C110" i="7" s="1"/>
  <c r="A110" i="2"/>
  <c r="D107" i="2" l="1"/>
  <c r="E107" i="2" s="1"/>
  <c r="U107" i="7"/>
  <c r="W107" i="7" s="1"/>
  <c r="I108" i="7"/>
  <c r="L108" i="7" s="1"/>
  <c r="M108" i="7" s="1"/>
  <c r="N108" i="7" s="1"/>
  <c r="AC108" i="7"/>
  <c r="D108" i="2"/>
  <c r="E108" i="2" s="1"/>
  <c r="U108" i="7"/>
  <c r="W108" i="7" s="1"/>
  <c r="AB110" i="7"/>
  <c r="C110" i="2"/>
  <c r="AA110" i="7"/>
  <c r="D110" i="7"/>
  <c r="B110" i="2"/>
  <c r="J111" i="7"/>
  <c r="K111" i="7" s="1"/>
  <c r="A112" i="7"/>
  <c r="B111" i="7"/>
  <c r="C111" i="7" s="1"/>
  <c r="A111" i="2"/>
  <c r="R109" i="7"/>
  <c r="Q109" i="7"/>
  <c r="P109" i="7"/>
  <c r="O109" i="7"/>
  <c r="S109" i="7" s="1"/>
  <c r="T109" i="7" s="1"/>
  <c r="F109" i="7"/>
  <c r="E109" i="7"/>
  <c r="H109" i="7"/>
  <c r="G109" i="7"/>
  <c r="AC109" i="7" l="1"/>
  <c r="D109" i="2"/>
  <c r="E109" i="2" s="1"/>
  <c r="U109" i="7"/>
  <c r="W109" i="7" s="1"/>
  <c r="A113" i="7"/>
  <c r="J112" i="7"/>
  <c r="K112" i="7" s="1"/>
  <c r="B112" i="7"/>
  <c r="C112" i="7" s="1"/>
  <c r="A112" i="2"/>
  <c r="I109" i="7"/>
  <c r="L109" i="7" s="1"/>
  <c r="M109" i="7" s="1"/>
  <c r="N109" i="7" s="1"/>
  <c r="AA111" i="7"/>
  <c r="D111" i="7"/>
  <c r="B111" i="2"/>
  <c r="R110" i="7"/>
  <c r="Q110" i="7"/>
  <c r="P110" i="7"/>
  <c r="O110" i="7"/>
  <c r="H110" i="7"/>
  <c r="G110" i="7"/>
  <c r="F110" i="7"/>
  <c r="E110" i="7"/>
  <c r="I110" i="7" s="1"/>
  <c r="L110" i="7" s="1"/>
  <c r="M110" i="7" s="1"/>
  <c r="N110" i="7" s="1"/>
  <c r="AB111" i="7"/>
  <c r="C111" i="2"/>
  <c r="S110" i="7" l="1"/>
  <c r="T110" i="7" s="1"/>
  <c r="R111" i="7"/>
  <c r="Q111" i="7"/>
  <c r="P111" i="7"/>
  <c r="O111" i="7"/>
  <c r="H111" i="7"/>
  <c r="G111" i="7"/>
  <c r="F111" i="7"/>
  <c r="E111" i="7"/>
  <c r="I111" i="7" s="1"/>
  <c r="L111" i="7" s="1"/>
  <c r="M111" i="7" s="1"/>
  <c r="N111" i="7" s="1"/>
  <c r="AA112" i="7"/>
  <c r="B112" i="2"/>
  <c r="D112" i="7"/>
  <c r="AB112" i="7"/>
  <c r="C112" i="2"/>
  <c r="B113" i="7"/>
  <c r="C113" i="7" s="1"/>
  <c r="A114" i="7"/>
  <c r="J113" i="7"/>
  <c r="K113" i="7" s="1"/>
  <c r="A113" i="2"/>
  <c r="AB113" i="7" l="1"/>
  <c r="C113" i="2"/>
  <c r="AA113" i="7"/>
  <c r="B113" i="2"/>
  <c r="D113" i="7"/>
  <c r="S111" i="7"/>
  <c r="T111" i="7" s="1"/>
  <c r="J114" i="7"/>
  <c r="K114" i="7" s="1"/>
  <c r="B114" i="7"/>
  <c r="C114" i="7" s="1"/>
  <c r="A115" i="7"/>
  <c r="A114" i="2"/>
  <c r="Q112" i="7"/>
  <c r="P112" i="7"/>
  <c r="O112" i="7"/>
  <c r="S112" i="7" s="1"/>
  <c r="T112" i="7" s="1"/>
  <c r="R112" i="7"/>
  <c r="G112" i="7"/>
  <c r="H112" i="7"/>
  <c r="E112" i="7"/>
  <c r="F112" i="7"/>
  <c r="AC110" i="7"/>
  <c r="D110" i="2"/>
  <c r="E110" i="2" s="1"/>
  <c r="U110" i="7"/>
  <c r="W110" i="7" s="1"/>
  <c r="AC112" i="7" l="1"/>
  <c r="D112" i="2"/>
  <c r="E112" i="2" s="1"/>
  <c r="U112" i="7"/>
  <c r="W112" i="7" s="1"/>
  <c r="C114" i="2"/>
  <c r="AB114" i="7"/>
  <c r="I112" i="7"/>
  <c r="L112" i="7" s="1"/>
  <c r="M112" i="7" s="1"/>
  <c r="N112" i="7" s="1"/>
  <c r="J115" i="7"/>
  <c r="K115" i="7" s="1"/>
  <c r="A116" i="7"/>
  <c r="B115" i="7"/>
  <c r="C115" i="7" s="1"/>
  <c r="A115" i="2"/>
  <c r="AC111" i="7"/>
  <c r="D111" i="2"/>
  <c r="E111" i="2" s="1"/>
  <c r="U111" i="7"/>
  <c r="W111" i="7" s="1"/>
  <c r="D114" i="7"/>
  <c r="B114" i="2"/>
  <c r="AA114" i="7"/>
  <c r="P113" i="7"/>
  <c r="O113" i="7"/>
  <c r="R113" i="7"/>
  <c r="Q113" i="7"/>
  <c r="H113" i="7"/>
  <c r="G113" i="7"/>
  <c r="F113" i="7"/>
  <c r="E113" i="7"/>
  <c r="AA115" i="7" l="1"/>
  <c r="D115" i="7"/>
  <c r="B115" i="2"/>
  <c r="J116" i="7"/>
  <c r="K116" i="7" s="1"/>
  <c r="B116" i="7"/>
  <c r="C116" i="7" s="1"/>
  <c r="A117" i="7"/>
  <c r="A116" i="2"/>
  <c r="AB115" i="7"/>
  <c r="C115" i="2"/>
  <c r="O114" i="7"/>
  <c r="G114" i="7"/>
  <c r="F114" i="7"/>
  <c r="E114" i="7"/>
  <c r="R114" i="7"/>
  <c r="Q114" i="7"/>
  <c r="P114" i="7"/>
  <c r="H114" i="7"/>
  <c r="I113" i="7"/>
  <c r="L113" i="7" s="1"/>
  <c r="M113" i="7" s="1"/>
  <c r="N113" i="7" s="1"/>
  <c r="S113" i="7"/>
  <c r="T113" i="7" s="1"/>
  <c r="I114" i="7" l="1"/>
  <c r="L114" i="7" s="1"/>
  <c r="M114" i="7" s="1"/>
  <c r="N114" i="7" s="1"/>
  <c r="S114" i="7"/>
  <c r="T114" i="7" s="1"/>
  <c r="AB116" i="7"/>
  <c r="C116" i="2"/>
  <c r="R115" i="7"/>
  <c r="Q115" i="7"/>
  <c r="P115" i="7"/>
  <c r="O115" i="7"/>
  <c r="H115" i="7"/>
  <c r="G115" i="7"/>
  <c r="F115" i="7"/>
  <c r="E115" i="7"/>
  <c r="AC113" i="7"/>
  <c r="D113" i="2"/>
  <c r="E113" i="2" s="1"/>
  <c r="U113" i="7"/>
  <c r="W113" i="7" s="1"/>
  <c r="J117" i="7"/>
  <c r="K117" i="7" s="1"/>
  <c r="A118" i="7"/>
  <c r="B117" i="7"/>
  <c r="C117" i="7" s="1"/>
  <c r="A117" i="2"/>
  <c r="AA116" i="7"/>
  <c r="D116" i="7"/>
  <c r="B116" i="2"/>
  <c r="I115" i="7" l="1"/>
  <c r="L115" i="7" s="1"/>
  <c r="M115" i="7" s="1"/>
  <c r="N115" i="7" s="1"/>
  <c r="AA117" i="7"/>
  <c r="D117" i="7"/>
  <c r="B117" i="2"/>
  <c r="AB117" i="7"/>
  <c r="C117" i="2"/>
  <c r="H116" i="7"/>
  <c r="R116" i="7"/>
  <c r="Q116" i="7"/>
  <c r="F116" i="7"/>
  <c r="E116" i="7"/>
  <c r="P116" i="7"/>
  <c r="O116" i="7"/>
  <c r="S116" i="7" s="1"/>
  <c r="T116" i="7" s="1"/>
  <c r="G116" i="7"/>
  <c r="J118" i="7"/>
  <c r="K118" i="7" s="1"/>
  <c r="B118" i="7"/>
  <c r="C118" i="7" s="1"/>
  <c r="A119" i="7"/>
  <c r="A118" i="2"/>
  <c r="S115" i="7"/>
  <c r="T115" i="7" s="1"/>
  <c r="D114" i="2"/>
  <c r="E114" i="2" s="1"/>
  <c r="AC114" i="7"/>
  <c r="U114" i="7"/>
  <c r="W114" i="7" s="1"/>
  <c r="D118" i="7" l="1"/>
  <c r="AA118" i="7"/>
  <c r="B118" i="2"/>
  <c r="J119" i="7"/>
  <c r="K119" i="7" s="1"/>
  <c r="B119" i="7"/>
  <c r="C119" i="7" s="1"/>
  <c r="A119" i="2"/>
  <c r="A120" i="7"/>
  <c r="AC115" i="7"/>
  <c r="D115" i="2"/>
  <c r="E115" i="2" s="1"/>
  <c r="U115" i="7"/>
  <c r="W115" i="7" s="1"/>
  <c r="AC116" i="7"/>
  <c r="D116" i="2"/>
  <c r="E116" i="2" s="1"/>
  <c r="U116" i="7"/>
  <c r="W116" i="7" s="1"/>
  <c r="I116" i="7"/>
  <c r="L116" i="7" s="1"/>
  <c r="M116" i="7" s="1"/>
  <c r="N116" i="7" s="1"/>
  <c r="H117" i="7"/>
  <c r="G117" i="7"/>
  <c r="R117" i="7"/>
  <c r="P117" i="7"/>
  <c r="O117" i="7"/>
  <c r="F117" i="7"/>
  <c r="E117" i="7"/>
  <c r="I117" i="7" s="1"/>
  <c r="L117" i="7" s="1"/>
  <c r="M117" i="7" s="1"/>
  <c r="N117" i="7" s="1"/>
  <c r="Q117" i="7"/>
  <c r="AB118" i="7"/>
  <c r="C118" i="2"/>
  <c r="A121" i="7" l="1"/>
  <c r="J120" i="7"/>
  <c r="K120" i="7" s="1"/>
  <c r="B120" i="7"/>
  <c r="C120" i="7" s="1"/>
  <c r="A120" i="2"/>
  <c r="S117" i="7"/>
  <c r="T117" i="7" s="1"/>
  <c r="D119" i="7"/>
  <c r="AA119" i="7"/>
  <c r="B119" i="2"/>
  <c r="AB119" i="7"/>
  <c r="C119" i="2"/>
  <c r="H118" i="7"/>
  <c r="G118" i="7"/>
  <c r="F118" i="7"/>
  <c r="E118" i="7"/>
  <c r="I118" i="7" s="1"/>
  <c r="L118" i="7" s="1"/>
  <c r="M118" i="7" s="1"/>
  <c r="N118" i="7" s="1"/>
  <c r="P118" i="7"/>
  <c r="O118" i="7"/>
  <c r="R118" i="7"/>
  <c r="Q118" i="7"/>
  <c r="H119" i="7" l="1"/>
  <c r="G119" i="7"/>
  <c r="F119" i="7"/>
  <c r="E119" i="7"/>
  <c r="I119" i="7" s="1"/>
  <c r="L119" i="7" s="1"/>
  <c r="M119" i="7" s="1"/>
  <c r="N119" i="7" s="1"/>
  <c r="R119" i="7"/>
  <c r="Q119" i="7"/>
  <c r="P119" i="7"/>
  <c r="O119" i="7"/>
  <c r="S119" i="7" s="1"/>
  <c r="T119" i="7" s="1"/>
  <c r="S118" i="7"/>
  <c r="T118" i="7" s="1"/>
  <c r="D120" i="7"/>
  <c r="AA120" i="7"/>
  <c r="B120" i="2"/>
  <c r="AC117" i="7"/>
  <c r="D117" i="2"/>
  <c r="E117" i="2" s="1"/>
  <c r="U117" i="7"/>
  <c r="W117" i="7" s="1"/>
  <c r="AB120" i="7"/>
  <c r="C120" i="2"/>
  <c r="A122" i="7"/>
  <c r="J121" i="7"/>
  <c r="K121" i="7" s="1"/>
  <c r="B121" i="7"/>
  <c r="C121" i="7" s="1"/>
  <c r="A121" i="2"/>
  <c r="D121" i="7" l="1"/>
  <c r="AA121" i="7"/>
  <c r="B121" i="2"/>
  <c r="D119" i="2"/>
  <c r="E119" i="2" s="1"/>
  <c r="AC119" i="7"/>
  <c r="U119" i="7"/>
  <c r="W119" i="7" s="1"/>
  <c r="AC118" i="7"/>
  <c r="D118" i="2"/>
  <c r="E118" i="2" s="1"/>
  <c r="U118" i="7"/>
  <c r="W118" i="7" s="1"/>
  <c r="AB121" i="7"/>
  <c r="C121" i="2"/>
  <c r="A123" i="7"/>
  <c r="B122" i="7"/>
  <c r="C122" i="7" s="1"/>
  <c r="J122" i="7"/>
  <c r="K122" i="7" s="1"/>
  <c r="A122" i="2"/>
  <c r="H120" i="7"/>
  <c r="G120" i="7"/>
  <c r="F120" i="7"/>
  <c r="E120" i="7"/>
  <c r="R120" i="7"/>
  <c r="Q120" i="7"/>
  <c r="P120" i="7"/>
  <c r="O120" i="7"/>
  <c r="S120" i="7" l="1"/>
  <c r="T120" i="7" s="1"/>
  <c r="D122" i="7"/>
  <c r="AA122" i="7"/>
  <c r="B122" i="2"/>
  <c r="A124" i="7"/>
  <c r="B123" i="7"/>
  <c r="C123" i="7" s="1"/>
  <c r="J123" i="7"/>
  <c r="K123" i="7" s="1"/>
  <c r="A123" i="2"/>
  <c r="I120" i="7"/>
  <c r="L120" i="7" s="1"/>
  <c r="M120" i="7" s="1"/>
  <c r="N120" i="7" s="1"/>
  <c r="AB122" i="7"/>
  <c r="C122" i="2"/>
  <c r="H121" i="7"/>
  <c r="G121" i="7"/>
  <c r="F121" i="7"/>
  <c r="E121" i="7"/>
  <c r="I121" i="7" s="1"/>
  <c r="L121" i="7" s="1"/>
  <c r="M121" i="7" s="1"/>
  <c r="N121" i="7" s="1"/>
  <c r="R121" i="7"/>
  <c r="Q121" i="7"/>
  <c r="P121" i="7"/>
  <c r="O121" i="7"/>
  <c r="S121" i="7" l="1"/>
  <c r="T121" i="7" s="1"/>
  <c r="A125" i="7"/>
  <c r="B124" i="7"/>
  <c r="C124" i="7" s="1"/>
  <c r="J124" i="7"/>
  <c r="K124" i="7" s="1"/>
  <c r="A124" i="2"/>
  <c r="AB123" i="7"/>
  <c r="C123" i="2"/>
  <c r="D123" i="7"/>
  <c r="AA123" i="7"/>
  <c r="B123" i="2"/>
  <c r="G122" i="7"/>
  <c r="F122" i="7"/>
  <c r="E122" i="7"/>
  <c r="O122" i="7"/>
  <c r="H122" i="7"/>
  <c r="R122" i="7"/>
  <c r="Q122" i="7"/>
  <c r="P122" i="7"/>
  <c r="AC120" i="7"/>
  <c r="D120" i="2"/>
  <c r="E120" i="2" s="1"/>
  <c r="U120" i="7"/>
  <c r="W120" i="7" s="1"/>
  <c r="I122" i="7" l="1"/>
  <c r="L122" i="7" s="1"/>
  <c r="M122" i="7" s="1"/>
  <c r="N122" i="7" s="1"/>
  <c r="S122" i="7"/>
  <c r="T122" i="7" s="1"/>
  <c r="AB124" i="7"/>
  <c r="C124" i="2"/>
  <c r="F123" i="7"/>
  <c r="E123" i="7"/>
  <c r="H123" i="7"/>
  <c r="G123" i="7"/>
  <c r="Q123" i="7"/>
  <c r="P123" i="7"/>
  <c r="O123" i="7"/>
  <c r="S123" i="7" s="1"/>
  <c r="T123" i="7" s="1"/>
  <c r="R123" i="7"/>
  <c r="D124" i="7"/>
  <c r="AA124" i="7"/>
  <c r="B124" i="2"/>
  <c r="A126" i="7"/>
  <c r="B125" i="7"/>
  <c r="C125" i="7" s="1"/>
  <c r="J125" i="7"/>
  <c r="K125" i="7" s="1"/>
  <c r="A125" i="2"/>
  <c r="AC121" i="7"/>
  <c r="D121" i="2"/>
  <c r="E121" i="2" s="1"/>
  <c r="U121" i="7"/>
  <c r="W121" i="7" s="1"/>
  <c r="D125" i="7" l="1"/>
  <c r="AA125" i="7"/>
  <c r="B125" i="2"/>
  <c r="A127" i="7"/>
  <c r="B126" i="7"/>
  <c r="C126" i="7" s="1"/>
  <c r="J126" i="7"/>
  <c r="K126" i="7" s="1"/>
  <c r="A126" i="2"/>
  <c r="AB125" i="7"/>
  <c r="C125" i="2"/>
  <c r="E124" i="7"/>
  <c r="O124" i="7"/>
  <c r="F124" i="7"/>
  <c r="R124" i="7"/>
  <c r="Q124" i="7"/>
  <c r="P124" i="7"/>
  <c r="H124" i="7"/>
  <c r="G124" i="7"/>
  <c r="AC123" i="7"/>
  <c r="D123" i="2"/>
  <c r="E123" i="2" s="1"/>
  <c r="U123" i="7"/>
  <c r="W123" i="7" s="1"/>
  <c r="I123" i="7"/>
  <c r="L123" i="7" s="1"/>
  <c r="M123" i="7" s="1"/>
  <c r="N123" i="7" s="1"/>
  <c r="AC122" i="7"/>
  <c r="D122" i="2"/>
  <c r="E122" i="2" s="1"/>
  <c r="U122" i="7"/>
  <c r="W122" i="7" s="1"/>
  <c r="S124" i="7" l="1"/>
  <c r="T124" i="7" s="1"/>
  <c r="AC124" i="7" s="1"/>
  <c r="I124" i="7"/>
  <c r="L124" i="7" s="1"/>
  <c r="M124" i="7" s="1"/>
  <c r="N124" i="7" s="1"/>
  <c r="AB126" i="7"/>
  <c r="C126" i="2"/>
  <c r="A128" i="7"/>
  <c r="B127" i="7"/>
  <c r="C127" i="7" s="1"/>
  <c r="J127" i="7"/>
  <c r="K127" i="7" s="1"/>
  <c r="A127" i="2"/>
  <c r="AA126" i="7"/>
  <c r="D126" i="7"/>
  <c r="B126" i="2"/>
  <c r="R125" i="7"/>
  <c r="Q125" i="7"/>
  <c r="P125" i="7"/>
  <c r="O125" i="7"/>
  <c r="H125" i="7"/>
  <c r="G125" i="7"/>
  <c r="F125" i="7"/>
  <c r="E125" i="7"/>
  <c r="U124" i="7" l="1"/>
  <c r="W124" i="7" s="1"/>
  <c r="D124" i="2"/>
  <c r="E124" i="2" s="1"/>
  <c r="I125" i="7"/>
  <c r="L125" i="7" s="1"/>
  <c r="M125" i="7" s="1"/>
  <c r="N125" i="7" s="1"/>
  <c r="S125" i="7"/>
  <c r="T125" i="7" s="1"/>
  <c r="R126" i="7"/>
  <c r="Q126" i="7"/>
  <c r="P126" i="7"/>
  <c r="H126" i="7"/>
  <c r="G126" i="7"/>
  <c r="F126" i="7"/>
  <c r="O126" i="7"/>
  <c r="S126" i="7" s="1"/>
  <c r="T126" i="7" s="1"/>
  <c r="E126" i="7"/>
  <c r="AA127" i="7"/>
  <c r="D127" i="7"/>
  <c r="B127" i="2"/>
  <c r="AB127" i="7"/>
  <c r="C127" i="2"/>
  <c r="J128" i="7"/>
  <c r="K128" i="7" s="1"/>
  <c r="A129" i="7"/>
  <c r="B128" i="7"/>
  <c r="C128" i="7" s="1"/>
  <c r="A128" i="2"/>
  <c r="AC126" i="7" l="1"/>
  <c r="D126" i="2"/>
  <c r="E126" i="2" s="1"/>
  <c r="U126" i="7"/>
  <c r="W126" i="7" s="1"/>
  <c r="AB128" i="7"/>
  <c r="C128" i="2"/>
  <c r="AA128" i="7"/>
  <c r="D128" i="7"/>
  <c r="B128" i="2"/>
  <c r="J129" i="7"/>
  <c r="K129" i="7" s="1"/>
  <c r="B129" i="7"/>
  <c r="C129" i="7" s="1"/>
  <c r="A129" i="2"/>
  <c r="A130" i="7"/>
  <c r="F127" i="7"/>
  <c r="E127" i="7"/>
  <c r="H127" i="7"/>
  <c r="G127" i="7"/>
  <c r="R127" i="7"/>
  <c r="Q127" i="7"/>
  <c r="P127" i="7"/>
  <c r="O127" i="7"/>
  <c r="S127" i="7" s="1"/>
  <c r="T127" i="7" s="1"/>
  <c r="I126" i="7"/>
  <c r="L126" i="7" s="1"/>
  <c r="M126" i="7" s="1"/>
  <c r="N126" i="7" s="1"/>
  <c r="AC125" i="7"/>
  <c r="D125" i="2"/>
  <c r="E125" i="2" s="1"/>
  <c r="U125" i="7"/>
  <c r="W125" i="7" s="1"/>
  <c r="I127" i="7" l="1"/>
  <c r="L127" i="7" s="1"/>
  <c r="M127" i="7" s="1"/>
  <c r="N127" i="7" s="1"/>
  <c r="AA129" i="7"/>
  <c r="D129" i="7"/>
  <c r="B129" i="2"/>
  <c r="AC127" i="7"/>
  <c r="D127" i="2"/>
  <c r="E127" i="2" s="1"/>
  <c r="U127" i="7"/>
  <c r="W127" i="7" s="1"/>
  <c r="A131" i="7"/>
  <c r="J130" i="7"/>
  <c r="K130" i="7" s="1"/>
  <c r="A130" i="2"/>
  <c r="B130" i="7"/>
  <c r="C130" i="7" s="1"/>
  <c r="H128" i="7"/>
  <c r="G128" i="7"/>
  <c r="F128" i="7"/>
  <c r="E128" i="7"/>
  <c r="I128" i="7" s="1"/>
  <c r="L128" i="7" s="1"/>
  <c r="M128" i="7" s="1"/>
  <c r="N128" i="7" s="1"/>
  <c r="R128" i="7"/>
  <c r="Q128" i="7"/>
  <c r="P128" i="7"/>
  <c r="O128" i="7"/>
  <c r="S128" i="7" s="1"/>
  <c r="T128" i="7" s="1"/>
  <c r="AB129" i="7"/>
  <c r="C129" i="2"/>
  <c r="AC128" i="7" l="1"/>
  <c r="D128" i="2"/>
  <c r="E128" i="2" s="1"/>
  <c r="U128" i="7"/>
  <c r="W128" i="7" s="1"/>
  <c r="AA130" i="7"/>
  <c r="B130" i="2"/>
  <c r="D130" i="7"/>
  <c r="B131" i="7"/>
  <c r="C131" i="7" s="1"/>
  <c r="A132" i="7"/>
  <c r="J131" i="7"/>
  <c r="K131" i="7" s="1"/>
  <c r="A131" i="2"/>
  <c r="AB130" i="7"/>
  <c r="C130" i="2"/>
  <c r="P129" i="7"/>
  <c r="O129" i="7"/>
  <c r="H129" i="7"/>
  <c r="G129" i="7"/>
  <c r="F129" i="7"/>
  <c r="E129" i="7"/>
  <c r="I129" i="7" s="1"/>
  <c r="L129" i="7" s="1"/>
  <c r="M129" i="7" s="1"/>
  <c r="N129" i="7" s="1"/>
  <c r="Q129" i="7"/>
  <c r="R129" i="7"/>
  <c r="AB131" i="7" l="1"/>
  <c r="C131" i="2"/>
  <c r="AA131" i="7"/>
  <c r="D131" i="7"/>
  <c r="B131" i="2"/>
  <c r="S129" i="7"/>
  <c r="T129" i="7" s="1"/>
  <c r="B132" i="7"/>
  <c r="C132" i="7" s="1"/>
  <c r="J132" i="7"/>
  <c r="K132" i="7" s="1"/>
  <c r="A132" i="2"/>
  <c r="A133" i="7"/>
  <c r="R130" i="7"/>
  <c r="Q130" i="7"/>
  <c r="P130" i="7"/>
  <c r="O130" i="7"/>
  <c r="S130" i="7" s="1"/>
  <c r="T130" i="7" s="1"/>
  <c r="H130" i="7"/>
  <c r="G130" i="7"/>
  <c r="F130" i="7"/>
  <c r="E130" i="7"/>
  <c r="I130" i="7" s="1"/>
  <c r="L130" i="7" s="1"/>
  <c r="M130" i="7" s="1"/>
  <c r="N130" i="7" s="1"/>
  <c r="AB132" i="7" l="1"/>
  <c r="C132" i="2"/>
  <c r="J133" i="7"/>
  <c r="K133" i="7" s="1"/>
  <c r="A134" i="7"/>
  <c r="B133" i="7"/>
  <c r="C133" i="7" s="1"/>
  <c r="A133" i="2"/>
  <c r="D129" i="2"/>
  <c r="E129" i="2" s="1"/>
  <c r="AC129" i="7"/>
  <c r="U129" i="7"/>
  <c r="W129" i="7" s="1"/>
  <c r="AC130" i="7"/>
  <c r="D130" i="2"/>
  <c r="E130" i="2" s="1"/>
  <c r="U130" i="7"/>
  <c r="W130" i="7" s="1"/>
  <c r="D132" i="7"/>
  <c r="AA132" i="7"/>
  <c r="B132" i="2"/>
  <c r="R131" i="7"/>
  <c r="Q131" i="7"/>
  <c r="O131" i="7"/>
  <c r="H131" i="7"/>
  <c r="P131" i="7"/>
  <c r="G131" i="7"/>
  <c r="F131" i="7"/>
  <c r="E131" i="7"/>
  <c r="AA133" i="7" l="1"/>
  <c r="D133" i="7"/>
  <c r="B133" i="2"/>
  <c r="B134" i="7"/>
  <c r="C134" i="7" s="1"/>
  <c r="J134" i="7"/>
  <c r="K134" i="7" s="1"/>
  <c r="A135" i="7"/>
  <c r="A134" i="2"/>
  <c r="AB133" i="7"/>
  <c r="C133" i="2"/>
  <c r="I131" i="7"/>
  <c r="L131" i="7" s="1"/>
  <c r="M131" i="7" s="1"/>
  <c r="N131" i="7" s="1"/>
  <c r="S131" i="7"/>
  <c r="T131" i="7" s="1"/>
  <c r="R132" i="7"/>
  <c r="Q132" i="7"/>
  <c r="P132" i="7"/>
  <c r="G132" i="7"/>
  <c r="F132" i="7"/>
  <c r="E132" i="7"/>
  <c r="O132" i="7"/>
  <c r="S132" i="7" s="1"/>
  <c r="T132" i="7" s="1"/>
  <c r="H132" i="7"/>
  <c r="I132" i="7" l="1"/>
  <c r="L132" i="7" s="1"/>
  <c r="M132" i="7" s="1"/>
  <c r="N132" i="7" s="1"/>
  <c r="AC132" i="7"/>
  <c r="D132" i="2"/>
  <c r="E132" i="2" s="1"/>
  <c r="U132" i="7"/>
  <c r="W132" i="7" s="1"/>
  <c r="AC131" i="7"/>
  <c r="D131" i="2"/>
  <c r="E131" i="2" s="1"/>
  <c r="U131" i="7"/>
  <c r="W131" i="7" s="1"/>
  <c r="AB134" i="7"/>
  <c r="C134" i="2"/>
  <c r="A136" i="7"/>
  <c r="J135" i="7"/>
  <c r="K135" i="7" s="1"/>
  <c r="A135" i="2"/>
  <c r="B135" i="7"/>
  <c r="C135" i="7" s="1"/>
  <c r="AA134" i="7"/>
  <c r="D134" i="7"/>
  <c r="B134" i="2"/>
  <c r="R133" i="7"/>
  <c r="Q133" i="7"/>
  <c r="P133" i="7"/>
  <c r="O133" i="7"/>
  <c r="H133" i="7"/>
  <c r="G133" i="7"/>
  <c r="F133" i="7"/>
  <c r="E133" i="7"/>
  <c r="AB135" i="7" l="1"/>
  <c r="C135" i="2"/>
  <c r="R134" i="7"/>
  <c r="Q134" i="7"/>
  <c r="P134" i="7"/>
  <c r="O134" i="7"/>
  <c r="H134" i="7"/>
  <c r="G134" i="7"/>
  <c r="F134" i="7"/>
  <c r="E134" i="7"/>
  <c r="S133" i="7"/>
  <c r="T133" i="7" s="1"/>
  <c r="I133" i="7"/>
  <c r="L133" i="7" s="1"/>
  <c r="M133" i="7" s="1"/>
  <c r="N133" i="7" s="1"/>
  <c r="AA135" i="7"/>
  <c r="B135" i="2"/>
  <c r="D135" i="7"/>
  <c r="B136" i="7"/>
  <c r="C136" i="7" s="1"/>
  <c r="J136" i="7"/>
  <c r="K136" i="7" s="1"/>
  <c r="A136" i="2"/>
  <c r="A137" i="7"/>
  <c r="C136" i="2" l="1"/>
  <c r="AB136" i="7"/>
  <c r="R135" i="7"/>
  <c r="Q135" i="7"/>
  <c r="P135" i="7"/>
  <c r="O135" i="7"/>
  <c r="S135" i="7" s="1"/>
  <c r="T135" i="7" s="1"/>
  <c r="H135" i="7"/>
  <c r="G135" i="7"/>
  <c r="E135" i="7"/>
  <c r="I135" i="7" s="1"/>
  <c r="L135" i="7" s="1"/>
  <c r="M135" i="7" s="1"/>
  <c r="N135" i="7" s="1"/>
  <c r="F135" i="7"/>
  <c r="S134" i="7"/>
  <c r="T134" i="7" s="1"/>
  <c r="B137" i="7"/>
  <c r="C137" i="7" s="1"/>
  <c r="A138" i="7"/>
  <c r="A137" i="2"/>
  <c r="J137" i="7"/>
  <c r="K137" i="7" s="1"/>
  <c r="D136" i="7"/>
  <c r="AA136" i="7"/>
  <c r="B136" i="2"/>
  <c r="AC133" i="7"/>
  <c r="D133" i="2"/>
  <c r="E133" i="2" s="1"/>
  <c r="U133" i="7"/>
  <c r="W133" i="7" s="1"/>
  <c r="I134" i="7"/>
  <c r="L134" i="7" s="1"/>
  <c r="M134" i="7" s="1"/>
  <c r="N134" i="7" s="1"/>
  <c r="D137" i="7" l="1"/>
  <c r="AA137" i="7"/>
  <c r="B137" i="2"/>
  <c r="AB137" i="7"/>
  <c r="C137" i="2"/>
  <c r="J138" i="7"/>
  <c r="K138" i="7" s="1"/>
  <c r="A139" i="7"/>
  <c r="B138" i="7"/>
  <c r="C138" i="7" s="1"/>
  <c r="A138" i="2"/>
  <c r="AC135" i="7"/>
  <c r="D135" i="2"/>
  <c r="E135" i="2" s="1"/>
  <c r="U135" i="7"/>
  <c r="W135" i="7" s="1"/>
  <c r="D134" i="2"/>
  <c r="E134" i="2" s="1"/>
  <c r="AC134" i="7"/>
  <c r="U134" i="7"/>
  <c r="W134" i="7" s="1"/>
  <c r="Q136" i="7"/>
  <c r="P136" i="7"/>
  <c r="O136" i="7"/>
  <c r="H136" i="7"/>
  <c r="G136" i="7"/>
  <c r="F136" i="7"/>
  <c r="E136" i="7"/>
  <c r="R136" i="7"/>
  <c r="J139" i="7" l="1"/>
  <c r="K139" i="7" s="1"/>
  <c r="A140" i="7"/>
  <c r="B139" i="7"/>
  <c r="C139" i="7" s="1"/>
  <c r="A139" i="2"/>
  <c r="AB138" i="7"/>
  <c r="C138" i="2"/>
  <c r="S136" i="7"/>
  <c r="T136" i="7" s="1"/>
  <c r="AA138" i="7"/>
  <c r="D138" i="7"/>
  <c r="B138" i="2"/>
  <c r="I136" i="7"/>
  <c r="L136" i="7" s="1"/>
  <c r="M136" i="7" s="1"/>
  <c r="N136" i="7" s="1"/>
  <c r="P137" i="7"/>
  <c r="O137" i="7"/>
  <c r="H137" i="7"/>
  <c r="G137" i="7"/>
  <c r="F137" i="7"/>
  <c r="E137" i="7"/>
  <c r="I137" i="7" s="1"/>
  <c r="L137" i="7" s="1"/>
  <c r="M137" i="7" s="1"/>
  <c r="N137" i="7" s="1"/>
  <c r="R137" i="7"/>
  <c r="Q137" i="7"/>
  <c r="S137" i="7" l="1"/>
  <c r="T137" i="7" s="1"/>
  <c r="D136" i="2"/>
  <c r="E136" i="2" s="1"/>
  <c r="AC136" i="7"/>
  <c r="U136" i="7"/>
  <c r="W136" i="7" s="1"/>
  <c r="O138" i="7"/>
  <c r="R138" i="7"/>
  <c r="Q138" i="7"/>
  <c r="P138" i="7"/>
  <c r="H138" i="7"/>
  <c r="G138" i="7"/>
  <c r="F138" i="7"/>
  <c r="E138" i="7"/>
  <c r="I138" i="7" s="1"/>
  <c r="L138" i="7" s="1"/>
  <c r="M138" i="7" s="1"/>
  <c r="N138" i="7" s="1"/>
  <c r="J140" i="7"/>
  <c r="K140" i="7" s="1"/>
  <c r="A141" i="7"/>
  <c r="B140" i="7"/>
  <c r="C140" i="7" s="1"/>
  <c r="A140" i="2"/>
  <c r="AA139" i="7"/>
  <c r="D139" i="7"/>
  <c r="B139" i="2"/>
  <c r="AB139" i="7"/>
  <c r="C139" i="2"/>
  <c r="S138" i="7" l="1"/>
  <c r="T138" i="7" s="1"/>
  <c r="AB140" i="7"/>
  <c r="C140" i="2"/>
  <c r="AA140" i="7"/>
  <c r="D140" i="7"/>
  <c r="B140" i="2"/>
  <c r="J141" i="7"/>
  <c r="K141" i="7" s="1"/>
  <c r="B141" i="7"/>
  <c r="C141" i="7" s="1"/>
  <c r="A141" i="2"/>
  <c r="A142" i="7"/>
  <c r="R139" i="7"/>
  <c r="Q139" i="7"/>
  <c r="P139" i="7"/>
  <c r="O139" i="7"/>
  <c r="S139" i="7" s="1"/>
  <c r="T139" i="7" s="1"/>
  <c r="H139" i="7"/>
  <c r="G139" i="7"/>
  <c r="E139" i="7"/>
  <c r="I139" i="7" s="1"/>
  <c r="L139" i="7" s="1"/>
  <c r="M139" i="7" s="1"/>
  <c r="N139" i="7" s="1"/>
  <c r="F139" i="7"/>
  <c r="AC138" i="7"/>
  <c r="D138" i="2"/>
  <c r="E138" i="2" s="1"/>
  <c r="U138" i="7"/>
  <c r="W138" i="7" s="1"/>
  <c r="AC137" i="7"/>
  <c r="D137" i="2"/>
  <c r="E137" i="2" s="1"/>
  <c r="U137" i="7"/>
  <c r="W137" i="7" s="1"/>
  <c r="AC139" i="7" l="1"/>
  <c r="D139" i="2"/>
  <c r="E139" i="2" s="1"/>
  <c r="U139" i="7"/>
  <c r="W139" i="7" s="1"/>
  <c r="J142" i="7"/>
  <c r="K142" i="7" s="1"/>
  <c r="A143" i="7"/>
  <c r="A142" i="2"/>
  <c r="B142" i="7"/>
  <c r="C142" i="7" s="1"/>
  <c r="H140" i="7"/>
  <c r="G140" i="7"/>
  <c r="F140" i="7"/>
  <c r="E140" i="7"/>
  <c r="R140" i="7"/>
  <c r="Q140" i="7"/>
  <c r="P140" i="7"/>
  <c r="O140" i="7"/>
  <c r="D141" i="7"/>
  <c r="AA141" i="7"/>
  <c r="B141" i="2"/>
  <c r="AB141" i="7"/>
  <c r="C141" i="2"/>
  <c r="I140" i="7" l="1"/>
  <c r="L140" i="7" s="1"/>
  <c r="M140" i="7" s="1"/>
  <c r="N140" i="7" s="1"/>
  <c r="S140" i="7"/>
  <c r="T140" i="7" s="1"/>
  <c r="H141" i="7"/>
  <c r="G141" i="7"/>
  <c r="R141" i="7"/>
  <c r="Q141" i="7"/>
  <c r="P141" i="7"/>
  <c r="O141" i="7"/>
  <c r="S141" i="7" s="1"/>
  <c r="T141" i="7" s="1"/>
  <c r="F141" i="7"/>
  <c r="E141" i="7"/>
  <c r="I141" i="7" s="1"/>
  <c r="L141" i="7" s="1"/>
  <c r="M141" i="7" s="1"/>
  <c r="N141" i="7" s="1"/>
  <c r="AC140" i="7"/>
  <c r="D140" i="2"/>
  <c r="E140" i="2" s="1"/>
  <c r="U140" i="7"/>
  <c r="W140" i="7" s="1"/>
  <c r="D142" i="7"/>
  <c r="AA142" i="7"/>
  <c r="B142" i="2"/>
  <c r="J143" i="7"/>
  <c r="K143" i="7" s="1"/>
  <c r="B143" i="7"/>
  <c r="C143" i="7" s="1"/>
  <c r="A144" i="7"/>
  <c r="A143" i="2"/>
  <c r="AB142" i="7"/>
  <c r="C142" i="2"/>
  <c r="A145" i="7" l="1"/>
  <c r="J144" i="7"/>
  <c r="K144" i="7" s="1"/>
  <c r="B144" i="7"/>
  <c r="C144" i="7" s="1"/>
  <c r="A144" i="2"/>
  <c r="D143" i="7"/>
  <c r="AA143" i="7"/>
  <c r="B143" i="2"/>
  <c r="H142" i="7"/>
  <c r="G142" i="7"/>
  <c r="F142" i="7"/>
  <c r="O142" i="7"/>
  <c r="E142" i="7"/>
  <c r="I142" i="7" s="1"/>
  <c r="L142" i="7" s="1"/>
  <c r="M142" i="7" s="1"/>
  <c r="N142" i="7" s="1"/>
  <c r="Q142" i="7"/>
  <c r="R142" i="7"/>
  <c r="P142" i="7"/>
  <c r="AB143" i="7"/>
  <c r="C143" i="2"/>
  <c r="AC141" i="7"/>
  <c r="D141" i="2"/>
  <c r="E141" i="2" s="1"/>
  <c r="U141" i="7"/>
  <c r="W141" i="7" s="1"/>
  <c r="AB144" i="7" l="1"/>
  <c r="C144" i="2"/>
  <c r="D144" i="7"/>
  <c r="AA144" i="7"/>
  <c r="B144" i="2"/>
  <c r="A146" i="7"/>
  <c r="J145" i="7"/>
  <c r="K145" i="7" s="1"/>
  <c r="B145" i="7"/>
  <c r="C145" i="7" s="1"/>
  <c r="A145" i="2"/>
  <c r="S142" i="7"/>
  <c r="T142" i="7" s="1"/>
  <c r="H143" i="7"/>
  <c r="G143" i="7"/>
  <c r="F143" i="7"/>
  <c r="E143" i="7"/>
  <c r="I143" i="7" s="1"/>
  <c r="L143" i="7" s="1"/>
  <c r="M143" i="7" s="1"/>
  <c r="N143" i="7" s="1"/>
  <c r="R143" i="7"/>
  <c r="Q143" i="7"/>
  <c r="P143" i="7"/>
  <c r="O143" i="7"/>
  <c r="S143" i="7" s="1"/>
  <c r="T143" i="7" s="1"/>
  <c r="D145" i="7" l="1"/>
  <c r="AA145" i="7"/>
  <c r="B145" i="2"/>
  <c r="AB145" i="7"/>
  <c r="C145" i="2"/>
  <c r="AC143" i="7"/>
  <c r="D143" i="2"/>
  <c r="E143" i="2" s="1"/>
  <c r="U143" i="7"/>
  <c r="W143" i="7" s="1"/>
  <c r="AC142" i="7"/>
  <c r="D142" i="2"/>
  <c r="E142" i="2" s="1"/>
  <c r="U142" i="7"/>
  <c r="W142" i="7" s="1"/>
  <c r="A147" i="7"/>
  <c r="B146" i="7"/>
  <c r="C146" i="7" s="1"/>
  <c r="J146" i="7"/>
  <c r="K146" i="7" s="1"/>
  <c r="A146" i="2"/>
  <c r="H144" i="7"/>
  <c r="G144" i="7"/>
  <c r="F144" i="7"/>
  <c r="E144" i="7"/>
  <c r="I144" i="7" s="1"/>
  <c r="L144" i="7" s="1"/>
  <c r="M144" i="7" s="1"/>
  <c r="N144" i="7" s="1"/>
  <c r="R144" i="7"/>
  <c r="Q144" i="7"/>
  <c r="P144" i="7"/>
  <c r="O144" i="7"/>
  <c r="AB146" i="7" l="1"/>
  <c r="C146" i="2"/>
  <c r="D146" i="7"/>
  <c r="AA146" i="7"/>
  <c r="B146" i="2"/>
  <c r="A148" i="7"/>
  <c r="B147" i="7"/>
  <c r="C147" i="7" s="1"/>
  <c r="J147" i="7"/>
  <c r="K147" i="7" s="1"/>
  <c r="A147" i="2"/>
  <c r="S144" i="7"/>
  <c r="T144" i="7" s="1"/>
  <c r="H145" i="7"/>
  <c r="G145" i="7"/>
  <c r="F145" i="7"/>
  <c r="E145" i="7"/>
  <c r="I145" i="7" s="1"/>
  <c r="L145" i="7" s="1"/>
  <c r="M145" i="7" s="1"/>
  <c r="N145" i="7" s="1"/>
  <c r="P145" i="7"/>
  <c r="O145" i="7"/>
  <c r="R145" i="7"/>
  <c r="Q145" i="7"/>
  <c r="AB147" i="7" l="1"/>
  <c r="C147" i="2"/>
  <c r="G146" i="7"/>
  <c r="F146" i="7"/>
  <c r="E146" i="7"/>
  <c r="H146" i="7"/>
  <c r="R146" i="7"/>
  <c r="Q146" i="7"/>
  <c r="P146" i="7"/>
  <c r="O146" i="7"/>
  <c r="S146" i="7" s="1"/>
  <c r="T146" i="7" s="1"/>
  <c r="S145" i="7"/>
  <c r="T145" i="7" s="1"/>
  <c r="AC144" i="7"/>
  <c r="D144" i="2"/>
  <c r="E144" i="2" s="1"/>
  <c r="U144" i="7"/>
  <c r="W144" i="7" s="1"/>
  <c r="D147" i="7"/>
  <c r="AA147" i="7"/>
  <c r="B147" i="2"/>
  <c r="A149" i="7"/>
  <c r="B148" i="7"/>
  <c r="C148" i="7" s="1"/>
  <c r="J148" i="7"/>
  <c r="K148" i="7" s="1"/>
  <c r="A148" i="2"/>
  <c r="I146" i="7" l="1"/>
  <c r="L146" i="7" s="1"/>
  <c r="M146" i="7" s="1"/>
  <c r="N146" i="7" s="1"/>
  <c r="AB148" i="7"/>
  <c r="C148" i="2"/>
  <c r="AC146" i="7"/>
  <c r="D146" i="2"/>
  <c r="E146" i="2" s="1"/>
  <c r="U146" i="7"/>
  <c r="W146" i="7" s="1"/>
  <c r="D148" i="7"/>
  <c r="AA148" i="7"/>
  <c r="B148" i="2"/>
  <c r="F147" i="7"/>
  <c r="E147" i="7"/>
  <c r="P147" i="7"/>
  <c r="O147" i="7"/>
  <c r="H147" i="7"/>
  <c r="G147" i="7"/>
  <c r="R147" i="7"/>
  <c r="Q147" i="7"/>
  <c r="AC145" i="7"/>
  <c r="D145" i="2"/>
  <c r="E145" i="2" s="1"/>
  <c r="U145" i="7"/>
  <c r="W145" i="7" s="1"/>
  <c r="A150" i="7"/>
  <c r="B149" i="7"/>
  <c r="C149" i="7" s="1"/>
  <c r="J149" i="7"/>
  <c r="K149" i="7" s="1"/>
  <c r="A149" i="2"/>
  <c r="D149" i="7" l="1"/>
  <c r="AA149" i="7"/>
  <c r="B149" i="2"/>
  <c r="A151" i="7"/>
  <c r="B150" i="7"/>
  <c r="C150" i="7" s="1"/>
  <c r="J150" i="7"/>
  <c r="K150" i="7" s="1"/>
  <c r="A150" i="2"/>
  <c r="S147" i="7"/>
  <c r="T147" i="7" s="1"/>
  <c r="AB149" i="7"/>
  <c r="C149" i="2"/>
  <c r="I147" i="7"/>
  <c r="L147" i="7" s="1"/>
  <c r="M147" i="7" s="1"/>
  <c r="N147" i="7" s="1"/>
  <c r="E148" i="7"/>
  <c r="R148" i="7"/>
  <c r="Q148" i="7"/>
  <c r="P148" i="7"/>
  <c r="O148" i="7"/>
  <c r="S148" i="7" s="1"/>
  <c r="T148" i="7" s="1"/>
  <c r="H148" i="7"/>
  <c r="G148" i="7"/>
  <c r="F148" i="7"/>
  <c r="I148" i="7" l="1"/>
  <c r="L148" i="7" s="1"/>
  <c r="M148" i="7" s="1"/>
  <c r="N148" i="7" s="1"/>
  <c r="AC148" i="7"/>
  <c r="D148" i="2"/>
  <c r="E148" i="2" s="1"/>
  <c r="U148" i="7"/>
  <c r="W148" i="7" s="1"/>
  <c r="AC147" i="7"/>
  <c r="D147" i="2"/>
  <c r="E147" i="2" s="1"/>
  <c r="U147" i="7"/>
  <c r="W147" i="7" s="1"/>
  <c r="AB150" i="7"/>
  <c r="C150" i="2"/>
  <c r="A152" i="7"/>
  <c r="B151" i="7"/>
  <c r="C151" i="7" s="1"/>
  <c r="J151" i="7"/>
  <c r="K151" i="7" s="1"/>
  <c r="A151" i="2"/>
  <c r="AA150" i="7"/>
  <c r="D150" i="7"/>
  <c r="B150" i="2"/>
  <c r="E149" i="7"/>
  <c r="O149" i="7"/>
  <c r="H149" i="7"/>
  <c r="R149" i="7"/>
  <c r="Q149" i="7"/>
  <c r="P149" i="7"/>
  <c r="G149" i="7"/>
  <c r="F149" i="7"/>
  <c r="I149" i="7" l="1"/>
  <c r="L149" i="7" s="1"/>
  <c r="M149" i="7" s="1"/>
  <c r="N149" i="7" s="1"/>
  <c r="AA151" i="7"/>
  <c r="D151" i="7"/>
  <c r="B151" i="2"/>
  <c r="S149" i="7"/>
  <c r="T149" i="7" s="1"/>
  <c r="AB151" i="7"/>
  <c r="C151" i="2"/>
  <c r="J152" i="7"/>
  <c r="K152" i="7" s="1"/>
  <c r="B152" i="7"/>
  <c r="C152" i="7" s="1"/>
  <c r="A152" i="2"/>
  <c r="G150" i="7"/>
  <c r="F150" i="7"/>
  <c r="E150" i="7"/>
  <c r="Q150" i="7"/>
  <c r="P150" i="7"/>
  <c r="O150" i="7"/>
  <c r="R150" i="7"/>
  <c r="H150" i="7"/>
  <c r="S150" i="7" l="1"/>
  <c r="T150" i="7" s="1"/>
  <c r="AC150" i="7" s="1"/>
  <c r="D150" i="2"/>
  <c r="E150" i="2" s="1"/>
  <c r="U150" i="7"/>
  <c r="W150" i="7" s="1"/>
  <c r="I150" i="7"/>
  <c r="L150" i="7" s="1"/>
  <c r="M150" i="7" s="1"/>
  <c r="N150" i="7" s="1"/>
  <c r="AA152" i="7"/>
  <c r="D152" i="7"/>
  <c r="B152" i="2"/>
  <c r="B5" i="1" s="1"/>
  <c r="AC149" i="7"/>
  <c r="D149" i="2"/>
  <c r="E149" i="2" s="1"/>
  <c r="U149" i="7"/>
  <c r="W149" i="7" s="1"/>
  <c r="AB152" i="7"/>
  <c r="C152" i="2"/>
  <c r="H151" i="7"/>
  <c r="G151" i="7"/>
  <c r="F151" i="7"/>
  <c r="R151" i="7"/>
  <c r="Q151" i="7"/>
  <c r="P151" i="7"/>
  <c r="O151" i="7"/>
  <c r="S151" i="7" s="1"/>
  <c r="T151" i="7" s="1"/>
  <c r="E151" i="7"/>
  <c r="I151" i="7" s="1"/>
  <c r="L151" i="7" s="1"/>
  <c r="M151" i="7" s="1"/>
  <c r="N151" i="7" s="1"/>
  <c r="AC151" i="7" l="1"/>
  <c r="D151" i="2"/>
  <c r="E151" i="2" s="1"/>
  <c r="U151" i="7"/>
  <c r="W151" i="7" s="1"/>
  <c r="R152" i="7"/>
  <c r="Q152" i="7"/>
  <c r="P152" i="7"/>
  <c r="O152" i="7"/>
  <c r="S152" i="7" s="1"/>
  <c r="T152" i="7" s="1"/>
  <c r="H152" i="7"/>
  <c r="G152" i="7"/>
  <c r="F152" i="7"/>
  <c r="E152" i="7"/>
  <c r="AC152" i="7" l="1"/>
  <c r="D152" i="2"/>
  <c r="U152" i="7"/>
  <c r="W152" i="7" s="1"/>
  <c r="I152" i="7"/>
  <c r="L152" i="7" s="1"/>
  <c r="M152" i="7" s="1"/>
  <c r="N152" i="7" s="1"/>
  <c r="D5" i="1" l="1"/>
  <c r="E152" i="2"/>
  <c r="C5" i="1" s="1"/>
</calcChain>
</file>

<file path=xl/sharedStrings.xml><?xml version="1.0" encoding="utf-8"?>
<sst xmlns="http://schemas.openxmlformats.org/spreadsheetml/2006/main" count="90" uniqueCount="82">
  <si>
    <t>Crank-slider connecting-rod angular velocity</t>
  </si>
  <si>
    <t>Comparison</t>
  </si>
  <si>
    <t>Sensor N</t>
  </si>
  <si>
    <t>RMSE (360-grid)</t>
  </si>
  <si>
    <t>PMKS paired N</t>
  </si>
  <si>
    <t>Unit</t>
  </si>
  <si>
    <t>Connecting-rod BNO055</t>
  </si>
  <si>
    <t>rad/s</t>
  </si>
  <si>
    <t>Tachometer speed (rpm)</t>
  </si>
  <si>
    <t>Nominal period (ms)</t>
  </si>
  <si>
    <t>Native sample count</t>
  </si>
  <si>
    <t>Native intervals</t>
  </si>
  <si>
    <t>Native time step (ms)</t>
  </si>
  <si>
    <t>Instructor grid sample count</t>
  </si>
  <si>
    <t>Instructor grid intervals</t>
  </si>
  <si>
    <t>Instructor time step (ms)</t>
  </si>
  <si>
    <t>Hall crank phase estimate (deg)</t>
  </si>
  <si>
    <t>Native initial crank angle (deg)</t>
  </si>
  <si>
    <t>Phase shift (ms)</t>
  </si>
  <si>
    <t>First source data row</t>
  </si>
  <si>
    <t>Last source data row</t>
  </si>
  <si>
    <t>Next Hall event time (ms)</t>
  </si>
  <si>
    <t>Selected cycle period (ms)</t>
  </si>
  <si>
    <t>Selected Hall speed (rpm)</t>
  </si>
  <si>
    <t>Gyro Z interpreted unit</t>
  </si>
  <si>
    <t>Extracted sensor and time-matched PMKS data</t>
  </si>
  <si>
    <t>Source row</t>
  </si>
  <si>
    <t>Elapsed time (ms)</t>
  </si>
  <si>
    <t>BNO055 measured (rad/s)</t>
  </si>
  <si>
    <t>BNO055 PMKS (rad/s)</t>
  </si>
  <si>
    <t>BNO055 squared error</t>
  </si>
  <si>
    <t>Raw Data</t>
  </si>
  <si>
    <t>source_row</t>
  </si>
  <si>
    <t>Time [ms]</t>
  </si>
  <si>
    <t>Hall State</t>
  </si>
  <si>
    <t>RPM</t>
  </si>
  <si>
    <t>Yaw [deg]</t>
  </si>
  <si>
    <t>Gyro Z [deg/s]</t>
  </si>
  <si>
    <t>Acceleration Z [m/s^2]</t>
  </si>
  <si>
    <t>Slider Distance [mm]</t>
  </si>
  <si>
    <t>Native PMKS exports and calculated coordinates</t>
  </si>
  <si>
    <t>Step</t>
  </si>
  <si>
    <t>Exported time (s)</t>
  </si>
  <si>
    <t>Calculated time (ms)</t>
  </si>
  <si>
    <t>CB rate (deg/s)</t>
  </si>
  <si>
    <t>B x (cm)</t>
  </si>
  <si>
    <t>B y (cm)</t>
  </si>
  <si>
    <t>Time difference (ms)</t>
  </si>
  <si>
    <t>Time-step calculation</t>
  </si>
  <si>
    <t>Native step</t>
  </si>
  <si>
    <t>Exported time (ms)</t>
  </si>
  <si>
    <t>Difference (ms)</t>
  </si>
  <si>
    <t>360-grid step</t>
  </si>
  <si>
    <t>360-grid time (ms)</t>
  </si>
  <si>
    <t>Instructor 360-point grid</t>
  </si>
  <si>
    <t>Time (ms)</t>
  </si>
  <si>
    <t>Native lower row</t>
  </si>
  <si>
    <t>Native upper row</t>
  </si>
  <si>
    <t>Weight</t>
  </si>
  <si>
    <t>Raw time (ms)</t>
  </si>
  <si>
    <t>PMKS query (ms)</t>
  </si>
  <si>
    <t>X1 (ms)</t>
  </si>
  <si>
    <t>X2 (ms)</t>
  </si>
  <si>
    <t>Y1</t>
  </si>
  <si>
    <t>Y2</t>
  </si>
  <si>
    <t>Interpolated native</t>
  </si>
  <si>
    <t>Raw sensor</t>
  </si>
  <si>
    <t>Gyro Z (rad/s interpreted)</t>
  </si>
  <si>
    <t>PMKS native</t>
  </si>
  <si>
    <t>Residual</t>
  </si>
  <si>
    <t>Squared error</t>
  </si>
  <si>
    <t>360 X1 (ms)</t>
  </si>
  <si>
    <t>360 X2 (ms)</t>
  </si>
  <si>
    <t>360 Y1</t>
  </si>
  <si>
    <t>360 Y2</t>
  </si>
  <si>
    <t>Interpolated 360</t>
  </si>
  <si>
    <t>PMKS rate (rad/s)</t>
  </si>
  <si>
    <t>Error (rad/s)</t>
  </si>
  <si>
    <t>Squared error ((rad/s)^2)</t>
  </si>
  <si>
    <t>Measured</t>
  </si>
  <si>
    <t>PMKS+ 20 rpm</t>
  </si>
  <si>
    <t>Measured motion and PMKS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</si>
</sst>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00000"/>
    <numFmt numFmtId="167" formatCode="0.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4">
    <fill>
      <patternFill patternType="none"/>
    </fill>
    <fill>
      <patternFill patternType="gray125"/>
    </fill>
    <fill>
      <patternFill patternType="solid">
        <fgColor rgb="FFE9EEF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" fillId="3" borderId="0" xfId="0" applyNumberFormat="1" applyFont="1" applyFill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CS Gyro (rad/s)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'CS Rate'!$AA$6:$AA$152</c:f>
              <c:numCache>
                <c:formatCode>General</c:formatCode>
                <c:ptCount val="14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1001</c:v>
                </c:pt>
                <c:pt idx="51">
                  <c:v>1021</c:v>
                </c:pt>
                <c:pt idx="52">
                  <c:v>1041</c:v>
                </c:pt>
                <c:pt idx="53">
                  <c:v>1061</c:v>
                </c:pt>
                <c:pt idx="54">
                  <c:v>1081</c:v>
                </c:pt>
                <c:pt idx="55">
                  <c:v>1101</c:v>
                </c:pt>
                <c:pt idx="56">
                  <c:v>1121</c:v>
                </c:pt>
                <c:pt idx="57">
                  <c:v>1141</c:v>
                </c:pt>
                <c:pt idx="58">
                  <c:v>1161</c:v>
                </c:pt>
                <c:pt idx="59">
                  <c:v>1181</c:v>
                </c:pt>
                <c:pt idx="60">
                  <c:v>1202</c:v>
                </c:pt>
                <c:pt idx="61">
                  <c:v>1222</c:v>
                </c:pt>
                <c:pt idx="62">
                  <c:v>1242</c:v>
                </c:pt>
                <c:pt idx="63">
                  <c:v>1262</c:v>
                </c:pt>
                <c:pt idx="64">
                  <c:v>1282</c:v>
                </c:pt>
                <c:pt idx="65">
                  <c:v>1302</c:v>
                </c:pt>
                <c:pt idx="66">
                  <c:v>1322</c:v>
                </c:pt>
                <c:pt idx="67">
                  <c:v>1342</c:v>
                </c:pt>
                <c:pt idx="68">
                  <c:v>1362</c:v>
                </c:pt>
                <c:pt idx="69">
                  <c:v>1382</c:v>
                </c:pt>
                <c:pt idx="70">
                  <c:v>1402</c:v>
                </c:pt>
                <c:pt idx="71">
                  <c:v>1422</c:v>
                </c:pt>
                <c:pt idx="72">
                  <c:v>1442</c:v>
                </c:pt>
                <c:pt idx="73">
                  <c:v>1462</c:v>
                </c:pt>
                <c:pt idx="74">
                  <c:v>1482</c:v>
                </c:pt>
                <c:pt idx="75">
                  <c:v>1503</c:v>
                </c:pt>
                <c:pt idx="76">
                  <c:v>1523</c:v>
                </c:pt>
                <c:pt idx="77">
                  <c:v>1543</c:v>
                </c:pt>
                <c:pt idx="78">
                  <c:v>1563</c:v>
                </c:pt>
                <c:pt idx="79">
                  <c:v>1583</c:v>
                </c:pt>
                <c:pt idx="80">
                  <c:v>1603</c:v>
                </c:pt>
                <c:pt idx="81">
                  <c:v>1623</c:v>
                </c:pt>
                <c:pt idx="82">
                  <c:v>1643</c:v>
                </c:pt>
                <c:pt idx="83">
                  <c:v>1663</c:v>
                </c:pt>
                <c:pt idx="84">
                  <c:v>1683</c:v>
                </c:pt>
                <c:pt idx="85">
                  <c:v>1703</c:v>
                </c:pt>
                <c:pt idx="86">
                  <c:v>1723</c:v>
                </c:pt>
                <c:pt idx="87">
                  <c:v>1743</c:v>
                </c:pt>
                <c:pt idx="88">
                  <c:v>1763</c:v>
                </c:pt>
                <c:pt idx="89">
                  <c:v>1783</c:v>
                </c:pt>
                <c:pt idx="90">
                  <c:v>1803</c:v>
                </c:pt>
                <c:pt idx="91">
                  <c:v>1823</c:v>
                </c:pt>
                <c:pt idx="92">
                  <c:v>1843</c:v>
                </c:pt>
                <c:pt idx="93">
                  <c:v>1863</c:v>
                </c:pt>
                <c:pt idx="94">
                  <c:v>1884</c:v>
                </c:pt>
                <c:pt idx="95">
                  <c:v>1904</c:v>
                </c:pt>
                <c:pt idx="96">
                  <c:v>1924</c:v>
                </c:pt>
                <c:pt idx="97">
                  <c:v>1944</c:v>
                </c:pt>
                <c:pt idx="98">
                  <c:v>1964</c:v>
                </c:pt>
                <c:pt idx="99">
                  <c:v>1984</c:v>
                </c:pt>
                <c:pt idx="100">
                  <c:v>2004</c:v>
                </c:pt>
                <c:pt idx="101">
                  <c:v>2024</c:v>
                </c:pt>
                <c:pt idx="102">
                  <c:v>2044</c:v>
                </c:pt>
                <c:pt idx="103">
                  <c:v>2064</c:v>
                </c:pt>
                <c:pt idx="104">
                  <c:v>2084</c:v>
                </c:pt>
                <c:pt idx="105">
                  <c:v>2104</c:v>
                </c:pt>
                <c:pt idx="106">
                  <c:v>2124</c:v>
                </c:pt>
                <c:pt idx="107">
                  <c:v>2144</c:v>
                </c:pt>
                <c:pt idx="108">
                  <c:v>2164</c:v>
                </c:pt>
                <c:pt idx="109">
                  <c:v>2184</c:v>
                </c:pt>
                <c:pt idx="110">
                  <c:v>2204</c:v>
                </c:pt>
                <c:pt idx="111">
                  <c:v>2224</c:v>
                </c:pt>
                <c:pt idx="112">
                  <c:v>2244</c:v>
                </c:pt>
                <c:pt idx="113">
                  <c:v>2264</c:v>
                </c:pt>
                <c:pt idx="114">
                  <c:v>2284</c:v>
                </c:pt>
                <c:pt idx="115">
                  <c:v>2304</c:v>
                </c:pt>
                <c:pt idx="116">
                  <c:v>2324</c:v>
                </c:pt>
                <c:pt idx="117">
                  <c:v>2344</c:v>
                </c:pt>
                <c:pt idx="118">
                  <c:v>2364</c:v>
                </c:pt>
                <c:pt idx="119">
                  <c:v>2384</c:v>
                </c:pt>
                <c:pt idx="120">
                  <c:v>2404</c:v>
                </c:pt>
                <c:pt idx="121">
                  <c:v>2424</c:v>
                </c:pt>
                <c:pt idx="122">
                  <c:v>2444</c:v>
                </c:pt>
                <c:pt idx="123">
                  <c:v>2464</c:v>
                </c:pt>
                <c:pt idx="124">
                  <c:v>2484</c:v>
                </c:pt>
                <c:pt idx="125">
                  <c:v>2504</c:v>
                </c:pt>
                <c:pt idx="126">
                  <c:v>2524</c:v>
                </c:pt>
                <c:pt idx="127">
                  <c:v>2544</c:v>
                </c:pt>
                <c:pt idx="128">
                  <c:v>2564</c:v>
                </c:pt>
                <c:pt idx="129">
                  <c:v>2584</c:v>
                </c:pt>
                <c:pt idx="130">
                  <c:v>2604</c:v>
                </c:pt>
                <c:pt idx="131">
                  <c:v>2624</c:v>
                </c:pt>
                <c:pt idx="132">
                  <c:v>2644</c:v>
                </c:pt>
                <c:pt idx="133">
                  <c:v>2664</c:v>
                </c:pt>
                <c:pt idx="134">
                  <c:v>2684</c:v>
                </c:pt>
                <c:pt idx="135">
                  <c:v>2704</c:v>
                </c:pt>
                <c:pt idx="136">
                  <c:v>2724</c:v>
                </c:pt>
                <c:pt idx="137">
                  <c:v>2744</c:v>
                </c:pt>
                <c:pt idx="138">
                  <c:v>2764</c:v>
                </c:pt>
                <c:pt idx="139">
                  <c:v>2784</c:v>
                </c:pt>
                <c:pt idx="140">
                  <c:v>2804</c:v>
                </c:pt>
                <c:pt idx="141">
                  <c:v>2824</c:v>
                </c:pt>
                <c:pt idx="142">
                  <c:v>2844</c:v>
                </c:pt>
                <c:pt idx="143">
                  <c:v>2864</c:v>
                </c:pt>
                <c:pt idx="144">
                  <c:v>2884</c:v>
                </c:pt>
                <c:pt idx="145">
                  <c:v>2904</c:v>
                </c:pt>
                <c:pt idx="146">
                  <c:v>2924</c:v>
                </c:pt>
              </c:numCache>
            </c:numRef>
          </c:xVal>
          <c:yVal>
            <c:numRef>
              <c:f>'CS Rate'!$AB$6:$AB$152</c:f>
              <c:numCache>
                <c:formatCode>General</c:formatCode>
                <c:ptCount val="147"/>
                <c:pt idx="0">
                  <c:v>-0.09</c:v>
                </c:pt>
                <c:pt idx="1">
                  <c:v>-0.11</c:v>
                </c:pt>
                <c:pt idx="2">
                  <c:v>-0.15</c:v>
                </c:pt>
                <c:pt idx="3">
                  <c:v>-0.17</c:v>
                </c:pt>
                <c:pt idx="4">
                  <c:v>-0.21</c:v>
                </c:pt>
                <c:pt idx="5">
                  <c:v>-0.23</c:v>
                </c:pt>
                <c:pt idx="6">
                  <c:v>-0.26</c:v>
                </c:pt>
                <c:pt idx="7">
                  <c:v>-0.28999999999999998</c:v>
                </c:pt>
                <c:pt idx="8">
                  <c:v>-0.32</c:v>
                </c:pt>
                <c:pt idx="9">
                  <c:v>-0.32</c:v>
                </c:pt>
                <c:pt idx="10">
                  <c:v>-0.34</c:v>
                </c:pt>
                <c:pt idx="11">
                  <c:v>-0.36</c:v>
                </c:pt>
                <c:pt idx="12">
                  <c:v>-0.37</c:v>
                </c:pt>
                <c:pt idx="13">
                  <c:v>-0.39</c:v>
                </c:pt>
                <c:pt idx="14">
                  <c:v>-0.4</c:v>
                </c:pt>
                <c:pt idx="15">
                  <c:v>-0.46</c:v>
                </c:pt>
                <c:pt idx="16">
                  <c:v>-0.47</c:v>
                </c:pt>
                <c:pt idx="17">
                  <c:v>-0.48</c:v>
                </c:pt>
                <c:pt idx="18">
                  <c:v>-0.51</c:v>
                </c:pt>
                <c:pt idx="19">
                  <c:v>-0.51</c:v>
                </c:pt>
                <c:pt idx="20">
                  <c:v>-0.53</c:v>
                </c:pt>
                <c:pt idx="21">
                  <c:v>-0.51</c:v>
                </c:pt>
                <c:pt idx="22">
                  <c:v>-0.51</c:v>
                </c:pt>
                <c:pt idx="23">
                  <c:v>-0.51</c:v>
                </c:pt>
                <c:pt idx="24">
                  <c:v>-0.5</c:v>
                </c:pt>
                <c:pt idx="25">
                  <c:v>-0.49</c:v>
                </c:pt>
                <c:pt idx="26">
                  <c:v>-0.5</c:v>
                </c:pt>
                <c:pt idx="27">
                  <c:v>-0.51</c:v>
                </c:pt>
                <c:pt idx="28">
                  <c:v>-0.52</c:v>
                </c:pt>
                <c:pt idx="29">
                  <c:v>-0.52</c:v>
                </c:pt>
                <c:pt idx="30">
                  <c:v>-0.51</c:v>
                </c:pt>
                <c:pt idx="31">
                  <c:v>-0.52</c:v>
                </c:pt>
                <c:pt idx="32">
                  <c:v>-0.55000000000000004</c:v>
                </c:pt>
                <c:pt idx="33">
                  <c:v>-0.56000000000000005</c:v>
                </c:pt>
                <c:pt idx="34">
                  <c:v>-0.53</c:v>
                </c:pt>
                <c:pt idx="35">
                  <c:v>-0.51</c:v>
                </c:pt>
                <c:pt idx="36">
                  <c:v>-0.5</c:v>
                </c:pt>
                <c:pt idx="37">
                  <c:v>-0.51</c:v>
                </c:pt>
                <c:pt idx="38">
                  <c:v>-0.5</c:v>
                </c:pt>
                <c:pt idx="39">
                  <c:v>-0.48</c:v>
                </c:pt>
                <c:pt idx="40">
                  <c:v>-0.47</c:v>
                </c:pt>
                <c:pt idx="41">
                  <c:v>-0.47</c:v>
                </c:pt>
                <c:pt idx="42">
                  <c:v>-0.47</c:v>
                </c:pt>
                <c:pt idx="43">
                  <c:v>-0.47</c:v>
                </c:pt>
                <c:pt idx="44">
                  <c:v>-0.44</c:v>
                </c:pt>
                <c:pt idx="45">
                  <c:v>-0.43</c:v>
                </c:pt>
                <c:pt idx="46">
                  <c:v>-0.42</c:v>
                </c:pt>
                <c:pt idx="47">
                  <c:v>-0.43</c:v>
                </c:pt>
                <c:pt idx="48">
                  <c:v>-0.4</c:v>
                </c:pt>
                <c:pt idx="49">
                  <c:v>-0.4</c:v>
                </c:pt>
                <c:pt idx="50">
                  <c:v>-0.37</c:v>
                </c:pt>
                <c:pt idx="51">
                  <c:v>-0.39</c:v>
                </c:pt>
                <c:pt idx="52">
                  <c:v>-0.37</c:v>
                </c:pt>
                <c:pt idx="53">
                  <c:v>-0.36</c:v>
                </c:pt>
                <c:pt idx="54">
                  <c:v>-0.32</c:v>
                </c:pt>
                <c:pt idx="55">
                  <c:v>-0.32</c:v>
                </c:pt>
                <c:pt idx="56">
                  <c:v>-0.3</c:v>
                </c:pt>
                <c:pt idx="57">
                  <c:v>-0.28999999999999998</c:v>
                </c:pt>
                <c:pt idx="58">
                  <c:v>-0.26</c:v>
                </c:pt>
                <c:pt idx="59">
                  <c:v>-0.25</c:v>
                </c:pt>
                <c:pt idx="60">
                  <c:v>-0.23</c:v>
                </c:pt>
                <c:pt idx="61">
                  <c:v>-0.22</c:v>
                </c:pt>
                <c:pt idx="62">
                  <c:v>-0.2</c:v>
                </c:pt>
                <c:pt idx="63">
                  <c:v>-0.18</c:v>
                </c:pt>
                <c:pt idx="64">
                  <c:v>-0.16</c:v>
                </c:pt>
                <c:pt idx="65">
                  <c:v>-0.15</c:v>
                </c:pt>
                <c:pt idx="66">
                  <c:v>-0.13</c:v>
                </c:pt>
                <c:pt idx="67">
                  <c:v>-0.1</c:v>
                </c:pt>
                <c:pt idx="68">
                  <c:v>-0.08</c:v>
                </c:pt>
                <c:pt idx="69">
                  <c:v>-0.05</c:v>
                </c:pt>
                <c:pt idx="70">
                  <c:v>-0.03</c:v>
                </c:pt>
                <c:pt idx="71">
                  <c:v>-0.01</c:v>
                </c:pt>
                <c:pt idx="72">
                  <c:v>0.01</c:v>
                </c:pt>
                <c:pt idx="73">
                  <c:v>0.03</c:v>
                </c:pt>
                <c:pt idx="74">
                  <c:v>0.05</c:v>
                </c:pt>
                <c:pt idx="75">
                  <c:v>0.1</c:v>
                </c:pt>
                <c:pt idx="76">
                  <c:v>0.11</c:v>
                </c:pt>
                <c:pt idx="77">
                  <c:v>0.13</c:v>
                </c:pt>
                <c:pt idx="78">
                  <c:v>0.16</c:v>
                </c:pt>
                <c:pt idx="79">
                  <c:v>0.18</c:v>
                </c:pt>
                <c:pt idx="80">
                  <c:v>0.22</c:v>
                </c:pt>
                <c:pt idx="81">
                  <c:v>0.23</c:v>
                </c:pt>
                <c:pt idx="82">
                  <c:v>0.26</c:v>
                </c:pt>
                <c:pt idx="83">
                  <c:v>0.3</c:v>
                </c:pt>
                <c:pt idx="84">
                  <c:v>0.31</c:v>
                </c:pt>
                <c:pt idx="85">
                  <c:v>0.34</c:v>
                </c:pt>
                <c:pt idx="86">
                  <c:v>0.36</c:v>
                </c:pt>
                <c:pt idx="87">
                  <c:v>0.4</c:v>
                </c:pt>
                <c:pt idx="88">
                  <c:v>0.41</c:v>
                </c:pt>
                <c:pt idx="89">
                  <c:v>0.42</c:v>
                </c:pt>
                <c:pt idx="90">
                  <c:v>0.44</c:v>
                </c:pt>
                <c:pt idx="91">
                  <c:v>0.48</c:v>
                </c:pt>
                <c:pt idx="92">
                  <c:v>0.49</c:v>
                </c:pt>
                <c:pt idx="93">
                  <c:v>0.5</c:v>
                </c:pt>
                <c:pt idx="94">
                  <c:v>0.49</c:v>
                </c:pt>
                <c:pt idx="95">
                  <c:v>0.52</c:v>
                </c:pt>
                <c:pt idx="96">
                  <c:v>0.53</c:v>
                </c:pt>
                <c:pt idx="97">
                  <c:v>0.53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0.54</c:v>
                </c:pt>
                <c:pt idx="101">
                  <c:v>0.52</c:v>
                </c:pt>
                <c:pt idx="102">
                  <c:v>0.51</c:v>
                </c:pt>
                <c:pt idx="103">
                  <c:v>0.54</c:v>
                </c:pt>
                <c:pt idx="104">
                  <c:v>0.55000000000000004</c:v>
                </c:pt>
                <c:pt idx="105">
                  <c:v>0.56999999999999995</c:v>
                </c:pt>
                <c:pt idx="106">
                  <c:v>0.56000000000000005</c:v>
                </c:pt>
                <c:pt idx="107">
                  <c:v>0.59</c:v>
                </c:pt>
                <c:pt idx="108">
                  <c:v>0.62</c:v>
                </c:pt>
                <c:pt idx="109">
                  <c:v>0.57999999999999996</c:v>
                </c:pt>
                <c:pt idx="110">
                  <c:v>0.56999999999999995</c:v>
                </c:pt>
                <c:pt idx="111">
                  <c:v>0.54</c:v>
                </c:pt>
                <c:pt idx="112">
                  <c:v>0.56999999999999995</c:v>
                </c:pt>
                <c:pt idx="113">
                  <c:v>0.54</c:v>
                </c:pt>
                <c:pt idx="114">
                  <c:v>0.52</c:v>
                </c:pt>
                <c:pt idx="115">
                  <c:v>0.51</c:v>
                </c:pt>
                <c:pt idx="116">
                  <c:v>0.51</c:v>
                </c:pt>
                <c:pt idx="117">
                  <c:v>0.47</c:v>
                </c:pt>
                <c:pt idx="118">
                  <c:v>0.46</c:v>
                </c:pt>
                <c:pt idx="119">
                  <c:v>0.46</c:v>
                </c:pt>
                <c:pt idx="120">
                  <c:v>0.46</c:v>
                </c:pt>
                <c:pt idx="121">
                  <c:v>0.46</c:v>
                </c:pt>
                <c:pt idx="122">
                  <c:v>0.43</c:v>
                </c:pt>
                <c:pt idx="123">
                  <c:v>0.39</c:v>
                </c:pt>
                <c:pt idx="124">
                  <c:v>0.38</c:v>
                </c:pt>
                <c:pt idx="125">
                  <c:v>0.37</c:v>
                </c:pt>
                <c:pt idx="126">
                  <c:v>0.35</c:v>
                </c:pt>
                <c:pt idx="127">
                  <c:v>0.33</c:v>
                </c:pt>
                <c:pt idx="128">
                  <c:v>0.3</c:v>
                </c:pt>
                <c:pt idx="129">
                  <c:v>0.3</c:v>
                </c:pt>
                <c:pt idx="130">
                  <c:v>0.28000000000000003</c:v>
                </c:pt>
                <c:pt idx="131">
                  <c:v>0.27</c:v>
                </c:pt>
                <c:pt idx="132">
                  <c:v>0.24</c:v>
                </c:pt>
                <c:pt idx="133">
                  <c:v>0.23</c:v>
                </c:pt>
                <c:pt idx="134">
                  <c:v>0.21</c:v>
                </c:pt>
                <c:pt idx="135">
                  <c:v>0.19</c:v>
                </c:pt>
                <c:pt idx="136">
                  <c:v>0.17</c:v>
                </c:pt>
                <c:pt idx="137">
                  <c:v>0.15</c:v>
                </c:pt>
                <c:pt idx="138">
                  <c:v>0.13</c:v>
                </c:pt>
                <c:pt idx="139">
                  <c:v>0.12</c:v>
                </c:pt>
                <c:pt idx="140">
                  <c:v>0.09</c:v>
                </c:pt>
                <c:pt idx="141">
                  <c:v>7.0000000000000007E-2</c:v>
                </c:pt>
                <c:pt idx="142">
                  <c:v>0.04</c:v>
                </c:pt>
                <c:pt idx="143">
                  <c:v>0.02</c:v>
                </c:pt>
                <c:pt idx="144">
                  <c:v>-0.01</c:v>
                </c:pt>
                <c:pt idx="145">
                  <c:v>-0.03</c:v>
                </c:pt>
                <c:pt idx="146">
                  <c:v>-0.06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0-439B-9F8D-60BF4AD24F93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'CS Rate'!$AA$6:$AA$152</c:f>
              <c:numCache>
                <c:formatCode>General</c:formatCode>
                <c:ptCount val="14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1001</c:v>
                </c:pt>
                <c:pt idx="51">
                  <c:v>1021</c:v>
                </c:pt>
                <c:pt idx="52">
                  <c:v>1041</c:v>
                </c:pt>
                <c:pt idx="53">
                  <c:v>1061</c:v>
                </c:pt>
                <c:pt idx="54">
                  <c:v>1081</c:v>
                </c:pt>
                <c:pt idx="55">
                  <c:v>1101</c:v>
                </c:pt>
                <c:pt idx="56">
                  <c:v>1121</c:v>
                </c:pt>
                <c:pt idx="57">
                  <c:v>1141</c:v>
                </c:pt>
                <c:pt idx="58">
                  <c:v>1161</c:v>
                </c:pt>
                <c:pt idx="59">
                  <c:v>1181</c:v>
                </c:pt>
                <c:pt idx="60">
                  <c:v>1202</c:v>
                </c:pt>
                <c:pt idx="61">
                  <c:v>1222</c:v>
                </c:pt>
                <c:pt idx="62">
                  <c:v>1242</c:v>
                </c:pt>
                <c:pt idx="63">
                  <c:v>1262</c:v>
                </c:pt>
                <c:pt idx="64">
                  <c:v>1282</c:v>
                </c:pt>
                <c:pt idx="65">
                  <c:v>1302</c:v>
                </c:pt>
                <c:pt idx="66">
                  <c:v>1322</c:v>
                </c:pt>
                <c:pt idx="67">
                  <c:v>1342</c:v>
                </c:pt>
                <c:pt idx="68">
                  <c:v>1362</c:v>
                </c:pt>
                <c:pt idx="69">
                  <c:v>1382</c:v>
                </c:pt>
                <c:pt idx="70">
                  <c:v>1402</c:v>
                </c:pt>
                <c:pt idx="71">
                  <c:v>1422</c:v>
                </c:pt>
                <c:pt idx="72">
                  <c:v>1442</c:v>
                </c:pt>
                <c:pt idx="73">
                  <c:v>1462</c:v>
                </c:pt>
                <c:pt idx="74">
                  <c:v>1482</c:v>
                </c:pt>
                <c:pt idx="75">
                  <c:v>1503</c:v>
                </c:pt>
                <c:pt idx="76">
                  <c:v>1523</c:v>
                </c:pt>
                <c:pt idx="77">
                  <c:v>1543</c:v>
                </c:pt>
                <c:pt idx="78">
                  <c:v>1563</c:v>
                </c:pt>
                <c:pt idx="79">
                  <c:v>1583</c:v>
                </c:pt>
                <c:pt idx="80">
                  <c:v>1603</c:v>
                </c:pt>
                <c:pt idx="81">
                  <c:v>1623</c:v>
                </c:pt>
                <c:pt idx="82">
                  <c:v>1643</c:v>
                </c:pt>
                <c:pt idx="83">
                  <c:v>1663</c:v>
                </c:pt>
                <c:pt idx="84">
                  <c:v>1683</c:v>
                </c:pt>
                <c:pt idx="85">
                  <c:v>1703</c:v>
                </c:pt>
                <c:pt idx="86">
                  <c:v>1723</c:v>
                </c:pt>
                <c:pt idx="87">
                  <c:v>1743</c:v>
                </c:pt>
                <c:pt idx="88">
                  <c:v>1763</c:v>
                </c:pt>
                <c:pt idx="89">
                  <c:v>1783</c:v>
                </c:pt>
                <c:pt idx="90">
                  <c:v>1803</c:v>
                </c:pt>
                <c:pt idx="91">
                  <c:v>1823</c:v>
                </c:pt>
                <c:pt idx="92">
                  <c:v>1843</c:v>
                </c:pt>
                <c:pt idx="93">
                  <c:v>1863</c:v>
                </c:pt>
                <c:pt idx="94">
                  <c:v>1884</c:v>
                </c:pt>
                <c:pt idx="95">
                  <c:v>1904</c:v>
                </c:pt>
                <c:pt idx="96">
                  <c:v>1924</c:v>
                </c:pt>
                <c:pt idx="97">
                  <c:v>1944</c:v>
                </c:pt>
                <c:pt idx="98">
                  <c:v>1964</c:v>
                </c:pt>
                <c:pt idx="99">
                  <c:v>1984</c:v>
                </c:pt>
                <c:pt idx="100">
                  <c:v>2004</c:v>
                </c:pt>
                <c:pt idx="101">
                  <c:v>2024</c:v>
                </c:pt>
                <c:pt idx="102">
                  <c:v>2044</c:v>
                </c:pt>
                <c:pt idx="103">
                  <c:v>2064</c:v>
                </c:pt>
                <c:pt idx="104">
                  <c:v>2084</c:v>
                </c:pt>
                <c:pt idx="105">
                  <c:v>2104</c:v>
                </c:pt>
                <c:pt idx="106">
                  <c:v>2124</c:v>
                </c:pt>
                <c:pt idx="107">
                  <c:v>2144</c:v>
                </c:pt>
                <c:pt idx="108">
                  <c:v>2164</c:v>
                </c:pt>
                <c:pt idx="109">
                  <c:v>2184</c:v>
                </c:pt>
                <c:pt idx="110">
                  <c:v>2204</c:v>
                </c:pt>
                <c:pt idx="111">
                  <c:v>2224</c:v>
                </c:pt>
                <c:pt idx="112">
                  <c:v>2244</c:v>
                </c:pt>
                <c:pt idx="113">
                  <c:v>2264</c:v>
                </c:pt>
                <c:pt idx="114">
                  <c:v>2284</c:v>
                </c:pt>
                <c:pt idx="115">
                  <c:v>2304</c:v>
                </c:pt>
                <c:pt idx="116">
                  <c:v>2324</c:v>
                </c:pt>
                <c:pt idx="117">
                  <c:v>2344</c:v>
                </c:pt>
                <c:pt idx="118">
                  <c:v>2364</c:v>
                </c:pt>
                <c:pt idx="119">
                  <c:v>2384</c:v>
                </c:pt>
                <c:pt idx="120">
                  <c:v>2404</c:v>
                </c:pt>
                <c:pt idx="121">
                  <c:v>2424</c:v>
                </c:pt>
                <c:pt idx="122">
                  <c:v>2444</c:v>
                </c:pt>
                <c:pt idx="123">
                  <c:v>2464</c:v>
                </c:pt>
                <c:pt idx="124">
                  <c:v>2484</c:v>
                </c:pt>
                <c:pt idx="125">
                  <c:v>2504</c:v>
                </c:pt>
                <c:pt idx="126">
                  <c:v>2524</c:v>
                </c:pt>
                <c:pt idx="127">
                  <c:v>2544</c:v>
                </c:pt>
                <c:pt idx="128">
                  <c:v>2564</c:v>
                </c:pt>
                <c:pt idx="129">
                  <c:v>2584</c:v>
                </c:pt>
                <c:pt idx="130">
                  <c:v>2604</c:v>
                </c:pt>
                <c:pt idx="131">
                  <c:v>2624</c:v>
                </c:pt>
                <c:pt idx="132">
                  <c:v>2644</c:v>
                </c:pt>
                <c:pt idx="133">
                  <c:v>2664</c:v>
                </c:pt>
                <c:pt idx="134">
                  <c:v>2684</c:v>
                </c:pt>
                <c:pt idx="135">
                  <c:v>2704</c:v>
                </c:pt>
                <c:pt idx="136">
                  <c:v>2724</c:v>
                </c:pt>
                <c:pt idx="137">
                  <c:v>2744</c:v>
                </c:pt>
                <c:pt idx="138">
                  <c:v>2764</c:v>
                </c:pt>
                <c:pt idx="139">
                  <c:v>2784</c:v>
                </c:pt>
                <c:pt idx="140">
                  <c:v>2804</c:v>
                </c:pt>
                <c:pt idx="141">
                  <c:v>2824</c:v>
                </c:pt>
                <c:pt idx="142">
                  <c:v>2844</c:v>
                </c:pt>
                <c:pt idx="143">
                  <c:v>2864</c:v>
                </c:pt>
                <c:pt idx="144">
                  <c:v>2884</c:v>
                </c:pt>
                <c:pt idx="145">
                  <c:v>2904</c:v>
                </c:pt>
                <c:pt idx="146">
                  <c:v>2924</c:v>
                </c:pt>
              </c:numCache>
            </c:numRef>
          </c:xVal>
          <c:yVal>
            <c:numRef>
              <c:f>'CS Rate'!$AC$6:$AC$152</c:f>
              <c:numCache>
                <c:formatCode>General</c:formatCode>
                <c:ptCount val="147"/>
                <c:pt idx="0">
                  <c:v>-9.2344516840043453E-2</c:v>
                </c:pt>
                <c:pt idx="1">
                  <c:v>-0.11494442474653732</c:v>
                </c:pt>
                <c:pt idx="2">
                  <c:v>-0.13654428201509905</c:v>
                </c:pt>
                <c:pt idx="3">
                  <c:v>-0.15814417978185802</c:v>
                </c:pt>
                <c:pt idx="4">
                  <c:v>-0.17972485125149251</c:v>
                </c:pt>
                <c:pt idx="5">
                  <c:v>-0.20029784737506848</c:v>
                </c:pt>
                <c:pt idx="6">
                  <c:v>-0.22073917437614402</c:v>
                </c:pt>
                <c:pt idx="7">
                  <c:v>-0.24092884127484623</c:v>
                </c:pt>
                <c:pt idx="8">
                  <c:v>-0.26012858140846762</c:v>
                </c:pt>
                <c:pt idx="9">
                  <c:v>-0.27932825037795633</c:v>
                </c:pt>
                <c:pt idx="10">
                  <c:v>-0.29845996223576349</c:v>
                </c:pt>
                <c:pt idx="11">
                  <c:v>-0.31651281039003132</c:v>
                </c:pt>
                <c:pt idx="12">
                  <c:v>-0.33331265892614542</c:v>
                </c:pt>
                <c:pt idx="13">
                  <c:v>-0.35011230286994699</c:v>
                </c:pt>
                <c:pt idx="14">
                  <c:v>-0.36587643484026089</c:v>
                </c:pt>
                <c:pt idx="15">
                  <c:v>-0.38162446714381426</c:v>
                </c:pt>
                <c:pt idx="16">
                  <c:v>-0.39629598509761715</c:v>
                </c:pt>
                <c:pt idx="17">
                  <c:v>-0.41014835708777553</c:v>
                </c:pt>
                <c:pt idx="18">
                  <c:v>-0.42308013538517542</c:v>
                </c:pt>
                <c:pt idx="19">
                  <c:v>-0.43603954364012426</c:v>
                </c:pt>
                <c:pt idx="20">
                  <c:v>-0.44708015792934935</c:v>
                </c:pt>
                <c:pt idx="21">
                  <c:v>-0.45787315479597562</c:v>
                </c:pt>
                <c:pt idx="22">
                  <c:v>-0.46846391044538666</c:v>
                </c:pt>
                <c:pt idx="23">
                  <c:v>-0.47719974679635463</c:v>
                </c:pt>
                <c:pt idx="24">
                  <c:v>-0.48562118354015565</c:v>
                </c:pt>
                <c:pt idx="25">
                  <c:v>-0.49344792814243793</c:v>
                </c:pt>
                <c:pt idx="26">
                  <c:v>-0.50043551265145569</c:v>
                </c:pt>
                <c:pt idx="27">
                  <c:v>-0.50623279249974962</c:v>
                </c:pt>
                <c:pt idx="28">
                  <c:v>-0.51103167296458185</c:v>
                </c:pt>
                <c:pt idx="29">
                  <c:v>-0.5154592099141635</c:v>
                </c:pt>
                <c:pt idx="30">
                  <c:v>-0.51881589679553086</c:v>
                </c:pt>
                <c:pt idx="31">
                  <c:v>-0.52121607358287336</c:v>
                </c:pt>
                <c:pt idx="32">
                  <c:v>-0.52252517694619782</c:v>
                </c:pt>
                <c:pt idx="33">
                  <c:v>-0.52382566933442709</c:v>
                </c:pt>
                <c:pt idx="34">
                  <c:v>-0.52362564857944194</c:v>
                </c:pt>
                <c:pt idx="35">
                  <c:v>-0.5223294462007908</c:v>
                </c:pt>
                <c:pt idx="36">
                  <c:v>-0.52078388710128531</c:v>
                </c:pt>
                <c:pt idx="37">
                  <c:v>-0.51786194618494596</c:v>
                </c:pt>
                <c:pt idx="38">
                  <c:v>-0.51477652766504767</c:v>
                </c:pt>
                <c:pt idx="39">
                  <c:v>-0.51016768884599317</c:v>
                </c:pt>
                <c:pt idx="40">
                  <c:v>-0.50470646404106878</c:v>
                </c:pt>
                <c:pt idx="41">
                  <c:v>-0.4986272538407453</c:v>
                </c:pt>
                <c:pt idx="42">
                  <c:v>-0.49205587988399402</c:v>
                </c:pt>
                <c:pt idx="43">
                  <c:v>-0.48395215233018024</c:v>
                </c:pt>
                <c:pt idx="44">
                  <c:v>-0.47533579800701181</c:v>
                </c:pt>
                <c:pt idx="45">
                  <c:v>-0.46573537127532783</c:v>
                </c:pt>
                <c:pt idx="46">
                  <c:v>-0.45584124031683654</c:v>
                </c:pt>
                <c:pt idx="47">
                  <c:v>-0.44491939025173088</c:v>
                </c:pt>
                <c:pt idx="48">
                  <c:v>-0.43292008691394762</c:v>
                </c:pt>
                <c:pt idx="49">
                  <c:v>-0.42052529242011688</c:v>
                </c:pt>
                <c:pt idx="50">
                  <c:v>-0.40638380023454829</c:v>
                </c:pt>
                <c:pt idx="51">
                  <c:v>-0.39198336101775894</c:v>
                </c:pt>
                <c:pt idx="52">
                  <c:v>-0.37744735724180939</c:v>
                </c:pt>
                <c:pt idx="53">
                  <c:v>-0.36189557372787817</c:v>
                </c:pt>
                <c:pt idx="54">
                  <c:v>-0.34572575538417344</c:v>
                </c:pt>
                <c:pt idx="55">
                  <c:v>-0.32872547061184193</c:v>
                </c:pt>
                <c:pt idx="56">
                  <c:v>-0.3116476577294558</c:v>
                </c:pt>
                <c:pt idx="57">
                  <c:v>-0.29324584474246085</c:v>
                </c:pt>
                <c:pt idx="58">
                  <c:v>-0.27491121067865709</c:v>
                </c:pt>
                <c:pt idx="59">
                  <c:v>-0.25566234865507964</c:v>
                </c:pt>
                <c:pt idx="60">
                  <c:v>-0.23455120549500638</c:v>
                </c:pt>
                <c:pt idx="61">
                  <c:v>-0.21434208606892691</c:v>
                </c:pt>
                <c:pt idx="62">
                  <c:v>-0.19396798842619864</c:v>
                </c:pt>
                <c:pt idx="63">
                  <c:v>-0.17269562213922451</c:v>
                </c:pt>
                <c:pt idx="64">
                  <c:v>-0.15109520109903152</c:v>
                </c:pt>
                <c:pt idx="65">
                  <c:v>-0.1294957340821114</c:v>
                </c:pt>
                <c:pt idx="66">
                  <c:v>-0.10789533222608434</c:v>
                </c:pt>
                <c:pt idx="67">
                  <c:v>-8.5294922873186435E-2</c:v>
                </c:pt>
                <c:pt idx="68">
                  <c:v>-6.2812645918912627E-2</c:v>
                </c:pt>
                <c:pt idx="69">
                  <c:v>-4.0521297456352655E-2</c:v>
                </c:pt>
                <c:pt idx="70">
                  <c:v>-1.771766496963733E-2</c:v>
                </c:pt>
                <c:pt idx="71">
                  <c:v>4.5837685809936458E-3</c:v>
                </c:pt>
                <c:pt idx="72">
                  <c:v>2.7383269221550155E-2</c:v>
                </c:pt>
                <c:pt idx="73">
                  <c:v>5.0178880583070087E-2</c:v>
                </c:pt>
                <c:pt idx="74">
                  <c:v>7.2490156654651056E-2</c:v>
                </c:pt>
                <c:pt idx="75">
                  <c:v>9.5584755502956115E-2</c:v>
                </c:pt>
                <c:pt idx="76">
                  <c:v>0.11818463631610757</c:v>
                </c:pt>
                <c:pt idx="77">
                  <c:v>0.13978452067801148</c:v>
                </c:pt>
                <c:pt idx="78">
                  <c:v>0.16138450288603448</c:v>
                </c:pt>
                <c:pt idx="79">
                  <c:v>0.18286160908446969</c:v>
                </c:pt>
                <c:pt idx="80">
                  <c:v>0.20358428042241025</c:v>
                </c:pt>
                <c:pt idx="81">
                  <c:v>0.22418004372069522</c:v>
                </c:pt>
                <c:pt idx="82">
                  <c:v>0.24380872088883412</c:v>
                </c:pt>
                <c:pt idx="83">
                  <c:v>0.26392241528576393</c:v>
                </c:pt>
                <c:pt idx="84">
                  <c:v>0.28254331742211686</c:v>
                </c:pt>
                <c:pt idx="85">
                  <c:v>0.30106198331165568</c:v>
                </c:pt>
                <c:pt idx="86">
                  <c:v>0.31902209071003373</c:v>
                </c:pt>
                <c:pt idx="87">
                  <c:v>0.335832844552855</c:v>
                </c:pt>
                <c:pt idx="88">
                  <c:v>0.35263249814642983</c:v>
                </c:pt>
                <c:pt idx="89">
                  <c:v>0.36865625347152636</c:v>
                </c:pt>
                <c:pt idx="90">
                  <c:v>0.38388803253269882</c:v>
                </c:pt>
                <c:pt idx="91">
                  <c:v>0.39845618197642196</c:v>
                </c:pt>
                <c:pt idx="92">
                  <c:v>0.41209591657641681</c:v>
                </c:pt>
                <c:pt idx="93">
                  <c:v>0.42535266999421911</c:v>
                </c:pt>
                <c:pt idx="94">
                  <c:v>0.43832166609503609</c:v>
                </c:pt>
                <c:pt idx="95">
                  <c:v>0.44948033471669191</c:v>
                </c:pt>
                <c:pt idx="96">
                  <c:v>0.46046266580342521</c:v>
                </c:pt>
                <c:pt idx="97">
                  <c:v>0.47038405187526072</c:v>
                </c:pt>
                <c:pt idx="98">
                  <c:v>0.47904422586503814</c:v>
                </c:pt>
                <c:pt idx="99">
                  <c:v>0.48744066769065147</c:v>
                </c:pt>
                <c:pt idx="100">
                  <c:v>0.49488803421484351</c:v>
                </c:pt>
                <c:pt idx="101">
                  <c:v>0.50139067408788895</c:v>
                </c:pt>
                <c:pt idx="102">
                  <c:v>0.50719286321468648</c:v>
                </c:pt>
                <c:pt idx="103">
                  <c:v>0.51199158121908495</c:v>
                </c:pt>
                <c:pt idx="104">
                  <c:v>0.51602181183514073</c:v>
                </c:pt>
                <c:pt idx="105">
                  <c:v>0.5192959321529993</c:v>
                </c:pt>
                <c:pt idx="106">
                  <c:v>0.52169610894034191</c:v>
                </c:pt>
                <c:pt idx="107">
                  <c:v>0.52283280439671564</c:v>
                </c:pt>
                <c:pt idx="108">
                  <c:v>0.52393618663057973</c:v>
                </c:pt>
                <c:pt idx="109">
                  <c:v>0.52321075231800129</c:v>
                </c:pt>
                <c:pt idx="110">
                  <c:v>0.52211166009371535</c:v>
                </c:pt>
                <c:pt idx="111">
                  <c:v>0.52030385174381677</c:v>
                </c:pt>
                <c:pt idx="112">
                  <c:v>0.51705685590947859</c:v>
                </c:pt>
                <c:pt idx="113">
                  <c:v>0.51356625977435655</c:v>
                </c:pt>
                <c:pt idx="114">
                  <c:v>0.50920837262272944</c:v>
                </c:pt>
                <c:pt idx="115">
                  <c:v>0.50351117975157522</c:v>
                </c:pt>
                <c:pt idx="116">
                  <c:v>0.49762907970561665</c:v>
                </c:pt>
                <c:pt idx="117">
                  <c:v>0.49047822083959969</c:v>
                </c:pt>
                <c:pt idx="118">
                  <c:v>0.48251229996149392</c:v>
                </c:pt>
                <c:pt idx="119">
                  <c:v>0.47341565657713763</c:v>
                </c:pt>
                <c:pt idx="120">
                  <c:v>0.46381562669417142</c:v>
                </c:pt>
                <c:pt idx="121">
                  <c:v>0.45349659441716661</c:v>
                </c:pt>
                <c:pt idx="122">
                  <c:v>0.44251942310750253</c:v>
                </c:pt>
                <c:pt idx="123">
                  <c:v>0.43051991012660512</c:v>
                </c:pt>
                <c:pt idx="124">
                  <c:v>0.41765795940640182</c:v>
                </c:pt>
                <c:pt idx="125">
                  <c:v>0.40422364112594011</c:v>
                </c:pt>
                <c:pt idx="126">
                  <c:v>0.38982383554573175</c:v>
                </c:pt>
                <c:pt idx="127">
                  <c:v>0.37522950341093708</c:v>
                </c:pt>
                <c:pt idx="128">
                  <c:v>0.35948146125484998</c:v>
                </c:pt>
                <c:pt idx="129">
                  <c:v>0.34361755489780632</c:v>
                </c:pt>
                <c:pt idx="130">
                  <c:v>0.32599046102752766</c:v>
                </c:pt>
                <c:pt idx="131">
                  <c:v>0.30841073109763328</c:v>
                </c:pt>
                <c:pt idx="132">
                  <c:v>0.2902316859464189</c:v>
                </c:pt>
                <c:pt idx="133">
                  <c:v>0.27199520456689691</c:v>
                </c:pt>
                <c:pt idx="134">
                  <c:v>0.25283080669601432</c:v>
                </c:pt>
                <c:pt idx="135">
                  <c:v>0.23263106406513204</c:v>
                </c:pt>
                <c:pt idx="136">
                  <c:v>0.21244728509185939</c:v>
                </c:pt>
                <c:pt idx="137">
                  <c:v>0.19128098784155148</c:v>
                </c:pt>
                <c:pt idx="138">
                  <c:v>0.17053560684503499</c:v>
                </c:pt>
                <c:pt idx="139">
                  <c:v>0.14893562640088678</c:v>
                </c:pt>
                <c:pt idx="140">
                  <c:v>0.1273359118112902</c:v>
                </c:pt>
                <c:pt idx="141">
                  <c:v>0.10573559682838321</c:v>
                </c:pt>
                <c:pt idx="142">
                  <c:v>8.3134652782443863E-2</c:v>
                </c:pt>
                <c:pt idx="143">
                  <c:v>6.0544883779110915E-2</c:v>
                </c:pt>
                <c:pt idx="144">
                  <c:v>3.8037249406976843E-2</c:v>
                </c:pt>
                <c:pt idx="145">
                  <c:v>1.5339107416673893E-2</c:v>
                </c:pt>
                <c:pt idx="146">
                  <c:v>-6.959348917397315E-3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0-439B-9F8D-60BF4AD24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75"/>
          <c:min val="-0.7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(rad/s)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0.25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0.75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133350</xdr:rowOff>
    </xdr:from>
    <xdr:to>
      <xdr:col>7</xdr:col>
      <xdr:colOff>800100</xdr:colOff>
      <xdr:row>29</xdr:row>
      <xdr:rowOff>53975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workbookViewId="0"/>
  </sheetViews>
  <sheetFormatPr defaultRowHeight="14.25"/>
  <cols>
    <col min="1" max="1" width="39" customWidth="1"/>
    <col min="2" max="2" width="15" customWidth="1"/>
    <col min="3" max="4" width="19" customWidth="1"/>
    <col min="5" max="5" width="15" customWidth="1"/>
    <col min="6" max="6" width="16" customWidth="1"/>
  </cols>
  <sheetData>
    <row r="1" spans="1:6" ht="18.95" customHeight="1">
      <c r="A1" s="2" t="s">
        <v>0</v>
      </c>
      <c r="B1" s="1"/>
      <c r="C1" s="1"/>
      <c r="D1" s="1"/>
      <c r="E1" s="1"/>
      <c r="F1" s="1"/>
    </row>
    <row r="2" spans="1:6" ht="6" customHeight="1">
      <c r="A2" s="1"/>
      <c r="B2" s="1"/>
      <c r="C2" s="1"/>
      <c r="D2" s="1"/>
      <c r="E2" s="1"/>
      <c r="F2" s="1"/>
    </row>
    <row r="3" spans="1:6" ht="6" customHeight="1">
      <c r="A3" s="1"/>
      <c r="B3" s="1"/>
      <c r="C3" s="1"/>
      <c r="D3" s="1"/>
      <c r="E3" s="1"/>
      <c r="F3" s="1"/>
    </row>
    <row r="4" spans="1:6" ht="33.950000000000003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1"/>
    </row>
    <row r="5" spans="1:6" ht="18.95" customHeight="1">
      <c r="A5" s="1" t="s">
        <v>6</v>
      </c>
      <c r="B5" s="4">
        <f>COUNT('Paired Data'!B6:B152)</f>
        <v>147</v>
      </c>
      <c r="C5" s="5">
        <f>SQRT(SUM('Paired Data'!E6:E152)/B5)</f>
        <v>3.8745171869700973E-2</v>
      </c>
      <c r="D5" s="4">
        <f>COUNT('Paired Data'!D6:D152)</f>
        <v>147</v>
      </c>
      <c r="E5" s="1" t="s">
        <v>7</v>
      </c>
      <c r="F5" s="1"/>
    </row>
    <row r="6" spans="1:6" ht="18.95" customHeight="1">
      <c r="A6" s="1"/>
      <c r="B6" s="4"/>
      <c r="C6" s="5"/>
      <c r="D6" s="4"/>
      <c r="E6" s="1"/>
      <c r="F6" s="1"/>
    </row>
    <row r="7" spans="1:6" ht="18.95" customHeight="1">
      <c r="A7" s="1"/>
      <c r="B7" s="4"/>
      <c r="C7" s="5"/>
      <c r="D7" s="4"/>
      <c r="E7" s="1"/>
      <c r="F7" s="1"/>
    </row>
    <row r="8" spans="1:6" ht="18.95" customHeight="1">
      <c r="A8" s="1"/>
      <c r="B8" s="4"/>
      <c r="C8" s="5"/>
      <c r="D8" s="4"/>
      <c r="E8" s="1"/>
      <c r="F8" s="1"/>
    </row>
    <row r="9" spans="1:6" ht="18.95" customHeight="1">
      <c r="A9" s="1"/>
      <c r="B9" s="1"/>
      <c r="C9" s="1"/>
      <c r="D9" s="1"/>
      <c r="E9" s="1"/>
      <c r="F9" s="1"/>
    </row>
    <row r="10" spans="1:6" ht="18.95" customHeight="1">
      <c r="A10" s="1" t="s">
        <v>8</v>
      </c>
      <c r="B10" s="7">
        <v>20</v>
      </c>
      <c r="C10" s="1"/>
      <c r="D10" s="1"/>
      <c r="E10" s="1"/>
      <c r="F10" s="1"/>
    </row>
    <row r="11" spans="1:6" ht="18.95" customHeight="1">
      <c r="A11" s="1" t="s">
        <v>9</v>
      </c>
      <c r="B11" s="6">
        <f>60000/B10</f>
        <v>3000</v>
      </c>
      <c r="C11" s="1"/>
      <c r="D11" s="1"/>
      <c r="E11" s="1"/>
      <c r="F11" s="1"/>
    </row>
    <row r="12" spans="1:6" ht="18.95" customHeight="1">
      <c r="A12" s="1" t="s">
        <v>10</v>
      </c>
      <c r="B12" s="4">
        <f>COUNT('Native PMKS'!A6:A366)</f>
        <v>361</v>
      </c>
      <c r="C12" s="1"/>
      <c r="D12" s="1"/>
      <c r="E12" s="1"/>
      <c r="F12" s="1"/>
    </row>
    <row r="13" spans="1:6" ht="18.95" customHeight="1">
      <c r="A13" s="1" t="s">
        <v>11</v>
      </c>
      <c r="B13" s="4">
        <f>B12-1</f>
        <v>360</v>
      </c>
      <c r="C13" s="1"/>
      <c r="D13" s="1"/>
      <c r="E13" s="1"/>
      <c r="F13" s="1"/>
    </row>
    <row r="14" spans="1:6" ht="18.95" customHeight="1">
      <c r="A14" s="1" t="s">
        <v>12</v>
      </c>
      <c r="B14" s="6">
        <f>B11/B13</f>
        <v>8.3333333333333339</v>
      </c>
      <c r="C14" s="1"/>
      <c r="D14" s="1"/>
      <c r="E14" s="1"/>
      <c r="F14" s="1"/>
    </row>
    <row r="15" spans="1:6" ht="18.95" customHeight="1">
      <c r="A15" s="1" t="s">
        <v>13</v>
      </c>
      <c r="B15" s="4">
        <v>360</v>
      </c>
      <c r="C15" s="1"/>
      <c r="D15" s="1"/>
      <c r="E15" s="1"/>
      <c r="F15" s="1"/>
    </row>
    <row r="16" spans="1:6" ht="18.95" customHeight="1">
      <c r="A16" s="1" t="s">
        <v>14</v>
      </c>
      <c r="B16" s="4">
        <f>B15-1</f>
        <v>359</v>
      </c>
      <c r="C16" s="1"/>
      <c r="D16" s="1"/>
      <c r="E16" s="1"/>
      <c r="F16" s="1"/>
    </row>
    <row r="17" spans="1:6" ht="18.95" customHeight="1">
      <c r="A17" s="1" t="s">
        <v>15</v>
      </c>
      <c r="B17" s="6">
        <f>B11/B16</f>
        <v>8.3565459610027855</v>
      </c>
      <c r="C17" s="1"/>
      <c r="D17" s="1"/>
      <c r="E17" s="1"/>
      <c r="F17" s="1"/>
    </row>
    <row r="18" spans="1:6" ht="18.95" customHeight="1">
      <c r="A18" s="1" t="s">
        <v>16</v>
      </c>
      <c r="B18" s="7">
        <v>99.846153846153626</v>
      </c>
      <c r="C18" s="1"/>
      <c r="D18" s="1"/>
      <c r="E18" s="1"/>
      <c r="F18" s="1"/>
    </row>
    <row r="19" spans="1:6" ht="18.95" customHeight="1">
      <c r="A19" s="1" t="s">
        <v>17</v>
      </c>
      <c r="B19" s="6">
        <f>DEGREES(ATAN2('Native PMKS'!E6,'Native PMKS'!F6))</f>
        <v>90.030076521916186</v>
      </c>
      <c r="C19" s="1"/>
      <c r="D19" s="1"/>
      <c r="E19" s="1"/>
      <c r="F19" s="1"/>
    </row>
    <row r="20" spans="1:6" ht="18.95" customHeight="1">
      <c r="A20" s="1" t="s">
        <v>18</v>
      </c>
      <c r="B20" s="6">
        <f>MOD(B18-B19,360)/360*B11</f>
        <v>81.800644368645337</v>
      </c>
      <c r="C20" s="1"/>
      <c r="D20" s="1"/>
      <c r="E20" s="1"/>
      <c r="F20" s="1"/>
    </row>
    <row r="21" spans="1:6" ht="18.95" customHeight="1">
      <c r="A21" s="1" t="s">
        <v>19</v>
      </c>
      <c r="B21" s="4">
        <v>1377</v>
      </c>
      <c r="C21" s="1"/>
      <c r="D21" s="1"/>
      <c r="E21" s="1"/>
      <c r="F21" s="1"/>
    </row>
    <row r="22" spans="1:6" ht="18.95" customHeight="1">
      <c r="A22" s="1" t="s">
        <v>20</v>
      </c>
      <c r="B22" s="4">
        <v>1523</v>
      </c>
      <c r="C22" s="1"/>
      <c r="D22" s="1"/>
      <c r="E22" s="1"/>
      <c r="F22" s="1"/>
    </row>
    <row r="23" spans="1:6" ht="18.95" customHeight="1">
      <c r="A23" s="1" t="s">
        <v>21</v>
      </c>
      <c r="B23" s="4">
        <v>50724</v>
      </c>
      <c r="C23" s="1"/>
      <c r="D23" s="1"/>
      <c r="E23" s="1"/>
      <c r="F23" s="1"/>
    </row>
    <row r="24" spans="1:6" ht="18.95" customHeight="1">
      <c r="A24" s="1" t="s">
        <v>22</v>
      </c>
      <c r="B24" s="6">
        <f>B23-'CS Rate'!B6</f>
        <v>2944</v>
      </c>
      <c r="C24" s="1"/>
      <c r="D24" s="1"/>
      <c r="E24" s="1"/>
      <c r="F24" s="1"/>
    </row>
    <row r="25" spans="1:6" ht="18.95" customHeight="1">
      <c r="A25" s="1" t="s">
        <v>23</v>
      </c>
      <c r="B25" s="6">
        <f>60000/B24</f>
        <v>20.380434782608695</v>
      </c>
      <c r="C25" s="1"/>
      <c r="D25" s="1"/>
      <c r="E25" s="1"/>
      <c r="F25" s="1"/>
    </row>
    <row r="26" spans="1:6" ht="18.95" customHeight="1">
      <c r="A26" s="1"/>
      <c r="B26" s="1"/>
      <c r="C26" s="1"/>
      <c r="D26" s="1"/>
      <c r="E26" s="1"/>
      <c r="F26" s="1"/>
    </row>
    <row r="27" spans="1:6" ht="18.95" customHeight="1">
      <c r="A27" s="1" t="s">
        <v>24</v>
      </c>
      <c r="B27" s="1" t="s">
        <v>7</v>
      </c>
      <c r="C27" s="1"/>
      <c r="D27" s="1"/>
      <c r="E27" s="1"/>
      <c r="F27" s="1"/>
    </row>
    <row r="28" spans="1:6" ht="18.95" customHeight="1">
      <c r="A28" s="1"/>
      <c r="B28" s="1"/>
      <c r="C28" s="1"/>
      <c r="D28" s="1"/>
      <c r="E28" s="1"/>
      <c r="F28" s="1"/>
    </row>
    <row r="29" spans="1:6" ht="18.95" customHeight="1">
      <c r="A29" s="1"/>
      <c r="B29" s="1"/>
      <c r="C29" s="1"/>
      <c r="D29" s="1"/>
      <c r="E29" s="1"/>
      <c r="F29" s="1"/>
    </row>
    <row r="30" spans="1:6" ht="18.95" customHeight="1">
      <c r="A30" s="1"/>
      <c r="B30" s="1"/>
      <c r="C30" s="1"/>
      <c r="D30" s="1"/>
      <c r="E30" s="1"/>
      <c r="F30" s="1"/>
    </row>
    <row r="31" spans="1:6" ht="18.95" customHeight="1">
      <c r="A31" s="1"/>
      <c r="B31" s="1"/>
      <c r="C31" s="1"/>
      <c r="D31" s="1"/>
      <c r="E31" s="1"/>
      <c r="F31" s="1"/>
    </row>
    <row r="32" spans="1:6" ht="18.95" customHeight="1">
      <c r="A32" s="1"/>
      <c r="B32" s="1"/>
      <c r="C32" s="1"/>
      <c r="D32" s="1"/>
      <c r="E32" s="1"/>
      <c r="F32" s="1"/>
    </row>
    <row r="33" spans="1:6" ht="18.95" customHeight="1">
      <c r="A33" s="1"/>
      <c r="B33" s="1"/>
      <c r="C33" s="1"/>
      <c r="D33" s="1"/>
      <c r="E33" s="1"/>
      <c r="F33" s="1"/>
    </row>
    <row r="34" spans="1:6" ht="18.95" customHeight="1">
      <c r="A34" s="1"/>
      <c r="B34" s="1"/>
      <c r="C34" s="1"/>
      <c r="D34" s="1"/>
      <c r="E34" s="1"/>
      <c r="F34" s="1"/>
    </row>
    <row r="35" spans="1:6" ht="18.95" customHeight="1">
      <c r="A35" s="1"/>
      <c r="B35" s="1"/>
      <c r="C35" s="1"/>
      <c r="D35" s="1"/>
      <c r="E35" s="1"/>
      <c r="F35" s="1"/>
    </row>
    <row r="36" spans="1:6" ht="18.95" customHeight="1">
      <c r="A36" s="1"/>
      <c r="B36" s="1"/>
      <c r="C36" s="1"/>
      <c r="D36" s="1"/>
      <c r="E36" s="1"/>
      <c r="F36" s="1"/>
    </row>
    <row r="37" spans="1:6" ht="18.95" customHeight="1">
      <c r="A37" s="1"/>
      <c r="B37" s="1"/>
      <c r="C37" s="1"/>
      <c r="D37" s="1"/>
      <c r="E37" s="1"/>
      <c r="F37" s="1"/>
    </row>
    <row r="38" spans="1:6" ht="18.95" customHeight="1">
      <c r="A38" s="1"/>
      <c r="B38" s="1"/>
      <c r="C38" s="1"/>
      <c r="D38" s="1"/>
      <c r="E38" s="1"/>
      <c r="F38" s="1"/>
    </row>
    <row r="39" spans="1:6" ht="18.95" customHeight="1">
      <c r="A39" s="1"/>
      <c r="B39" s="1"/>
      <c r="C39" s="1"/>
      <c r="D39" s="1"/>
      <c r="E39" s="1"/>
      <c r="F39" s="1"/>
    </row>
    <row r="40" spans="1:6" ht="18.95" customHeight="1">
      <c r="A40" s="1"/>
      <c r="B40" s="1"/>
      <c r="C40" s="1"/>
      <c r="D40" s="1"/>
      <c r="E40" s="1"/>
      <c r="F40" s="1"/>
    </row>
    <row r="41" spans="1:6" ht="18.95" customHeight="1">
      <c r="A41" s="1"/>
      <c r="B41" s="1"/>
      <c r="C41" s="1"/>
      <c r="D41" s="1"/>
      <c r="E41" s="1"/>
      <c r="F41" s="1"/>
    </row>
    <row r="42" spans="1:6" ht="18.95" customHeight="1">
      <c r="A42" s="1"/>
      <c r="B42" s="1"/>
      <c r="C42" s="1"/>
      <c r="D42" s="1"/>
      <c r="E42" s="1"/>
      <c r="F42" s="1"/>
    </row>
    <row r="43" spans="1:6" ht="18.95" customHeight="1">
      <c r="A43" s="1"/>
      <c r="B43" s="1"/>
      <c r="C43" s="1"/>
      <c r="D43" s="1"/>
      <c r="E43" s="1"/>
      <c r="F43" s="1"/>
    </row>
    <row r="44" spans="1:6" ht="18.95" customHeight="1">
      <c r="A44" s="1"/>
      <c r="B44" s="1"/>
      <c r="C44" s="1"/>
      <c r="D44" s="1"/>
      <c r="E44" s="1"/>
      <c r="F44" s="1"/>
    </row>
    <row r="45" spans="1:6" ht="18.95" customHeight="1">
      <c r="A45" s="1"/>
      <c r="B45" s="1"/>
      <c r="C45" s="1"/>
      <c r="D45" s="1"/>
      <c r="E45" s="1"/>
      <c r="F45" s="1"/>
    </row>
    <row r="46" spans="1:6" ht="18.95" customHeight="1">
      <c r="A46" s="1"/>
      <c r="B46" s="1"/>
      <c r="C46" s="1"/>
      <c r="D46" s="1"/>
      <c r="E46" s="1"/>
      <c r="F46" s="1"/>
    </row>
    <row r="47" spans="1:6" ht="18.95" customHeight="1">
      <c r="A47" s="1"/>
      <c r="B47" s="1"/>
      <c r="C47" s="1"/>
      <c r="D47" s="1"/>
      <c r="E47" s="1"/>
      <c r="F47" s="1"/>
    </row>
    <row r="48" spans="1:6" ht="18.95" customHeight="1">
      <c r="A48" s="1"/>
      <c r="B48" s="1"/>
      <c r="C48" s="1"/>
      <c r="D48" s="1"/>
      <c r="E48" s="1"/>
      <c r="F48" s="1"/>
    </row>
    <row r="49" spans="1:6" ht="18.95" customHeight="1">
      <c r="A49" s="1"/>
      <c r="B49" s="1"/>
      <c r="C49" s="1"/>
      <c r="D49" s="1"/>
      <c r="E49" s="1"/>
      <c r="F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5" width="16" customWidth="1"/>
  </cols>
  <sheetData>
    <row r="1" spans="1:5" ht="18.95" customHeight="1">
      <c r="A1" s="2" t="s">
        <v>25</v>
      </c>
      <c r="B1" s="1"/>
      <c r="C1" s="1"/>
      <c r="D1" s="1"/>
      <c r="E1" s="1"/>
    </row>
    <row r="2" spans="1:5" ht="6" customHeight="1">
      <c r="A2" s="1"/>
      <c r="B2" s="1"/>
      <c r="C2" s="1"/>
      <c r="D2" s="1"/>
      <c r="E2" s="1"/>
    </row>
    <row r="3" spans="1:5" ht="6" customHeight="1">
      <c r="A3" s="1"/>
      <c r="B3" s="1"/>
      <c r="C3" s="1"/>
      <c r="D3" s="1"/>
      <c r="E3" s="1"/>
    </row>
    <row r="4" spans="1:5" ht="18.95" customHeight="1">
      <c r="A4" s="1"/>
      <c r="B4" s="1"/>
      <c r="C4" s="1"/>
      <c r="D4" s="1"/>
      <c r="E4" s="1"/>
    </row>
    <row r="5" spans="1:5" ht="48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</row>
    <row r="6" spans="1:5" ht="18.95" customHeight="1">
      <c r="A6" s="4">
        <f>'CS Rate'!A6</f>
        <v>1377</v>
      </c>
      <c r="B6" s="9">
        <f>'CS Rate'!C6</f>
        <v>0</v>
      </c>
      <c r="C6" s="6">
        <f>'CS Rate'!K6</f>
        <v>-0.09</v>
      </c>
      <c r="D6" s="6">
        <f>'CS Rate'!T6</f>
        <v>-9.2344516840043453E-2</v>
      </c>
      <c r="E6" s="6">
        <f t="shared" ref="E6:E37" si="0">(C6-D6)^2</f>
        <v>5.4967592132473537E-6</v>
      </c>
    </row>
    <row r="7" spans="1:5" ht="18.95" customHeight="1">
      <c r="A7" s="4">
        <f>'CS Rate'!A7</f>
        <v>1378</v>
      </c>
      <c r="B7" s="9">
        <f>'CS Rate'!C7</f>
        <v>20</v>
      </c>
      <c r="C7" s="6">
        <f>'CS Rate'!K7</f>
        <v>-0.11</v>
      </c>
      <c r="D7" s="6">
        <f>'CS Rate'!T7</f>
        <v>-0.11494442474653732</v>
      </c>
      <c r="E7" s="6">
        <f t="shared" si="0"/>
        <v>2.4447336074170651E-5</v>
      </c>
    </row>
    <row r="8" spans="1:5" ht="18.95" customHeight="1">
      <c r="A8" s="4">
        <f>'CS Rate'!A8</f>
        <v>1379</v>
      </c>
      <c r="B8" s="9">
        <f>'CS Rate'!C8</f>
        <v>40</v>
      </c>
      <c r="C8" s="6">
        <f>'CS Rate'!K8</f>
        <v>-0.15</v>
      </c>
      <c r="D8" s="6">
        <f>'CS Rate'!T8</f>
        <v>-0.13654428201509905</v>
      </c>
      <c r="E8" s="6">
        <f t="shared" si="0"/>
        <v>1.8105634648918673E-4</v>
      </c>
    </row>
    <row r="9" spans="1:5" ht="18.95" customHeight="1">
      <c r="A9" s="4">
        <f>'CS Rate'!A9</f>
        <v>1380</v>
      </c>
      <c r="B9" s="9">
        <f>'CS Rate'!C9</f>
        <v>60</v>
      </c>
      <c r="C9" s="6">
        <f>'CS Rate'!K9</f>
        <v>-0.17</v>
      </c>
      <c r="D9" s="6">
        <f>'CS Rate'!T9</f>
        <v>-0.15814417978185802</v>
      </c>
      <c r="E9" s="6">
        <f t="shared" si="0"/>
        <v>1.4056047304490446E-4</v>
      </c>
    </row>
    <row r="10" spans="1:5" ht="18.95" customHeight="1">
      <c r="A10" s="4">
        <f>'CS Rate'!A10</f>
        <v>1381</v>
      </c>
      <c r="B10" s="9">
        <f>'CS Rate'!C10</f>
        <v>80</v>
      </c>
      <c r="C10" s="6">
        <f>'CS Rate'!K10</f>
        <v>-0.21</v>
      </c>
      <c r="D10" s="6">
        <f>'CS Rate'!T10</f>
        <v>-0.17972485125149251</v>
      </c>
      <c r="E10" s="6">
        <f t="shared" si="0"/>
        <v>9.1658463174425404E-4</v>
      </c>
    </row>
    <row r="11" spans="1:5" ht="18.95" customHeight="1">
      <c r="A11" s="4">
        <f>'CS Rate'!A11</f>
        <v>1382</v>
      </c>
      <c r="B11" s="9">
        <f>'CS Rate'!C11</f>
        <v>100</v>
      </c>
      <c r="C11" s="6">
        <f>'CS Rate'!K11</f>
        <v>-0.23</v>
      </c>
      <c r="D11" s="6">
        <f>'CS Rate'!T11</f>
        <v>-0.20029784737506848</v>
      </c>
      <c r="E11" s="6">
        <f t="shared" si="0"/>
        <v>8.8221787055472718E-4</v>
      </c>
    </row>
    <row r="12" spans="1:5" ht="18.95" customHeight="1">
      <c r="A12" s="4">
        <f>'CS Rate'!A12</f>
        <v>1383</v>
      </c>
      <c r="B12" s="9">
        <f>'CS Rate'!C12</f>
        <v>120</v>
      </c>
      <c r="C12" s="6">
        <f>'CS Rate'!K12</f>
        <v>-0.26</v>
      </c>
      <c r="D12" s="6">
        <f>'CS Rate'!T12</f>
        <v>-0.22073917437614402</v>
      </c>
      <c r="E12" s="6">
        <f t="shared" si="0"/>
        <v>1.5414124286668273E-3</v>
      </c>
    </row>
    <row r="13" spans="1:5" ht="18.95" customHeight="1">
      <c r="A13" s="4">
        <f>'CS Rate'!A13</f>
        <v>1384</v>
      </c>
      <c r="B13" s="9">
        <f>'CS Rate'!C13</f>
        <v>140</v>
      </c>
      <c r="C13" s="6">
        <f>'CS Rate'!K13</f>
        <v>-0.28999999999999998</v>
      </c>
      <c r="D13" s="6">
        <f>'CS Rate'!T13</f>
        <v>-0.24092884127484623</v>
      </c>
      <c r="E13" s="6">
        <f t="shared" si="0"/>
        <v>2.4079786186292328E-3</v>
      </c>
    </row>
    <row r="14" spans="1:5" ht="18.95" customHeight="1">
      <c r="A14" s="4">
        <f>'CS Rate'!A14</f>
        <v>1385</v>
      </c>
      <c r="B14" s="9">
        <f>'CS Rate'!C14</f>
        <v>160</v>
      </c>
      <c r="C14" s="6">
        <f>'CS Rate'!K14</f>
        <v>-0.32</v>
      </c>
      <c r="D14" s="6">
        <f>'CS Rate'!T14</f>
        <v>-0.26012858140846762</v>
      </c>
      <c r="E14" s="6">
        <f t="shared" si="0"/>
        <v>3.5845867641624901E-3</v>
      </c>
    </row>
    <row r="15" spans="1:5" ht="18.95" customHeight="1">
      <c r="A15" s="4">
        <f>'CS Rate'!A15</f>
        <v>1386</v>
      </c>
      <c r="B15" s="9">
        <f>'CS Rate'!C15</f>
        <v>180</v>
      </c>
      <c r="C15" s="6">
        <f>'CS Rate'!K15</f>
        <v>-0.32</v>
      </c>
      <c r="D15" s="6">
        <f>'CS Rate'!T15</f>
        <v>-0.27932825037795633</v>
      </c>
      <c r="E15" s="6">
        <f t="shared" si="0"/>
        <v>1.6541912173182096E-3</v>
      </c>
    </row>
    <row r="16" spans="1:5" ht="18.95" customHeight="1">
      <c r="A16" s="4">
        <f>'CS Rate'!A16</f>
        <v>1387</v>
      </c>
      <c r="B16" s="9">
        <f>'CS Rate'!C16</f>
        <v>200</v>
      </c>
      <c r="C16" s="6">
        <f>'CS Rate'!K16</f>
        <v>-0.34</v>
      </c>
      <c r="D16" s="6">
        <f>'CS Rate'!T16</f>
        <v>-0.29845996223576349</v>
      </c>
      <c r="E16" s="6">
        <f t="shared" si="0"/>
        <v>1.7255747374541977E-3</v>
      </c>
    </row>
    <row r="17" spans="1:5" ht="18.95" customHeight="1">
      <c r="A17" s="4">
        <f>'CS Rate'!A17</f>
        <v>1388</v>
      </c>
      <c r="B17" s="9">
        <f>'CS Rate'!C17</f>
        <v>220</v>
      </c>
      <c r="C17" s="6">
        <f>'CS Rate'!K17</f>
        <v>-0.36</v>
      </c>
      <c r="D17" s="6">
        <f>'CS Rate'!T17</f>
        <v>-0.31651281039003132</v>
      </c>
      <c r="E17" s="6">
        <f t="shared" si="0"/>
        <v>1.8911356601733669E-3</v>
      </c>
    </row>
    <row r="18" spans="1:5" ht="18.95" customHeight="1">
      <c r="A18" s="4">
        <f>'CS Rate'!A18</f>
        <v>1389</v>
      </c>
      <c r="B18" s="9">
        <f>'CS Rate'!C18</f>
        <v>240</v>
      </c>
      <c r="C18" s="6">
        <f>'CS Rate'!K18</f>
        <v>-0.37</v>
      </c>
      <c r="D18" s="6">
        <f>'CS Rate'!T18</f>
        <v>-0.33331265892614542</v>
      </c>
      <c r="E18" s="6">
        <f t="shared" si="0"/>
        <v>1.3459609950693368E-3</v>
      </c>
    </row>
    <row r="19" spans="1:5" ht="18.95" customHeight="1">
      <c r="A19" s="4">
        <f>'CS Rate'!A19</f>
        <v>1390</v>
      </c>
      <c r="B19" s="9">
        <f>'CS Rate'!C19</f>
        <v>260</v>
      </c>
      <c r="C19" s="6">
        <f>'CS Rate'!K19</f>
        <v>-0.39</v>
      </c>
      <c r="D19" s="6">
        <f>'CS Rate'!T19</f>
        <v>-0.35011230286994699</v>
      </c>
      <c r="E19" s="6">
        <f t="shared" si="0"/>
        <v>1.5910283823388402E-3</v>
      </c>
    </row>
    <row r="20" spans="1:5" ht="18.95" customHeight="1">
      <c r="A20" s="4">
        <f>'CS Rate'!A20</f>
        <v>1391</v>
      </c>
      <c r="B20" s="9">
        <f>'CS Rate'!C20</f>
        <v>280</v>
      </c>
      <c r="C20" s="6">
        <f>'CS Rate'!K20</f>
        <v>-0.4</v>
      </c>
      <c r="D20" s="6">
        <f>'CS Rate'!T20</f>
        <v>-0.36587643484026089</v>
      </c>
      <c r="E20" s="6">
        <f t="shared" si="0"/>
        <v>1.1644176992109624E-3</v>
      </c>
    </row>
    <row r="21" spans="1:5" ht="18.95" customHeight="1">
      <c r="A21" s="4">
        <f>'CS Rate'!A21</f>
        <v>1392</v>
      </c>
      <c r="B21" s="9">
        <f>'CS Rate'!C21</f>
        <v>300</v>
      </c>
      <c r="C21" s="6">
        <f>'CS Rate'!K21</f>
        <v>-0.46</v>
      </c>
      <c r="D21" s="6">
        <f>'CS Rate'!T21</f>
        <v>-0.38162446714381426</v>
      </c>
      <c r="E21" s="6">
        <f t="shared" si="0"/>
        <v>6.1427241504910532E-3</v>
      </c>
    </row>
    <row r="22" spans="1:5" ht="18.95" customHeight="1">
      <c r="A22" s="4">
        <f>'CS Rate'!A22</f>
        <v>1393</v>
      </c>
      <c r="B22" s="9">
        <f>'CS Rate'!C22</f>
        <v>320</v>
      </c>
      <c r="C22" s="6">
        <f>'CS Rate'!K22</f>
        <v>-0.47</v>
      </c>
      <c r="D22" s="6">
        <f>'CS Rate'!T22</f>
        <v>-0.39629598509761715</v>
      </c>
      <c r="E22" s="6">
        <f t="shared" si="0"/>
        <v>5.432281812730669E-3</v>
      </c>
    </row>
    <row r="23" spans="1:5" ht="18.95" customHeight="1">
      <c r="A23" s="4">
        <f>'CS Rate'!A23</f>
        <v>1394</v>
      </c>
      <c r="B23" s="9">
        <f>'CS Rate'!C23</f>
        <v>340</v>
      </c>
      <c r="C23" s="6">
        <f>'CS Rate'!K23</f>
        <v>-0.48</v>
      </c>
      <c r="D23" s="6">
        <f>'CS Rate'!T23</f>
        <v>-0.41014835708777553</v>
      </c>
      <c r="E23" s="6">
        <f t="shared" si="0"/>
        <v>4.879252017536917E-3</v>
      </c>
    </row>
    <row r="24" spans="1:5" ht="18.95" customHeight="1">
      <c r="A24" s="4">
        <f>'CS Rate'!A24</f>
        <v>1395</v>
      </c>
      <c r="B24" s="9">
        <f>'CS Rate'!C24</f>
        <v>360</v>
      </c>
      <c r="C24" s="6">
        <f>'CS Rate'!K24</f>
        <v>-0.51</v>
      </c>
      <c r="D24" s="6">
        <f>'CS Rate'!T24</f>
        <v>-0.42308013538517542</v>
      </c>
      <c r="E24" s="6">
        <f t="shared" si="0"/>
        <v>7.5550628646594365E-3</v>
      </c>
    </row>
    <row r="25" spans="1:5" ht="18.95" customHeight="1">
      <c r="A25" s="4">
        <f>'CS Rate'!A25</f>
        <v>1396</v>
      </c>
      <c r="B25" s="9">
        <f>'CS Rate'!C25</f>
        <v>380</v>
      </c>
      <c r="C25" s="6">
        <f>'CS Rate'!K25</f>
        <v>-0.51</v>
      </c>
      <c r="D25" s="6">
        <f>'CS Rate'!T25</f>
        <v>-0.43603954364012426</v>
      </c>
      <c r="E25" s="6">
        <f t="shared" si="0"/>
        <v>5.4701491049610846E-3</v>
      </c>
    </row>
    <row r="26" spans="1:5" ht="18.95" customHeight="1">
      <c r="A26" s="4">
        <f>'CS Rate'!A26</f>
        <v>1397</v>
      </c>
      <c r="B26" s="9">
        <f>'CS Rate'!C26</f>
        <v>400</v>
      </c>
      <c r="C26" s="6">
        <f>'CS Rate'!K26</f>
        <v>-0.53</v>
      </c>
      <c r="D26" s="6">
        <f>'CS Rate'!T26</f>
        <v>-0.44708015792934935</v>
      </c>
      <c r="E26" s="6">
        <f t="shared" si="0"/>
        <v>6.8757002090216492E-3</v>
      </c>
    </row>
    <row r="27" spans="1:5" ht="18.95" customHeight="1">
      <c r="A27" s="4">
        <f>'CS Rate'!A27</f>
        <v>1398</v>
      </c>
      <c r="B27" s="9">
        <f>'CS Rate'!C27</f>
        <v>420</v>
      </c>
      <c r="C27" s="6">
        <f>'CS Rate'!K27</f>
        <v>-0.51</v>
      </c>
      <c r="D27" s="6">
        <f>'CS Rate'!T27</f>
        <v>-0.45787315479597562</v>
      </c>
      <c r="E27" s="6">
        <f t="shared" si="0"/>
        <v>2.7172079909243202E-3</v>
      </c>
    </row>
    <row r="28" spans="1:5" ht="18.95" customHeight="1">
      <c r="A28" s="4">
        <f>'CS Rate'!A28</f>
        <v>1399</v>
      </c>
      <c r="B28" s="9">
        <f>'CS Rate'!C28</f>
        <v>440</v>
      </c>
      <c r="C28" s="6">
        <f>'CS Rate'!K28</f>
        <v>-0.51</v>
      </c>
      <c r="D28" s="6">
        <f>'CS Rate'!T28</f>
        <v>-0.46846391044538666</v>
      </c>
      <c r="E28" s="6">
        <f t="shared" si="0"/>
        <v>1.7252467354888605E-3</v>
      </c>
    </row>
    <row r="29" spans="1:5" ht="18.95" customHeight="1">
      <c r="A29" s="4">
        <f>'CS Rate'!A29</f>
        <v>1400</v>
      </c>
      <c r="B29" s="9">
        <f>'CS Rate'!C29</f>
        <v>460</v>
      </c>
      <c r="C29" s="6">
        <f>'CS Rate'!K29</f>
        <v>-0.51</v>
      </c>
      <c r="D29" s="6">
        <f>'CS Rate'!T29</f>
        <v>-0.47719974679635463</v>
      </c>
      <c r="E29" s="6">
        <f t="shared" si="0"/>
        <v>1.0758566102232489E-3</v>
      </c>
    </row>
    <row r="30" spans="1:5" ht="18.95" customHeight="1">
      <c r="A30" s="4">
        <f>'CS Rate'!A30</f>
        <v>1401</v>
      </c>
      <c r="B30" s="9">
        <f>'CS Rate'!C30</f>
        <v>480</v>
      </c>
      <c r="C30" s="6">
        <f>'CS Rate'!K30</f>
        <v>-0.5</v>
      </c>
      <c r="D30" s="6">
        <f>'CS Rate'!T30</f>
        <v>-0.48562118354015565</v>
      </c>
      <c r="E30" s="6">
        <f t="shared" si="0"/>
        <v>2.0675036278589069E-4</v>
      </c>
    </row>
    <row r="31" spans="1:5" ht="18.95" customHeight="1">
      <c r="A31" s="4">
        <f>'CS Rate'!A31</f>
        <v>1402</v>
      </c>
      <c r="B31" s="9">
        <f>'CS Rate'!C31</f>
        <v>500</v>
      </c>
      <c r="C31" s="6">
        <f>'CS Rate'!K31</f>
        <v>-0.49</v>
      </c>
      <c r="D31" s="6">
        <f>'CS Rate'!T31</f>
        <v>-0.49344792814243793</v>
      </c>
      <c r="E31" s="6">
        <f t="shared" si="0"/>
        <v>1.1888208475415539E-5</v>
      </c>
    </row>
    <row r="32" spans="1:5" ht="18.95" customHeight="1">
      <c r="A32" s="4">
        <f>'CS Rate'!A32</f>
        <v>1403</v>
      </c>
      <c r="B32" s="9">
        <f>'CS Rate'!C32</f>
        <v>520</v>
      </c>
      <c r="C32" s="6">
        <f>'CS Rate'!K32</f>
        <v>-0.5</v>
      </c>
      <c r="D32" s="6">
        <f>'CS Rate'!T32</f>
        <v>-0.50043551265145569</v>
      </c>
      <c r="E32" s="6">
        <f t="shared" si="0"/>
        <v>1.8967126957796878E-7</v>
      </c>
    </row>
    <row r="33" spans="1:5" ht="18.95" customHeight="1">
      <c r="A33" s="4">
        <f>'CS Rate'!A33</f>
        <v>1404</v>
      </c>
      <c r="B33" s="9">
        <f>'CS Rate'!C33</f>
        <v>540</v>
      </c>
      <c r="C33" s="6">
        <f>'CS Rate'!K33</f>
        <v>-0.51</v>
      </c>
      <c r="D33" s="6">
        <f>'CS Rate'!T33</f>
        <v>-0.50623279249974962</v>
      </c>
      <c r="E33" s="6">
        <f t="shared" si="0"/>
        <v>1.4191852349942801E-5</v>
      </c>
    </row>
    <row r="34" spans="1:5" ht="18.95" customHeight="1">
      <c r="A34" s="4">
        <f>'CS Rate'!A34</f>
        <v>1405</v>
      </c>
      <c r="B34" s="9">
        <f>'CS Rate'!C34</f>
        <v>560</v>
      </c>
      <c r="C34" s="6">
        <f>'CS Rate'!K34</f>
        <v>-0.52</v>
      </c>
      <c r="D34" s="6">
        <f>'CS Rate'!T34</f>
        <v>-0.51103167296458185</v>
      </c>
      <c r="E34" s="6">
        <f t="shared" si="0"/>
        <v>8.0430889814212398E-5</v>
      </c>
    </row>
    <row r="35" spans="1:5" ht="18.95" customHeight="1">
      <c r="A35" s="4">
        <f>'CS Rate'!A35</f>
        <v>1406</v>
      </c>
      <c r="B35" s="9">
        <f>'CS Rate'!C35</f>
        <v>580</v>
      </c>
      <c r="C35" s="6">
        <f>'CS Rate'!K35</f>
        <v>-0.52</v>
      </c>
      <c r="D35" s="6">
        <f>'CS Rate'!T35</f>
        <v>-0.5154592099141635</v>
      </c>
      <c r="E35" s="6">
        <f t="shared" si="0"/>
        <v>2.0618774603631242E-5</v>
      </c>
    </row>
    <row r="36" spans="1:5" ht="18.95" customHeight="1">
      <c r="A36" s="4">
        <f>'CS Rate'!A36</f>
        <v>1407</v>
      </c>
      <c r="B36" s="9">
        <f>'CS Rate'!C36</f>
        <v>600</v>
      </c>
      <c r="C36" s="6">
        <f>'CS Rate'!K36</f>
        <v>-0.51</v>
      </c>
      <c r="D36" s="6">
        <f>'CS Rate'!T36</f>
        <v>-0.51881589679553086</v>
      </c>
      <c r="E36" s="6">
        <f t="shared" si="0"/>
        <v>7.7720036309451168E-5</v>
      </c>
    </row>
    <row r="37" spans="1:5" ht="18.95" customHeight="1">
      <c r="A37" s="4">
        <f>'CS Rate'!A37</f>
        <v>1408</v>
      </c>
      <c r="B37" s="9">
        <f>'CS Rate'!C37</f>
        <v>620</v>
      </c>
      <c r="C37" s="6">
        <f>'CS Rate'!K37</f>
        <v>-0.52</v>
      </c>
      <c r="D37" s="6">
        <f>'CS Rate'!T37</f>
        <v>-0.52121607358287336</v>
      </c>
      <c r="E37" s="6">
        <f t="shared" si="0"/>
        <v>1.478834958962414E-6</v>
      </c>
    </row>
    <row r="38" spans="1:5" ht="18.95" customHeight="1">
      <c r="A38" s="4">
        <f>'CS Rate'!A38</f>
        <v>1409</v>
      </c>
      <c r="B38" s="9">
        <f>'CS Rate'!C38</f>
        <v>640</v>
      </c>
      <c r="C38" s="6">
        <f>'CS Rate'!K38</f>
        <v>-0.55000000000000004</v>
      </c>
      <c r="D38" s="6">
        <f>'CS Rate'!T38</f>
        <v>-0.52252517694619782</v>
      </c>
      <c r="E38" s="6">
        <f t="shared" ref="E38:E69" si="1">(C38-D38)^2</f>
        <v>7.5486590183774203E-4</v>
      </c>
    </row>
    <row r="39" spans="1:5" ht="18.95" customHeight="1">
      <c r="A39" s="4">
        <f>'CS Rate'!A39</f>
        <v>1410</v>
      </c>
      <c r="B39" s="9">
        <f>'CS Rate'!C39</f>
        <v>660</v>
      </c>
      <c r="C39" s="6">
        <f>'CS Rate'!K39</f>
        <v>-0.56000000000000005</v>
      </c>
      <c r="D39" s="6">
        <f>'CS Rate'!T39</f>
        <v>-0.52382566933442709</v>
      </c>
      <c r="E39" s="6">
        <f t="shared" si="1"/>
        <v>1.3085821991022123E-3</v>
      </c>
    </row>
    <row r="40" spans="1:5" ht="18.95" customHeight="1">
      <c r="A40" s="4">
        <f>'CS Rate'!A40</f>
        <v>1411</v>
      </c>
      <c r="B40" s="9">
        <f>'CS Rate'!C40</f>
        <v>680</v>
      </c>
      <c r="C40" s="6">
        <f>'CS Rate'!K40</f>
        <v>-0.53</v>
      </c>
      <c r="D40" s="6">
        <f>'CS Rate'!T40</f>
        <v>-0.52362564857944194</v>
      </c>
      <c r="E40" s="6">
        <f t="shared" si="1"/>
        <v>4.0632356032770926E-5</v>
      </c>
    </row>
    <row r="41" spans="1:5" ht="18.95" customHeight="1">
      <c r="A41" s="4">
        <f>'CS Rate'!A41</f>
        <v>1412</v>
      </c>
      <c r="B41" s="9">
        <f>'CS Rate'!C41</f>
        <v>700</v>
      </c>
      <c r="C41" s="6">
        <f>'CS Rate'!K41</f>
        <v>-0.51</v>
      </c>
      <c r="D41" s="6">
        <f>'CS Rate'!T41</f>
        <v>-0.5223294462007908</v>
      </c>
      <c r="E41" s="6">
        <f t="shared" si="1"/>
        <v>1.5201524361819455E-4</v>
      </c>
    </row>
    <row r="42" spans="1:5" ht="18.95" customHeight="1">
      <c r="A42" s="4">
        <f>'CS Rate'!A42</f>
        <v>1413</v>
      </c>
      <c r="B42" s="9">
        <f>'CS Rate'!C42</f>
        <v>720</v>
      </c>
      <c r="C42" s="6">
        <f>'CS Rate'!K42</f>
        <v>-0.5</v>
      </c>
      <c r="D42" s="6">
        <f>'CS Rate'!T42</f>
        <v>-0.52078388710128531</v>
      </c>
      <c r="E42" s="6">
        <f t="shared" si="1"/>
        <v>4.3196996303897407E-4</v>
      </c>
    </row>
    <row r="43" spans="1:5" ht="18.95" customHeight="1">
      <c r="A43" s="4">
        <f>'CS Rate'!A43</f>
        <v>1414</v>
      </c>
      <c r="B43" s="9">
        <f>'CS Rate'!C43</f>
        <v>740</v>
      </c>
      <c r="C43" s="6">
        <f>'CS Rate'!K43</f>
        <v>-0.51</v>
      </c>
      <c r="D43" s="6">
        <f>'CS Rate'!T43</f>
        <v>-0.51786194618494596</v>
      </c>
      <c r="E43" s="6">
        <f t="shared" si="1"/>
        <v>6.1810197814986267E-5</v>
      </c>
    </row>
    <row r="44" spans="1:5" ht="18.95" customHeight="1">
      <c r="A44" s="4">
        <f>'CS Rate'!A44</f>
        <v>1415</v>
      </c>
      <c r="B44" s="9">
        <f>'CS Rate'!C44</f>
        <v>760</v>
      </c>
      <c r="C44" s="6">
        <f>'CS Rate'!K44</f>
        <v>-0.5</v>
      </c>
      <c r="D44" s="6">
        <f>'CS Rate'!T44</f>
        <v>-0.51477652766504767</v>
      </c>
      <c r="E44" s="6">
        <f t="shared" si="1"/>
        <v>2.1834576983591908E-4</v>
      </c>
    </row>
    <row r="45" spans="1:5" ht="18.95" customHeight="1">
      <c r="A45" s="4">
        <f>'CS Rate'!A45</f>
        <v>1416</v>
      </c>
      <c r="B45" s="9">
        <f>'CS Rate'!C45</f>
        <v>780</v>
      </c>
      <c r="C45" s="6">
        <f>'CS Rate'!K45</f>
        <v>-0.48</v>
      </c>
      <c r="D45" s="6">
        <f>'CS Rate'!T45</f>
        <v>-0.51016768884599317</v>
      </c>
      <c r="E45" s="6">
        <f t="shared" si="1"/>
        <v>9.1008945030866199E-4</v>
      </c>
    </row>
    <row r="46" spans="1:5" ht="18.95" customHeight="1">
      <c r="A46" s="4">
        <f>'CS Rate'!A46</f>
        <v>1417</v>
      </c>
      <c r="B46" s="9">
        <f>'CS Rate'!C46</f>
        <v>800</v>
      </c>
      <c r="C46" s="6">
        <f>'CS Rate'!K46</f>
        <v>-0.47</v>
      </c>
      <c r="D46" s="6">
        <f>'CS Rate'!T46</f>
        <v>-0.50470646404106878</v>
      </c>
      <c r="E46" s="6">
        <f t="shared" si="1"/>
        <v>1.2045386462340021E-3</v>
      </c>
    </row>
    <row r="47" spans="1:5" ht="18.95" customHeight="1">
      <c r="A47" s="4">
        <f>'CS Rate'!A47</f>
        <v>1418</v>
      </c>
      <c r="B47" s="9">
        <f>'CS Rate'!C47</f>
        <v>820</v>
      </c>
      <c r="C47" s="6">
        <f>'CS Rate'!K47</f>
        <v>-0.47</v>
      </c>
      <c r="D47" s="6">
        <f>'CS Rate'!T47</f>
        <v>-0.4986272538407453</v>
      </c>
      <c r="E47" s="6">
        <f t="shared" si="1"/>
        <v>8.1951966246246802E-4</v>
      </c>
    </row>
    <row r="48" spans="1:5" ht="18.95" customHeight="1">
      <c r="A48" s="4">
        <f>'CS Rate'!A48</f>
        <v>1419</v>
      </c>
      <c r="B48" s="9">
        <f>'CS Rate'!C48</f>
        <v>840</v>
      </c>
      <c r="C48" s="6">
        <f>'CS Rate'!K48</f>
        <v>-0.47</v>
      </c>
      <c r="D48" s="6">
        <f>'CS Rate'!T48</f>
        <v>-0.49205587988399402</v>
      </c>
      <c r="E48" s="6">
        <f t="shared" si="1"/>
        <v>4.8646183745717315E-4</v>
      </c>
    </row>
    <row r="49" spans="1:5" ht="18.95" customHeight="1">
      <c r="A49" s="4">
        <f>'CS Rate'!A49</f>
        <v>1420</v>
      </c>
      <c r="B49" s="9">
        <f>'CS Rate'!C49</f>
        <v>860</v>
      </c>
      <c r="C49" s="6">
        <f>'CS Rate'!K49</f>
        <v>-0.47</v>
      </c>
      <c r="D49" s="6">
        <f>'CS Rate'!T49</f>
        <v>-0.48395215233018024</v>
      </c>
      <c r="E49" s="6">
        <f t="shared" si="1"/>
        <v>1.9466255464455466E-4</v>
      </c>
    </row>
    <row r="50" spans="1:5" ht="18.95" customHeight="1">
      <c r="A50" s="4">
        <f>'CS Rate'!A50</f>
        <v>1421</v>
      </c>
      <c r="B50" s="9">
        <f>'CS Rate'!C50</f>
        <v>880</v>
      </c>
      <c r="C50" s="6">
        <f>'CS Rate'!K50</f>
        <v>-0.44</v>
      </c>
      <c r="D50" s="6">
        <f>'CS Rate'!T50</f>
        <v>-0.47533579800701181</v>
      </c>
      <c r="E50" s="6">
        <f t="shared" si="1"/>
        <v>1.2486186207923398E-3</v>
      </c>
    </row>
    <row r="51" spans="1:5" ht="18.95" customHeight="1">
      <c r="A51" s="4">
        <f>'CS Rate'!A51</f>
        <v>1422</v>
      </c>
      <c r="B51" s="9">
        <f>'CS Rate'!C51</f>
        <v>900</v>
      </c>
      <c r="C51" s="6">
        <f>'CS Rate'!K51</f>
        <v>-0.43</v>
      </c>
      <c r="D51" s="6">
        <f>'CS Rate'!T51</f>
        <v>-0.46573537127532783</v>
      </c>
      <c r="E51" s="6">
        <f t="shared" si="1"/>
        <v>1.2770167601855256E-3</v>
      </c>
    </row>
    <row r="52" spans="1:5" ht="18.95" customHeight="1">
      <c r="A52" s="4">
        <f>'CS Rate'!A52</f>
        <v>1423</v>
      </c>
      <c r="B52" s="9">
        <f>'CS Rate'!C52</f>
        <v>920</v>
      </c>
      <c r="C52" s="6">
        <f>'CS Rate'!K52</f>
        <v>-0.42</v>
      </c>
      <c r="D52" s="6">
        <f>'CS Rate'!T52</f>
        <v>-0.45584124031683654</v>
      </c>
      <c r="E52" s="6">
        <f t="shared" si="1"/>
        <v>1.28459450744923E-3</v>
      </c>
    </row>
    <row r="53" spans="1:5" ht="18.95" customHeight="1">
      <c r="A53" s="4">
        <f>'CS Rate'!A53</f>
        <v>1424</v>
      </c>
      <c r="B53" s="9">
        <f>'CS Rate'!C53</f>
        <v>940</v>
      </c>
      <c r="C53" s="6">
        <f>'CS Rate'!K53</f>
        <v>-0.43</v>
      </c>
      <c r="D53" s="6">
        <f>'CS Rate'!T53</f>
        <v>-0.44491939025173088</v>
      </c>
      <c r="E53" s="6">
        <f t="shared" si="1"/>
        <v>2.2258820548344272E-4</v>
      </c>
    </row>
    <row r="54" spans="1:5" ht="18.95" customHeight="1">
      <c r="A54" s="4">
        <f>'CS Rate'!A54</f>
        <v>1425</v>
      </c>
      <c r="B54" s="9">
        <f>'CS Rate'!C54</f>
        <v>960</v>
      </c>
      <c r="C54" s="6">
        <f>'CS Rate'!K54</f>
        <v>-0.4</v>
      </c>
      <c r="D54" s="6">
        <f>'CS Rate'!T54</f>
        <v>-0.43292008691394762</v>
      </c>
      <c r="E54" s="6">
        <f t="shared" si="1"/>
        <v>1.0837321224218639E-3</v>
      </c>
    </row>
    <row r="55" spans="1:5" ht="18.95" customHeight="1">
      <c r="A55" s="4">
        <f>'CS Rate'!A55</f>
        <v>1426</v>
      </c>
      <c r="B55" s="9">
        <f>'CS Rate'!C55</f>
        <v>980</v>
      </c>
      <c r="C55" s="6">
        <f>'CS Rate'!K55</f>
        <v>-0.4</v>
      </c>
      <c r="D55" s="6">
        <f>'CS Rate'!T55</f>
        <v>-0.42052529242011688</v>
      </c>
      <c r="E55" s="6">
        <f t="shared" si="1"/>
        <v>4.2128762893130656E-4</v>
      </c>
    </row>
    <row r="56" spans="1:5" ht="18.95" customHeight="1">
      <c r="A56" s="4">
        <f>'CS Rate'!A56</f>
        <v>1427</v>
      </c>
      <c r="B56" s="9">
        <f>'CS Rate'!C56</f>
        <v>1001</v>
      </c>
      <c r="C56" s="6">
        <f>'CS Rate'!K56</f>
        <v>-0.37</v>
      </c>
      <c r="D56" s="6">
        <f>'CS Rate'!T56</f>
        <v>-0.40638380023454829</v>
      </c>
      <c r="E56" s="6">
        <f t="shared" si="1"/>
        <v>1.3237809195075162E-3</v>
      </c>
    </row>
    <row r="57" spans="1:5" ht="18.95" customHeight="1">
      <c r="A57" s="4">
        <f>'CS Rate'!A57</f>
        <v>1428</v>
      </c>
      <c r="B57" s="9">
        <f>'CS Rate'!C57</f>
        <v>1021</v>
      </c>
      <c r="C57" s="6">
        <f>'CS Rate'!K57</f>
        <v>-0.39</v>
      </c>
      <c r="D57" s="6">
        <f>'CS Rate'!T57</f>
        <v>-0.39198336101775894</v>
      </c>
      <c r="E57" s="6">
        <f t="shared" si="1"/>
        <v>3.9337209267657076E-6</v>
      </c>
    </row>
    <row r="58" spans="1:5" ht="18.95" customHeight="1">
      <c r="A58" s="4">
        <f>'CS Rate'!A58</f>
        <v>1429</v>
      </c>
      <c r="B58" s="9">
        <f>'CS Rate'!C58</f>
        <v>1041</v>
      </c>
      <c r="C58" s="6">
        <f>'CS Rate'!K58</f>
        <v>-0.37</v>
      </c>
      <c r="D58" s="6">
        <f>'CS Rate'!T58</f>
        <v>-0.37744735724180939</v>
      </c>
      <c r="E58" s="6">
        <f t="shared" si="1"/>
        <v>5.5463129887130816E-5</v>
      </c>
    </row>
    <row r="59" spans="1:5" ht="18.95" customHeight="1">
      <c r="A59" s="4">
        <f>'CS Rate'!A59</f>
        <v>1430</v>
      </c>
      <c r="B59" s="9">
        <f>'CS Rate'!C59</f>
        <v>1061</v>
      </c>
      <c r="C59" s="6">
        <f>'CS Rate'!K59</f>
        <v>-0.36</v>
      </c>
      <c r="D59" s="6">
        <f>'CS Rate'!T59</f>
        <v>-0.36189557372787817</v>
      </c>
      <c r="E59" s="6">
        <f t="shared" si="1"/>
        <v>3.5931997578220027E-6</v>
      </c>
    </row>
    <row r="60" spans="1:5" ht="18.95" customHeight="1">
      <c r="A60" s="4">
        <f>'CS Rate'!A60</f>
        <v>1431</v>
      </c>
      <c r="B60" s="9">
        <f>'CS Rate'!C60</f>
        <v>1081</v>
      </c>
      <c r="C60" s="6">
        <f>'CS Rate'!K60</f>
        <v>-0.32</v>
      </c>
      <c r="D60" s="6">
        <f>'CS Rate'!T60</f>
        <v>-0.34572575538417344</v>
      </c>
      <c r="E60" s="6">
        <f t="shared" si="1"/>
        <v>6.6181449008632833E-4</v>
      </c>
    </row>
    <row r="61" spans="1:5" ht="18.95" customHeight="1">
      <c r="A61" s="4">
        <f>'CS Rate'!A61</f>
        <v>1432</v>
      </c>
      <c r="B61" s="9">
        <f>'CS Rate'!C61</f>
        <v>1101</v>
      </c>
      <c r="C61" s="6">
        <f>'CS Rate'!K61</f>
        <v>-0.32</v>
      </c>
      <c r="D61" s="6">
        <f>'CS Rate'!T61</f>
        <v>-0.32872547061184193</v>
      </c>
      <c r="E61" s="6">
        <f t="shared" si="1"/>
        <v>7.6133837398117073E-5</v>
      </c>
    </row>
    <row r="62" spans="1:5" ht="18.95" customHeight="1">
      <c r="A62" s="4">
        <f>'CS Rate'!A62</f>
        <v>1433</v>
      </c>
      <c r="B62" s="9">
        <f>'CS Rate'!C62</f>
        <v>1121</v>
      </c>
      <c r="C62" s="6">
        <f>'CS Rate'!K62</f>
        <v>-0.3</v>
      </c>
      <c r="D62" s="6">
        <f>'CS Rate'!T62</f>
        <v>-0.3116476577294558</v>
      </c>
      <c r="E62" s="6">
        <f t="shared" si="1"/>
        <v>1.356679305825516E-4</v>
      </c>
    </row>
    <row r="63" spans="1:5" ht="18.95" customHeight="1">
      <c r="A63" s="4">
        <f>'CS Rate'!A63</f>
        <v>1434</v>
      </c>
      <c r="B63" s="9">
        <f>'CS Rate'!C63</f>
        <v>1141</v>
      </c>
      <c r="C63" s="6">
        <f>'CS Rate'!K63</f>
        <v>-0.28999999999999998</v>
      </c>
      <c r="D63" s="6">
        <f>'CS Rate'!T63</f>
        <v>-0.29324584474246085</v>
      </c>
      <c r="E63" s="6">
        <f t="shared" si="1"/>
        <v>1.053550809216086E-5</v>
      </c>
    </row>
    <row r="64" spans="1:5" ht="18.95" customHeight="1">
      <c r="A64" s="4">
        <f>'CS Rate'!A64</f>
        <v>1435</v>
      </c>
      <c r="B64" s="9">
        <f>'CS Rate'!C64</f>
        <v>1161</v>
      </c>
      <c r="C64" s="6">
        <f>'CS Rate'!K64</f>
        <v>-0.26</v>
      </c>
      <c r="D64" s="6">
        <f>'CS Rate'!T64</f>
        <v>-0.27491121067865709</v>
      </c>
      <c r="E64" s="6">
        <f t="shared" si="1"/>
        <v>2.2234420390329702E-4</v>
      </c>
    </row>
    <row r="65" spans="1:5" ht="18.95" customHeight="1">
      <c r="A65" s="4">
        <f>'CS Rate'!A65</f>
        <v>1436</v>
      </c>
      <c r="B65" s="9">
        <f>'CS Rate'!C65</f>
        <v>1181</v>
      </c>
      <c r="C65" s="6">
        <f>'CS Rate'!K65</f>
        <v>-0.25</v>
      </c>
      <c r="D65" s="6">
        <f>'CS Rate'!T65</f>
        <v>-0.25566234865507964</v>
      </c>
      <c r="E65" s="6">
        <f t="shared" si="1"/>
        <v>3.2062192291682217E-5</v>
      </c>
    </row>
    <row r="66" spans="1:5" ht="18.95" customHeight="1">
      <c r="A66" s="4">
        <f>'CS Rate'!A66</f>
        <v>1437</v>
      </c>
      <c r="B66" s="9">
        <f>'CS Rate'!C66</f>
        <v>1202</v>
      </c>
      <c r="C66" s="6">
        <f>'CS Rate'!K66</f>
        <v>-0.23</v>
      </c>
      <c r="D66" s="6">
        <f>'CS Rate'!T66</f>
        <v>-0.23455120549500638</v>
      </c>
      <c r="E66" s="6">
        <f t="shared" si="1"/>
        <v>2.0713471457776193E-5</v>
      </c>
    </row>
    <row r="67" spans="1:5" ht="18.95" customHeight="1">
      <c r="A67" s="4">
        <f>'CS Rate'!A67</f>
        <v>1438</v>
      </c>
      <c r="B67" s="9">
        <f>'CS Rate'!C67</f>
        <v>1222</v>
      </c>
      <c r="C67" s="6">
        <f>'CS Rate'!K67</f>
        <v>-0.22</v>
      </c>
      <c r="D67" s="6">
        <f>'CS Rate'!T67</f>
        <v>-0.21434208606892691</v>
      </c>
      <c r="E67" s="6">
        <f t="shared" si="1"/>
        <v>3.2011990051430991E-5</v>
      </c>
    </row>
    <row r="68" spans="1:5" ht="18.95" customHeight="1">
      <c r="A68" s="4">
        <f>'CS Rate'!A68</f>
        <v>1439</v>
      </c>
      <c r="B68" s="9">
        <f>'CS Rate'!C68</f>
        <v>1242</v>
      </c>
      <c r="C68" s="6">
        <f>'CS Rate'!K68</f>
        <v>-0.2</v>
      </c>
      <c r="D68" s="6">
        <f>'CS Rate'!T68</f>
        <v>-0.19396798842619864</v>
      </c>
      <c r="E68" s="6">
        <f t="shared" si="1"/>
        <v>3.6385163626473697E-5</v>
      </c>
    </row>
    <row r="69" spans="1:5" ht="18.95" customHeight="1">
      <c r="A69" s="4">
        <f>'CS Rate'!A69</f>
        <v>1440</v>
      </c>
      <c r="B69" s="9">
        <f>'CS Rate'!C69</f>
        <v>1262</v>
      </c>
      <c r="C69" s="6">
        <f>'CS Rate'!K69</f>
        <v>-0.18</v>
      </c>
      <c r="D69" s="6">
        <f>'CS Rate'!T69</f>
        <v>-0.17269562213922451</v>
      </c>
      <c r="E69" s="6">
        <f t="shared" si="1"/>
        <v>5.3353935932986971E-5</v>
      </c>
    </row>
    <row r="70" spans="1:5" ht="18.95" customHeight="1">
      <c r="A70" s="4">
        <f>'CS Rate'!A70</f>
        <v>1441</v>
      </c>
      <c r="B70" s="9">
        <f>'CS Rate'!C70</f>
        <v>1282</v>
      </c>
      <c r="C70" s="6">
        <f>'CS Rate'!K70</f>
        <v>-0.16</v>
      </c>
      <c r="D70" s="6">
        <f>'CS Rate'!T70</f>
        <v>-0.15109520109903152</v>
      </c>
      <c r="E70" s="6">
        <f t="shared" ref="E70:E101" si="2">(C70-D70)^2</f>
        <v>7.9295443466689551E-5</v>
      </c>
    </row>
    <row r="71" spans="1:5" ht="18.95" customHeight="1">
      <c r="A71" s="4">
        <f>'CS Rate'!A71</f>
        <v>1442</v>
      </c>
      <c r="B71" s="9">
        <f>'CS Rate'!C71</f>
        <v>1302</v>
      </c>
      <c r="C71" s="6">
        <f>'CS Rate'!K71</f>
        <v>-0.15</v>
      </c>
      <c r="D71" s="6">
        <f>'CS Rate'!T71</f>
        <v>-0.1294957340821114</v>
      </c>
      <c r="E71" s="6">
        <f t="shared" si="2"/>
        <v>4.2042492083148769E-4</v>
      </c>
    </row>
    <row r="72" spans="1:5" ht="18.95" customHeight="1">
      <c r="A72" s="4">
        <f>'CS Rate'!A72</f>
        <v>1443</v>
      </c>
      <c r="B72" s="9">
        <f>'CS Rate'!C72</f>
        <v>1322</v>
      </c>
      <c r="C72" s="6">
        <f>'CS Rate'!K72</f>
        <v>-0.13</v>
      </c>
      <c r="D72" s="6">
        <f>'CS Rate'!T72</f>
        <v>-0.10789533222608434</v>
      </c>
      <c r="E72" s="6">
        <f t="shared" si="2"/>
        <v>4.8861633739518556E-4</v>
      </c>
    </row>
    <row r="73" spans="1:5" ht="18.95" customHeight="1">
      <c r="A73" s="4">
        <f>'CS Rate'!A73</f>
        <v>1444</v>
      </c>
      <c r="B73" s="9">
        <f>'CS Rate'!C73</f>
        <v>1342</v>
      </c>
      <c r="C73" s="6">
        <f>'CS Rate'!K73</f>
        <v>-0.1</v>
      </c>
      <c r="D73" s="6">
        <f>'CS Rate'!T73</f>
        <v>-8.5294922873186435E-2</v>
      </c>
      <c r="E73" s="6">
        <f t="shared" si="2"/>
        <v>2.1623929330553566E-4</v>
      </c>
    </row>
    <row r="74" spans="1:5" ht="18.95" customHeight="1">
      <c r="A74" s="4">
        <f>'CS Rate'!A74</f>
        <v>1445</v>
      </c>
      <c r="B74" s="9">
        <f>'CS Rate'!C74</f>
        <v>1362</v>
      </c>
      <c r="C74" s="6">
        <f>'CS Rate'!K74</f>
        <v>-0.08</v>
      </c>
      <c r="D74" s="6">
        <f>'CS Rate'!T74</f>
        <v>-6.2812645918912627E-2</v>
      </c>
      <c r="E74" s="6">
        <f t="shared" si="2"/>
        <v>2.9540514030867082E-4</v>
      </c>
    </row>
    <row r="75" spans="1:5" ht="18.95" customHeight="1">
      <c r="A75" s="4">
        <f>'CS Rate'!A75</f>
        <v>1446</v>
      </c>
      <c r="B75" s="9">
        <f>'CS Rate'!C75</f>
        <v>1382</v>
      </c>
      <c r="C75" s="6">
        <f>'CS Rate'!K75</f>
        <v>-0.05</v>
      </c>
      <c r="D75" s="6">
        <f>'CS Rate'!T75</f>
        <v>-4.0521297456352655E-2</v>
      </c>
      <c r="E75" s="6">
        <f t="shared" si="2"/>
        <v>8.9845801910946708E-5</v>
      </c>
    </row>
    <row r="76" spans="1:5" ht="18.95" customHeight="1">
      <c r="A76" s="4">
        <f>'CS Rate'!A76</f>
        <v>1447</v>
      </c>
      <c r="B76" s="9">
        <f>'CS Rate'!C76</f>
        <v>1402</v>
      </c>
      <c r="C76" s="6">
        <f>'CS Rate'!K76</f>
        <v>-0.03</v>
      </c>
      <c r="D76" s="6">
        <f>'CS Rate'!T76</f>
        <v>-1.771766496963733E-2</v>
      </c>
      <c r="E76" s="6">
        <f t="shared" si="2"/>
        <v>1.5085575379807396E-4</v>
      </c>
    </row>
    <row r="77" spans="1:5" ht="18.95" customHeight="1">
      <c r="A77" s="4">
        <f>'CS Rate'!A77</f>
        <v>1448</v>
      </c>
      <c r="B77" s="9">
        <f>'CS Rate'!C77</f>
        <v>1422</v>
      </c>
      <c r="C77" s="6">
        <f>'CS Rate'!K77</f>
        <v>-0.01</v>
      </c>
      <c r="D77" s="6">
        <f>'CS Rate'!T77</f>
        <v>4.5837685809936458E-3</v>
      </c>
      <c r="E77" s="6">
        <f t="shared" si="2"/>
        <v>2.1268630602397742E-4</v>
      </c>
    </row>
    <row r="78" spans="1:5" ht="18.95" customHeight="1">
      <c r="A78" s="4">
        <f>'CS Rate'!A78</f>
        <v>1449</v>
      </c>
      <c r="B78" s="9">
        <f>'CS Rate'!C78</f>
        <v>1442</v>
      </c>
      <c r="C78" s="6">
        <f>'CS Rate'!K78</f>
        <v>0.01</v>
      </c>
      <c r="D78" s="6">
        <f>'CS Rate'!T78</f>
        <v>2.7383269221550155E-2</v>
      </c>
      <c r="E78" s="6">
        <f t="shared" si="2"/>
        <v>3.0217804882889287E-4</v>
      </c>
    </row>
    <row r="79" spans="1:5" ht="18.95" customHeight="1">
      <c r="A79" s="4">
        <f>'CS Rate'!A79</f>
        <v>1450</v>
      </c>
      <c r="B79" s="9">
        <f>'CS Rate'!C79</f>
        <v>1462</v>
      </c>
      <c r="C79" s="6">
        <f>'CS Rate'!K79</f>
        <v>0.03</v>
      </c>
      <c r="D79" s="6">
        <f>'CS Rate'!T79</f>
        <v>5.0178880583070087E-2</v>
      </c>
      <c r="E79" s="6">
        <f t="shared" si="2"/>
        <v>4.0718722158580303E-4</v>
      </c>
    </row>
    <row r="80" spans="1:5" ht="18.95" customHeight="1">
      <c r="A80" s="4">
        <f>'CS Rate'!A80</f>
        <v>1451</v>
      </c>
      <c r="B80" s="9">
        <f>'CS Rate'!C80</f>
        <v>1482</v>
      </c>
      <c r="C80" s="6">
        <f>'CS Rate'!K80</f>
        <v>0.05</v>
      </c>
      <c r="D80" s="6">
        <f>'CS Rate'!T80</f>
        <v>7.2490156654651056E-2</v>
      </c>
      <c r="E80" s="6">
        <f t="shared" si="2"/>
        <v>5.0580714635074504E-4</v>
      </c>
    </row>
    <row r="81" spans="1:5" ht="18.95" customHeight="1">
      <c r="A81" s="4">
        <f>'CS Rate'!A81</f>
        <v>1452</v>
      </c>
      <c r="B81" s="9">
        <f>'CS Rate'!C81</f>
        <v>1503</v>
      </c>
      <c r="C81" s="6">
        <f>'CS Rate'!K81</f>
        <v>0.1</v>
      </c>
      <c r="D81" s="6">
        <f>'CS Rate'!T81</f>
        <v>9.5584755502956115E-2</v>
      </c>
      <c r="E81" s="6">
        <f t="shared" si="2"/>
        <v>1.949438396867636E-5</v>
      </c>
    </row>
    <row r="82" spans="1:5" ht="18.95" customHeight="1">
      <c r="A82" s="4">
        <f>'CS Rate'!A82</f>
        <v>1453</v>
      </c>
      <c r="B82" s="9">
        <f>'CS Rate'!C82</f>
        <v>1523</v>
      </c>
      <c r="C82" s="6">
        <f>'CS Rate'!K82</f>
        <v>0.11</v>
      </c>
      <c r="D82" s="6">
        <f>'CS Rate'!T82</f>
        <v>0.11818463631610757</v>
      </c>
      <c r="E82" s="6">
        <f t="shared" si="2"/>
        <v>6.6988271626946822E-5</v>
      </c>
    </row>
    <row r="83" spans="1:5" ht="18.95" customHeight="1">
      <c r="A83" s="4">
        <f>'CS Rate'!A83</f>
        <v>1454</v>
      </c>
      <c r="B83" s="9">
        <f>'CS Rate'!C83</f>
        <v>1543</v>
      </c>
      <c r="C83" s="6">
        <f>'CS Rate'!K83</f>
        <v>0.13</v>
      </c>
      <c r="D83" s="6">
        <f>'CS Rate'!T83</f>
        <v>0.13978452067801148</v>
      </c>
      <c r="E83" s="6">
        <f t="shared" si="2"/>
        <v>9.5736844898434059E-5</v>
      </c>
    </row>
    <row r="84" spans="1:5" ht="18.95" customHeight="1">
      <c r="A84" s="4">
        <f>'CS Rate'!A84</f>
        <v>1455</v>
      </c>
      <c r="B84" s="9">
        <f>'CS Rate'!C84</f>
        <v>1563</v>
      </c>
      <c r="C84" s="6">
        <f>'CS Rate'!K84</f>
        <v>0.16</v>
      </c>
      <c r="D84" s="6">
        <f>'CS Rate'!T84</f>
        <v>0.16138450288603448</v>
      </c>
      <c r="E84" s="6">
        <f t="shared" si="2"/>
        <v>1.9168482414377979E-6</v>
      </c>
    </row>
    <row r="85" spans="1:5" ht="18.95" customHeight="1">
      <c r="A85" s="4">
        <f>'CS Rate'!A85</f>
        <v>1456</v>
      </c>
      <c r="B85" s="9">
        <f>'CS Rate'!C85</f>
        <v>1583</v>
      </c>
      <c r="C85" s="6">
        <f>'CS Rate'!K85</f>
        <v>0.18</v>
      </c>
      <c r="D85" s="6">
        <f>'CS Rate'!T85</f>
        <v>0.18286160908446969</v>
      </c>
      <c r="E85" s="6">
        <f t="shared" si="2"/>
        <v>8.1888065523194935E-6</v>
      </c>
    </row>
    <row r="86" spans="1:5" ht="18.95" customHeight="1">
      <c r="A86" s="4">
        <f>'CS Rate'!A86</f>
        <v>1457</v>
      </c>
      <c r="B86" s="9">
        <f>'CS Rate'!C86</f>
        <v>1603</v>
      </c>
      <c r="C86" s="6">
        <f>'CS Rate'!K86</f>
        <v>0.22</v>
      </c>
      <c r="D86" s="6">
        <f>'CS Rate'!T86</f>
        <v>0.20358428042241025</v>
      </c>
      <c r="E86" s="6">
        <f t="shared" si="2"/>
        <v>2.6947584925006337E-4</v>
      </c>
    </row>
    <row r="87" spans="1:5" ht="18.95" customHeight="1">
      <c r="A87" s="4">
        <f>'CS Rate'!A87</f>
        <v>1458</v>
      </c>
      <c r="B87" s="9">
        <f>'CS Rate'!C87</f>
        <v>1623</v>
      </c>
      <c r="C87" s="6">
        <f>'CS Rate'!K87</f>
        <v>0.23</v>
      </c>
      <c r="D87" s="6">
        <f>'CS Rate'!T87</f>
        <v>0.22418004372069522</v>
      </c>
      <c r="E87" s="6">
        <f t="shared" si="2"/>
        <v>3.3871891093019239E-5</v>
      </c>
    </row>
    <row r="88" spans="1:5" ht="18.95" customHeight="1">
      <c r="A88" s="4">
        <f>'CS Rate'!A88</f>
        <v>1459</v>
      </c>
      <c r="B88" s="9">
        <f>'CS Rate'!C88</f>
        <v>1643</v>
      </c>
      <c r="C88" s="6">
        <f>'CS Rate'!K88</f>
        <v>0.26</v>
      </c>
      <c r="D88" s="6">
        <f>'CS Rate'!T88</f>
        <v>0.24380872088883412</v>
      </c>
      <c r="E88" s="6">
        <f t="shared" si="2"/>
        <v>2.6215751925567671E-4</v>
      </c>
    </row>
    <row r="89" spans="1:5" ht="18.95" customHeight="1">
      <c r="A89" s="4">
        <f>'CS Rate'!A89</f>
        <v>1460</v>
      </c>
      <c r="B89" s="9">
        <f>'CS Rate'!C89</f>
        <v>1663</v>
      </c>
      <c r="C89" s="6">
        <f>'CS Rate'!K89</f>
        <v>0.3</v>
      </c>
      <c r="D89" s="6">
        <f>'CS Rate'!T89</f>
        <v>0.26392241528576393</v>
      </c>
      <c r="E89" s="6">
        <f t="shared" si="2"/>
        <v>1.3015921188128791E-3</v>
      </c>
    </row>
    <row r="90" spans="1:5" ht="18.95" customHeight="1">
      <c r="A90" s="4">
        <f>'CS Rate'!A90</f>
        <v>1461</v>
      </c>
      <c r="B90" s="9">
        <f>'CS Rate'!C90</f>
        <v>1683</v>
      </c>
      <c r="C90" s="6">
        <f>'CS Rate'!K90</f>
        <v>0.31</v>
      </c>
      <c r="D90" s="6">
        <f>'CS Rate'!T90</f>
        <v>0.28254331742211686</v>
      </c>
      <c r="E90" s="6">
        <f t="shared" si="2"/>
        <v>7.5386941818263154E-4</v>
      </c>
    </row>
    <row r="91" spans="1:5" ht="18.95" customHeight="1">
      <c r="A91" s="4">
        <f>'CS Rate'!A91</f>
        <v>1462</v>
      </c>
      <c r="B91" s="9">
        <f>'CS Rate'!C91</f>
        <v>1703</v>
      </c>
      <c r="C91" s="6">
        <f>'CS Rate'!K91</f>
        <v>0.34</v>
      </c>
      <c r="D91" s="6">
        <f>'CS Rate'!T91</f>
        <v>0.30106198331165568</v>
      </c>
      <c r="E91" s="6">
        <f t="shared" si="2"/>
        <v>1.5161691436217828E-3</v>
      </c>
    </row>
    <row r="92" spans="1:5" ht="18.95" customHeight="1">
      <c r="A92" s="4">
        <f>'CS Rate'!A92</f>
        <v>1463</v>
      </c>
      <c r="B92" s="9">
        <f>'CS Rate'!C92</f>
        <v>1723</v>
      </c>
      <c r="C92" s="6">
        <f>'CS Rate'!K92</f>
        <v>0.36</v>
      </c>
      <c r="D92" s="6">
        <f>'CS Rate'!T92</f>
        <v>0.31902209071003373</v>
      </c>
      <c r="E92" s="6">
        <f t="shared" si="2"/>
        <v>1.6791890497767025E-3</v>
      </c>
    </row>
    <row r="93" spans="1:5" ht="18.95" customHeight="1">
      <c r="A93" s="4">
        <f>'CS Rate'!A93</f>
        <v>1464</v>
      </c>
      <c r="B93" s="9">
        <f>'CS Rate'!C93</f>
        <v>1743</v>
      </c>
      <c r="C93" s="6">
        <f>'CS Rate'!K93</f>
        <v>0.4</v>
      </c>
      <c r="D93" s="6">
        <f>'CS Rate'!T93</f>
        <v>0.335832844552855</v>
      </c>
      <c r="E93" s="6">
        <f t="shared" si="2"/>
        <v>4.1174238381780724E-3</v>
      </c>
    </row>
    <row r="94" spans="1:5" ht="18.95" customHeight="1">
      <c r="A94" s="4">
        <f>'CS Rate'!A94</f>
        <v>1465</v>
      </c>
      <c r="B94" s="9">
        <f>'CS Rate'!C94</f>
        <v>1763</v>
      </c>
      <c r="C94" s="6">
        <f>'CS Rate'!K94</f>
        <v>0.41</v>
      </c>
      <c r="D94" s="6">
        <f>'CS Rate'!T94</f>
        <v>0.35263249814642983</v>
      </c>
      <c r="E94" s="6">
        <f t="shared" si="2"/>
        <v>3.2910302689193741E-3</v>
      </c>
    </row>
    <row r="95" spans="1:5" ht="18.95" customHeight="1">
      <c r="A95" s="4">
        <f>'CS Rate'!A95</f>
        <v>1466</v>
      </c>
      <c r="B95" s="9">
        <f>'CS Rate'!C95</f>
        <v>1783</v>
      </c>
      <c r="C95" s="6">
        <f>'CS Rate'!K95</f>
        <v>0.42</v>
      </c>
      <c r="D95" s="6">
        <f>'CS Rate'!T95</f>
        <v>0.36865625347152636</v>
      </c>
      <c r="E95" s="6">
        <f t="shared" si="2"/>
        <v>2.6361803075801472E-3</v>
      </c>
    </row>
    <row r="96" spans="1:5" ht="18.95" customHeight="1">
      <c r="A96" s="4">
        <f>'CS Rate'!A96</f>
        <v>1467</v>
      </c>
      <c r="B96" s="9">
        <f>'CS Rate'!C96</f>
        <v>1803</v>
      </c>
      <c r="C96" s="6">
        <f>'CS Rate'!K96</f>
        <v>0.44</v>
      </c>
      <c r="D96" s="6">
        <f>'CS Rate'!T96</f>
        <v>0.38388803253269882</v>
      </c>
      <c r="E96" s="6">
        <f t="shared" si="2"/>
        <v>3.1485528930514663E-3</v>
      </c>
    </row>
    <row r="97" spans="1:5" ht="18.95" customHeight="1">
      <c r="A97" s="4">
        <f>'CS Rate'!A97</f>
        <v>1468</v>
      </c>
      <c r="B97" s="9">
        <f>'CS Rate'!C97</f>
        <v>1823</v>
      </c>
      <c r="C97" s="6">
        <f>'CS Rate'!K97</f>
        <v>0.48</v>
      </c>
      <c r="D97" s="6">
        <f>'CS Rate'!T97</f>
        <v>0.39845618197642196</v>
      </c>
      <c r="E97" s="6">
        <f t="shared" si="2"/>
        <v>6.6493942578624071E-3</v>
      </c>
    </row>
    <row r="98" spans="1:5" ht="18.95" customHeight="1">
      <c r="A98" s="4">
        <f>'CS Rate'!A98</f>
        <v>1469</v>
      </c>
      <c r="B98" s="9">
        <f>'CS Rate'!C98</f>
        <v>1843</v>
      </c>
      <c r="C98" s="6">
        <f>'CS Rate'!K98</f>
        <v>0.49</v>
      </c>
      <c r="D98" s="6">
        <f>'CS Rate'!T98</f>
        <v>0.41209591657641681</v>
      </c>
      <c r="E98" s="6">
        <f t="shared" si="2"/>
        <v>6.0690462140686081E-3</v>
      </c>
    </row>
    <row r="99" spans="1:5" ht="18.95" customHeight="1">
      <c r="A99" s="4">
        <f>'CS Rate'!A99</f>
        <v>1470</v>
      </c>
      <c r="B99" s="9">
        <f>'CS Rate'!C99</f>
        <v>1863</v>
      </c>
      <c r="C99" s="6">
        <f>'CS Rate'!K99</f>
        <v>0.5</v>
      </c>
      <c r="D99" s="6">
        <f>'CS Rate'!T99</f>
        <v>0.42535266999421911</v>
      </c>
      <c r="E99" s="6">
        <f t="shared" si="2"/>
        <v>5.5722238769919559E-3</v>
      </c>
    </row>
    <row r="100" spans="1:5" ht="18.95" customHeight="1">
      <c r="A100" s="4">
        <f>'CS Rate'!A100</f>
        <v>1471</v>
      </c>
      <c r="B100" s="9">
        <f>'CS Rate'!C100</f>
        <v>1884</v>
      </c>
      <c r="C100" s="6">
        <f>'CS Rate'!K100</f>
        <v>0.49</v>
      </c>
      <c r="D100" s="6">
        <f>'CS Rate'!T100</f>
        <v>0.43832166609503609</v>
      </c>
      <c r="E100" s="6">
        <f t="shared" si="2"/>
        <v>2.6706501951929418E-3</v>
      </c>
    </row>
    <row r="101" spans="1:5" ht="18.95" customHeight="1">
      <c r="A101" s="4">
        <f>'CS Rate'!A101</f>
        <v>1472</v>
      </c>
      <c r="B101" s="9">
        <f>'CS Rate'!C101</f>
        <v>1904</v>
      </c>
      <c r="C101" s="6">
        <f>'CS Rate'!K101</f>
        <v>0.52</v>
      </c>
      <c r="D101" s="6">
        <f>'CS Rate'!T101</f>
        <v>0.44948033471669191</v>
      </c>
      <c r="E101" s="6">
        <f t="shared" si="2"/>
        <v>4.9730231916698111E-3</v>
      </c>
    </row>
    <row r="102" spans="1:5" ht="18.95" customHeight="1">
      <c r="A102" s="4">
        <f>'CS Rate'!A102</f>
        <v>1473</v>
      </c>
      <c r="B102" s="9">
        <f>'CS Rate'!C102</f>
        <v>1924</v>
      </c>
      <c r="C102" s="6">
        <f>'CS Rate'!K102</f>
        <v>0.53</v>
      </c>
      <c r="D102" s="6">
        <f>'CS Rate'!T102</f>
        <v>0.46046266580342521</v>
      </c>
      <c r="E102" s="6">
        <f t="shared" ref="E102:E133" si="3">(C102-D102)^2</f>
        <v>4.835440847166134E-3</v>
      </c>
    </row>
    <row r="103" spans="1:5" ht="18.95" customHeight="1">
      <c r="A103" s="4">
        <f>'CS Rate'!A103</f>
        <v>1474</v>
      </c>
      <c r="B103" s="9">
        <f>'CS Rate'!C103</f>
        <v>1944</v>
      </c>
      <c r="C103" s="6">
        <f>'CS Rate'!K103</f>
        <v>0.53</v>
      </c>
      <c r="D103" s="6">
        <f>'CS Rate'!T103</f>
        <v>0.47038405187526072</v>
      </c>
      <c r="E103" s="6">
        <f t="shared" si="3"/>
        <v>3.5540612708116078E-3</v>
      </c>
    </row>
    <row r="104" spans="1:5" ht="18.95" customHeight="1">
      <c r="A104" s="4">
        <f>'CS Rate'!A104</f>
        <v>1475</v>
      </c>
      <c r="B104" s="9">
        <f>'CS Rate'!C104</f>
        <v>1964</v>
      </c>
      <c r="C104" s="6">
        <f>'CS Rate'!K104</f>
        <v>0.54</v>
      </c>
      <c r="D104" s="6">
        <f>'CS Rate'!T104</f>
        <v>0.47904422586503814</v>
      </c>
      <c r="E104" s="6">
        <f t="shared" si="3"/>
        <v>3.7156064003924893E-3</v>
      </c>
    </row>
    <row r="105" spans="1:5" ht="18.95" customHeight="1">
      <c r="A105" s="4">
        <f>'CS Rate'!A105</f>
        <v>1476</v>
      </c>
      <c r="B105" s="9">
        <f>'CS Rate'!C105</f>
        <v>1984</v>
      </c>
      <c r="C105" s="6">
        <f>'CS Rate'!K105</f>
        <v>0.56999999999999995</v>
      </c>
      <c r="D105" s="6">
        <f>'CS Rate'!T105</f>
        <v>0.48744066769065147</v>
      </c>
      <c r="E105" s="6">
        <f t="shared" si="3"/>
        <v>6.8160433513654315E-3</v>
      </c>
    </row>
    <row r="106" spans="1:5" ht="18.95" customHeight="1">
      <c r="A106" s="4">
        <f>'CS Rate'!A106</f>
        <v>1477</v>
      </c>
      <c r="B106" s="9">
        <f>'CS Rate'!C106</f>
        <v>2004</v>
      </c>
      <c r="C106" s="6">
        <f>'CS Rate'!K106</f>
        <v>0.54</v>
      </c>
      <c r="D106" s="6">
        <f>'CS Rate'!T106</f>
        <v>0.49488803421484351</v>
      </c>
      <c r="E106" s="6">
        <f t="shared" si="3"/>
        <v>2.035089457001133E-3</v>
      </c>
    </row>
    <row r="107" spans="1:5" ht="18.95" customHeight="1">
      <c r="A107" s="4">
        <f>'CS Rate'!A107</f>
        <v>1478</v>
      </c>
      <c r="B107" s="9">
        <f>'CS Rate'!C107</f>
        <v>2024</v>
      </c>
      <c r="C107" s="6">
        <f>'CS Rate'!K107</f>
        <v>0.52</v>
      </c>
      <c r="D107" s="6">
        <f>'CS Rate'!T107</f>
        <v>0.50139067408788895</v>
      </c>
      <c r="E107" s="6">
        <f t="shared" si="3"/>
        <v>3.4630701090316825E-4</v>
      </c>
    </row>
    <row r="108" spans="1:5" ht="18.95" customHeight="1">
      <c r="A108" s="4">
        <f>'CS Rate'!A108</f>
        <v>1479</v>
      </c>
      <c r="B108" s="9">
        <f>'CS Rate'!C108</f>
        <v>2044</v>
      </c>
      <c r="C108" s="6">
        <f>'CS Rate'!K108</f>
        <v>0.51</v>
      </c>
      <c r="D108" s="6">
        <f>'CS Rate'!T108</f>
        <v>0.50719286321468648</v>
      </c>
      <c r="E108" s="6">
        <f t="shared" si="3"/>
        <v>7.8800169314603476E-6</v>
      </c>
    </row>
    <row r="109" spans="1:5" ht="18.95" customHeight="1">
      <c r="A109" s="4">
        <f>'CS Rate'!A109</f>
        <v>1480</v>
      </c>
      <c r="B109" s="9">
        <f>'CS Rate'!C109</f>
        <v>2064</v>
      </c>
      <c r="C109" s="6">
        <f>'CS Rate'!K109</f>
        <v>0.54</v>
      </c>
      <c r="D109" s="6">
        <f>'CS Rate'!T109</f>
        <v>0.51199158121908495</v>
      </c>
      <c r="E109" s="6">
        <f t="shared" si="3"/>
        <v>7.844715226071171E-4</v>
      </c>
    </row>
    <row r="110" spans="1:5" ht="18.95" customHeight="1">
      <c r="A110" s="4">
        <f>'CS Rate'!A110</f>
        <v>1481</v>
      </c>
      <c r="B110" s="9">
        <f>'CS Rate'!C110</f>
        <v>2084</v>
      </c>
      <c r="C110" s="6">
        <f>'CS Rate'!K110</f>
        <v>0.55000000000000004</v>
      </c>
      <c r="D110" s="6">
        <f>'CS Rate'!T110</f>
        <v>0.51602181183514073</v>
      </c>
      <c r="E110" s="6">
        <f t="shared" si="3"/>
        <v>1.1545172709665854E-3</v>
      </c>
    </row>
    <row r="111" spans="1:5" ht="18.95" customHeight="1">
      <c r="A111" s="4">
        <f>'CS Rate'!A111</f>
        <v>1482</v>
      </c>
      <c r="B111" s="9">
        <f>'CS Rate'!C111</f>
        <v>2104</v>
      </c>
      <c r="C111" s="6">
        <f>'CS Rate'!K111</f>
        <v>0.56999999999999995</v>
      </c>
      <c r="D111" s="6">
        <f>'CS Rate'!T111</f>
        <v>0.5192959321529993</v>
      </c>
      <c r="E111" s="6">
        <f t="shared" si="3"/>
        <v>2.5709024962332458E-3</v>
      </c>
    </row>
    <row r="112" spans="1:5" ht="18.95" customHeight="1">
      <c r="A112" s="4">
        <f>'CS Rate'!A112</f>
        <v>1483</v>
      </c>
      <c r="B112" s="9">
        <f>'CS Rate'!C112</f>
        <v>2124</v>
      </c>
      <c r="C112" s="6">
        <f>'CS Rate'!K112</f>
        <v>0.56000000000000005</v>
      </c>
      <c r="D112" s="6">
        <f>'CS Rate'!T112</f>
        <v>0.52169610894034191</v>
      </c>
      <c r="E112" s="6">
        <f t="shared" si="3"/>
        <v>1.4671880703101593E-3</v>
      </c>
    </row>
    <row r="113" spans="1:5" ht="18.95" customHeight="1">
      <c r="A113" s="4">
        <f>'CS Rate'!A113</f>
        <v>1484</v>
      </c>
      <c r="B113" s="9">
        <f>'CS Rate'!C113</f>
        <v>2144</v>
      </c>
      <c r="C113" s="6">
        <f>'CS Rate'!K113</f>
        <v>0.59</v>
      </c>
      <c r="D113" s="6">
        <f>'CS Rate'!T113</f>
        <v>0.52283280439671564</v>
      </c>
      <c r="E113" s="6">
        <f t="shared" si="3"/>
        <v>4.5114321652098572E-3</v>
      </c>
    </row>
    <row r="114" spans="1:5" ht="18.95" customHeight="1">
      <c r="A114" s="4">
        <f>'CS Rate'!A114</f>
        <v>1485</v>
      </c>
      <c r="B114" s="9">
        <f>'CS Rate'!C114</f>
        <v>2164</v>
      </c>
      <c r="C114" s="6">
        <f>'CS Rate'!K114</f>
        <v>0.62</v>
      </c>
      <c r="D114" s="6">
        <f>'CS Rate'!T114</f>
        <v>0.52393618663057973</v>
      </c>
      <c r="E114" s="6">
        <f t="shared" si="3"/>
        <v>9.2282562390748092E-3</v>
      </c>
    </row>
    <row r="115" spans="1:5" ht="18.95" customHeight="1">
      <c r="A115" s="4">
        <f>'CS Rate'!A115</f>
        <v>1486</v>
      </c>
      <c r="B115" s="9">
        <f>'CS Rate'!C115</f>
        <v>2184</v>
      </c>
      <c r="C115" s="6">
        <f>'CS Rate'!K115</f>
        <v>0.57999999999999996</v>
      </c>
      <c r="D115" s="6">
        <f>'CS Rate'!T115</f>
        <v>0.52321075231800129</v>
      </c>
      <c r="E115" s="6">
        <f t="shared" si="3"/>
        <v>3.2250186522873908E-3</v>
      </c>
    </row>
    <row r="116" spans="1:5" ht="18.95" customHeight="1">
      <c r="A116" s="4">
        <f>'CS Rate'!A116</f>
        <v>1487</v>
      </c>
      <c r="B116" s="9">
        <f>'CS Rate'!C116</f>
        <v>2204</v>
      </c>
      <c r="C116" s="6">
        <f>'CS Rate'!K116</f>
        <v>0.56999999999999995</v>
      </c>
      <c r="D116" s="6">
        <f>'CS Rate'!T116</f>
        <v>0.52211166009371535</v>
      </c>
      <c r="E116" s="6">
        <f t="shared" si="3"/>
        <v>2.2932930989798504E-3</v>
      </c>
    </row>
    <row r="117" spans="1:5" ht="18.95" customHeight="1">
      <c r="A117" s="4">
        <f>'CS Rate'!A117</f>
        <v>1488</v>
      </c>
      <c r="B117" s="9">
        <f>'CS Rate'!C117</f>
        <v>2224</v>
      </c>
      <c r="C117" s="6">
        <f>'CS Rate'!K117</f>
        <v>0.54</v>
      </c>
      <c r="D117" s="6">
        <f>'CS Rate'!T117</f>
        <v>0.52030385174381677</v>
      </c>
      <c r="E117" s="6">
        <f t="shared" si="3"/>
        <v>3.8793825612955111E-4</v>
      </c>
    </row>
    <row r="118" spans="1:5" ht="18.95" customHeight="1">
      <c r="A118" s="4">
        <f>'CS Rate'!A118</f>
        <v>1489</v>
      </c>
      <c r="B118" s="9">
        <f>'CS Rate'!C118</f>
        <v>2244</v>
      </c>
      <c r="C118" s="6">
        <f>'CS Rate'!K118</f>
        <v>0.56999999999999995</v>
      </c>
      <c r="D118" s="6">
        <f>'CS Rate'!T118</f>
        <v>0.51705685590947859</v>
      </c>
      <c r="E118" s="6">
        <f t="shared" si="3"/>
        <v>2.8029765061897073E-3</v>
      </c>
    </row>
    <row r="119" spans="1:5" ht="18.95" customHeight="1">
      <c r="A119" s="4">
        <f>'CS Rate'!A119</f>
        <v>1490</v>
      </c>
      <c r="B119" s="9">
        <f>'CS Rate'!C119</f>
        <v>2264</v>
      </c>
      <c r="C119" s="6">
        <f>'CS Rate'!K119</f>
        <v>0.54</v>
      </c>
      <c r="D119" s="6">
        <f>'CS Rate'!T119</f>
        <v>0.51356625977435655</v>
      </c>
      <c r="E119" s="6">
        <f t="shared" si="3"/>
        <v>6.9874262231680261E-4</v>
      </c>
    </row>
    <row r="120" spans="1:5" ht="18.95" customHeight="1">
      <c r="A120" s="4">
        <f>'CS Rate'!A120</f>
        <v>1491</v>
      </c>
      <c r="B120" s="9">
        <f>'CS Rate'!C120</f>
        <v>2284</v>
      </c>
      <c r="C120" s="6">
        <f>'CS Rate'!K120</f>
        <v>0.52</v>
      </c>
      <c r="D120" s="6">
        <f>'CS Rate'!T120</f>
        <v>0.50920837262272944</v>
      </c>
      <c r="E120" s="6">
        <f t="shared" si="3"/>
        <v>1.1645922144985577E-4</v>
      </c>
    </row>
    <row r="121" spans="1:5" ht="18.95" customHeight="1">
      <c r="A121" s="4">
        <f>'CS Rate'!A121</f>
        <v>1492</v>
      </c>
      <c r="B121" s="9">
        <f>'CS Rate'!C121</f>
        <v>2304</v>
      </c>
      <c r="C121" s="6">
        <f>'CS Rate'!K121</f>
        <v>0.51</v>
      </c>
      <c r="D121" s="6">
        <f>'CS Rate'!T121</f>
        <v>0.50351117975157522</v>
      </c>
      <c r="E121" s="6">
        <f t="shared" si="3"/>
        <v>4.2104788216367517E-5</v>
      </c>
    </row>
    <row r="122" spans="1:5" ht="18.95" customHeight="1">
      <c r="A122" s="4">
        <f>'CS Rate'!A122</f>
        <v>1493</v>
      </c>
      <c r="B122" s="9">
        <f>'CS Rate'!C122</f>
        <v>2324</v>
      </c>
      <c r="C122" s="6">
        <f>'CS Rate'!K122</f>
        <v>0.51</v>
      </c>
      <c r="D122" s="6">
        <f>'CS Rate'!T122</f>
        <v>0.49762907970561665</v>
      </c>
      <c r="E122" s="6">
        <f t="shared" si="3"/>
        <v>1.5303966892998605E-4</v>
      </c>
    </row>
    <row r="123" spans="1:5" ht="18.95" customHeight="1">
      <c r="A123" s="4">
        <f>'CS Rate'!A123</f>
        <v>1494</v>
      </c>
      <c r="B123" s="9">
        <f>'CS Rate'!C123</f>
        <v>2344</v>
      </c>
      <c r="C123" s="6">
        <f>'CS Rate'!K123</f>
        <v>0.47</v>
      </c>
      <c r="D123" s="6">
        <f>'CS Rate'!T123</f>
        <v>0.49047822083959969</v>
      </c>
      <c r="E123" s="6">
        <f t="shared" si="3"/>
        <v>4.1935752875541606E-4</v>
      </c>
    </row>
    <row r="124" spans="1:5" ht="18.95" customHeight="1">
      <c r="A124" s="4">
        <f>'CS Rate'!A124</f>
        <v>1495</v>
      </c>
      <c r="B124" s="9">
        <f>'CS Rate'!C124</f>
        <v>2364</v>
      </c>
      <c r="C124" s="6">
        <f>'CS Rate'!K124</f>
        <v>0.46</v>
      </c>
      <c r="D124" s="6">
        <f>'CS Rate'!T124</f>
        <v>0.48251229996149392</v>
      </c>
      <c r="E124" s="6">
        <f t="shared" si="3"/>
        <v>5.0680364955627813E-4</v>
      </c>
    </row>
    <row r="125" spans="1:5" ht="18.95" customHeight="1">
      <c r="A125" s="4">
        <f>'CS Rate'!A125</f>
        <v>1496</v>
      </c>
      <c r="B125" s="9">
        <f>'CS Rate'!C125</f>
        <v>2384</v>
      </c>
      <c r="C125" s="6">
        <f>'CS Rate'!K125</f>
        <v>0.46</v>
      </c>
      <c r="D125" s="6">
        <f>'CS Rate'!T125</f>
        <v>0.47341565657713763</v>
      </c>
      <c r="E125" s="6">
        <f t="shared" si="3"/>
        <v>1.7997984139569572E-4</v>
      </c>
    </row>
    <row r="126" spans="1:5" ht="18.95" customHeight="1">
      <c r="A126" s="4">
        <f>'CS Rate'!A126</f>
        <v>1497</v>
      </c>
      <c r="B126" s="9">
        <f>'CS Rate'!C126</f>
        <v>2404</v>
      </c>
      <c r="C126" s="6">
        <f>'CS Rate'!K126</f>
        <v>0.46</v>
      </c>
      <c r="D126" s="6">
        <f>'CS Rate'!T126</f>
        <v>0.46381562669417142</v>
      </c>
      <c r="E126" s="6">
        <f t="shared" si="3"/>
        <v>1.4559007069273393E-5</v>
      </c>
    </row>
    <row r="127" spans="1:5" ht="18.95" customHeight="1">
      <c r="A127" s="4">
        <f>'CS Rate'!A127</f>
        <v>1498</v>
      </c>
      <c r="B127" s="9">
        <f>'CS Rate'!C127</f>
        <v>2424</v>
      </c>
      <c r="C127" s="6">
        <f>'CS Rate'!K127</f>
        <v>0.46</v>
      </c>
      <c r="D127" s="6">
        <f>'CS Rate'!T127</f>
        <v>0.45349659441716661</v>
      </c>
      <c r="E127" s="6">
        <f t="shared" si="3"/>
        <v>4.2294284174828768E-5</v>
      </c>
    </row>
    <row r="128" spans="1:5" ht="18.95" customHeight="1">
      <c r="A128" s="4">
        <f>'CS Rate'!A128</f>
        <v>1499</v>
      </c>
      <c r="B128" s="9">
        <f>'CS Rate'!C128</f>
        <v>2444</v>
      </c>
      <c r="C128" s="6">
        <f>'CS Rate'!K128</f>
        <v>0.43</v>
      </c>
      <c r="D128" s="6">
        <f>'CS Rate'!T128</f>
        <v>0.44251942310750253</v>
      </c>
      <c r="E128" s="6">
        <f t="shared" si="3"/>
        <v>1.5673595494466848E-4</v>
      </c>
    </row>
    <row r="129" spans="1:5" ht="18.95" customHeight="1">
      <c r="A129" s="4">
        <f>'CS Rate'!A129</f>
        <v>1500</v>
      </c>
      <c r="B129" s="9">
        <f>'CS Rate'!C129</f>
        <v>2464</v>
      </c>
      <c r="C129" s="6">
        <f>'CS Rate'!K129</f>
        <v>0.39</v>
      </c>
      <c r="D129" s="6">
        <f>'CS Rate'!T129</f>
        <v>0.43051991012660512</v>
      </c>
      <c r="E129" s="6">
        <f t="shared" si="3"/>
        <v>1.6418631166681551E-3</v>
      </c>
    </row>
    <row r="130" spans="1:5" ht="18.95" customHeight="1">
      <c r="A130" s="4">
        <f>'CS Rate'!A130</f>
        <v>1501</v>
      </c>
      <c r="B130" s="9">
        <f>'CS Rate'!C130</f>
        <v>2484</v>
      </c>
      <c r="C130" s="6">
        <f>'CS Rate'!K130</f>
        <v>0.38</v>
      </c>
      <c r="D130" s="6">
        <f>'CS Rate'!T130</f>
        <v>0.41765795940640182</v>
      </c>
      <c r="E130" s="6">
        <f t="shared" si="3"/>
        <v>1.4181219066542073E-3</v>
      </c>
    </row>
    <row r="131" spans="1:5" ht="18.95" customHeight="1">
      <c r="A131" s="4">
        <f>'CS Rate'!A131</f>
        <v>1502</v>
      </c>
      <c r="B131" s="9">
        <f>'CS Rate'!C131</f>
        <v>2504</v>
      </c>
      <c r="C131" s="6">
        <f>'CS Rate'!K131</f>
        <v>0.37</v>
      </c>
      <c r="D131" s="6">
        <f>'CS Rate'!T131</f>
        <v>0.40422364112594011</v>
      </c>
      <c r="E131" s="6">
        <f t="shared" si="3"/>
        <v>1.1712576119171398E-3</v>
      </c>
    </row>
    <row r="132" spans="1:5" ht="18.95" customHeight="1">
      <c r="A132" s="4">
        <f>'CS Rate'!A132</f>
        <v>1503</v>
      </c>
      <c r="B132" s="9">
        <f>'CS Rate'!C132</f>
        <v>2524</v>
      </c>
      <c r="C132" s="6">
        <f>'CS Rate'!K132</f>
        <v>0.35</v>
      </c>
      <c r="D132" s="6">
        <f>'CS Rate'!T132</f>
        <v>0.38982383554573175</v>
      </c>
      <c r="E132" s="6">
        <f t="shared" si="3"/>
        <v>1.5859378775734891E-3</v>
      </c>
    </row>
    <row r="133" spans="1:5" ht="18.95" customHeight="1">
      <c r="A133" s="4">
        <f>'CS Rate'!A133</f>
        <v>1504</v>
      </c>
      <c r="B133" s="9">
        <f>'CS Rate'!C133</f>
        <v>2544</v>
      </c>
      <c r="C133" s="6">
        <f>'CS Rate'!K133</f>
        <v>0.33</v>
      </c>
      <c r="D133" s="6">
        <f>'CS Rate'!T133</f>
        <v>0.37522950341093708</v>
      </c>
      <c r="E133" s="6">
        <f t="shared" si="3"/>
        <v>2.0457079787999676E-3</v>
      </c>
    </row>
    <row r="134" spans="1:5" ht="18.95" customHeight="1">
      <c r="A134" s="4">
        <f>'CS Rate'!A134</f>
        <v>1505</v>
      </c>
      <c r="B134" s="9">
        <f>'CS Rate'!C134</f>
        <v>2564</v>
      </c>
      <c r="C134" s="6">
        <f>'CS Rate'!K134</f>
        <v>0.3</v>
      </c>
      <c r="D134" s="6">
        <f>'CS Rate'!T134</f>
        <v>0.35948146125484998</v>
      </c>
      <c r="E134" s="6">
        <f t="shared" ref="E134:E152" si="4">(C134-D134)^2</f>
        <v>3.5380442330122204E-3</v>
      </c>
    </row>
    <row r="135" spans="1:5" ht="18.95" customHeight="1">
      <c r="A135" s="4">
        <f>'CS Rate'!A135</f>
        <v>1506</v>
      </c>
      <c r="B135" s="9">
        <f>'CS Rate'!C135</f>
        <v>2584</v>
      </c>
      <c r="C135" s="6">
        <f>'CS Rate'!K135</f>
        <v>0.3</v>
      </c>
      <c r="D135" s="6">
        <f>'CS Rate'!T135</f>
        <v>0.34361755489780632</v>
      </c>
      <c r="E135" s="6">
        <f t="shared" si="4"/>
        <v>1.9024910952631492E-3</v>
      </c>
    </row>
    <row r="136" spans="1:5" ht="18.95" customHeight="1">
      <c r="A136" s="4">
        <f>'CS Rate'!A136</f>
        <v>1507</v>
      </c>
      <c r="B136" s="9">
        <f>'CS Rate'!C136</f>
        <v>2604</v>
      </c>
      <c r="C136" s="6">
        <f>'CS Rate'!K136</f>
        <v>0.28000000000000003</v>
      </c>
      <c r="D136" s="6">
        <f>'CS Rate'!T136</f>
        <v>0.32599046102752766</v>
      </c>
      <c r="E136" s="6">
        <f t="shared" si="4"/>
        <v>2.1151225055245377E-3</v>
      </c>
    </row>
    <row r="137" spans="1:5" ht="18.95" customHeight="1">
      <c r="A137" s="4">
        <f>'CS Rate'!A137</f>
        <v>1508</v>
      </c>
      <c r="B137" s="9">
        <f>'CS Rate'!C137</f>
        <v>2624</v>
      </c>
      <c r="C137" s="6">
        <f>'CS Rate'!K137</f>
        <v>0.27</v>
      </c>
      <c r="D137" s="6">
        <f>'CS Rate'!T137</f>
        <v>0.30841073109763328</v>
      </c>
      <c r="E137" s="6">
        <f t="shared" si="4"/>
        <v>1.4753842634546912E-3</v>
      </c>
    </row>
    <row r="138" spans="1:5" ht="18.95" customHeight="1">
      <c r="A138" s="4">
        <f>'CS Rate'!A138</f>
        <v>1509</v>
      </c>
      <c r="B138" s="9">
        <f>'CS Rate'!C138</f>
        <v>2644</v>
      </c>
      <c r="C138" s="6">
        <f>'CS Rate'!K138</f>
        <v>0.24</v>
      </c>
      <c r="D138" s="6">
        <f>'CS Rate'!T138</f>
        <v>0.2902316859464189</v>
      </c>
      <c r="E138" s="6">
        <f t="shared" si="4"/>
        <v>2.5232222730196593E-3</v>
      </c>
    </row>
    <row r="139" spans="1:5" ht="18.95" customHeight="1">
      <c r="A139" s="4">
        <f>'CS Rate'!A139</f>
        <v>1510</v>
      </c>
      <c r="B139" s="9">
        <f>'CS Rate'!C139</f>
        <v>2664</v>
      </c>
      <c r="C139" s="6">
        <f>'CS Rate'!K139</f>
        <v>0.23</v>
      </c>
      <c r="D139" s="6">
        <f>'CS Rate'!T139</f>
        <v>0.27199520456689691</v>
      </c>
      <c r="E139" s="6">
        <f t="shared" si="4"/>
        <v>1.7635972066155181E-3</v>
      </c>
    </row>
    <row r="140" spans="1:5" ht="18.95" customHeight="1">
      <c r="A140" s="4">
        <f>'CS Rate'!A140</f>
        <v>1511</v>
      </c>
      <c r="B140" s="9">
        <f>'CS Rate'!C140</f>
        <v>2684</v>
      </c>
      <c r="C140" s="6">
        <f>'CS Rate'!K140</f>
        <v>0.21</v>
      </c>
      <c r="D140" s="6">
        <f>'CS Rate'!T140</f>
        <v>0.25283080669601432</v>
      </c>
      <c r="E140" s="6">
        <f t="shared" si="4"/>
        <v>1.8344780022313458E-3</v>
      </c>
    </row>
    <row r="141" spans="1:5" ht="18.95" customHeight="1">
      <c r="A141" s="4">
        <f>'CS Rate'!A141</f>
        <v>1512</v>
      </c>
      <c r="B141" s="9">
        <f>'CS Rate'!C141</f>
        <v>2704</v>
      </c>
      <c r="C141" s="6">
        <f>'CS Rate'!K141</f>
        <v>0.19</v>
      </c>
      <c r="D141" s="6">
        <f>'CS Rate'!T141</f>
        <v>0.23263106406513204</v>
      </c>
      <c r="E141" s="6">
        <f t="shared" si="4"/>
        <v>1.817407623325392E-3</v>
      </c>
    </row>
    <row r="142" spans="1:5" ht="18.95" customHeight="1">
      <c r="A142" s="4">
        <f>'CS Rate'!A142</f>
        <v>1513</v>
      </c>
      <c r="B142" s="9">
        <f>'CS Rate'!C142</f>
        <v>2724</v>
      </c>
      <c r="C142" s="6">
        <f>'CS Rate'!K142</f>
        <v>0.17</v>
      </c>
      <c r="D142" s="6">
        <f>'CS Rate'!T142</f>
        <v>0.21244728509185939</v>
      </c>
      <c r="E142" s="6">
        <f t="shared" si="4"/>
        <v>1.8017720116695877E-3</v>
      </c>
    </row>
    <row r="143" spans="1:5" ht="18.95" customHeight="1">
      <c r="A143" s="4">
        <f>'CS Rate'!A143</f>
        <v>1514</v>
      </c>
      <c r="B143" s="9">
        <f>'CS Rate'!C143</f>
        <v>2744</v>
      </c>
      <c r="C143" s="6">
        <f>'CS Rate'!K143</f>
        <v>0.15</v>
      </c>
      <c r="D143" s="6">
        <f>'CS Rate'!T143</f>
        <v>0.19128098784155148</v>
      </c>
      <c r="E143" s="6">
        <f t="shared" si="4"/>
        <v>1.7041199571743216E-3</v>
      </c>
    </row>
    <row r="144" spans="1:5" ht="18.95" customHeight="1">
      <c r="A144" s="4">
        <f>'CS Rate'!A144</f>
        <v>1515</v>
      </c>
      <c r="B144" s="9">
        <f>'CS Rate'!C144</f>
        <v>2764</v>
      </c>
      <c r="C144" s="6">
        <f>'CS Rate'!K144</f>
        <v>0.13</v>
      </c>
      <c r="D144" s="6">
        <f>'CS Rate'!T144</f>
        <v>0.17053560684503499</v>
      </c>
      <c r="E144" s="6">
        <f t="shared" si="4"/>
        <v>1.6431354222952474E-3</v>
      </c>
    </row>
    <row r="145" spans="1:5" ht="18.95" customHeight="1">
      <c r="A145" s="4">
        <f>'CS Rate'!A145</f>
        <v>1516</v>
      </c>
      <c r="B145" s="9">
        <f>'CS Rate'!C145</f>
        <v>2784</v>
      </c>
      <c r="C145" s="6">
        <f>'CS Rate'!K145</f>
        <v>0.12</v>
      </c>
      <c r="D145" s="6">
        <f>'CS Rate'!T145</f>
        <v>0.14893562640088678</v>
      </c>
      <c r="E145" s="6">
        <f t="shared" si="4"/>
        <v>8.3727047521169648E-4</v>
      </c>
    </row>
    <row r="146" spans="1:5" ht="18.95" customHeight="1">
      <c r="A146" s="4">
        <f>'CS Rate'!A146</f>
        <v>1517</v>
      </c>
      <c r="B146" s="9">
        <f>'CS Rate'!C146</f>
        <v>2804</v>
      </c>
      <c r="C146" s="6">
        <f>'CS Rate'!K146</f>
        <v>0.09</v>
      </c>
      <c r="D146" s="6">
        <f>'CS Rate'!T146</f>
        <v>0.1273359118112902</v>
      </c>
      <c r="E146" s="6">
        <f t="shared" si="4"/>
        <v>1.3939703107804392E-3</v>
      </c>
    </row>
    <row r="147" spans="1:5" ht="18.95" customHeight="1">
      <c r="A147" s="4">
        <f>'CS Rate'!A147</f>
        <v>1518</v>
      </c>
      <c r="B147" s="9">
        <f>'CS Rate'!C147</f>
        <v>2824</v>
      </c>
      <c r="C147" s="6">
        <f>'CS Rate'!K147</f>
        <v>7.0000000000000007E-2</v>
      </c>
      <c r="D147" s="6">
        <f>'CS Rate'!T147</f>
        <v>0.10573559682838321</v>
      </c>
      <c r="E147" s="6">
        <f t="shared" si="4"/>
        <v>1.2770328806807516E-3</v>
      </c>
    </row>
    <row r="148" spans="1:5" ht="18.95" customHeight="1">
      <c r="A148" s="4">
        <f>'CS Rate'!A148</f>
        <v>1519</v>
      </c>
      <c r="B148" s="9">
        <f>'CS Rate'!C148</f>
        <v>2844</v>
      </c>
      <c r="C148" s="6">
        <f>'CS Rate'!K148</f>
        <v>0.04</v>
      </c>
      <c r="D148" s="6">
        <f>'CS Rate'!T148</f>
        <v>8.3134652782443863E-2</v>
      </c>
      <c r="E148" s="6">
        <f t="shared" si="4"/>
        <v>1.8605982706619919E-3</v>
      </c>
    </row>
    <row r="149" spans="1:5" ht="18.95" customHeight="1">
      <c r="A149" s="4">
        <f>'CS Rate'!A149</f>
        <v>1520</v>
      </c>
      <c r="B149" s="9">
        <f>'CS Rate'!C149</f>
        <v>2864</v>
      </c>
      <c r="C149" s="6">
        <f>'CS Rate'!K149</f>
        <v>0.02</v>
      </c>
      <c r="D149" s="6">
        <f>'CS Rate'!T149</f>
        <v>6.0544883779110915E-2</v>
      </c>
      <c r="E149" s="6">
        <f t="shared" si="4"/>
        <v>1.6438876006616117E-3</v>
      </c>
    </row>
    <row r="150" spans="1:5" ht="18.95" customHeight="1">
      <c r="A150" s="4">
        <f>'CS Rate'!A150</f>
        <v>1521</v>
      </c>
      <c r="B150" s="9">
        <f>'CS Rate'!C150</f>
        <v>2884</v>
      </c>
      <c r="C150" s="6">
        <f>'CS Rate'!K150</f>
        <v>-0.01</v>
      </c>
      <c r="D150" s="6">
        <f>'CS Rate'!T150</f>
        <v>3.8037249406976843E-2</v>
      </c>
      <c r="E150" s="6">
        <f t="shared" si="4"/>
        <v>2.3075773305880972E-3</v>
      </c>
    </row>
    <row r="151" spans="1:5" ht="18.95" customHeight="1">
      <c r="A151" s="4">
        <f>'CS Rate'!A151</f>
        <v>1522</v>
      </c>
      <c r="B151" s="9">
        <f>'CS Rate'!C151</f>
        <v>2904</v>
      </c>
      <c r="C151" s="6">
        <f>'CS Rate'!K151</f>
        <v>-0.03</v>
      </c>
      <c r="D151" s="6">
        <f>'CS Rate'!T151</f>
        <v>1.5339107416673893E-2</v>
      </c>
      <c r="E151" s="6">
        <f t="shared" si="4"/>
        <v>2.0556346613406938E-3</v>
      </c>
    </row>
    <row r="152" spans="1:5" ht="18.95" customHeight="1">
      <c r="A152" s="4">
        <f>'CS Rate'!A152</f>
        <v>1523</v>
      </c>
      <c r="B152" s="9">
        <f>'CS Rate'!C152</f>
        <v>2924</v>
      </c>
      <c r="C152" s="6">
        <f>'CS Rate'!K152</f>
        <v>-0.06</v>
      </c>
      <c r="D152" s="6">
        <f>'CS Rate'!T152</f>
        <v>-6.959348917397315E-3</v>
      </c>
      <c r="E152" s="6">
        <f t="shared" si="4"/>
        <v>2.8133106672664013E-3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8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8" width="17" customWidth="1"/>
  </cols>
  <sheetData>
    <row r="1" spans="1:8" ht="18.95" customHeight="1">
      <c r="A1" s="2" t="s">
        <v>31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spans="1:8" ht="18.95" customHeight="1">
      <c r="A6" s="4">
        <v>2</v>
      </c>
      <c r="B6" s="4">
        <v>20228</v>
      </c>
      <c r="C6" s="4">
        <v>1</v>
      </c>
      <c r="D6" s="6">
        <v>0</v>
      </c>
      <c r="E6" s="6">
        <v>-174.88</v>
      </c>
      <c r="F6" s="6">
        <v>0</v>
      </c>
      <c r="G6" s="6">
        <v>0.04</v>
      </c>
      <c r="H6" s="6">
        <v>26</v>
      </c>
    </row>
    <row r="7" spans="1:8" ht="18.95" customHeight="1">
      <c r="A7" s="4">
        <v>3</v>
      </c>
      <c r="B7" s="4">
        <v>20248</v>
      </c>
      <c r="C7" s="4">
        <v>1</v>
      </c>
      <c r="D7" s="6">
        <v>0</v>
      </c>
      <c r="E7" s="6">
        <v>-174.88</v>
      </c>
      <c r="F7" s="6">
        <v>0</v>
      </c>
      <c r="G7" s="6">
        <v>0.08</v>
      </c>
      <c r="H7" s="6">
        <v>26</v>
      </c>
    </row>
    <row r="8" spans="1:8" ht="18.95" customHeight="1">
      <c r="A8" s="4">
        <v>4</v>
      </c>
      <c r="B8" s="4">
        <v>20268</v>
      </c>
      <c r="C8" s="4">
        <v>1</v>
      </c>
      <c r="D8" s="6">
        <v>0</v>
      </c>
      <c r="E8" s="6">
        <v>-174.88</v>
      </c>
      <c r="F8" s="6">
        <v>0</v>
      </c>
      <c r="G8" s="6">
        <v>0.06</v>
      </c>
      <c r="H8" s="6">
        <v>26</v>
      </c>
    </row>
    <row r="9" spans="1:8" ht="18.95" customHeight="1">
      <c r="A9" s="4">
        <v>5</v>
      </c>
      <c r="B9" s="4">
        <v>20288</v>
      </c>
      <c r="C9" s="4">
        <v>1</v>
      </c>
      <c r="D9" s="6">
        <v>0</v>
      </c>
      <c r="E9" s="6">
        <v>-174.88</v>
      </c>
      <c r="F9" s="6">
        <v>0</v>
      </c>
      <c r="G9" s="6">
        <v>7.0000000000000007E-2</v>
      </c>
      <c r="H9" s="6">
        <v>25</v>
      </c>
    </row>
    <row r="10" spans="1:8" ht="18.95" customHeight="1">
      <c r="A10" s="4">
        <v>6</v>
      </c>
      <c r="B10" s="4">
        <v>20308</v>
      </c>
      <c r="C10" s="4">
        <v>1</v>
      </c>
      <c r="D10" s="6">
        <v>0</v>
      </c>
      <c r="E10" s="6">
        <v>-174.88</v>
      </c>
      <c r="F10" s="6">
        <v>0</v>
      </c>
      <c r="G10" s="6">
        <v>0.05</v>
      </c>
      <c r="H10" s="6">
        <v>25</v>
      </c>
    </row>
    <row r="11" spans="1:8" ht="18.95" customHeight="1">
      <c r="A11" s="4">
        <v>7</v>
      </c>
      <c r="B11" s="4">
        <v>20328</v>
      </c>
      <c r="C11" s="4">
        <v>1</v>
      </c>
      <c r="D11" s="6">
        <v>0</v>
      </c>
      <c r="E11" s="6">
        <v>-174.88</v>
      </c>
      <c r="F11" s="6">
        <v>0</v>
      </c>
      <c r="G11" s="6">
        <v>0.02</v>
      </c>
      <c r="H11" s="6">
        <v>24</v>
      </c>
    </row>
    <row r="12" spans="1:8" ht="18.95" customHeight="1">
      <c r="A12" s="4">
        <v>8</v>
      </c>
      <c r="B12" s="4">
        <v>20348</v>
      </c>
      <c r="C12" s="4">
        <v>1</v>
      </c>
      <c r="D12" s="6">
        <v>0</v>
      </c>
      <c r="E12" s="6">
        <v>-174.88</v>
      </c>
      <c r="F12" s="6">
        <v>0</v>
      </c>
      <c r="G12" s="6">
        <v>0.1</v>
      </c>
      <c r="H12" s="6">
        <v>24</v>
      </c>
    </row>
    <row r="13" spans="1:8" ht="18.95" customHeight="1">
      <c r="A13" s="4">
        <v>9</v>
      </c>
      <c r="B13" s="4">
        <v>20368</v>
      </c>
      <c r="C13" s="4">
        <v>1</v>
      </c>
      <c r="D13" s="6">
        <v>0</v>
      </c>
      <c r="E13" s="6">
        <v>-174.88</v>
      </c>
      <c r="F13" s="6">
        <v>0</v>
      </c>
      <c r="G13" s="6">
        <v>-0.02</v>
      </c>
      <c r="H13" s="6">
        <v>24</v>
      </c>
    </row>
    <row r="14" spans="1:8" ht="18.95" customHeight="1">
      <c r="A14" s="4">
        <v>10</v>
      </c>
      <c r="B14" s="4">
        <v>20388</v>
      </c>
      <c r="C14" s="4">
        <v>1</v>
      </c>
      <c r="D14" s="6">
        <v>0</v>
      </c>
      <c r="E14" s="6">
        <v>-174.88</v>
      </c>
      <c r="F14" s="6">
        <v>0</v>
      </c>
      <c r="G14" s="6">
        <v>7.0000000000000007E-2</v>
      </c>
      <c r="H14" s="6">
        <v>26</v>
      </c>
    </row>
    <row r="15" spans="1:8" ht="18.95" customHeight="1">
      <c r="A15" s="4">
        <v>11</v>
      </c>
      <c r="B15" s="4">
        <v>20408</v>
      </c>
      <c r="C15" s="4">
        <v>1</v>
      </c>
      <c r="D15" s="6">
        <v>0</v>
      </c>
      <c r="E15" s="6">
        <v>-174.88</v>
      </c>
      <c r="F15" s="6">
        <v>0</v>
      </c>
      <c r="G15" s="6">
        <v>0.05</v>
      </c>
      <c r="H15" s="6">
        <v>26</v>
      </c>
    </row>
    <row r="16" spans="1:8" ht="18.95" customHeight="1">
      <c r="A16" s="4">
        <v>12</v>
      </c>
      <c r="B16" s="4">
        <v>20428</v>
      </c>
      <c r="C16" s="4">
        <v>1</v>
      </c>
      <c r="D16" s="6">
        <v>0</v>
      </c>
      <c r="E16" s="6">
        <v>-174.88</v>
      </c>
      <c r="F16" s="6">
        <v>0</v>
      </c>
      <c r="G16" s="6">
        <v>0.03</v>
      </c>
      <c r="H16" s="6">
        <v>27</v>
      </c>
    </row>
    <row r="17" spans="1:8" ht="18.95" customHeight="1">
      <c r="A17" s="4">
        <v>13</v>
      </c>
      <c r="B17" s="4">
        <v>20448</v>
      </c>
      <c r="C17" s="4">
        <v>1</v>
      </c>
      <c r="D17" s="6">
        <v>0</v>
      </c>
      <c r="E17" s="6">
        <v>-174.88</v>
      </c>
      <c r="F17" s="6">
        <v>0</v>
      </c>
      <c r="G17" s="6">
        <v>0</v>
      </c>
      <c r="H17" s="6">
        <v>27</v>
      </c>
    </row>
    <row r="18" spans="1:8" ht="18.95" customHeight="1">
      <c r="A18" s="4">
        <v>14</v>
      </c>
      <c r="B18" s="4">
        <v>20468</v>
      </c>
      <c r="C18" s="4">
        <v>1</v>
      </c>
      <c r="D18" s="6">
        <v>0</v>
      </c>
      <c r="E18" s="6">
        <v>-174.88</v>
      </c>
      <c r="F18" s="6">
        <v>0</v>
      </c>
      <c r="G18" s="6">
        <v>0.04</v>
      </c>
      <c r="H18" s="6">
        <v>27</v>
      </c>
    </row>
    <row r="19" spans="1:8" ht="18.95" customHeight="1">
      <c r="A19" s="4">
        <v>15</v>
      </c>
      <c r="B19" s="4">
        <v>20488</v>
      </c>
      <c r="C19" s="4">
        <v>1</v>
      </c>
      <c r="D19" s="6">
        <v>0</v>
      </c>
      <c r="E19" s="6">
        <v>-174.88</v>
      </c>
      <c r="F19" s="6">
        <v>0</v>
      </c>
      <c r="G19" s="6">
        <v>0.08</v>
      </c>
      <c r="H19" s="6">
        <v>27</v>
      </c>
    </row>
    <row r="20" spans="1:8" ht="18.95" customHeight="1">
      <c r="A20" s="4">
        <v>16</v>
      </c>
      <c r="B20" s="4">
        <v>20508</v>
      </c>
      <c r="C20" s="4">
        <v>1</v>
      </c>
      <c r="D20" s="6">
        <v>0</v>
      </c>
      <c r="E20" s="6">
        <v>-174.88</v>
      </c>
      <c r="F20" s="6">
        <v>0</v>
      </c>
      <c r="G20" s="6">
        <v>0.05</v>
      </c>
      <c r="H20" s="6">
        <v>27</v>
      </c>
    </row>
    <row r="21" spans="1:8" ht="18.95" customHeight="1">
      <c r="A21" s="4">
        <v>17</v>
      </c>
      <c r="B21" s="4">
        <v>20528</v>
      </c>
      <c r="C21" s="4">
        <v>1</v>
      </c>
      <c r="D21" s="6">
        <v>0</v>
      </c>
      <c r="E21" s="6">
        <v>-174.88</v>
      </c>
      <c r="F21" s="6">
        <v>0</v>
      </c>
      <c r="G21" s="6">
        <v>0.03</v>
      </c>
      <c r="H21" s="6">
        <v>25</v>
      </c>
    </row>
    <row r="22" spans="1:8" ht="18.95" customHeight="1">
      <c r="A22" s="4">
        <v>18</v>
      </c>
      <c r="B22" s="4">
        <v>20548</v>
      </c>
      <c r="C22" s="4">
        <v>1</v>
      </c>
      <c r="D22" s="6">
        <v>0</v>
      </c>
      <c r="E22" s="6">
        <v>-174.88</v>
      </c>
      <c r="F22" s="6">
        <v>0</v>
      </c>
      <c r="G22" s="6">
        <v>0.03</v>
      </c>
      <c r="H22" s="6">
        <v>25</v>
      </c>
    </row>
    <row r="23" spans="1:8" ht="18.95" customHeight="1">
      <c r="A23" s="4">
        <v>19</v>
      </c>
      <c r="B23" s="4">
        <v>20568</v>
      </c>
      <c r="C23" s="4">
        <v>1</v>
      </c>
      <c r="D23" s="6">
        <v>0</v>
      </c>
      <c r="E23" s="6">
        <v>-174.88</v>
      </c>
      <c r="F23" s="6">
        <v>0</v>
      </c>
      <c r="G23" s="6">
        <v>0.04</v>
      </c>
      <c r="H23" s="6">
        <v>25</v>
      </c>
    </row>
    <row r="24" spans="1:8" ht="18.95" customHeight="1">
      <c r="A24" s="4">
        <v>20</v>
      </c>
      <c r="B24" s="4">
        <v>20588</v>
      </c>
      <c r="C24" s="4">
        <v>1</v>
      </c>
      <c r="D24" s="6">
        <v>0</v>
      </c>
      <c r="E24" s="6">
        <v>-174.88</v>
      </c>
      <c r="F24" s="6">
        <v>0</v>
      </c>
      <c r="G24" s="6">
        <v>0.05</v>
      </c>
      <c r="H24" s="6">
        <v>28</v>
      </c>
    </row>
    <row r="25" spans="1:8" ht="18.95" customHeight="1">
      <c r="A25" s="4">
        <v>21</v>
      </c>
      <c r="B25" s="4">
        <v>20608</v>
      </c>
      <c r="C25" s="4">
        <v>1</v>
      </c>
      <c r="D25" s="6">
        <v>0</v>
      </c>
      <c r="E25" s="6">
        <v>-174.88</v>
      </c>
      <c r="F25" s="6">
        <v>0</v>
      </c>
      <c r="G25" s="6">
        <v>0.02</v>
      </c>
      <c r="H25" s="6">
        <v>28</v>
      </c>
    </row>
    <row r="26" spans="1:8" ht="18.95" customHeight="1">
      <c r="A26" s="4">
        <v>22</v>
      </c>
      <c r="B26" s="4">
        <v>20628</v>
      </c>
      <c r="C26" s="4">
        <v>1</v>
      </c>
      <c r="D26" s="6">
        <v>0</v>
      </c>
      <c r="E26" s="6">
        <v>-174.88</v>
      </c>
      <c r="F26" s="6">
        <v>0</v>
      </c>
      <c r="G26" s="6">
        <v>0.06</v>
      </c>
      <c r="H26" s="6">
        <v>28</v>
      </c>
    </row>
    <row r="27" spans="1:8" ht="18.95" customHeight="1">
      <c r="A27" s="4">
        <v>23</v>
      </c>
      <c r="B27" s="4">
        <v>20648</v>
      </c>
      <c r="C27" s="4">
        <v>1</v>
      </c>
      <c r="D27" s="6">
        <v>0</v>
      </c>
      <c r="E27" s="6">
        <v>-174.88</v>
      </c>
      <c r="F27" s="6">
        <v>0</v>
      </c>
      <c r="G27" s="6">
        <v>7.0000000000000007E-2</v>
      </c>
      <c r="H27" s="6">
        <v>28</v>
      </c>
    </row>
    <row r="28" spans="1:8" ht="18.95" customHeight="1">
      <c r="A28" s="4">
        <v>24</v>
      </c>
      <c r="B28" s="4">
        <v>20668</v>
      </c>
      <c r="C28" s="4">
        <v>1</v>
      </c>
      <c r="D28" s="6">
        <v>0</v>
      </c>
      <c r="E28" s="6">
        <v>-174.88</v>
      </c>
      <c r="F28" s="6">
        <v>0</v>
      </c>
      <c r="G28" s="6">
        <v>0.03</v>
      </c>
      <c r="H28" s="6">
        <v>28</v>
      </c>
    </row>
    <row r="29" spans="1:8" ht="18.95" customHeight="1">
      <c r="A29" s="4">
        <v>25</v>
      </c>
      <c r="B29" s="4">
        <v>20688</v>
      </c>
      <c r="C29" s="4">
        <v>1</v>
      </c>
      <c r="D29" s="6">
        <v>0</v>
      </c>
      <c r="E29" s="6">
        <v>-174.88</v>
      </c>
      <c r="F29" s="6">
        <v>0</v>
      </c>
      <c r="G29" s="6">
        <v>0.04</v>
      </c>
      <c r="H29" s="6">
        <v>24</v>
      </c>
    </row>
    <row r="30" spans="1:8" ht="18.95" customHeight="1">
      <c r="A30" s="4">
        <v>26</v>
      </c>
      <c r="B30" s="4">
        <v>20708</v>
      </c>
      <c r="C30" s="4">
        <v>1</v>
      </c>
      <c r="D30" s="6">
        <v>0</v>
      </c>
      <c r="E30" s="6">
        <v>-174.88</v>
      </c>
      <c r="F30" s="6">
        <v>0</v>
      </c>
      <c r="G30" s="6">
        <v>7.0000000000000007E-2</v>
      </c>
      <c r="H30" s="6">
        <v>24</v>
      </c>
    </row>
    <row r="31" spans="1:8" ht="18.95" customHeight="1">
      <c r="A31" s="4">
        <v>27</v>
      </c>
      <c r="B31" s="4">
        <v>20728</v>
      </c>
      <c r="C31" s="4">
        <v>1</v>
      </c>
      <c r="D31" s="6">
        <v>0</v>
      </c>
      <c r="E31" s="6">
        <v>-174.88</v>
      </c>
      <c r="F31" s="6">
        <v>0</v>
      </c>
      <c r="G31" s="6">
        <v>0.05</v>
      </c>
      <c r="H31" s="6">
        <v>24</v>
      </c>
    </row>
    <row r="32" spans="1:8" ht="18.95" customHeight="1">
      <c r="A32" s="4">
        <v>28</v>
      </c>
      <c r="B32" s="4">
        <v>20748</v>
      </c>
      <c r="C32" s="4">
        <v>1</v>
      </c>
      <c r="D32" s="6">
        <v>0</v>
      </c>
      <c r="E32" s="6">
        <v>-174.88</v>
      </c>
      <c r="F32" s="6">
        <v>0</v>
      </c>
      <c r="G32" s="6">
        <v>0.04</v>
      </c>
      <c r="H32" s="6">
        <v>24</v>
      </c>
    </row>
    <row r="33" spans="1:8" ht="18.95" customHeight="1">
      <c r="A33" s="4">
        <v>29</v>
      </c>
      <c r="B33" s="4">
        <v>20768</v>
      </c>
      <c r="C33" s="4">
        <v>1</v>
      </c>
      <c r="D33" s="6">
        <v>0</v>
      </c>
      <c r="E33" s="6">
        <v>-174.88</v>
      </c>
      <c r="F33" s="6">
        <v>0</v>
      </c>
      <c r="G33" s="6">
        <v>7.0000000000000007E-2</v>
      </c>
      <c r="H33" s="6">
        <v>24</v>
      </c>
    </row>
    <row r="34" spans="1:8" ht="18.95" customHeight="1">
      <c r="A34" s="4">
        <v>30</v>
      </c>
      <c r="B34" s="4">
        <v>20788</v>
      </c>
      <c r="C34" s="4">
        <v>1</v>
      </c>
      <c r="D34" s="6">
        <v>0</v>
      </c>
      <c r="E34" s="6">
        <v>-174.88</v>
      </c>
      <c r="F34" s="6">
        <v>0</v>
      </c>
      <c r="G34" s="6">
        <v>7.0000000000000007E-2</v>
      </c>
      <c r="H34" s="6">
        <v>25</v>
      </c>
    </row>
    <row r="35" spans="1:8" ht="18.95" customHeight="1">
      <c r="A35" s="4">
        <v>31</v>
      </c>
      <c r="B35" s="4">
        <v>20808</v>
      </c>
      <c r="C35" s="4">
        <v>1</v>
      </c>
      <c r="D35" s="6">
        <v>0</v>
      </c>
      <c r="E35" s="6">
        <v>-174.88</v>
      </c>
      <c r="F35" s="6">
        <v>0</v>
      </c>
      <c r="G35" s="6">
        <v>0.04</v>
      </c>
      <c r="H35" s="6">
        <v>25</v>
      </c>
    </row>
    <row r="36" spans="1:8" ht="18.95" customHeight="1">
      <c r="A36" s="4">
        <v>32</v>
      </c>
      <c r="B36" s="4">
        <v>20828</v>
      </c>
      <c r="C36" s="4">
        <v>1</v>
      </c>
      <c r="D36" s="6">
        <v>0</v>
      </c>
      <c r="E36" s="6">
        <v>-174.88</v>
      </c>
      <c r="F36" s="6">
        <v>0</v>
      </c>
      <c r="G36" s="6">
        <v>0.05</v>
      </c>
      <c r="H36" s="6">
        <v>26</v>
      </c>
    </row>
    <row r="37" spans="1:8" ht="18.95" customHeight="1">
      <c r="A37" s="4">
        <v>33</v>
      </c>
      <c r="B37" s="4">
        <v>20848</v>
      </c>
      <c r="C37" s="4">
        <v>1</v>
      </c>
      <c r="D37" s="6">
        <v>0</v>
      </c>
      <c r="E37" s="6">
        <v>-174.88</v>
      </c>
      <c r="F37" s="6">
        <v>0</v>
      </c>
      <c r="G37" s="6">
        <v>0.04</v>
      </c>
      <c r="H37" s="6">
        <v>26</v>
      </c>
    </row>
    <row r="38" spans="1:8" ht="18.95" customHeight="1">
      <c r="A38" s="4">
        <v>34</v>
      </c>
      <c r="B38" s="4">
        <v>20868</v>
      </c>
      <c r="C38" s="4">
        <v>1</v>
      </c>
      <c r="D38" s="6">
        <v>0</v>
      </c>
      <c r="E38" s="6">
        <v>-174.88</v>
      </c>
      <c r="F38" s="6">
        <v>0</v>
      </c>
      <c r="G38" s="6">
        <v>0.05</v>
      </c>
      <c r="H38" s="6">
        <v>26</v>
      </c>
    </row>
    <row r="39" spans="1:8" ht="18.95" customHeight="1">
      <c r="A39" s="4">
        <v>35</v>
      </c>
      <c r="B39" s="4">
        <v>20888</v>
      </c>
      <c r="C39" s="4">
        <v>1</v>
      </c>
      <c r="D39" s="6">
        <v>0</v>
      </c>
      <c r="E39" s="6">
        <v>-174.88</v>
      </c>
      <c r="F39" s="6">
        <v>0</v>
      </c>
      <c r="G39" s="6">
        <v>0.04</v>
      </c>
      <c r="H39" s="6">
        <v>26</v>
      </c>
    </row>
    <row r="40" spans="1:8" ht="18.95" customHeight="1">
      <c r="A40" s="4">
        <v>36</v>
      </c>
      <c r="B40" s="4">
        <v>20908</v>
      </c>
      <c r="C40" s="4">
        <v>1</v>
      </c>
      <c r="D40" s="6">
        <v>0</v>
      </c>
      <c r="E40" s="6">
        <v>-174.88</v>
      </c>
      <c r="F40" s="6">
        <v>0</v>
      </c>
      <c r="G40" s="6">
        <v>7.0000000000000007E-2</v>
      </c>
      <c r="H40" s="6">
        <v>26</v>
      </c>
    </row>
    <row r="41" spans="1:8" ht="18.95" customHeight="1">
      <c r="A41" s="4">
        <v>37</v>
      </c>
      <c r="B41" s="4">
        <v>20928</v>
      </c>
      <c r="C41" s="4">
        <v>1</v>
      </c>
      <c r="D41" s="6">
        <v>0</v>
      </c>
      <c r="E41" s="6">
        <v>-174.88</v>
      </c>
      <c r="F41" s="6">
        <v>0</v>
      </c>
      <c r="G41" s="6">
        <v>0.06</v>
      </c>
      <c r="H41" s="6">
        <v>27</v>
      </c>
    </row>
    <row r="42" spans="1:8" ht="18.95" customHeight="1">
      <c r="A42" s="4">
        <v>38</v>
      </c>
      <c r="B42" s="4">
        <v>20948</v>
      </c>
      <c r="C42" s="4">
        <v>1</v>
      </c>
      <c r="D42" s="6">
        <v>0</v>
      </c>
      <c r="E42" s="6">
        <v>-174.88</v>
      </c>
      <c r="F42" s="6">
        <v>0</v>
      </c>
      <c r="G42" s="6">
        <v>0.05</v>
      </c>
      <c r="H42" s="6">
        <v>27</v>
      </c>
    </row>
    <row r="43" spans="1:8" ht="18.95" customHeight="1">
      <c r="A43" s="4">
        <v>39</v>
      </c>
      <c r="B43" s="4">
        <v>20968</v>
      </c>
      <c r="C43" s="4">
        <v>1</v>
      </c>
      <c r="D43" s="6">
        <v>0</v>
      </c>
      <c r="E43" s="6">
        <v>-174.88</v>
      </c>
      <c r="F43" s="6">
        <v>0</v>
      </c>
      <c r="G43" s="6">
        <v>0.02</v>
      </c>
      <c r="H43" s="6">
        <v>27</v>
      </c>
    </row>
    <row r="44" spans="1:8" ht="18.95" customHeight="1">
      <c r="A44" s="4">
        <v>40</v>
      </c>
      <c r="B44" s="4">
        <v>20988</v>
      </c>
      <c r="C44" s="4">
        <v>1</v>
      </c>
      <c r="D44" s="6">
        <v>0</v>
      </c>
      <c r="E44" s="6">
        <v>-174.88</v>
      </c>
      <c r="F44" s="6">
        <v>0</v>
      </c>
      <c r="G44" s="6">
        <v>0.06</v>
      </c>
      <c r="H44" s="6">
        <v>28</v>
      </c>
    </row>
    <row r="45" spans="1:8" ht="18.95" customHeight="1">
      <c r="A45" s="4">
        <v>41</v>
      </c>
      <c r="B45" s="4">
        <v>21008</v>
      </c>
      <c r="C45" s="4">
        <v>1</v>
      </c>
      <c r="D45" s="6">
        <v>0</v>
      </c>
      <c r="E45" s="6">
        <v>-174.88</v>
      </c>
      <c r="F45" s="6">
        <v>0</v>
      </c>
      <c r="G45" s="6">
        <v>7.0000000000000007E-2</v>
      </c>
      <c r="H45" s="6">
        <v>28</v>
      </c>
    </row>
    <row r="46" spans="1:8" ht="18.95" customHeight="1">
      <c r="A46" s="4">
        <v>42</v>
      </c>
      <c r="B46" s="4">
        <v>21028</v>
      </c>
      <c r="C46" s="4">
        <v>1</v>
      </c>
      <c r="D46" s="6">
        <v>0</v>
      </c>
      <c r="E46" s="6">
        <v>-174.88</v>
      </c>
      <c r="F46" s="6">
        <v>0</v>
      </c>
      <c r="G46" s="6">
        <v>0.04</v>
      </c>
      <c r="H46" s="6">
        <v>28</v>
      </c>
    </row>
    <row r="47" spans="1:8" ht="18.95" customHeight="1">
      <c r="A47" s="4">
        <v>43</v>
      </c>
      <c r="B47" s="4">
        <v>21048</v>
      </c>
      <c r="C47" s="4">
        <v>1</v>
      </c>
      <c r="D47" s="6">
        <v>0</v>
      </c>
      <c r="E47" s="6">
        <v>-174.88</v>
      </c>
      <c r="F47" s="6">
        <v>0</v>
      </c>
      <c r="G47" s="6">
        <v>7.0000000000000007E-2</v>
      </c>
      <c r="H47" s="6">
        <v>28</v>
      </c>
    </row>
    <row r="48" spans="1:8" ht="18.95" customHeight="1">
      <c r="A48" s="4">
        <v>44</v>
      </c>
      <c r="B48" s="4">
        <v>21068</v>
      </c>
      <c r="C48" s="4">
        <v>1</v>
      </c>
      <c r="D48" s="6">
        <v>0</v>
      </c>
      <c r="E48" s="6">
        <v>-174.88</v>
      </c>
      <c r="F48" s="6">
        <v>0</v>
      </c>
      <c r="G48" s="6">
        <v>0.04</v>
      </c>
      <c r="H48" s="6">
        <v>28</v>
      </c>
    </row>
    <row r="49" spans="1:8" ht="18.95" customHeight="1">
      <c r="A49" s="4">
        <v>45</v>
      </c>
      <c r="B49" s="4">
        <v>21088</v>
      </c>
      <c r="C49" s="4">
        <v>1</v>
      </c>
      <c r="D49" s="6">
        <v>0</v>
      </c>
      <c r="E49" s="6">
        <v>-174.88</v>
      </c>
      <c r="F49" s="6">
        <v>0</v>
      </c>
      <c r="G49" s="6">
        <v>0.04</v>
      </c>
      <c r="H49" s="6">
        <v>27</v>
      </c>
    </row>
    <row r="50" spans="1:8" ht="18.95" customHeight="1">
      <c r="A50" s="4">
        <v>46</v>
      </c>
      <c r="B50" s="4">
        <v>21108</v>
      </c>
      <c r="C50" s="4">
        <v>1</v>
      </c>
      <c r="D50" s="6">
        <v>0</v>
      </c>
      <c r="E50" s="6">
        <v>-174.88</v>
      </c>
      <c r="F50" s="6">
        <v>0</v>
      </c>
      <c r="G50" s="6">
        <v>0.06</v>
      </c>
      <c r="H50" s="6">
        <v>27</v>
      </c>
    </row>
    <row r="51" spans="1:8" ht="18.95" customHeight="1">
      <c r="A51" s="4">
        <v>47</v>
      </c>
      <c r="B51" s="4">
        <v>21128</v>
      </c>
      <c r="C51" s="4">
        <v>1</v>
      </c>
      <c r="D51" s="6">
        <v>0</v>
      </c>
      <c r="E51" s="6">
        <v>-174.88</v>
      </c>
      <c r="F51" s="6">
        <v>0</v>
      </c>
      <c r="G51" s="6">
        <v>0.03</v>
      </c>
      <c r="H51" s="6">
        <v>27</v>
      </c>
    </row>
    <row r="52" spans="1:8" ht="18.95" customHeight="1">
      <c r="A52" s="4">
        <v>48</v>
      </c>
      <c r="B52" s="4">
        <v>21148</v>
      </c>
      <c r="C52" s="4">
        <v>1</v>
      </c>
      <c r="D52" s="6">
        <v>0</v>
      </c>
      <c r="E52" s="6">
        <v>-174.88</v>
      </c>
      <c r="F52" s="6">
        <v>0</v>
      </c>
      <c r="G52" s="6">
        <v>0.05</v>
      </c>
      <c r="H52" s="6">
        <v>27</v>
      </c>
    </row>
    <row r="53" spans="1:8" ht="18.95" customHeight="1">
      <c r="A53" s="4">
        <v>49</v>
      </c>
      <c r="B53" s="4">
        <v>21168</v>
      </c>
      <c r="C53" s="4">
        <v>1</v>
      </c>
      <c r="D53" s="6">
        <v>0</v>
      </c>
      <c r="E53" s="6">
        <v>-174.88</v>
      </c>
      <c r="F53" s="6">
        <v>0</v>
      </c>
      <c r="G53" s="6">
        <v>0.04</v>
      </c>
      <c r="H53" s="6">
        <v>27</v>
      </c>
    </row>
    <row r="54" spans="1:8" ht="18.95" customHeight="1">
      <c r="A54" s="4">
        <v>50</v>
      </c>
      <c r="B54" s="4">
        <v>21188</v>
      </c>
      <c r="C54" s="4">
        <v>1</v>
      </c>
      <c r="D54" s="6">
        <v>0</v>
      </c>
      <c r="E54" s="6">
        <v>-174.88</v>
      </c>
      <c r="F54" s="6">
        <v>0</v>
      </c>
      <c r="G54" s="6">
        <v>0.01</v>
      </c>
      <c r="H54" s="6">
        <v>26</v>
      </c>
    </row>
    <row r="55" spans="1:8" ht="18.95" customHeight="1">
      <c r="A55" s="4">
        <v>51</v>
      </c>
      <c r="B55" s="4">
        <v>21208</v>
      </c>
      <c r="C55" s="4">
        <v>1</v>
      </c>
      <c r="D55" s="6">
        <v>0</v>
      </c>
      <c r="E55" s="6">
        <v>-174.88</v>
      </c>
      <c r="F55" s="6">
        <v>0</v>
      </c>
      <c r="G55" s="6">
        <v>0.01</v>
      </c>
      <c r="H55" s="6">
        <v>26</v>
      </c>
    </row>
    <row r="56" spans="1:8" ht="18.95" customHeight="1">
      <c r="A56" s="4">
        <v>52</v>
      </c>
      <c r="B56" s="4">
        <v>21228</v>
      </c>
      <c r="C56" s="4">
        <v>1</v>
      </c>
      <c r="D56" s="6">
        <v>0</v>
      </c>
      <c r="E56" s="6">
        <v>-174.88</v>
      </c>
      <c r="F56" s="6">
        <v>0</v>
      </c>
      <c r="G56" s="6">
        <v>0.02</v>
      </c>
      <c r="H56" s="6">
        <v>27</v>
      </c>
    </row>
    <row r="57" spans="1:8" ht="18.95" customHeight="1">
      <c r="A57" s="4">
        <v>53</v>
      </c>
      <c r="B57" s="4">
        <v>21248</v>
      </c>
      <c r="C57" s="4">
        <v>1</v>
      </c>
      <c r="D57" s="6">
        <v>0</v>
      </c>
      <c r="E57" s="6">
        <v>-174.88</v>
      </c>
      <c r="F57" s="6">
        <v>0</v>
      </c>
      <c r="G57" s="6">
        <v>0.04</v>
      </c>
      <c r="H57" s="6">
        <v>27</v>
      </c>
    </row>
    <row r="58" spans="1:8" ht="18.95" customHeight="1">
      <c r="A58" s="4">
        <v>54</v>
      </c>
      <c r="B58" s="4">
        <v>21268</v>
      </c>
      <c r="C58" s="4">
        <v>1</v>
      </c>
      <c r="D58" s="6">
        <v>0</v>
      </c>
      <c r="E58" s="6">
        <v>-174.88</v>
      </c>
      <c r="F58" s="6">
        <v>0</v>
      </c>
      <c r="G58" s="6">
        <v>0.06</v>
      </c>
      <c r="H58" s="6">
        <v>27</v>
      </c>
    </row>
    <row r="59" spans="1:8" ht="18.95" customHeight="1">
      <c r="A59" s="4">
        <v>55</v>
      </c>
      <c r="B59" s="4">
        <v>21288</v>
      </c>
      <c r="C59" s="4">
        <v>1</v>
      </c>
      <c r="D59" s="6">
        <v>0</v>
      </c>
      <c r="E59" s="6">
        <v>-174.88</v>
      </c>
      <c r="F59" s="6">
        <v>0</v>
      </c>
      <c r="G59" s="6">
        <v>0.05</v>
      </c>
      <c r="H59" s="6">
        <v>25</v>
      </c>
    </row>
    <row r="60" spans="1:8" ht="18.95" customHeight="1">
      <c r="A60" s="4">
        <v>56</v>
      </c>
      <c r="B60" s="4">
        <v>21308</v>
      </c>
      <c r="C60" s="4">
        <v>1</v>
      </c>
      <c r="D60" s="6">
        <v>0</v>
      </c>
      <c r="E60" s="6">
        <v>-174.88</v>
      </c>
      <c r="F60" s="6">
        <v>0</v>
      </c>
      <c r="G60" s="6">
        <v>0.03</v>
      </c>
      <c r="H60" s="6">
        <v>25</v>
      </c>
    </row>
    <row r="61" spans="1:8" ht="18.95" customHeight="1">
      <c r="A61" s="4">
        <v>57</v>
      </c>
      <c r="B61" s="4">
        <v>21328</v>
      </c>
      <c r="C61" s="4">
        <v>1</v>
      </c>
      <c r="D61" s="6">
        <v>0</v>
      </c>
      <c r="E61" s="6">
        <v>-174.88</v>
      </c>
      <c r="F61" s="6">
        <v>0</v>
      </c>
      <c r="G61" s="6">
        <v>0.03</v>
      </c>
      <c r="H61" s="6">
        <v>26</v>
      </c>
    </row>
    <row r="62" spans="1:8" ht="18.95" customHeight="1">
      <c r="A62" s="4">
        <v>58</v>
      </c>
      <c r="B62" s="4">
        <v>21348</v>
      </c>
      <c r="C62" s="4">
        <v>1</v>
      </c>
      <c r="D62" s="6">
        <v>0</v>
      </c>
      <c r="E62" s="6">
        <v>-174.88</v>
      </c>
      <c r="F62" s="6">
        <v>0</v>
      </c>
      <c r="G62" s="6">
        <v>0.06</v>
      </c>
      <c r="H62" s="6">
        <v>26</v>
      </c>
    </row>
    <row r="63" spans="1:8" ht="18.95" customHeight="1">
      <c r="A63" s="4">
        <v>59</v>
      </c>
      <c r="B63" s="4">
        <v>21368</v>
      </c>
      <c r="C63" s="4">
        <v>1</v>
      </c>
      <c r="D63" s="6">
        <v>0</v>
      </c>
      <c r="E63" s="6">
        <v>-174.88</v>
      </c>
      <c r="F63" s="6">
        <v>0</v>
      </c>
      <c r="G63" s="6">
        <v>0.04</v>
      </c>
      <c r="H63" s="6">
        <v>26</v>
      </c>
    </row>
    <row r="64" spans="1:8" ht="18.95" customHeight="1">
      <c r="A64" s="4">
        <v>60</v>
      </c>
      <c r="B64" s="4">
        <v>21388</v>
      </c>
      <c r="C64" s="4">
        <v>1</v>
      </c>
      <c r="D64" s="6">
        <v>0</v>
      </c>
      <c r="E64" s="6">
        <v>-174.88</v>
      </c>
      <c r="F64" s="6">
        <v>0</v>
      </c>
      <c r="G64" s="6">
        <v>0.02</v>
      </c>
      <c r="H64" s="6">
        <v>27</v>
      </c>
    </row>
    <row r="65" spans="1:8" ht="18.95" customHeight="1">
      <c r="A65" s="4">
        <v>61</v>
      </c>
      <c r="B65" s="4">
        <v>21408</v>
      </c>
      <c r="C65" s="4">
        <v>1</v>
      </c>
      <c r="D65" s="6">
        <v>0</v>
      </c>
      <c r="E65" s="6">
        <v>-174.88</v>
      </c>
      <c r="F65" s="6">
        <v>0</v>
      </c>
      <c r="G65" s="6">
        <v>0.04</v>
      </c>
      <c r="H65" s="6">
        <v>27</v>
      </c>
    </row>
    <row r="66" spans="1:8" ht="18.95" customHeight="1">
      <c r="A66" s="4">
        <v>62</v>
      </c>
      <c r="B66" s="4">
        <v>21429</v>
      </c>
      <c r="C66" s="4">
        <v>1</v>
      </c>
      <c r="D66" s="6">
        <v>0</v>
      </c>
      <c r="E66" s="6">
        <v>-174.88</v>
      </c>
      <c r="F66" s="6">
        <v>0</v>
      </c>
      <c r="G66" s="6">
        <v>0</v>
      </c>
      <c r="H66" s="6">
        <v>28</v>
      </c>
    </row>
    <row r="67" spans="1:8" ht="18.95" customHeight="1">
      <c r="A67" s="4">
        <v>63</v>
      </c>
      <c r="B67" s="4">
        <v>21449</v>
      </c>
      <c r="C67" s="4">
        <v>1</v>
      </c>
      <c r="D67" s="6">
        <v>0</v>
      </c>
      <c r="E67" s="6">
        <v>-174.88</v>
      </c>
      <c r="F67" s="6">
        <v>0</v>
      </c>
      <c r="G67" s="6">
        <v>0.04</v>
      </c>
      <c r="H67" s="6">
        <v>28</v>
      </c>
    </row>
    <row r="68" spans="1:8" ht="18.95" customHeight="1">
      <c r="A68" s="4">
        <v>64</v>
      </c>
      <c r="B68" s="4">
        <v>21469</v>
      </c>
      <c r="C68" s="4">
        <v>1</v>
      </c>
      <c r="D68" s="6">
        <v>0</v>
      </c>
      <c r="E68" s="6">
        <v>-174.88</v>
      </c>
      <c r="F68" s="6">
        <v>0</v>
      </c>
      <c r="G68" s="6">
        <v>0.05</v>
      </c>
      <c r="H68" s="6">
        <v>28</v>
      </c>
    </row>
    <row r="69" spans="1:8" ht="18.95" customHeight="1">
      <c r="A69" s="4">
        <v>65</v>
      </c>
      <c r="B69" s="4">
        <v>21489</v>
      </c>
      <c r="C69" s="4">
        <v>1</v>
      </c>
      <c r="D69" s="6">
        <v>0</v>
      </c>
      <c r="E69" s="6">
        <v>-174.88</v>
      </c>
      <c r="F69" s="6">
        <v>0</v>
      </c>
      <c r="G69" s="6">
        <v>0.05</v>
      </c>
      <c r="H69" s="6">
        <v>27</v>
      </c>
    </row>
    <row r="70" spans="1:8" ht="18.95" customHeight="1">
      <c r="A70" s="4">
        <v>66</v>
      </c>
      <c r="B70" s="4">
        <v>21509</v>
      </c>
      <c r="C70" s="4">
        <v>1</v>
      </c>
      <c r="D70" s="6">
        <v>0</v>
      </c>
      <c r="E70" s="6">
        <v>-174.88</v>
      </c>
      <c r="F70" s="6">
        <v>0</v>
      </c>
      <c r="G70" s="6">
        <v>0.04</v>
      </c>
      <c r="H70" s="6">
        <v>27</v>
      </c>
    </row>
    <row r="71" spans="1:8" ht="18.95" customHeight="1">
      <c r="A71" s="4">
        <v>67</v>
      </c>
      <c r="B71" s="4">
        <v>21529</v>
      </c>
      <c r="C71" s="4">
        <v>1</v>
      </c>
      <c r="D71" s="6">
        <v>0</v>
      </c>
      <c r="E71" s="6">
        <v>-174.88</v>
      </c>
      <c r="F71" s="6">
        <v>0</v>
      </c>
      <c r="G71" s="6">
        <v>0</v>
      </c>
      <c r="H71" s="6">
        <v>26</v>
      </c>
    </row>
    <row r="72" spans="1:8" ht="18.95" customHeight="1">
      <c r="A72" s="4">
        <v>68</v>
      </c>
      <c r="B72" s="4">
        <v>21549</v>
      </c>
      <c r="C72" s="4">
        <v>1</v>
      </c>
      <c r="D72" s="6">
        <v>0</v>
      </c>
      <c r="E72" s="6">
        <v>-174.88</v>
      </c>
      <c r="F72" s="6">
        <v>0</v>
      </c>
      <c r="G72" s="6">
        <v>0.04</v>
      </c>
      <c r="H72" s="6">
        <v>26</v>
      </c>
    </row>
    <row r="73" spans="1:8" ht="18.95" customHeight="1">
      <c r="A73" s="4">
        <v>69</v>
      </c>
      <c r="B73" s="4">
        <v>21569</v>
      </c>
      <c r="C73" s="4">
        <v>1</v>
      </c>
      <c r="D73" s="6">
        <v>0</v>
      </c>
      <c r="E73" s="6">
        <v>-174.88</v>
      </c>
      <c r="F73" s="6">
        <v>0</v>
      </c>
      <c r="G73" s="6">
        <v>0.03</v>
      </c>
      <c r="H73" s="6">
        <v>26</v>
      </c>
    </row>
    <row r="74" spans="1:8" ht="18.95" customHeight="1">
      <c r="A74" s="4">
        <v>70</v>
      </c>
      <c r="B74" s="4">
        <v>21590</v>
      </c>
      <c r="C74" s="4">
        <v>1</v>
      </c>
      <c r="D74" s="6">
        <v>0</v>
      </c>
      <c r="E74" s="6">
        <v>-174.88</v>
      </c>
      <c r="F74" s="6">
        <v>0</v>
      </c>
      <c r="G74" s="6">
        <v>0.06</v>
      </c>
      <c r="H74" s="6">
        <v>27</v>
      </c>
    </row>
    <row r="75" spans="1:8" ht="18.95" customHeight="1">
      <c r="A75" s="4">
        <v>71</v>
      </c>
      <c r="B75" s="4">
        <v>21610</v>
      </c>
      <c r="C75" s="4">
        <v>1</v>
      </c>
      <c r="D75" s="6">
        <v>0</v>
      </c>
      <c r="E75" s="6">
        <v>-174.88</v>
      </c>
      <c r="F75" s="6">
        <v>0</v>
      </c>
      <c r="G75" s="6">
        <v>0.11</v>
      </c>
      <c r="H75" s="6">
        <v>27</v>
      </c>
    </row>
    <row r="76" spans="1:8" ht="18.95" customHeight="1">
      <c r="A76" s="4">
        <v>72</v>
      </c>
      <c r="B76" s="4">
        <v>21630</v>
      </c>
      <c r="C76" s="4">
        <v>1</v>
      </c>
      <c r="D76" s="6">
        <v>0</v>
      </c>
      <c r="E76" s="6">
        <v>-174.88</v>
      </c>
      <c r="F76" s="6">
        <v>0</v>
      </c>
      <c r="G76" s="6">
        <v>0.06</v>
      </c>
      <c r="H76" s="6">
        <v>27</v>
      </c>
    </row>
    <row r="77" spans="1:8" ht="18.95" customHeight="1">
      <c r="A77" s="4">
        <v>73</v>
      </c>
      <c r="B77" s="4">
        <v>21650</v>
      </c>
      <c r="C77" s="4">
        <v>1</v>
      </c>
      <c r="D77" s="6">
        <v>0</v>
      </c>
      <c r="E77" s="6">
        <v>-174.88</v>
      </c>
      <c r="F77" s="6">
        <v>0</v>
      </c>
      <c r="G77" s="6">
        <v>0.09</v>
      </c>
      <c r="H77" s="6">
        <v>27</v>
      </c>
    </row>
    <row r="78" spans="1:8" ht="18.95" customHeight="1">
      <c r="A78" s="4">
        <v>74</v>
      </c>
      <c r="B78" s="4">
        <v>21670</v>
      </c>
      <c r="C78" s="4">
        <v>1</v>
      </c>
      <c r="D78" s="6">
        <v>0</v>
      </c>
      <c r="E78" s="6">
        <v>-174.88</v>
      </c>
      <c r="F78" s="6">
        <v>0</v>
      </c>
      <c r="G78" s="6">
        <v>0</v>
      </c>
      <c r="H78" s="6">
        <v>27</v>
      </c>
    </row>
    <row r="79" spans="1:8" ht="18.95" customHeight="1">
      <c r="A79" s="4">
        <v>75</v>
      </c>
      <c r="B79" s="4">
        <v>21690</v>
      </c>
      <c r="C79" s="4">
        <v>1</v>
      </c>
      <c r="D79" s="6">
        <v>0</v>
      </c>
      <c r="E79" s="6">
        <v>-174.88</v>
      </c>
      <c r="F79" s="6">
        <v>0</v>
      </c>
      <c r="G79" s="6">
        <v>0.04</v>
      </c>
      <c r="H79" s="6">
        <v>27</v>
      </c>
    </row>
    <row r="80" spans="1:8" ht="18.95" customHeight="1">
      <c r="A80" s="4">
        <v>76</v>
      </c>
      <c r="B80" s="4">
        <v>21710</v>
      </c>
      <c r="C80" s="4">
        <v>1</v>
      </c>
      <c r="D80" s="6">
        <v>0</v>
      </c>
      <c r="E80" s="6">
        <v>-174.88</v>
      </c>
      <c r="F80" s="6">
        <v>0</v>
      </c>
      <c r="G80" s="6">
        <v>0.06</v>
      </c>
      <c r="H80" s="6">
        <v>27</v>
      </c>
    </row>
    <row r="81" spans="1:8" ht="18.95" customHeight="1">
      <c r="A81" s="4">
        <v>77</v>
      </c>
      <c r="B81" s="4">
        <v>21730</v>
      </c>
      <c r="C81" s="4">
        <v>1</v>
      </c>
      <c r="D81" s="6">
        <v>0</v>
      </c>
      <c r="E81" s="6">
        <v>-174.88</v>
      </c>
      <c r="F81" s="6">
        <v>0</v>
      </c>
      <c r="G81" s="6">
        <v>0.03</v>
      </c>
      <c r="H81" s="6">
        <v>25</v>
      </c>
    </row>
    <row r="82" spans="1:8" ht="18.95" customHeight="1">
      <c r="A82" s="4">
        <v>78</v>
      </c>
      <c r="B82" s="4">
        <v>21750</v>
      </c>
      <c r="C82" s="4">
        <v>1</v>
      </c>
      <c r="D82" s="6">
        <v>0</v>
      </c>
      <c r="E82" s="6">
        <v>-174.88</v>
      </c>
      <c r="F82" s="6">
        <v>0</v>
      </c>
      <c r="G82" s="6">
        <v>7.0000000000000007E-2</v>
      </c>
      <c r="H82" s="6">
        <v>25</v>
      </c>
    </row>
    <row r="83" spans="1:8" ht="18.95" customHeight="1">
      <c r="A83" s="4">
        <v>79</v>
      </c>
      <c r="B83" s="4">
        <v>21770</v>
      </c>
      <c r="C83" s="4">
        <v>1</v>
      </c>
      <c r="D83" s="6">
        <v>0</v>
      </c>
      <c r="E83" s="6">
        <v>-174.88</v>
      </c>
      <c r="F83" s="6">
        <v>0</v>
      </c>
      <c r="G83" s="6">
        <v>0.01</v>
      </c>
      <c r="H83" s="6">
        <v>25</v>
      </c>
    </row>
    <row r="84" spans="1:8" ht="18.95" customHeight="1">
      <c r="A84" s="4">
        <v>80</v>
      </c>
      <c r="B84" s="4">
        <v>21790</v>
      </c>
      <c r="C84" s="4">
        <v>1</v>
      </c>
      <c r="D84" s="6">
        <v>0</v>
      </c>
      <c r="E84" s="6">
        <v>-174.88</v>
      </c>
      <c r="F84" s="6">
        <v>0</v>
      </c>
      <c r="G84" s="6">
        <v>0</v>
      </c>
      <c r="H84" s="6">
        <v>26</v>
      </c>
    </row>
    <row r="85" spans="1:8" ht="18.95" customHeight="1">
      <c r="A85" s="4">
        <v>81</v>
      </c>
      <c r="B85" s="4">
        <v>21810</v>
      </c>
      <c r="C85" s="4">
        <v>1</v>
      </c>
      <c r="D85" s="6">
        <v>0</v>
      </c>
      <c r="E85" s="6">
        <v>-174.88</v>
      </c>
      <c r="F85" s="6">
        <v>0</v>
      </c>
      <c r="G85" s="6">
        <v>0.06</v>
      </c>
      <c r="H85" s="6">
        <v>26</v>
      </c>
    </row>
    <row r="86" spans="1:8" ht="18.95" customHeight="1">
      <c r="A86" s="4">
        <v>82</v>
      </c>
      <c r="B86" s="4">
        <v>21830</v>
      </c>
      <c r="C86" s="4">
        <v>1</v>
      </c>
      <c r="D86" s="6">
        <v>0</v>
      </c>
      <c r="E86" s="6">
        <v>-174.88</v>
      </c>
      <c r="F86" s="6">
        <v>0</v>
      </c>
      <c r="G86" s="6">
        <v>0.06</v>
      </c>
      <c r="H86" s="6">
        <v>26</v>
      </c>
    </row>
    <row r="87" spans="1:8" ht="18.95" customHeight="1">
      <c r="A87" s="4">
        <v>83</v>
      </c>
      <c r="B87" s="4">
        <v>21850</v>
      </c>
      <c r="C87" s="4">
        <v>1</v>
      </c>
      <c r="D87" s="6">
        <v>0</v>
      </c>
      <c r="E87" s="6">
        <v>-174.88</v>
      </c>
      <c r="F87" s="6">
        <v>0</v>
      </c>
      <c r="G87" s="6">
        <v>0.04</v>
      </c>
      <c r="H87" s="6">
        <v>26</v>
      </c>
    </row>
    <row r="88" spans="1:8" ht="18.95" customHeight="1">
      <c r="A88" s="4">
        <v>84</v>
      </c>
      <c r="B88" s="4">
        <v>21870</v>
      </c>
      <c r="C88" s="4">
        <v>1</v>
      </c>
      <c r="D88" s="6">
        <v>0</v>
      </c>
      <c r="E88" s="6">
        <v>-174.88</v>
      </c>
      <c r="F88" s="6">
        <v>0</v>
      </c>
      <c r="G88" s="6">
        <v>0.02</v>
      </c>
      <c r="H88" s="6">
        <v>26</v>
      </c>
    </row>
    <row r="89" spans="1:8" ht="18.95" customHeight="1">
      <c r="A89" s="4">
        <v>85</v>
      </c>
      <c r="B89" s="4">
        <v>21890</v>
      </c>
      <c r="C89" s="4">
        <v>1</v>
      </c>
      <c r="D89" s="6">
        <v>0</v>
      </c>
      <c r="E89" s="6">
        <v>-174.88</v>
      </c>
      <c r="F89" s="6">
        <v>0</v>
      </c>
      <c r="G89" s="6">
        <v>0.08</v>
      </c>
      <c r="H89" s="6">
        <v>28</v>
      </c>
    </row>
    <row r="90" spans="1:8" ht="18.95" customHeight="1">
      <c r="A90" s="4">
        <v>86</v>
      </c>
      <c r="B90" s="4">
        <v>21910</v>
      </c>
      <c r="C90" s="4">
        <v>1</v>
      </c>
      <c r="D90" s="6">
        <v>0</v>
      </c>
      <c r="E90" s="6">
        <v>-174.88</v>
      </c>
      <c r="F90" s="6">
        <v>0</v>
      </c>
      <c r="G90" s="6">
        <v>0.06</v>
      </c>
      <c r="H90" s="6">
        <v>28</v>
      </c>
    </row>
    <row r="91" spans="1:8" ht="18.95" customHeight="1">
      <c r="A91" s="4">
        <v>87</v>
      </c>
      <c r="B91" s="4">
        <v>21931</v>
      </c>
      <c r="C91" s="4">
        <v>1</v>
      </c>
      <c r="D91" s="6">
        <v>0</v>
      </c>
      <c r="E91" s="6">
        <v>-174.88</v>
      </c>
      <c r="F91" s="6">
        <v>0</v>
      </c>
      <c r="G91" s="6">
        <v>0.08</v>
      </c>
      <c r="H91" s="6">
        <v>27</v>
      </c>
    </row>
    <row r="92" spans="1:8" ht="18.95" customHeight="1">
      <c r="A92" s="4">
        <v>88</v>
      </c>
      <c r="B92" s="4">
        <v>21951</v>
      </c>
      <c r="C92" s="4">
        <v>1</v>
      </c>
      <c r="D92" s="6">
        <v>0</v>
      </c>
      <c r="E92" s="6">
        <v>-174.88</v>
      </c>
      <c r="F92" s="6">
        <v>0</v>
      </c>
      <c r="G92" s="6">
        <v>0.04</v>
      </c>
      <c r="H92" s="6">
        <v>27</v>
      </c>
    </row>
    <row r="93" spans="1:8" ht="18.95" customHeight="1">
      <c r="A93" s="4">
        <v>89</v>
      </c>
      <c r="B93" s="4">
        <v>21971</v>
      </c>
      <c r="C93" s="4">
        <v>1</v>
      </c>
      <c r="D93" s="6">
        <v>0</v>
      </c>
      <c r="E93" s="6">
        <v>-174.88</v>
      </c>
      <c r="F93" s="6">
        <v>0</v>
      </c>
      <c r="G93" s="6">
        <v>-0.03</v>
      </c>
      <c r="H93" s="6">
        <v>27</v>
      </c>
    </row>
    <row r="94" spans="1:8" ht="18.95" customHeight="1">
      <c r="A94" s="4">
        <v>90</v>
      </c>
      <c r="B94" s="4">
        <v>21991</v>
      </c>
      <c r="C94" s="4">
        <v>1</v>
      </c>
      <c r="D94" s="6">
        <v>0</v>
      </c>
      <c r="E94" s="6">
        <v>-174.88</v>
      </c>
      <c r="F94" s="6">
        <v>0</v>
      </c>
      <c r="G94" s="6">
        <v>0.04</v>
      </c>
      <c r="H94" s="6">
        <v>27</v>
      </c>
    </row>
    <row r="95" spans="1:8" ht="18.95" customHeight="1">
      <c r="A95" s="4">
        <v>91</v>
      </c>
      <c r="B95" s="4">
        <v>22011</v>
      </c>
      <c r="C95" s="4">
        <v>1</v>
      </c>
      <c r="D95" s="6">
        <v>0</v>
      </c>
      <c r="E95" s="6">
        <v>-174.88</v>
      </c>
      <c r="F95" s="6">
        <v>0</v>
      </c>
      <c r="G95" s="6">
        <v>0.04</v>
      </c>
      <c r="H95" s="6">
        <v>27</v>
      </c>
    </row>
    <row r="96" spans="1:8" ht="18.95" customHeight="1">
      <c r="A96" s="4">
        <v>92</v>
      </c>
      <c r="B96" s="4">
        <v>22031</v>
      </c>
      <c r="C96" s="4">
        <v>1</v>
      </c>
      <c r="D96" s="6">
        <v>0</v>
      </c>
      <c r="E96" s="6">
        <v>-174.88</v>
      </c>
      <c r="F96" s="6">
        <v>0</v>
      </c>
      <c r="G96" s="6">
        <v>7.0000000000000007E-2</v>
      </c>
      <c r="H96" s="6">
        <v>26</v>
      </c>
    </row>
    <row r="97" spans="1:8" ht="18.95" customHeight="1">
      <c r="A97" s="4">
        <v>93</v>
      </c>
      <c r="B97" s="4">
        <v>22051</v>
      </c>
      <c r="C97" s="4">
        <v>1</v>
      </c>
      <c r="D97" s="6">
        <v>0</v>
      </c>
      <c r="E97" s="6">
        <v>-174.88</v>
      </c>
      <c r="F97" s="6">
        <v>0</v>
      </c>
      <c r="G97" s="6">
        <v>7.0000000000000007E-2</v>
      </c>
      <c r="H97" s="6">
        <v>26</v>
      </c>
    </row>
    <row r="98" spans="1:8" ht="18.95" customHeight="1">
      <c r="A98" s="4">
        <v>94</v>
      </c>
      <c r="B98" s="4">
        <v>22071</v>
      </c>
      <c r="C98" s="4">
        <v>1</v>
      </c>
      <c r="D98" s="6">
        <v>0</v>
      </c>
      <c r="E98" s="6">
        <v>-174.88</v>
      </c>
      <c r="F98" s="6">
        <v>0</v>
      </c>
      <c r="G98" s="6">
        <v>0</v>
      </c>
      <c r="H98" s="6">
        <v>26</v>
      </c>
    </row>
    <row r="99" spans="1:8" ht="18.95" customHeight="1">
      <c r="A99" s="4">
        <v>95</v>
      </c>
      <c r="B99" s="4">
        <v>22091</v>
      </c>
      <c r="C99" s="4">
        <v>1</v>
      </c>
      <c r="D99" s="6">
        <v>0</v>
      </c>
      <c r="E99" s="6">
        <v>-174.88</v>
      </c>
      <c r="F99" s="6">
        <v>0</v>
      </c>
      <c r="G99" s="6">
        <v>7.0000000000000007E-2</v>
      </c>
      <c r="H99" s="6">
        <v>25</v>
      </c>
    </row>
    <row r="100" spans="1:8" ht="18.95" customHeight="1">
      <c r="A100" s="4">
        <v>96</v>
      </c>
      <c r="B100" s="4">
        <v>22111</v>
      </c>
      <c r="C100" s="4">
        <v>1</v>
      </c>
      <c r="D100" s="6">
        <v>0</v>
      </c>
      <c r="E100" s="6">
        <v>-174.88</v>
      </c>
      <c r="F100" s="6">
        <v>0</v>
      </c>
      <c r="G100" s="6">
        <v>0.03</v>
      </c>
      <c r="H100" s="6">
        <v>25</v>
      </c>
    </row>
    <row r="101" spans="1:8" ht="18.95" customHeight="1">
      <c r="A101" s="4">
        <v>97</v>
      </c>
      <c r="B101" s="4">
        <v>22131</v>
      </c>
      <c r="C101" s="4">
        <v>1</v>
      </c>
      <c r="D101" s="6">
        <v>0</v>
      </c>
      <c r="E101" s="6">
        <v>-174.88</v>
      </c>
      <c r="F101" s="6">
        <v>0</v>
      </c>
      <c r="G101" s="6">
        <v>0.03</v>
      </c>
      <c r="H101" s="6">
        <v>26</v>
      </c>
    </row>
    <row r="102" spans="1:8" ht="18.95" customHeight="1">
      <c r="A102" s="4">
        <v>98</v>
      </c>
      <c r="B102" s="4">
        <v>22151</v>
      </c>
      <c r="C102" s="4">
        <v>1</v>
      </c>
      <c r="D102" s="6">
        <v>0</v>
      </c>
      <c r="E102" s="6">
        <v>-174.88</v>
      </c>
      <c r="F102" s="6">
        <v>0</v>
      </c>
      <c r="G102" s="6">
        <v>0.04</v>
      </c>
      <c r="H102" s="6">
        <v>26</v>
      </c>
    </row>
    <row r="103" spans="1:8" ht="18.95" customHeight="1">
      <c r="A103" s="4">
        <v>99</v>
      </c>
      <c r="B103" s="4">
        <v>22171</v>
      </c>
      <c r="C103" s="4">
        <v>1</v>
      </c>
      <c r="D103" s="6">
        <v>0</v>
      </c>
      <c r="E103" s="6">
        <v>-174.88</v>
      </c>
      <c r="F103" s="6">
        <v>0</v>
      </c>
      <c r="G103" s="6">
        <v>0.03</v>
      </c>
      <c r="H103" s="6">
        <v>26</v>
      </c>
    </row>
    <row r="104" spans="1:8" ht="18.95" customHeight="1">
      <c r="A104" s="4">
        <v>100</v>
      </c>
      <c r="B104" s="4">
        <v>22191</v>
      </c>
      <c r="C104" s="4">
        <v>1</v>
      </c>
      <c r="D104" s="6">
        <v>0</v>
      </c>
      <c r="E104" s="6">
        <v>-174.88</v>
      </c>
      <c r="F104" s="6">
        <v>0</v>
      </c>
      <c r="G104" s="6">
        <v>0.06</v>
      </c>
      <c r="H104" s="6">
        <v>25</v>
      </c>
    </row>
    <row r="105" spans="1:8" ht="18.95" customHeight="1">
      <c r="A105" s="4">
        <v>101</v>
      </c>
      <c r="B105" s="4">
        <v>22211</v>
      </c>
      <c r="C105" s="4">
        <v>1</v>
      </c>
      <c r="D105" s="6">
        <v>0</v>
      </c>
      <c r="E105" s="6">
        <v>-174.88</v>
      </c>
      <c r="F105" s="6">
        <v>0</v>
      </c>
      <c r="G105" s="6">
        <v>0</v>
      </c>
      <c r="H105" s="6">
        <v>25</v>
      </c>
    </row>
    <row r="106" spans="1:8" ht="18.95" customHeight="1">
      <c r="A106" s="4">
        <v>102</v>
      </c>
      <c r="B106" s="4">
        <v>22232</v>
      </c>
      <c r="C106" s="4">
        <v>1</v>
      </c>
      <c r="D106" s="6">
        <v>0</v>
      </c>
      <c r="E106" s="6">
        <v>-174.88</v>
      </c>
      <c r="F106" s="6">
        <v>0</v>
      </c>
      <c r="G106" s="6">
        <v>0.06</v>
      </c>
      <c r="H106" s="6">
        <v>25</v>
      </c>
    </row>
    <row r="107" spans="1:8" ht="18.95" customHeight="1">
      <c r="A107" s="4">
        <v>103</v>
      </c>
      <c r="B107" s="4">
        <v>22252</v>
      </c>
      <c r="C107" s="4">
        <v>1</v>
      </c>
      <c r="D107" s="6">
        <v>0</v>
      </c>
      <c r="E107" s="6">
        <v>-174.88</v>
      </c>
      <c r="F107" s="6">
        <v>0</v>
      </c>
      <c r="G107" s="6">
        <v>0.04</v>
      </c>
      <c r="H107" s="6">
        <v>25</v>
      </c>
    </row>
    <row r="108" spans="1:8" ht="18.95" customHeight="1">
      <c r="A108" s="4">
        <v>104</v>
      </c>
      <c r="B108" s="4">
        <v>22272</v>
      </c>
      <c r="C108" s="4">
        <v>1</v>
      </c>
      <c r="D108" s="6">
        <v>0</v>
      </c>
      <c r="E108" s="6">
        <v>-174.88</v>
      </c>
      <c r="F108" s="6">
        <v>0</v>
      </c>
      <c r="G108" s="6">
        <v>0.02</v>
      </c>
      <c r="H108" s="6">
        <v>25</v>
      </c>
    </row>
    <row r="109" spans="1:8" ht="18.95" customHeight="1">
      <c r="A109" s="4">
        <v>105</v>
      </c>
      <c r="B109" s="4">
        <v>22292</v>
      </c>
      <c r="C109" s="4">
        <v>1</v>
      </c>
      <c r="D109" s="6">
        <v>0</v>
      </c>
      <c r="E109" s="6">
        <v>-174.88</v>
      </c>
      <c r="F109" s="6">
        <v>0</v>
      </c>
      <c r="G109" s="6">
        <v>0.03</v>
      </c>
      <c r="H109" s="6">
        <v>27</v>
      </c>
    </row>
    <row r="110" spans="1:8" ht="18.95" customHeight="1">
      <c r="A110" s="4">
        <v>106</v>
      </c>
      <c r="B110" s="4">
        <v>22312</v>
      </c>
      <c r="C110" s="4">
        <v>1</v>
      </c>
      <c r="D110" s="6">
        <v>0</v>
      </c>
      <c r="E110" s="6">
        <v>-174.88</v>
      </c>
      <c r="F110" s="6">
        <v>0</v>
      </c>
      <c r="G110" s="6">
        <v>0.06</v>
      </c>
      <c r="H110" s="6">
        <v>27</v>
      </c>
    </row>
    <row r="111" spans="1:8" ht="18.95" customHeight="1">
      <c r="A111" s="4">
        <v>107</v>
      </c>
      <c r="B111" s="4">
        <v>22332</v>
      </c>
      <c r="C111" s="4">
        <v>1</v>
      </c>
      <c r="D111" s="6">
        <v>0</v>
      </c>
      <c r="E111" s="6">
        <v>-174.88</v>
      </c>
      <c r="F111" s="6">
        <v>0</v>
      </c>
      <c r="G111" s="6">
        <v>0.05</v>
      </c>
      <c r="H111" s="6">
        <v>26</v>
      </c>
    </row>
    <row r="112" spans="1:8" ht="18.95" customHeight="1">
      <c r="A112" s="4">
        <v>108</v>
      </c>
      <c r="B112" s="4">
        <v>22352</v>
      </c>
      <c r="C112" s="4">
        <v>1</v>
      </c>
      <c r="D112" s="6">
        <v>0</v>
      </c>
      <c r="E112" s="6">
        <v>-174.88</v>
      </c>
      <c r="F112" s="6">
        <v>0</v>
      </c>
      <c r="G112" s="6">
        <v>0.04</v>
      </c>
      <c r="H112" s="6">
        <v>26</v>
      </c>
    </row>
    <row r="113" spans="1:8" ht="18.95" customHeight="1">
      <c r="A113" s="4">
        <v>109</v>
      </c>
      <c r="B113" s="4">
        <v>22372</v>
      </c>
      <c r="C113" s="4">
        <v>1</v>
      </c>
      <c r="D113" s="6">
        <v>0</v>
      </c>
      <c r="E113" s="6">
        <v>-174.88</v>
      </c>
      <c r="F113" s="6">
        <v>0</v>
      </c>
      <c r="G113" s="6">
        <v>0.01</v>
      </c>
      <c r="H113" s="6">
        <v>26</v>
      </c>
    </row>
    <row r="114" spans="1:8" ht="18.95" customHeight="1">
      <c r="A114" s="4">
        <v>110</v>
      </c>
      <c r="B114" s="4">
        <v>22392</v>
      </c>
      <c r="C114" s="4">
        <v>1</v>
      </c>
      <c r="D114" s="6">
        <v>0</v>
      </c>
      <c r="E114" s="6">
        <v>-174.88</v>
      </c>
      <c r="F114" s="6">
        <v>0</v>
      </c>
      <c r="G114" s="6">
        <v>0.04</v>
      </c>
      <c r="H114" s="6">
        <v>28</v>
      </c>
    </row>
    <row r="115" spans="1:8" ht="18.95" customHeight="1">
      <c r="A115" s="4">
        <v>111</v>
      </c>
      <c r="B115" s="4">
        <v>22412</v>
      </c>
      <c r="C115" s="4">
        <v>1</v>
      </c>
      <c r="D115" s="6">
        <v>0</v>
      </c>
      <c r="E115" s="6">
        <v>-174.88</v>
      </c>
      <c r="F115" s="6">
        <v>0</v>
      </c>
      <c r="G115" s="6">
        <v>0.01</v>
      </c>
      <c r="H115" s="6">
        <v>28</v>
      </c>
    </row>
    <row r="116" spans="1:8" ht="18.95" customHeight="1">
      <c r="A116" s="4">
        <v>112</v>
      </c>
      <c r="B116" s="4">
        <v>22432</v>
      </c>
      <c r="C116" s="4">
        <v>1</v>
      </c>
      <c r="D116" s="6">
        <v>0</v>
      </c>
      <c r="E116" s="6">
        <v>-174.88</v>
      </c>
      <c r="F116" s="6">
        <v>0</v>
      </c>
      <c r="G116" s="6">
        <v>0.04</v>
      </c>
      <c r="H116" s="6">
        <v>26</v>
      </c>
    </row>
    <row r="117" spans="1:8" ht="18.95" customHeight="1">
      <c r="A117" s="4">
        <v>113</v>
      </c>
      <c r="B117" s="4">
        <v>22452</v>
      </c>
      <c r="C117" s="4">
        <v>1</v>
      </c>
      <c r="D117" s="6">
        <v>0</v>
      </c>
      <c r="E117" s="6">
        <v>-174.88</v>
      </c>
      <c r="F117" s="6">
        <v>0</v>
      </c>
      <c r="G117" s="6">
        <v>0.02</v>
      </c>
      <c r="H117" s="6">
        <v>26</v>
      </c>
    </row>
    <row r="118" spans="1:8" ht="18.95" customHeight="1">
      <c r="A118" s="4">
        <v>114</v>
      </c>
      <c r="B118" s="4">
        <v>22472</v>
      </c>
      <c r="C118" s="4">
        <v>1</v>
      </c>
      <c r="D118" s="6">
        <v>0</v>
      </c>
      <c r="E118" s="6">
        <v>-174.88</v>
      </c>
      <c r="F118" s="6">
        <v>0</v>
      </c>
      <c r="G118" s="6">
        <v>0.02</v>
      </c>
      <c r="H118" s="6">
        <v>26</v>
      </c>
    </row>
    <row r="119" spans="1:8" ht="18.95" customHeight="1">
      <c r="A119" s="4">
        <v>115</v>
      </c>
      <c r="B119" s="4">
        <v>22492</v>
      </c>
      <c r="C119" s="4">
        <v>1</v>
      </c>
      <c r="D119" s="6">
        <v>0</v>
      </c>
      <c r="E119" s="6">
        <v>-174.88</v>
      </c>
      <c r="F119" s="6">
        <v>0</v>
      </c>
      <c r="G119" s="6">
        <v>0.03</v>
      </c>
      <c r="H119" s="6">
        <v>26</v>
      </c>
    </row>
    <row r="120" spans="1:8" ht="18.95" customHeight="1">
      <c r="A120" s="4">
        <v>116</v>
      </c>
      <c r="B120" s="4">
        <v>22512</v>
      </c>
      <c r="C120" s="4">
        <v>1</v>
      </c>
      <c r="D120" s="6">
        <v>0</v>
      </c>
      <c r="E120" s="6">
        <v>-174.88</v>
      </c>
      <c r="F120" s="6">
        <v>0</v>
      </c>
      <c r="G120" s="6">
        <v>0.06</v>
      </c>
      <c r="H120" s="6">
        <v>26</v>
      </c>
    </row>
    <row r="121" spans="1:8" ht="18.95" customHeight="1">
      <c r="A121" s="4">
        <v>117</v>
      </c>
      <c r="B121" s="4">
        <v>22532</v>
      </c>
      <c r="C121" s="4">
        <v>1</v>
      </c>
      <c r="D121" s="6">
        <v>0</v>
      </c>
      <c r="E121" s="6">
        <v>-174.88</v>
      </c>
      <c r="F121" s="6">
        <v>0</v>
      </c>
      <c r="G121" s="6">
        <v>0.03</v>
      </c>
      <c r="H121" s="6">
        <v>27</v>
      </c>
    </row>
    <row r="122" spans="1:8" ht="18.95" customHeight="1">
      <c r="A122" s="4">
        <v>118</v>
      </c>
      <c r="B122" s="4">
        <v>22552</v>
      </c>
      <c r="C122" s="4">
        <v>1</v>
      </c>
      <c r="D122" s="6">
        <v>0</v>
      </c>
      <c r="E122" s="6">
        <v>-174.88</v>
      </c>
      <c r="F122" s="6">
        <v>0</v>
      </c>
      <c r="G122" s="6">
        <v>7.0000000000000007E-2</v>
      </c>
      <c r="H122" s="6">
        <v>27</v>
      </c>
    </row>
    <row r="123" spans="1:8" ht="18.95" customHeight="1">
      <c r="A123" s="4">
        <v>119</v>
      </c>
      <c r="B123" s="4">
        <v>22572</v>
      </c>
      <c r="C123" s="4">
        <v>1</v>
      </c>
      <c r="D123" s="6">
        <v>0</v>
      </c>
      <c r="E123" s="6">
        <v>-174.88</v>
      </c>
      <c r="F123" s="6">
        <v>0</v>
      </c>
      <c r="G123" s="6">
        <v>0.02</v>
      </c>
      <c r="H123" s="6">
        <v>27</v>
      </c>
    </row>
    <row r="124" spans="1:8" ht="18.95" customHeight="1">
      <c r="A124" s="4">
        <v>120</v>
      </c>
      <c r="B124" s="4">
        <v>22592</v>
      </c>
      <c r="C124" s="4">
        <v>1</v>
      </c>
      <c r="D124" s="6">
        <v>0</v>
      </c>
      <c r="E124" s="6">
        <v>-174.88</v>
      </c>
      <c r="F124" s="6">
        <v>0</v>
      </c>
      <c r="G124" s="6">
        <v>0.03</v>
      </c>
      <c r="H124" s="6">
        <v>27</v>
      </c>
    </row>
    <row r="125" spans="1:8" ht="18.95" customHeight="1">
      <c r="A125" s="4">
        <v>121</v>
      </c>
      <c r="B125" s="4">
        <v>22612</v>
      </c>
      <c r="C125" s="4">
        <v>1</v>
      </c>
      <c r="D125" s="6">
        <v>0</v>
      </c>
      <c r="E125" s="6">
        <v>-174.88</v>
      </c>
      <c r="F125" s="6">
        <v>0</v>
      </c>
      <c r="G125" s="6">
        <v>0.05</v>
      </c>
      <c r="H125" s="6">
        <v>27</v>
      </c>
    </row>
    <row r="126" spans="1:8" ht="18.95" customHeight="1">
      <c r="A126" s="4">
        <v>122</v>
      </c>
      <c r="B126" s="4">
        <v>22632</v>
      </c>
      <c r="C126" s="4">
        <v>1</v>
      </c>
      <c r="D126" s="6">
        <v>0</v>
      </c>
      <c r="E126" s="6">
        <v>-174.88</v>
      </c>
      <c r="F126" s="6">
        <v>0</v>
      </c>
      <c r="G126" s="6">
        <v>0</v>
      </c>
      <c r="H126" s="6">
        <v>28</v>
      </c>
    </row>
    <row r="127" spans="1:8" ht="18.95" customHeight="1">
      <c r="A127" s="4">
        <v>123</v>
      </c>
      <c r="B127" s="4">
        <v>22652</v>
      </c>
      <c r="C127" s="4">
        <v>1</v>
      </c>
      <c r="D127" s="6">
        <v>0</v>
      </c>
      <c r="E127" s="6">
        <v>-174.88</v>
      </c>
      <c r="F127" s="6">
        <v>0</v>
      </c>
      <c r="G127" s="6">
        <v>0.05</v>
      </c>
      <c r="H127" s="6">
        <v>28</v>
      </c>
    </row>
    <row r="128" spans="1:8" ht="18.95" customHeight="1">
      <c r="A128" s="4">
        <v>124</v>
      </c>
      <c r="B128" s="4">
        <v>22672</v>
      </c>
      <c r="C128" s="4">
        <v>1</v>
      </c>
      <c r="D128" s="6">
        <v>0</v>
      </c>
      <c r="E128" s="6">
        <v>-174.88</v>
      </c>
      <c r="F128" s="6">
        <v>0</v>
      </c>
      <c r="G128" s="6">
        <v>0.12</v>
      </c>
      <c r="H128" s="6">
        <v>28</v>
      </c>
    </row>
    <row r="129" spans="1:8" ht="18.95" customHeight="1">
      <c r="A129" s="4">
        <v>125</v>
      </c>
      <c r="B129" s="4">
        <v>22692</v>
      </c>
      <c r="C129" s="4">
        <v>1</v>
      </c>
      <c r="D129" s="6">
        <v>0</v>
      </c>
      <c r="E129" s="6">
        <v>-174.88</v>
      </c>
      <c r="F129" s="6">
        <v>0</v>
      </c>
      <c r="G129" s="6">
        <v>0.01</v>
      </c>
      <c r="H129" s="6">
        <v>26</v>
      </c>
    </row>
    <row r="130" spans="1:8" ht="18.95" customHeight="1">
      <c r="A130" s="4">
        <v>126</v>
      </c>
      <c r="B130" s="4">
        <v>22712</v>
      </c>
      <c r="C130" s="4">
        <v>1</v>
      </c>
      <c r="D130" s="6">
        <v>0</v>
      </c>
      <c r="E130" s="6">
        <v>-174.88</v>
      </c>
      <c r="F130" s="6">
        <v>0</v>
      </c>
      <c r="G130" s="6">
        <v>0</v>
      </c>
      <c r="H130" s="6">
        <v>26</v>
      </c>
    </row>
    <row r="131" spans="1:8" ht="18.95" customHeight="1">
      <c r="A131" s="4">
        <v>127</v>
      </c>
      <c r="B131" s="4">
        <v>22732</v>
      </c>
      <c r="C131" s="4">
        <v>1</v>
      </c>
      <c r="D131" s="6">
        <v>0</v>
      </c>
      <c r="E131" s="6">
        <v>-174.88</v>
      </c>
      <c r="F131" s="6">
        <v>0</v>
      </c>
      <c r="G131" s="6">
        <v>0.05</v>
      </c>
      <c r="H131" s="6">
        <v>26</v>
      </c>
    </row>
    <row r="132" spans="1:8" ht="18.95" customHeight="1">
      <c r="A132" s="4">
        <v>128</v>
      </c>
      <c r="B132" s="4">
        <v>22752</v>
      </c>
      <c r="C132" s="4">
        <v>1</v>
      </c>
      <c r="D132" s="6">
        <v>0</v>
      </c>
      <c r="E132" s="6">
        <v>-174.88</v>
      </c>
      <c r="F132" s="6">
        <v>0</v>
      </c>
      <c r="G132" s="6">
        <v>0.05</v>
      </c>
      <c r="H132" s="6">
        <v>26</v>
      </c>
    </row>
    <row r="133" spans="1:8" ht="18.95" customHeight="1">
      <c r="A133" s="4">
        <v>129</v>
      </c>
      <c r="B133" s="4">
        <v>22772</v>
      </c>
      <c r="C133" s="4">
        <v>1</v>
      </c>
      <c r="D133" s="6">
        <v>0</v>
      </c>
      <c r="E133" s="6">
        <v>-174.88</v>
      </c>
      <c r="F133" s="6">
        <v>0</v>
      </c>
      <c r="G133" s="6">
        <v>0.04</v>
      </c>
      <c r="H133" s="6">
        <v>26</v>
      </c>
    </row>
    <row r="134" spans="1:8" ht="18.95" customHeight="1">
      <c r="A134" s="4">
        <v>130</v>
      </c>
      <c r="B134" s="4">
        <v>22792</v>
      </c>
      <c r="C134" s="4">
        <v>1</v>
      </c>
      <c r="D134" s="6">
        <v>0</v>
      </c>
      <c r="E134" s="6">
        <v>-174.88</v>
      </c>
      <c r="F134" s="6">
        <v>0</v>
      </c>
      <c r="G134" s="6">
        <v>0.06</v>
      </c>
      <c r="H134" s="6">
        <v>26</v>
      </c>
    </row>
    <row r="135" spans="1:8" ht="18.95" customHeight="1">
      <c r="A135" s="4">
        <v>131</v>
      </c>
      <c r="B135" s="4">
        <v>22812</v>
      </c>
      <c r="C135" s="4">
        <v>1</v>
      </c>
      <c r="D135" s="6">
        <v>0</v>
      </c>
      <c r="E135" s="6">
        <v>-174.88</v>
      </c>
      <c r="F135" s="6">
        <v>0</v>
      </c>
      <c r="G135" s="6">
        <v>0.04</v>
      </c>
      <c r="H135" s="6">
        <v>26</v>
      </c>
    </row>
    <row r="136" spans="1:8" ht="18.95" customHeight="1">
      <c r="A136" s="4">
        <v>132</v>
      </c>
      <c r="B136" s="4">
        <v>22832</v>
      </c>
      <c r="C136" s="4">
        <v>1</v>
      </c>
      <c r="D136" s="6">
        <v>0</v>
      </c>
      <c r="E136" s="6">
        <v>-174.88</v>
      </c>
      <c r="F136" s="6">
        <v>0</v>
      </c>
      <c r="G136" s="6">
        <v>0.04</v>
      </c>
      <c r="H136" s="6">
        <v>28</v>
      </c>
    </row>
    <row r="137" spans="1:8" ht="18.95" customHeight="1">
      <c r="A137" s="4">
        <v>133</v>
      </c>
      <c r="B137" s="4">
        <v>22852</v>
      </c>
      <c r="C137" s="4">
        <v>1</v>
      </c>
      <c r="D137" s="6">
        <v>0</v>
      </c>
      <c r="E137" s="6">
        <v>-174.88</v>
      </c>
      <c r="F137" s="6">
        <v>0</v>
      </c>
      <c r="G137" s="6">
        <v>7.0000000000000007E-2</v>
      </c>
      <c r="H137" s="6">
        <v>28</v>
      </c>
    </row>
    <row r="138" spans="1:8" ht="18.95" customHeight="1">
      <c r="A138" s="4">
        <v>134</v>
      </c>
      <c r="B138" s="4">
        <v>22872</v>
      </c>
      <c r="C138" s="4">
        <v>1</v>
      </c>
      <c r="D138" s="6">
        <v>0</v>
      </c>
      <c r="E138" s="6">
        <v>-174.88</v>
      </c>
      <c r="F138" s="6">
        <v>0</v>
      </c>
      <c r="G138" s="6">
        <v>0.05</v>
      </c>
      <c r="H138" s="6">
        <v>28</v>
      </c>
    </row>
    <row r="139" spans="1:8" ht="18.95" customHeight="1">
      <c r="A139" s="4">
        <v>135</v>
      </c>
      <c r="B139" s="4">
        <v>22892</v>
      </c>
      <c r="C139" s="4">
        <v>1</v>
      </c>
      <c r="D139" s="6">
        <v>0</v>
      </c>
      <c r="E139" s="6">
        <v>-174.88</v>
      </c>
      <c r="F139" s="6">
        <v>0</v>
      </c>
      <c r="G139" s="6">
        <v>0.03</v>
      </c>
      <c r="H139" s="6">
        <v>26</v>
      </c>
    </row>
    <row r="140" spans="1:8" ht="18.95" customHeight="1">
      <c r="A140" s="4">
        <v>136</v>
      </c>
      <c r="B140" s="4">
        <v>22912</v>
      </c>
      <c r="C140" s="4">
        <v>1</v>
      </c>
      <c r="D140" s="6">
        <v>0</v>
      </c>
      <c r="E140" s="6">
        <v>-174.88</v>
      </c>
      <c r="F140" s="6">
        <v>0</v>
      </c>
      <c r="G140" s="6">
        <v>0.03</v>
      </c>
      <c r="H140" s="6">
        <v>26</v>
      </c>
    </row>
    <row r="141" spans="1:8" ht="18.95" customHeight="1">
      <c r="A141" s="4">
        <v>137</v>
      </c>
      <c r="B141" s="4">
        <v>22932</v>
      </c>
      <c r="C141" s="4">
        <v>1</v>
      </c>
      <c r="D141" s="6">
        <v>0</v>
      </c>
      <c r="E141" s="6">
        <v>-174.88</v>
      </c>
      <c r="F141" s="6">
        <v>0</v>
      </c>
      <c r="G141" s="6">
        <v>0</v>
      </c>
      <c r="H141" s="6">
        <v>28</v>
      </c>
    </row>
    <row r="142" spans="1:8" ht="18.95" customHeight="1">
      <c r="A142" s="4">
        <v>138</v>
      </c>
      <c r="B142" s="4">
        <v>22952</v>
      </c>
      <c r="C142" s="4">
        <v>1</v>
      </c>
      <c r="D142" s="6">
        <v>0</v>
      </c>
      <c r="E142" s="6">
        <v>-174.88</v>
      </c>
      <c r="F142" s="6">
        <v>0</v>
      </c>
      <c r="G142" s="6">
        <v>0.01</v>
      </c>
      <c r="H142" s="6">
        <v>28</v>
      </c>
    </row>
    <row r="143" spans="1:8" ht="18.95" customHeight="1">
      <c r="A143" s="4">
        <v>139</v>
      </c>
      <c r="B143" s="4">
        <v>22972</v>
      </c>
      <c r="C143" s="4">
        <v>1</v>
      </c>
      <c r="D143" s="6">
        <v>0</v>
      </c>
      <c r="E143" s="6">
        <v>-174.88</v>
      </c>
      <c r="F143" s="6">
        <v>0</v>
      </c>
      <c r="G143" s="6">
        <v>0.03</v>
      </c>
      <c r="H143" s="6">
        <v>28</v>
      </c>
    </row>
    <row r="144" spans="1:8" ht="18.95" customHeight="1">
      <c r="A144" s="4">
        <v>140</v>
      </c>
      <c r="B144" s="4">
        <v>22992</v>
      </c>
      <c r="C144" s="4">
        <v>1</v>
      </c>
      <c r="D144" s="6">
        <v>0</v>
      </c>
      <c r="E144" s="6">
        <v>-174.88</v>
      </c>
      <c r="F144" s="6">
        <v>0</v>
      </c>
      <c r="G144" s="6">
        <v>0.01</v>
      </c>
      <c r="H144" s="6">
        <v>25</v>
      </c>
    </row>
    <row r="145" spans="1:8" ht="18.95" customHeight="1">
      <c r="A145" s="4">
        <v>141</v>
      </c>
      <c r="B145" s="4">
        <v>23012</v>
      </c>
      <c r="C145" s="4">
        <v>1</v>
      </c>
      <c r="D145" s="6">
        <v>0</v>
      </c>
      <c r="E145" s="6">
        <v>-174.88</v>
      </c>
      <c r="F145" s="6">
        <v>0</v>
      </c>
      <c r="G145" s="6">
        <v>0.06</v>
      </c>
      <c r="H145" s="6">
        <v>25</v>
      </c>
    </row>
    <row r="146" spans="1:8" ht="18.95" customHeight="1">
      <c r="A146" s="4">
        <v>142</v>
      </c>
      <c r="B146" s="4">
        <v>23032</v>
      </c>
      <c r="C146" s="4">
        <v>1</v>
      </c>
      <c r="D146" s="6">
        <v>0</v>
      </c>
      <c r="E146" s="6">
        <v>-174.88</v>
      </c>
      <c r="F146" s="6">
        <v>0</v>
      </c>
      <c r="G146" s="6">
        <v>0.04</v>
      </c>
      <c r="H146" s="6">
        <v>26</v>
      </c>
    </row>
    <row r="147" spans="1:8" ht="18.95" customHeight="1">
      <c r="A147" s="4">
        <v>143</v>
      </c>
      <c r="B147" s="4">
        <v>23052</v>
      </c>
      <c r="C147" s="4">
        <v>1</v>
      </c>
      <c r="D147" s="6">
        <v>0</v>
      </c>
      <c r="E147" s="6">
        <v>-174.88</v>
      </c>
      <c r="F147" s="6">
        <v>0</v>
      </c>
      <c r="G147" s="6">
        <v>0.04</v>
      </c>
      <c r="H147" s="6">
        <v>26</v>
      </c>
    </row>
    <row r="148" spans="1:8" ht="18.95" customHeight="1">
      <c r="A148" s="4">
        <v>144</v>
      </c>
      <c r="B148" s="4">
        <v>23072</v>
      </c>
      <c r="C148" s="4">
        <v>1</v>
      </c>
      <c r="D148" s="6">
        <v>0</v>
      </c>
      <c r="E148" s="6">
        <v>-174.88</v>
      </c>
      <c r="F148" s="6">
        <v>0</v>
      </c>
      <c r="G148" s="6">
        <v>0.04</v>
      </c>
      <c r="H148" s="6">
        <v>26</v>
      </c>
    </row>
    <row r="149" spans="1:8" ht="18.95" customHeight="1">
      <c r="A149" s="4">
        <v>145</v>
      </c>
      <c r="B149" s="4">
        <v>23092</v>
      </c>
      <c r="C149" s="4">
        <v>1</v>
      </c>
      <c r="D149" s="6">
        <v>0</v>
      </c>
      <c r="E149" s="6">
        <v>-174.88</v>
      </c>
      <c r="F149" s="6">
        <v>0</v>
      </c>
      <c r="G149" s="6">
        <v>0.08</v>
      </c>
      <c r="H149" s="6">
        <v>26</v>
      </c>
    </row>
    <row r="150" spans="1:8" ht="18.95" customHeight="1">
      <c r="A150" s="4">
        <v>146</v>
      </c>
      <c r="B150" s="4">
        <v>23112</v>
      </c>
      <c r="C150" s="4">
        <v>1</v>
      </c>
      <c r="D150" s="6">
        <v>0</v>
      </c>
      <c r="E150" s="6">
        <v>-174.88</v>
      </c>
      <c r="F150" s="6">
        <v>0</v>
      </c>
      <c r="G150" s="6">
        <v>0.06</v>
      </c>
      <c r="H150" s="6">
        <v>26</v>
      </c>
    </row>
    <row r="151" spans="1:8" ht="18.95" customHeight="1">
      <c r="A151" s="4">
        <v>147</v>
      </c>
      <c r="B151" s="4">
        <v>23132</v>
      </c>
      <c r="C151" s="4">
        <v>1</v>
      </c>
      <c r="D151" s="6">
        <v>0</v>
      </c>
      <c r="E151" s="6">
        <v>-174.88</v>
      </c>
      <c r="F151" s="6">
        <v>0</v>
      </c>
      <c r="G151" s="6">
        <v>7.0000000000000007E-2</v>
      </c>
      <c r="H151" s="6">
        <v>28</v>
      </c>
    </row>
    <row r="152" spans="1:8" ht="18.95" customHeight="1">
      <c r="A152" s="4">
        <v>148</v>
      </c>
      <c r="B152" s="4">
        <v>23152</v>
      </c>
      <c r="C152" s="4">
        <v>1</v>
      </c>
      <c r="D152" s="6">
        <v>0</v>
      </c>
      <c r="E152" s="6">
        <v>-174.88</v>
      </c>
      <c r="F152" s="6">
        <v>0</v>
      </c>
      <c r="G152" s="6">
        <v>0.04</v>
      </c>
      <c r="H152" s="6">
        <v>28</v>
      </c>
    </row>
    <row r="153" spans="1:8" ht="18.95" customHeight="1">
      <c r="A153" s="4">
        <v>149</v>
      </c>
      <c r="B153" s="4">
        <v>23172</v>
      </c>
      <c r="C153" s="4">
        <v>1</v>
      </c>
      <c r="D153" s="6">
        <v>0</v>
      </c>
      <c r="E153" s="6">
        <v>-174.88</v>
      </c>
      <c r="F153" s="6">
        <v>0</v>
      </c>
      <c r="G153" s="6">
        <v>0.01</v>
      </c>
      <c r="H153" s="6">
        <v>28</v>
      </c>
    </row>
    <row r="154" spans="1:8" ht="18.95" customHeight="1">
      <c r="A154" s="4">
        <v>150</v>
      </c>
      <c r="B154" s="4">
        <v>23192</v>
      </c>
      <c r="C154" s="4">
        <v>1</v>
      </c>
      <c r="D154" s="6">
        <v>0</v>
      </c>
      <c r="E154" s="6">
        <v>-174.88</v>
      </c>
      <c r="F154" s="6">
        <v>0</v>
      </c>
      <c r="G154" s="6">
        <v>0.04</v>
      </c>
      <c r="H154" s="6">
        <v>26</v>
      </c>
    </row>
    <row r="155" spans="1:8" ht="18.95" customHeight="1">
      <c r="A155" s="4">
        <v>151</v>
      </c>
      <c r="B155" s="4">
        <v>23212</v>
      </c>
      <c r="C155" s="4">
        <v>1</v>
      </c>
      <c r="D155" s="6">
        <v>0</v>
      </c>
      <c r="E155" s="6">
        <v>-174.88</v>
      </c>
      <c r="F155" s="6">
        <v>0</v>
      </c>
      <c r="G155" s="6">
        <v>0.03</v>
      </c>
      <c r="H155" s="6">
        <v>26</v>
      </c>
    </row>
    <row r="156" spans="1:8" ht="18.95" customHeight="1">
      <c r="A156" s="4">
        <v>152</v>
      </c>
      <c r="B156" s="4">
        <v>23232</v>
      </c>
      <c r="C156" s="4">
        <v>1</v>
      </c>
      <c r="D156" s="6">
        <v>0</v>
      </c>
      <c r="E156" s="6">
        <v>-174.88</v>
      </c>
      <c r="F156" s="6">
        <v>0</v>
      </c>
      <c r="G156" s="6">
        <v>0.05</v>
      </c>
      <c r="H156" s="6">
        <v>26</v>
      </c>
    </row>
    <row r="157" spans="1:8" ht="18.95" customHeight="1">
      <c r="A157" s="4">
        <v>153</v>
      </c>
      <c r="B157" s="4">
        <v>23252</v>
      </c>
      <c r="C157" s="4">
        <v>1</v>
      </c>
      <c r="D157" s="6">
        <v>0</v>
      </c>
      <c r="E157" s="6">
        <v>-174.88</v>
      </c>
      <c r="F157" s="6">
        <v>0</v>
      </c>
      <c r="G157" s="6">
        <v>0.06</v>
      </c>
      <c r="H157" s="6">
        <v>26</v>
      </c>
    </row>
    <row r="158" spans="1:8" ht="18.95" customHeight="1">
      <c r="A158" s="4">
        <v>154</v>
      </c>
      <c r="B158" s="4">
        <v>23272</v>
      </c>
      <c r="C158" s="4">
        <v>1</v>
      </c>
      <c r="D158" s="6">
        <v>0</v>
      </c>
      <c r="E158" s="6">
        <v>-174.88</v>
      </c>
      <c r="F158" s="6">
        <v>0</v>
      </c>
      <c r="G158" s="6">
        <v>0.08</v>
      </c>
      <c r="H158" s="6">
        <v>26</v>
      </c>
    </row>
    <row r="159" spans="1:8" ht="18.95" customHeight="1">
      <c r="A159" s="4">
        <v>155</v>
      </c>
      <c r="B159" s="4">
        <v>23292</v>
      </c>
      <c r="C159" s="4">
        <v>1</v>
      </c>
      <c r="D159" s="6">
        <v>0</v>
      </c>
      <c r="E159" s="6">
        <v>-174.88</v>
      </c>
      <c r="F159" s="6">
        <v>0</v>
      </c>
      <c r="G159" s="6">
        <v>-0.01</v>
      </c>
      <c r="H159" s="6">
        <v>28</v>
      </c>
    </row>
    <row r="160" spans="1:8" ht="18.95" customHeight="1">
      <c r="A160" s="4">
        <v>156</v>
      </c>
      <c r="B160" s="4">
        <v>23312</v>
      </c>
      <c r="C160" s="4">
        <v>1</v>
      </c>
      <c r="D160" s="6">
        <v>0</v>
      </c>
      <c r="E160" s="6">
        <v>-174.88</v>
      </c>
      <c r="F160" s="6">
        <v>0</v>
      </c>
      <c r="G160" s="6">
        <v>0.08</v>
      </c>
      <c r="H160" s="6">
        <v>28</v>
      </c>
    </row>
    <row r="161" spans="1:8" ht="18.95" customHeight="1">
      <c r="A161" s="4">
        <v>157</v>
      </c>
      <c r="B161" s="4">
        <v>23332</v>
      </c>
      <c r="C161" s="4">
        <v>1</v>
      </c>
      <c r="D161" s="6">
        <v>0</v>
      </c>
      <c r="E161" s="6">
        <v>-174.88</v>
      </c>
      <c r="F161" s="6">
        <v>0</v>
      </c>
      <c r="G161" s="6">
        <v>0.05</v>
      </c>
      <c r="H161" s="6">
        <v>26</v>
      </c>
    </row>
    <row r="162" spans="1:8" ht="18.95" customHeight="1">
      <c r="A162" s="4">
        <v>158</v>
      </c>
      <c r="B162" s="4">
        <v>23352</v>
      </c>
      <c r="C162" s="4">
        <v>1</v>
      </c>
      <c r="D162" s="6">
        <v>0</v>
      </c>
      <c r="E162" s="6">
        <v>-174.88</v>
      </c>
      <c r="F162" s="6">
        <v>0</v>
      </c>
      <c r="G162" s="6">
        <v>0.06</v>
      </c>
      <c r="H162" s="6">
        <v>26</v>
      </c>
    </row>
    <row r="163" spans="1:8" ht="18.95" customHeight="1">
      <c r="A163" s="4">
        <v>159</v>
      </c>
      <c r="B163" s="4">
        <v>23372</v>
      </c>
      <c r="C163" s="4">
        <v>1</v>
      </c>
      <c r="D163" s="6">
        <v>0</v>
      </c>
      <c r="E163" s="6">
        <v>-174.88</v>
      </c>
      <c r="F163" s="6">
        <v>0</v>
      </c>
      <c r="G163" s="6">
        <v>0.03</v>
      </c>
      <c r="H163" s="6">
        <v>26</v>
      </c>
    </row>
    <row r="164" spans="1:8" ht="18.95" customHeight="1">
      <c r="A164" s="4">
        <v>160</v>
      </c>
      <c r="B164" s="4">
        <v>23392</v>
      </c>
      <c r="C164" s="4">
        <v>1</v>
      </c>
      <c r="D164" s="6">
        <v>0</v>
      </c>
      <c r="E164" s="6">
        <v>-174.88</v>
      </c>
      <c r="F164" s="6">
        <v>0</v>
      </c>
      <c r="G164" s="6">
        <v>0.05</v>
      </c>
      <c r="H164" s="6">
        <v>27</v>
      </c>
    </row>
    <row r="165" spans="1:8" ht="18.95" customHeight="1">
      <c r="A165" s="4">
        <v>161</v>
      </c>
      <c r="B165" s="4">
        <v>23412</v>
      </c>
      <c r="C165" s="4">
        <v>1</v>
      </c>
      <c r="D165" s="6">
        <v>0</v>
      </c>
      <c r="E165" s="6">
        <v>-174.88</v>
      </c>
      <c r="F165" s="6">
        <v>0</v>
      </c>
      <c r="G165" s="6">
        <v>0.05</v>
      </c>
      <c r="H165" s="6">
        <v>27</v>
      </c>
    </row>
    <row r="166" spans="1:8" ht="18.95" customHeight="1">
      <c r="A166" s="4">
        <v>162</v>
      </c>
      <c r="B166" s="4">
        <v>23432</v>
      </c>
      <c r="C166" s="4">
        <v>1</v>
      </c>
      <c r="D166" s="6">
        <v>0</v>
      </c>
      <c r="E166" s="6">
        <v>-174.88</v>
      </c>
      <c r="F166" s="6">
        <v>0</v>
      </c>
      <c r="G166" s="6">
        <v>0.03</v>
      </c>
      <c r="H166" s="6">
        <v>26</v>
      </c>
    </row>
    <row r="167" spans="1:8" ht="18.95" customHeight="1">
      <c r="A167" s="4">
        <v>163</v>
      </c>
      <c r="B167" s="4">
        <v>23452</v>
      </c>
      <c r="C167" s="4">
        <v>1</v>
      </c>
      <c r="D167" s="6">
        <v>0</v>
      </c>
      <c r="E167" s="6">
        <v>-174.88</v>
      </c>
      <c r="F167" s="6">
        <v>0</v>
      </c>
      <c r="G167" s="6">
        <v>0.06</v>
      </c>
      <c r="H167" s="6">
        <v>26</v>
      </c>
    </row>
    <row r="168" spans="1:8" ht="18.95" customHeight="1">
      <c r="A168" s="4">
        <v>164</v>
      </c>
      <c r="B168" s="4">
        <v>23472</v>
      </c>
      <c r="C168" s="4">
        <v>1</v>
      </c>
      <c r="D168" s="6">
        <v>0</v>
      </c>
      <c r="E168" s="6">
        <v>-174.88</v>
      </c>
      <c r="F168" s="6">
        <v>0</v>
      </c>
      <c r="G168" s="6">
        <v>0.03</v>
      </c>
      <c r="H168" s="6">
        <v>26</v>
      </c>
    </row>
    <row r="169" spans="1:8" ht="18.95" customHeight="1">
      <c r="A169" s="4">
        <v>165</v>
      </c>
      <c r="B169" s="4">
        <v>23492</v>
      </c>
      <c r="C169" s="4">
        <v>1</v>
      </c>
      <c r="D169" s="6">
        <v>0</v>
      </c>
      <c r="E169" s="6">
        <v>-174.88</v>
      </c>
      <c r="F169" s="6">
        <v>0</v>
      </c>
      <c r="G169" s="6">
        <v>0.06</v>
      </c>
      <c r="H169" s="6">
        <v>26</v>
      </c>
    </row>
    <row r="170" spans="1:8" ht="18.95" customHeight="1">
      <c r="A170" s="4">
        <v>166</v>
      </c>
      <c r="B170" s="4">
        <v>23512</v>
      </c>
      <c r="C170" s="4">
        <v>1</v>
      </c>
      <c r="D170" s="6">
        <v>0</v>
      </c>
      <c r="E170" s="6">
        <v>-174.88</v>
      </c>
      <c r="F170" s="6">
        <v>0</v>
      </c>
      <c r="G170" s="6">
        <v>0.04</v>
      </c>
      <c r="H170" s="6">
        <v>26</v>
      </c>
    </row>
    <row r="171" spans="1:8" ht="18.95" customHeight="1">
      <c r="A171" s="4">
        <v>167</v>
      </c>
      <c r="B171" s="4">
        <v>23532</v>
      </c>
      <c r="C171" s="4">
        <v>1</v>
      </c>
      <c r="D171" s="6">
        <v>0</v>
      </c>
      <c r="E171" s="6">
        <v>-174.88</v>
      </c>
      <c r="F171" s="6">
        <v>0</v>
      </c>
      <c r="G171" s="6">
        <v>0.04</v>
      </c>
      <c r="H171" s="6">
        <v>28</v>
      </c>
    </row>
    <row r="172" spans="1:8" ht="18.95" customHeight="1">
      <c r="A172" s="4">
        <v>168</v>
      </c>
      <c r="B172" s="4">
        <v>23552</v>
      </c>
      <c r="C172" s="4">
        <v>1</v>
      </c>
      <c r="D172" s="6">
        <v>0</v>
      </c>
      <c r="E172" s="6">
        <v>-174.88</v>
      </c>
      <c r="F172" s="6">
        <v>0</v>
      </c>
      <c r="G172" s="6">
        <v>7.0000000000000007E-2</v>
      </c>
      <c r="H172" s="6">
        <v>28</v>
      </c>
    </row>
    <row r="173" spans="1:8" ht="18.95" customHeight="1">
      <c r="A173" s="4">
        <v>169</v>
      </c>
      <c r="B173" s="4">
        <v>23572</v>
      </c>
      <c r="C173" s="4">
        <v>1</v>
      </c>
      <c r="D173" s="6">
        <v>0</v>
      </c>
      <c r="E173" s="6">
        <v>-174.88</v>
      </c>
      <c r="F173" s="6">
        <v>0</v>
      </c>
      <c r="G173" s="6">
        <v>0</v>
      </c>
      <c r="H173" s="6">
        <v>28</v>
      </c>
    </row>
    <row r="174" spans="1:8" ht="18.95" customHeight="1">
      <c r="A174" s="4">
        <v>170</v>
      </c>
      <c r="B174" s="4">
        <v>23592</v>
      </c>
      <c r="C174" s="4">
        <v>1</v>
      </c>
      <c r="D174" s="6">
        <v>0</v>
      </c>
      <c r="E174" s="6">
        <v>-174.88</v>
      </c>
      <c r="F174" s="6">
        <v>0</v>
      </c>
      <c r="G174" s="6">
        <v>0.1</v>
      </c>
      <c r="H174" s="6">
        <v>25</v>
      </c>
    </row>
    <row r="175" spans="1:8" ht="18.95" customHeight="1">
      <c r="A175" s="4">
        <v>171</v>
      </c>
      <c r="B175" s="4">
        <v>23612</v>
      </c>
      <c r="C175" s="4">
        <v>1</v>
      </c>
      <c r="D175" s="6">
        <v>0</v>
      </c>
      <c r="E175" s="6">
        <v>-174.88</v>
      </c>
      <c r="F175" s="6">
        <v>0</v>
      </c>
      <c r="G175" s="6">
        <v>0.09</v>
      </c>
      <c r="H175" s="6">
        <v>25</v>
      </c>
    </row>
    <row r="176" spans="1:8" ht="18.95" customHeight="1">
      <c r="A176" s="4">
        <v>172</v>
      </c>
      <c r="B176" s="4">
        <v>23632</v>
      </c>
      <c r="C176" s="4">
        <v>1</v>
      </c>
      <c r="D176" s="6">
        <v>0</v>
      </c>
      <c r="E176" s="6">
        <v>-174.88</v>
      </c>
      <c r="F176" s="6">
        <v>0</v>
      </c>
      <c r="G176" s="6">
        <v>0.02</v>
      </c>
      <c r="H176" s="6">
        <v>27</v>
      </c>
    </row>
    <row r="177" spans="1:8" ht="18.95" customHeight="1">
      <c r="A177" s="4">
        <v>173</v>
      </c>
      <c r="B177" s="4">
        <v>23652</v>
      </c>
      <c r="C177" s="4">
        <v>1</v>
      </c>
      <c r="D177" s="6">
        <v>0</v>
      </c>
      <c r="E177" s="6">
        <v>-174.88</v>
      </c>
      <c r="F177" s="6">
        <v>0</v>
      </c>
      <c r="G177" s="6">
        <v>0.03</v>
      </c>
      <c r="H177" s="6">
        <v>27</v>
      </c>
    </row>
    <row r="178" spans="1:8" ht="18.95" customHeight="1">
      <c r="A178" s="4">
        <v>174</v>
      </c>
      <c r="B178" s="4">
        <v>23672</v>
      </c>
      <c r="C178" s="4">
        <v>1</v>
      </c>
      <c r="D178" s="6">
        <v>0</v>
      </c>
      <c r="E178" s="6">
        <v>-174.88</v>
      </c>
      <c r="F178" s="6">
        <v>0</v>
      </c>
      <c r="G178" s="6">
        <v>0.03</v>
      </c>
      <c r="H178" s="6">
        <v>27</v>
      </c>
    </row>
    <row r="179" spans="1:8" ht="18.95" customHeight="1">
      <c r="A179" s="4">
        <v>175</v>
      </c>
      <c r="B179" s="4">
        <v>23692</v>
      </c>
      <c r="C179" s="4">
        <v>1</v>
      </c>
      <c r="D179" s="6">
        <v>0</v>
      </c>
      <c r="E179" s="6">
        <v>-174.88</v>
      </c>
      <c r="F179" s="6">
        <v>0</v>
      </c>
      <c r="G179" s="6">
        <v>7.0000000000000007E-2</v>
      </c>
      <c r="H179" s="6">
        <v>25</v>
      </c>
    </row>
    <row r="180" spans="1:8" ht="18.95" customHeight="1">
      <c r="A180" s="4">
        <v>176</v>
      </c>
      <c r="B180" s="4">
        <v>23712</v>
      </c>
      <c r="C180" s="4">
        <v>1</v>
      </c>
      <c r="D180" s="6">
        <v>0</v>
      </c>
      <c r="E180" s="6">
        <v>-174.88</v>
      </c>
      <c r="F180" s="6">
        <v>0</v>
      </c>
      <c r="G180" s="6">
        <v>0.04</v>
      </c>
      <c r="H180" s="6">
        <v>25</v>
      </c>
    </row>
    <row r="181" spans="1:8" ht="18.95" customHeight="1">
      <c r="A181" s="4">
        <v>177</v>
      </c>
      <c r="B181" s="4">
        <v>23733</v>
      </c>
      <c r="C181" s="4">
        <v>1</v>
      </c>
      <c r="D181" s="6">
        <v>0</v>
      </c>
      <c r="E181" s="6">
        <v>-174.88</v>
      </c>
      <c r="F181" s="6">
        <v>0</v>
      </c>
      <c r="G181" s="6">
        <v>-0.02</v>
      </c>
      <c r="H181" s="6">
        <v>27</v>
      </c>
    </row>
    <row r="182" spans="1:8" ht="18.95" customHeight="1">
      <c r="A182" s="4">
        <v>178</v>
      </c>
      <c r="B182" s="4">
        <v>23753</v>
      </c>
      <c r="C182" s="4">
        <v>1</v>
      </c>
      <c r="D182" s="6">
        <v>0</v>
      </c>
      <c r="E182" s="6">
        <v>-174.88</v>
      </c>
      <c r="F182" s="6">
        <v>0</v>
      </c>
      <c r="G182" s="6">
        <v>0.01</v>
      </c>
      <c r="H182" s="6">
        <v>27</v>
      </c>
    </row>
    <row r="183" spans="1:8" ht="18.95" customHeight="1">
      <c r="A183" s="4">
        <v>179</v>
      </c>
      <c r="B183" s="4">
        <v>23773</v>
      </c>
      <c r="C183" s="4">
        <v>1</v>
      </c>
      <c r="D183" s="6">
        <v>0</v>
      </c>
      <c r="E183" s="6">
        <v>-174.88</v>
      </c>
      <c r="F183" s="6">
        <v>0</v>
      </c>
      <c r="G183" s="6">
        <v>0.04</v>
      </c>
      <c r="H183" s="6">
        <v>27</v>
      </c>
    </row>
    <row r="184" spans="1:8" ht="18.95" customHeight="1">
      <c r="A184" s="4">
        <v>180</v>
      </c>
      <c r="B184" s="4">
        <v>23793</v>
      </c>
      <c r="C184" s="4">
        <v>1</v>
      </c>
      <c r="D184" s="6">
        <v>0</v>
      </c>
      <c r="E184" s="6">
        <v>-174.88</v>
      </c>
      <c r="F184" s="6">
        <v>0</v>
      </c>
      <c r="G184" s="6">
        <v>0.02</v>
      </c>
      <c r="H184" s="6">
        <v>25</v>
      </c>
    </row>
    <row r="185" spans="1:8" ht="18.95" customHeight="1">
      <c r="A185" s="4">
        <v>181</v>
      </c>
      <c r="B185" s="4">
        <v>23813</v>
      </c>
      <c r="C185" s="4">
        <v>1</v>
      </c>
      <c r="D185" s="6">
        <v>0</v>
      </c>
      <c r="E185" s="6">
        <v>-174.88</v>
      </c>
      <c r="F185" s="6">
        <v>0</v>
      </c>
      <c r="G185" s="6">
        <v>0.03</v>
      </c>
      <c r="H185" s="6">
        <v>25</v>
      </c>
    </row>
    <row r="186" spans="1:8" ht="18.95" customHeight="1">
      <c r="A186" s="4">
        <v>182</v>
      </c>
      <c r="B186" s="4">
        <v>23833</v>
      </c>
      <c r="C186" s="4">
        <v>1</v>
      </c>
      <c r="D186" s="6">
        <v>0</v>
      </c>
      <c r="E186" s="6">
        <v>-174.88</v>
      </c>
      <c r="F186" s="6">
        <v>0</v>
      </c>
      <c r="G186" s="6">
        <v>0.04</v>
      </c>
      <c r="H186" s="6">
        <v>26</v>
      </c>
    </row>
    <row r="187" spans="1:8" ht="18.95" customHeight="1">
      <c r="A187" s="4">
        <v>183</v>
      </c>
      <c r="B187" s="4">
        <v>23853</v>
      </c>
      <c r="C187" s="4">
        <v>1</v>
      </c>
      <c r="D187" s="6">
        <v>0</v>
      </c>
      <c r="E187" s="6">
        <v>-174.88</v>
      </c>
      <c r="F187" s="6">
        <v>0</v>
      </c>
      <c r="G187" s="6">
        <v>0.06</v>
      </c>
      <c r="H187" s="6">
        <v>26</v>
      </c>
    </row>
    <row r="188" spans="1:8" ht="18.95" customHeight="1">
      <c r="A188" s="4">
        <v>184</v>
      </c>
      <c r="B188" s="4">
        <v>23873</v>
      </c>
      <c r="C188" s="4">
        <v>1</v>
      </c>
      <c r="D188" s="6">
        <v>0</v>
      </c>
      <c r="E188" s="6">
        <v>-174.88</v>
      </c>
      <c r="F188" s="6">
        <v>0</v>
      </c>
      <c r="G188" s="6">
        <v>0</v>
      </c>
      <c r="H188" s="6">
        <v>26</v>
      </c>
    </row>
    <row r="189" spans="1:8" ht="18.95" customHeight="1">
      <c r="A189" s="4">
        <v>185</v>
      </c>
      <c r="B189" s="4">
        <v>23894</v>
      </c>
      <c r="C189" s="4">
        <v>1</v>
      </c>
      <c r="D189" s="6">
        <v>0</v>
      </c>
      <c r="E189" s="6">
        <v>-174.88</v>
      </c>
      <c r="F189" s="6">
        <v>0</v>
      </c>
      <c r="G189" s="6">
        <v>0.03</v>
      </c>
      <c r="H189" s="6">
        <v>27</v>
      </c>
    </row>
    <row r="190" spans="1:8" ht="18.95" customHeight="1">
      <c r="A190" s="4">
        <v>186</v>
      </c>
      <c r="B190" s="4">
        <v>23914</v>
      </c>
      <c r="C190" s="4">
        <v>1</v>
      </c>
      <c r="D190" s="6">
        <v>0</v>
      </c>
      <c r="E190" s="6">
        <v>-174.88</v>
      </c>
      <c r="F190" s="6">
        <v>0</v>
      </c>
      <c r="G190" s="6">
        <v>0.02</v>
      </c>
      <c r="H190" s="6">
        <v>27</v>
      </c>
    </row>
    <row r="191" spans="1:8" ht="18.95" customHeight="1">
      <c r="A191" s="4">
        <v>187</v>
      </c>
      <c r="B191" s="4">
        <v>23934</v>
      </c>
      <c r="C191" s="4">
        <v>1</v>
      </c>
      <c r="D191" s="6">
        <v>0</v>
      </c>
      <c r="E191" s="6">
        <v>-174.88</v>
      </c>
      <c r="F191" s="6">
        <v>0</v>
      </c>
      <c r="G191" s="6">
        <v>0.02</v>
      </c>
      <c r="H191" s="6">
        <v>28</v>
      </c>
    </row>
    <row r="192" spans="1:8" ht="18.95" customHeight="1">
      <c r="A192" s="4">
        <v>188</v>
      </c>
      <c r="B192" s="4">
        <v>23954</v>
      </c>
      <c r="C192" s="4">
        <v>1</v>
      </c>
      <c r="D192" s="6">
        <v>0</v>
      </c>
      <c r="E192" s="6">
        <v>-174.88</v>
      </c>
      <c r="F192" s="6">
        <v>0</v>
      </c>
      <c r="G192" s="6">
        <v>0.05</v>
      </c>
      <c r="H192" s="6">
        <v>28</v>
      </c>
    </row>
    <row r="193" spans="1:8" ht="18.95" customHeight="1">
      <c r="A193" s="4">
        <v>189</v>
      </c>
      <c r="B193" s="4">
        <v>23974</v>
      </c>
      <c r="C193" s="4">
        <v>1</v>
      </c>
      <c r="D193" s="6">
        <v>0</v>
      </c>
      <c r="E193" s="6">
        <v>-174.88</v>
      </c>
      <c r="F193" s="6">
        <v>0</v>
      </c>
      <c r="G193" s="6">
        <v>0.04</v>
      </c>
      <c r="H193" s="6">
        <v>28</v>
      </c>
    </row>
    <row r="194" spans="1:8" ht="18.95" customHeight="1">
      <c r="A194" s="4">
        <v>190</v>
      </c>
      <c r="B194" s="4">
        <v>23994</v>
      </c>
      <c r="C194" s="4">
        <v>1</v>
      </c>
      <c r="D194" s="6">
        <v>0</v>
      </c>
      <c r="E194" s="6">
        <v>-174.88</v>
      </c>
      <c r="F194" s="6">
        <v>0</v>
      </c>
      <c r="G194" s="6">
        <v>0.03</v>
      </c>
      <c r="H194" s="6">
        <v>27</v>
      </c>
    </row>
    <row r="195" spans="1:8" ht="18.95" customHeight="1">
      <c r="A195" s="4">
        <v>191</v>
      </c>
      <c r="B195" s="4">
        <v>24014</v>
      </c>
      <c r="C195" s="4">
        <v>1</v>
      </c>
      <c r="D195" s="6">
        <v>0</v>
      </c>
      <c r="E195" s="6">
        <v>-174.88</v>
      </c>
      <c r="F195" s="6">
        <v>0</v>
      </c>
      <c r="G195" s="6">
        <v>0.03</v>
      </c>
      <c r="H195" s="6">
        <v>27</v>
      </c>
    </row>
    <row r="196" spans="1:8" ht="18.95" customHeight="1">
      <c r="A196" s="4">
        <v>192</v>
      </c>
      <c r="B196" s="4">
        <v>24034</v>
      </c>
      <c r="C196" s="4">
        <v>1</v>
      </c>
      <c r="D196" s="6">
        <v>0</v>
      </c>
      <c r="E196" s="6">
        <v>-174.88</v>
      </c>
      <c r="F196" s="6">
        <v>0</v>
      </c>
      <c r="G196" s="6">
        <v>0.05</v>
      </c>
      <c r="H196" s="6">
        <v>28</v>
      </c>
    </row>
    <row r="197" spans="1:8" ht="18.95" customHeight="1">
      <c r="A197" s="4">
        <v>193</v>
      </c>
      <c r="B197" s="4">
        <v>24054</v>
      </c>
      <c r="C197" s="4">
        <v>1</v>
      </c>
      <c r="D197" s="6">
        <v>0</v>
      </c>
      <c r="E197" s="6">
        <v>-174.88</v>
      </c>
      <c r="F197" s="6">
        <v>0</v>
      </c>
      <c r="G197" s="6">
        <v>0.06</v>
      </c>
      <c r="H197" s="6">
        <v>28</v>
      </c>
    </row>
    <row r="198" spans="1:8" ht="18.95" customHeight="1">
      <c r="A198" s="4">
        <v>194</v>
      </c>
      <c r="B198" s="4">
        <v>24074</v>
      </c>
      <c r="C198" s="4">
        <v>1</v>
      </c>
      <c r="D198" s="6">
        <v>0</v>
      </c>
      <c r="E198" s="6">
        <v>-174.88</v>
      </c>
      <c r="F198" s="6">
        <v>0</v>
      </c>
      <c r="G198" s="6">
        <v>0.03</v>
      </c>
      <c r="H198" s="6">
        <v>28</v>
      </c>
    </row>
    <row r="199" spans="1:8" ht="18.95" customHeight="1">
      <c r="A199" s="4">
        <v>195</v>
      </c>
      <c r="B199" s="4">
        <v>24094</v>
      </c>
      <c r="C199" s="4">
        <v>1</v>
      </c>
      <c r="D199" s="6">
        <v>0</v>
      </c>
      <c r="E199" s="6">
        <v>-174.88</v>
      </c>
      <c r="F199" s="6">
        <v>0</v>
      </c>
      <c r="G199" s="6">
        <v>0.04</v>
      </c>
      <c r="H199" s="6">
        <v>26</v>
      </c>
    </row>
    <row r="200" spans="1:8" ht="18.95" customHeight="1">
      <c r="A200" s="4">
        <v>196</v>
      </c>
      <c r="B200" s="4">
        <v>24114</v>
      </c>
      <c r="C200" s="4">
        <v>1</v>
      </c>
      <c r="D200" s="6">
        <v>0</v>
      </c>
      <c r="E200" s="6">
        <v>-174.88</v>
      </c>
      <c r="F200" s="6">
        <v>0</v>
      </c>
      <c r="G200" s="6">
        <v>0.05</v>
      </c>
      <c r="H200" s="6">
        <v>26</v>
      </c>
    </row>
    <row r="201" spans="1:8" ht="18.95" customHeight="1">
      <c r="A201" s="4">
        <v>197</v>
      </c>
      <c r="B201" s="4">
        <v>24134</v>
      </c>
      <c r="C201" s="4">
        <v>1</v>
      </c>
      <c r="D201" s="6">
        <v>0</v>
      </c>
      <c r="E201" s="6">
        <v>-174.88</v>
      </c>
      <c r="F201" s="6">
        <v>0</v>
      </c>
      <c r="G201" s="6">
        <v>0.03</v>
      </c>
      <c r="H201" s="6">
        <v>26</v>
      </c>
    </row>
    <row r="202" spans="1:8" ht="18.95" customHeight="1">
      <c r="A202" s="4">
        <v>198</v>
      </c>
      <c r="B202" s="4">
        <v>24154</v>
      </c>
      <c r="C202" s="4">
        <v>1</v>
      </c>
      <c r="D202" s="6">
        <v>0</v>
      </c>
      <c r="E202" s="6">
        <v>-174.88</v>
      </c>
      <c r="F202" s="6">
        <v>0</v>
      </c>
      <c r="G202" s="6">
        <v>0.04</v>
      </c>
      <c r="H202" s="6">
        <v>26</v>
      </c>
    </row>
    <row r="203" spans="1:8" ht="18.95" customHeight="1">
      <c r="A203" s="4">
        <v>199</v>
      </c>
      <c r="B203" s="4">
        <v>24174</v>
      </c>
      <c r="C203" s="4">
        <v>1</v>
      </c>
      <c r="D203" s="6">
        <v>0</v>
      </c>
      <c r="E203" s="6">
        <v>-174.88</v>
      </c>
      <c r="F203" s="6">
        <v>0</v>
      </c>
      <c r="G203" s="6">
        <v>0.06</v>
      </c>
      <c r="H203" s="6">
        <v>26</v>
      </c>
    </row>
    <row r="204" spans="1:8" ht="18.95" customHeight="1">
      <c r="A204" s="4">
        <v>200</v>
      </c>
      <c r="B204" s="4">
        <v>24194</v>
      </c>
      <c r="C204" s="4">
        <v>1</v>
      </c>
      <c r="D204" s="6">
        <v>0</v>
      </c>
      <c r="E204" s="6">
        <v>-174.88</v>
      </c>
      <c r="F204" s="6">
        <v>0</v>
      </c>
      <c r="G204" s="6">
        <v>0.03</v>
      </c>
      <c r="H204" s="6">
        <v>25</v>
      </c>
    </row>
    <row r="205" spans="1:8" ht="18.95" customHeight="1">
      <c r="A205" s="4">
        <v>201</v>
      </c>
      <c r="B205" s="4">
        <v>24214</v>
      </c>
      <c r="C205" s="4">
        <v>1</v>
      </c>
      <c r="D205" s="6">
        <v>0</v>
      </c>
      <c r="E205" s="6">
        <v>-174.88</v>
      </c>
      <c r="F205" s="6">
        <v>0</v>
      </c>
      <c r="G205" s="6">
        <v>0.05</v>
      </c>
      <c r="H205" s="6">
        <v>25</v>
      </c>
    </row>
    <row r="206" spans="1:8" ht="18.95" customHeight="1">
      <c r="A206" s="4">
        <v>202</v>
      </c>
      <c r="B206" s="4">
        <v>24235</v>
      </c>
      <c r="C206" s="4">
        <v>1</v>
      </c>
      <c r="D206" s="6">
        <v>0</v>
      </c>
      <c r="E206" s="6">
        <v>-174.88</v>
      </c>
      <c r="F206" s="6">
        <v>0</v>
      </c>
      <c r="G206" s="6">
        <v>0.06</v>
      </c>
      <c r="H206" s="6">
        <v>29</v>
      </c>
    </row>
    <row r="207" spans="1:8" ht="18.95" customHeight="1">
      <c r="A207" s="4">
        <v>203</v>
      </c>
      <c r="B207" s="4">
        <v>24255</v>
      </c>
      <c r="C207" s="4">
        <v>1</v>
      </c>
      <c r="D207" s="6">
        <v>0</v>
      </c>
      <c r="E207" s="6">
        <v>-174.88</v>
      </c>
      <c r="F207" s="6">
        <v>0</v>
      </c>
      <c r="G207" s="6">
        <v>0.01</v>
      </c>
      <c r="H207" s="6">
        <v>29</v>
      </c>
    </row>
    <row r="208" spans="1:8" ht="18.95" customHeight="1">
      <c r="A208" s="4">
        <v>204</v>
      </c>
      <c r="B208" s="4">
        <v>24275</v>
      </c>
      <c r="C208" s="4">
        <v>1</v>
      </c>
      <c r="D208" s="6">
        <v>0</v>
      </c>
      <c r="E208" s="6">
        <v>-174.88</v>
      </c>
      <c r="F208" s="6">
        <v>0</v>
      </c>
      <c r="G208" s="6">
        <v>0.04</v>
      </c>
      <c r="H208" s="6">
        <v>29</v>
      </c>
    </row>
    <row r="209" spans="1:8" ht="18.95" customHeight="1">
      <c r="A209" s="4">
        <v>205</v>
      </c>
      <c r="B209" s="4">
        <v>24295</v>
      </c>
      <c r="C209" s="4">
        <v>1</v>
      </c>
      <c r="D209" s="6">
        <v>0</v>
      </c>
      <c r="E209" s="6">
        <v>-174.88</v>
      </c>
      <c r="F209" s="6">
        <v>0</v>
      </c>
      <c r="G209" s="6">
        <v>0.03</v>
      </c>
      <c r="H209" s="6">
        <v>27</v>
      </c>
    </row>
    <row r="210" spans="1:8" ht="18.95" customHeight="1">
      <c r="A210" s="4">
        <v>206</v>
      </c>
      <c r="B210" s="4">
        <v>24315</v>
      </c>
      <c r="C210" s="4">
        <v>1</v>
      </c>
      <c r="D210" s="6">
        <v>0</v>
      </c>
      <c r="E210" s="6">
        <v>-174.88</v>
      </c>
      <c r="F210" s="6">
        <v>0</v>
      </c>
      <c r="G210" s="6">
        <v>0.04</v>
      </c>
      <c r="H210" s="6">
        <v>27</v>
      </c>
    </row>
    <row r="211" spans="1:8" ht="18.95" customHeight="1">
      <c r="A211" s="4">
        <v>207</v>
      </c>
      <c r="B211" s="4">
        <v>24335</v>
      </c>
      <c r="C211" s="4">
        <v>1</v>
      </c>
      <c r="D211" s="6">
        <v>0</v>
      </c>
      <c r="E211" s="6">
        <v>-174.88</v>
      </c>
      <c r="F211" s="6">
        <v>0</v>
      </c>
      <c r="G211" s="6">
        <v>0.06</v>
      </c>
      <c r="H211" s="6">
        <v>25</v>
      </c>
    </row>
    <row r="212" spans="1:8" ht="18.95" customHeight="1">
      <c r="A212" s="4">
        <v>208</v>
      </c>
      <c r="B212" s="4">
        <v>24355</v>
      </c>
      <c r="C212" s="4">
        <v>1</v>
      </c>
      <c r="D212" s="6">
        <v>0</v>
      </c>
      <c r="E212" s="6">
        <v>-174.88</v>
      </c>
      <c r="F212" s="6">
        <v>0</v>
      </c>
      <c r="G212" s="6">
        <v>7.0000000000000007E-2</v>
      </c>
      <c r="H212" s="6">
        <v>25</v>
      </c>
    </row>
    <row r="213" spans="1:8" ht="18.95" customHeight="1">
      <c r="A213" s="4">
        <v>209</v>
      </c>
      <c r="B213" s="4">
        <v>24375</v>
      </c>
      <c r="C213" s="4">
        <v>1</v>
      </c>
      <c r="D213" s="6">
        <v>0</v>
      </c>
      <c r="E213" s="6">
        <v>-174.88</v>
      </c>
      <c r="F213" s="6">
        <v>0</v>
      </c>
      <c r="G213" s="6">
        <v>7.0000000000000007E-2</v>
      </c>
      <c r="H213" s="6">
        <v>25</v>
      </c>
    </row>
    <row r="214" spans="1:8" ht="18.95" customHeight="1">
      <c r="A214" s="4">
        <v>210</v>
      </c>
      <c r="B214" s="4">
        <v>24395</v>
      </c>
      <c r="C214" s="4">
        <v>1</v>
      </c>
      <c r="D214" s="6">
        <v>0</v>
      </c>
      <c r="E214" s="6">
        <v>-174.88</v>
      </c>
      <c r="F214" s="6">
        <v>0</v>
      </c>
      <c r="G214" s="6">
        <v>0.05</v>
      </c>
      <c r="H214" s="6">
        <v>25</v>
      </c>
    </row>
    <row r="215" spans="1:8" ht="18.95" customHeight="1">
      <c r="A215" s="4">
        <v>211</v>
      </c>
      <c r="B215" s="4">
        <v>24415</v>
      </c>
      <c r="C215" s="4">
        <v>1</v>
      </c>
      <c r="D215" s="6">
        <v>0</v>
      </c>
      <c r="E215" s="6">
        <v>-174.88</v>
      </c>
      <c r="F215" s="6">
        <v>0</v>
      </c>
      <c r="G215" s="6">
        <v>0.05</v>
      </c>
      <c r="H215" s="6">
        <v>25</v>
      </c>
    </row>
    <row r="216" spans="1:8" ht="18.95" customHeight="1">
      <c r="A216" s="4">
        <v>212</v>
      </c>
      <c r="B216" s="4">
        <v>24435</v>
      </c>
      <c r="C216" s="4">
        <v>1</v>
      </c>
      <c r="D216" s="6">
        <v>0</v>
      </c>
      <c r="E216" s="6">
        <v>-174.88</v>
      </c>
      <c r="F216" s="6">
        <v>0</v>
      </c>
      <c r="G216" s="6">
        <v>0.03</v>
      </c>
      <c r="H216" s="6">
        <v>26</v>
      </c>
    </row>
    <row r="217" spans="1:8" ht="18.95" customHeight="1">
      <c r="A217" s="4">
        <v>213</v>
      </c>
      <c r="B217" s="4">
        <v>24455</v>
      </c>
      <c r="C217" s="4">
        <v>1</v>
      </c>
      <c r="D217" s="6">
        <v>0</v>
      </c>
      <c r="E217" s="6">
        <v>-174.88</v>
      </c>
      <c r="F217" s="6">
        <v>0</v>
      </c>
      <c r="G217" s="6">
        <v>0.04</v>
      </c>
      <c r="H217" s="6">
        <v>26</v>
      </c>
    </row>
    <row r="218" spans="1:8" ht="18.95" customHeight="1">
      <c r="A218" s="4">
        <v>214</v>
      </c>
      <c r="B218" s="4">
        <v>24475</v>
      </c>
      <c r="C218" s="4">
        <v>1</v>
      </c>
      <c r="D218" s="6">
        <v>0</v>
      </c>
      <c r="E218" s="6">
        <v>-174.88</v>
      </c>
      <c r="F218" s="6">
        <v>0</v>
      </c>
      <c r="G218" s="6">
        <v>0.04</v>
      </c>
      <c r="H218" s="6">
        <v>26</v>
      </c>
    </row>
    <row r="219" spans="1:8" ht="18.95" customHeight="1">
      <c r="A219" s="4">
        <v>215</v>
      </c>
      <c r="B219" s="4">
        <v>24495</v>
      </c>
      <c r="C219" s="4">
        <v>1</v>
      </c>
      <c r="D219" s="6">
        <v>0</v>
      </c>
      <c r="E219" s="6">
        <v>-174.88</v>
      </c>
      <c r="F219" s="6">
        <v>0</v>
      </c>
      <c r="G219" s="6">
        <v>0.04</v>
      </c>
      <c r="H219" s="6">
        <v>27</v>
      </c>
    </row>
    <row r="220" spans="1:8" ht="18.95" customHeight="1">
      <c r="A220" s="4">
        <v>216</v>
      </c>
      <c r="B220" s="4">
        <v>24515</v>
      </c>
      <c r="C220" s="4">
        <v>1</v>
      </c>
      <c r="D220" s="6">
        <v>0</v>
      </c>
      <c r="E220" s="6">
        <v>-174.88</v>
      </c>
      <c r="F220" s="6">
        <v>0</v>
      </c>
      <c r="G220" s="6">
        <v>0.05</v>
      </c>
      <c r="H220" s="6">
        <v>27</v>
      </c>
    </row>
    <row r="221" spans="1:8" ht="18.95" customHeight="1">
      <c r="A221" s="4">
        <v>217</v>
      </c>
      <c r="B221" s="4">
        <v>24536</v>
      </c>
      <c r="C221" s="4">
        <v>1</v>
      </c>
      <c r="D221" s="6">
        <v>0</v>
      </c>
      <c r="E221" s="6">
        <v>-174.88</v>
      </c>
      <c r="F221" s="6">
        <v>0</v>
      </c>
      <c r="G221" s="6">
        <v>0.04</v>
      </c>
      <c r="H221" s="6">
        <v>25</v>
      </c>
    </row>
    <row r="222" spans="1:8" ht="18.95" customHeight="1">
      <c r="A222" s="4">
        <v>218</v>
      </c>
      <c r="B222" s="4">
        <v>24556</v>
      </c>
      <c r="C222" s="4">
        <v>1</v>
      </c>
      <c r="D222" s="6">
        <v>0</v>
      </c>
      <c r="E222" s="6">
        <v>-174.88</v>
      </c>
      <c r="F222" s="6">
        <v>0</v>
      </c>
      <c r="G222" s="6">
        <v>0.08</v>
      </c>
      <c r="H222" s="6">
        <v>25</v>
      </c>
    </row>
    <row r="223" spans="1:8" ht="18.95" customHeight="1">
      <c r="A223" s="4">
        <v>219</v>
      </c>
      <c r="B223" s="4">
        <v>24576</v>
      </c>
      <c r="C223" s="4">
        <v>1</v>
      </c>
      <c r="D223" s="6">
        <v>0</v>
      </c>
      <c r="E223" s="6">
        <v>-174.88</v>
      </c>
      <c r="F223" s="6">
        <v>0</v>
      </c>
      <c r="G223" s="6">
        <v>-0.04</v>
      </c>
      <c r="H223" s="6">
        <v>25</v>
      </c>
    </row>
    <row r="224" spans="1:8" ht="18.95" customHeight="1">
      <c r="A224" s="4">
        <v>220</v>
      </c>
      <c r="B224" s="4">
        <v>24596</v>
      </c>
      <c r="C224" s="4">
        <v>1</v>
      </c>
      <c r="D224" s="6">
        <v>0</v>
      </c>
      <c r="E224" s="6">
        <v>-174.88</v>
      </c>
      <c r="F224" s="6">
        <v>0</v>
      </c>
      <c r="G224" s="6">
        <v>0.09</v>
      </c>
      <c r="H224" s="6">
        <v>26</v>
      </c>
    </row>
    <row r="225" spans="1:8" ht="18.95" customHeight="1">
      <c r="A225" s="4">
        <v>221</v>
      </c>
      <c r="B225" s="4">
        <v>24616</v>
      </c>
      <c r="C225" s="4">
        <v>1</v>
      </c>
      <c r="D225" s="6">
        <v>0</v>
      </c>
      <c r="E225" s="6">
        <v>-174.88</v>
      </c>
      <c r="F225" s="6">
        <v>0</v>
      </c>
      <c r="G225" s="6">
        <v>0.04</v>
      </c>
      <c r="H225" s="6">
        <v>26</v>
      </c>
    </row>
    <row r="226" spans="1:8" ht="18.95" customHeight="1">
      <c r="A226" s="4">
        <v>222</v>
      </c>
      <c r="B226" s="4">
        <v>24636</v>
      </c>
      <c r="C226" s="4">
        <v>1</v>
      </c>
      <c r="D226" s="6">
        <v>0</v>
      </c>
      <c r="E226" s="6">
        <v>-174.88</v>
      </c>
      <c r="F226" s="6">
        <v>0</v>
      </c>
      <c r="G226" s="6">
        <v>0.01</v>
      </c>
      <c r="H226" s="6">
        <v>26</v>
      </c>
    </row>
    <row r="227" spans="1:8" ht="18.95" customHeight="1">
      <c r="A227" s="4">
        <v>223</v>
      </c>
      <c r="B227" s="4">
        <v>24656</v>
      </c>
      <c r="C227" s="4">
        <v>1</v>
      </c>
      <c r="D227" s="6">
        <v>0</v>
      </c>
      <c r="E227" s="6">
        <v>-174.88</v>
      </c>
      <c r="F227" s="6">
        <v>0</v>
      </c>
      <c r="G227" s="6">
        <v>0.05</v>
      </c>
      <c r="H227" s="6">
        <v>26</v>
      </c>
    </row>
    <row r="228" spans="1:8" ht="18.95" customHeight="1">
      <c r="A228" s="4">
        <v>224</v>
      </c>
      <c r="B228" s="4">
        <v>24676</v>
      </c>
      <c r="C228" s="4">
        <v>1</v>
      </c>
      <c r="D228" s="6">
        <v>0</v>
      </c>
      <c r="E228" s="6">
        <v>-174.88</v>
      </c>
      <c r="F228" s="6">
        <v>0</v>
      </c>
      <c r="G228" s="6">
        <v>0.01</v>
      </c>
      <c r="H228" s="6">
        <v>26</v>
      </c>
    </row>
    <row r="229" spans="1:8" ht="18.95" customHeight="1">
      <c r="A229" s="4">
        <v>225</v>
      </c>
      <c r="B229" s="4">
        <v>24696</v>
      </c>
      <c r="C229" s="4">
        <v>1</v>
      </c>
      <c r="D229" s="6">
        <v>0</v>
      </c>
      <c r="E229" s="6">
        <v>-174.88</v>
      </c>
      <c r="F229" s="6">
        <v>0</v>
      </c>
      <c r="G229" s="6">
        <v>0.06</v>
      </c>
      <c r="H229" s="6">
        <v>26</v>
      </c>
    </row>
    <row r="230" spans="1:8" ht="18.95" customHeight="1">
      <c r="A230" s="4">
        <v>226</v>
      </c>
      <c r="B230" s="4">
        <v>24716</v>
      </c>
      <c r="C230" s="4">
        <v>1</v>
      </c>
      <c r="D230" s="6">
        <v>0</v>
      </c>
      <c r="E230" s="6">
        <v>-174.88</v>
      </c>
      <c r="F230" s="6">
        <v>0</v>
      </c>
      <c r="G230" s="6">
        <v>0.06</v>
      </c>
      <c r="H230" s="6">
        <v>26</v>
      </c>
    </row>
    <row r="231" spans="1:8" ht="18.95" customHeight="1">
      <c r="A231" s="4">
        <v>227</v>
      </c>
      <c r="B231" s="4">
        <v>24736</v>
      </c>
      <c r="C231" s="4">
        <v>1</v>
      </c>
      <c r="D231" s="6">
        <v>0</v>
      </c>
      <c r="E231" s="6">
        <v>-174.88</v>
      </c>
      <c r="F231" s="6">
        <v>0</v>
      </c>
      <c r="G231" s="6">
        <v>0.03</v>
      </c>
      <c r="H231" s="6">
        <v>25</v>
      </c>
    </row>
    <row r="232" spans="1:8" ht="18.95" customHeight="1">
      <c r="A232" s="4">
        <v>228</v>
      </c>
      <c r="B232" s="4">
        <v>24756</v>
      </c>
      <c r="C232" s="4">
        <v>1</v>
      </c>
      <c r="D232" s="6">
        <v>0</v>
      </c>
      <c r="E232" s="6">
        <v>-174.88</v>
      </c>
      <c r="F232" s="6">
        <v>0</v>
      </c>
      <c r="G232" s="6">
        <v>0.04</v>
      </c>
      <c r="H232" s="6">
        <v>25</v>
      </c>
    </row>
    <row r="233" spans="1:8" ht="18.95" customHeight="1">
      <c r="A233" s="4">
        <v>229</v>
      </c>
      <c r="B233" s="4">
        <v>24776</v>
      </c>
      <c r="C233" s="4">
        <v>1</v>
      </c>
      <c r="D233" s="6">
        <v>0</v>
      </c>
      <c r="E233" s="6">
        <v>-174.88</v>
      </c>
      <c r="F233" s="6">
        <v>0</v>
      </c>
      <c r="G233" s="6">
        <v>0.02</v>
      </c>
      <c r="H233" s="6">
        <v>25</v>
      </c>
    </row>
    <row r="234" spans="1:8" ht="18.95" customHeight="1">
      <c r="A234" s="4">
        <v>230</v>
      </c>
      <c r="B234" s="4">
        <v>24796</v>
      </c>
      <c r="C234" s="4">
        <v>1</v>
      </c>
      <c r="D234" s="6">
        <v>0</v>
      </c>
      <c r="E234" s="6">
        <v>-174.88</v>
      </c>
      <c r="F234" s="6">
        <v>0</v>
      </c>
      <c r="G234" s="6">
        <v>0</v>
      </c>
      <c r="H234" s="6">
        <v>25</v>
      </c>
    </row>
    <row r="235" spans="1:8" ht="18.95" customHeight="1">
      <c r="A235" s="4">
        <v>231</v>
      </c>
      <c r="B235" s="4">
        <v>24816</v>
      </c>
      <c r="C235" s="4">
        <v>1</v>
      </c>
      <c r="D235" s="6">
        <v>0</v>
      </c>
      <c r="E235" s="6">
        <v>-174.88</v>
      </c>
      <c r="F235" s="6">
        <v>0</v>
      </c>
      <c r="G235" s="6">
        <v>0.02</v>
      </c>
      <c r="H235" s="6">
        <v>25</v>
      </c>
    </row>
    <row r="236" spans="1:8" ht="18.95" customHeight="1">
      <c r="A236" s="4">
        <v>232</v>
      </c>
      <c r="B236" s="4">
        <v>24836</v>
      </c>
      <c r="C236" s="4">
        <v>1</v>
      </c>
      <c r="D236" s="6">
        <v>0</v>
      </c>
      <c r="E236" s="6">
        <v>-174.88</v>
      </c>
      <c r="F236" s="6">
        <v>0</v>
      </c>
      <c r="G236" s="6">
        <v>0.04</v>
      </c>
      <c r="H236" s="6">
        <v>24</v>
      </c>
    </row>
    <row r="237" spans="1:8" ht="18.95" customHeight="1">
      <c r="A237" s="4">
        <v>233</v>
      </c>
      <c r="B237" s="4">
        <v>24856</v>
      </c>
      <c r="C237" s="4">
        <v>1</v>
      </c>
      <c r="D237" s="6">
        <v>0</v>
      </c>
      <c r="E237" s="6">
        <v>-174.88</v>
      </c>
      <c r="F237" s="6">
        <v>0</v>
      </c>
      <c r="G237" s="6">
        <v>0</v>
      </c>
      <c r="H237" s="6">
        <v>24</v>
      </c>
    </row>
    <row r="238" spans="1:8" ht="18.95" customHeight="1">
      <c r="A238" s="4">
        <v>234</v>
      </c>
      <c r="B238" s="4">
        <v>24876</v>
      </c>
      <c r="C238" s="4">
        <v>1</v>
      </c>
      <c r="D238" s="6">
        <v>0</v>
      </c>
      <c r="E238" s="6">
        <v>-174.88</v>
      </c>
      <c r="F238" s="6">
        <v>0</v>
      </c>
      <c r="G238" s="6">
        <v>0.04</v>
      </c>
      <c r="H238" s="6">
        <v>24</v>
      </c>
    </row>
    <row r="239" spans="1:8" ht="18.95" customHeight="1">
      <c r="A239" s="4">
        <v>235</v>
      </c>
      <c r="B239" s="4">
        <v>24896</v>
      </c>
      <c r="C239" s="4">
        <v>1</v>
      </c>
      <c r="D239" s="6">
        <v>0</v>
      </c>
      <c r="E239" s="6">
        <v>-174.88</v>
      </c>
      <c r="F239" s="6">
        <v>0</v>
      </c>
      <c r="G239" s="6">
        <v>0.14000000000000001</v>
      </c>
      <c r="H239" s="6">
        <v>27</v>
      </c>
    </row>
    <row r="240" spans="1:8" ht="18.95" customHeight="1">
      <c r="A240" s="4">
        <v>236</v>
      </c>
      <c r="B240" s="4">
        <v>24916</v>
      </c>
      <c r="C240" s="4">
        <v>1</v>
      </c>
      <c r="D240" s="6">
        <v>0</v>
      </c>
      <c r="E240" s="6">
        <v>-174.88</v>
      </c>
      <c r="F240" s="6">
        <v>0</v>
      </c>
      <c r="G240" s="6">
        <v>0.08</v>
      </c>
      <c r="H240" s="6">
        <v>27</v>
      </c>
    </row>
    <row r="241" spans="1:8" ht="18.95" customHeight="1">
      <c r="A241" s="4">
        <v>237</v>
      </c>
      <c r="B241" s="4">
        <v>24936</v>
      </c>
      <c r="C241" s="4">
        <v>1</v>
      </c>
      <c r="D241" s="6">
        <v>0</v>
      </c>
      <c r="E241" s="6">
        <v>-174.88</v>
      </c>
      <c r="F241" s="6">
        <v>0</v>
      </c>
      <c r="G241" s="6">
        <v>0.02</v>
      </c>
      <c r="H241" s="6">
        <v>25</v>
      </c>
    </row>
    <row r="242" spans="1:8" ht="18.95" customHeight="1">
      <c r="A242" s="4">
        <v>238</v>
      </c>
      <c r="B242" s="4">
        <v>24956</v>
      </c>
      <c r="C242" s="4">
        <v>1</v>
      </c>
      <c r="D242" s="6">
        <v>0</v>
      </c>
      <c r="E242" s="6">
        <v>-174.88</v>
      </c>
      <c r="F242" s="6">
        <v>0</v>
      </c>
      <c r="G242" s="6">
        <v>0.03</v>
      </c>
      <c r="H242" s="6">
        <v>25</v>
      </c>
    </row>
    <row r="243" spans="1:8" ht="18.95" customHeight="1">
      <c r="A243" s="4">
        <v>239</v>
      </c>
      <c r="B243" s="4">
        <v>24976</v>
      </c>
      <c r="C243" s="4">
        <v>1</v>
      </c>
      <c r="D243" s="6">
        <v>0</v>
      </c>
      <c r="E243" s="6">
        <v>-174.88</v>
      </c>
      <c r="F243" s="6">
        <v>0</v>
      </c>
      <c r="G243" s="6">
        <v>0.02</v>
      </c>
      <c r="H243" s="6">
        <v>25</v>
      </c>
    </row>
    <row r="244" spans="1:8" ht="18.95" customHeight="1">
      <c r="A244" s="4">
        <v>240</v>
      </c>
      <c r="B244" s="4">
        <v>24996</v>
      </c>
      <c r="C244" s="4">
        <v>1</v>
      </c>
      <c r="D244" s="6">
        <v>0</v>
      </c>
      <c r="E244" s="6">
        <v>-174.88</v>
      </c>
      <c r="F244" s="6">
        <v>0</v>
      </c>
      <c r="G244" s="6">
        <v>0.05</v>
      </c>
      <c r="H244" s="6">
        <v>27</v>
      </c>
    </row>
    <row r="245" spans="1:8" ht="18.95" customHeight="1">
      <c r="A245" s="4">
        <v>241</v>
      </c>
      <c r="B245" s="4">
        <v>25016</v>
      </c>
      <c r="C245" s="4">
        <v>1</v>
      </c>
      <c r="D245" s="6">
        <v>0</v>
      </c>
      <c r="E245" s="6">
        <v>-174.88</v>
      </c>
      <c r="F245" s="6">
        <v>0</v>
      </c>
      <c r="G245" s="6">
        <v>0</v>
      </c>
      <c r="H245" s="6">
        <v>27</v>
      </c>
    </row>
    <row r="246" spans="1:8" ht="18.95" customHeight="1">
      <c r="A246" s="4">
        <v>242</v>
      </c>
      <c r="B246" s="4">
        <v>25036</v>
      </c>
      <c r="C246" s="4">
        <v>1</v>
      </c>
      <c r="D246" s="6">
        <v>0</v>
      </c>
      <c r="E246" s="6">
        <v>-174.88</v>
      </c>
      <c r="F246" s="6">
        <v>0</v>
      </c>
      <c r="G246" s="6">
        <v>7.0000000000000007E-2</v>
      </c>
      <c r="H246" s="6">
        <v>28</v>
      </c>
    </row>
    <row r="247" spans="1:8" ht="18.95" customHeight="1">
      <c r="A247" s="4">
        <v>243</v>
      </c>
      <c r="B247" s="4">
        <v>25056</v>
      </c>
      <c r="C247" s="4">
        <v>1</v>
      </c>
      <c r="D247" s="6">
        <v>0</v>
      </c>
      <c r="E247" s="6">
        <v>-174.88</v>
      </c>
      <c r="F247" s="6">
        <v>0</v>
      </c>
      <c r="G247" s="6">
        <v>0.02</v>
      </c>
      <c r="H247" s="6">
        <v>28</v>
      </c>
    </row>
    <row r="248" spans="1:8" ht="18.95" customHeight="1">
      <c r="A248" s="4">
        <v>244</v>
      </c>
      <c r="B248" s="4">
        <v>25076</v>
      </c>
      <c r="C248" s="4">
        <v>1</v>
      </c>
      <c r="D248" s="6">
        <v>0</v>
      </c>
      <c r="E248" s="6">
        <v>-174.88</v>
      </c>
      <c r="F248" s="6">
        <v>0</v>
      </c>
      <c r="G248" s="6">
        <v>0</v>
      </c>
      <c r="H248" s="6">
        <v>28</v>
      </c>
    </row>
    <row r="249" spans="1:8" ht="18.95" customHeight="1">
      <c r="A249" s="4">
        <v>245</v>
      </c>
      <c r="B249" s="4">
        <v>25096</v>
      </c>
      <c r="C249" s="4">
        <v>1</v>
      </c>
      <c r="D249" s="6">
        <v>0</v>
      </c>
      <c r="E249" s="6">
        <v>-174.88</v>
      </c>
      <c r="F249" s="6">
        <v>0</v>
      </c>
      <c r="G249" s="6">
        <v>0.05</v>
      </c>
      <c r="H249" s="6">
        <v>26</v>
      </c>
    </row>
    <row r="250" spans="1:8" ht="18.95" customHeight="1">
      <c r="A250" s="4">
        <v>246</v>
      </c>
      <c r="B250" s="4">
        <v>25116</v>
      </c>
      <c r="C250" s="4">
        <v>1</v>
      </c>
      <c r="D250" s="6">
        <v>0</v>
      </c>
      <c r="E250" s="6">
        <v>-174.88</v>
      </c>
      <c r="F250" s="6">
        <v>0</v>
      </c>
      <c r="G250" s="6">
        <v>0.01</v>
      </c>
      <c r="H250" s="6">
        <v>26</v>
      </c>
    </row>
    <row r="251" spans="1:8" ht="18.95" customHeight="1">
      <c r="A251" s="4">
        <v>247</v>
      </c>
      <c r="B251" s="4">
        <v>25136</v>
      </c>
      <c r="C251" s="4">
        <v>1</v>
      </c>
      <c r="D251" s="6">
        <v>0</v>
      </c>
      <c r="E251" s="6">
        <v>-174.88</v>
      </c>
      <c r="F251" s="6">
        <v>0</v>
      </c>
      <c r="G251" s="6">
        <v>0</v>
      </c>
      <c r="H251" s="6">
        <v>26</v>
      </c>
    </row>
    <row r="252" spans="1:8" ht="18.95" customHeight="1">
      <c r="A252" s="4">
        <v>248</v>
      </c>
      <c r="B252" s="4">
        <v>25156</v>
      </c>
      <c r="C252" s="4">
        <v>1</v>
      </c>
      <c r="D252" s="6">
        <v>0</v>
      </c>
      <c r="E252" s="6">
        <v>-174.88</v>
      </c>
      <c r="F252" s="6">
        <v>0</v>
      </c>
      <c r="G252" s="6">
        <v>0.06</v>
      </c>
      <c r="H252" s="6">
        <v>26</v>
      </c>
    </row>
    <row r="253" spans="1:8" ht="18.95" customHeight="1">
      <c r="A253" s="4">
        <v>249</v>
      </c>
      <c r="B253" s="4">
        <v>25176</v>
      </c>
      <c r="C253" s="4">
        <v>1</v>
      </c>
      <c r="D253" s="6">
        <v>0</v>
      </c>
      <c r="E253" s="6">
        <v>-174.88</v>
      </c>
      <c r="F253" s="6">
        <v>0</v>
      </c>
      <c r="G253" s="6">
        <v>0.03</v>
      </c>
      <c r="H253" s="6">
        <v>26</v>
      </c>
    </row>
    <row r="254" spans="1:8" ht="18.95" customHeight="1">
      <c r="A254" s="4">
        <v>250</v>
      </c>
      <c r="B254" s="4">
        <v>25196</v>
      </c>
      <c r="C254" s="4">
        <v>1</v>
      </c>
      <c r="D254" s="6">
        <v>0</v>
      </c>
      <c r="E254" s="6">
        <v>-174.88</v>
      </c>
      <c r="F254" s="6">
        <v>0</v>
      </c>
      <c r="G254" s="6">
        <v>0.02</v>
      </c>
      <c r="H254" s="6">
        <v>27</v>
      </c>
    </row>
    <row r="255" spans="1:8" ht="18.95" customHeight="1">
      <c r="A255" s="4">
        <v>251</v>
      </c>
      <c r="B255" s="4">
        <v>25216</v>
      </c>
      <c r="C255" s="4">
        <v>1</v>
      </c>
      <c r="D255" s="6">
        <v>0</v>
      </c>
      <c r="E255" s="6">
        <v>-174.88</v>
      </c>
      <c r="F255" s="6">
        <v>0</v>
      </c>
      <c r="G255" s="6">
        <v>0.06</v>
      </c>
      <c r="H255" s="6">
        <v>27</v>
      </c>
    </row>
    <row r="256" spans="1:8" ht="18.95" customHeight="1">
      <c r="A256" s="4">
        <v>252</v>
      </c>
      <c r="B256" s="4">
        <v>25236</v>
      </c>
      <c r="C256" s="4">
        <v>1</v>
      </c>
      <c r="D256" s="6">
        <v>0</v>
      </c>
      <c r="E256" s="6">
        <v>-174.75</v>
      </c>
      <c r="F256" s="6">
        <v>-0.19</v>
      </c>
      <c r="G256" s="6">
        <v>0.95</v>
      </c>
      <c r="H256" s="6">
        <v>27</v>
      </c>
    </row>
    <row r="257" spans="1:8" ht="18.95" customHeight="1">
      <c r="A257" s="4">
        <v>253</v>
      </c>
      <c r="B257" s="4">
        <v>25256</v>
      </c>
      <c r="C257" s="4">
        <v>1</v>
      </c>
      <c r="D257" s="6">
        <v>0</v>
      </c>
      <c r="E257" s="6">
        <v>-125.69</v>
      </c>
      <c r="F257" s="6">
        <v>-0.34</v>
      </c>
      <c r="G257" s="6">
        <v>0.6</v>
      </c>
      <c r="H257" s="6">
        <v>27</v>
      </c>
    </row>
    <row r="258" spans="1:8" ht="18.95" customHeight="1">
      <c r="A258" s="4">
        <v>254</v>
      </c>
      <c r="B258" s="4">
        <v>25276</v>
      </c>
      <c r="C258" s="4">
        <v>1</v>
      </c>
      <c r="D258" s="6">
        <v>0</v>
      </c>
      <c r="E258" s="6">
        <v>-123.62</v>
      </c>
      <c r="F258" s="6">
        <v>-0.44</v>
      </c>
      <c r="G258" s="6">
        <v>0.4</v>
      </c>
      <c r="H258" s="6">
        <v>27</v>
      </c>
    </row>
    <row r="259" spans="1:8" ht="18.95" customHeight="1">
      <c r="A259" s="4">
        <v>255</v>
      </c>
      <c r="B259" s="4">
        <v>25296</v>
      </c>
      <c r="C259" s="4">
        <v>1</v>
      </c>
      <c r="D259" s="6">
        <v>0</v>
      </c>
      <c r="E259" s="6">
        <v>-121.44</v>
      </c>
      <c r="F259" s="6">
        <v>-0.5</v>
      </c>
      <c r="G259" s="6">
        <v>-7.0000000000000007E-2</v>
      </c>
      <c r="H259" s="6">
        <v>22</v>
      </c>
    </row>
    <row r="260" spans="1:8" ht="18.95" customHeight="1">
      <c r="A260" s="4">
        <v>256</v>
      </c>
      <c r="B260" s="4">
        <v>25316</v>
      </c>
      <c r="C260" s="4">
        <v>1</v>
      </c>
      <c r="D260" s="6">
        <v>0</v>
      </c>
      <c r="E260" s="6">
        <v>-119.31</v>
      </c>
      <c r="F260" s="6">
        <v>-0.52</v>
      </c>
      <c r="G260" s="6">
        <v>0.26</v>
      </c>
      <c r="H260" s="6">
        <v>22</v>
      </c>
    </row>
    <row r="261" spans="1:8" ht="18.95" customHeight="1">
      <c r="A261" s="4">
        <v>257</v>
      </c>
      <c r="B261" s="4">
        <v>25336</v>
      </c>
      <c r="C261" s="4">
        <v>1</v>
      </c>
      <c r="D261" s="6">
        <v>0</v>
      </c>
      <c r="E261" s="6">
        <v>-117.31</v>
      </c>
      <c r="F261" s="6">
        <v>-0.56000000000000005</v>
      </c>
      <c r="G261" s="6">
        <v>0.04</v>
      </c>
      <c r="H261" s="6">
        <v>21</v>
      </c>
    </row>
    <row r="262" spans="1:8" ht="18.95" customHeight="1">
      <c r="A262" s="4">
        <v>258</v>
      </c>
      <c r="B262" s="4">
        <v>25356</v>
      </c>
      <c r="C262" s="4">
        <v>1</v>
      </c>
      <c r="D262" s="6">
        <v>0</v>
      </c>
      <c r="E262" s="6">
        <v>-115.56</v>
      </c>
      <c r="F262" s="6">
        <v>-0.56999999999999995</v>
      </c>
      <c r="G262" s="6">
        <v>0.09</v>
      </c>
      <c r="H262" s="6">
        <v>21</v>
      </c>
    </row>
    <row r="263" spans="1:8" ht="18.95" customHeight="1">
      <c r="A263" s="4">
        <v>259</v>
      </c>
      <c r="B263" s="4">
        <v>25376</v>
      </c>
      <c r="C263" s="4">
        <v>1</v>
      </c>
      <c r="D263" s="6">
        <v>0</v>
      </c>
      <c r="E263" s="6">
        <v>-113.94</v>
      </c>
      <c r="F263" s="6">
        <v>-0.59</v>
      </c>
      <c r="G263" s="6">
        <v>0.17</v>
      </c>
      <c r="H263" s="6">
        <v>21</v>
      </c>
    </row>
    <row r="264" spans="1:8" ht="18.95" customHeight="1">
      <c r="A264" s="4">
        <v>260</v>
      </c>
      <c r="B264" s="4">
        <v>25396</v>
      </c>
      <c r="C264" s="4">
        <v>1</v>
      </c>
      <c r="D264" s="6">
        <v>0</v>
      </c>
      <c r="E264" s="6">
        <v>-112.5</v>
      </c>
      <c r="F264" s="6">
        <v>-0.57999999999999996</v>
      </c>
      <c r="G264" s="6">
        <v>-0.19</v>
      </c>
      <c r="H264" s="6">
        <v>20</v>
      </c>
    </row>
    <row r="265" spans="1:8" ht="18.95" customHeight="1">
      <c r="A265" s="4">
        <v>261</v>
      </c>
      <c r="B265" s="4">
        <v>25416</v>
      </c>
      <c r="C265" s="4">
        <v>1</v>
      </c>
      <c r="D265" s="6">
        <v>0</v>
      </c>
      <c r="E265" s="6">
        <v>-111.12</v>
      </c>
      <c r="F265" s="6">
        <v>-0.62</v>
      </c>
      <c r="G265" s="6">
        <v>0.01</v>
      </c>
      <c r="H265" s="6">
        <v>20</v>
      </c>
    </row>
    <row r="266" spans="1:8" ht="18.95" customHeight="1">
      <c r="A266" s="4">
        <v>262</v>
      </c>
      <c r="B266" s="4">
        <v>25436</v>
      </c>
      <c r="C266" s="4">
        <v>1</v>
      </c>
      <c r="D266" s="6">
        <v>0</v>
      </c>
      <c r="E266" s="6">
        <v>-109.94</v>
      </c>
      <c r="F266" s="6">
        <v>-0.64</v>
      </c>
      <c r="G266" s="6">
        <v>0.06</v>
      </c>
      <c r="H266" s="6">
        <v>18</v>
      </c>
    </row>
    <row r="267" spans="1:8" ht="18.95" customHeight="1">
      <c r="A267" s="4">
        <v>263</v>
      </c>
      <c r="B267" s="4">
        <v>25456</v>
      </c>
      <c r="C267" s="4">
        <v>1</v>
      </c>
      <c r="D267" s="6">
        <v>0</v>
      </c>
      <c r="E267" s="6">
        <v>-108.81</v>
      </c>
      <c r="F267" s="6">
        <v>-0.64</v>
      </c>
      <c r="G267" s="6">
        <v>0.06</v>
      </c>
      <c r="H267" s="6">
        <v>18</v>
      </c>
    </row>
    <row r="268" spans="1:8" ht="18.95" customHeight="1">
      <c r="A268" s="4">
        <v>264</v>
      </c>
      <c r="B268" s="4">
        <v>25476</v>
      </c>
      <c r="C268" s="4">
        <v>1</v>
      </c>
      <c r="D268" s="6">
        <v>0</v>
      </c>
      <c r="E268" s="6">
        <v>-107.81</v>
      </c>
      <c r="F268" s="6">
        <v>-0.63</v>
      </c>
      <c r="G268" s="6">
        <v>0.03</v>
      </c>
      <c r="H268" s="6">
        <v>18</v>
      </c>
    </row>
    <row r="269" spans="1:8" ht="18.95" customHeight="1">
      <c r="A269" s="4">
        <v>265</v>
      </c>
      <c r="B269" s="4">
        <v>25496</v>
      </c>
      <c r="C269" s="4">
        <v>1</v>
      </c>
      <c r="D269" s="6">
        <v>0</v>
      </c>
      <c r="E269" s="6">
        <v>-106.87</v>
      </c>
      <c r="F269" s="6">
        <v>-0.65</v>
      </c>
      <c r="G269" s="6">
        <v>-0.23</v>
      </c>
      <c r="H269" s="6">
        <v>18</v>
      </c>
    </row>
    <row r="270" spans="1:8" ht="18.95" customHeight="1">
      <c r="A270" s="4">
        <v>266</v>
      </c>
      <c r="B270" s="4">
        <v>25516</v>
      </c>
      <c r="C270" s="4">
        <v>1</v>
      </c>
      <c r="D270" s="6">
        <v>0</v>
      </c>
      <c r="E270" s="6">
        <v>-106.06</v>
      </c>
      <c r="F270" s="6">
        <v>-0.64</v>
      </c>
      <c r="G270" s="6">
        <v>-0.16</v>
      </c>
      <c r="H270" s="6">
        <v>18</v>
      </c>
    </row>
    <row r="271" spans="1:8" ht="18.95" customHeight="1">
      <c r="A271" s="4">
        <v>267</v>
      </c>
      <c r="B271" s="4">
        <v>25536</v>
      </c>
      <c r="C271" s="4">
        <v>1</v>
      </c>
      <c r="D271" s="6">
        <v>0</v>
      </c>
      <c r="E271" s="6">
        <v>-105.31</v>
      </c>
      <c r="F271" s="6">
        <v>-0.65</v>
      </c>
      <c r="G271" s="6">
        <v>-0.1</v>
      </c>
      <c r="H271" s="6">
        <v>15</v>
      </c>
    </row>
    <row r="272" spans="1:8" ht="18.95" customHeight="1">
      <c r="A272" s="4">
        <v>268</v>
      </c>
      <c r="B272" s="4">
        <v>25556</v>
      </c>
      <c r="C272" s="4">
        <v>1</v>
      </c>
      <c r="D272" s="6">
        <v>0</v>
      </c>
      <c r="E272" s="6">
        <v>-104.62</v>
      </c>
      <c r="F272" s="6">
        <v>-0.63</v>
      </c>
      <c r="G272" s="6">
        <v>0.08</v>
      </c>
      <c r="H272" s="6">
        <v>15</v>
      </c>
    </row>
    <row r="273" spans="1:8" ht="18.95" customHeight="1">
      <c r="A273" s="4">
        <v>269</v>
      </c>
      <c r="B273" s="4">
        <v>25576</v>
      </c>
      <c r="C273" s="4">
        <v>1</v>
      </c>
      <c r="D273" s="6">
        <v>0</v>
      </c>
      <c r="E273" s="6">
        <v>-104</v>
      </c>
      <c r="F273" s="6">
        <v>-0.62</v>
      </c>
      <c r="G273" s="6">
        <v>0.01</v>
      </c>
      <c r="H273" s="6">
        <v>15</v>
      </c>
    </row>
    <row r="274" spans="1:8" ht="18.95" customHeight="1">
      <c r="A274" s="4">
        <v>270</v>
      </c>
      <c r="B274" s="4">
        <v>25596</v>
      </c>
      <c r="C274" s="4">
        <v>1</v>
      </c>
      <c r="D274" s="6">
        <v>0</v>
      </c>
      <c r="E274" s="6">
        <v>-103.37</v>
      </c>
      <c r="F274" s="6">
        <v>-0.66</v>
      </c>
      <c r="G274" s="6">
        <v>0.13</v>
      </c>
      <c r="H274" s="6">
        <v>17</v>
      </c>
    </row>
    <row r="275" spans="1:8" ht="18.95" customHeight="1">
      <c r="A275" s="4">
        <v>271</v>
      </c>
      <c r="B275" s="4">
        <v>25616</v>
      </c>
      <c r="C275" s="4">
        <v>1</v>
      </c>
      <c r="D275" s="6">
        <v>0</v>
      </c>
      <c r="E275" s="6">
        <v>-102.87</v>
      </c>
      <c r="F275" s="6">
        <v>-0.61</v>
      </c>
      <c r="G275" s="6">
        <v>0.1</v>
      </c>
      <c r="H275" s="6">
        <v>17</v>
      </c>
    </row>
    <row r="276" spans="1:8" ht="18.95" customHeight="1">
      <c r="A276" s="4">
        <v>272</v>
      </c>
      <c r="B276" s="4">
        <v>25636</v>
      </c>
      <c r="C276" s="4">
        <v>1</v>
      </c>
      <c r="D276" s="6">
        <v>0</v>
      </c>
      <c r="E276" s="6">
        <v>-102.37</v>
      </c>
      <c r="F276" s="6">
        <v>-0.61</v>
      </c>
      <c r="G276" s="6">
        <v>0.08</v>
      </c>
      <c r="H276" s="6">
        <v>16</v>
      </c>
    </row>
    <row r="277" spans="1:8" ht="18.95" customHeight="1">
      <c r="A277" s="4">
        <v>273</v>
      </c>
      <c r="B277" s="4">
        <v>25656</v>
      </c>
      <c r="C277" s="4">
        <v>1</v>
      </c>
      <c r="D277" s="6">
        <v>0</v>
      </c>
      <c r="E277" s="6">
        <v>-101.94</v>
      </c>
      <c r="F277" s="6">
        <v>-0.6</v>
      </c>
      <c r="G277" s="6">
        <v>0</v>
      </c>
      <c r="H277" s="6">
        <v>16</v>
      </c>
    </row>
    <row r="278" spans="1:8" ht="18.95" customHeight="1">
      <c r="A278" s="4">
        <v>274</v>
      </c>
      <c r="B278" s="4">
        <v>25676</v>
      </c>
      <c r="C278" s="4">
        <v>1</v>
      </c>
      <c r="D278" s="6">
        <v>0</v>
      </c>
      <c r="E278" s="6">
        <v>-101.56</v>
      </c>
      <c r="F278" s="6">
        <v>-0.6</v>
      </c>
      <c r="G278" s="6">
        <v>-0.06</v>
      </c>
      <c r="H278" s="6">
        <v>16</v>
      </c>
    </row>
    <row r="279" spans="1:8" ht="18.95" customHeight="1">
      <c r="A279" s="4">
        <v>275</v>
      </c>
      <c r="B279" s="4">
        <v>25696</v>
      </c>
      <c r="C279" s="4">
        <v>1</v>
      </c>
      <c r="D279" s="6">
        <v>0</v>
      </c>
      <c r="E279" s="6">
        <v>-101.25</v>
      </c>
      <c r="F279" s="6">
        <v>-0.55000000000000004</v>
      </c>
      <c r="G279" s="6">
        <v>0.12</v>
      </c>
      <c r="H279" s="6">
        <v>20</v>
      </c>
    </row>
    <row r="280" spans="1:8" ht="18.95" customHeight="1">
      <c r="A280" s="4">
        <v>276</v>
      </c>
      <c r="B280" s="4">
        <v>25716</v>
      </c>
      <c r="C280" s="4">
        <v>1</v>
      </c>
      <c r="D280" s="6">
        <v>0</v>
      </c>
      <c r="E280" s="6">
        <v>-100.94</v>
      </c>
      <c r="F280" s="6">
        <v>-0.55000000000000004</v>
      </c>
      <c r="G280" s="6">
        <v>0</v>
      </c>
      <c r="H280" s="6">
        <v>20</v>
      </c>
    </row>
    <row r="281" spans="1:8" ht="18.95" customHeight="1">
      <c r="A281" s="4">
        <v>277</v>
      </c>
      <c r="B281" s="4">
        <v>25736</v>
      </c>
      <c r="C281" s="4">
        <v>1</v>
      </c>
      <c r="D281" s="6">
        <v>0</v>
      </c>
      <c r="E281" s="6">
        <v>-100.62</v>
      </c>
      <c r="F281" s="6">
        <v>-0.53</v>
      </c>
      <c r="G281" s="6">
        <v>0.04</v>
      </c>
      <c r="H281" s="6">
        <v>22</v>
      </c>
    </row>
    <row r="282" spans="1:8" ht="18.95" customHeight="1">
      <c r="A282" s="4">
        <v>278</v>
      </c>
      <c r="B282" s="4">
        <v>25756</v>
      </c>
      <c r="C282" s="4">
        <v>1</v>
      </c>
      <c r="D282" s="6">
        <v>0</v>
      </c>
      <c r="E282" s="6">
        <v>-100.31</v>
      </c>
      <c r="F282" s="6">
        <v>-0.52</v>
      </c>
      <c r="G282" s="6">
        <v>0.19</v>
      </c>
      <c r="H282" s="6">
        <v>22</v>
      </c>
    </row>
    <row r="283" spans="1:8" ht="18.95" customHeight="1">
      <c r="A283" s="4">
        <v>279</v>
      </c>
      <c r="B283" s="4">
        <v>25776</v>
      </c>
      <c r="C283" s="4">
        <v>1</v>
      </c>
      <c r="D283" s="6">
        <v>0</v>
      </c>
      <c r="E283" s="6">
        <v>-100.06</v>
      </c>
      <c r="F283" s="6">
        <v>-0.49</v>
      </c>
      <c r="G283" s="6">
        <v>0.08</v>
      </c>
      <c r="H283" s="6">
        <v>22</v>
      </c>
    </row>
    <row r="284" spans="1:8" ht="18.95" customHeight="1">
      <c r="A284" s="4">
        <v>280</v>
      </c>
      <c r="B284" s="4">
        <v>25796</v>
      </c>
      <c r="C284" s="4">
        <v>1</v>
      </c>
      <c r="D284" s="6">
        <v>0</v>
      </c>
      <c r="E284" s="6">
        <v>-99.81</v>
      </c>
      <c r="F284" s="6">
        <v>-0.47</v>
      </c>
      <c r="G284" s="6">
        <v>0.16</v>
      </c>
      <c r="H284" s="6">
        <v>26</v>
      </c>
    </row>
    <row r="285" spans="1:8" ht="18.95" customHeight="1">
      <c r="A285" s="4">
        <v>281</v>
      </c>
      <c r="B285" s="4">
        <v>25816</v>
      </c>
      <c r="C285" s="4">
        <v>1</v>
      </c>
      <c r="D285" s="6">
        <v>0</v>
      </c>
      <c r="E285" s="6">
        <v>-99.62</v>
      </c>
      <c r="F285" s="6">
        <v>-0.45</v>
      </c>
      <c r="G285" s="6">
        <v>0.04</v>
      </c>
      <c r="H285" s="6">
        <v>26</v>
      </c>
    </row>
    <row r="286" spans="1:8" ht="18.95" customHeight="1">
      <c r="A286" s="4">
        <v>282</v>
      </c>
      <c r="B286" s="4">
        <v>25836</v>
      </c>
      <c r="C286" s="4">
        <v>1</v>
      </c>
      <c r="D286" s="6">
        <v>0</v>
      </c>
      <c r="E286" s="6">
        <v>-99.44</v>
      </c>
      <c r="F286" s="6">
        <v>-0.44</v>
      </c>
      <c r="G286" s="6">
        <v>0.19</v>
      </c>
      <c r="H286" s="6">
        <v>30</v>
      </c>
    </row>
    <row r="287" spans="1:8" ht="18.95" customHeight="1">
      <c r="A287" s="4">
        <v>283</v>
      </c>
      <c r="B287" s="4">
        <v>25856</v>
      </c>
      <c r="C287" s="4">
        <v>1</v>
      </c>
      <c r="D287" s="6">
        <v>0</v>
      </c>
      <c r="E287" s="6">
        <v>-99.25</v>
      </c>
      <c r="F287" s="6">
        <v>-0.42</v>
      </c>
      <c r="G287" s="6">
        <v>0.02</v>
      </c>
      <c r="H287" s="6">
        <v>30</v>
      </c>
    </row>
    <row r="288" spans="1:8" ht="18.95" customHeight="1">
      <c r="A288" s="4">
        <v>284</v>
      </c>
      <c r="B288" s="4">
        <v>25876</v>
      </c>
      <c r="C288" s="4">
        <v>1</v>
      </c>
      <c r="D288" s="6">
        <v>0</v>
      </c>
      <c r="E288" s="6">
        <v>-99.06</v>
      </c>
      <c r="F288" s="6">
        <v>-0.4</v>
      </c>
      <c r="G288" s="6">
        <v>0.1</v>
      </c>
      <c r="H288" s="6">
        <v>30</v>
      </c>
    </row>
    <row r="289" spans="1:8" ht="18.95" customHeight="1">
      <c r="A289" s="4">
        <v>285</v>
      </c>
      <c r="B289" s="4">
        <v>25896</v>
      </c>
      <c r="C289" s="4">
        <v>1</v>
      </c>
      <c r="D289" s="6">
        <v>0</v>
      </c>
      <c r="E289" s="6">
        <v>-98.94</v>
      </c>
      <c r="F289" s="6">
        <v>-0.38</v>
      </c>
      <c r="G289" s="6">
        <v>0.12</v>
      </c>
      <c r="H289" s="6">
        <v>34</v>
      </c>
    </row>
    <row r="290" spans="1:8" ht="18.95" customHeight="1">
      <c r="A290" s="4">
        <v>286</v>
      </c>
      <c r="B290" s="4">
        <v>25916</v>
      </c>
      <c r="C290" s="4">
        <v>1</v>
      </c>
      <c r="D290" s="6">
        <v>0</v>
      </c>
      <c r="E290" s="6">
        <v>-98.81</v>
      </c>
      <c r="F290" s="6">
        <v>-0.35</v>
      </c>
      <c r="G290" s="6">
        <v>7.0000000000000007E-2</v>
      </c>
      <c r="H290" s="6">
        <v>34</v>
      </c>
    </row>
    <row r="291" spans="1:8" ht="18.95" customHeight="1">
      <c r="A291" s="4">
        <v>287</v>
      </c>
      <c r="B291" s="4">
        <v>25936</v>
      </c>
      <c r="C291" s="4">
        <v>1</v>
      </c>
      <c r="D291" s="6">
        <v>0</v>
      </c>
      <c r="E291" s="6">
        <v>-98.81</v>
      </c>
      <c r="F291" s="6">
        <v>-0.31</v>
      </c>
      <c r="G291" s="6">
        <v>-0.04</v>
      </c>
      <c r="H291" s="6">
        <v>37</v>
      </c>
    </row>
    <row r="292" spans="1:8" ht="18.95" customHeight="1">
      <c r="A292" s="4">
        <v>288</v>
      </c>
      <c r="B292" s="4">
        <v>25956</v>
      </c>
      <c r="C292" s="4">
        <v>1</v>
      </c>
      <c r="D292" s="6">
        <v>0</v>
      </c>
      <c r="E292" s="6">
        <v>-98.69</v>
      </c>
      <c r="F292" s="6">
        <v>-0.3</v>
      </c>
      <c r="G292" s="6">
        <v>0.11</v>
      </c>
      <c r="H292" s="6">
        <v>37</v>
      </c>
    </row>
    <row r="293" spans="1:8" ht="18.95" customHeight="1">
      <c r="A293" s="4">
        <v>289</v>
      </c>
      <c r="B293" s="4">
        <v>25976</v>
      </c>
      <c r="C293" s="4">
        <v>1</v>
      </c>
      <c r="D293" s="6">
        <v>0</v>
      </c>
      <c r="E293" s="6">
        <v>-98.69</v>
      </c>
      <c r="F293" s="6">
        <v>-0.26</v>
      </c>
      <c r="G293" s="6">
        <v>0.06</v>
      </c>
      <c r="H293" s="6">
        <v>37</v>
      </c>
    </row>
    <row r="294" spans="1:8" ht="18.95" customHeight="1">
      <c r="A294" s="4">
        <v>290</v>
      </c>
      <c r="B294" s="4">
        <v>25996</v>
      </c>
      <c r="C294" s="4">
        <v>1</v>
      </c>
      <c r="D294" s="6">
        <v>0</v>
      </c>
      <c r="E294" s="6">
        <v>-98.69</v>
      </c>
      <c r="F294" s="6">
        <v>-0.24</v>
      </c>
      <c r="G294" s="6">
        <v>0.06</v>
      </c>
      <c r="H294" s="6">
        <v>39</v>
      </c>
    </row>
    <row r="295" spans="1:8" ht="18.95" customHeight="1">
      <c r="A295" s="4">
        <v>291</v>
      </c>
      <c r="B295" s="4">
        <v>26016</v>
      </c>
      <c r="C295" s="4">
        <v>1</v>
      </c>
      <c r="D295" s="6">
        <v>0</v>
      </c>
      <c r="E295" s="6">
        <v>-98.69</v>
      </c>
      <c r="F295" s="6">
        <v>-0.2</v>
      </c>
      <c r="G295" s="6">
        <v>0.02</v>
      </c>
      <c r="H295" s="6">
        <v>39</v>
      </c>
    </row>
    <row r="296" spans="1:8" ht="18.95" customHeight="1">
      <c r="A296" s="4">
        <v>292</v>
      </c>
      <c r="B296" s="4">
        <v>26037</v>
      </c>
      <c r="C296" s="4">
        <v>1</v>
      </c>
      <c r="D296" s="6">
        <v>0</v>
      </c>
      <c r="E296" s="6">
        <v>-98.62</v>
      </c>
      <c r="F296" s="6">
        <v>-0.18</v>
      </c>
      <c r="G296" s="6">
        <v>0.17</v>
      </c>
      <c r="H296" s="6">
        <v>46</v>
      </c>
    </row>
    <row r="297" spans="1:8" ht="18.95" customHeight="1">
      <c r="A297" s="4">
        <v>293</v>
      </c>
      <c r="B297" s="4">
        <v>26057</v>
      </c>
      <c r="C297" s="4">
        <v>1</v>
      </c>
      <c r="D297" s="6">
        <v>0</v>
      </c>
      <c r="E297" s="6">
        <v>-98.62</v>
      </c>
      <c r="F297" s="6">
        <v>-0.16</v>
      </c>
      <c r="G297" s="6">
        <v>0.12</v>
      </c>
      <c r="H297" s="6">
        <v>46</v>
      </c>
    </row>
    <row r="298" spans="1:8" ht="18.95" customHeight="1">
      <c r="A298" s="4">
        <v>294</v>
      </c>
      <c r="B298" s="4">
        <v>26077</v>
      </c>
      <c r="C298" s="4">
        <v>1</v>
      </c>
      <c r="D298" s="6">
        <v>0</v>
      </c>
      <c r="E298" s="6">
        <v>-98.62</v>
      </c>
      <c r="F298" s="6">
        <v>-0.13</v>
      </c>
      <c r="G298" s="6">
        <v>-0.01</v>
      </c>
      <c r="H298" s="6">
        <v>46</v>
      </c>
    </row>
    <row r="299" spans="1:8" ht="18.95" customHeight="1">
      <c r="A299" s="4">
        <v>295</v>
      </c>
      <c r="B299" s="4">
        <v>26097</v>
      </c>
      <c r="C299" s="4">
        <v>1</v>
      </c>
      <c r="D299" s="6">
        <v>0</v>
      </c>
      <c r="E299" s="6">
        <v>-98.62</v>
      </c>
      <c r="F299" s="6">
        <v>-0.1</v>
      </c>
      <c r="G299" s="6">
        <v>0.03</v>
      </c>
      <c r="H299" s="6">
        <v>47</v>
      </c>
    </row>
    <row r="300" spans="1:8" ht="18.95" customHeight="1">
      <c r="A300" s="4">
        <v>296</v>
      </c>
      <c r="B300" s="4">
        <v>26117</v>
      </c>
      <c r="C300" s="4">
        <v>1</v>
      </c>
      <c r="D300" s="6">
        <v>0</v>
      </c>
      <c r="E300" s="6">
        <v>-98.62</v>
      </c>
      <c r="F300" s="6">
        <v>-0.08</v>
      </c>
      <c r="G300" s="6">
        <v>0.05</v>
      </c>
      <c r="H300" s="6">
        <v>47</v>
      </c>
    </row>
    <row r="301" spans="1:8" ht="18.95" customHeight="1">
      <c r="A301" s="4">
        <v>297</v>
      </c>
      <c r="B301" s="4">
        <v>26137</v>
      </c>
      <c r="C301" s="4">
        <v>1</v>
      </c>
      <c r="D301" s="6">
        <v>0</v>
      </c>
      <c r="E301" s="6">
        <v>-98.62</v>
      </c>
      <c r="F301" s="6">
        <v>-0.05</v>
      </c>
      <c r="G301" s="6">
        <v>-0.08</v>
      </c>
      <c r="H301" s="6">
        <v>53</v>
      </c>
    </row>
    <row r="302" spans="1:8" ht="18.95" customHeight="1">
      <c r="A302" s="4">
        <v>298</v>
      </c>
      <c r="B302" s="4">
        <v>26157</v>
      </c>
      <c r="C302" s="4">
        <v>1</v>
      </c>
      <c r="D302" s="6">
        <v>0</v>
      </c>
      <c r="E302" s="6">
        <v>-98.69</v>
      </c>
      <c r="F302" s="6">
        <v>-0.03</v>
      </c>
      <c r="G302" s="6">
        <v>-0.03</v>
      </c>
      <c r="H302" s="6">
        <v>53</v>
      </c>
    </row>
    <row r="303" spans="1:8" ht="18.95" customHeight="1">
      <c r="A303" s="4">
        <v>299</v>
      </c>
      <c r="B303" s="4">
        <v>26177</v>
      </c>
      <c r="C303" s="4">
        <v>1</v>
      </c>
      <c r="D303" s="6">
        <v>0</v>
      </c>
      <c r="E303" s="6">
        <v>-98.69</v>
      </c>
      <c r="F303" s="6">
        <v>0</v>
      </c>
      <c r="G303" s="6">
        <v>0.1</v>
      </c>
      <c r="H303" s="6">
        <v>53</v>
      </c>
    </row>
    <row r="304" spans="1:8" ht="18.95" customHeight="1">
      <c r="A304" s="4">
        <v>300</v>
      </c>
      <c r="B304" s="4">
        <v>26198</v>
      </c>
      <c r="C304" s="4">
        <v>1</v>
      </c>
      <c r="D304" s="6">
        <v>0</v>
      </c>
      <c r="E304" s="6">
        <v>-98.75</v>
      </c>
      <c r="F304" s="6">
        <v>0.02</v>
      </c>
      <c r="G304" s="6">
        <v>0</v>
      </c>
      <c r="H304" s="6">
        <v>59</v>
      </c>
    </row>
    <row r="305" spans="1:8" ht="18.95" customHeight="1">
      <c r="A305" s="4">
        <v>301</v>
      </c>
      <c r="B305" s="4">
        <v>26218</v>
      </c>
      <c r="C305" s="4">
        <v>1</v>
      </c>
      <c r="D305" s="6">
        <v>0</v>
      </c>
      <c r="E305" s="6">
        <v>-98.75</v>
      </c>
      <c r="F305" s="6">
        <v>0.04</v>
      </c>
      <c r="G305" s="6">
        <v>7.0000000000000007E-2</v>
      </c>
      <c r="H305" s="6">
        <v>59</v>
      </c>
    </row>
    <row r="306" spans="1:8" ht="18.95" customHeight="1">
      <c r="A306" s="4">
        <v>302</v>
      </c>
      <c r="B306" s="4">
        <v>26238</v>
      </c>
      <c r="C306" s="4">
        <v>1</v>
      </c>
      <c r="D306" s="6">
        <v>0</v>
      </c>
      <c r="E306" s="6">
        <v>-98.81</v>
      </c>
      <c r="F306" s="6">
        <v>7.0000000000000007E-2</v>
      </c>
      <c r="G306" s="6">
        <v>-0.12</v>
      </c>
      <c r="H306" s="6">
        <v>60</v>
      </c>
    </row>
    <row r="307" spans="1:8" ht="18.95" customHeight="1">
      <c r="A307" s="4">
        <v>303</v>
      </c>
      <c r="B307" s="4">
        <v>26258</v>
      </c>
      <c r="C307" s="4">
        <v>1</v>
      </c>
      <c r="D307" s="6">
        <v>0</v>
      </c>
      <c r="E307" s="6">
        <v>-98.87</v>
      </c>
      <c r="F307" s="6">
        <v>0.1</v>
      </c>
      <c r="G307" s="6">
        <v>-0.01</v>
      </c>
      <c r="H307" s="6">
        <v>60</v>
      </c>
    </row>
    <row r="308" spans="1:8" ht="18.95" customHeight="1">
      <c r="A308" s="4">
        <v>304</v>
      </c>
      <c r="B308" s="4">
        <v>26278</v>
      </c>
      <c r="C308" s="4">
        <v>1</v>
      </c>
      <c r="D308" s="6">
        <v>0</v>
      </c>
      <c r="E308" s="6">
        <v>-98.87</v>
      </c>
      <c r="F308" s="6">
        <v>0.12</v>
      </c>
      <c r="G308" s="6">
        <v>0.08</v>
      </c>
      <c r="H308" s="6">
        <v>60</v>
      </c>
    </row>
    <row r="309" spans="1:8" ht="18.95" customHeight="1">
      <c r="A309" s="4">
        <v>305</v>
      </c>
      <c r="B309" s="4">
        <v>26298</v>
      </c>
      <c r="C309" s="4">
        <v>1</v>
      </c>
      <c r="D309" s="6">
        <v>0</v>
      </c>
      <c r="E309" s="6">
        <v>-98.94</v>
      </c>
      <c r="F309" s="6">
        <v>0.15</v>
      </c>
      <c r="G309" s="6">
        <v>-0.1</v>
      </c>
      <c r="H309" s="6">
        <v>63</v>
      </c>
    </row>
    <row r="310" spans="1:8" ht="18.95" customHeight="1">
      <c r="A310" s="4">
        <v>306</v>
      </c>
      <c r="B310" s="4">
        <v>26318</v>
      </c>
      <c r="C310" s="4">
        <v>1</v>
      </c>
      <c r="D310" s="6">
        <v>0</v>
      </c>
      <c r="E310" s="6">
        <v>-99</v>
      </c>
      <c r="F310" s="6">
        <v>0.16</v>
      </c>
      <c r="G310" s="6">
        <v>0.11</v>
      </c>
      <c r="H310" s="6">
        <v>63</v>
      </c>
    </row>
    <row r="311" spans="1:8" ht="18.95" customHeight="1">
      <c r="A311" s="4">
        <v>307</v>
      </c>
      <c r="B311" s="4">
        <v>26338</v>
      </c>
      <c r="C311" s="4">
        <v>1</v>
      </c>
      <c r="D311" s="6">
        <v>0</v>
      </c>
      <c r="E311" s="6">
        <v>-99.06</v>
      </c>
      <c r="F311" s="6">
        <v>0.2</v>
      </c>
      <c r="G311" s="6">
        <v>0.12</v>
      </c>
      <c r="H311" s="6">
        <v>66</v>
      </c>
    </row>
    <row r="312" spans="1:8" ht="18.95" customHeight="1">
      <c r="A312" s="4">
        <v>308</v>
      </c>
      <c r="B312" s="4">
        <v>26358</v>
      </c>
      <c r="C312" s="4">
        <v>1</v>
      </c>
      <c r="D312" s="6">
        <v>0</v>
      </c>
      <c r="E312" s="6">
        <v>-99.12</v>
      </c>
      <c r="F312" s="6">
        <v>0.21</v>
      </c>
      <c r="G312" s="6">
        <v>-0.11</v>
      </c>
      <c r="H312" s="6">
        <v>66</v>
      </c>
    </row>
    <row r="313" spans="1:8" ht="18.95" customHeight="1">
      <c r="A313" s="4">
        <v>309</v>
      </c>
      <c r="B313" s="4">
        <v>26378</v>
      </c>
      <c r="C313" s="4">
        <v>1</v>
      </c>
      <c r="D313" s="6">
        <v>0</v>
      </c>
      <c r="E313" s="6">
        <v>-99.25</v>
      </c>
      <c r="F313" s="6">
        <v>0.24</v>
      </c>
      <c r="G313" s="6">
        <v>0.01</v>
      </c>
      <c r="H313" s="6">
        <v>66</v>
      </c>
    </row>
    <row r="314" spans="1:8" ht="18.95" customHeight="1">
      <c r="A314" s="4">
        <v>310</v>
      </c>
      <c r="B314" s="4">
        <v>26398</v>
      </c>
      <c r="C314" s="4">
        <v>1</v>
      </c>
      <c r="D314" s="6">
        <v>0</v>
      </c>
      <c r="E314" s="6">
        <v>-99.37</v>
      </c>
      <c r="F314" s="6">
        <v>0.26</v>
      </c>
      <c r="G314" s="6">
        <v>-0.1</v>
      </c>
      <c r="H314" s="6">
        <v>69</v>
      </c>
    </row>
    <row r="315" spans="1:8" ht="18.95" customHeight="1">
      <c r="A315" s="4">
        <v>311</v>
      </c>
      <c r="B315" s="4">
        <v>26418</v>
      </c>
      <c r="C315" s="4">
        <v>1</v>
      </c>
      <c r="D315" s="6">
        <v>0</v>
      </c>
      <c r="E315" s="6">
        <v>-99.44</v>
      </c>
      <c r="F315" s="6">
        <v>0.28000000000000003</v>
      </c>
      <c r="G315" s="6">
        <v>0.19</v>
      </c>
      <c r="H315" s="6">
        <v>69</v>
      </c>
    </row>
    <row r="316" spans="1:8" ht="18.95" customHeight="1">
      <c r="A316" s="4">
        <v>312</v>
      </c>
      <c r="B316" s="4">
        <v>26438</v>
      </c>
      <c r="C316" s="4">
        <v>1</v>
      </c>
      <c r="D316" s="6">
        <v>0</v>
      </c>
      <c r="E316" s="6">
        <v>-99.56</v>
      </c>
      <c r="F316" s="6">
        <v>0.28999999999999998</v>
      </c>
      <c r="G316" s="6">
        <v>0</v>
      </c>
      <c r="H316" s="6">
        <v>73</v>
      </c>
    </row>
    <row r="317" spans="1:8" ht="18.95" customHeight="1">
      <c r="A317" s="4">
        <v>313</v>
      </c>
      <c r="B317" s="4">
        <v>26458</v>
      </c>
      <c r="C317" s="4">
        <v>1</v>
      </c>
      <c r="D317" s="6">
        <v>0</v>
      </c>
      <c r="E317" s="6">
        <v>-99.69</v>
      </c>
      <c r="F317" s="6">
        <v>0.33</v>
      </c>
      <c r="G317" s="6">
        <v>0.13</v>
      </c>
      <c r="H317" s="6">
        <v>73</v>
      </c>
    </row>
    <row r="318" spans="1:8" ht="18.95" customHeight="1">
      <c r="A318" s="4">
        <v>314</v>
      </c>
      <c r="B318" s="4">
        <v>26478</v>
      </c>
      <c r="C318" s="4">
        <v>1</v>
      </c>
      <c r="D318" s="6">
        <v>0</v>
      </c>
      <c r="E318" s="6">
        <v>-99.87</v>
      </c>
      <c r="F318" s="6">
        <v>0.35</v>
      </c>
      <c r="G318" s="6">
        <v>0.11</v>
      </c>
      <c r="H318" s="6">
        <v>73</v>
      </c>
    </row>
    <row r="319" spans="1:8" ht="18.95" customHeight="1">
      <c r="A319" s="4">
        <v>315</v>
      </c>
      <c r="B319" s="4">
        <v>26498</v>
      </c>
      <c r="C319" s="4">
        <v>1</v>
      </c>
      <c r="D319" s="6">
        <v>0</v>
      </c>
      <c r="E319" s="6">
        <v>-100</v>
      </c>
      <c r="F319" s="6">
        <v>0.38</v>
      </c>
      <c r="G319" s="6">
        <v>-7.0000000000000007E-2</v>
      </c>
      <c r="H319" s="6">
        <v>74</v>
      </c>
    </row>
    <row r="320" spans="1:8" ht="18.95" customHeight="1">
      <c r="A320" s="4">
        <v>316</v>
      </c>
      <c r="B320" s="4">
        <v>26518</v>
      </c>
      <c r="C320" s="4">
        <v>1</v>
      </c>
      <c r="D320" s="6">
        <v>0</v>
      </c>
      <c r="E320" s="6">
        <v>-100.19</v>
      </c>
      <c r="F320" s="6">
        <v>0.4</v>
      </c>
      <c r="G320" s="6">
        <v>0.11</v>
      </c>
      <c r="H320" s="6">
        <v>74</v>
      </c>
    </row>
    <row r="321" spans="1:8" ht="18.95" customHeight="1">
      <c r="A321" s="4">
        <v>317</v>
      </c>
      <c r="B321" s="4">
        <v>26539</v>
      </c>
      <c r="C321" s="4">
        <v>1</v>
      </c>
      <c r="D321" s="6">
        <v>0</v>
      </c>
      <c r="E321" s="6">
        <v>-100.44</v>
      </c>
      <c r="F321" s="6">
        <v>0.4</v>
      </c>
      <c r="G321" s="6">
        <v>-7.0000000000000007E-2</v>
      </c>
      <c r="H321" s="6">
        <v>77</v>
      </c>
    </row>
    <row r="322" spans="1:8" ht="18.95" customHeight="1">
      <c r="A322" s="4">
        <v>318</v>
      </c>
      <c r="B322" s="4">
        <v>26559</v>
      </c>
      <c r="C322" s="4">
        <v>1</v>
      </c>
      <c r="D322" s="6">
        <v>0</v>
      </c>
      <c r="E322" s="6">
        <v>-100.62</v>
      </c>
      <c r="F322" s="6">
        <v>0.43</v>
      </c>
      <c r="G322" s="6">
        <v>0.15</v>
      </c>
      <c r="H322" s="6">
        <v>77</v>
      </c>
    </row>
    <row r="323" spans="1:8" ht="18.95" customHeight="1">
      <c r="A323" s="4">
        <v>319</v>
      </c>
      <c r="B323" s="4">
        <v>26579</v>
      </c>
      <c r="C323" s="4">
        <v>1</v>
      </c>
      <c r="D323" s="6">
        <v>0</v>
      </c>
      <c r="E323" s="6">
        <v>-100.87</v>
      </c>
      <c r="F323" s="6">
        <v>0.46</v>
      </c>
      <c r="G323" s="6">
        <v>-0.08</v>
      </c>
      <c r="H323" s="6">
        <v>77</v>
      </c>
    </row>
    <row r="324" spans="1:8" ht="18.95" customHeight="1">
      <c r="A324" s="4">
        <v>320</v>
      </c>
      <c r="B324" s="4">
        <v>26599</v>
      </c>
      <c r="C324" s="4">
        <v>1</v>
      </c>
      <c r="D324" s="6">
        <v>0</v>
      </c>
      <c r="E324" s="6">
        <v>-101.12</v>
      </c>
      <c r="F324" s="6">
        <v>0.46</v>
      </c>
      <c r="G324" s="6">
        <v>-0.05</v>
      </c>
      <c r="H324" s="6">
        <v>79</v>
      </c>
    </row>
    <row r="325" spans="1:8" ht="18.95" customHeight="1">
      <c r="A325" s="4">
        <v>321</v>
      </c>
      <c r="B325" s="4">
        <v>26619</v>
      </c>
      <c r="C325" s="4">
        <v>1</v>
      </c>
      <c r="D325" s="6">
        <v>0</v>
      </c>
      <c r="E325" s="6">
        <v>-101.44</v>
      </c>
      <c r="F325" s="6">
        <v>0.46</v>
      </c>
      <c r="G325" s="6">
        <v>-0.01</v>
      </c>
      <c r="H325" s="6">
        <v>79</v>
      </c>
    </row>
    <row r="326" spans="1:8" ht="18.95" customHeight="1">
      <c r="A326" s="4">
        <v>322</v>
      </c>
      <c r="B326" s="4">
        <v>26639</v>
      </c>
      <c r="C326" s="4">
        <v>1</v>
      </c>
      <c r="D326" s="6">
        <v>0</v>
      </c>
      <c r="E326" s="6">
        <v>-101.69</v>
      </c>
      <c r="F326" s="6">
        <v>0.47</v>
      </c>
      <c r="G326" s="6">
        <v>-0.09</v>
      </c>
      <c r="H326" s="6">
        <v>80</v>
      </c>
    </row>
    <row r="327" spans="1:8" ht="18.95" customHeight="1">
      <c r="A327" s="4">
        <v>323</v>
      </c>
      <c r="B327" s="4">
        <v>26659</v>
      </c>
      <c r="C327" s="4">
        <v>1</v>
      </c>
      <c r="D327" s="6">
        <v>0</v>
      </c>
      <c r="E327" s="6">
        <v>-102</v>
      </c>
      <c r="F327" s="6">
        <v>0.49</v>
      </c>
      <c r="G327" s="6">
        <v>0.17</v>
      </c>
      <c r="H327" s="6">
        <v>80</v>
      </c>
    </row>
    <row r="328" spans="1:8" ht="18.95" customHeight="1">
      <c r="A328" s="4">
        <v>324</v>
      </c>
      <c r="B328" s="4">
        <v>26679</v>
      </c>
      <c r="C328" s="4">
        <v>1</v>
      </c>
      <c r="D328" s="6">
        <v>0</v>
      </c>
      <c r="E328" s="6">
        <v>-102.31</v>
      </c>
      <c r="F328" s="6">
        <v>0.49</v>
      </c>
      <c r="G328" s="6">
        <v>0.05</v>
      </c>
      <c r="H328" s="6">
        <v>80</v>
      </c>
    </row>
    <row r="329" spans="1:8" ht="18.95" customHeight="1">
      <c r="A329" s="4">
        <v>325</v>
      </c>
      <c r="B329" s="4">
        <v>26699</v>
      </c>
      <c r="C329" s="4">
        <v>1</v>
      </c>
      <c r="D329" s="6">
        <v>0</v>
      </c>
      <c r="E329" s="6">
        <v>-102.69</v>
      </c>
      <c r="F329" s="6">
        <v>0.5</v>
      </c>
      <c r="G329" s="6">
        <v>0</v>
      </c>
      <c r="H329" s="6">
        <v>80</v>
      </c>
    </row>
    <row r="330" spans="1:8" ht="18.95" customHeight="1">
      <c r="A330" s="4">
        <v>326</v>
      </c>
      <c r="B330" s="4">
        <v>26719</v>
      </c>
      <c r="C330" s="4">
        <v>1</v>
      </c>
      <c r="D330" s="6">
        <v>0</v>
      </c>
      <c r="E330" s="6">
        <v>-103.06</v>
      </c>
      <c r="F330" s="6">
        <v>0.52</v>
      </c>
      <c r="G330" s="6">
        <v>0.02</v>
      </c>
      <c r="H330" s="6">
        <v>80</v>
      </c>
    </row>
    <row r="331" spans="1:8" ht="18.95" customHeight="1">
      <c r="A331" s="4">
        <v>327</v>
      </c>
      <c r="B331" s="4">
        <v>26739</v>
      </c>
      <c r="C331" s="4">
        <v>1</v>
      </c>
      <c r="D331" s="6">
        <v>0</v>
      </c>
      <c r="E331" s="6">
        <v>-103.5</v>
      </c>
      <c r="F331" s="6">
        <v>0.55000000000000004</v>
      </c>
      <c r="G331" s="6">
        <v>-0.03</v>
      </c>
      <c r="H331" s="6">
        <v>80</v>
      </c>
    </row>
    <row r="332" spans="1:8" ht="18.95" customHeight="1">
      <c r="A332" s="4">
        <v>328</v>
      </c>
      <c r="B332" s="4">
        <v>26759</v>
      </c>
      <c r="C332" s="4">
        <v>1</v>
      </c>
      <c r="D332" s="6">
        <v>0</v>
      </c>
      <c r="E332" s="6">
        <v>-104</v>
      </c>
      <c r="F332" s="6">
        <v>0.57999999999999996</v>
      </c>
      <c r="G332" s="6">
        <v>-0.06</v>
      </c>
      <c r="H332" s="6">
        <v>80</v>
      </c>
    </row>
    <row r="333" spans="1:8" ht="18.95" customHeight="1">
      <c r="A333" s="4">
        <v>329</v>
      </c>
      <c r="B333" s="4">
        <v>26779</v>
      </c>
      <c r="C333" s="4">
        <v>1</v>
      </c>
      <c r="D333" s="6">
        <v>0</v>
      </c>
      <c r="E333" s="6">
        <v>-104.5</v>
      </c>
      <c r="F333" s="6">
        <v>0.56000000000000005</v>
      </c>
      <c r="G333" s="6">
        <v>-0.21</v>
      </c>
      <c r="H333" s="6">
        <v>80</v>
      </c>
    </row>
    <row r="334" spans="1:8" ht="18.95" customHeight="1">
      <c r="A334" s="4">
        <v>330</v>
      </c>
      <c r="B334" s="4">
        <v>26799</v>
      </c>
      <c r="C334" s="4">
        <v>1</v>
      </c>
      <c r="D334" s="6">
        <v>0</v>
      </c>
      <c r="E334" s="6">
        <v>-105</v>
      </c>
      <c r="F334" s="6">
        <v>0.56999999999999995</v>
      </c>
      <c r="G334" s="6">
        <v>0</v>
      </c>
      <c r="H334" s="6">
        <v>81</v>
      </c>
    </row>
    <row r="335" spans="1:8" ht="18.95" customHeight="1">
      <c r="A335" s="4">
        <v>331</v>
      </c>
      <c r="B335" s="4">
        <v>26819</v>
      </c>
      <c r="C335" s="4">
        <v>1</v>
      </c>
      <c r="D335" s="6">
        <v>0</v>
      </c>
      <c r="E335" s="6">
        <v>-105.56</v>
      </c>
      <c r="F335" s="6">
        <v>0.55000000000000004</v>
      </c>
      <c r="G335" s="6">
        <v>0.1</v>
      </c>
      <c r="H335" s="6">
        <v>81</v>
      </c>
    </row>
    <row r="336" spans="1:8" ht="18.95" customHeight="1">
      <c r="A336" s="4">
        <v>332</v>
      </c>
      <c r="B336" s="4">
        <v>26840</v>
      </c>
      <c r="C336" s="4">
        <v>1</v>
      </c>
      <c r="D336" s="6">
        <v>0</v>
      </c>
      <c r="E336" s="6">
        <v>-106.25</v>
      </c>
      <c r="F336" s="6">
        <v>0.59</v>
      </c>
      <c r="G336" s="6">
        <v>0.12</v>
      </c>
      <c r="H336" s="6">
        <v>86</v>
      </c>
    </row>
    <row r="337" spans="1:8" ht="18.95" customHeight="1">
      <c r="A337" s="4">
        <v>333</v>
      </c>
      <c r="B337" s="4">
        <v>26860</v>
      </c>
      <c r="C337" s="4">
        <v>1</v>
      </c>
      <c r="D337" s="6">
        <v>0</v>
      </c>
      <c r="E337" s="6">
        <v>-106.87</v>
      </c>
      <c r="F337" s="6">
        <v>0.56999999999999995</v>
      </c>
      <c r="G337" s="6">
        <v>-0.16</v>
      </c>
      <c r="H337" s="6">
        <v>86</v>
      </c>
    </row>
    <row r="338" spans="1:8" ht="18.95" customHeight="1">
      <c r="A338" s="4">
        <v>334</v>
      </c>
      <c r="B338" s="4">
        <v>26880</v>
      </c>
      <c r="C338" s="4">
        <v>1</v>
      </c>
      <c r="D338" s="6">
        <v>0</v>
      </c>
      <c r="E338" s="6">
        <v>-107.62</v>
      </c>
      <c r="F338" s="6">
        <v>0.57999999999999996</v>
      </c>
      <c r="G338" s="6">
        <v>-0.1</v>
      </c>
      <c r="H338" s="6">
        <v>86</v>
      </c>
    </row>
    <row r="339" spans="1:8" ht="18.95" customHeight="1">
      <c r="A339" s="4">
        <v>335</v>
      </c>
      <c r="B339" s="4">
        <v>26900</v>
      </c>
      <c r="C339" s="4">
        <v>1</v>
      </c>
      <c r="D339" s="6">
        <v>0</v>
      </c>
      <c r="E339" s="6">
        <v>-108.44</v>
      </c>
      <c r="F339" s="6">
        <v>0.59</v>
      </c>
      <c r="G339" s="6">
        <v>0.3</v>
      </c>
      <c r="H339" s="6">
        <v>85</v>
      </c>
    </row>
    <row r="340" spans="1:8" ht="18.95" customHeight="1">
      <c r="A340" s="4">
        <v>336</v>
      </c>
      <c r="B340" s="4">
        <v>26920</v>
      </c>
      <c r="C340" s="4">
        <v>1</v>
      </c>
      <c r="D340" s="6">
        <v>0</v>
      </c>
      <c r="E340" s="6">
        <v>-109.31</v>
      </c>
      <c r="F340" s="6">
        <v>0.61</v>
      </c>
      <c r="G340" s="6">
        <v>0.24</v>
      </c>
      <c r="H340" s="6">
        <v>85</v>
      </c>
    </row>
    <row r="341" spans="1:8" ht="18.95" customHeight="1">
      <c r="A341" s="4">
        <v>337</v>
      </c>
      <c r="B341" s="4">
        <v>26940</v>
      </c>
      <c r="C341" s="4">
        <v>1</v>
      </c>
      <c r="D341" s="6">
        <v>0</v>
      </c>
      <c r="E341" s="6">
        <v>-110.19</v>
      </c>
      <c r="F341" s="6">
        <v>0.6</v>
      </c>
      <c r="G341" s="6">
        <v>-0.17</v>
      </c>
      <c r="H341" s="6">
        <v>84</v>
      </c>
    </row>
    <row r="342" spans="1:8" ht="18.95" customHeight="1">
      <c r="A342" s="4">
        <v>338</v>
      </c>
      <c r="B342" s="4">
        <v>26960</v>
      </c>
      <c r="C342" s="4">
        <v>1</v>
      </c>
      <c r="D342" s="6">
        <v>0</v>
      </c>
      <c r="E342" s="6">
        <v>-111.19</v>
      </c>
      <c r="F342" s="6">
        <v>0.6</v>
      </c>
      <c r="G342" s="6">
        <v>0.26</v>
      </c>
      <c r="H342" s="6">
        <v>84</v>
      </c>
    </row>
    <row r="343" spans="1:8" ht="18.95" customHeight="1">
      <c r="A343" s="4">
        <v>339</v>
      </c>
      <c r="B343" s="4">
        <v>26980</v>
      </c>
      <c r="C343" s="4">
        <v>1</v>
      </c>
      <c r="D343" s="6">
        <v>0</v>
      </c>
      <c r="E343" s="6">
        <v>-112.37</v>
      </c>
      <c r="F343" s="6">
        <v>0.59</v>
      </c>
      <c r="G343" s="6">
        <v>-0.12</v>
      </c>
      <c r="H343" s="6">
        <v>84</v>
      </c>
    </row>
    <row r="344" spans="1:8" ht="18.95" customHeight="1">
      <c r="A344" s="4">
        <v>340</v>
      </c>
      <c r="B344" s="4">
        <v>27000</v>
      </c>
      <c r="C344" s="4">
        <v>1</v>
      </c>
      <c r="D344" s="6">
        <v>0</v>
      </c>
      <c r="E344" s="6">
        <v>-113.62</v>
      </c>
      <c r="F344" s="6">
        <v>0.62</v>
      </c>
      <c r="G344" s="6">
        <v>0.05</v>
      </c>
      <c r="H344" s="6">
        <v>86</v>
      </c>
    </row>
    <row r="345" spans="1:8" ht="18.95" customHeight="1">
      <c r="A345" s="4">
        <v>341</v>
      </c>
      <c r="B345" s="4">
        <v>27020</v>
      </c>
      <c r="C345" s="4">
        <v>1</v>
      </c>
      <c r="D345" s="6">
        <v>0</v>
      </c>
      <c r="E345" s="6">
        <v>-115.06</v>
      </c>
      <c r="F345" s="6">
        <v>0.57999999999999996</v>
      </c>
      <c r="G345" s="6">
        <v>0.04</v>
      </c>
      <c r="H345" s="6">
        <v>86</v>
      </c>
    </row>
    <row r="346" spans="1:8" ht="18.95" customHeight="1">
      <c r="A346" s="4">
        <v>342</v>
      </c>
      <c r="B346" s="4">
        <v>27040</v>
      </c>
      <c r="C346" s="4">
        <v>1</v>
      </c>
      <c r="D346" s="6">
        <v>0</v>
      </c>
      <c r="E346" s="6">
        <v>-116.56</v>
      </c>
      <c r="F346" s="6">
        <v>0.57999999999999996</v>
      </c>
      <c r="G346" s="6">
        <v>0.02</v>
      </c>
      <c r="H346" s="6">
        <v>81</v>
      </c>
    </row>
    <row r="347" spans="1:8" ht="18.95" customHeight="1">
      <c r="A347" s="4">
        <v>343</v>
      </c>
      <c r="B347" s="4">
        <v>27060</v>
      </c>
      <c r="C347" s="4">
        <v>1</v>
      </c>
      <c r="D347" s="6">
        <v>0</v>
      </c>
      <c r="E347" s="6">
        <v>-118.31</v>
      </c>
      <c r="F347" s="6">
        <v>0.57999999999999996</v>
      </c>
      <c r="G347" s="6">
        <v>-0.02</v>
      </c>
      <c r="H347" s="6">
        <v>81</v>
      </c>
    </row>
    <row r="348" spans="1:8" ht="18.95" customHeight="1">
      <c r="A348" s="4">
        <v>344</v>
      </c>
      <c r="B348" s="4">
        <v>27080</v>
      </c>
      <c r="C348" s="4">
        <v>1</v>
      </c>
      <c r="D348" s="6">
        <v>0</v>
      </c>
      <c r="E348" s="6">
        <v>-120.37</v>
      </c>
      <c r="F348" s="6">
        <v>0.57999999999999996</v>
      </c>
      <c r="G348" s="6">
        <v>-0.05</v>
      </c>
      <c r="H348" s="6">
        <v>81</v>
      </c>
    </row>
    <row r="349" spans="1:8" ht="18.95" customHeight="1">
      <c r="A349" s="4">
        <v>345</v>
      </c>
      <c r="B349" s="4">
        <v>27100</v>
      </c>
      <c r="C349" s="4">
        <v>1</v>
      </c>
      <c r="D349" s="6">
        <v>0</v>
      </c>
      <c r="E349" s="6">
        <v>-122.5</v>
      </c>
      <c r="F349" s="6">
        <v>0.54</v>
      </c>
      <c r="G349" s="6">
        <v>-0.05</v>
      </c>
      <c r="H349" s="6">
        <v>81</v>
      </c>
    </row>
    <row r="350" spans="1:8" ht="18.95" customHeight="1">
      <c r="A350" s="4">
        <v>346</v>
      </c>
      <c r="B350" s="4">
        <v>27120</v>
      </c>
      <c r="C350" s="4">
        <v>1</v>
      </c>
      <c r="D350" s="6">
        <v>0</v>
      </c>
      <c r="E350" s="6">
        <v>-124.94</v>
      </c>
      <c r="F350" s="6">
        <v>0.53</v>
      </c>
      <c r="G350" s="6">
        <v>0.11</v>
      </c>
      <c r="H350" s="6">
        <v>81</v>
      </c>
    </row>
    <row r="351" spans="1:8" ht="18.95" customHeight="1">
      <c r="A351" s="4">
        <v>347</v>
      </c>
      <c r="B351" s="4">
        <v>27140</v>
      </c>
      <c r="C351" s="4">
        <v>1</v>
      </c>
      <c r="D351" s="6">
        <v>0</v>
      </c>
      <c r="E351" s="6">
        <v>-127.62</v>
      </c>
      <c r="F351" s="6">
        <v>0.52</v>
      </c>
      <c r="G351" s="6">
        <v>-0.08</v>
      </c>
      <c r="H351" s="6">
        <v>80</v>
      </c>
    </row>
    <row r="352" spans="1:8" ht="18.95" customHeight="1">
      <c r="A352" s="4">
        <v>348</v>
      </c>
      <c r="B352" s="4">
        <v>27160</v>
      </c>
      <c r="C352" s="4">
        <v>1</v>
      </c>
      <c r="D352" s="6">
        <v>0</v>
      </c>
      <c r="E352" s="6">
        <v>-175.13</v>
      </c>
      <c r="F352" s="6">
        <v>0.52</v>
      </c>
      <c r="G352" s="6">
        <v>0.06</v>
      </c>
      <c r="H352" s="6">
        <v>80</v>
      </c>
    </row>
    <row r="353" spans="1:8" ht="18.95" customHeight="1">
      <c r="A353" s="4">
        <v>349</v>
      </c>
      <c r="B353" s="4">
        <v>27180</v>
      </c>
      <c r="C353" s="4">
        <v>1</v>
      </c>
      <c r="D353" s="6">
        <v>0</v>
      </c>
      <c r="E353" s="6">
        <v>-175.69</v>
      </c>
      <c r="F353" s="6">
        <v>0.48</v>
      </c>
      <c r="G353" s="6">
        <v>0.03</v>
      </c>
      <c r="H353" s="6">
        <v>80</v>
      </c>
    </row>
    <row r="354" spans="1:8" ht="18.95" customHeight="1">
      <c r="A354" s="4">
        <v>350</v>
      </c>
      <c r="B354" s="4">
        <v>27200</v>
      </c>
      <c r="C354" s="4">
        <v>1</v>
      </c>
      <c r="D354" s="6">
        <v>0</v>
      </c>
      <c r="E354" s="6">
        <v>-176.19</v>
      </c>
      <c r="F354" s="6">
        <v>0.47</v>
      </c>
      <c r="G354" s="6">
        <v>-0.09</v>
      </c>
      <c r="H354" s="6">
        <v>79</v>
      </c>
    </row>
    <row r="355" spans="1:8" ht="18.95" customHeight="1">
      <c r="A355" s="4">
        <v>351</v>
      </c>
      <c r="B355" s="4">
        <v>27220</v>
      </c>
      <c r="C355" s="4">
        <v>1</v>
      </c>
      <c r="D355" s="6">
        <v>0</v>
      </c>
      <c r="E355" s="6">
        <v>-176.69</v>
      </c>
      <c r="F355" s="6">
        <v>0.45</v>
      </c>
      <c r="G355" s="6">
        <v>0.17</v>
      </c>
      <c r="H355" s="6">
        <v>79</v>
      </c>
    </row>
    <row r="356" spans="1:8" ht="18.95" customHeight="1">
      <c r="A356" s="4">
        <v>352</v>
      </c>
      <c r="B356" s="4">
        <v>27240</v>
      </c>
      <c r="C356" s="4">
        <v>1</v>
      </c>
      <c r="D356" s="6">
        <v>0</v>
      </c>
      <c r="E356" s="6">
        <v>-177.19</v>
      </c>
      <c r="F356" s="6">
        <v>0.44</v>
      </c>
      <c r="G356" s="6">
        <v>0.01</v>
      </c>
      <c r="H356" s="6">
        <v>73</v>
      </c>
    </row>
    <row r="357" spans="1:8" ht="18.95" customHeight="1">
      <c r="A357" s="4">
        <v>353</v>
      </c>
      <c r="B357" s="4">
        <v>27260</v>
      </c>
      <c r="C357" s="4">
        <v>1</v>
      </c>
      <c r="D357" s="6">
        <v>0</v>
      </c>
      <c r="E357" s="6">
        <v>-177.63</v>
      </c>
      <c r="F357" s="6">
        <v>0.39</v>
      </c>
      <c r="G357" s="6">
        <v>0</v>
      </c>
      <c r="H357" s="6">
        <v>73</v>
      </c>
    </row>
    <row r="358" spans="1:8" ht="18.95" customHeight="1">
      <c r="A358" s="4">
        <v>354</v>
      </c>
      <c r="B358" s="4">
        <v>27280</v>
      </c>
      <c r="C358" s="4">
        <v>1</v>
      </c>
      <c r="D358" s="6">
        <v>0</v>
      </c>
      <c r="E358" s="6">
        <v>-178.06</v>
      </c>
      <c r="F358" s="6">
        <v>0.38</v>
      </c>
      <c r="G358" s="6">
        <v>-0.03</v>
      </c>
      <c r="H358" s="6">
        <v>73</v>
      </c>
    </row>
    <row r="359" spans="1:8" ht="18.95" customHeight="1">
      <c r="A359" s="4">
        <v>355</v>
      </c>
      <c r="B359" s="4">
        <v>27300</v>
      </c>
      <c r="C359" s="4">
        <v>1</v>
      </c>
      <c r="D359" s="6">
        <v>0</v>
      </c>
      <c r="E359" s="6">
        <v>-178.44</v>
      </c>
      <c r="F359" s="6">
        <v>0.35</v>
      </c>
      <c r="G359" s="6">
        <v>-0.09</v>
      </c>
      <c r="H359" s="6">
        <v>74</v>
      </c>
    </row>
    <row r="360" spans="1:8" ht="18.95" customHeight="1">
      <c r="A360" s="4">
        <v>356</v>
      </c>
      <c r="B360" s="4">
        <v>27320</v>
      </c>
      <c r="C360" s="4">
        <v>1</v>
      </c>
      <c r="D360" s="6">
        <v>0</v>
      </c>
      <c r="E360" s="6">
        <v>-178.81</v>
      </c>
      <c r="F360" s="6">
        <v>0.32</v>
      </c>
      <c r="G360" s="6">
        <v>0.14000000000000001</v>
      </c>
      <c r="H360" s="6">
        <v>74</v>
      </c>
    </row>
    <row r="361" spans="1:8" ht="18.95" customHeight="1">
      <c r="A361" s="4">
        <v>357</v>
      </c>
      <c r="B361" s="4">
        <v>27340</v>
      </c>
      <c r="C361" s="4">
        <v>1</v>
      </c>
      <c r="D361" s="6">
        <v>0</v>
      </c>
      <c r="E361" s="6">
        <v>-179.13</v>
      </c>
      <c r="F361" s="6">
        <v>0.28000000000000003</v>
      </c>
      <c r="G361" s="6">
        <v>0</v>
      </c>
      <c r="H361" s="6">
        <v>70</v>
      </c>
    </row>
    <row r="362" spans="1:8" ht="18.95" customHeight="1">
      <c r="A362" s="4">
        <v>358</v>
      </c>
      <c r="B362" s="4">
        <v>27360</v>
      </c>
      <c r="C362" s="4">
        <v>1</v>
      </c>
      <c r="D362" s="6">
        <v>0</v>
      </c>
      <c r="E362" s="6">
        <v>-179.44</v>
      </c>
      <c r="F362" s="6">
        <v>0.26</v>
      </c>
      <c r="G362" s="6">
        <v>0</v>
      </c>
      <c r="H362" s="6">
        <v>70</v>
      </c>
    </row>
    <row r="363" spans="1:8" ht="18.95" customHeight="1">
      <c r="A363" s="4">
        <v>359</v>
      </c>
      <c r="B363" s="4">
        <v>27380</v>
      </c>
      <c r="C363" s="4">
        <v>1</v>
      </c>
      <c r="D363" s="6">
        <v>0</v>
      </c>
      <c r="E363" s="6">
        <v>-179.69</v>
      </c>
      <c r="F363" s="6">
        <v>0.23</v>
      </c>
      <c r="G363" s="6">
        <v>-0.2</v>
      </c>
      <c r="H363" s="6">
        <v>70</v>
      </c>
    </row>
    <row r="364" spans="1:8" ht="18.95" customHeight="1">
      <c r="A364" s="4">
        <v>360</v>
      </c>
      <c r="B364" s="4">
        <v>27400</v>
      </c>
      <c r="C364" s="4">
        <v>1</v>
      </c>
      <c r="D364" s="6">
        <v>0</v>
      </c>
      <c r="E364" s="6">
        <v>-179.94</v>
      </c>
      <c r="F364" s="6">
        <v>0.19</v>
      </c>
      <c r="G364" s="6">
        <v>0.16</v>
      </c>
      <c r="H364" s="6">
        <v>70</v>
      </c>
    </row>
    <row r="365" spans="1:8" ht="18.95" customHeight="1">
      <c r="A365" s="4">
        <v>361</v>
      </c>
      <c r="B365" s="4">
        <v>27420</v>
      </c>
      <c r="C365" s="4">
        <v>1</v>
      </c>
      <c r="D365" s="6">
        <v>0</v>
      </c>
      <c r="E365" s="6">
        <v>179.81</v>
      </c>
      <c r="F365" s="6">
        <v>0.16</v>
      </c>
      <c r="G365" s="6">
        <v>-0.13</v>
      </c>
      <c r="H365" s="6">
        <v>70</v>
      </c>
    </row>
    <row r="366" spans="1:8" ht="18.95" customHeight="1">
      <c r="A366" s="4">
        <v>362</v>
      </c>
      <c r="B366" s="4">
        <v>27440</v>
      </c>
      <c r="C366" s="4">
        <v>1</v>
      </c>
      <c r="D366" s="6">
        <v>0</v>
      </c>
      <c r="E366" s="6">
        <v>179.63</v>
      </c>
      <c r="F366" s="6">
        <v>0.14000000000000001</v>
      </c>
      <c r="G366" s="6">
        <v>-7.0000000000000007E-2</v>
      </c>
      <c r="H366" s="6">
        <v>65</v>
      </c>
    </row>
    <row r="367" spans="1:8" ht="18.95" customHeight="1">
      <c r="A367" s="4">
        <v>363</v>
      </c>
      <c r="B367" s="4">
        <v>27460</v>
      </c>
      <c r="C367" s="4">
        <v>1</v>
      </c>
      <c r="D367" s="6">
        <v>0</v>
      </c>
      <c r="E367" s="6">
        <v>179.5</v>
      </c>
      <c r="F367" s="6">
        <v>0.12</v>
      </c>
      <c r="G367" s="6">
        <v>-0.25</v>
      </c>
      <c r="H367" s="6">
        <v>65</v>
      </c>
    </row>
    <row r="368" spans="1:8" ht="18.95" customHeight="1">
      <c r="A368" s="4">
        <v>364</v>
      </c>
      <c r="B368" s="4">
        <v>27480</v>
      </c>
      <c r="C368" s="4">
        <v>1</v>
      </c>
      <c r="D368" s="6">
        <v>0</v>
      </c>
      <c r="E368" s="6">
        <v>179.38</v>
      </c>
      <c r="F368" s="6">
        <v>0.09</v>
      </c>
      <c r="G368" s="6">
        <v>-0.2</v>
      </c>
      <c r="H368" s="6">
        <v>65</v>
      </c>
    </row>
    <row r="369" spans="1:8" ht="18.95" customHeight="1">
      <c r="A369" s="4">
        <v>365</v>
      </c>
      <c r="B369" s="4">
        <v>27500</v>
      </c>
      <c r="C369" s="4">
        <v>1</v>
      </c>
      <c r="D369" s="6">
        <v>0</v>
      </c>
      <c r="E369" s="6">
        <v>179.31</v>
      </c>
      <c r="F369" s="6">
        <v>0.06</v>
      </c>
      <c r="G369" s="6">
        <v>0.1</v>
      </c>
      <c r="H369" s="6">
        <v>63</v>
      </c>
    </row>
    <row r="370" spans="1:8" ht="18.95" customHeight="1">
      <c r="A370" s="4">
        <v>366</v>
      </c>
      <c r="B370" s="4">
        <v>27520</v>
      </c>
      <c r="C370" s="4">
        <v>0</v>
      </c>
      <c r="D370" s="6">
        <v>0</v>
      </c>
      <c r="E370" s="6">
        <v>179.25</v>
      </c>
      <c r="F370" s="6">
        <v>0.04</v>
      </c>
      <c r="G370" s="6">
        <v>0</v>
      </c>
      <c r="H370" s="6">
        <v>63</v>
      </c>
    </row>
    <row r="371" spans="1:8" ht="18.95" customHeight="1">
      <c r="A371" s="4">
        <v>367</v>
      </c>
      <c r="B371" s="4">
        <v>27540</v>
      </c>
      <c r="C371" s="4">
        <v>0</v>
      </c>
      <c r="D371" s="6">
        <v>0</v>
      </c>
      <c r="E371" s="6">
        <v>179.25</v>
      </c>
      <c r="F371" s="6">
        <v>0.01</v>
      </c>
      <c r="G371" s="6">
        <v>-0.03</v>
      </c>
      <c r="H371" s="6">
        <v>59</v>
      </c>
    </row>
    <row r="372" spans="1:8" ht="18.95" customHeight="1">
      <c r="A372" s="4">
        <v>368</v>
      </c>
      <c r="B372" s="4">
        <v>27560</v>
      </c>
      <c r="C372" s="4">
        <v>0</v>
      </c>
      <c r="D372" s="6">
        <v>0</v>
      </c>
      <c r="E372" s="6">
        <v>179.25</v>
      </c>
      <c r="F372" s="6">
        <v>-0.03</v>
      </c>
      <c r="G372" s="6">
        <v>7.0000000000000007E-2</v>
      </c>
      <c r="H372" s="6">
        <v>59</v>
      </c>
    </row>
    <row r="373" spans="1:8" ht="18.95" customHeight="1">
      <c r="A373" s="4">
        <v>369</v>
      </c>
      <c r="B373" s="4">
        <v>27580</v>
      </c>
      <c r="C373" s="4">
        <v>0</v>
      </c>
      <c r="D373" s="6">
        <v>0</v>
      </c>
      <c r="E373" s="6">
        <v>179.31</v>
      </c>
      <c r="F373" s="6">
        <v>-0.05</v>
      </c>
      <c r="G373" s="6">
        <v>0.22</v>
      </c>
      <c r="H373" s="6">
        <v>59</v>
      </c>
    </row>
    <row r="374" spans="1:8" ht="18.95" customHeight="1">
      <c r="A374" s="4">
        <v>370</v>
      </c>
      <c r="B374" s="4">
        <v>27600</v>
      </c>
      <c r="C374" s="4">
        <v>1</v>
      </c>
      <c r="D374" s="6">
        <v>0</v>
      </c>
      <c r="E374" s="6">
        <v>179.38</v>
      </c>
      <c r="F374" s="6">
        <v>-0.09</v>
      </c>
      <c r="G374" s="6">
        <v>-0.03</v>
      </c>
      <c r="H374" s="6">
        <v>55</v>
      </c>
    </row>
    <row r="375" spans="1:8" ht="18.95" customHeight="1">
      <c r="A375" s="4">
        <v>371</v>
      </c>
      <c r="B375" s="4">
        <v>27620</v>
      </c>
      <c r="C375" s="4">
        <v>1</v>
      </c>
      <c r="D375" s="6">
        <v>0</v>
      </c>
      <c r="E375" s="6">
        <v>179.5</v>
      </c>
      <c r="F375" s="6">
        <v>-0.11</v>
      </c>
      <c r="G375" s="6">
        <v>0.3</v>
      </c>
      <c r="H375" s="6">
        <v>55</v>
      </c>
    </row>
    <row r="376" spans="1:8" ht="18.95" customHeight="1">
      <c r="A376" s="4">
        <v>372</v>
      </c>
      <c r="B376" s="4">
        <v>27640</v>
      </c>
      <c r="C376" s="4">
        <v>1</v>
      </c>
      <c r="D376" s="6">
        <v>600</v>
      </c>
      <c r="E376" s="6">
        <v>179.63</v>
      </c>
      <c r="F376" s="6">
        <v>-0.14000000000000001</v>
      </c>
      <c r="G376" s="6">
        <v>-0.05</v>
      </c>
      <c r="H376" s="6">
        <v>50</v>
      </c>
    </row>
    <row r="377" spans="1:8" ht="18.95" customHeight="1">
      <c r="A377" s="4">
        <v>373</v>
      </c>
      <c r="B377" s="4">
        <v>27660</v>
      </c>
      <c r="C377" s="4">
        <v>1</v>
      </c>
      <c r="D377" s="6">
        <v>600</v>
      </c>
      <c r="E377" s="6">
        <v>179.81</v>
      </c>
      <c r="F377" s="6">
        <v>-0.16</v>
      </c>
      <c r="G377" s="6">
        <v>0.16</v>
      </c>
      <c r="H377" s="6">
        <v>50</v>
      </c>
    </row>
    <row r="378" spans="1:8" ht="18.95" customHeight="1">
      <c r="A378" s="4">
        <v>374</v>
      </c>
      <c r="B378" s="4">
        <v>27680</v>
      </c>
      <c r="C378" s="4">
        <v>1</v>
      </c>
      <c r="D378" s="6">
        <v>600</v>
      </c>
      <c r="E378" s="6">
        <v>-179.94</v>
      </c>
      <c r="F378" s="6">
        <v>-0.19</v>
      </c>
      <c r="G378" s="6">
        <v>0.13</v>
      </c>
      <c r="H378" s="6">
        <v>50</v>
      </c>
    </row>
    <row r="379" spans="1:8" ht="18.95" customHeight="1">
      <c r="A379" s="4">
        <v>375</v>
      </c>
      <c r="B379" s="4">
        <v>27700</v>
      </c>
      <c r="C379" s="4">
        <v>1</v>
      </c>
      <c r="D379" s="6">
        <v>600</v>
      </c>
      <c r="E379" s="6">
        <v>-179.69</v>
      </c>
      <c r="F379" s="6">
        <v>-0.21</v>
      </c>
      <c r="G379" s="6">
        <v>0.22</v>
      </c>
      <c r="H379" s="6">
        <v>49</v>
      </c>
    </row>
    <row r="380" spans="1:8" ht="18.95" customHeight="1">
      <c r="A380" s="4">
        <v>376</v>
      </c>
      <c r="B380" s="4">
        <v>27720</v>
      </c>
      <c r="C380" s="4">
        <v>1</v>
      </c>
      <c r="D380" s="6">
        <v>600</v>
      </c>
      <c r="E380" s="6">
        <v>-179.44</v>
      </c>
      <c r="F380" s="6">
        <v>-0.23</v>
      </c>
      <c r="G380" s="6">
        <v>-0.02</v>
      </c>
      <c r="H380" s="6">
        <v>49</v>
      </c>
    </row>
    <row r="381" spans="1:8" ht="18.95" customHeight="1">
      <c r="A381" s="4">
        <v>377</v>
      </c>
      <c r="B381" s="4">
        <v>27740</v>
      </c>
      <c r="C381" s="4">
        <v>1</v>
      </c>
      <c r="D381" s="6">
        <v>0</v>
      </c>
      <c r="E381" s="6">
        <v>-179.25</v>
      </c>
      <c r="F381" s="6">
        <v>-0.24</v>
      </c>
      <c r="G381" s="6">
        <v>0.05</v>
      </c>
      <c r="H381" s="6">
        <v>43</v>
      </c>
    </row>
    <row r="382" spans="1:8" ht="18.95" customHeight="1">
      <c r="A382" s="4">
        <v>378</v>
      </c>
      <c r="B382" s="4">
        <v>27760</v>
      </c>
      <c r="C382" s="4">
        <v>1</v>
      </c>
      <c r="D382" s="6">
        <v>0</v>
      </c>
      <c r="E382" s="6">
        <v>-178.94</v>
      </c>
      <c r="F382" s="6">
        <v>-0.27</v>
      </c>
      <c r="G382" s="6">
        <v>0.2</v>
      </c>
      <c r="H382" s="6">
        <v>43</v>
      </c>
    </row>
    <row r="383" spans="1:8" ht="18.95" customHeight="1">
      <c r="A383" s="4">
        <v>379</v>
      </c>
      <c r="B383" s="4">
        <v>27780</v>
      </c>
      <c r="C383" s="4">
        <v>1</v>
      </c>
      <c r="D383" s="6">
        <v>0</v>
      </c>
      <c r="E383" s="6">
        <v>-178.63</v>
      </c>
      <c r="F383" s="6">
        <v>-0.28999999999999998</v>
      </c>
      <c r="G383" s="6">
        <v>0.08</v>
      </c>
      <c r="H383" s="6">
        <v>43</v>
      </c>
    </row>
    <row r="384" spans="1:8" ht="18.95" customHeight="1">
      <c r="A384" s="4">
        <v>380</v>
      </c>
      <c r="B384" s="4">
        <v>27800</v>
      </c>
      <c r="C384" s="4">
        <v>1</v>
      </c>
      <c r="D384" s="6">
        <v>0</v>
      </c>
      <c r="E384" s="6">
        <v>-178.31</v>
      </c>
      <c r="F384" s="6">
        <v>-0.32</v>
      </c>
      <c r="G384" s="6">
        <v>0.2</v>
      </c>
      <c r="H384" s="6">
        <v>37</v>
      </c>
    </row>
    <row r="385" spans="1:8" ht="18.95" customHeight="1">
      <c r="A385" s="4">
        <v>381</v>
      </c>
      <c r="B385" s="4">
        <v>27820</v>
      </c>
      <c r="C385" s="4">
        <v>1</v>
      </c>
      <c r="D385" s="6">
        <v>0</v>
      </c>
      <c r="E385" s="6">
        <v>-177.94</v>
      </c>
      <c r="F385" s="6">
        <v>-0.32</v>
      </c>
      <c r="G385" s="6">
        <v>-0.1</v>
      </c>
      <c r="H385" s="6">
        <v>37</v>
      </c>
    </row>
    <row r="386" spans="1:8" ht="18.95" customHeight="1">
      <c r="A386" s="4">
        <v>382</v>
      </c>
      <c r="B386" s="4">
        <v>27840</v>
      </c>
      <c r="C386" s="4">
        <v>1</v>
      </c>
      <c r="D386" s="6">
        <v>0</v>
      </c>
      <c r="E386" s="6">
        <v>-177.56</v>
      </c>
      <c r="F386" s="6">
        <v>-0.35</v>
      </c>
      <c r="G386" s="6">
        <v>0.2</v>
      </c>
      <c r="H386" s="6">
        <v>36</v>
      </c>
    </row>
    <row r="387" spans="1:8" ht="18.95" customHeight="1">
      <c r="A387" s="4">
        <v>383</v>
      </c>
      <c r="B387" s="4">
        <v>27860</v>
      </c>
      <c r="C387" s="4">
        <v>1</v>
      </c>
      <c r="D387" s="6">
        <v>0</v>
      </c>
      <c r="E387" s="6">
        <v>-177.19</v>
      </c>
      <c r="F387" s="6">
        <v>-0.36</v>
      </c>
      <c r="G387" s="6">
        <v>-0.06</v>
      </c>
      <c r="H387" s="6">
        <v>36</v>
      </c>
    </row>
    <row r="388" spans="1:8" ht="18.95" customHeight="1">
      <c r="A388" s="4">
        <v>384</v>
      </c>
      <c r="B388" s="4">
        <v>27880</v>
      </c>
      <c r="C388" s="4">
        <v>1</v>
      </c>
      <c r="D388" s="6">
        <v>0</v>
      </c>
      <c r="E388" s="6">
        <v>-176.75</v>
      </c>
      <c r="F388" s="6">
        <v>-0.38</v>
      </c>
      <c r="G388" s="6">
        <v>0.11</v>
      </c>
      <c r="H388" s="6">
        <v>36</v>
      </c>
    </row>
    <row r="389" spans="1:8" ht="18.95" customHeight="1">
      <c r="A389" s="4">
        <v>385</v>
      </c>
      <c r="B389" s="4">
        <v>27900</v>
      </c>
      <c r="C389" s="4">
        <v>1</v>
      </c>
      <c r="D389" s="6">
        <v>0</v>
      </c>
      <c r="E389" s="6">
        <v>-176.31</v>
      </c>
      <c r="F389" s="6">
        <v>-0.41</v>
      </c>
      <c r="G389" s="6">
        <v>0.06</v>
      </c>
      <c r="H389" s="6">
        <v>32</v>
      </c>
    </row>
    <row r="390" spans="1:8" ht="18.95" customHeight="1">
      <c r="A390" s="4">
        <v>386</v>
      </c>
      <c r="B390" s="4">
        <v>27920</v>
      </c>
      <c r="C390" s="4">
        <v>1</v>
      </c>
      <c r="D390" s="6">
        <v>0</v>
      </c>
      <c r="E390" s="6">
        <v>-175.88</v>
      </c>
      <c r="F390" s="6">
        <v>-0.4</v>
      </c>
      <c r="G390" s="6">
        <v>-0.02</v>
      </c>
      <c r="H390" s="6">
        <v>32</v>
      </c>
    </row>
    <row r="391" spans="1:8" ht="18.95" customHeight="1">
      <c r="A391" s="4">
        <v>387</v>
      </c>
      <c r="B391" s="4">
        <v>27940</v>
      </c>
      <c r="C391" s="4">
        <v>1</v>
      </c>
      <c r="D391" s="6">
        <v>0</v>
      </c>
      <c r="E391" s="6">
        <v>-175.38</v>
      </c>
      <c r="F391" s="6">
        <v>-0.44</v>
      </c>
      <c r="G391" s="6">
        <v>0.21</v>
      </c>
      <c r="H391" s="6">
        <v>27</v>
      </c>
    </row>
    <row r="392" spans="1:8" ht="18.95" customHeight="1">
      <c r="A392" s="4">
        <v>388</v>
      </c>
      <c r="B392" s="4">
        <v>27960</v>
      </c>
      <c r="C392" s="4">
        <v>1</v>
      </c>
      <c r="D392" s="6">
        <v>0</v>
      </c>
      <c r="E392" s="6">
        <v>-174.94</v>
      </c>
      <c r="F392" s="6">
        <v>-0.43</v>
      </c>
      <c r="G392" s="6">
        <v>-0.12</v>
      </c>
      <c r="H392" s="6">
        <v>27</v>
      </c>
    </row>
    <row r="393" spans="1:8" ht="18.95" customHeight="1">
      <c r="A393" s="4">
        <v>389</v>
      </c>
      <c r="B393" s="4">
        <v>27980</v>
      </c>
      <c r="C393" s="4">
        <v>1</v>
      </c>
      <c r="D393" s="6">
        <v>0</v>
      </c>
      <c r="E393" s="6">
        <v>-125.69</v>
      </c>
      <c r="F393" s="6">
        <v>-0.47</v>
      </c>
      <c r="G393" s="6">
        <v>0.11</v>
      </c>
      <c r="H393" s="6">
        <v>27</v>
      </c>
    </row>
    <row r="394" spans="1:8" ht="18.95" customHeight="1">
      <c r="A394" s="4">
        <v>390</v>
      </c>
      <c r="B394" s="4">
        <v>28000</v>
      </c>
      <c r="C394" s="4">
        <v>1</v>
      </c>
      <c r="D394" s="6">
        <v>0</v>
      </c>
      <c r="E394" s="6">
        <v>-123.37</v>
      </c>
      <c r="F394" s="6">
        <v>-0.46</v>
      </c>
      <c r="G394" s="6">
        <v>0.02</v>
      </c>
      <c r="H394" s="6">
        <v>25</v>
      </c>
    </row>
    <row r="395" spans="1:8" ht="18.95" customHeight="1">
      <c r="A395" s="4">
        <v>391</v>
      </c>
      <c r="B395" s="4">
        <v>28020</v>
      </c>
      <c r="C395" s="4">
        <v>1</v>
      </c>
      <c r="D395" s="6">
        <v>0</v>
      </c>
      <c r="E395" s="6">
        <v>-121.19</v>
      </c>
      <c r="F395" s="6">
        <v>-0.48</v>
      </c>
      <c r="G395" s="6">
        <v>0.13</v>
      </c>
      <c r="H395" s="6">
        <v>25</v>
      </c>
    </row>
    <row r="396" spans="1:8" ht="18.95" customHeight="1">
      <c r="A396" s="4">
        <v>392</v>
      </c>
      <c r="B396" s="4">
        <v>28040</v>
      </c>
      <c r="C396" s="4">
        <v>1</v>
      </c>
      <c r="D396" s="6">
        <v>0</v>
      </c>
      <c r="E396" s="6">
        <v>-119.25</v>
      </c>
      <c r="F396" s="6">
        <v>-0.5</v>
      </c>
      <c r="G396" s="6">
        <v>0</v>
      </c>
      <c r="H396" s="6">
        <v>23</v>
      </c>
    </row>
    <row r="397" spans="1:8" ht="18.95" customHeight="1">
      <c r="A397" s="4">
        <v>393</v>
      </c>
      <c r="B397" s="4">
        <v>28060</v>
      </c>
      <c r="C397" s="4">
        <v>1</v>
      </c>
      <c r="D397" s="6">
        <v>0</v>
      </c>
      <c r="E397" s="6">
        <v>-117.44</v>
      </c>
      <c r="F397" s="6">
        <v>-0.5</v>
      </c>
      <c r="G397" s="6">
        <v>0.19</v>
      </c>
      <c r="H397" s="6">
        <v>23</v>
      </c>
    </row>
    <row r="398" spans="1:8" ht="18.95" customHeight="1">
      <c r="A398" s="4">
        <v>394</v>
      </c>
      <c r="B398" s="4">
        <v>28080</v>
      </c>
      <c r="C398" s="4">
        <v>1</v>
      </c>
      <c r="D398" s="6">
        <v>0</v>
      </c>
      <c r="E398" s="6">
        <v>-115.81</v>
      </c>
      <c r="F398" s="6">
        <v>-0.51</v>
      </c>
      <c r="G398" s="6">
        <v>0.1</v>
      </c>
      <c r="H398" s="6">
        <v>23</v>
      </c>
    </row>
    <row r="399" spans="1:8" ht="18.95" customHeight="1">
      <c r="A399" s="4">
        <v>395</v>
      </c>
      <c r="B399" s="4">
        <v>28100</v>
      </c>
      <c r="C399" s="4">
        <v>1</v>
      </c>
      <c r="D399" s="6">
        <v>0</v>
      </c>
      <c r="E399" s="6">
        <v>-114.44</v>
      </c>
      <c r="F399" s="6">
        <v>-0.49</v>
      </c>
      <c r="G399" s="6">
        <v>0.08</v>
      </c>
      <c r="H399" s="6">
        <v>20</v>
      </c>
    </row>
    <row r="400" spans="1:8" ht="18.95" customHeight="1">
      <c r="A400" s="4">
        <v>396</v>
      </c>
      <c r="B400" s="4">
        <v>28120</v>
      </c>
      <c r="C400" s="4">
        <v>1</v>
      </c>
      <c r="D400" s="6">
        <v>0</v>
      </c>
      <c r="E400" s="6">
        <v>-113.12</v>
      </c>
      <c r="F400" s="6">
        <v>-0.51</v>
      </c>
      <c r="G400" s="6">
        <v>0.12</v>
      </c>
      <c r="H400" s="6">
        <v>20</v>
      </c>
    </row>
    <row r="401" spans="1:8" ht="18.95" customHeight="1">
      <c r="A401" s="4">
        <v>397</v>
      </c>
      <c r="B401" s="4">
        <v>28140</v>
      </c>
      <c r="C401" s="4">
        <v>1</v>
      </c>
      <c r="D401" s="6">
        <v>0</v>
      </c>
      <c r="E401" s="6">
        <v>-111.87</v>
      </c>
      <c r="F401" s="6">
        <v>-0.55000000000000004</v>
      </c>
      <c r="G401" s="6">
        <v>-0.08</v>
      </c>
      <c r="H401" s="6">
        <v>18</v>
      </c>
    </row>
    <row r="402" spans="1:8" ht="18.95" customHeight="1">
      <c r="A402" s="4">
        <v>398</v>
      </c>
      <c r="B402" s="4">
        <v>28160</v>
      </c>
      <c r="C402" s="4">
        <v>1</v>
      </c>
      <c r="D402" s="6">
        <v>0</v>
      </c>
      <c r="E402" s="6">
        <v>-110.69</v>
      </c>
      <c r="F402" s="6">
        <v>-0.56999999999999995</v>
      </c>
      <c r="G402" s="6">
        <v>7.0000000000000007E-2</v>
      </c>
      <c r="H402" s="6">
        <v>18</v>
      </c>
    </row>
    <row r="403" spans="1:8" ht="18.95" customHeight="1">
      <c r="A403" s="4">
        <v>399</v>
      </c>
      <c r="B403" s="4">
        <v>28180</v>
      </c>
      <c r="C403" s="4">
        <v>1</v>
      </c>
      <c r="D403" s="6">
        <v>0</v>
      </c>
      <c r="E403" s="6">
        <v>-109.69</v>
      </c>
      <c r="F403" s="6">
        <v>-0.54</v>
      </c>
      <c r="G403" s="6">
        <v>-0.15</v>
      </c>
      <c r="H403" s="6">
        <v>18</v>
      </c>
    </row>
    <row r="404" spans="1:8" ht="18.95" customHeight="1">
      <c r="A404" s="4">
        <v>400</v>
      </c>
      <c r="B404" s="4">
        <v>28200</v>
      </c>
      <c r="C404" s="4">
        <v>1</v>
      </c>
      <c r="D404" s="6">
        <v>0</v>
      </c>
      <c r="E404" s="6">
        <v>-108.69</v>
      </c>
      <c r="F404" s="6">
        <v>-0.55000000000000004</v>
      </c>
      <c r="G404" s="6">
        <v>0.2</v>
      </c>
      <c r="H404" s="6">
        <v>17</v>
      </c>
    </row>
    <row r="405" spans="1:8" ht="18.95" customHeight="1">
      <c r="A405" s="4">
        <v>401</v>
      </c>
      <c r="B405" s="4">
        <v>28220</v>
      </c>
      <c r="C405" s="4">
        <v>1</v>
      </c>
      <c r="D405" s="6">
        <v>0</v>
      </c>
      <c r="E405" s="6">
        <v>-107.81</v>
      </c>
      <c r="F405" s="6">
        <v>-0.56000000000000005</v>
      </c>
      <c r="G405" s="6">
        <v>0</v>
      </c>
      <c r="H405" s="6">
        <v>17</v>
      </c>
    </row>
    <row r="406" spans="1:8" ht="18.95" customHeight="1">
      <c r="A406" s="4">
        <v>402</v>
      </c>
      <c r="B406" s="4">
        <v>28241</v>
      </c>
      <c r="C406" s="4">
        <v>1</v>
      </c>
      <c r="D406" s="6">
        <v>0</v>
      </c>
      <c r="E406" s="6">
        <v>-107</v>
      </c>
      <c r="F406" s="6">
        <v>-0.56999999999999995</v>
      </c>
      <c r="G406" s="6">
        <v>-0.09</v>
      </c>
      <c r="H406" s="6">
        <v>17</v>
      </c>
    </row>
    <row r="407" spans="1:8" ht="18.95" customHeight="1">
      <c r="A407" s="4">
        <v>403</v>
      </c>
      <c r="B407" s="4">
        <v>28261</v>
      </c>
      <c r="C407" s="4">
        <v>1</v>
      </c>
      <c r="D407" s="6">
        <v>0</v>
      </c>
      <c r="E407" s="6">
        <v>-106.25</v>
      </c>
      <c r="F407" s="6">
        <v>-0.55000000000000004</v>
      </c>
      <c r="G407" s="6">
        <v>0.12</v>
      </c>
      <c r="H407" s="6">
        <v>17</v>
      </c>
    </row>
    <row r="408" spans="1:8" ht="18.95" customHeight="1">
      <c r="A408" s="4">
        <v>404</v>
      </c>
      <c r="B408" s="4">
        <v>28281</v>
      </c>
      <c r="C408" s="4">
        <v>1</v>
      </c>
      <c r="D408" s="6">
        <v>0</v>
      </c>
      <c r="E408" s="6">
        <v>-105.62</v>
      </c>
      <c r="F408" s="6">
        <v>-0.54</v>
      </c>
      <c r="G408" s="6">
        <v>-0.14000000000000001</v>
      </c>
      <c r="H408" s="6">
        <v>17</v>
      </c>
    </row>
    <row r="409" spans="1:8" ht="18.95" customHeight="1">
      <c r="A409" s="4">
        <v>405</v>
      </c>
      <c r="B409" s="4">
        <v>28301</v>
      </c>
      <c r="C409" s="4">
        <v>1</v>
      </c>
      <c r="D409" s="6">
        <v>0</v>
      </c>
      <c r="E409" s="6">
        <v>-104.94</v>
      </c>
      <c r="F409" s="6">
        <v>-0.55000000000000004</v>
      </c>
      <c r="G409" s="6">
        <v>-0.47</v>
      </c>
      <c r="H409" s="6">
        <v>17</v>
      </c>
    </row>
    <row r="410" spans="1:8" ht="18.95" customHeight="1">
      <c r="A410" s="4">
        <v>406</v>
      </c>
      <c r="B410" s="4">
        <v>28321</v>
      </c>
      <c r="C410" s="4">
        <v>1</v>
      </c>
      <c r="D410" s="6">
        <v>0</v>
      </c>
      <c r="E410" s="6">
        <v>-104.37</v>
      </c>
      <c r="F410" s="6">
        <v>-0.56000000000000005</v>
      </c>
      <c r="G410" s="6">
        <v>0.05</v>
      </c>
      <c r="H410" s="6">
        <v>17</v>
      </c>
    </row>
    <row r="411" spans="1:8" ht="18.95" customHeight="1">
      <c r="A411" s="4">
        <v>407</v>
      </c>
      <c r="B411" s="4">
        <v>28342</v>
      </c>
      <c r="C411" s="4">
        <v>1</v>
      </c>
      <c r="D411" s="6">
        <v>0</v>
      </c>
      <c r="E411" s="6">
        <v>-103.87</v>
      </c>
      <c r="F411" s="6">
        <v>-0.56000000000000005</v>
      </c>
      <c r="G411" s="6">
        <v>0.21</v>
      </c>
      <c r="H411" s="6">
        <v>16</v>
      </c>
    </row>
    <row r="412" spans="1:8" ht="18.95" customHeight="1">
      <c r="A412" s="4">
        <v>408</v>
      </c>
      <c r="B412" s="4">
        <v>28362</v>
      </c>
      <c r="C412" s="4">
        <v>1</v>
      </c>
      <c r="D412" s="6">
        <v>0</v>
      </c>
      <c r="E412" s="6">
        <v>-103.37</v>
      </c>
      <c r="F412" s="6">
        <v>-0.53</v>
      </c>
      <c r="G412" s="6">
        <v>0.09</v>
      </c>
      <c r="H412" s="6">
        <v>16</v>
      </c>
    </row>
    <row r="413" spans="1:8" ht="18.95" customHeight="1">
      <c r="A413" s="4">
        <v>409</v>
      </c>
      <c r="B413" s="4">
        <v>28382</v>
      </c>
      <c r="C413" s="4">
        <v>1</v>
      </c>
      <c r="D413" s="6">
        <v>0</v>
      </c>
      <c r="E413" s="6">
        <v>-103</v>
      </c>
      <c r="F413" s="6">
        <v>-0.57999999999999996</v>
      </c>
      <c r="G413" s="6">
        <v>0.13</v>
      </c>
      <c r="H413" s="6">
        <v>16</v>
      </c>
    </row>
    <row r="414" spans="1:8" ht="18.95" customHeight="1">
      <c r="A414" s="4">
        <v>410</v>
      </c>
      <c r="B414" s="4">
        <v>28402</v>
      </c>
      <c r="C414" s="4">
        <v>1</v>
      </c>
      <c r="D414" s="6">
        <v>0</v>
      </c>
      <c r="E414" s="6">
        <v>-102.56</v>
      </c>
      <c r="F414" s="6">
        <v>-0.56000000000000005</v>
      </c>
      <c r="G414" s="6">
        <v>0</v>
      </c>
      <c r="H414" s="6">
        <v>19</v>
      </c>
    </row>
    <row r="415" spans="1:8" ht="18.95" customHeight="1">
      <c r="A415" s="4">
        <v>411</v>
      </c>
      <c r="B415" s="4">
        <v>28422</v>
      </c>
      <c r="C415" s="4">
        <v>1</v>
      </c>
      <c r="D415" s="6">
        <v>0</v>
      </c>
      <c r="E415" s="6">
        <v>-102.19</v>
      </c>
      <c r="F415" s="6">
        <v>-0.55000000000000004</v>
      </c>
      <c r="G415" s="6">
        <v>0.12</v>
      </c>
      <c r="H415" s="6">
        <v>19</v>
      </c>
    </row>
    <row r="416" spans="1:8" ht="18.95" customHeight="1">
      <c r="A416" s="4">
        <v>412</v>
      </c>
      <c r="B416" s="4">
        <v>28442</v>
      </c>
      <c r="C416" s="4">
        <v>1</v>
      </c>
      <c r="D416" s="6">
        <v>0</v>
      </c>
      <c r="E416" s="6">
        <v>-101.81</v>
      </c>
      <c r="F416" s="6">
        <v>-0.54</v>
      </c>
      <c r="G416" s="6">
        <v>0.14000000000000001</v>
      </c>
      <c r="H416" s="6">
        <v>21</v>
      </c>
    </row>
    <row r="417" spans="1:8" ht="18.95" customHeight="1">
      <c r="A417" s="4">
        <v>413</v>
      </c>
      <c r="B417" s="4">
        <v>28462</v>
      </c>
      <c r="C417" s="4">
        <v>1</v>
      </c>
      <c r="D417" s="6">
        <v>0</v>
      </c>
      <c r="E417" s="6">
        <v>-101.44</v>
      </c>
      <c r="F417" s="6">
        <v>-0.53</v>
      </c>
      <c r="G417" s="6">
        <v>0</v>
      </c>
      <c r="H417" s="6">
        <v>21</v>
      </c>
    </row>
    <row r="418" spans="1:8" ht="18.95" customHeight="1">
      <c r="A418" s="4">
        <v>414</v>
      </c>
      <c r="B418" s="4">
        <v>28482</v>
      </c>
      <c r="C418" s="4">
        <v>1</v>
      </c>
      <c r="D418" s="6">
        <v>0</v>
      </c>
      <c r="E418" s="6">
        <v>-101.12</v>
      </c>
      <c r="F418" s="6">
        <v>-0.52</v>
      </c>
      <c r="G418" s="6">
        <v>-0.01</v>
      </c>
      <c r="H418" s="6">
        <v>21</v>
      </c>
    </row>
    <row r="419" spans="1:8" ht="18.95" customHeight="1">
      <c r="A419" s="4">
        <v>415</v>
      </c>
      <c r="B419" s="4">
        <v>28502</v>
      </c>
      <c r="C419" s="4">
        <v>1</v>
      </c>
      <c r="D419" s="6">
        <v>0</v>
      </c>
      <c r="E419" s="6">
        <v>-100.81</v>
      </c>
      <c r="F419" s="6">
        <v>-0.5</v>
      </c>
      <c r="G419" s="6">
        <v>-0.06</v>
      </c>
      <c r="H419" s="6">
        <v>24</v>
      </c>
    </row>
    <row r="420" spans="1:8" ht="18.95" customHeight="1">
      <c r="A420" s="4">
        <v>416</v>
      </c>
      <c r="B420" s="4">
        <v>28522</v>
      </c>
      <c r="C420" s="4">
        <v>1</v>
      </c>
      <c r="D420" s="6">
        <v>0</v>
      </c>
      <c r="E420" s="6">
        <v>-100.56</v>
      </c>
      <c r="F420" s="6">
        <v>-0.47</v>
      </c>
      <c r="G420" s="6">
        <v>0.11</v>
      </c>
      <c r="H420" s="6">
        <v>24</v>
      </c>
    </row>
    <row r="421" spans="1:8" ht="18.95" customHeight="1">
      <c r="A421" s="4">
        <v>417</v>
      </c>
      <c r="B421" s="4">
        <v>28542</v>
      </c>
      <c r="C421" s="4">
        <v>1</v>
      </c>
      <c r="D421" s="6">
        <v>0</v>
      </c>
      <c r="E421" s="6">
        <v>-100.31</v>
      </c>
      <c r="F421" s="6">
        <v>-0.46</v>
      </c>
      <c r="G421" s="6">
        <v>0.23</v>
      </c>
      <c r="H421" s="6">
        <v>26</v>
      </c>
    </row>
    <row r="422" spans="1:8" ht="18.95" customHeight="1">
      <c r="A422" s="4">
        <v>418</v>
      </c>
      <c r="B422" s="4">
        <v>28562</v>
      </c>
      <c r="C422" s="4">
        <v>1</v>
      </c>
      <c r="D422" s="6">
        <v>0</v>
      </c>
      <c r="E422" s="6">
        <v>-100.06</v>
      </c>
      <c r="F422" s="6">
        <v>-0.45</v>
      </c>
      <c r="G422" s="6">
        <v>0.09</v>
      </c>
      <c r="H422" s="6">
        <v>26</v>
      </c>
    </row>
    <row r="423" spans="1:8" ht="18.95" customHeight="1">
      <c r="A423" s="4">
        <v>419</v>
      </c>
      <c r="B423" s="4">
        <v>28582</v>
      </c>
      <c r="C423" s="4">
        <v>1</v>
      </c>
      <c r="D423" s="6">
        <v>0</v>
      </c>
      <c r="E423" s="6">
        <v>-99.81</v>
      </c>
      <c r="F423" s="6">
        <v>-0.45</v>
      </c>
      <c r="G423" s="6">
        <v>-0.05</v>
      </c>
      <c r="H423" s="6">
        <v>26</v>
      </c>
    </row>
    <row r="424" spans="1:8" ht="18.95" customHeight="1">
      <c r="A424" s="4">
        <v>420</v>
      </c>
      <c r="B424" s="4">
        <v>28602</v>
      </c>
      <c r="C424" s="4">
        <v>1</v>
      </c>
      <c r="D424" s="6">
        <v>0</v>
      </c>
      <c r="E424" s="6">
        <v>-99.62</v>
      </c>
      <c r="F424" s="6">
        <v>-0.41</v>
      </c>
      <c r="G424" s="6">
        <v>0.11</v>
      </c>
      <c r="H424" s="6">
        <v>28</v>
      </c>
    </row>
    <row r="425" spans="1:8" ht="18.95" customHeight="1">
      <c r="A425" s="4">
        <v>421</v>
      </c>
      <c r="B425" s="4">
        <v>28622</v>
      </c>
      <c r="C425" s="4">
        <v>1</v>
      </c>
      <c r="D425" s="6">
        <v>0</v>
      </c>
      <c r="E425" s="6">
        <v>-99.5</v>
      </c>
      <c r="F425" s="6">
        <v>-0.41</v>
      </c>
      <c r="G425" s="6">
        <v>0.01</v>
      </c>
      <c r="H425" s="6">
        <v>28</v>
      </c>
    </row>
    <row r="426" spans="1:8" ht="18.95" customHeight="1">
      <c r="A426" s="4">
        <v>422</v>
      </c>
      <c r="B426" s="4">
        <v>28643</v>
      </c>
      <c r="C426" s="4">
        <v>1</v>
      </c>
      <c r="D426" s="6">
        <v>0</v>
      </c>
      <c r="E426" s="6">
        <v>-99.31</v>
      </c>
      <c r="F426" s="6">
        <v>-0.39</v>
      </c>
      <c r="G426" s="6">
        <v>0.01</v>
      </c>
      <c r="H426" s="6">
        <v>32</v>
      </c>
    </row>
    <row r="427" spans="1:8" ht="18.95" customHeight="1">
      <c r="A427" s="4">
        <v>423</v>
      </c>
      <c r="B427" s="4">
        <v>28663</v>
      </c>
      <c r="C427" s="4">
        <v>1</v>
      </c>
      <c r="D427" s="6">
        <v>0</v>
      </c>
      <c r="E427" s="6">
        <v>-99.12</v>
      </c>
      <c r="F427" s="6">
        <v>-0.38</v>
      </c>
      <c r="G427" s="6">
        <v>0.12</v>
      </c>
      <c r="H427" s="6">
        <v>32</v>
      </c>
    </row>
    <row r="428" spans="1:8" ht="18.95" customHeight="1">
      <c r="A428" s="4">
        <v>424</v>
      </c>
      <c r="B428" s="4">
        <v>28683</v>
      </c>
      <c r="C428" s="4">
        <v>1</v>
      </c>
      <c r="D428" s="6">
        <v>0</v>
      </c>
      <c r="E428" s="6">
        <v>-99</v>
      </c>
      <c r="F428" s="6">
        <v>-0.35</v>
      </c>
      <c r="G428" s="6">
        <v>0.2</v>
      </c>
      <c r="H428" s="6">
        <v>32</v>
      </c>
    </row>
    <row r="429" spans="1:8" ht="18.95" customHeight="1">
      <c r="A429" s="4">
        <v>425</v>
      </c>
      <c r="B429" s="4">
        <v>28703</v>
      </c>
      <c r="C429" s="4">
        <v>1</v>
      </c>
      <c r="D429" s="6">
        <v>0</v>
      </c>
      <c r="E429" s="6">
        <v>-98.94</v>
      </c>
      <c r="F429" s="6">
        <v>-0.34</v>
      </c>
      <c r="G429" s="6">
        <v>0</v>
      </c>
      <c r="H429" s="6">
        <v>38</v>
      </c>
    </row>
    <row r="430" spans="1:8" ht="18.95" customHeight="1">
      <c r="A430" s="4">
        <v>426</v>
      </c>
      <c r="B430" s="4">
        <v>28723</v>
      </c>
      <c r="C430" s="4">
        <v>1</v>
      </c>
      <c r="D430" s="6">
        <v>0</v>
      </c>
      <c r="E430" s="6">
        <v>-98.87</v>
      </c>
      <c r="F430" s="6">
        <v>-0.33</v>
      </c>
      <c r="G430" s="6">
        <v>0.21</v>
      </c>
      <c r="H430" s="6">
        <v>38</v>
      </c>
    </row>
    <row r="431" spans="1:8" ht="18.95" customHeight="1">
      <c r="A431" s="4">
        <v>427</v>
      </c>
      <c r="B431" s="4">
        <v>28743</v>
      </c>
      <c r="C431" s="4">
        <v>1</v>
      </c>
      <c r="D431" s="6">
        <v>0</v>
      </c>
      <c r="E431" s="6">
        <v>-98.81</v>
      </c>
      <c r="F431" s="6">
        <v>-0.28999999999999998</v>
      </c>
      <c r="G431" s="6">
        <v>0.09</v>
      </c>
      <c r="H431" s="6">
        <v>40</v>
      </c>
    </row>
    <row r="432" spans="1:8" ht="18.95" customHeight="1">
      <c r="A432" s="4">
        <v>428</v>
      </c>
      <c r="B432" s="4">
        <v>28763</v>
      </c>
      <c r="C432" s="4">
        <v>1</v>
      </c>
      <c r="D432" s="6">
        <v>0</v>
      </c>
      <c r="E432" s="6">
        <v>-98.81</v>
      </c>
      <c r="F432" s="6">
        <v>-0.26</v>
      </c>
      <c r="G432" s="6">
        <v>0.03</v>
      </c>
      <c r="H432" s="6">
        <v>40</v>
      </c>
    </row>
    <row r="433" spans="1:8" ht="18.95" customHeight="1">
      <c r="A433" s="4">
        <v>429</v>
      </c>
      <c r="B433" s="4">
        <v>28783</v>
      </c>
      <c r="C433" s="4">
        <v>1</v>
      </c>
      <c r="D433" s="6">
        <v>0</v>
      </c>
      <c r="E433" s="6">
        <v>-98.75</v>
      </c>
      <c r="F433" s="6">
        <v>-0.24</v>
      </c>
      <c r="G433" s="6">
        <v>-0.03</v>
      </c>
      <c r="H433" s="6">
        <v>40</v>
      </c>
    </row>
    <row r="434" spans="1:8" ht="18.95" customHeight="1">
      <c r="A434" s="4">
        <v>430</v>
      </c>
      <c r="B434" s="4">
        <v>28803</v>
      </c>
      <c r="C434" s="4">
        <v>1</v>
      </c>
      <c r="D434" s="6">
        <v>0</v>
      </c>
      <c r="E434" s="6">
        <v>-98.75</v>
      </c>
      <c r="F434" s="6">
        <v>-0.21</v>
      </c>
      <c r="G434" s="6">
        <v>-7.0000000000000007E-2</v>
      </c>
      <c r="H434" s="6">
        <v>44</v>
      </c>
    </row>
    <row r="435" spans="1:8" ht="18.95" customHeight="1">
      <c r="A435" s="4">
        <v>431</v>
      </c>
      <c r="B435" s="4">
        <v>28823</v>
      </c>
      <c r="C435" s="4">
        <v>1</v>
      </c>
      <c r="D435" s="6">
        <v>0</v>
      </c>
      <c r="E435" s="6">
        <v>-98.75</v>
      </c>
      <c r="F435" s="6">
        <v>-0.18</v>
      </c>
      <c r="G435" s="6">
        <v>0.18</v>
      </c>
      <c r="H435" s="6">
        <v>44</v>
      </c>
    </row>
    <row r="436" spans="1:8" ht="18.95" customHeight="1">
      <c r="A436" s="4">
        <v>432</v>
      </c>
      <c r="B436" s="4">
        <v>28844</v>
      </c>
      <c r="C436" s="4">
        <v>1</v>
      </c>
      <c r="D436" s="6">
        <v>0</v>
      </c>
      <c r="E436" s="6">
        <v>-98.75</v>
      </c>
      <c r="F436" s="6">
        <v>-0.15</v>
      </c>
      <c r="G436" s="6">
        <v>0.04</v>
      </c>
      <c r="H436" s="6">
        <v>48</v>
      </c>
    </row>
    <row r="437" spans="1:8" ht="18.95" customHeight="1">
      <c r="A437" s="4">
        <v>433</v>
      </c>
      <c r="B437" s="4">
        <v>28864</v>
      </c>
      <c r="C437" s="4">
        <v>1</v>
      </c>
      <c r="D437" s="6">
        <v>0</v>
      </c>
      <c r="E437" s="6">
        <v>-98.69</v>
      </c>
      <c r="F437" s="6">
        <v>-0.12</v>
      </c>
      <c r="G437" s="6">
        <v>0.14000000000000001</v>
      </c>
      <c r="H437" s="6">
        <v>48</v>
      </c>
    </row>
    <row r="438" spans="1:8" ht="18.95" customHeight="1">
      <c r="A438" s="4">
        <v>434</v>
      </c>
      <c r="B438" s="4">
        <v>28884</v>
      </c>
      <c r="C438" s="4">
        <v>1</v>
      </c>
      <c r="D438" s="6">
        <v>0</v>
      </c>
      <c r="E438" s="6">
        <v>-98.69</v>
      </c>
      <c r="F438" s="6">
        <v>-0.08</v>
      </c>
      <c r="G438" s="6">
        <v>-0.02</v>
      </c>
      <c r="H438" s="6">
        <v>48</v>
      </c>
    </row>
    <row r="439" spans="1:8" ht="18.95" customHeight="1">
      <c r="A439" s="4">
        <v>435</v>
      </c>
      <c r="B439" s="4">
        <v>28904</v>
      </c>
      <c r="C439" s="4">
        <v>1</v>
      </c>
      <c r="D439" s="6">
        <v>0</v>
      </c>
      <c r="E439" s="6">
        <v>-98.69</v>
      </c>
      <c r="F439" s="6">
        <v>-0.06</v>
      </c>
      <c r="G439" s="6">
        <v>0.03</v>
      </c>
      <c r="H439" s="6">
        <v>53</v>
      </c>
    </row>
    <row r="440" spans="1:8" ht="18.95" customHeight="1">
      <c r="A440" s="4">
        <v>436</v>
      </c>
      <c r="B440" s="4">
        <v>28924</v>
      </c>
      <c r="C440" s="4">
        <v>1</v>
      </c>
      <c r="D440" s="6">
        <v>0</v>
      </c>
      <c r="E440" s="6">
        <v>-98.75</v>
      </c>
      <c r="F440" s="6">
        <v>-0.03</v>
      </c>
      <c r="G440" s="6">
        <v>0.02</v>
      </c>
      <c r="H440" s="6">
        <v>53</v>
      </c>
    </row>
    <row r="441" spans="1:8" ht="18.95" customHeight="1">
      <c r="A441" s="4">
        <v>437</v>
      </c>
      <c r="B441" s="4">
        <v>28944</v>
      </c>
      <c r="C441" s="4">
        <v>1</v>
      </c>
      <c r="D441" s="6">
        <v>0</v>
      </c>
      <c r="E441" s="6">
        <v>-98.75</v>
      </c>
      <c r="F441" s="6">
        <v>0</v>
      </c>
      <c r="G441" s="6">
        <v>0.06</v>
      </c>
      <c r="H441" s="6">
        <v>57</v>
      </c>
    </row>
    <row r="442" spans="1:8" ht="18.95" customHeight="1">
      <c r="A442" s="4">
        <v>438</v>
      </c>
      <c r="B442" s="4">
        <v>28964</v>
      </c>
      <c r="C442" s="4">
        <v>1</v>
      </c>
      <c r="D442" s="6">
        <v>0</v>
      </c>
      <c r="E442" s="6">
        <v>-98.81</v>
      </c>
      <c r="F442" s="6">
        <v>0.03</v>
      </c>
      <c r="G442" s="6">
        <v>-0.03</v>
      </c>
      <c r="H442" s="6">
        <v>57</v>
      </c>
    </row>
    <row r="443" spans="1:8" ht="18.95" customHeight="1">
      <c r="A443" s="4">
        <v>439</v>
      </c>
      <c r="B443" s="4">
        <v>28984</v>
      </c>
      <c r="C443" s="4">
        <v>1</v>
      </c>
      <c r="D443" s="6">
        <v>0</v>
      </c>
      <c r="E443" s="6">
        <v>-98.81</v>
      </c>
      <c r="F443" s="6">
        <v>0.06</v>
      </c>
      <c r="G443" s="6">
        <v>-0.05</v>
      </c>
      <c r="H443" s="6">
        <v>57</v>
      </c>
    </row>
    <row r="444" spans="1:8" ht="18.95" customHeight="1">
      <c r="A444" s="4">
        <v>440</v>
      </c>
      <c r="B444" s="4">
        <v>29004</v>
      </c>
      <c r="C444" s="4">
        <v>1</v>
      </c>
      <c r="D444" s="6">
        <v>0</v>
      </c>
      <c r="E444" s="6">
        <v>-98.87</v>
      </c>
      <c r="F444" s="6">
        <v>0.08</v>
      </c>
      <c r="G444" s="6">
        <v>7.0000000000000007E-2</v>
      </c>
      <c r="H444" s="6">
        <v>60</v>
      </c>
    </row>
    <row r="445" spans="1:8" ht="18.95" customHeight="1">
      <c r="A445" s="4">
        <v>441</v>
      </c>
      <c r="B445" s="4">
        <v>29024</v>
      </c>
      <c r="C445" s="4">
        <v>1</v>
      </c>
      <c r="D445" s="6">
        <v>0</v>
      </c>
      <c r="E445" s="6">
        <v>-98.94</v>
      </c>
      <c r="F445" s="6">
        <v>0.11</v>
      </c>
      <c r="G445" s="6">
        <v>-0.09</v>
      </c>
      <c r="H445" s="6">
        <v>60</v>
      </c>
    </row>
    <row r="446" spans="1:8" ht="18.95" customHeight="1">
      <c r="A446" s="4">
        <v>442</v>
      </c>
      <c r="B446" s="4">
        <v>29044</v>
      </c>
      <c r="C446" s="4">
        <v>1</v>
      </c>
      <c r="D446" s="6">
        <v>0</v>
      </c>
      <c r="E446" s="6">
        <v>-99</v>
      </c>
      <c r="F446" s="6">
        <v>0.14000000000000001</v>
      </c>
      <c r="G446" s="6">
        <v>-0.1</v>
      </c>
      <c r="H446" s="6">
        <v>66</v>
      </c>
    </row>
    <row r="447" spans="1:8" ht="18.95" customHeight="1">
      <c r="A447" s="4">
        <v>443</v>
      </c>
      <c r="B447" s="4">
        <v>29064</v>
      </c>
      <c r="C447" s="4">
        <v>1</v>
      </c>
      <c r="D447" s="6">
        <v>0</v>
      </c>
      <c r="E447" s="6">
        <v>-99.06</v>
      </c>
      <c r="F447" s="6">
        <v>0.16</v>
      </c>
      <c r="G447" s="6">
        <v>-0.02</v>
      </c>
      <c r="H447" s="6">
        <v>66</v>
      </c>
    </row>
    <row r="448" spans="1:8" ht="18.95" customHeight="1">
      <c r="A448" s="4">
        <v>444</v>
      </c>
      <c r="B448" s="4">
        <v>29084</v>
      </c>
      <c r="C448" s="4">
        <v>1</v>
      </c>
      <c r="D448" s="6">
        <v>0</v>
      </c>
      <c r="E448" s="6">
        <v>-99.12</v>
      </c>
      <c r="F448" s="6">
        <v>0.18</v>
      </c>
      <c r="G448" s="6">
        <v>0.12</v>
      </c>
      <c r="H448" s="6">
        <v>66</v>
      </c>
    </row>
    <row r="449" spans="1:8" ht="18.95" customHeight="1">
      <c r="A449" s="4">
        <v>445</v>
      </c>
      <c r="B449" s="4">
        <v>29104</v>
      </c>
      <c r="C449" s="4">
        <v>1</v>
      </c>
      <c r="D449" s="6">
        <v>0</v>
      </c>
      <c r="E449" s="6">
        <v>-99.19</v>
      </c>
      <c r="F449" s="6">
        <v>0.21</v>
      </c>
      <c r="G449" s="6">
        <v>0</v>
      </c>
      <c r="H449" s="6">
        <v>67</v>
      </c>
    </row>
    <row r="450" spans="1:8" ht="18.95" customHeight="1">
      <c r="A450" s="4">
        <v>446</v>
      </c>
      <c r="B450" s="4">
        <v>29124</v>
      </c>
      <c r="C450" s="4">
        <v>1</v>
      </c>
      <c r="D450" s="6">
        <v>0</v>
      </c>
      <c r="E450" s="6">
        <v>-99.25</v>
      </c>
      <c r="F450" s="6">
        <v>0.24</v>
      </c>
      <c r="G450" s="6">
        <v>0.02</v>
      </c>
      <c r="H450" s="6">
        <v>67</v>
      </c>
    </row>
    <row r="451" spans="1:8" ht="18.95" customHeight="1">
      <c r="A451" s="4">
        <v>447</v>
      </c>
      <c r="B451" s="4">
        <v>29145</v>
      </c>
      <c r="C451" s="4">
        <v>1</v>
      </c>
      <c r="D451" s="6">
        <v>0</v>
      </c>
      <c r="E451" s="6">
        <v>-99.37</v>
      </c>
      <c r="F451" s="6">
        <v>0.27</v>
      </c>
      <c r="G451" s="6">
        <v>0.16</v>
      </c>
      <c r="H451" s="6">
        <v>69</v>
      </c>
    </row>
    <row r="452" spans="1:8" ht="18.95" customHeight="1">
      <c r="A452" s="4">
        <v>448</v>
      </c>
      <c r="B452" s="4">
        <v>29165</v>
      </c>
      <c r="C452" s="4">
        <v>1</v>
      </c>
      <c r="D452" s="6">
        <v>0</v>
      </c>
      <c r="E452" s="6">
        <v>-99.5</v>
      </c>
      <c r="F452" s="6">
        <v>0.28000000000000003</v>
      </c>
      <c r="G452" s="6">
        <v>-0.04</v>
      </c>
      <c r="H452" s="6">
        <v>69</v>
      </c>
    </row>
    <row r="453" spans="1:8" ht="18.95" customHeight="1">
      <c r="A453" s="4">
        <v>449</v>
      </c>
      <c r="B453" s="4">
        <v>29185</v>
      </c>
      <c r="C453" s="4">
        <v>1</v>
      </c>
      <c r="D453" s="6">
        <v>0</v>
      </c>
      <c r="E453" s="6">
        <v>-99.62</v>
      </c>
      <c r="F453" s="6">
        <v>0.32</v>
      </c>
      <c r="G453" s="6">
        <v>0.16</v>
      </c>
      <c r="H453" s="6">
        <v>69</v>
      </c>
    </row>
    <row r="454" spans="1:8" ht="18.95" customHeight="1">
      <c r="A454" s="4">
        <v>450</v>
      </c>
      <c r="B454" s="4">
        <v>29205</v>
      </c>
      <c r="C454" s="4">
        <v>1</v>
      </c>
      <c r="D454" s="6">
        <v>0</v>
      </c>
      <c r="E454" s="6">
        <v>-99.75</v>
      </c>
      <c r="F454" s="6">
        <v>0.36</v>
      </c>
      <c r="G454" s="6">
        <v>-0.11</v>
      </c>
      <c r="H454" s="6">
        <v>74</v>
      </c>
    </row>
    <row r="455" spans="1:8" ht="18.95" customHeight="1">
      <c r="A455" s="4">
        <v>451</v>
      </c>
      <c r="B455" s="4">
        <v>29225</v>
      </c>
      <c r="C455" s="4">
        <v>1</v>
      </c>
      <c r="D455" s="6">
        <v>0</v>
      </c>
      <c r="E455" s="6">
        <v>-99.94</v>
      </c>
      <c r="F455" s="6">
        <v>0.36</v>
      </c>
      <c r="G455" s="6">
        <v>-0.04</v>
      </c>
      <c r="H455" s="6">
        <v>74</v>
      </c>
    </row>
    <row r="456" spans="1:8" ht="18.95" customHeight="1">
      <c r="A456" s="4">
        <v>452</v>
      </c>
      <c r="B456" s="4">
        <v>29245</v>
      </c>
      <c r="C456" s="4">
        <v>1</v>
      </c>
      <c r="D456" s="6">
        <v>0</v>
      </c>
      <c r="E456" s="6">
        <v>-100.06</v>
      </c>
      <c r="F456" s="6">
        <v>0.39</v>
      </c>
      <c r="G456" s="6">
        <v>0.06</v>
      </c>
      <c r="H456" s="6">
        <v>73</v>
      </c>
    </row>
    <row r="457" spans="1:8" ht="18.95" customHeight="1">
      <c r="A457" s="4">
        <v>453</v>
      </c>
      <c r="B457" s="4">
        <v>29265</v>
      </c>
      <c r="C457" s="4">
        <v>1</v>
      </c>
      <c r="D457" s="6">
        <v>0</v>
      </c>
      <c r="E457" s="6">
        <v>-100.25</v>
      </c>
      <c r="F457" s="6">
        <v>0.38</v>
      </c>
      <c r="G457" s="6">
        <v>-7.0000000000000007E-2</v>
      </c>
      <c r="H457" s="6">
        <v>73</v>
      </c>
    </row>
    <row r="458" spans="1:8" ht="18.95" customHeight="1">
      <c r="A458" s="4">
        <v>454</v>
      </c>
      <c r="B458" s="4">
        <v>29285</v>
      </c>
      <c r="C458" s="4">
        <v>1</v>
      </c>
      <c r="D458" s="6">
        <v>0</v>
      </c>
      <c r="E458" s="6">
        <v>-100.44</v>
      </c>
      <c r="F458" s="6">
        <v>0.41</v>
      </c>
      <c r="G458" s="6">
        <v>0.01</v>
      </c>
      <c r="H458" s="6">
        <v>73</v>
      </c>
    </row>
    <row r="459" spans="1:8" ht="18.95" customHeight="1">
      <c r="A459" s="4">
        <v>455</v>
      </c>
      <c r="B459" s="4">
        <v>29305</v>
      </c>
      <c r="C459" s="4">
        <v>1</v>
      </c>
      <c r="D459" s="6">
        <v>0</v>
      </c>
      <c r="E459" s="6">
        <v>-100.69</v>
      </c>
      <c r="F459" s="6">
        <v>0.42</v>
      </c>
      <c r="G459" s="6">
        <v>0.05</v>
      </c>
      <c r="H459" s="6">
        <v>76</v>
      </c>
    </row>
    <row r="460" spans="1:8" ht="18.95" customHeight="1">
      <c r="A460" s="4">
        <v>456</v>
      </c>
      <c r="B460" s="4">
        <v>29325</v>
      </c>
      <c r="C460" s="4">
        <v>1</v>
      </c>
      <c r="D460" s="6">
        <v>0</v>
      </c>
      <c r="E460" s="6">
        <v>-100.87</v>
      </c>
      <c r="F460" s="6">
        <v>0.42</v>
      </c>
      <c r="G460" s="6">
        <v>-0.26</v>
      </c>
      <c r="H460" s="6">
        <v>76</v>
      </c>
    </row>
    <row r="461" spans="1:8" ht="18.95" customHeight="1">
      <c r="A461" s="4">
        <v>457</v>
      </c>
      <c r="B461" s="4">
        <v>29345</v>
      </c>
      <c r="C461" s="4">
        <v>1</v>
      </c>
      <c r="D461" s="6">
        <v>0</v>
      </c>
      <c r="E461" s="6">
        <v>-101.12</v>
      </c>
      <c r="F461" s="6">
        <v>0.45</v>
      </c>
      <c r="G461" s="6">
        <v>-0.09</v>
      </c>
      <c r="H461" s="6">
        <v>79</v>
      </c>
    </row>
    <row r="462" spans="1:8" ht="18.95" customHeight="1">
      <c r="A462" s="4">
        <v>458</v>
      </c>
      <c r="B462" s="4">
        <v>29365</v>
      </c>
      <c r="C462" s="4">
        <v>1</v>
      </c>
      <c r="D462" s="6">
        <v>0</v>
      </c>
      <c r="E462" s="6">
        <v>-101.37</v>
      </c>
      <c r="F462" s="6">
        <v>0.45</v>
      </c>
      <c r="G462" s="6">
        <v>0</v>
      </c>
      <c r="H462" s="6">
        <v>79</v>
      </c>
    </row>
    <row r="463" spans="1:8" ht="18.95" customHeight="1">
      <c r="A463" s="4">
        <v>459</v>
      </c>
      <c r="B463" s="4">
        <v>29385</v>
      </c>
      <c r="C463" s="4">
        <v>1</v>
      </c>
      <c r="D463" s="6">
        <v>0</v>
      </c>
      <c r="E463" s="6">
        <v>-101.62</v>
      </c>
      <c r="F463" s="6">
        <v>0.43</v>
      </c>
      <c r="G463" s="6">
        <v>0</v>
      </c>
      <c r="H463" s="6">
        <v>79</v>
      </c>
    </row>
    <row r="464" spans="1:8" ht="18.95" customHeight="1">
      <c r="A464" s="4">
        <v>460</v>
      </c>
      <c r="B464" s="4">
        <v>29405</v>
      </c>
      <c r="C464" s="4">
        <v>1</v>
      </c>
      <c r="D464" s="6">
        <v>0</v>
      </c>
      <c r="E464" s="6">
        <v>-101.94</v>
      </c>
      <c r="F464" s="6">
        <v>0.43</v>
      </c>
      <c r="G464" s="6">
        <v>0.21</v>
      </c>
      <c r="H464" s="6">
        <v>79</v>
      </c>
    </row>
    <row r="465" spans="1:8" ht="18.95" customHeight="1">
      <c r="A465" s="4">
        <v>461</v>
      </c>
      <c r="B465" s="4">
        <v>29425</v>
      </c>
      <c r="C465" s="4">
        <v>1</v>
      </c>
      <c r="D465" s="6">
        <v>0</v>
      </c>
      <c r="E465" s="6">
        <v>-102.19</v>
      </c>
      <c r="F465" s="6">
        <v>0.44</v>
      </c>
      <c r="G465" s="6">
        <v>-0.08</v>
      </c>
      <c r="H465" s="6">
        <v>79</v>
      </c>
    </row>
    <row r="466" spans="1:8" ht="18.95" customHeight="1">
      <c r="A466" s="4">
        <v>462</v>
      </c>
      <c r="B466" s="4">
        <v>29445</v>
      </c>
      <c r="C466" s="4">
        <v>1</v>
      </c>
      <c r="D466" s="6">
        <v>0</v>
      </c>
      <c r="E466" s="6">
        <v>-102.5</v>
      </c>
      <c r="F466" s="6">
        <v>0.44</v>
      </c>
      <c r="G466" s="6">
        <v>-7.0000000000000007E-2</v>
      </c>
      <c r="H466" s="6">
        <v>82</v>
      </c>
    </row>
    <row r="467" spans="1:8" ht="18.95" customHeight="1">
      <c r="A467" s="4">
        <v>463</v>
      </c>
      <c r="B467" s="4">
        <v>29465</v>
      </c>
      <c r="C467" s="4">
        <v>1</v>
      </c>
      <c r="D467" s="6">
        <v>0</v>
      </c>
      <c r="E467" s="6">
        <v>-102.87</v>
      </c>
      <c r="F467" s="6">
        <v>0.48</v>
      </c>
      <c r="G467" s="6">
        <v>0.19</v>
      </c>
      <c r="H467" s="6">
        <v>82</v>
      </c>
    </row>
    <row r="468" spans="1:8" ht="18.95" customHeight="1">
      <c r="A468" s="4">
        <v>464</v>
      </c>
      <c r="B468" s="4">
        <v>29485</v>
      </c>
      <c r="C468" s="4">
        <v>1</v>
      </c>
      <c r="D468" s="6">
        <v>0</v>
      </c>
      <c r="E468" s="6">
        <v>-103.25</v>
      </c>
      <c r="F468" s="6">
        <v>0.51</v>
      </c>
      <c r="G468" s="6">
        <v>0.13</v>
      </c>
      <c r="H468" s="6">
        <v>82</v>
      </c>
    </row>
    <row r="469" spans="1:8" ht="18.95" customHeight="1">
      <c r="A469" s="4">
        <v>465</v>
      </c>
      <c r="B469" s="4">
        <v>29505</v>
      </c>
      <c r="C469" s="4">
        <v>1</v>
      </c>
      <c r="D469" s="6">
        <v>0</v>
      </c>
      <c r="E469" s="6">
        <v>-103.69</v>
      </c>
      <c r="F469" s="6">
        <v>0.5</v>
      </c>
      <c r="G469" s="6">
        <v>0.1</v>
      </c>
      <c r="H469" s="6">
        <v>80</v>
      </c>
    </row>
    <row r="470" spans="1:8" ht="18.95" customHeight="1">
      <c r="A470" s="4">
        <v>466</v>
      </c>
      <c r="B470" s="4">
        <v>29526</v>
      </c>
      <c r="C470" s="4">
        <v>1</v>
      </c>
      <c r="D470" s="6">
        <v>0</v>
      </c>
      <c r="E470" s="6">
        <v>-104.06</v>
      </c>
      <c r="F470" s="6">
        <v>0.51</v>
      </c>
      <c r="G470" s="6">
        <v>0</v>
      </c>
      <c r="H470" s="6">
        <v>80</v>
      </c>
    </row>
    <row r="471" spans="1:8" ht="18.95" customHeight="1">
      <c r="A471" s="4">
        <v>467</v>
      </c>
      <c r="B471" s="4">
        <v>29546</v>
      </c>
      <c r="C471" s="4">
        <v>1</v>
      </c>
      <c r="D471" s="6">
        <v>0</v>
      </c>
      <c r="E471" s="6">
        <v>-104.56</v>
      </c>
      <c r="F471" s="6">
        <v>0.5</v>
      </c>
      <c r="G471" s="6">
        <v>-0.01</v>
      </c>
      <c r="H471" s="6">
        <v>83</v>
      </c>
    </row>
    <row r="472" spans="1:8" ht="18.95" customHeight="1">
      <c r="A472" s="4">
        <v>468</v>
      </c>
      <c r="B472" s="4">
        <v>29566</v>
      </c>
      <c r="C472" s="4">
        <v>1</v>
      </c>
      <c r="D472" s="6">
        <v>0</v>
      </c>
      <c r="E472" s="6">
        <v>-105</v>
      </c>
      <c r="F472" s="6">
        <v>0.5</v>
      </c>
      <c r="G472" s="6">
        <v>0.13</v>
      </c>
      <c r="H472" s="6">
        <v>83</v>
      </c>
    </row>
    <row r="473" spans="1:8" ht="18.95" customHeight="1">
      <c r="A473" s="4">
        <v>469</v>
      </c>
      <c r="B473" s="4">
        <v>29586</v>
      </c>
      <c r="C473" s="4">
        <v>1</v>
      </c>
      <c r="D473" s="6">
        <v>0</v>
      </c>
      <c r="E473" s="6">
        <v>-105.5</v>
      </c>
      <c r="F473" s="6">
        <v>0.48</v>
      </c>
      <c r="G473" s="6">
        <v>0</v>
      </c>
      <c r="H473" s="6">
        <v>83</v>
      </c>
    </row>
    <row r="474" spans="1:8" ht="18.95" customHeight="1">
      <c r="A474" s="4">
        <v>470</v>
      </c>
      <c r="B474" s="4">
        <v>29606</v>
      </c>
      <c r="C474" s="4">
        <v>1</v>
      </c>
      <c r="D474" s="6">
        <v>0</v>
      </c>
      <c r="E474" s="6">
        <v>-106.06</v>
      </c>
      <c r="F474" s="6">
        <v>0.47</v>
      </c>
      <c r="G474" s="6">
        <v>0.02</v>
      </c>
      <c r="H474" s="6">
        <v>85</v>
      </c>
    </row>
    <row r="475" spans="1:8" ht="18.95" customHeight="1">
      <c r="A475" s="4">
        <v>471</v>
      </c>
      <c r="B475" s="4">
        <v>29626</v>
      </c>
      <c r="C475" s="4">
        <v>1</v>
      </c>
      <c r="D475" s="6">
        <v>0</v>
      </c>
      <c r="E475" s="6">
        <v>-106.62</v>
      </c>
      <c r="F475" s="6">
        <v>0.5</v>
      </c>
      <c r="G475" s="6">
        <v>-0.14000000000000001</v>
      </c>
      <c r="H475" s="6">
        <v>85</v>
      </c>
    </row>
    <row r="476" spans="1:8" ht="18.95" customHeight="1">
      <c r="A476" s="4">
        <v>472</v>
      </c>
      <c r="B476" s="4">
        <v>29646</v>
      </c>
      <c r="C476" s="4">
        <v>1</v>
      </c>
      <c r="D476" s="6">
        <v>0</v>
      </c>
      <c r="E476" s="6">
        <v>-107.25</v>
      </c>
      <c r="F476" s="6">
        <v>0.52</v>
      </c>
      <c r="G476" s="6">
        <v>-0.14000000000000001</v>
      </c>
      <c r="H476" s="6">
        <v>85</v>
      </c>
    </row>
    <row r="477" spans="1:8" ht="18.95" customHeight="1">
      <c r="A477" s="4">
        <v>473</v>
      </c>
      <c r="B477" s="4">
        <v>29666</v>
      </c>
      <c r="C477" s="4">
        <v>1</v>
      </c>
      <c r="D477" s="6">
        <v>0</v>
      </c>
      <c r="E477" s="6">
        <v>-107.94</v>
      </c>
      <c r="F477" s="6">
        <v>0.55000000000000004</v>
      </c>
      <c r="G477" s="6">
        <v>0.11</v>
      </c>
      <c r="H477" s="6">
        <v>85</v>
      </c>
    </row>
    <row r="478" spans="1:8" ht="18.95" customHeight="1">
      <c r="A478" s="4">
        <v>474</v>
      </c>
      <c r="B478" s="4">
        <v>29686</v>
      </c>
      <c r="C478" s="4">
        <v>1</v>
      </c>
      <c r="D478" s="6">
        <v>0</v>
      </c>
      <c r="E478" s="6">
        <v>-108.69</v>
      </c>
      <c r="F478" s="6">
        <v>0.53</v>
      </c>
      <c r="G478" s="6">
        <v>0.31</v>
      </c>
      <c r="H478" s="6">
        <v>85</v>
      </c>
    </row>
    <row r="479" spans="1:8" ht="18.95" customHeight="1">
      <c r="A479" s="4">
        <v>475</v>
      </c>
      <c r="B479" s="4">
        <v>29706</v>
      </c>
      <c r="C479" s="4">
        <v>1</v>
      </c>
      <c r="D479" s="6">
        <v>0</v>
      </c>
      <c r="E479" s="6">
        <v>-109.37</v>
      </c>
      <c r="F479" s="6">
        <v>0.54</v>
      </c>
      <c r="G479" s="6">
        <v>-0.12</v>
      </c>
      <c r="H479" s="6">
        <v>83</v>
      </c>
    </row>
    <row r="480" spans="1:8" ht="18.95" customHeight="1">
      <c r="A480" s="4">
        <v>476</v>
      </c>
      <c r="B480" s="4">
        <v>29726</v>
      </c>
      <c r="C480" s="4">
        <v>1</v>
      </c>
      <c r="D480" s="6">
        <v>0</v>
      </c>
      <c r="E480" s="6">
        <v>-110.25</v>
      </c>
      <c r="F480" s="6">
        <v>0.54</v>
      </c>
      <c r="G480" s="6">
        <v>-0.02</v>
      </c>
      <c r="H480" s="6">
        <v>83</v>
      </c>
    </row>
    <row r="481" spans="1:8" ht="18.95" customHeight="1">
      <c r="A481" s="4">
        <v>477</v>
      </c>
      <c r="B481" s="4">
        <v>29746</v>
      </c>
      <c r="C481" s="4">
        <v>1</v>
      </c>
      <c r="D481" s="6">
        <v>0</v>
      </c>
      <c r="E481" s="6">
        <v>-111.12</v>
      </c>
      <c r="F481" s="6">
        <v>0.54</v>
      </c>
      <c r="G481" s="6">
        <v>0.27</v>
      </c>
      <c r="H481" s="6">
        <v>84</v>
      </c>
    </row>
    <row r="482" spans="1:8" ht="18.95" customHeight="1">
      <c r="A482" s="4">
        <v>478</v>
      </c>
      <c r="B482" s="4">
        <v>29766</v>
      </c>
      <c r="C482" s="4">
        <v>1</v>
      </c>
      <c r="D482" s="6">
        <v>0</v>
      </c>
      <c r="E482" s="6">
        <v>-112.12</v>
      </c>
      <c r="F482" s="6">
        <v>0.52</v>
      </c>
      <c r="G482" s="6">
        <v>-0.12</v>
      </c>
      <c r="H482" s="6">
        <v>84</v>
      </c>
    </row>
    <row r="483" spans="1:8" ht="18.95" customHeight="1">
      <c r="A483" s="4">
        <v>479</v>
      </c>
      <c r="B483" s="4">
        <v>29786</v>
      </c>
      <c r="C483" s="4">
        <v>1</v>
      </c>
      <c r="D483" s="6">
        <v>0</v>
      </c>
      <c r="E483" s="6">
        <v>-113.19</v>
      </c>
      <c r="F483" s="6">
        <v>0.53</v>
      </c>
      <c r="G483" s="6">
        <v>0.12</v>
      </c>
      <c r="H483" s="6">
        <v>84</v>
      </c>
    </row>
    <row r="484" spans="1:8" ht="18.95" customHeight="1">
      <c r="A484" s="4">
        <v>480</v>
      </c>
      <c r="B484" s="4">
        <v>29806</v>
      </c>
      <c r="C484" s="4">
        <v>1</v>
      </c>
      <c r="D484" s="6">
        <v>0</v>
      </c>
      <c r="E484" s="6">
        <v>-114.37</v>
      </c>
      <c r="F484" s="6">
        <v>0.55000000000000004</v>
      </c>
      <c r="G484" s="6">
        <v>0.18</v>
      </c>
      <c r="H484" s="6">
        <v>85</v>
      </c>
    </row>
    <row r="485" spans="1:8" ht="18.95" customHeight="1">
      <c r="A485" s="4">
        <v>481</v>
      </c>
      <c r="B485" s="4">
        <v>29826</v>
      </c>
      <c r="C485" s="4">
        <v>1</v>
      </c>
      <c r="D485" s="6">
        <v>0</v>
      </c>
      <c r="E485" s="6">
        <v>-115.81</v>
      </c>
      <c r="F485" s="6">
        <v>0.56000000000000005</v>
      </c>
      <c r="G485" s="6">
        <v>0.04</v>
      </c>
      <c r="H485" s="6">
        <v>85</v>
      </c>
    </row>
    <row r="486" spans="1:8" ht="18.95" customHeight="1">
      <c r="A486" s="4">
        <v>482</v>
      </c>
      <c r="B486" s="4">
        <v>29846</v>
      </c>
      <c r="C486" s="4">
        <v>1</v>
      </c>
      <c r="D486" s="6">
        <v>0</v>
      </c>
      <c r="E486" s="6">
        <v>-117.37</v>
      </c>
      <c r="F486" s="6">
        <v>0.55000000000000004</v>
      </c>
      <c r="G486" s="6">
        <v>-0.08</v>
      </c>
      <c r="H486" s="6">
        <v>83</v>
      </c>
    </row>
    <row r="487" spans="1:8" ht="18.95" customHeight="1">
      <c r="A487" s="4">
        <v>483</v>
      </c>
      <c r="B487" s="4">
        <v>29867</v>
      </c>
      <c r="C487" s="4">
        <v>1</v>
      </c>
      <c r="D487" s="6">
        <v>0</v>
      </c>
      <c r="E487" s="6">
        <v>-119.06</v>
      </c>
      <c r="F487" s="6">
        <v>0.51</v>
      </c>
      <c r="G487" s="6">
        <v>0.14000000000000001</v>
      </c>
      <c r="H487" s="6">
        <v>83</v>
      </c>
    </row>
    <row r="488" spans="1:8" ht="18.95" customHeight="1">
      <c r="A488" s="4">
        <v>484</v>
      </c>
      <c r="B488" s="4">
        <v>29887</v>
      </c>
      <c r="C488" s="4">
        <v>1</v>
      </c>
      <c r="D488" s="6">
        <v>0</v>
      </c>
      <c r="E488" s="6">
        <v>-120.87</v>
      </c>
      <c r="F488" s="6">
        <v>0.5</v>
      </c>
      <c r="G488" s="6">
        <v>0.02</v>
      </c>
      <c r="H488" s="6">
        <v>83</v>
      </c>
    </row>
    <row r="489" spans="1:8" ht="18.95" customHeight="1">
      <c r="A489" s="4">
        <v>485</v>
      </c>
      <c r="B489" s="4">
        <v>29907</v>
      </c>
      <c r="C489" s="4">
        <v>1</v>
      </c>
      <c r="D489" s="6">
        <v>0</v>
      </c>
      <c r="E489" s="6">
        <v>-122.87</v>
      </c>
      <c r="F489" s="6">
        <v>0.5</v>
      </c>
      <c r="G489" s="6">
        <v>0.18</v>
      </c>
      <c r="H489" s="6">
        <v>81</v>
      </c>
    </row>
    <row r="490" spans="1:8" ht="18.95" customHeight="1">
      <c r="A490" s="4">
        <v>486</v>
      </c>
      <c r="B490" s="4">
        <v>29927</v>
      </c>
      <c r="C490" s="4">
        <v>1</v>
      </c>
      <c r="D490" s="6">
        <v>0</v>
      </c>
      <c r="E490" s="6">
        <v>-125.12</v>
      </c>
      <c r="F490" s="6">
        <v>0.5</v>
      </c>
      <c r="G490" s="6">
        <v>0.1</v>
      </c>
      <c r="H490" s="6">
        <v>81</v>
      </c>
    </row>
    <row r="491" spans="1:8" ht="18.95" customHeight="1">
      <c r="A491" s="4">
        <v>487</v>
      </c>
      <c r="B491" s="4">
        <v>29947</v>
      </c>
      <c r="C491" s="4">
        <v>1</v>
      </c>
      <c r="D491" s="6">
        <v>0</v>
      </c>
      <c r="E491" s="6">
        <v>-174.56</v>
      </c>
      <c r="F491" s="6">
        <v>0.46</v>
      </c>
      <c r="G491" s="6">
        <v>0.14000000000000001</v>
      </c>
      <c r="H491" s="6">
        <v>83</v>
      </c>
    </row>
    <row r="492" spans="1:8" ht="18.95" customHeight="1">
      <c r="A492" s="4">
        <v>488</v>
      </c>
      <c r="B492" s="4">
        <v>29967</v>
      </c>
      <c r="C492" s="4">
        <v>1</v>
      </c>
      <c r="D492" s="6">
        <v>0</v>
      </c>
      <c r="E492" s="6">
        <v>-175.06</v>
      </c>
      <c r="F492" s="6">
        <v>0.46</v>
      </c>
      <c r="G492" s="6">
        <v>0</v>
      </c>
      <c r="H492" s="6">
        <v>83</v>
      </c>
    </row>
    <row r="493" spans="1:8" ht="18.95" customHeight="1">
      <c r="A493" s="4">
        <v>489</v>
      </c>
      <c r="B493" s="4">
        <v>29987</v>
      </c>
      <c r="C493" s="4">
        <v>1</v>
      </c>
      <c r="D493" s="6">
        <v>0</v>
      </c>
      <c r="E493" s="6">
        <v>-175.56</v>
      </c>
      <c r="F493" s="6">
        <v>0.43</v>
      </c>
      <c r="G493" s="6">
        <v>0.14000000000000001</v>
      </c>
      <c r="H493" s="6">
        <v>83</v>
      </c>
    </row>
    <row r="494" spans="1:8" ht="18.95" customHeight="1">
      <c r="A494" s="4">
        <v>490</v>
      </c>
      <c r="B494" s="4">
        <v>30007</v>
      </c>
      <c r="C494" s="4">
        <v>1</v>
      </c>
      <c r="D494" s="6">
        <v>0</v>
      </c>
      <c r="E494" s="6">
        <v>-176.06</v>
      </c>
      <c r="F494" s="6">
        <v>0.41</v>
      </c>
      <c r="G494" s="6">
        <v>7.0000000000000007E-2</v>
      </c>
      <c r="H494" s="6">
        <v>78</v>
      </c>
    </row>
    <row r="495" spans="1:8" ht="18.95" customHeight="1">
      <c r="A495" s="4">
        <v>491</v>
      </c>
      <c r="B495" s="4">
        <v>30027</v>
      </c>
      <c r="C495" s="4">
        <v>1</v>
      </c>
      <c r="D495" s="6">
        <v>0</v>
      </c>
      <c r="E495" s="6">
        <v>-176.5</v>
      </c>
      <c r="F495" s="6">
        <v>0.41</v>
      </c>
      <c r="G495" s="6">
        <v>0.05</v>
      </c>
      <c r="H495" s="6">
        <v>78</v>
      </c>
    </row>
    <row r="496" spans="1:8" ht="18.95" customHeight="1">
      <c r="A496" s="4">
        <v>492</v>
      </c>
      <c r="B496" s="4">
        <v>30047</v>
      </c>
      <c r="C496" s="4">
        <v>1</v>
      </c>
      <c r="D496" s="6">
        <v>0</v>
      </c>
      <c r="E496" s="6">
        <v>-176.94</v>
      </c>
      <c r="F496" s="6">
        <v>0.37</v>
      </c>
      <c r="G496" s="6">
        <v>0.09</v>
      </c>
      <c r="H496" s="6">
        <v>74</v>
      </c>
    </row>
    <row r="497" spans="1:8" ht="18.95" customHeight="1">
      <c r="A497" s="4">
        <v>493</v>
      </c>
      <c r="B497" s="4">
        <v>30067</v>
      </c>
      <c r="C497" s="4">
        <v>1</v>
      </c>
      <c r="D497" s="6">
        <v>0</v>
      </c>
      <c r="E497" s="6">
        <v>-177.31</v>
      </c>
      <c r="F497" s="6">
        <v>0.38</v>
      </c>
      <c r="G497" s="6">
        <v>0.01</v>
      </c>
      <c r="H497" s="6">
        <v>74</v>
      </c>
    </row>
    <row r="498" spans="1:8" ht="18.95" customHeight="1">
      <c r="A498" s="4">
        <v>494</v>
      </c>
      <c r="B498" s="4">
        <v>30087</v>
      </c>
      <c r="C498" s="4">
        <v>1</v>
      </c>
      <c r="D498" s="6">
        <v>0</v>
      </c>
      <c r="E498" s="6">
        <v>-177.75</v>
      </c>
      <c r="F498" s="6">
        <v>0.36</v>
      </c>
      <c r="G498" s="6">
        <v>-0.02</v>
      </c>
      <c r="H498" s="6">
        <v>74</v>
      </c>
    </row>
    <row r="499" spans="1:8" ht="18.95" customHeight="1">
      <c r="A499" s="4">
        <v>495</v>
      </c>
      <c r="B499" s="4">
        <v>30107</v>
      </c>
      <c r="C499" s="4">
        <v>1</v>
      </c>
      <c r="D499" s="6">
        <v>0</v>
      </c>
      <c r="E499" s="6">
        <v>-178.13</v>
      </c>
      <c r="F499" s="6">
        <v>0.33</v>
      </c>
      <c r="G499" s="6">
        <v>-0.02</v>
      </c>
      <c r="H499" s="6">
        <v>75</v>
      </c>
    </row>
    <row r="500" spans="1:8" ht="18.95" customHeight="1">
      <c r="A500" s="4">
        <v>496</v>
      </c>
      <c r="B500" s="4">
        <v>30127</v>
      </c>
      <c r="C500" s="4">
        <v>1</v>
      </c>
      <c r="D500" s="6">
        <v>0</v>
      </c>
      <c r="E500" s="6">
        <v>-178.5</v>
      </c>
      <c r="F500" s="6">
        <v>0.31</v>
      </c>
      <c r="G500" s="6">
        <v>0.03</v>
      </c>
      <c r="H500" s="6">
        <v>75</v>
      </c>
    </row>
    <row r="501" spans="1:8" ht="18.95" customHeight="1">
      <c r="A501" s="4">
        <v>497</v>
      </c>
      <c r="B501" s="4">
        <v>30147</v>
      </c>
      <c r="C501" s="4">
        <v>1</v>
      </c>
      <c r="D501" s="6">
        <v>0</v>
      </c>
      <c r="E501" s="6">
        <v>-178.81</v>
      </c>
      <c r="F501" s="6">
        <v>0.28999999999999998</v>
      </c>
      <c r="G501" s="6">
        <v>-0.2</v>
      </c>
      <c r="H501" s="6">
        <v>73</v>
      </c>
    </row>
    <row r="502" spans="1:8" ht="18.95" customHeight="1">
      <c r="A502" s="4">
        <v>498</v>
      </c>
      <c r="B502" s="4">
        <v>30167</v>
      </c>
      <c r="C502" s="4">
        <v>1</v>
      </c>
      <c r="D502" s="6">
        <v>0</v>
      </c>
      <c r="E502" s="6">
        <v>-179.13</v>
      </c>
      <c r="F502" s="6">
        <v>0.27</v>
      </c>
      <c r="G502" s="6">
        <v>0.14000000000000001</v>
      </c>
      <c r="H502" s="6">
        <v>73</v>
      </c>
    </row>
    <row r="503" spans="1:8" ht="18.95" customHeight="1">
      <c r="A503" s="4">
        <v>499</v>
      </c>
      <c r="B503" s="4">
        <v>30187</v>
      </c>
      <c r="C503" s="4">
        <v>1</v>
      </c>
      <c r="D503" s="6">
        <v>0</v>
      </c>
      <c r="E503" s="6">
        <v>-179.44</v>
      </c>
      <c r="F503" s="6">
        <v>0.24</v>
      </c>
      <c r="G503" s="6">
        <v>0</v>
      </c>
      <c r="H503" s="6">
        <v>73</v>
      </c>
    </row>
    <row r="504" spans="1:8" ht="18.95" customHeight="1">
      <c r="A504" s="4">
        <v>500</v>
      </c>
      <c r="B504" s="4">
        <v>30208</v>
      </c>
      <c r="C504" s="4">
        <v>1</v>
      </c>
      <c r="D504" s="6">
        <v>0</v>
      </c>
      <c r="E504" s="6">
        <v>-179.69</v>
      </c>
      <c r="F504" s="6">
        <v>0.21</v>
      </c>
      <c r="G504" s="6">
        <v>0.19</v>
      </c>
      <c r="H504" s="6">
        <v>68</v>
      </c>
    </row>
    <row r="505" spans="1:8" ht="18.95" customHeight="1">
      <c r="A505" s="4">
        <v>501</v>
      </c>
      <c r="B505" s="4">
        <v>30228</v>
      </c>
      <c r="C505" s="4">
        <v>1</v>
      </c>
      <c r="D505" s="6">
        <v>0</v>
      </c>
      <c r="E505" s="6">
        <v>-179.94</v>
      </c>
      <c r="F505" s="6">
        <v>0.19</v>
      </c>
      <c r="G505" s="6">
        <v>7.0000000000000007E-2</v>
      </c>
      <c r="H505" s="6">
        <v>68</v>
      </c>
    </row>
    <row r="506" spans="1:8" ht="18.95" customHeight="1">
      <c r="A506" s="4">
        <v>502</v>
      </c>
      <c r="B506" s="4">
        <v>30248</v>
      </c>
      <c r="C506" s="4">
        <v>1</v>
      </c>
      <c r="D506" s="6">
        <v>0</v>
      </c>
      <c r="E506" s="6">
        <v>179.81</v>
      </c>
      <c r="F506" s="6">
        <v>0.17</v>
      </c>
      <c r="G506" s="6">
        <v>0.12</v>
      </c>
      <c r="H506" s="6">
        <v>68</v>
      </c>
    </row>
    <row r="507" spans="1:8" ht="18.95" customHeight="1">
      <c r="A507" s="4">
        <v>503</v>
      </c>
      <c r="B507" s="4">
        <v>30268</v>
      </c>
      <c r="C507" s="4">
        <v>1</v>
      </c>
      <c r="D507" s="6">
        <v>0</v>
      </c>
      <c r="E507" s="6">
        <v>179.63</v>
      </c>
      <c r="F507" s="6">
        <v>0.15</v>
      </c>
      <c r="G507" s="6">
        <v>-0.02</v>
      </c>
      <c r="H507" s="6">
        <v>68</v>
      </c>
    </row>
    <row r="508" spans="1:8" ht="18.95" customHeight="1">
      <c r="A508" s="4">
        <v>504</v>
      </c>
      <c r="B508" s="4">
        <v>30288</v>
      </c>
      <c r="C508" s="4">
        <v>1</v>
      </c>
      <c r="D508" s="6">
        <v>0</v>
      </c>
      <c r="E508" s="6">
        <v>179.44</v>
      </c>
      <c r="F508" s="6">
        <v>0.12</v>
      </c>
      <c r="G508" s="6">
        <v>0.14000000000000001</v>
      </c>
      <c r="H508" s="6">
        <v>68</v>
      </c>
    </row>
    <row r="509" spans="1:8" ht="18.95" customHeight="1">
      <c r="A509" s="4">
        <v>505</v>
      </c>
      <c r="B509" s="4">
        <v>30308</v>
      </c>
      <c r="C509" s="4">
        <v>1</v>
      </c>
      <c r="D509" s="6">
        <v>0</v>
      </c>
      <c r="E509" s="6">
        <v>179.31</v>
      </c>
      <c r="F509" s="6">
        <v>0.09</v>
      </c>
      <c r="G509" s="6">
        <v>0.03</v>
      </c>
      <c r="H509" s="6">
        <v>65</v>
      </c>
    </row>
    <row r="510" spans="1:8" ht="18.95" customHeight="1">
      <c r="A510" s="4">
        <v>506</v>
      </c>
      <c r="B510" s="4">
        <v>30328</v>
      </c>
      <c r="C510" s="4">
        <v>1</v>
      </c>
      <c r="D510" s="6">
        <v>0</v>
      </c>
      <c r="E510" s="6">
        <v>179.25</v>
      </c>
      <c r="F510" s="6">
        <v>7.0000000000000007E-2</v>
      </c>
      <c r="G510" s="6">
        <v>-0.15</v>
      </c>
      <c r="H510" s="6">
        <v>65</v>
      </c>
    </row>
    <row r="511" spans="1:8" ht="18.95" customHeight="1">
      <c r="A511" s="4">
        <v>507</v>
      </c>
      <c r="B511" s="4">
        <v>30348</v>
      </c>
      <c r="C511" s="4">
        <v>1</v>
      </c>
      <c r="D511" s="6">
        <v>0</v>
      </c>
      <c r="E511" s="6">
        <v>179.19</v>
      </c>
      <c r="F511" s="6">
        <v>0.05</v>
      </c>
      <c r="G511" s="6">
        <v>7.0000000000000007E-2</v>
      </c>
      <c r="H511" s="6">
        <v>63</v>
      </c>
    </row>
    <row r="512" spans="1:8" ht="18.95" customHeight="1">
      <c r="A512" s="4">
        <v>508</v>
      </c>
      <c r="B512" s="4">
        <v>30368</v>
      </c>
      <c r="C512" s="4">
        <v>0</v>
      </c>
      <c r="D512" s="6">
        <v>0</v>
      </c>
      <c r="E512" s="6">
        <v>179.13</v>
      </c>
      <c r="F512" s="6">
        <v>0.01</v>
      </c>
      <c r="G512" s="6">
        <v>-0.17</v>
      </c>
      <c r="H512" s="6">
        <v>63</v>
      </c>
    </row>
    <row r="513" spans="1:8" ht="18.95" customHeight="1">
      <c r="A513" s="4">
        <v>509</v>
      </c>
      <c r="B513" s="4">
        <v>30388</v>
      </c>
      <c r="C513" s="4">
        <v>0</v>
      </c>
      <c r="D513" s="6">
        <v>0</v>
      </c>
      <c r="E513" s="6">
        <v>179.13</v>
      </c>
      <c r="F513" s="6">
        <v>-0.01</v>
      </c>
      <c r="G513" s="6">
        <v>0.21</v>
      </c>
      <c r="H513" s="6">
        <v>63</v>
      </c>
    </row>
    <row r="514" spans="1:8" ht="18.95" customHeight="1">
      <c r="A514" s="4">
        <v>510</v>
      </c>
      <c r="B514" s="4">
        <v>30408</v>
      </c>
      <c r="C514" s="4">
        <v>0</v>
      </c>
      <c r="D514" s="6">
        <v>0</v>
      </c>
      <c r="E514" s="6">
        <v>179.13</v>
      </c>
      <c r="F514" s="6">
        <v>-0.03</v>
      </c>
      <c r="G514" s="6">
        <v>0.05</v>
      </c>
      <c r="H514" s="6">
        <v>59</v>
      </c>
    </row>
    <row r="515" spans="1:8" ht="18.95" customHeight="1">
      <c r="A515" s="4">
        <v>511</v>
      </c>
      <c r="B515" s="4">
        <v>30428</v>
      </c>
      <c r="C515" s="4">
        <v>0</v>
      </c>
      <c r="D515" s="6">
        <v>0</v>
      </c>
      <c r="E515" s="6">
        <v>179.19</v>
      </c>
      <c r="F515" s="6">
        <v>-0.06</v>
      </c>
      <c r="G515" s="6">
        <v>0.26</v>
      </c>
      <c r="H515" s="6">
        <v>59</v>
      </c>
    </row>
    <row r="516" spans="1:8" ht="18.95" customHeight="1">
      <c r="A516" s="4">
        <v>512</v>
      </c>
      <c r="B516" s="4">
        <v>30448</v>
      </c>
      <c r="C516" s="4">
        <v>1</v>
      </c>
      <c r="D516" s="6">
        <v>0</v>
      </c>
      <c r="E516" s="6">
        <v>179.25</v>
      </c>
      <c r="F516" s="6">
        <v>-0.11</v>
      </c>
      <c r="G516" s="6">
        <v>0.12</v>
      </c>
      <c r="H516" s="6">
        <v>52</v>
      </c>
    </row>
    <row r="517" spans="1:8" ht="18.95" customHeight="1">
      <c r="A517" s="4">
        <v>513</v>
      </c>
      <c r="B517" s="4">
        <v>30468</v>
      </c>
      <c r="C517" s="4">
        <v>1</v>
      </c>
      <c r="D517" s="6">
        <v>0</v>
      </c>
      <c r="E517" s="6">
        <v>179.38</v>
      </c>
      <c r="F517" s="6">
        <v>-0.12</v>
      </c>
      <c r="G517" s="6">
        <v>0.1</v>
      </c>
      <c r="H517" s="6">
        <v>52</v>
      </c>
    </row>
    <row r="518" spans="1:8" ht="18.95" customHeight="1">
      <c r="A518" s="4">
        <v>514</v>
      </c>
      <c r="B518" s="4">
        <v>30488</v>
      </c>
      <c r="C518" s="4">
        <v>1</v>
      </c>
      <c r="D518" s="6">
        <v>0</v>
      </c>
      <c r="E518" s="6">
        <v>179.5</v>
      </c>
      <c r="F518" s="6">
        <v>-0.15</v>
      </c>
      <c r="G518" s="6">
        <v>0.19</v>
      </c>
      <c r="H518" s="6">
        <v>52</v>
      </c>
    </row>
    <row r="519" spans="1:8" ht="18.95" customHeight="1">
      <c r="A519" s="4">
        <v>515</v>
      </c>
      <c r="B519" s="4">
        <v>30508</v>
      </c>
      <c r="C519" s="4">
        <v>1</v>
      </c>
      <c r="D519" s="6">
        <v>0</v>
      </c>
      <c r="E519" s="6">
        <v>179.69</v>
      </c>
      <c r="F519" s="6">
        <v>-0.2</v>
      </c>
      <c r="G519" s="6">
        <v>7.0000000000000007E-2</v>
      </c>
      <c r="H519" s="6">
        <v>50</v>
      </c>
    </row>
    <row r="520" spans="1:8" ht="18.95" customHeight="1">
      <c r="A520" s="4">
        <v>516</v>
      </c>
      <c r="B520" s="4">
        <v>30528</v>
      </c>
      <c r="C520" s="4">
        <v>1</v>
      </c>
      <c r="D520" s="6">
        <v>0</v>
      </c>
      <c r="E520" s="6">
        <v>179.88</v>
      </c>
      <c r="F520" s="6">
        <v>-0.21</v>
      </c>
      <c r="G520" s="6">
        <v>0.03</v>
      </c>
      <c r="H520" s="6">
        <v>50</v>
      </c>
    </row>
    <row r="521" spans="1:8" ht="18.95" customHeight="1">
      <c r="A521" s="4">
        <v>517</v>
      </c>
      <c r="B521" s="4">
        <v>30548</v>
      </c>
      <c r="C521" s="4">
        <v>1</v>
      </c>
      <c r="D521" s="6">
        <v>600</v>
      </c>
      <c r="E521" s="6">
        <v>-179.81</v>
      </c>
      <c r="F521" s="6">
        <v>-0.25</v>
      </c>
      <c r="G521" s="6">
        <v>-7.0000000000000007E-2</v>
      </c>
      <c r="H521" s="6">
        <v>47</v>
      </c>
    </row>
    <row r="522" spans="1:8" ht="18.95" customHeight="1">
      <c r="A522" s="4">
        <v>518</v>
      </c>
      <c r="B522" s="4">
        <v>30568</v>
      </c>
      <c r="C522" s="4">
        <v>1</v>
      </c>
      <c r="D522" s="6">
        <v>600</v>
      </c>
      <c r="E522" s="6">
        <v>-179.5</v>
      </c>
      <c r="F522" s="6">
        <v>-0.26</v>
      </c>
      <c r="G522" s="6">
        <v>-0.21</v>
      </c>
      <c r="H522" s="6">
        <v>47</v>
      </c>
    </row>
    <row r="523" spans="1:8" ht="18.95" customHeight="1">
      <c r="A523" s="4">
        <v>519</v>
      </c>
      <c r="B523" s="4">
        <v>30588</v>
      </c>
      <c r="C523" s="4">
        <v>1</v>
      </c>
      <c r="D523" s="6">
        <v>600</v>
      </c>
      <c r="E523" s="6">
        <v>-179.25</v>
      </c>
      <c r="F523" s="6">
        <v>-0.31</v>
      </c>
      <c r="G523" s="6">
        <v>0.17</v>
      </c>
      <c r="H523" s="6">
        <v>47</v>
      </c>
    </row>
    <row r="524" spans="1:8" ht="18.95" customHeight="1">
      <c r="A524" s="4">
        <v>520</v>
      </c>
      <c r="B524" s="4">
        <v>30608</v>
      </c>
      <c r="C524" s="4">
        <v>1</v>
      </c>
      <c r="D524" s="6">
        <v>600</v>
      </c>
      <c r="E524" s="6">
        <v>-178.88</v>
      </c>
      <c r="F524" s="6">
        <v>-0.32</v>
      </c>
      <c r="G524" s="6">
        <v>0.19</v>
      </c>
      <c r="H524" s="6">
        <v>41</v>
      </c>
    </row>
    <row r="525" spans="1:8" ht="18.95" customHeight="1">
      <c r="A525" s="4">
        <v>521</v>
      </c>
      <c r="B525" s="4">
        <v>30628</v>
      </c>
      <c r="C525" s="4">
        <v>1</v>
      </c>
      <c r="D525" s="6">
        <v>600</v>
      </c>
      <c r="E525" s="6">
        <v>-178.56</v>
      </c>
      <c r="F525" s="6">
        <v>-0.33</v>
      </c>
      <c r="G525" s="6">
        <v>-0.01</v>
      </c>
      <c r="H525" s="6">
        <v>41</v>
      </c>
    </row>
    <row r="526" spans="1:8" ht="18.95" customHeight="1">
      <c r="A526" s="4">
        <v>522</v>
      </c>
      <c r="B526" s="4">
        <v>30648</v>
      </c>
      <c r="C526" s="4">
        <v>1</v>
      </c>
      <c r="D526" s="6">
        <v>0</v>
      </c>
      <c r="E526" s="6">
        <v>-178.19</v>
      </c>
      <c r="F526" s="6">
        <v>-0.36</v>
      </c>
      <c r="G526" s="6">
        <v>-0.17</v>
      </c>
      <c r="H526" s="6">
        <v>37</v>
      </c>
    </row>
    <row r="527" spans="1:8" ht="18.95" customHeight="1">
      <c r="A527" s="4">
        <v>523</v>
      </c>
      <c r="B527" s="4">
        <v>30668</v>
      </c>
      <c r="C527" s="4">
        <v>1</v>
      </c>
      <c r="D527" s="6">
        <v>0</v>
      </c>
      <c r="E527" s="6">
        <v>-177.75</v>
      </c>
      <c r="F527" s="6">
        <v>-0.38</v>
      </c>
      <c r="G527" s="6">
        <v>0.03</v>
      </c>
      <c r="H527" s="6">
        <v>37</v>
      </c>
    </row>
    <row r="528" spans="1:8" ht="18.95" customHeight="1">
      <c r="A528" s="4">
        <v>524</v>
      </c>
      <c r="B528" s="4">
        <v>30688</v>
      </c>
      <c r="C528" s="4">
        <v>1</v>
      </c>
      <c r="D528" s="6">
        <v>0</v>
      </c>
      <c r="E528" s="6">
        <v>-177.31</v>
      </c>
      <c r="F528" s="6">
        <v>-0.39</v>
      </c>
      <c r="G528" s="6">
        <v>0</v>
      </c>
      <c r="H528" s="6">
        <v>37</v>
      </c>
    </row>
    <row r="529" spans="1:8" ht="18.95" customHeight="1">
      <c r="A529" s="4">
        <v>525</v>
      </c>
      <c r="B529" s="4">
        <v>30708</v>
      </c>
      <c r="C529" s="4">
        <v>1</v>
      </c>
      <c r="D529" s="6">
        <v>0</v>
      </c>
      <c r="E529" s="6">
        <v>-176.88</v>
      </c>
      <c r="F529" s="6">
        <v>-0.42</v>
      </c>
      <c r="G529" s="6">
        <v>0.12</v>
      </c>
      <c r="H529" s="6">
        <v>32</v>
      </c>
    </row>
    <row r="530" spans="1:8" ht="18.95" customHeight="1">
      <c r="A530" s="4">
        <v>526</v>
      </c>
      <c r="B530" s="4">
        <v>30728</v>
      </c>
      <c r="C530" s="4">
        <v>1</v>
      </c>
      <c r="D530" s="6">
        <v>0</v>
      </c>
      <c r="E530" s="6">
        <v>-176.44</v>
      </c>
      <c r="F530" s="6">
        <v>-0.43</v>
      </c>
      <c r="G530" s="6">
        <v>-0.01</v>
      </c>
      <c r="H530" s="6">
        <v>32</v>
      </c>
    </row>
    <row r="531" spans="1:8" ht="18.95" customHeight="1">
      <c r="A531" s="4">
        <v>527</v>
      </c>
      <c r="B531" s="4">
        <v>30748</v>
      </c>
      <c r="C531" s="4">
        <v>1</v>
      </c>
      <c r="D531" s="6">
        <v>0</v>
      </c>
      <c r="E531" s="6">
        <v>-175.94</v>
      </c>
      <c r="F531" s="6">
        <v>-0.44</v>
      </c>
      <c r="G531" s="6">
        <v>0.13</v>
      </c>
      <c r="H531" s="6">
        <v>29</v>
      </c>
    </row>
    <row r="532" spans="1:8" ht="18.95" customHeight="1">
      <c r="A532" s="4">
        <v>528</v>
      </c>
      <c r="B532" s="4">
        <v>30768</v>
      </c>
      <c r="C532" s="4">
        <v>1</v>
      </c>
      <c r="D532" s="6">
        <v>0</v>
      </c>
      <c r="E532" s="6">
        <v>-175.44</v>
      </c>
      <c r="F532" s="6">
        <v>-0.44</v>
      </c>
      <c r="G532" s="6">
        <v>0.11</v>
      </c>
      <c r="H532" s="6">
        <v>29</v>
      </c>
    </row>
    <row r="533" spans="1:8" ht="18.95" customHeight="1">
      <c r="A533" s="4">
        <v>529</v>
      </c>
      <c r="B533" s="4">
        <v>30788</v>
      </c>
      <c r="C533" s="4">
        <v>1</v>
      </c>
      <c r="D533" s="6">
        <v>0</v>
      </c>
      <c r="E533" s="6">
        <v>-175</v>
      </c>
      <c r="F533" s="6">
        <v>-0.45</v>
      </c>
      <c r="G533" s="6">
        <v>0.06</v>
      </c>
      <c r="H533" s="6">
        <v>29</v>
      </c>
    </row>
    <row r="534" spans="1:8" ht="18.95" customHeight="1">
      <c r="A534" s="4">
        <v>530</v>
      </c>
      <c r="B534" s="4">
        <v>30808</v>
      </c>
      <c r="C534" s="4">
        <v>1</v>
      </c>
      <c r="D534" s="6">
        <v>0</v>
      </c>
      <c r="E534" s="6">
        <v>-126.62</v>
      </c>
      <c r="F534" s="6">
        <v>-0.46</v>
      </c>
      <c r="G534" s="6">
        <v>0.14000000000000001</v>
      </c>
      <c r="H534" s="6">
        <v>26</v>
      </c>
    </row>
    <row r="535" spans="1:8" ht="18.95" customHeight="1">
      <c r="A535" s="4">
        <v>531</v>
      </c>
      <c r="B535" s="4">
        <v>30828</v>
      </c>
      <c r="C535" s="4">
        <v>1</v>
      </c>
      <c r="D535" s="6">
        <v>0</v>
      </c>
      <c r="E535" s="6">
        <v>-124.12</v>
      </c>
      <c r="F535" s="6">
        <v>-0.5</v>
      </c>
      <c r="G535" s="6">
        <v>-0.02</v>
      </c>
      <c r="H535" s="6">
        <v>26</v>
      </c>
    </row>
    <row r="536" spans="1:8" ht="18.95" customHeight="1">
      <c r="A536" s="4">
        <v>532</v>
      </c>
      <c r="B536" s="4">
        <v>30849</v>
      </c>
      <c r="C536" s="4">
        <v>1</v>
      </c>
      <c r="D536" s="6">
        <v>0</v>
      </c>
      <c r="E536" s="6">
        <v>-121.75</v>
      </c>
      <c r="F536" s="6">
        <v>-0.52</v>
      </c>
      <c r="G536" s="6">
        <v>0.01</v>
      </c>
      <c r="H536" s="6">
        <v>24</v>
      </c>
    </row>
    <row r="537" spans="1:8" ht="18.95" customHeight="1">
      <c r="A537" s="4">
        <v>533</v>
      </c>
      <c r="B537" s="4">
        <v>30869</v>
      </c>
      <c r="C537" s="4">
        <v>1</v>
      </c>
      <c r="D537" s="6">
        <v>0</v>
      </c>
      <c r="E537" s="6">
        <v>-119.69</v>
      </c>
      <c r="F537" s="6">
        <v>-0.51</v>
      </c>
      <c r="G537" s="6">
        <v>0.15</v>
      </c>
      <c r="H537" s="6">
        <v>24</v>
      </c>
    </row>
    <row r="538" spans="1:8" ht="18.95" customHeight="1">
      <c r="A538" s="4">
        <v>534</v>
      </c>
      <c r="B538" s="4">
        <v>30889</v>
      </c>
      <c r="C538" s="4">
        <v>1</v>
      </c>
      <c r="D538" s="6">
        <v>0</v>
      </c>
      <c r="E538" s="6">
        <v>-117.75</v>
      </c>
      <c r="F538" s="6">
        <v>-0.54</v>
      </c>
      <c r="G538" s="6">
        <v>-0.01</v>
      </c>
      <c r="H538" s="6">
        <v>24</v>
      </c>
    </row>
    <row r="539" spans="1:8" ht="18.95" customHeight="1">
      <c r="A539" s="4">
        <v>535</v>
      </c>
      <c r="B539" s="4">
        <v>30909</v>
      </c>
      <c r="C539" s="4">
        <v>1</v>
      </c>
      <c r="D539" s="6">
        <v>0</v>
      </c>
      <c r="E539" s="6">
        <v>-116.06</v>
      </c>
      <c r="F539" s="6">
        <v>-0.54</v>
      </c>
      <c r="G539" s="6">
        <v>0.01</v>
      </c>
      <c r="H539" s="6">
        <v>21</v>
      </c>
    </row>
    <row r="540" spans="1:8" ht="18.95" customHeight="1">
      <c r="A540" s="4">
        <v>536</v>
      </c>
      <c r="B540" s="4">
        <v>30929</v>
      </c>
      <c r="C540" s="4">
        <v>1</v>
      </c>
      <c r="D540" s="6">
        <v>0</v>
      </c>
      <c r="E540" s="6">
        <v>-114.5</v>
      </c>
      <c r="F540" s="6">
        <v>-0.52</v>
      </c>
      <c r="G540" s="6">
        <v>-0.01</v>
      </c>
      <c r="H540" s="6">
        <v>21</v>
      </c>
    </row>
    <row r="541" spans="1:8" ht="18.95" customHeight="1">
      <c r="A541" s="4">
        <v>537</v>
      </c>
      <c r="B541" s="4">
        <v>30949</v>
      </c>
      <c r="C541" s="4">
        <v>1</v>
      </c>
      <c r="D541" s="6">
        <v>0</v>
      </c>
      <c r="E541" s="6">
        <v>-113.19</v>
      </c>
      <c r="F541" s="6">
        <v>-0.54</v>
      </c>
      <c r="G541" s="6">
        <v>-0.14000000000000001</v>
      </c>
      <c r="H541" s="6">
        <v>19</v>
      </c>
    </row>
    <row r="542" spans="1:8" ht="18.95" customHeight="1">
      <c r="A542" s="4">
        <v>538</v>
      </c>
      <c r="B542" s="4">
        <v>30969</v>
      </c>
      <c r="C542" s="4">
        <v>1</v>
      </c>
      <c r="D542" s="6">
        <v>0</v>
      </c>
      <c r="E542" s="6">
        <v>-111.94</v>
      </c>
      <c r="F542" s="6">
        <v>-0.53</v>
      </c>
      <c r="G542" s="6">
        <v>7.0000000000000007E-2</v>
      </c>
      <c r="H542" s="6">
        <v>19</v>
      </c>
    </row>
    <row r="543" spans="1:8" ht="18.95" customHeight="1">
      <c r="A543" s="4">
        <v>539</v>
      </c>
      <c r="B543" s="4">
        <v>30989</v>
      </c>
      <c r="C543" s="4">
        <v>1</v>
      </c>
      <c r="D543" s="6">
        <v>0</v>
      </c>
      <c r="E543" s="6">
        <v>-110.81</v>
      </c>
      <c r="F543" s="6">
        <v>-0.56000000000000005</v>
      </c>
      <c r="G543" s="6">
        <v>0.24</v>
      </c>
      <c r="H543" s="6">
        <v>19</v>
      </c>
    </row>
    <row r="544" spans="1:8" ht="18.95" customHeight="1">
      <c r="A544" s="4">
        <v>540</v>
      </c>
      <c r="B544" s="4">
        <v>31009</v>
      </c>
      <c r="C544" s="4">
        <v>1</v>
      </c>
      <c r="D544" s="6">
        <v>0</v>
      </c>
      <c r="E544" s="6">
        <v>-109.81</v>
      </c>
      <c r="F544" s="6">
        <v>-0.56000000000000005</v>
      </c>
      <c r="G544" s="6">
        <v>0.09</v>
      </c>
      <c r="H544" s="6">
        <v>19</v>
      </c>
    </row>
    <row r="545" spans="1:8" ht="18.95" customHeight="1">
      <c r="A545" s="4">
        <v>541</v>
      </c>
      <c r="B545" s="4">
        <v>31029</v>
      </c>
      <c r="C545" s="4">
        <v>1</v>
      </c>
      <c r="D545" s="6">
        <v>0</v>
      </c>
      <c r="E545" s="6">
        <v>-108.81</v>
      </c>
      <c r="F545" s="6">
        <v>-0.56000000000000005</v>
      </c>
      <c r="G545" s="6">
        <v>0.35</v>
      </c>
      <c r="H545" s="6">
        <v>19</v>
      </c>
    </row>
    <row r="546" spans="1:8" ht="18.95" customHeight="1">
      <c r="A546" s="4">
        <v>542</v>
      </c>
      <c r="B546" s="4">
        <v>31049</v>
      </c>
      <c r="C546" s="4">
        <v>1</v>
      </c>
      <c r="D546" s="6">
        <v>0</v>
      </c>
      <c r="E546" s="6">
        <v>-108</v>
      </c>
      <c r="F546" s="6">
        <v>-0.55000000000000004</v>
      </c>
      <c r="G546" s="6">
        <v>-0.01</v>
      </c>
      <c r="H546" s="6">
        <v>18</v>
      </c>
    </row>
    <row r="547" spans="1:8" ht="18.95" customHeight="1">
      <c r="A547" s="4">
        <v>543</v>
      </c>
      <c r="B547" s="4">
        <v>31069</v>
      </c>
      <c r="C547" s="4">
        <v>1</v>
      </c>
      <c r="D547" s="6">
        <v>0</v>
      </c>
      <c r="E547" s="6">
        <v>-107.19</v>
      </c>
      <c r="F547" s="6">
        <v>-0.56999999999999995</v>
      </c>
      <c r="G547" s="6">
        <v>0.13</v>
      </c>
      <c r="H547" s="6">
        <v>18</v>
      </c>
    </row>
    <row r="548" spans="1:8" ht="18.95" customHeight="1">
      <c r="A548" s="4">
        <v>544</v>
      </c>
      <c r="B548" s="4">
        <v>31089</v>
      </c>
      <c r="C548" s="4">
        <v>1</v>
      </c>
      <c r="D548" s="6">
        <v>0</v>
      </c>
      <c r="E548" s="6">
        <v>-106.44</v>
      </c>
      <c r="F548" s="6">
        <v>-0.56000000000000005</v>
      </c>
      <c r="G548" s="6">
        <v>-0.12</v>
      </c>
      <c r="H548" s="6">
        <v>18</v>
      </c>
    </row>
    <row r="549" spans="1:8" ht="18.95" customHeight="1">
      <c r="A549" s="4">
        <v>545</v>
      </c>
      <c r="B549" s="4">
        <v>31109</v>
      </c>
      <c r="C549" s="4">
        <v>1</v>
      </c>
      <c r="D549" s="6">
        <v>0</v>
      </c>
      <c r="E549" s="6">
        <v>-105.81</v>
      </c>
      <c r="F549" s="6">
        <v>-0.52</v>
      </c>
      <c r="G549" s="6">
        <v>-0.53</v>
      </c>
      <c r="H549" s="6">
        <v>16</v>
      </c>
    </row>
    <row r="550" spans="1:8" ht="18.95" customHeight="1">
      <c r="A550" s="4">
        <v>546</v>
      </c>
      <c r="B550" s="4">
        <v>31129</v>
      </c>
      <c r="C550" s="4">
        <v>1</v>
      </c>
      <c r="D550" s="6">
        <v>0</v>
      </c>
      <c r="E550" s="6">
        <v>-105.12</v>
      </c>
      <c r="F550" s="6">
        <v>-0.54</v>
      </c>
      <c r="G550" s="6">
        <v>0.37</v>
      </c>
      <c r="H550" s="6">
        <v>16</v>
      </c>
    </row>
    <row r="551" spans="1:8" ht="18.95" customHeight="1">
      <c r="A551" s="4">
        <v>547</v>
      </c>
      <c r="B551" s="4">
        <v>31149</v>
      </c>
      <c r="C551" s="4">
        <v>1</v>
      </c>
      <c r="D551" s="6">
        <v>0</v>
      </c>
      <c r="E551" s="6">
        <v>-104.56</v>
      </c>
      <c r="F551" s="6">
        <v>-0.53</v>
      </c>
      <c r="G551" s="6">
        <v>0.02</v>
      </c>
      <c r="H551" s="6">
        <v>18</v>
      </c>
    </row>
    <row r="552" spans="1:8" ht="18.95" customHeight="1">
      <c r="A552" s="4">
        <v>548</v>
      </c>
      <c r="B552" s="4">
        <v>31169</v>
      </c>
      <c r="C552" s="4">
        <v>1</v>
      </c>
      <c r="D552" s="6">
        <v>0</v>
      </c>
      <c r="E552" s="6">
        <v>-104.06</v>
      </c>
      <c r="F552" s="6">
        <v>-0.55000000000000004</v>
      </c>
      <c r="G552" s="6">
        <v>0.2</v>
      </c>
      <c r="H552" s="6">
        <v>18</v>
      </c>
    </row>
    <row r="553" spans="1:8" ht="18.95" customHeight="1">
      <c r="A553" s="4">
        <v>549</v>
      </c>
      <c r="B553" s="4">
        <v>31190</v>
      </c>
      <c r="C553" s="4">
        <v>1</v>
      </c>
      <c r="D553" s="6">
        <v>0</v>
      </c>
      <c r="E553" s="6">
        <v>-103.56</v>
      </c>
      <c r="F553" s="6">
        <v>-0.51</v>
      </c>
      <c r="G553" s="6">
        <v>0.02</v>
      </c>
      <c r="H553" s="6">
        <v>18</v>
      </c>
    </row>
    <row r="554" spans="1:8" ht="18.95" customHeight="1">
      <c r="A554" s="4">
        <v>550</v>
      </c>
      <c r="B554" s="4">
        <v>31210</v>
      </c>
      <c r="C554" s="4">
        <v>1</v>
      </c>
      <c r="D554" s="6">
        <v>0</v>
      </c>
      <c r="E554" s="6">
        <v>-103.12</v>
      </c>
      <c r="F554" s="6">
        <v>-0.5</v>
      </c>
      <c r="G554" s="6">
        <v>0.15</v>
      </c>
      <c r="H554" s="6">
        <v>18</v>
      </c>
    </row>
    <row r="555" spans="1:8" ht="18.95" customHeight="1">
      <c r="A555" s="4">
        <v>551</v>
      </c>
      <c r="B555" s="4">
        <v>31230</v>
      </c>
      <c r="C555" s="4">
        <v>1</v>
      </c>
      <c r="D555" s="6">
        <v>0</v>
      </c>
      <c r="E555" s="6">
        <v>-102.81</v>
      </c>
      <c r="F555" s="6">
        <v>-0.49</v>
      </c>
      <c r="G555" s="6">
        <v>0.04</v>
      </c>
      <c r="H555" s="6">
        <v>18</v>
      </c>
    </row>
    <row r="556" spans="1:8" ht="18.95" customHeight="1">
      <c r="A556" s="4">
        <v>552</v>
      </c>
      <c r="B556" s="4">
        <v>31250</v>
      </c>
      <c r="C556" s="4">
        <v>1</v>
      </c>
      <c r="D556" s="6">
        <v>0</v>
      </c>
      <c r="E556" s="6">
        <v>-102.44</v>
      </c>
      <c r="F556" s="6">
        <v>-0.5</v>
      </c>
      <c r="G556" s="6">
        <v>0.01</v>
      </c>
      <c r="H556" s="6">
        <v>19</v>
      </c>
    </row>
    <row r="557" spans="1:8" ht="18.95" customHeight="1">
      <c r="A557" s="4">
        <v>553</v>
      </c>
      <c r="B557" s="4">
        <v>31270</v>
      </c>
      <c r="C557" s="4">
        <v>1</v>
      </c>
      <c r="D557" s="6">
        <v>0</v>
      </c>
      <c r="E557" s="6">
        <v>-102.12</v>
      </c>
      <c r="F557" s="6">
        <v>-0.48</v>
      </c>
      <c r="G557" s="6">
        <v>-7.0000000000000007E-2</v>
      </c>
      <c r="H557" s="6">
        <v>19</v>
      </c>
    </row>
    <row r="558" spans="1:8" ht="18.95" customHeight="1">
      <c r="A558" s="4">
        <v>554</v>
      </c>
      <c r="B558" s="4">
        <v>31290</v>
      </c>
      <c r="C558" s="4">
        <v>1</v>
      </c>
      <c r="D558" s="6">
        <v>0</v>
      </c>
      <c r="E558" s="6">
        <v>-101.81</v>
      </c>
      <c r="F558" s="6">
        <v>-0.47</v>
      </c>
      <c r="G558" s="6">
        <v>0.03</v>
      </c>
      <c r="H558" s="6">
        <v>19</v>
      </c>
    </row>
    <row r="559" spans="1:8" ht="18.95" customHeight="1">
      <c r="A559" s="4">
        <v>555</v>
      </c>
      <c r="B559" s="4">
        <v>31310</v>
      </c>
      <c r="C559" s="4">
        <v>1</v>
      </c>
      <c r="D559" s="6">
        <v>0</v>
      </c>
      <c r="E559" s="6">
        <v>-101.5</v>
      </c>
      <c r="F559" s="6">
        <v>-0.46</v>
      </c>
      <c r="G559" s="6">
        <v>-0.2</v>
      </c>
      <c r="H559" s="6">
        <v>21</v>
      </c>
    </row>
    <row r="560" spans="1:8" ht="18.95" customHeight="1">
      <c r="A560" s="4">
        <v>556</v>
      </c>
      <c r="B560" s="4">
        <v>31330</v>
      </c>
      <c r="C560" s="4">
        <v>1</v>
      </c>
      <c r="D560" s="6">
        <v>0</v>
      </c>
      <c r="E560" s="6">
        <v>-101.25</v>
      </c>
      <c r="F560" s="6">
        <v>-0.45</v>
      </c>
      <c r="G560" s="6">
        <v>-0.11</v>
      </c>
      <c r="H560" s="6">
        <v>21</v>
      </c>
    </row>
    <row r="561" spans="1:8" ht="18.95" customHeight="1">
      <c r="A561" s="4">
        <v>557</v>
      </c>
      <c r="B561" s="4">
        <v>31350</v>
      </c>
      <c r="C561" s="4">
        <v>1</v>
      </c>
      <c r="D561" s="6">
        <v>0</v>
      </c>
      <c r="E561" s="6">
        <v>-100.94</v>
      </c>
      <c r="F561" s="6">
        <v>-0.45</v>
      </c>
      <c r="G561" s="6">
        <v>-0.06</v>
      </c>
      <c r="H561" s="6">
        <v>24</v>
      </c>
    </row>
    <row r="562" spans="1:8" ht="18.95" customHeight="1">
      <c r="A562" s="4">
        <v>558</v>
      </c>
      <c r="B562" s="4">
        <v>31370</v>
      </c>
      <c r="C562" s="4">
        <v>1</v>
      </c>
      <c r="D562" s="6">
        <v>0</v>
      </c>
      <c r="E562" s="6">
        <v>-100.69</v>
      </c>
      <c r="F562" s="6">
        <v>-0.46</v>
      </c>
      <c r="G562" s="6">
        <v>-0.03</v>
      </c>
      <c r="H562" s="6">
        <v>24</v>
      </c>
    </row>
    <row r="563" spans="1:8" ht="18.95" customHeight="1">
      <c r="A563" s="4">
        <v>559</v>
      </c>
      <c r="B563" s="4">
        <v>31390</v>
      </c>
      <c r="C563" s="4">
        <v>1</v>
      </c>
      <c r="D563" s="6">
        <v>0</v>
      </c>
      <c r="E563" s="6">
        <v>-100.5</v>
      </c>
      <c r="F563" s="6">
        <v>-0.41</v>
      </c>
      <c r="G563" s="6">
        <v>-0.1</v>
      </c>
      <c r="H563" s="6">
        <v>24</v>
      </c>
    </row>
    <row r="564" spans="1:8" ht="18.95" customHeight="1">
      <c r="A564" s="4">
        <v>560</v>
      </c>
      <c r="B564" s="4">
        <v>31410</v>
      </c>
      <c r="C564" s="4">
        <v>1</v>
      </c>
      <c r="D564" s="6">
        <v>0</v>
      </c>
      <c r="E564" s="6">
        <v>-100.25</v>
      </c>
      <c r="F564" s="6">
        <v>-0.39</v>
      </c>
      <c r="G564" s="6">
        <v>0.09</v>
      </c>
      <c r="H564" s="6">
        <v>26</v>
      </c>
    </row>
    <row r="565" spans="1:8" ht="18.95" customHeight="1">
      <c r="A565" s="4">
        <v>561</v>
      </c>
      <c r="B565" s="4">
        <v>31430</v>
      </c>
      <c r="C565" s="4">
        <v>1</v>
      </c>
      <c r="D565" s="6">
        <v>0</v>
      </c>
      <c r="E565" s="6">
        <v>-100.06</v>
      </c>
      <c r="F565" s="6">
        <v>-0.39</v>
      </c>
      <c r="G565" s="6">
        <v>-0.05</v>
      </c>
      <c r="H565" s="6">
        <v>26</v>
      </c>
    </row>
    <row r="566" spans="1:8" ht="18.95" customHeight="1">
      <c r="A566" s="4">
        <v>562</v>
      </c>
      <c r="B566" s="4">
        <v>31450</v>
      </c>
      <c r="C566" s="4">
        <v>1</v>
      </c>
      <c r="D566" s="6">
        <v>0</v>
      </c>
      <c r="E566" s="6">
        <v>-99.87</v>
      </c>
      <c r="F566" s="6">
        <v>-0.37</v>
      </c>
      <c r="G566" s="6">
        <v>0.1</v>
      </c>
      <c r="H566" s="6">
        <v>29</v>
      </c>
    </row>
    <row r="567" spans="1:8" ht="18.95" customHeight="1">
      <c r="A567" s="4">
        <v>563</v>
      </c>
      <c r="B567" s="4">
        <v>31470</v>
      </c>
      <c r="C567" s="4">
        <v>1</v>
      </c>
      <c r="D567" s="6">
        <v>0</v>
      </c>
      <c r="E567" s="6">
        <v>-99.69</v>
      </c>
      <c r="F567" s="6">
        <v>-0.34</v>
      </c>
      <c r="G567" s="6">
        <v>0.24</v>
      </c>
      <c r="H567" s="6">
        <v>29</v>
      </c>
    </row>
    <row r="568" spans="1:8" ht="18.95" customHeight="1">
      <c r="A568" s="4">
        <v>564</v>
      </c>
      <c r="B568" s="4">
        <v>31490</v>
      </c>
      <c r="C568" s="4">
        <v>1</v>
      </c>
      <c r="D568" s="6">
        <v>0</v>
      </c>
      <c r="E568" s="6">
        <v>-99.56</v>
      </c>
      <c r="F568" s="6">
        <v>-0.33</v>
      </c>
      <c r="G568" s="6">
        <v>0.08</v>
      </c>
      <c r="H568" s="6">
        <v>29</v>
      </c>
    </row>
    <row r="569" spans="1:8" ht="18.95" customHeight="1">
      <c r="A569" s="4">
        <v>565</v>
      </c>
      <c r="B569" s="4">
        <v>31510</v>
      </c>
      <c r="C569" s="4">
        <v>1</v>
      </c>
      <c r="D569" s="6">
        <v>0</v>
      </c>
      <c r="E569" s="6">
        <v>-99.44</v>
      </c>
      <c r="F569" s="6">
        <v>-0.33</v>
      </c>
      <c r="G569" s="6">
        <v>0.08</v>
      </c>
      <c r="H569" s="6">
        <v>32</v>
      </c>
    </row>
    <row r="570" spans="1:8" ht="18.95" customHeight="1">
      <c r="A570" s="4">
        <v>566</v>
      </c>
      <c r="B570" s="4">
        <v>31531</v>
      </c>
      <c r="C570" s="4">
        <v>1</v>
      </c>
      <c r="D570" s="6">
        <v>0</v>
      </c>
      <c r="E570" s="6">
        <v>-99.31</v>
      </c>
      <c r="F570" s="6">
        <v>-0.32</v>
      </c>
      <c r="G570" s="6">
        <v>0.05</v>
      </c>
      <c r="H570" s="6">
        <v>32</v>
      </c>
    </row>
    <row r="571" spans="1:8" ht="18.95" customHeight="1">
      <c r="A571" s="4">
        <v>567</v>
      </c>
      <c r="B571" s="4">
        <v>31551</v>
      </c>
      <c r="C571" s="4">
        <v>1</v>
      </c>
      <c r="D571" s="6">
        <v>0</v>
      </c>
      <c r="E571" s="6">
        <v>-99.19</v>
      </c>
      <c r="F571" s="6">
        <v>-0.3</v>
      </c>
      <c r="G571" s="6">
        <v>0.03</v>
      </c>
      <c r="H571" s="6">
        <v>36</v>
      </c>
    </row>
    <row r="572" spans="1:8" ht="18.95" customHeight="1">
      <c r="A572" s="4">
        <v>568</v>
      </c>
      <c r="B572" s="4">
        <v>31571</v>
      </c>
      <c r="C572" s="4">
        <v>1</v>
      </c>
      <c r="D572" s="6">
        <v>0</v>
      </c>
      <c r="E572" s="6">
        <v>-99.12</v>
      </c>
      <c r="F572" s="6">
        <v>-0.27</v>
      </c>
      <c r="G572" s="6">
        <v>7.0000000000000007E-2</v>
      </c>
      <c r="H572" s="6">
        <v>36</v>
      </c>
    </row>
    <row r="573" spans="1:8" ht="18.95" customHeight="1">
      <c r="A573" s="4">
        <v>569</v>
      </c>
      <c r="B573" s="4">
        <v>31591</v>
      </c>
      <c r="C573" s="4">
        <v>1</v>
      </c>
      <c r="D573" s="6">
        <v>0</v>
      </c>
      <c r="E573" s="6">
        <v>-99.12</v>
      </c>
      <c r="F573" s="6">
        <v>-0.26</v>
      </c>
      <c r="G573" s="6">
        <v>0</v>
      </c>
      <c r="H573" s="6">
        <v>36</v>
      </c>
    </row>
    <row r="574" spans="1:8" ht="18.95" customHeight="1">
      <c r="A574" s="4">
        <v>570</v>
      </c>
      <c r="B574" s="4">
        <v>31611</v>
      </c>
      <c r="C574" s="4">
        <v>1</v>
      </c>
      <c r="D574" s="6">
        <v>0</v>
      </c>
      <c r="E574" s="6">
        <v>-99.06</v>
      </c>
      <c r="F574" s="6">
        <v>-0.23</v>
      </c>
      <c r="G574" s="6">
        <v>0.06</v>
      </c>
      <c r="H574" s="6">
        <v>37</v>
      </c>
    </row>
    <row r="575" spans="1:8" ht="18.95" customHeight="1">
      <c r="A575" s="4">
        <v>571</v>
      </c>
      <c r="B575" s="4">
        <v>31631</v>
      </c>
      <c r="C575" s="4">
        <v>1</v>
      </c>
      <c r="D575" s="6">
        <v>0</v>
      </c>
      <c r="E575" s="6">
        <v>-99</v>
      </c>
      <c r="F575" s="6">
        <v>-0.22</v>
      </c>
      <c r="G575" s="6">
        <v>0.06</v>
      </c>
      <c r="H575" s="6">
        <v>37</v>
      </c>
    </row>
    <row r="576" spans="1:8" ht="18.95" customHeight="1">
      <c r="A576" s="4">
        <v>572</v>
      </c>
      <c r="B576" s="4">
        <v>31651</v>
      </c>
      <c r="C576" s="4">
        <v>1</v>
      </c>
      <c r="D576" s="6">
        <v>0</v>
      </c>
      <c r="E576" s="6">
        <v>-99</v>
      </c>
      <c r="F576" s="6">
        <v>-0.19</v>
      </c>
      <c r="G576" s="6">
        <v>0.06</v>
      </c>
      <c r="H576" s="6">
        <v>42</v>
      </c>
    </row>
    <row r="577" spans="1:8" ht="18.95" customHeight="1">
      <c r="A577" s="4">
        <v>573</v>
      </c>
      <c r="B577" s="4">
        <v>31671</v>
      </c>
      <c r="C577" s="4">
        <v>1</v>
      </c>
      <c r="D577" s="6">
        <v>0</v>
      </c>
      <c r="E577" s="6">
        <v>-98.94</v>
      </c>
      <c r="F577" s="6">
        <v>-0.18</v>
      </c>
      <c r="G577" s="6">
        <v>0</v>
      </c>
      <c r="H577" s="6">
        <v>42</v>
      </c>
    </row>
    <row r="578" spans="1:8" ht="18.95" customHeight="1">
      <c r="A578" s="4">
        <v>574</v>
      </c>
      <c r="B578" s="4">
        <v>31691</v>
      </c>
      <c r="C578" s="4">
        <v>1</v>
      </c>
      <c r="D578" s="6">
        <v>0</v>
      </c>
      <c r="E578" s="6">
        <v>-98.94</v>
      </c>
      <c r="F578" s="6">
        <v>-0.15</v>
      </c>
      <c r="G578" s="6">
        <v>0.11</v>
      </c>
      <c r="H578" s="6">
        <v>42</v>
      </c>
    </row>
    <row r="579" spans="1:8" ht="18.95" customHeight="1">
      <c r="A579" s="4">
        <v>575</v>
      </c>
      <c r="B579" s="4">
        <v>31711</v>
      </c>
      <c r="C579" s="4">
        <v>1</v>
      </c>
      <c r="D579" s="6">
        <v>0</v>
      </c>
      <c r="E579" s="6">
        <v>-98.87</v>
      </c>
      <c r="F579" s="6">
        <v>-0.14000000000000001</v>
      </c>
      <c r="G579" s="6">
        <v>0.03</v>
      </c>
      <c r="H579" s="6">
        <v>47</v>
      </c>
    </row>
    <row r="580" spans="1:8" ht="18.95" customHeight="1">
      <c r="A580" s="4">
        <v>576</v>
      </c>
      <c r="B580" s="4">
        <v>31731</v>
      </c>
      <c r="C580" s="4">
        <v>1</v>
      </c>
      <c r="D580" s="6">
        <v>0</v>
      </c>
      <c r="E580" s="6">
        <v>-98.87</v>
      </c>
      <c r="F580" s="6">
        <v>-0.11</v>
      </c>
      <c r="G580" s="6">
        <v>-0.01</v>
      </c>
      <c r="H580" s="6">
        <v>47</v>
      </c>
    </row>
    <row r="581" spans="1:8" ht="18.95" customHeight="1">
      <c r="A581" s="4">
        <v>577</v>
      </c>
      <c r="B581" s="4">
        <v>31751</v>
      </c>
      <c r="C581" s="4">
        <v>1</v>
      </c>
      <c r="D581" s="6">
        <v>0</v>
      </c>
      <c r="E581" s="6">
        <v>-98.87</v>
      </c>
      <c r="F581" s="6">
        <v>-0.09</v>
      </c>
      <c r="G581" s="6">
        <v>0.12</v>
      </c>
      <c r="H581" s="6">
        <v>47</v>
      </c>
    </row>
    <row r="582" spans="1:8" ht="18.95" customHeight="1">
      <c r="A582" s="4">
        <v>578</v>
      </c>
      <c r="B582" s="4">
        <v>31771</v>
      </c>
      <c r="C582" s="4">
        <v>1</v>
      </c>
      <c r="D582" s="6">
        <v>0</v>
      </c>
      <c r="E582" s="6">
        <v>-98.81</v>
      </c>
      <c r="F582" s="6">
        <v>-7.0000000000000007E-2</v>
      </c>
      <c r="G582" s="6">
        <v>0.01</v>
      </c>
      <c r="H582" s="6">
        <v>47</v>
      </c>
    </row>
    <row r="583" spans="1:8" ht="18.95" customHeight="1">
      <c r="A583" s="4">
        <v>579</v>
      </c>
      <c r="B583" s="4">
        <v>31791</v>
      </c>
      <c r="C583" s="4">
        <v>1</v>
      </c>
      <c r="D583" s="6">
        <v>0</v>
      </c>
      <c r="E583" s="6">
        <v>-98.87</v>
      </c>
      <c r="F583" s="6">
        <v>-0.05</v>
      </c>
      <c r="G583" s="6">
        <v>0.09</v>
      </c>
      <c r="H583" s="6">
        <v>47</v>
      </c>
    </row>
    <row r="584" spans="1:8" ht="18.95" customHeight="1">
      <c r="A584" s="4">
        <v>580</v>
      </c>
      <c r="B584" s="4">
        <v>31811</v>
      </c>
      <c r="C584" s="4">
        <v>1</v>
      </c>
      <c r="D584" s="6">
        <v>0</v>
      </c>
      <c r="E584" s="6">
        <v>-98.87</v>
      </c>
      <c r="F584" s="6">
        <v>-0.02</v>
      </c>
      <c r="G584" s="6">
        <v>-0.06</v>
      </c>
      <c r="H584" s="6">
        <v>54</v>
      </c>
    </row>
    <row r="585" spans="1:8" ht="18.95" customHeight="1">
      <c r="A585" s="4">
        <v>581</v>
      </c>
      <c r="B585" s="4">
        <v>31831</v>
      </c>
      <c r="C585" s="4">
        <v>1</v>
      </c>
      <c r="D585" s="6">
        <v>0</v>
      </c>
      <c r="E585" s="6">
        <v>-98.94</v>
      </c>
      <c r="F585" s="6">
        <v>0</v>
      </c>
      <c r="G585" s="6">
        <v>0.25</v>
      </c>
      <c r="H585" s="6">
        <v>54</v>
      </c>
    </row>
    <row r="586" spans="1:8" ht="18.95" customHeight="1">
      <c r="A586" s="4">
        <v>582</v>
      </c>
      <c r="B586" s="4">
        <v>31851</v>
      </c>
      <c r="C586" s="4">
        <v>1</v>
      </c>
      <c r="D586" s="6">
        <v>0</v>
      </c>
      <c r="E586" s="6">
        <v>-98.94</v>
      </c>
      <c r="F586" s="6">
        <v>0.03</v>
      </c>
      <c r="G586" s="6">
        <v>0.2</v>
      </c>
      <c r="H586" s="6">
        <v>56</v>
      </c>
    </row>
    <row r="587" spans="1:8" ht="18.95" customHeight="1">
      <c r="A587" s="4">
        <v>583</v>
      </c>
      <c r="B587" s="4">
        <v>31872</v>
      </c>
      <c r="C587" s="4">
        <v>1</v>
      </c>
      <c r="D587" s="6">
        <v>0</v>
      </c>
      <c r="E587" s="6">
        <v>-99</v>
      </c>
      <c r="F587" s="6">
        <v>0.05</v>
      </c>
      <c r="G587" s="6">
        <v>7.0000000000000007E-2</v>
      </c>
      <c r="H587" s="6">
        <v>56</v>
      </c>
    </row>
    <row r="588" spans="1:8" ht="18.95" customHeight="1">
      <c r="A588" s="4">
        <v>584</v>
      </c>
      <c r="B588" s="4">
        <v>31892</v>
      </c>
      <c r="C588" s="4">
        <v>1</v>
      </c>
      <c r="D588" s="6">
        <v>0</v>
      </c>
      <c r="E588" s="6">
        <v>-99.06</v>
      </c>
      <c r="F588" s="6">
        <v>7.0000000000000007E-2</v>
      </c>
      <c r="G588" s="6">
        <v>0.14000000000000001</v>
      </c>
      <c r="H588" s="6">
        <v>56</v>
      </c>
    </row>
    <row r="589" spans="1:8" ht="18.95" customHeight="1">
      <c r="A589" s="4">
        <v>585</v>
      </c>
      <c r="B589" s="4">
        <v>31912</v>
      </c>
      <c r="C589" s="4">
        <v>1</v>
      </c>
      <c r="D589" s="6">
        <v>0</v>
      </c>
      <c r="E589" s="6">
        <v>-99.06</v>
      </c>
      <c r="F589" s="6">
        <v>0.1</v>
      </c>
      <c r="G589" s="6">
        <v>0.12</v>
      </c>
      <c r="H589" s="6">
        <v>60</v>
      </c>
    </row>
    <row r="590" spans="1:8" ht="18.95" customHeight="1">
      <c r="A590" s="4">
        <v>586</v>
      </c>
      <c r="B590" s="4">
        <v>31932</v>
      </c>
      <c r="C590" s="4">
        <v>1</v>
      </c>
      <c r="D590" s="6">
        <v>0</v>
      </c>
      <c r="E590" s="6">
        <v>-99.06</v>
      </c>
      <c r="F590" s="6">
        <v>0.12</v>
      </c>
      <c r="G590" s="6">
        <v>0.1</v>
      </c>
      <c r="H590" s="6">
        <v>60</v>
      </c>
    </row>
    <row r="591" spans="1:8" ht="18.95" customHeight="1">
      <c r="A591" s="4">
        <v>587</v>
      </c>
      <c r="B591" s="4">
        <v>31952</v>
      </c>
      <c r="C591" s="4">
        <v>1</v>
      </c>
      <c r="D591" s="6">
        <v>0</v>
      </c>
      <c r="E591" s="6">
        <v>-99.12</v>
      </c>
      <c r="F591" s="6">
        <v>0.14000000000000001</v>
      </c>
      <c r="G591" s="6">
        <v>-0.01</v>
      </c>
      <c r="H591" s="6">
        <v>63</v>
      </c>
    </row>
    <row r="592" spans="1:8" ht="18.95" customHeight="1">
      <c r="A592" s="4">
        <v>588</v>
      </c>
      <c r="B592" s="4">
        <v>31972</v>
      </c>
      <c r="C592" s="4">
        <v>1</v>
      </c>
      <c r="D592" s="6">
        <v>0</v>
      </c>
      <c r="E592" s="6">
        <v>-99.19</v>
      </c>
      <c r="F592" s="6">
        <v>0.17</v>
      </c>
      <c r="G592" s="6">
        <v>0.16</v>
      </c>
      <c r="H592" s="6">
        <v>63</v>
      </c>
    </row>
    <row r="593" spans="1:8" ht="18.95" customHeight="1">
      <c r="A593" s="4">
        <v>589</v>
      </c>
      <c r="B593" s="4">
        <v>31992</v>
      </c>
      <c r="C593" s="4">
        <v>1</v>
      </c>
      <c r="D593" s="6">
        <v>0</v>
      </c>
      <c r="E593" s="6">
        <v>-99.25</v>
      </c>
      <c r="F593" s="6">
        <v>0.2</v>
      </c>
      <c r="G593" s="6">
        <v>0.03</v>
      </c>
      <c r="H593" s="6">
        <v>63</v>
      </c>
    </row>
    <row r="594" spans="1:8" ht="18.95" customHeight="1">
      <c r="A594" s="4">
        <v>590</v>
      </c>
      <c r="B594" s="4">
        <v>32012</v>
      </c>
      <c r="C594" s="4">
        <v>1</v>
      </c>
      <c r="D594" s="6">
        <v>0</v>
      </c>
      <c r="E594" s="6">
        <v>-99.31</v>
      </c>
      <c r="F594" s="6">
        <v>0.22</v>
      </c>
      <c r="G594" s="6">
        <v>0.12</v>
      </c>
      <c r="H594" s="6">
        <v>67</v>
      </c>
    </row>
    <row r="595" spans="1:8" ht="18.95" customHeight="1">
      <c r="A595" s="4">
        <v>591</v>
      </c>
      <c r="B595" s="4">
        <v>32032</v>
      </c>
      <c r="C595" s="4">
        <v>1</v>
      </c>
      <c r="D595" s="6">
        <v>0</v>
      </c>
      <c r="E595" s="6">
        <v>-99.37</v>
      </c>
      <c r="F595" s="6">
        <v>0.24</v>
      </c>
      <c r="G595" s="6">
        <v>0.12</v>
      </c>
      <c r="H595" s="6">
        <v>67</v>
      </c>
    </row>
    <row r="596" spans="1:8" ht="18.95" customHeight="1">
      <c r="A596" s="4">
        <v>592</v>
      </c>
      <c r="B596" s="4">
        <v>32052</v>
      </c>
      <c r="C596" s="4">
        <v>1</v>
      </c>
      <c r="D596" s="6">
        <v>0</v>
      </c>
      <c r="E596" s="6">
        <v>-99.5</v>
      </c>
      <c r="F596" s="6">
        <v>0.27</v>
      </c>
      <c r="G596" s="6">
        <v>-0.14000000000000001</v>
      </c>
      <c r="H596" s="6">
        <v>69</v>
      </c>
    </row>
    <row r="597" spans="1:8" ht="18.95" customHeight="1">
      <c r="A597" s="4">
        <v>593</v>
      </c>
      <c r="B597" s="4">
        <v>32072</v>
      </c>
      <c r="C597" s="4">
        <v>1</v>
      </c>
      <c r="D597" s="6">
        <v>0</v>
      </c>
      <c r="E597" s="6">
        <v>-99.62</v>
      </c>
      <c r="F597" s="6">
        <v>0.3</v>
      </c>
      <c r="G597" s="6">
        <v>0.08</v>
      </c>
      <c r="H597" s="6">
        <v>69</v>
      </c>
    </row>
    <row r="598" spans="1:8" ht="18.95" customHeight="1">
      <c r="A598" s="4">
        <v>594</v>
      </c>
      <c r="B598" s="4">
        <v>32092</v>
      </c>
      <c r="C598" s="4">
        <v>1</v>
      </c>
      <c r="D598" s="6">
        <v>0</v>
      </c>
      <c r="E598" s="6">
        <v>-99.75</v>
      </c>
      <c r="F598" s="6">
        <v>0.31</v>
      </c>
      <c r="G598" s="6">
        <v>0.05</v>
      </c>
      <c r="H598" s="6">
        <v>69</v>
      </c>
    </row>
    <row r="599" spans="1:8" ht="18.95" customHeight="1">
      <c r="A599" s="4">
        <v>595</v>
      </c>
      <c r="B599" s="4">
        <v>32112</v>
      </c>
      <c r="C599" s="4">
        <v>1</v>
      </c>
      <c r="D599" s="6">
        <v>0</v>
      </c>
      <c r="E599" s="6">
        <v>-99.87</v>
      </c>
      <c r="F599" s="6">
        <v>0.34</v>
      </c>
      <c r="G599" s="6">
        <v>0.08</v>
      </c>
      <c r="H599" s="6">
        <v>73</v>
      </c>
    </row>
    <row r="600" spans="1:8" ht="18.95" customHeight="1">
      <c r="A600" s="4">
        <v>596</v>
      </c>
      <c r="B600" s="4">
        <v>32132</v>
      </c>
      <c r="C600" s="4">
        <v>1</v>
      </c>
      <c r="D600" s="6">
        <v>0</v>
      </c>
      <c r="E600" s="6">
        <v>-100.06</v>
      </c>
      <c r="F600" s="6">
        <v>0.37</v>
      </c>
      <c r="G600" s="6">
        <v>0.06</v>
      </c>
      <c r="H600" s="6">
        <v>73</v>
      </c>
    </row>
    <row r="601" spans="1:8" ht="18.95" customHeight="1">
      <c r="A601" s="4">
        <v>597</v>
      </c>
      <c r="B601" s="4">
        <v>32152</v>
      </c>
      <c r="C601" s="4">
        <v>1</v>
      </c>
      <c r="D601" s="6">
        <v>0</v>
      </c>
      <c r="E601" s="6">
        <v>-100.19</v>
      </c>
      <c r="F601" s="6">
        <v>0.4</v>
      </c>
      <c r="G601" s="6">
        <v>-0.19</v>
      </c>
      <c r="H601" s="6">
        <v>74</v>
      </c>
    </row>
    <row r="602" spans="1:8" ht="18.95" customHeight="1">
      <c r="A602" s="4">
        <v>598</v>
      </c>
      <c r="B602" s="4">
        <v>32172</v>
      </c>
      <c r="C602" s="4">
        <v>1</v>
      </c>
      <c r="D602" s="6">
        <v>0</v>
      </c>
      <c r="E602" s="6">
        <v>-100.37</v>
      </c>
      <c r="F602" s="6">
        <v>0.41</v>
      </c>
      <c r="G602" s="6">
        <v>0.09</v>
      </c>
      <c r="H602" s="6">
        <v>74</v>
      </c>
    </row>
    <row r="603" spans="1:8" ht="18.95" customHeight="1">
      <c r="A603" s="4">
        <v>599</v>
      </c>
      <c r="B603" s="4">
        <v>32192</v>
      </c>
      <c r="C603" s="4">
        <v>1</v>
      </c>
      <c r="D603" s="6">
        <v>0</v>
      </c>
      <c r="E603" s="6">
        <v>-100.62</v>
      </c>
      <c r="F603" s="6">
        <v>0.43</v>
      </c>
      <c r="G603" s="6">
        <v>0.08</v>
      </c>
      <c r="H603" s="6">
        <v>74</v>
      </c>
    </row>
    <row r="604" spans="1:8" ht="18.95" customHeight="1">
      <c r="A604" s="4">
        <v>600</v>
      </c>
      <c r="B604" s="4">
        <v>32212</v>
      </c>
      <c r="C604" s="4">
        <v>1</v>
      </c>
      <c r="D604" s="6">
        <v>0</v>
      </c>
      <c r="E604" s="6">
        <v>-100.81</v>
      </c>
      <c r="F604" s="6">
        <v>0.45</v>
      </c>
      <c r="G604" s="6">
        <v>0.16</v>
      </c>
      <c r="H604" s="6">
        <v>75</v>
      </c>
    </row>
    <row r="605" spans="1:8" ht="18.95" customHeight="1">
      <c r="A605" s="4">
        <v>601</v>
      </c>
      <c r="B605" s="4">
        <v>32232</v>
      </c>
      <c r="C605" s="4">
        <v>1</v>
      </c>
      <c r="D605" s="6">
        <v>0</v>
      </c>
      <c r="E605" s="6">
        <v>-101.06</v>
      </c>
      <c r="F605" s="6">
        <v>0.49</v>
      </c>
      <c r="G605" s="6">
        <v>0</v>
      </c>
      <c r="H605" s="6">
        <v>75</v>
      </c>
    </row>
    <row r="606" spans="1:8" ht="18.95" customHeight="1">
      <c r="A606" s="4">
        <v>602</v>
      </c>
      <c r="B606" s="4">
        <v>32252</v>
      </c>
      <c r="C606" s="4">
        <v>1</v>
      </c>
      <c r="D606" s="6">
        <v>0</v>
      </c>
      <c r="E606" s="6">
        <v>-101.37</v>
      </c>
      <c r="F606" s="6">
        <v>0.49</v>
      </c>
      <c r="G606" s="6">
        <v>-0.13</v>
      </c>
      <c r="H606" s="6">
        <v>77</v>
      </c>
    </row>
    <row r="607" spans="1:8" ht="18.95" customHeight="1">
      <c r="A607" s="4">
        <v>603</v>
      </c>
      <c r="B607" s="4">
        <v>32272</v>
      </c>
      <c r="C607" s="4">
        <v>1</v>
      </c>
      <c r="D607" s="6">
        <v>0</v>
      </c>
      <c r="E607" s="6">
        <v>-101.62</v>
      </c>
      <c r="F607" s="6">
        <v>0.51</v>
      </c>
      <c r="G607" s="6">
        <v>0.09</v>
      </c>
      <c r="H607" s="6">
        <v>77</v>
      </c>
    </row>
    <row r="608" spans="1:8" ht="18.95" customHeight="1">
      <c r="A608" s="4">
        <v>604</v>
      </c>
      <c r="B608" s="4">
        <v>32292</v>
      </c>
      <c r="C608" s="4">
        <v>1</v>
      </c>
      <c r="D608" s="6">
        <v>0</v>
      </c>
      <c r="E608" s="6">
        <v>-101.94</v>
      </c>
      <c r="F608" s="6">
        <v>0.52</v>
      </c>
      <c r="G608" s="6">
        <v>-0.02</v>
      </c>
      <c r="H608" s="6">
        <v>77</v>
      </c>
    </row>
    <row r="609" spans="1:8" ht="18.95" customHeight="1">
      <c r="A609" s="4">
        <v>605</v>
      </c>
      <c r="B609" s="4">
        <v>32312</v>
      </c>
      <c r="C609" s="4">
        <v>1</v>
      </c>
      <c r="D609" s="6">
        <v>0</v>
      </c>
      <c r="E609" s="6">
        <v>-102.31</v>
      </c>
      <c r="F609" s="6">
        <v>0.55000000000000004</v>
      </c>
      <c r="G609" s="6">
        <v>0.16</v>
      </c>
      <c r="H609" s="6">
        <v>82</v>
      </c>
    </row>
    <row r="610" spans="1:8" ht="18.95" customHeight="1">
      <c r="A610" s="4">
        <v>606</v>
      </c>
      <c r="B610" s="4">
        <v>32332</v>
      </c>
      <c r="C610" s="4">
        <v>1</v>
      </c>
      <c r="D610" s="6">
        <v>0</v>
      </c>
      <c r="E610" s="6">
        <v>-102.69</v>
      </c>
      <c r="F610" s="6">
        <v>0.54</v>
      </c>
      <c r="G610" s="6">
        <v>-0.15</v>
      </c>
      <c r="H610" s="6">
        <v>82</v>
      </c>
    </row>
    <row r="611" spans="1:8" ht="18.95" customHeight="1">
      <c r="A611" s="4">
        <v>607</v>
      </c>
      <c r="B611" s="4">
        <v>32352</v>
      </c>
      <c r="C611" s="4">
        <v>1</v>
      </c>
      <c r="D611" s="6">
        <v>0</v>
      </c>
      <c r="E611" s="6">
        <v>-103.06</v>
      </c>
      <c r="F611" s="6">
        <v>0.56000000000000005</v>
      </c>
      <c r="G611" s="6">
        <v>0.36</v>
      </c>
      <c r="H611" s="6">
        <v>80</v>
      </c>
    </row>
    <row r="612" spans="1:8" ht="18.95" customHeight="1">
      <c r="A612" s="4">
        <v>608</v>
      </c>
      <c r="B612" s="4">
        <v>32372</v>
      </c>
      <c r="C612" s="4">
        <v>1</v>
      </c>
      <c r="D612" s="6">
        <v>0</v>
      </c>
      <c r="E612" s="6">
        <v>-103.5</v>
      </c>
      <c r="F612" s="6">
        <v>0.56999999999999995</v>
      </c>
      <c r="G612" s="6">
        <v>-0.12</v>
      </c>
      <c r="H612" s="6">
        <v>80</v>
      </c>
    </row>
    <row r="613" spans="1:8" ht="18.95" customHeight="1">
      <c r="A613" s="4">
        <v>609</v>
      </c>
      <c r="B613" s="4">
        <v>32392</v>
      </c>
      <c r="C613" s="4">
        <v>1</v>
      </c>
      <c r="D613" s="6">
        <v>0</v>
      </c>
      <c r="E613" s="6">
        <v>-104</v>
      </c>
      <c r="F613" s="6">
        <v>0.57999999999999996</v>
      </c>
      <c r="G613" s="6">
        <v>0.02</v>
      </c>
      <c r="H613" s="6">
        <v>80</v>
      </c>
    </row>
    <row r="614" spans="1:8" ht="18.95" customHeight="1">
      <c r="A614" s="4">
        <v>610</v>
      </c>
      <c r="B614" s="4">
        <v>32412</v>
      </c>
      <c r="C614" s="4">
        <v>1</v>
      </c>
      <c r="D614" s="6">
        <v>0</v>
      </c>
      <c r="E614" s="6">
        <v>-104.5</v>
      </c>
      <c r="F614" s="6">
        <v>0.56999999999999995</v>
      </c>
      <c r="G614" s="6">
        <v>0.22</v>
      </c>
      <c r="H614" s="6">
        <v>82</v>
      </c>
    </row>
    <row r="615" spans="1:8" ht="18.95" customHeight="1">
      <c r="A615" s="4">
        <v>611</v>
      </c>
      <c r="B615" s="4">
        <v>32432</v>
      </c>
      <c r="C615" s="4">
        <v>1</v>
      </c>
      <c r="D615" s="6">
        <v>0</v>
      </c>
      <c r="E615" s="6">
        <v>-105.06</v>
      </c>
      <c r="F615" s="6">
        <v>0.55000000000000004</v>
      </c>
      <c r="G615" s="6">
        <v>7.0000000000000007E-2</v>
      </c>
      <c r="H615" s="6">
        <v>82</v>
      </c>
    </row>
    <row r="616" spans="1:8" ht="18.95" customHeight="1">
      <c r="A616" s="4">
        <v>612</v>
      </c>
      <c r="B616" s="4">
        <v>32452</v>
      </c>
      <c r="C616" s="4">
        <v>1</v>
      </c>
      <c r="D616" s="6">
        <v>0</v>
      </c>
      <c r="E616" s="6">
        <v>-105.62</v>
      </c>
      <c r="F616" s="6">
        <v>0.57999999999999996</v>
      </c>
      <c r="G616" s="6">
        <v>-0.06</v>
      </c>
      <c r="H616" s="6">
        <v>85</v>
      </c>
    </row>
    <row r="617" spans="1:8" ht="18.95" customHeight="1">
      <c r="A617" s="4">
        <v>613</v>
      </c>
      <c r="B617" s="4">
        <v>32472</v>
      </c>
      <c r="C617" s="4">
        <v>1</v>
      </c>
      <c r="D617" s="6">
        <v>0</v>
      </c>
      <c r="E617" s="6">
        <v>-106.25</v>
      </c>
      <c r="F617" s="6">
        <v>0.57999999999999996</v>
      </c>
      <c r="G617" s="6">
        <v>0.03</v>
      </c>
      <c r="H617" s="6">
        <v>85</v>
      </c>
    </row>
    <row r="618" spans="1:8" ht="18.95" customHeight="1">
      <c r="A618" s="4">
        <v>614</v>
      </c>
      <c r="B618" s="4">
        <v>32492</v>
      </c>
      <c r="C618" s="4">
        <v>1</v>
      </c>
      <c r="D618" s="6">
        <v>0</v>
      </c>
      <c r="E618" s="6">
        <v>-106.94</v>
      </c>
      <c r="F618" s="6">
        <v>0.56000000000000005</v>
      </c>
      <c r="G618" s="6">
        <v>-0.21</v>
      </c>
      <c r="H618" s="6">
        <v>85</v>
      </c>
    </row>
    <row r="619" spans="1:8" ht="18.95" customHeight="1">
      <c r="A619" s="4">
        <v>615</v>
      </c>
      <c r="B619" s="4">
        <v>32512</v>
      </c>
      <c r="C619" s="4">
        <v>1</v>
      </c>
      <c r="D619" s="6">
        <v>0</v>
      </c>
      <c r="E619" s="6">
        <v>-107.69</v>
      </c>
      <c r="F619" s="6">
        <v>0.56999999999999995</v>
      </c>
      <c r="G619" s="6">
        <v>0.03</v>
      </c>
      <c r="H619" s="6">
        <v>87</v>
      </c>
    </row>
    <row r="620" spans="1:8" ht="18.95" customHeight="1">
      <c r="A620" s="4">
        <v>616</v>
      </c>
      <c r="B620" s="4">
        <v>32532</v>
      </c>
      <c r="C620" s="4">
        <v>1</v>
      </c>
      <c r="D620" s="6">
        <v>0</v>
      </c>
      <c r="E620" s="6">
        <v>-108.5</v>
      </c>
      <c r="F620" s="6">
        <v>0.56999999999999995</v>
      </c>
      <c r="G620" s="6">
        <v>-0.08</v>
      </c>
      <c r="H620" s="6">
        <v>87</v>
      </c>
    </row>
    <row r="621" spans="1:8" ht="18.95" customHeight="1">
      <c r="A621" s="4">
        <v>617</v>
      </c>
      <c r="B621" s="4">
        <v>32552</v>
      </c>
      <c r="C621" s="4">
        <v>1</v>
      </c>
      <c r="D621" s="6">
        <v>0</v>
      </c>
      <c r="E621" s="6">
        <v>-109.31</v>
      </c>
      <c r="F621" s="6">
        <v>0.61</v>
      </c>
      <c r="G621" s="6">
        <v>0.15</v>
      </c>
      <c r="H621" s="6">
        <v>83</v>
      </c>
    </row>
    <row r="622" spans="1:8" ht="18.95" customHeight="1">
      <c r="A622" s="4">
        <v>618</v>
      </c>
      <c r="B622" s="4">
        <v>32572</v>
      </c>
      <c r="C622" s="4">
        <v>1</v>
      </c>
      <c r="D622" s="6">
        <v>0</v>
      </c>
      <c r="E622" s="6">
        <v>-110.25</v>
      </c>
      <c r="F622" s="6">
        <v>0.61</v>
      </c>
      <c r="G622" s="6">
        <v>0.15</v>
      </c>
      <c r="H622" s="6">
        <v>83</v>
      </c>
    </row>
    <row r="623" spans="1:8" ht="18.95" customHeight="1">
      <c r="A623" s="4">
        <v>619</v>
      </c>
      <c r="B623" s="4">
        <v>32592</v>
      </c>
      <c r="C623" s="4">
        <v>1</v>
      </c>
      <c r="D623" s="6">
        <v>0</v>
      </c>
      <c r="E623" s="6">
        <v>-111.25</v>
      </c>
      <c r="F623" s="6">
        <v>0.59</v>
      </c>
      <c r="G623" s="6">
        <v>0</v>
      </c>
      <c r="H623" s="6">
        <v>83</v>
      </c>
    </row>
    <row r="624" spans="1:8" ht="18.95" customHeight="1">
      <c r="A624" s="4">
        <v>620</v>
      </c>
      <c r="B624" s="4">
        <v>32612</v>
      </c>
      <c r="C624" s="4">
        <v>1</v>
      </c>
      <c r="D624" s="6">
        <v>0</v>
      </c>
      <c r="E624" s="6">
        <v>-112.44</v>
      </c>
      <c r="F624" s="6">
        <v>0.62</v>
      </c>
      <c r="G624" s="6">
        <v>0.21</v>
      </c>
      <c r="H624" s="6">
        <v>83</v>
      </c>
    </row>
    <row r="625" spans="1:8" ht="18.95" customHeight="1">
      <c r="A625" s="4">
        <v>621</v>
      </c>
      <c r="B625" s="4">
        <v>32632</v>
      </c>
      <c r="C625" s="4">
        <v>1</v>
      </c>
      <c r="D625" s="6">
        <v>0</v>
      </c>
      <c r="E625" s="6">
        <v>-113.69</v>
      </c>
      <c r="F625" s="6">
        <v>0.61</v>
      </c>
      <c r="G625" s="6">
        <v>0.13</v>
      </c>
      <c r="H625" s="6">
        <v>83</v>
      </c>
    </row>
    <row r="626" spans="1:8" ht="18.95" customHeight="1">
      <c r="A626" s="4">
        <v>622</v>
      </c>
      <c r="B626" s="4">
        <v>32652</v>
      </c>
      <c r="C626" s="4">
        <v>1</v>
      </c>
      <c r="D626" s="6">
        <v>0</v>
      </c>
      <c r="E626" s="6">
        <v>-115.19</v>
      </c>
      <c r="F626" s="6">
        <v>0.56999999999999995</v>
      </c>
      <c r="G626" s="6">
        <v>0.05</v>
      </c>
      <c r="H626" s="6">
        <v>82</v>
      </c>
    </row>
    <row r="627" spans="1:8" ht="18.95" customHeight="1">
      <c r="A627" s="4">
        <v>623</v>
      </c>
      <c r="B627" s="4">
        <v>32672</v>
      </c>
      <c r="C627" s="4">
        <v>1</v>
      </c>
      <c r="D627" s="6">
        <v>0</v>
      </c>
      <c r="E627" s="6">
        <v>-116.69</v>
      </c>
      <c r="F627" s="6">
        <v>0.56999999999999995</v>
      </c>
      <c r="G627" s="6">
        <v>0.01</v>
      </c>
      <c r="H627" s="6">
        <v>82</v>
      </c>
    </row>
    <row r="628" spans="1:8" ht="18.95" customHeight="1">
      <c r="A628" s="4">
        <v>624</v>
      </c>
      <c r="B628" s="4">
        <v>32692</v>
      </c>
      <c r="C628" s="4">
        <v>1</v>
      </c>
      <c r="D628" s="6">
        <v>0</v>
      </c>
      <c r="E628" s="6">
        <v>-118.37</v>
      </c>
      <c r="F628" s="6">
        <v>0.54</v>
      </c>
      <c r="G628" s="6">
        <v>0.12</v>
      </c>
      <c r="H628" s="6">
        <v>82</v>
      </c>
    </row>
    <row r="629" spans="1:8" ht="18.95" customHeight="1">
      <c r="A629" s="4">
        <v>625</v>
      </c>
      <c r="B629" s="4">
        <v>32712</v>
      </c>
      <c r="C629" s="4">
        <v>1</v>
      </c>
      <c r="D629" s="6">
        <v>0</v>
      </c>
      <c r="E629" s="6">
        <v>-120.25</v>
      </c>
      <c r="F629" s="6">
        <v>0.55000000000000004</v>
      </c>
      <c r="G629" s="6">
        <v>0.05</v>
      </c>
      <c r="H629" s="6">
        <v>83</v>
      </c>
    </row>
    <row r="630" spans="1:8" ht="18.95" customHeight="1">
      <c r="A630" s="4">
        <v>626</v>
      </c>
      <c r="B630" s="4">
        <v>32732</v>
      </c>
      <c r="C630" s="4">
        <v>1</v>
      </c>
      <c r="D630" s="6">
        <v>0</v>
      </c>
      <c r="E630" s="6">
        <v>-122.31</v>
      </c>
      <c r="F630" s="6">
        <v>0.51</v>
      </c>
      <c r="G630" s="6">
        <v>0.11</v>
      </c>
      <c r="H630" s="6">
        <v>83</v>
      </c>
    </row>
    <row r="631" spans="1:8" ht="18.95" customHeight="1">
      <c r="A631" s="4">
        <v>627</v>
      </c>
      <c r="B631" s="4">
        <v>32752</v>
      </c>
      <c r="C631" s="4">
        <v>1</v>
      </c>
      <c r="D631" s="6">
        <v>0</v>
      </c>
      <c r="E631" s="6">
        <v>-124.56</v>
      </c>
      <c r="F631" s="6">
        <v>0.49</v>
      </c>
      <c r="G631" s="6">
        <v>-0.21</v>
      </c>
      <c r="H631" s="6">
        <v>81</v>
      </c>
    </row>
    <row r="632" spans="1:8" ht="18.95" customHeight="1">
      <c r="A632" s="4">
        <v>628</v>
      </c>
      <c r="B632" s="4">
        <v>32772</v>
      </c>
      <c r="C632" s="4">
        <v>1</v>
      </c>
      <c r="D632" s="6">
        <v>0</v>
      </c>
      <c r="E632" s="6">
        <v>-126.94</v>
      </c>
      <c r="F632" s="6">
        <v>0.47</v>
      </c>
      <c r="G632" s="6">
        <v>-7.0000000000000007E-2</v>
      </c>
      <c r="H632" s="6">
        <v>81</v>
      </c>
    </row>
    <row r="633" spans="1:8" ht="18.95" customHeight="1">
      <c r="A633" s="4">
        <v>629</v>
      </c>
      <c r="B633" s="4">
        <v>32792</v>
      </c>
      <c r="C633" s="4">
        <v>1</v>
      </c>
      <c r="D633" s="6">
        <v>0</v>
      </c>
      <c r="E633" s="6">
        <v>-174.88</v>
      </c>
      <c r="F633" s="6">
        <v>0.45</v>
      </c>
      <c r="G633" s="6">
        <v>0.02</v>
      </c>
      <c r="H633" s="6">
        <v>81</v>
      </c>
    </row>
    <row r="634" spans="1:8" ht="18.95" customHeight="1">
      <c r="A634" s="4">
        <v>630</v>
      </c>
      <c r="B634" s="4">
        <v>32812</v>
      </c>
      <c r="C634" s="4">
        <v>1</v>
      </c>
      <c r="D634" s="6">
        <v>0</v>
      </c>
      <c r="E634" s="6">
        <v>-175.38</v>
      </c>
      <c r="F634" s="6">
        <v>0.44</v>
      </c>
      <c r="G634" s="6">
        <v>-0.02</v>
      </c>
      <c r="H634" s="6">
        <v>79</v>
      </c>
    </row>
    <row r="635" spans="1:8" ht="18.95" customHeight="1">
      <c r="A635" s="4">
        <v>631</v>
      </c>
      <c r="B635" s="4">
        <v>32832</v>
      </c>
      <c r="C635" s="4">
        <v>1</v>
      </c>
      <c r="D635" s="6">
        <v>0</v>
      </c>
      <c r="E635" s="6">
        <v>-175.81</v>
      </c>
      <c r="F635" s="6">
        <v>0.41</v>
      </c>
      <c r="G635" s="6">
        <v>0.18</v>
      </c>
      <c r="H635" s="6">
        <v>79</v>
      </c>
    </row>
    <row r="636" spans="1:8" ht="18.95" customHeight="1">
      <c r="A636" s="4">
        <v>632</v>
      </c>
      <c r="B636" s="4">
        <v>32852</v>
      </c>
      <c r="C636" s="4">
        <v>1</v>
      </c>
      <c r="D636" s="6">
        <v>0</v>
      </c>
      <c r="E636" s="6">
        <v>-176.31</v>
      </c>
      <c r="F636" s="6">
        <v>0.4</v>
      </c>
      <c r="G636" s="6">
        <v>-0.04</v>
      </c>
      <c r="H636" s="6">
        <v>78</v>
      </c>
    </row>
    <row r="637" spans="1:8" ht="18.95" customHeight="1">
      <c r="A637" s="4">
        <v>633</v>
      </c>
      <c r="B637" s="4">
        <v>32872</v>
      </c>
      <c r="C637" s="4">
        <v>1</v>
      </c>
      <c r="D637" s="6">
        <v>0</v>
      </c>
      <c r="E637" s="6">
        <v>-176.75</v>
      </c>
      <c r="F637" s="6">
        <v>0.4</v>
      </c>
      <c r="G637" s="6">
        <v>0.05</v>
      </c>
      <c r="H637" s="6">
        <v>78</v>
      </c>
    </row>
    <row r="638" spans="1:8" ht="18.95" customHeight="1">
      <c r="A638" s="4">
        <v>634</v>
      </c>
      <c r="B638" s="4">
        <v>32892</v>
      </c>
      <c r="C638" s="4">
        <v>1</v>
      </c>
      <c r="D638" s="6">
        <v>0</v>
      </c>
      <c r="E638" s="6">
        <v>-177.13</v>
      </c>
      <c r="F638" s="6">
        <v>0.38</v>
      </c>
      <c r="G638" s="6">
        <v>0.08</v>
      </c>
      <c r="H638" s="6">
        <v>78</v>
      </c>
    </row>
    <row r="639" spans="1:8" ht="18.95" customHeight="1">
      <c r="A639" s="4">
        <v>635</v>
      </c>
      <c r="B639" s="4">
        <v>32912</v>
      </c>
      <c r="C639" s="4">
        <v>1</v>
      </c>
      <c r="D639" s="6">
        <v>0</v>
      </c>
      <c r="E639" s="6">
        <v>-177.56</v>
      </c>
      <c r="F639" s="6">
        <v>0.34</v>
      </c>
      <c r="G639" s="6">
        <v>0.06</v>
      </c>
      <c r="H639" s="6">
        <v>76</v>
      </c>
    </row>
    <row r="640" spans="1:8" ht="18.95" customHeight="1">
      <c r="A640" s="4">
        <v>636</v>
      </c>
      <c r="B640" s="4">
        <v>32932</v>
      </c>
      <c r="C640" s="4">
        <v>1</v>
      </c>
      <c r="D640" s="6">
        <v>0</v>
      </c>
      <c r="E640" s="6">
        <v>-177.94</v>
      </c>
      <c r="F640" s="6">
        <v>0.33</v>
      </c>
      <c r="G640" s="6">
        <v>-0.14000000000000001</v>
      </c>
      <c r="H640" s="6">
        <v>76</v>
      </c>
    </row>
    <row r="641" spans="1:8" ht="18.95" customHeight="1">
      <c r="A641" s="4">
        <v>637</v>
      </c>
      <c r="B641" s="4">
        <v>32952</v>
      </c>
      <c r="C641" s="4">
        <v>1</v>
      </c>
      <c r="D641" s="6">
        <v>0</v>
      </c>
      <c r="E641" s="6">
        <v>-178.31</v>
      </c>
      <c r="F641" s="6">
        <v>0.31</v>
      </c>
      <c r="G641" s="6">
        <v>0.06</v>
      </c>
      <c r="H641" s="6">
        <v>75</v>
      </c>
    </row>
    <row r="642" spans="1:8" ht="18.95" customHeight="1">
      <c r="A642" s="4">
        <v>638</v>
      </c>
      <c r="B642" s="4">
        <v>32972</v>
      </c>
      <c r="C642" s="4">
        <v>1</v>
      </c>
      <c r="D642" s="6">
        <v>0</v>
      </c>
      <c r="E642" s="6">
        <v>-178.63</v>
      </c>
      <c r="F642" s="6">
        <v>0.3</v>
      </c>
      <c r="G642" s="6">
        <v>0.27</v>
      </c>
      <c r="H642" s="6">
        <v>75</v>
      </c>
    </row>
    <row r="643" spans="1:8" ht="18.95" customHeight="1">
      <c r="A643" s="4">
        <v>639</v>
      </c>
      <c r="B643" s="4">
        <v>32992</v>
      </c>
      <c r="C643" s="4">
        <v>1</v>
      </c>
      <c r="D643" s="6">
        <v>0</v>
      </c>
      <c r="E643" s="6">
        <v>-178.94</v>
      </c>
      <c r="F643" s="6">
        <v>0.27</v>
      </c>
      <c r="G643" s="6">
        <v>0.1</v>
      </c>
      <c r="H643" s="6">
        <v>75</v>
      </c>
    </row>
    <row r="644" spans="1:8" ht="18.95" customHeight="1">
      <c r="A644" s="4">
        <v>640</v>
      </c>
      <c r="B644" s="4">
        <v>33012</v>
      </c>
      <c r="C644" s="4">
        <v>1</v>
      </c>
      <c r="D644" s="6">
        <v>0</v>
      </c>
      <c r="E644" s="6">
        <v>-179.25</v>
      </c>
      <c r="F644" s="6">
        <v>0.23</v>
      </c>
      <c r="G644" s="6">
        <v>0.18</v>
      </c>
      <c r="H644" s="6">
        <v>72</v>
      </c>
    </row>
    <row r="645" spans="1:8" ht="18.95" customHeight="1">
      <c r="A645" s="4">
        <v>641</v>
      </c>
      <c r="B645" s="4">
        <v>33032</v>
      </c>
      <c r="C645" s="4">
        <v>1</v>
      </c>
      <c r="D645" s="6">
        <v>0</v>
      </c>
      <c r="E645" s="6">
        <v>-179.5</v>
      </c>
      <c r="F645" s="6">
        <v>0.23</v>
      </c>
      <c r="G645" s="6">
        <v>0.06</v>
      </c>
      <c r="H645" s="6">
        <v>72</v>
      </c>
    </row>
    <row r="646" spans="1:8" ht="18.95" customHeight="1">
      <c r="A646" s="4">
        <v>642</v>
      </c>
      <c r="B646" s="4">
        <v>33052</v>
      </c>
      <c r="C646" s="4">
        <v>1</v>
      </c>
      <c r="D646" s="6">
        <v>0</v>
      </c>
      <c r="E646" s="6">
        <v>-179.81</v>
      </c>
      <c r="F646" s="6">
        <v>0.2</v>
      </c>
      <c r="G646" s="6">
        <v>0.12</v>
      </c>
      <c r="H646" s="6">
        <v>70</v>
      </c>
    </row>
    <row r="647" spans="1:8" ht="18.95" customHeight="1">
      <c r="A647" s="4">
        <v>643</v>
      </c>
      <c r="B647" s="4">
        <v>33072</v>
      </c>
      <c r="C647" s="4">
        <v>1</v>
      </c>
      <c r="D647" s="6">
        <v>0</v>
      </c>
      <c r="E647" s="6">
        <v>179.94</v>
      </c>
      <c r="F647" s="6">
        <v>0.2</v>
      </c>
      <c r="G647" s="6">
        <v>0.05</v>
      </c>
      <c r="H647" s="6">
        <v>70</v>
      </c>
    </row>
    <row r="648" spans="1:8" ht="18.95" customHeight="1">
      <c r="A648" s="4">
        <v>644</v>
      </c>
      <c r="B648" s="4">
        <v>33092</v>
      </c>
      <c r="C648" s="4">
        <v>1</v>
      </c>
      <c r="D648" s="6">
        <v>0</v>
      </c>
      <c r="E648" s="6">
        <v>179.69</v>
      </c>
      <c r="F648" s="6">
        <v>0.17</v>
      </c>
      <c r="G648" s="6">
        <v>-0.1</v>
      </c>
      <c r="H648" s="6">
        <v>70</v>
      </c>
    </row>
    <row r="649" spans="1:8" ht="18.95" customHeight="1">
      <c r="A649" s="4">
        <v>645</v>
      </c>
      <c r="B649" s="4">
        <v>33112</v>
      </c>
      <c r="C649" s="4">
        <v>1</v>
      </c>
      <c r="D649" s="6">
        <v>0</v>
      </c>
      <c r="E649" s="6">
        <v>179.56</v>
      </c>
      <c r="F649" s="6">
        <v>0.14000000000000001</v>
      </c>
      <c r="G649" s="6">
        <v>-0.1</v>
      </c>
      <c r="H649" s="6">
        <v>66</v>
      </c>
    </row>
    <row r="650" spans="1:8" ht="18.95" customHeight="1">
      <c r="A650" s="4">
        <v>646</v>
      </c>
      <c r="B650" s="4">
        <v>33132</v>
      </c>
      <c r="C650" s="4">
        <v>1</v>
      </c>
      <c r="D650" s="6">
        <v>0</v>
      </c>
      <c r="E650" s="6">
        <v>179.44</v>
      </c>
      <c r="F650" s="6">
        <v>0.12</v>
      </c>
      <c r="G650" s="6">
        <v>0</v>
      </c>
      <c r="H650" s="6">
        <v>66</v>
      </c>
    </row>
    <row r="651" spans="1:8" ht="18.95" customHeight="1">
      <c r="A651" s="4">
        <v>647</v>
      </c>
      <c r="B651" s="4">
        <v>33153</v>
      </c>
      <c r="C651" s="4">
        <v>1</v>
      </c>
      <c r="D651" s="6">
        <v>0</v>
      </c>
      <c r="E651" s="6">
        <v>179.31</v>
      </c>
      <c r="F651" s="6">
        <v>0.1</v>
      </c>
      <c r="G651" s="6">
        <v>0.03</v>
      </c>
      <c r="H651" s="6">
        <v>66</v>
      </c>
    </row>
    <row r="652" spans="1:8" ht="18.95" customHeight="1">
      <c r="A652" s="4">
        <v>648</v>
      </c>
      <c r="B652" s="4">
        <v>33173</v>
      </c>
      <c r="C652" s="4">
        <v>1</v>
      </c>
      <c r="D652" s="6">
        <v>0</v>
      </c>
      <c r="E652" s="6">
        <v>179.19</v>
      </c>
      <c r="F652" s="6">
        <v>0.09</v>
      </c>
      <c r="G652" s="6">
        <v>-0.09</v>
      </c>
      <c r="H652" s="6">
        <v>66</v>
      </c>
    </row>
    <row r="653" spans="1:8" ht="18.95" customHeight="1">
      <c r="A653" s="4">
        <v>649</v>
      </c>
      <c r="B653" s="4">
        <v>33193</v>
      </c>
      <c r="C653" s="4">
        <v>1</v>
      </c>
      <c r="D653" s="6">
        <v>0</v>
      </c>
      <c r="E653" s="6">
        <v>179.13</v>
      </c>
      <c r="F653" s="6">
        <v>7.0000000000000007E-2</v>
      </c>
      <c r="G653" s="6">
        <v>-0.19</v>
      </c>
      <c r="H653" s="6">
        <v>66</v>
      </c>
    </row>
    <row r="654" spans="1:8" ht="18.95" customHeight="1">
      <c r="A654" s="4">
        <v>650</v>
      </c>
      <c r="B654" s="4">
        <v>33213</v>
      </c>
      <c r="C654" s="4">
        <v>1</v>
      </c>
      <c r="D654" s="6">
        <v>0</v>
      </c>
      <c r="E654" s="6">
        <v>179.06</v>
      </c>
      <c r="F654" s="6">
        <v>0.03</v>
      </c>
      <c r="G654" s="6">
        <v>0.05</v>
      </c>
      <c r="H654" s="6">
        <v>60</v>
      </c>
    </row>
    <row r="655" spans="1:8" ht="18.95" customHeight="1">
      <c r="A655" s="4">
        <v>651</v>
      </c>
      <c r="B655" s="4">
        <v>33233</v>
      </c>
      <c r="C655" s="4">
        <v>0</v>
      </c>
      <c r="D655" s="6">
        <v>0</v>
      </c>
      <c r="E655" s="6">
        <v>179</v>
      </c>
      <c r="F655" s="6">
        <v>0.03</v>
      </c>
      <c r="G655" s="6">
        <v>0</v>
      </c>
      <c r="H655" s="6">
        <v>60</v>
      </c>
    </row>
    <row r="656" spans="1:8" ht="18.95" customHeight="1">
      <c r="A656" s="4">
        <v>652</v>
      </c>
      <c r="B656" s="4">
        <v>33253</v>
      </c>
      <c r="C656" s="4">
        <v>0</v>
      </c>
      <c r="D656" s="6">
        <v>0</v>
      </c>
      <c r="E656" s="6">
        <v>179</v>
      </c>
      <c r="F656" s="6">
        <v>-0.02</v>
      </c>
      <c r="G656" s="6">
        <v>-0.09</v>
      </c>
      <c r="H656" s="6">
        <v>59</v>
      </c>
    </row>
    <row r="657" spans="1:8" ht="18.95" customHeight="1">
      <c r="A657" s="4">
        <v>653</v>
      </c>
      <c r="B657" s="4">
        <v>33273</v>
      </c>
      <c r="C657" s="4">
        <v>0</v>
      </c>
      <c r="D657" s="6">
        <v>0</v>
      </c>
      <c r="E657" s="6">
        <v>179</v>
      </c>
      <c r="F657" s="6">
        <v>-0.02</v>
      </c>
      <c r="G657" s="6">
        <v>0.05</v>
      </c>
      <c r="H657" s="6">
        <v>59</v>
      </c>
    </row>
    <row r="658" spans="1:8" ht="18.95" customHeight="1">
      <c r="A658" s="4">
        <v>654</v>
      </c>
      <c r="B658" s="4">
        <v>33293</v>
      </c>
      <c r="C658" s="4">
        <v>0</v>
      </c>
      <c r="D658" s="6">
        <v>0</v>
      </c>
      <c r="E658" s="6">
        <v>179.06</v>
      </c>
      <c r="F658" s="6">
        <v>-0.06</v>
      </c>
      <c r="G658" s="6">
        <v>7.0000000000000007E-2</v>
      </c>
      <c r="H658" s="6">
        <v>59</v>
      </c>
    </row>
    <row r="659" spans="1:8" ht="18.95" customHeight="1">
      <c r="A659" s="4">
        <v>655</v>
      </c>
      <c r="B659" s="4">
        <v>33313</v>
      </c>
      <c r="C659" s="4">
        <v>1</v>
      </c>
      <c r="D659" s="6">
        <v>0</v>
      </c>
      <c r="E659" s="6">
        <v>179.13</v>
      </c>
      <c r="F659" s="6">
        <v>-0.09</v>
      </c>
      <c r="G659" s="6">
        <v>0.1</v>
      </c>
      <c r="H659" s="6">
        <v>55</v>
      </c>
    </row>
    <row r="660" spans="1:8" ht="18.95" customHeight="1">
      <c r="A660" s="4">
        <v>656</v>
      </c>
      <c r="B660" s="4">
        <v>33333</v>
      </c>
      <c r="C660" s="4">
        <v>1</v>
      </c>
      <c r="D660" s="6">
        <v>0</v>
      </c>
      <c r="E660" s="6">
        <v>179.19</v>
      </c>
      <c r="F660" s="6">
        <v>-0.1</v>
      </c>
      <c r="G660" s="6">
        <v>-0.05</v>
      </c>
      <c r="H660" s="6">
        <v>55</v>
      </c>
    </row>
    <row r="661" spans="1:8" ht="18.95" customHeight="1">
      <c r="A661" s="4">
        <v>657</v>
      </c>
      <c r="B661" s="4">
        <v>33353</v>
      </c>
      <c r="C661" s="4">
        <v>1</v>
      </c>
      <c r="D661" s="6">
        <v>600</v>
      </c>
      <c r="E661" s="6">
        <v>179.31</v>
      </c>
      <c r="F661" s="6">
        <v>-0.14000000000000001</v>
      </c>
      <c r="G661" s="6">
        <v>0.17</v>
      </c>
      <c r="H661" s="6">
        <v>51</v>
      </c>
    </row>
    <row r="662" spans="1:8" ht="18.95" customHeight="1">
      <c r="A662" s="4">
        <v>658</v>
      </c>
      <c r="B662" s="4">
        <v>33373</v>
      </c>
      <c r="C662" s="4">
        <v>1</v>
      </c>
      <c r="D662" s="6">
        <v>600</v>
      </c>
      <c r="E662" s="6">
        <v>179.5</v>
      </c>
      <c r="F662" s="6">
        <v>-0.15</v>
      </c>
      <c r="G662" s="6">
        <v>0.04</v>
      </c>
      <c r="H662" s="6">
        <v>51</v>
      </c>
    </row>
    <row r="663" spans="1:8" ht="18.95" customHeight="1">
      <c r="A663" s="4">
        <v>659</v>
      </c>
      <c r="B663" s="4">
        <v>33393</v>
      </c>
      <c r="C663" s="4">
        <v>1</v>
      </c>
      <c r="D663" s="6">
        <v>600</v>
      </c>
      <c r="E663" s="6">
        <v>179.63</v>
      </c>
      <c r="F663" s="6">
        <v>-0.18</v>
      </c>
      <c r="G663" s="6">
        <v>0.19</v>
      </c>
      <c r="H663" s="6">
        <v>51</v>
      </c>
    </row>
    <row r="664" spans="1:8" ht="18.95" customHeight="1">
      <c r="A664" s="4">
        <v>660</v>
      </c>
      <c r="B664" s="4">
        <v>33413</v>
      </c>
      <c r="C664" s="4">
        <v>1</v>
      </c>
      <c r="D664" s="6">
        <v>600</v>
      </c>
      <c r="E664" s="6">
        <v>179.81</v>
      </c>
      <c r="F664" s="6">
        <v>-0.19</v>
      </c>
      <c r="G664" s="6">
        <v>-0.05</v>
      </c>
      <c r="H664" s="6">
        <v>48</v>
      </c>
    </row>
    <row r="665" spans="1:8" ht="18.95" customHeight="1">
      <c r="A665" s="4">
        <v>661</v>
      </c>
      <c r="B665" s="4">
        <v>33433</v>
      </c>
      <c r="C665" s="4">
        <v>1</v>
      </c>
      <c r="D665" s="6">
        <v>600</v>
      </c>
      <c r="E665" s="6">
        <v>-179.88</v>
      </c>
      <c r="F665" s="6">
        <v>-0.21</v>
      </c>
      <c r="G665" s="6">
        <v>-0.04</v>
      </c>
      <c r="H665" s="6">
        <v>48</v>
      </c>
    </row>
    <row r="666" spans="1:8" ht="18.95" customHeight="1">
      <c r="A666" s="4">
        <v>662</v>
      </c>
      <c r="B666" s="4">
        <v>33454</v>
      </c>
      <c r="C666" s="4">
        <v>1</v>
      </c>
      <c r="D666" s="6">
        <v>0</v>
      </c>
      <c r="E666" s="6">
        <v>-179.69</v>
      </c>
      <c r="F666" s="6">
        <v>-0.24</v>
      </c>
      <c r="G666" s="6">
        <v>0.13</v>
      </c>
      <c r="H666" s="6">
        <v>44</v>
      </c>
    </row>
    <row r="667" spans="1:8" ht="18.95" customHeight="1">
      <c r="A667" s="4">
        <v>663</v>
      </c>
      <c r="B667" s="4">
        <v>33474</v>
      </c>
      <c r="C667" s="4">
        <v>1</v>
      </c>
      <c r="D667" s="6">
        <v>0</v>
      </c>
      <c r="E667" s="6">
        <v>-179.44</v>
      </c>
      <c r="F667" s="6">
        <v>-0.24</v>
      </c>
      <c r="G667" s="6">
        <v>0.01</v>
      </c>
      <c r="H667" s="6">
        <v>44</v>
      </c>
    </row>
    <row r="668" spans="1:8" ht="18.95" customHeight="1">
      <c r="A668" s="4">
        <v>664</v>
      </c>
      <c r="B668" s="4">
        <v>33494</v>
      </c>
      <c r="C668" s="4">
        <v>1</v>
      </c>
      <c r="D668" s="6">
        <v>0</v>
      </c>
      <c r="E668" s="6">
        <v>-179.13</v>
      </c>
      <c r="F668" s="6">
        <v>-0.28999999999999998</v>
      </c>
      <c r="G668" s="6">
        <v>0.05</v>
      </c>
      <c r="H668" s="6">
        <v>44</v>
      </c>
    </row>
    <row r="669" spans="1:8" ht="18.95" customHeight="1">
      <c r="A669" s="4">
        <v>665</v>
      </c>
      <c r="B669" s="4">
        <v>33514</v>
      </c>
      <c r="C669" s="4">
        <v>1</v>
      </c>
      <c r="D669" s="6">
        <v>0</v>
      </c>
      <c r="E669" s="6">
        <v>-178.81</v>
      </c>
      <c r="F669" s="6">
        <v>-0.31</v>
      </c>
      <c r="G669" s="6">
        <v>-0.01</v>
      </c>
      <c r="H669" s="6">
        <v>40</v>
      </c>
    </row>
    <row r="670" spans="1:8" ht="18.95" customHeight="1">
      <c r="A670" s="4">
        <v>666</v>
      </c>
      <c r="B670" s="4">
        <v>33534</v>
      </c>
      <c r="C670" s="4">
        <v>1</v>
      </c>
      <c r="D670" s="6">
        <v>0</v>
      </c>
      <c r="E670" s="6">
        <v>-178.44</v>
      </c>
      <c r="F670" s="6">
        <v>-0.31</v>
      </c>
      <c r="G670" s="6">
        <v>0.34</v>
      </c>
      <c r="H670" s="6">
        <v>40</v>
      </c>
    </row>
    <row r="671" spans="1:8" ht="18.95" customHeight="1">
      <c r="A671" s="4">
        <v>667</v>
      </c>
      <c r="B671" s="4">
        <v>33554</v>
      </c>
      <c r="C671" s="4">
        <v>1</v>
      </c>
      <c r="D671" s="6">
        <v>0</v>
      </c>
      <c r="E671" s="6">
        <v>-178.06</v>
      </c>
      <c r="F671" s="6">
        <v>-0.34</v>
      </c>
      <c r="G671" s="6">
        <v>7.0000000000000007E-2</v>
      </c>
      <c r="H671" s="6">
        <v>35</v>
      </c>
    </row>
    <row r="672" spans="1:8" ht="18.95" customHeight="1">
      <c r="A672" s="4">
        <v>668</v>
      </c>
      <c r="B672" s="4">
        <v>33574</v>
      </c>
      <c r="C672" s="4">
        <v>1</v>
      </c>
      <c r="D672" s="6">
        <v>0</v>
      </c>
      <c r="E672" s="6">
        <v>-177.69</v>
      </c>
      <c r="F672" s="6">
        <v>-0.36</v>
      </c>
      <c r="G672" s="6">
        <v>0.12</v>
      </c>
      <c r="H672" s="6">
        <v>35</v>
      </c>
    </row>
    <row r="673" spans="1:8" ht="18.95" customHeight="1">
      <c r="A673" s="4">
        <v>669</v>
      </c>
      <c r="B673" s="4">
        <v>33594</v>
      </c>
      <c r="C673" s="4">
        <v>1</v>
      </c>
      <c r="D673" s="6">
        <v>0</v>
      </c>
      <c r="E673" s="6">
        <v>-177.31</v>
      </c>
      <c r="F673" s="6">
        <v>-0.39</v>
      </c>
      <c r="G673" s="6">
        <v>-0.05</v>
      </c>
      <c r="H673" s="6">
        <v>35</v>
      </c>
    </row>
    <row r="674" spans="1:8" ht="18.95" customHeight="1">
      <c r="A674" s="4">
        <v>670</v>
      </c>
      <c r="B674" s="4">
        <v>33614</v>
      </c>
      <c r="C674" s="4">
        <v>1</v>
      </c>
      <c r="D674" s="6">
        <v>0</v>
      </c>
      <c r="E674" s="6">
        <v>-176.88</v>
      </c>
      <c r="F674" s="6">
        <v>-0.39</v>
      </c>
      <c r="G674" s="6">
        <v>-0.05</v>
      </c>
      <c r="H674" s="6">
        <v>35</v>
      </c>
    </row>
    <row r="675" spans="1:8" ht="18.95" customHeight="1">
      <c r="A675" s="4">
        <v>671</v>
      </c>
      <c r="B675" s="4">
        <v>33634</v>
      </c>
      <c r="C675" s="4">
        <v>1</v>
      </c>
      <c r="D675" s="6">
        <v>0</v>
      </c>
      <c r="E675" s="6">
        <v>-176.44</v>
      </c>
      <c r="F675" s="6">
        <v>-0.4</v>
      </c>
      <c r="G675" s="6">
        <v>-0.03</v>
      </c>
      <c r="H675" s="6">
        <v>35</v>
      </c>
    </row>
    <row r="676" spans="1:8" ht="18.95" customHeight="1">
      <c r="A676" s="4">
        <v>672</v>
      </c>
      <c r="B676" s="4">
        <v>33654</v>
      </c>
      <c r="C676" s="4">
        <v>1</v>
      </c>
      <c r="D676" s="6">
        <v>0</v>
      </c>
      <c r="E676" s="6">
        <v>-176</v>
      </c>
      <c r="F676" s="6">
        <v>-0.42</v>
      </c>
      <c r="G676" s="6">
        <v>0.08</v>
      </c>
      <c r="H676" s="6">
        <v>29</v>
      </c>
    </row>
    <row r="677" spans="1:8" ht="18.95" customHeight="1">
      <c r="A677" s="4">
        <v>673</v>
      </c>
      <c r="B677" s="4">
        <v>33674</v>
      </c>
      <c r="C677" s="4">
        <v>1</v>
      </c>
      <c r="D677" s="6">
        <v>0</v>
      </c>
      <c r="E677" s="6">
        <v>-175.5</v>
      </c>
      <c r="F677" s="6">
        <v>-0.44</v>
      </c>
      <c r="G677" s="6">
        <v>0.24</v>
      </c>
      <c r="H677" s="6">
        <v>29</v>
      </c>
    </row>
    <row r="678" spans="1:8" ht="18.95" customHeight="1">
      <c r="A678" s="4">
        <v>674</v>
      </c>
      <c r="B678" s="4">
        <v>33694</v>
      </c>
      <c r="C678" s="4">
        <v>1</v>
      </c>
      <c r="D678" s="6">
        <v>0</v>
      </c>
      <c r="E678" s="6">
        <v>-175</v>
      </c>
      <c r="F678" s="6">
        <v>-0.47</v>
      </c>
      <c r="G678" s="6">
        <v>0</v>
      </c>
      <c r="H678" s="6">
        <v>29</v>
      </c>
    </row>
    <row r="679" spans="1:8" ht="18.95" customHeight="1">
      <c r="A679" s="4">
        <v>675</v>
      </c>
      <c r="B679" s="4">
        <v>33714</v>
      </c>
      <c r="C679" s="4">
        <v>1</v>
      </c>
      <c r="D679" s="6">
        <v>0</v>
      </c>
      <c r="E679" s="6">
        <v>-126.81</v>
      </c>
      <c r="F679" s="6">
        <v>-0.46</v>
      </c>
      <c r="G679" s="6">
        <v>0.25</v>
      </c>
      <c r="H679" s="6">
        <v>27</v>
      </c>
    </row>
    <row r="680" spans="1:8" ht="18.95" customHeight="1">
      <c r="A680" s="4">
        <v>676</v>
      </c>
      <c r="B680" s="4">
        <v>33734</v>
      </c>
      <c r="C680" s="4">
        <v>1</v>
      </c>
      <c r="D680" s="6">
        <v>0</v>
      </c>
      <c r="E680" s="6">
        <v>-124.31</v>
      </c>
      <c r="F680" s="6">
        <v>-0.49</v>
      </c>
      <c r="G680" s="6">
        <v>-0.05</v>
      </c>
      <c r="H680" s="6">
        <v>27</v>
      </c>
    </row>
    <row r="681" spans="1:8" ht="18.95" customHeight="1">
      <c r="A681" s="4">
        <v>677</v>
      </c>
      <c r="B681" s="4">
        <v>33754</v>
      </c>
      <c r="C681" s="4">
        <v>1</v>
      </c>
      <c r="D681" s="6">
        <v>0</v>
      </c>
      <c r="E681" s="6">
        <v>-122</v>
      </c>
      <c r="F681" s="6">
        <v>-0.51</v>
      </c>
      <c r="G681" s="6">
        <v>0.14000000000000001</v>
      </c>
      <c r="H681" s="6">
        <v>24</v>
      </c>
    </row>
    <row r="682" spans="1:8" ht="18.95" customHeight="1">
      <c r="A682" s="4">
        <v>678</v>
      </c>
      <c r="B682" s="4">
        <v>33774</v>
      </c>
      <c r="C682" s="4">
        <v>1</v>
      </c>
      <c r="D682" s="6">
        <v>0</v>
      </c>
      <c r="E682" s="6">
        <v>-119.87</v>
      </c>
      <c r="F682" s="6">
        <v>-0.53</v>
      </c>
      <c r="G682" s="6">
        <v>-0.03</v>
      </c>
      <c r="H682" s="6">
        <v>24</v>
      </c>
    </row>
    <row r="683" spans="1:8" ht="18.95" customHeight="1">
      <c r="A683" s="4">
        <v>679</v>
      </c>
      <c r="B683" s="4">
        <v>33794</v>
      </c>
      <c r="C683" s="4">
        <v>1</v>
      </c>
      <c r="D683" s="6">
        <v>0</v>
      </c>
      <c r="E683" s="6">
        <v>-117.94</v>
      </c>
      <c r="F683" s="6">
        <v>-0.53</v>
      </c>
      <c r="G683" s="6">
        <v>0</v>
      </c>
      <c r="H683" s="6">
        <v>24</v>
      </c>
    </row>
    <row r="684" spans="1:8" ht="18.95" customHeight="1">
      <c r="A684" s="4">
        <v>680</v>
      </c>
      <c r="B684" s="4">
        <v>33814</v>
      </c>
      <c r="C684" s="4">
        <v>1</v>
      </c>
      <c r="D684" s="6">
        <v>0</v>
      </c>
      <c r="E684" s="6">
        <v>-116.19</v>
      </c>
      <c r="F684" s="6">
        <v>-0.54</v>
      </c>
      <c r="G684" s="6">
        <v>0.09</v>
      </c>
      <c r="H684" s="6">
        <v>22</v>
      </c>
    </row>
    <row r="685" spans="1:8" ht="18.95" customHeight="1">
      <c r="A685" s="4">
        <v>681</v>
      </c>
      <c r="B685" s="4">
        <v>33835</v>
      </c>
      <c r="C685" s="4">
        <v>1</v>
      </c>
      <c r="D685" s="6">
        <v>0</v>
      </c>
      <c r="E685" s="6">
        <v>-114.62</v>
      </c>
      <c r="F685" s="6">
        <v>-0.55000000000000004</v>
      </c>
      <c r="G685" s="6">
        <v>0.12</v>
      </c>
      <c r="H685" s="6">
        <v>22</v>
      </c>
    </row>
    <row r="686" spans="1:8" ht="18.95" customHeight="1">
      <c r="A686" s="4">
        <v>682</v>
      </c>
      <c r="B686" s="4">
        <v>33855</v>
      </c>
      <c r="C686" s="4">
        <v>1</v>
      </c>
      <c r="D686" s="6">
        <v>0</v>
      </c>
      <c r="E686" s="6">
        <v>-113.19</v>
      </c>
      <c r="F686" s="6">
        <v>-0.57999999999999996</v>
      </c>
      <c r="G686" s="6">
        <v>-0.08</v>
      </c>
      <c r="H686" s="6">
        <v>19</v>
      </c>
    </row>
    <row r="687" spans="1:8" ht="18.95" customHeight="1">
      <c r="A687" s="4">
        <v>683</v>
      </c>
      <c r="B687" s="4">
        <v>33875</v>
      </c>
      <c r="C687" s="4">
        <v>1</v>
      </c>
      <c r="D687" s="6">
        <v>0</v>
      </c>
      <c r="E687" s="6">
        <v>-111.81</v>
      </c>
      <c r="F687" s="6">
        <v>-0.57999999999999996</v>
      </c>
      <c r="G687" s="6">
        <v>0</v>
      </c>
      <c r="H687" s="6">
        <v>19</v>
      </c>
    </row>
    <row r="688" spans="1:8" ht="18.95" customHeight="1">
      <c r="A688" s="4">
        <v>684</v>
      </c>
      <c r="B688" s="4">
        <v>33895</v>
      </c>
      <c r="C688" s="4">
        <v>1</v>
      </c>
      <c r="D688" s="6">
        <v>0</v>
      </c>
      <c r="E688" s="6">
        <v>-110.62</v>
      </c>
      <c r="F688" s="6">
        <v>-0.6</v>
      </c>
      <c r="G688" s="6">
        <v>0.15</v>
      </c>
      <c r="H688" s="6">
        <v>19</v>
      </c>
    </row>
    <row r="689" spans="1:8" ht="18.95" customHeight="1">
      <c r="A689" s="4">
        <v>685</v>
      </c>
      <c r="B689" s="4">
        <v>33915</v>
      </c>
      <c r="C689" s="4">
        <v>1</v>
      </c>
      <c r="D689" s="6">
        <v>0</v>
      </c>
      <c r="E689" s="6">
        <v>-109.56</v>
      </c>
      <c r="F689" s="6">
        <v>-0.6</v>
      </c>
      <c r="G689" s="6">
        <v>-0.04</v>
      </c>
      <c r="H689" s="6">
        <v>17</v>
      </c>
    </row>
    <row r="690" spans="1:8" ht="18.95" customHeight="1">
      <c r="A690" s="4">
        <v>686</v>
      </c>
      <c r="B690" s="4">
        <v>33935</v>
      </c>
      <c r="C690" s="4">
        <v>1</v>
      </c>
      <c r="D690" s="6">
        <v>0</v>
      </c>
      <c r="E690" s="6">
        <v>-108.5</v>
      </c>
      <c r="F690" s="6">
        <v>-0.63</v>
      </c>
      <c r="G690" s="6">
        <v>-0.03</v>
      </c>
      <c r="H690" s="6">
        <v>17</v>
      </c>
    </row>
    <row r="691" spans="1:8" ht="18.95" customHeight="1">
      <c r="A691" s="4">
        <v>687</v>
      </c>
      <c r="B691" s="4">
        <v>33955</v>
      </c>
      <c r="C691" s="4">
        <v>1</v>
      </c>
      <c r="D691" s="6">
        <v>0</v>
      </c>
      <c r="E691" s="6">
        <v>-107.56</v>
      </c>
      <c r="F691" s="6">
        <v>-0.61</v>
      </c>
      <c r="G691" s="6">
        <v>0.14000000000000001</v>
      </c>
      <c r="H691" s="6">
        <v>15</v>
      </c>
    </row>
    <row r="692" spans="1:8" ht="18.95" customHeight="1">
      <c r="A692" s="4">
        <v>688</v>
      </c>
      <c r="B692" s="4">
        <v>33975</v>
      </c>
      <c r="C692" s="4">
        <v>1</v>
      </c>
      <c r="D692" s="6">
        <v>0</v>
      </c>
      <c r="E692" s="6">
        <v>-106.75</v>
      </c>
      <c r="F692" s="6">
        <v>-0.62</v>
      </c>
      <c r="G692" s="6">
        <v>-0.23</v>
      </c>
      <c r="H692" s="6">
        <v>15</v>
      </c>
    </row>
    <row r="693" spans="1:8" ht="18.95" customHeight="1">
      <c r="A693" s="4">
        <v>689</v>
      </c>
      <c r="B693" s="4">
        <v>33995</v>
      </c>
      <c r="C693" s="4">
        <v>1</v>
      </c>
      <c r="D693" s="6">
        <v>0</v>
      </c>
      <c r="E693" s="6">
        <v>-106</v>
      </c>
      <c r="F693" s="6">
        <v>-0.61</v>
      </c>
      <c r="G693" s="6">
        <v>-0.13</v>
      </c>
      <c r="H693" s="6">
        <v>15</v>
      </c>
    </row>
    <row r="694" spans="1:8" ht="18.95" customHeight="1">
      <c r="A694" s="4">
        <v>690</v>
      </c>
      <c r="B694" s="4">
        <v>34015</v>
      </c>
      <c r="C694" s="4">
        <v>1</v>
      </c>
      <c r="D694" s="6">
        <v>0</v>
      </c>
      <c r="E694" s="6">
        <v>-105.25</v>
      </c>
      <c r="F694" s="6">
        <v>-0.62</v>
      </c>
      <c r="G694" s="6">
        <v>-0.04</v>
      </c>
      <c r="H694" s="6">
        <v>16</v>
      </c>
    </row>
    <row r="695" spans="1:8" ht="18.95" customHeight="1">
      <c r="A695" s="4">
        <v>691</v>
      </c>
      <c r="B695" s="4">
        <v>34035</v>
      </c>
      <c r="C695" s="4">
        <v>1</v>
      </c>
      <c r="D695" s="6">
        <v>0</v>
      </c>
      <c r="E695" s="6">
        <v>-104.62</v>
      </c>
      <c r="F695" s="6">
        <v>-0.61</v>
      </c>
      <c r="G695" s="6">
        <v>0.04</v>
      </c>
      <c r="H695" s="6">
        <v>16</v>
      </c>
    </row>
    <row r="696" spans="1:8" ht="18.95" customHeight="1">
      <c r="A696" s="4">
        <v>692</v>
      </c>
      <c r="B696" s="4">
        <v>34055</v>
      </c>
      <c r="C696" s="4">
        <v>1</v>
      </c>
      <c r="D696" s="6">
        <v>0</v>
      </c>
      <c r="E696" s="6">
        <v>-104.06</v>
      </c>
      <c r="F696" s="6">
        <v>-0.57999999999999996</v>
      </c>
      <c r="G696" s="6">
        <v>0.13</v>
      </c>
      <c r="H696" s="6">
        <v>17</v>
      </c>
    </row>
    <row r="697" spans="1:8" ht="18.95" customHeight="1">
      <c r="A697" s="4">
        <v>693</v>
      </c>
      <c r="B697" s="4">
        <v>34075</v>
      </c>
      <c r="C697" s="4">
        <v>1</v>
      </c>
      <c r="D697" s="6">
        <v>0</v>
      </c>
      <c r="E697" s="6">
        <v>-103.56</v>
      </c>
      <c r="F697" s="6">
        <v>-0.59</v>
      </c>
      <c r="G697" s="6">
        <v>-0.04</v>
      </c>
      <c r="H697" s="6">
        <v>17</v>
      </c>
    </row>
    <row r="698" spans="1:8" ht="18.95" customHeight="1">
      <c r="A698" s="4">
        <v>694</v>
      </c>
      <c r="B698" s="4">
        <v>34095</v>
      </c>
      <c r="C698" s="4">
        <v>1</v>
      </c>
      <c r="D698" s="6">
        <v>0</v>
      </c>
      <c r="E698" s="6">
        <v>-103.06</v>
      </c>
      <c r="F698" s="6">
        <v>-0.59</v>
      </c>
      <c r="G698" s="6">
        <v>-7.0000000000000007E-2</v>
      </c>
      <c r="H698" s="6">
        <v>17</v>
      </c>
    </row>
    <row r="699" spans="1:8" ht="18.95" customHeight="1">
      <c r="A699" s="4">
        <v>695</v>
      </c>
      <c r="B699" s="4">
        <v>34115</v>
      </c>
      <c r="C699" s="4">
        <v>1</v>
      </c>
      <c r="D699" s="6">
        <v>0</v>
      </c>
      <c r="E699" s="6">
        <v>-102.62</v>
      </c>
      <c r="F699" s="6">
        <v>-0.54</v>
      </c>
      <c r="G699" s="6">
        <v>0.19</v>
      </c>
      <c r="H699" s="6">
        <v>21</v>
      </c>
    </row>
    <row r="700" spans="1:8" ht="18.95" customHeight="1">
      <c r="A700" s="4">
        <v>696</v>
      </c>
      <c r="B700" s="4">
        <v>34135</v>
      </c>
      <c r="C700" s="4">
        <v>1</v>
      </c>
      <c r="D700" s="6">
        <v>0</v>
      </c>
      <c r="E700" s="6">
        <v>-102.25</v>
      </c>
      <c r="F700" s="6">
        <v>-0.54</v>
      </c>
      <c r="G700" s="6">
        <v>0.12</v>
      </c>
      <c r="H700" s="6">
        <v>21</v>
      </c>
    </row>
    <row r="701" spans="1:8" ht="18.95" customHeight="1">
      <c r="A701" s="4">
        <v>697</v>
      </c>
      <c r="B701" s="4">
        <v>34155</v>
      </c>
      <c r="C701" s="4">
        <v>1</v>
      </c>
      <c r="D701" s="6">
        <v>0</v>
      </c>
      <c r="E701" s="6">
        <v>-101.94</v>
      </c>
      <c r="F701" s="6">
        <v>-0.54</v>
      </c>
      <c r="G701" s="6">
        <v>7.0000000000000007E-2</v>
      </c>
      <c r="H701" s="6">
        <v>19</v>
      </c>
    </row>
    <row r="702" spans="1:8" ht="18.95" customHeight="1">
      <c r="A702" s="4">
        <v>698</v>
      </c>
      <c r="B702" s="4">
        <v>34176</v>
      </c>
      <c r="C702" s="4">
        <v>1</v>
      </c>
      <c r="D702" s="6">
        <v>0</v>
      </c>
      <c r="E702" s="6">
        <v>-101.56</v>
      </c>
      <c r="F702" s="6">
        <v>-0.53</v>
      </c>
      <c r="G702" s="6">
        <v>0.22</v>
      </c>
      <c r="H702" s="6">
        <v>19</v>
      </c>
    </row>
    <row r="703" spans="1:8" ht="18.95" customHeight="1">
      <c r="A703" s="4">
        <v>699</v>
      </c>
      <c r="B703" s="4">
        <v>34196</v>
      </c>
      <c r="C703" s="4">
        <v>1</v>
      </c>
      <c r="D703" s="6">
        <v>0</v>
      </c>
      <c r="E703" s="6">
        <v>-101.25</v>
      </c>
      <c r="F703" s="6">
        <v>-0.48</v>
      </c>
      <c r="G703" s="6">
        <v>0.03</v>
      </c>
      <c r="H703" s="6">
        <v>19</v>
      </c>
    </row>
    <row r="704" spans="1:8" ht="18.95" customHeight="1">
      <c r="A704" s="4">
        <v>700</v>
      </c>
      <c r="B704" s="4">
        <v>34216</v>
      </c>
      <c r="C704" s="4">
        <v>1</v>
      </c>
      <c r="D704" s="6">
        <v>0</v>
      </c>
      <c r="E704" s="6">
        <v>-100.81</v>
      </c>
      <c r="F704" s="6">
        <v>-0.46</v>
      </c>
      <c r="G704" s="6">
        <v>-0.05</v>
      </c>
      <c r="H704" s="6">
        <v>23</v>
      </c>
    </row>
    <row r="705" spans="1:8" ht="18.95" customHeight="1">
      <c r="A705" s="4">
        <v>701</v>
      </c>
      <c r="B705" s="4">
        <v>34236</v>
      </c>
      <c r="C705" s="4">
        <v>1</v>
      </c>
      <c r="D705" s="6">
        <v>0</v>
      </c>
      <c r="E705" s="6">
        <v>-100.69</v>
      </c>
      <c r="F705" s="6">
        <v>-0.45</v>
      </c>
      <c r="G705" s="6">
        <v>0.1</v>
      </c>
      <c r="H705" s="6">
        <v>23</v>
      </c>
    </row>
    <row r="706" spans="1:8" ht="18.95" customHeight="1">
      <c r="A706" s="4">
        <v>702</v>
      </c>
      <c r="B706" s="4">
        <v>34256</v>
      </c>
      <c r="C706" s="4">
        <v>1</v>
      </c>
      <c r="D706" s="6">
        <v>0</v>
      </c>
      <c r="E706" s="6">
        <v>-100.44</v>
      </c>
      <c r="F706" s="6">
        <v>-0.44</v>
      </c>
      <c r="G706" s="6">
        <v>0</v>
      </c>
      <c r="H706" s="6">
        <v>25</v>
      </c>
    </row>
    <row r="707" spans="1:8" ht="18.95" customHeight="1">
      <c r="A707" s="4">
        <v>703</v>
      </c>
      <c r="B707" s="4">
        <v>34276</v>
      </c>
      <c r="C707" s="4">
        <v>1</v>
      </c>
      <c r="D707" s="6">
        <v>0</v>
      </c>
      <c r="E707" s="6">
        <v>-100.25</v>
      </c>
      <c r="F707" s="6">
        <v>-0.44</v>
      </c>
      <c r="G707" s="6">
        <v>0.15</v>
      </c>
      <c r="H707" s="6">
        <v>25</v>
      </c>
    </row>
    <row r="708" spans="1:8" ht="18.95" customHeight="1">
      <c r="A708" s="4">
        <v>704</v>
      </c>
      <c r="B708" s="4">
        <v>34296</v>
      </c>
      <c r="C708" s="4">
        <v>1</v>
      </c>
      <c r="D708" s="6">
        <v>0</v>
      </c>
      <c r="E708" s="6">
        <v>-100</v>
      </c>
      <c r="F708" s="6">
        <v>-0.4</v>
      </c>
      <c r="G708" s="6">
        <v>0.06</v>
      </c>
      <c r="H708" s="6">
        <v>25</v>
      </c>
    </row>
    <row r="709" spans="1:8" ht="18.95" customHeight="1">
      <c r="A709" s="4">
        <v>705</v>
      </c>
      <c r="B709" s="4">
        <v>34316</v>
      </c>
      <c r="C709" s="4">
        <v>1</v>
      </c>
      <c r="D709" s="6">
        <v>0</v>
      </c>
      <c r="E709" s="6">
        <v>-99.81</v>
      </c>
      <c r="F709" s="6">
        <v>-0.4</v>
      </c>
      <c r="G709" s="6">
        <v>0.24</v>
      </c>
      <c r="H709" s="6">
        <v>30</v>
      </c>
    </row>
    <row r="710" spans="1:8" ht="18.95" customHeight="1">
      <c r="A710" s="4">
        <v>706</v>
      </c>
      <c r="B710" s="4">
        <v>34336</v>
      </c>
      <c r="C710" s="4">
        <v>1</v>
      </c>
      <c r="D710" s="6">
        <v>0</v>
      </c>
      <c r="E710" s="6">
        <v>-99.62</v>
      </c>
      <c r="F710" s="6">
        <v>-0.39</v>
      </c>
      <c r="G710" s="6">
        <v>-7.0000000000000007E-2</v>
      </c>
      <c r="H710" s="6">
        <v>30</v>
      </c>
    </row>
    <row r="711" spans="1:8" ht="18.95" customHeight="1">
      <c r="A711" s="4">
        <v>707</v>
      </c>
      <c r="B711" s="4">
        <v>34356</v>
      </c>
      <c r="C711" s="4">
        <v>1</v>
      </c>
      <c r="D711" s="6">
        <v>0</v>
      </c>
      <c r="E711" s="6">
        <v>-99.5</v>
      </c>
      <c r="F711" s="6">
        <v>-0.35</v>
      </c>
      <c r="G711" s="6">
        <v>0.15</v>
      </c>
      <c r="H711" s="6">
        <v>31</v>
      </c>
    </row>
    <row r="712" spans="1:8" ht="18.95" customHeight="1">
      <c r="A712" s="4">
        <v>708</v>
      </c>
      <c r="B712" s="4">
        <v>34376</v>
      </c>
      <c r="C712" s="4">
        <v>1</v>
      </c>
      <c r="D712" s="6">
        <v>0</v>
      </c>
      <c r="E712" s="6">
        <v>-99.37</v>
      </c>
      <c r="F712" s="6">
        <v>-0.33</v>
      </c>
      <c r="G712" s="6">
        <v>0.01</v>
      </c>
      <c r="H712" s="6">
        <v>31</v>
      </c>
    </row>
    <row r="713" spans="1:8" ht="18.95" customHeight="1">
      <c r="A713" s="4">
        <v>709</v>
      </c>
      <c r="B713" s="4">
        <v>34396</v>
      </c>
      <c r="C713" s="4">
        <v>1</v>
      </c>
      <c r="D713" s="6">
        <v>0</v>
      </c>
      <c r="E713" s="6">
        <v>-99.25</v>
      </c>
      <c r="F713" s="6">
        <v>-0.28999999999999998</v>
      </c>
      <c r="G713" s="6">
        <v>0.06</v>
      </c>
      <c r="H713" s="6">
        <v>31</v>
      </c>
    </row>
    <row r="714" spans="1:8" ht="18.95" customHeight="1">
      <c r="A714" s="4">
        <v>710</v>
      </c>
      <c r="B714" s="4">
        <v>34416</v>
      </c>
      <c r="C714" s="4">
        <v>1</v>
      </c>
      <c r="D714" s="6">
        <v>0</v>
      </c>
      <c r="E714" s="6">
        <v>-99.19</v>
      </c>
      <c r="F714" s="6">
        <v>-0.28999999999999998</v>
      </c>
      <c r="G714" s="6">
        <v>0.1</v>
      </c>
      <c r="H714" s="6">
        <v>36</v>
      </c>
    </row>
    <row r="715" spans="1:8" ht="18.95" customHeight="1">
      <c r="A715" s="4">
        <v>711</v>
      </c>
      <c r="B715" s="4">
        <v>34436</v>
      </c>
      <c r="C715" s="4">
        <v>1</v>
      </c>
      <c r="D715" s="6">
        <v>0</v>
      </c>
      <c r="E715" s="6">
        <v>-99.12</v>
      </c>
      <c r="F715" s="6">
        <v>-0.28000000000000003</v>
      </c>
      <c r="G715" s="6">
        <v>-0.06</v>
      </c>
      <c r="H715" s="6">
        <v>36</v>
      </c>
    </row>
    <row r="716" spans="1:8" ht="18.95" customHeight="1">
      <c r="A716" s="4">
        <v>712</v>
      </c>
      <c r="B716" s="4">
        <v>34456</v>
      </c>
      <c r="C716" s="4">
        <v>1</v>
      </c>
      <c r="D716" s="6">
        <v>0</v>
      </c>
      <c r="E716" s="6">
        <v>-99.06</v>
      </c>
      <c r="F716" s="6">
        <v>-0.23</v>
      </c>
      <c r="G716" s="6">
        <v>0.17</v>
      </c>
      <c r="H716" s="6">
        <v>39</v>
      </c>
    </row>
    <row r="717" spans="1:8" ht="18.95" customHeight="1">
      <c r="A717" s="4">
        <v>713</v>
      </c>
      <c r="B717" s="4">
        <v>34476</v>
      </c>
      <c r="C717" s="4">
        <v>1</v>
      </c>
      <c r="D717" s="6">
        <v>0</v>
      </c>
      <c r="E717" s="6">
        <v>-99.06</v>
      </c>
      <c r="F717" s="6">
        <v>-0.22</v>
      </c>
      <c r="G717" s="6">
        <v>-0.04</v>
      </c>
      <c r="H717" s="6">
        <v>39</v>
      </c>
    </row>
    <row r="718" spans="1:8" ht="18.95" customHeight="1">
      <c r="A718" s="4">
        <v>714</v>
      </c>
      <c r="B718" s="4">
        <v>34496</v>
      </c>
      <c r="C718" s="4">
        <v>1</v>
      </c>
      <c r="D718" s="6">
        <v>0</v>
      </c>
      <c r="E718" s="6">
        <v>-99</v>
      </c>
      <c r="F718" s="6">
        <v>-0.2</v>
      </c>
      <c r="G718" s="6">
        <v>0.02</v>
      </c>
      <c r="H718" s="6">
        <v>39</v>
      </c>
    </row>
    <row r="719" spans="1:8" ht="18.95" customHeight="1">
      <c r="A719" s="4">
        <v>715</v>
      </c>
      <c r="B719" s="4">
        <v>34516</v>
      </c>
      <c r="C719" s="4">
        <v>1</v>
      </c>
      <c r="D719" s="6">
        <v>0</v>
      </c>
      <c r="E719" s="6">
        <v>-99</v>
      </c>
      <c r="F719" s="6">
        <v>-0.17</v>
      </c>
      <c r="G719" s="6">
        <v>0.04</v>
      </c>
      <c r="H719" s="6">
        <v>43</v>
      </c>
    </row>
    <row r="720" spans="1:8" ht="18.95" customHeight="1">
      <c r="A720" s="4">
        <v>716</v>
      </c>
      <c r="B720" s="4">
        <v>34536</v>
      </c>
      <c r="C720" s="4">
        <v>1</v>
      </c>
      <c r="D720" s="6">
        <v>0</v>
      </c>
      <c r="E720" s="6">
        <v>-99</v>
      </c>
      <c r="F720" s="6">
        <v>-0.16</v>
      </c>
      <c r="G720" s="6">
        <v>0.23</v>
      </c>
      <c r="H720" s="6">
        <v>43</v>
      </c>
    </row>
    <row r="721" spans="1:8" ht="18.95" customHeight="1">
      <c r="A721" s="4">
        <v>717</v>
      </c>
      <c r="B721" s="4">
        <v>34556</v>
      </c>
      <c r="C721" s="4">
        <v>1</v>
      </c>
      <c r="D721" s="6">
        <v>0</v>
      </c>
      <c r="E721" s="6">
        <v>-98.94</v>
      </c>
      <c r="F721" s="6">
        <v>-0.13</v>
      </c>
      <c r="G721" s="6">
        <v>-7.0000000000000007E-2</v>
      </c>
      <c r="H721" s="6">
        <v>46</v>
      </c>
    </row>
    <row r="722" spans="1:8" ht="18.95" customHeight="1">
      <c r="A722" s="4">
        <v>718</v>
      </c>
      <c r="B722" s="4">
        <v>34576</v>
      </c>
      <c r="C722" s="4">
        <v>1</v>
      </c>
      <c r="D722" s="6">
        <v>0</v>
      </c>
      <c r="E722" s="6">
        <v>-98.94</v>
      </c>
      <c r="F722" s="6">
        <v>-0.12</v>
      </c>
      <c r="G722" s="6">
        <v>0.04</v>
      </c>
      <c r="H722" s="6">
        <v>46</v>
      </c>
    </row>
    <row r="723" spans="1:8" ht="18.95" customHeight="1">
      <c r="A723" s="4">
        <v>719</v>
      </c>
      <c r="B723" s="4">
        <v>34596</v>
      </c>
      <c r="C723" s="4">
        <v>1</v>
      </c>
      <c r="D723" s="6">
        <v>0</v>
      </c>
      <c r="E723" s="6">
        <v>-98.94</v>
      </c>
      <c r="F723" s="6">
        <v>-0.08</v>
      </c>
      <c r="G723" s="6">
        <v>0.09</v>
      </c>
      <c r="H723" s="6">
        <v>46</v>
      </c>
    </row>
    <row r="724" spans="1:8" ht="18.95" customHeight="1">
      <c r="A724" s="4">
        <v>720</v>
      </c>
      <c r="B724" s="4">
        <v>34616</v>
      </c>
      <c r="C724" s="4">
        <v>1</v>
      </c>
      <c r="D724" s="6">
        <v>0</v>
      </c>
      <c r="E724" s="6">
        <v>-98.94</v>
      </c>
      <c r="F724" s="6">
        <v>-0.06</v>
      </c>
      <c r="G724" s="6">
        <v>0.13</v>
      </c>
      <c r="H724" s="6">
        <v>48</v>
      </c>
    </row>
    <row r="725" spans="1:8" ht="18.95" customHeight="1">
      <c r="A725" s="4">
        <v>721</v>
      </c>
      <c r="B725" s="4">
        <v>34636</v>
      </c>
      <c r="C725" s="4">
        <v>1</v>
      </c>
      <c r="D725" s="6">
        <v>0</v>
      </c>
      <c r="E725" s="6">
        <v>-98.94</v>
      </c>
      <c r="F725" s="6">
        <v>-0.03</v>
      </c>
      <c r="G725" s="6">
        <v>0</v>
      </c>
      <c r="H725" s="6">
        <v>48</v>
      </c>
    </row>
    <row r="726" spans="1:8" ht="18.95" customHeight="1">
      <c r="A726" s="4">
        <v>722</v>
      </c>
      <c r="B726" s="4">
        <v>34656</v>
      </c>
      <c r="C726" s="4">
        <v>1</v>
      </c>
      <c r="D726" s="6">
        <v>0</v>
      </c>
      <c r="E726" s="6">
        <v>-99</v>
      </c>
      <c r="F726" s="6">
        <v>-0.01</v>
      </c>
      <c r="G726" s="6">
        <v>0.11</v>
      </c>
      <c r="H726" s="6">
        <v>56</v>
      </c>
    </row>
    <row r="727" spans="1:8" ht="18.95" customHeight="1">
      <c r="A727" s="4">
        <v>723</v>
      </c>
      <c r="B727" s="4">
        <v>34676</v>
      </c>
      <c r="C727" s="4">
        <v>1</v>
      </c>
      <c r="D727" s="6">
        <v>0</v>
      </c>
      <c r="E727" s="6">
        <v>-99</v>
      </c>
      <c r="F727" s="6">
        <v>0.01</v>
      </c>
      <c r="G727" s="6">
        <v>0.02</v>
      </c>
      <c r="H727" s="6">
        <v>56</v>
      </c>
    </row>
    <row r="728" spans="1:8" ht="18.95" customHeight="1">
      <c r="A728" s="4">
        <v>724</v>
      </c>
      <c r="B728" s="4">
        <v>34696</v>
      </c>
      <c r="C728" s="4">
        <v>1</v>
      </c>
      <c r="D728" s="6">
        <v>0</v>
      </c>
      <c r="E728" s="6">
        <v>-99.06</v>
      </c>
      <c r="F728" s="6">
        <v>0.03</v>
      </c>
      <c r="G728" s="6">
        <v>0.06</v>
      </c>
      <c r="H728" s="6">
        <v>56</v>
      </c>
    </row>
    <row r="729" spans="1:8" ht="18.95" customHeight="1">
      <c r="A729" s="4">
        <v>725</v>
      </c>
      <c r="B729" s="4">
        <v>34716</v>
      </c>
      <c r="C729" s="4">
        <v>1</v>
      </c>
      <c r="D729" s="6">
        <v>0</v>
      </c>
      <c r="E729" s="6">
        <v>-99.12</v>
      </c>
      <c r="F729" s="6">
        <v>0.05</v>
      </c>
      <c r="G729" s="6">
        <v>0.17</v>
      </c>
      <c r="H729" s="6">
        <v>60</v>
      </c>
    </row>
    <row r="730" spans="1:8" ht="18.95" customHeight="1">
      <c r="A730" s="4">
        <v>726</v>
      </c>
      <c r="B730" s="4">
        <v>34736</v>
      </c>
      <c r="C730" s="4">
        <v>1</v>
      </c>
      <c r="D730" s="6">
        <v>0</v>
      </c>
      <c r="E730" s="6">
        <v>-99.12</v>
      </c>
      <c r="F730" s="6">
        <v>0.06</v>
      </c>
      <c r="G730" s="6">
        <v>-0.02</v>
      </c>
      <c r="H730" s="6">
        <v>60</v>
      </c>
    </row>
    <row r="731" spans="1:8" ht="18.95" customHeight="1">
      <c r="A731" s="4">
        <v>727</v>
      </c>
      <c r="B731" s="4">
        <v>34756</v>
      </c>
      <c r="C731" s="4">
        <v>1</v>
      </c>
      <c r="D731" s="6">
        <v>0</v>
      </c>
      <c r="E731" s="6">
        <v>-99.19</v>
      </c>
      <c r="F731" s="6">
        <v>0.09</v>
      </c>
      <c r="G731" s="6">
        <v>0.16</v>
      </c>
      <c r="H731" s="6">
        <v>61</v>
      </c>
    </row>
    <row r="732" spans="1:8" ht="18.95" customHeight="1">
      <c r="A732" s="4">
        <v>728</v>
      </c>
      <c r="B732" s="4">
        <v>34776</v>
      </c>
      <c r="C732" s="4">
        <v>1</v>
      </c>
      <c r="D732" s="6">
        <v>0</v>
      </c>
      <c r="E732" s="6">
        <v>-99.25</v>
      </c>
      <c r="F732" s="6">
        <v>0.1</v>
      </c>
      <c r="G732" s="6">
        <v>-0.05</v>
      </c>
      <c r="H732" s="6">
        <v>61</v>
      </c>
    </row>
    <row r="733" spans="1:8" ht="18.95" customHeight="1">
      <c r="A733" s="4">
        <v>729</v>
      </c>
      <c r="B733" s="4">
        <v>34796</v>
      </c>
      <c r="C733" s="4">
        <v>1</v>
      </c>
      <c r="D733" s="6">
        <v>0</v>
      </c>
      <c r="E733" s="6">
        <v>-99.25</v>
      </c>
      <c r="F733" s="6">
        <v>0.14000000000000001</v>
      </c>
      <c r="G733" s="6">
        <v>0.09</v>
      </c>
      <c r="H733" s="6">
        <v>61</v>
      </c>
    </row>
    <row r="734" spans="1:8" ht="18.95" customHeight="1">
      <c r="A734" s="4">
        <v>730</v>
      </c>
      <c r="B734" s="4">
        <v>34816</v>
      </c>
      <c r="C734" s="4">
        <v>1</v>
      </c>
      <c r="D734" s="6">
        <v>0</v>
      </c>
      <c r="E734" s="6">
        <v>-99.31</v>
      </c>
      <c r="F734" s="6">
        <v>0.14000000000000001</v>
      </c>
      <c r="G734" s="6">
        <v>0.09</v>
      </c>
      <c r="H734" s="6">
        <v>65</v>
      </c>
    </row>
    <row r="735" spans="1:8" ht="18.95" customHeight="1">
      <c r="A735" s="4">
        <v>731</v>
      </c>
      <c r="B735" s="4">
        <v>34836</v>
      </c>
      <c r="C735" s="4">
        <v>1</v>
      </c>
      <c r="D735" s="6">
        <v>0</v>
      </c>
      <c r="E735" s="6">
        <v>-99.37</v>
      </c>
      <c r="F735" s="6">
        <v>0.16</v>
      </c>
      <c r="G735" s="6">
        <v>0.18</v>
      </c>
      <c r="H735" s="6">
        <v>65</v>
      </c>
    </row>
    <row r="736" spans="1:8" ht="18.95" customHeight="1">
      <c r="A736" s="4">
        <v>732</v>
      </c>
      <c r="B736" s="4">
        <v>34856</v>
      </c>
      <c r="C736" s="4">
        <v>1</v>
      </c>
      <c r="D736" s="6">
        <v>0</v>
      </c>
      <c r="E736" s="6">
        <v>-99.44</v>
      </c>
      <c r="F736" s="6">
        <v>0.19</v>
      </c>
      <c r="G736" s="6">
        <v>-0.05</v>
      </c>
      <c r="H736" s="6">
        <v>66</v>
      </c>
    </row>
    <row r="737" spans="1:8" ht="18.95" customHeight="1">
      <c r="A737" s="4">
        <v>733</v>
      </c>
      <c r="B737" s="4">
        <v>34876</v>
      </c>
      <c r="C737" s="4">
        <v>1</v>
      </c>
      <c r="D737" s="6">
        <v>0</v>
      </c>
      <c r="E737" s="6">
        <v>-99.5</v>
      </c>
      <c r="F737" s="6">
        <v>0.21</v>
      </c>
      <c r="G737" s="6">
        <v>-0.05</v>
      </c>
      <c r="H737" s="6">
        <v>66</v>
      </c>
    </row>
    <row r="738" spans="1:8" ht="18.95" customHeight="1">
      <c r="A738" s="4">
        <v>734</v>
      </c>
      <c r="B738" s="4">
        <v>34896</v>
      </c>
      <c r="C738" s="4">
        <v>1</v>
      </c>
      <c r="D738" s="6">
        <v>0</v>
      </c>
      <c r="E738" s="6">
        <v>-99.62</v>
      </c>
      <c r="F738" s="6">
        <v>0.23</v>
      </c>
      <c r="G738" s="6">
        <v>-0.03</v>
      </c>
      <c r="H738" s="6">
        <v>66</v>
      </c>
    </row>
    <row r="739" spans="1:8" ht="18.95" customHeight="1">
      <c r="A739" s="4">
        <v>735</v>
      </c>
      <c r="B739" s="4">
        <v>34916</v>
      </c>
      <c r="C739" s="4">
        <v>1</v>
      </c>
      <c r="D739" s="6">
        <v>0</v>
      </c>
      <c r="E739" s="6">
        <v>-99.69</v>
      </c>
      <c r="F739" s="6">
        <v>0.25</v>
      </c>
      <c r="G739" s="6">
        <v>-7.0000000000000007E-2</v>
      </c>
      <c r="H739" s="6">
        <v>70</v>
      </c>
    </row>
    <row r="740" spans="1:8" ht="18.95" customHeight="1">
      <c r="A740" s="4">
        <v>736</v>
      </c>
      <c r="B740" s="4">
        <v>34936</v>
      </c>
      <c r="C740" s="4">
        <v>1</v>
      </c>
      <c r="D740" s="6">
        <v>0</v>
      </c>
      <c r="E740" s="6">
        <v>-99.81</v>
      </c>
      <c r="F740" s="6">
        <v>0.26</v>
      </c>
      <c r="G740" s="6">
        <v>0</v>
      </c>
      <c r="H740" s="6">
        <v>70</v>
      </c>
    </row>
    <row r="741" spans="1:8" ht="18.95" customHeight="1">
      <c r="A741" s="4">
        <v>737</v>
      </c>
      <c r="B741" s="4">
        <v>34956</v>
      </c>
      <c r="C741" s="4">
        <v>1</v>
      </c>
      <c r="D741" s="6">
        <v>0</v>
      </c>
      <c r="E741" s="6">
        <v>-99.94</v>
      </c>
      <c r="F741" s="6">
        <v>0.3</v>
      </c>
      <c r="G741" s="6">
        <v>7.0000000000000007E-2</v>
      </c>
      <c r="H741" s="6">
        <v>71</v>
      </c>
    </row>
    <row r="742" spans="1:8" ht="18.95" customHeight="1">
      <c r="A742" s="4">
        <v>738</v>
      </c>
      <c r="B742" s="4">
        <v>34976</v>
      </c>
      <c r="C742" s="4">
        <v>1</v>
      </c>
      <c r="D742" s="6">
        <v>0</v>
      </c>
      <c r="E742" s="6">
        <v>-100.06</v>
      </c>
      <c r="F742" s="6">
        <v>0.31</v>
      </c>
      <c r="G742" s="6">
        <v>0.08</v>
      </c>
      <c r="H742" s="6">
        <v>71</v>
      </c>
    </row>
    <row r="743" spans="1:8" ht="18.95" customHeight="1">
      <c r="A743" s="4">
        <v>739</v>
      </c>
      <c r="B743" s="4">
        <v>34996</v>
      </c>
      <c r="C743" s="4">
        <v>1</v>
      </c>
      <c r="D743" s="6">
        <v>0</v>
      </c>
      <c r="E743" s="6">
        <v>-100.19</v>
      </c>
      <c r="F743" s="6">
        <v>0.34</v>
      </c>
      <c r="G743" s="6">
        <v>0.36</v>
      </c>
      <c r="H743" s="6">
        <v>71</v>
      </c>
    </row>
    <row r="744" spans="1:8" ht="18.95" customHeight="1">
      <c r="A744" s="4">
        <v>740</v>
      </c>
      <c r="B744" s="4">
        <v>35016</v>
      </c>
      <c r="C744" s="4">
        <v>1</v>
      </c>
      <c r="D744" s="6">
        <v>0</v>
      </c>
      <c r="E744" s="6">
        <v>-100.37</v>
      </c>
      <c r="F744" s="6">
        <v>0.35</v>
      </c>
      <c r="G744" s="6">
        <v>0</v>
      </c>
      <c r="H744" s="6">
        <v>73</v>
      </c>
    </row>
    <row r="745" spans="1:8" ht="18.95" customHeight="1">
      <c r="A745" s="4">
        <v>741</v>
      </c>
      <c r="B745" s="4">
        <v>35036</v>
      </c>
      <c r="C745" s="4">
        <v>1</v>
      </c>
      <c r="D745" s="6">
        <v>0</v>
      </c>
      <c r="E745" s="6">
        <v>-100.5</v>
      </c>
      <c r="F745" s="6">
        <v>0.36</v>
      </c>
      <c r="G745" s="6">
        <v>0.04</v>
      </c>
      <c r="H745" s="6">
        <v>73</v>
      </c>
    </row>
    <row r="746" spans="1:8" ht="18.95" customHeight="1">
      <c r="A746" s="4">
        <v>742</v>
      </c>
      <c r="B746" s="4">
        <v>35056</v>
      </c>
      <c r="C746" s="4">
        <v>1</v>
      </c>
      <c r="D746" s="6">
        <v>0</v>
      </c>
      <c r="E746" s="6">
        <v>-100.69</v>
      </c>
      <c r="F746" s="6">
        <v>0.4</v>
      </c>
      <c r="G746" s="6">
        <v>-0.03</v>
      </c>
      <c r="H746" s="6">
        <v>76</v>
      </c>
    </row>
    <row r="747" spans="1:8" ht="18.95" customHeight="1">
      <c r="A747" s="4">
        <v>743</v>
      </c>
      <c r="B747" s="4">
        <v>35076</v>
      </c>
      <c r="C747" s="4">
        <v>1</v>
      </c>
      <c r="D747" s="6">
        <v>0</v>
      </c>
      <c r="E747" s="6">
        <v>-100.94</v>
      </c>
      <c r="F747" s="6">
        <v>0.41</v>
      </c>
      <c r="G747" s="6">
        <v>-7.0000000000000007E-2</v>
      </c>
      <c r="H747" s="6">
        <v>76</v>
      </c>
    </row>
    <row r="748" spans="1:8" ht="18.95" customHeight="1">
      <c r="A748" s="4">
        <v>744</v>
      </c>
      <c r="B748" s="4">
        <v>35096</v>
      </c>
      <c r="C748" s="4">
        <v>1</v>
      </c>
      <c r="D748" s="6">
        <v>0</v>
      </c>
      <c r="E748" s="6">
        <v>-101.12</v>
      </c>
      <c r="F748" s="6">
        <v>0.41</v>
      </c>
      <c r="G748" s="6">
        <v>-0.04</v>
      </c>
      <c r="H748" s="6">
        <v>76</v>
      </c>
    </row>
    <row r="749" spans="1:8" ht="18.95" customHeight="1">
      <c r="A749" s="4">
        <v>745</v>
      </c>
      <c r="B749" s="4">
        <v>35116</v>
      </c>
      <c r="C749" s="4">
        <v>1</v>
      </c>
      <c r="D749" s="6">
        <v>0</v>
      </c>
      <c r="E749" s="6">
        <v>-101.37</v>
      </c>
      <c r="F749" s="6">
        <v>0.43</v>
      </c>
      <c r="G749" s="6">
        <v>-0.02</v>
      </c>
      <c r="H749" s="6">
        <v>78</v>
      </c>
    </row>
    <row r="750" spans="1:8" ht="18.95" customHeight="1">
      <c r="A750" s="4">
        <v>746</v>
      </c>
      <c r="B750" s="4">
        <v>35136</v>
      </c>
      <c r="C750" s="4">
        <v>1</v>
      </c>
      <c r="D750" s="6">
        <v>0</v>
      </c>
      <c r="E750" s="6">
        <v>-101.62</v>
      </c>
      <c r="F750" s="6">
        <v>0.43</v>
      </c>
      <c r="G750" s="6">
        <v>0.2</v>
      </c>
      <c r="H750" s="6">
        <v>78</v>
      </c>
    </row>
    <row r="751" spans="1:8" ht="18.95" customHeight="1">
      <c r="A751" s="4">
        <v>747</v>
      </c>
      <c r="B751" s="4">
        <v>35156</v>
      </c>
      <c r="C751" s="4">
        <v>1</v>
      </c>
      <c r="D751" s="6">
        <v>0</v>
      </c>
      <c r="E751" s="6">
        <v>-101.94</v>
      </c>
      <c r="F751" s="6">
        <v>0.45</v>
      </c>
      <c r="G751" s="6">
        <v>-0.05</v>
      </c>
      <c r="H751" s="6">
        <v>81</v>
      </c>
    </row>
    <row r="752" spans="1:8" ht="18.95" customHeight="1">
      <c r="A752" s="4">
        <v>748</v>
      </c>
      <c r="B752" s="4">
        <v>35176</v>
      </c>
      <c r="C752" s="4">
        <v>1</v>
      </c>
      <c r="D752" s="6">
        <v>0</v>
      </c>
      <c r="E752" s="6">
        <v>-102.19</v>
      </c>
      <c r="F752" s="6">
        <v>0.45</v>
      </c>
      <c r="G752" s="6">
        <v>0.17</v>
      </c>
      <c r="H752" s="6">
        <v>81</v>
      </c>
    </row>
    <row r="753" spans="1:8" ht="18.95" customHeight="1">
      <c r="A753" s="4">
        <v>749</v>
      </c>
      <c r="B753" s="4">
        <v>35196</v>
      </c>
      <c r="C753" s="4">
        <v>1</v>
      </c>
      <c r="D753" s="6">
        <v>0</v>
      </c>
      <c r="E753" s="6">
        <v>-102.5</v>
      </c>
      <c r="F753" s="6">
        <v>0.45</v>
      </c>
      <c r="G753" s="6">
        <v>-0.04</v>
      </c>
      <c r="H753" s="6">
        <v>81</v>
      </c>
    </row>
    <row r="754" spans="1:8" ht="18.95" customHeight="1">
      <c r="A754" s="4">
        <v>750</v>
      </c>
      <c r="B754" s="4">
        <v>35216</v>
      </c>
      <c r="C754" s="4">
        <v>1</v>
      </c>
      <c r="D754" s="6">
        <v>0</v>
      </c>
      <c r="E754" s="6">
        <v>-102.81</v>
      </c>
      <c r="F754" s="6">
        <v>0.47</v>
      </c>
      <c r="G754" s="6">
        <v>0.04</v>
      </c>
      <c r="H754" s="6">
        <v>79</v>
      </c>
    </row>
    <row r="755" spans="1:8" ht="18.95" customHeight="1">
      <c r="A755" s="4">
        <v>751</v>
      </c>
      <c r="B755" s="4">
        <v>35236</v>
      </c>
      <c r="C755" s="4">
        <v>1</v>
      </c>
      <c r="D755" s="6">
        <v>0</v>
      </c>
      <c r="E755" s="6">
        <v>-103.19</v>
      </c>
      <c r="F755" s="6">
        <v>0.48</v>
      </c>
      <c r="G755" s="6">
        <v>0.06</v>
      </c>
      <c r="H755" s="6">
        <v>79</v>
      </c>
    </row>
    <row r="756" spans="1:8" ht="18.95" customHeight="1">
      <c r="A756" s="4">
        <v>752</v>
      </c>
      <c r="B756" s="4">
        <v>35256</v>
      </c>
      <c r="C756" s="4">
        <v>1</v>
      </c>
      <c r="D756" s="6">
        <v>0</v>
      </c>
      <c r="E756" s="6">
        <v>-103.56</v>
      </c>
      <c r="F756" s="6">
        <v>0.51</v>
      </c>
      <c r="G756" s="6">
        <v>7.0000000000000007E-2</v>
      </c>
      <c r="H756" s="6">
        <v>81</v>
      </c>
    </row>
    <row r="757" spans="1:8" ht="18.95" customHeight="1">
      <c r="A757" s="4">
        <v>753</v>
      </c>
      <c r="B757" s="4">
        <v>35276</v>
      </c>
      <c r="C757" s="4">
        <v>1</v>
      </c>
      <c r="D757" s="6">
        <v>0</v>
      </c>
      <c r="E757" s="6">
        <v>-104</v>
      </c>
      <c r="F757" s="6">
        <v>0.51</v>
      </c>
      <c r="G757" s="6">
        <v>0.24</v>
      </c>
      <c r="H757" s="6">
        <v>81</v>
      </c>
    </row>
    <row r="758" spans="1:8" ht="18.95" customHeight="1">
      <c r="A758" s="4">
        <v>754</v>
      </c>
      <c r="B758" s="4">
        <v>35296</v>
      </c>
      <c r="C758" s="4">
        <v>1</v>
      </c>
      <c r="D758" s="6">
        <v>0</v>
      </c>
      <c r="E758" s="6">
        <v>-104.44</v>
      </c>
      <c r="F758" s="6">
        <v>0.53</v>
      </c>
      <c r="G758" s="6">
        <v>0.06</v>
      </c>
      <c r="H758" s="6">
        <v>81</v>
      </c>
    </row>
    <row r="759" spans="1:8" ht="18.95" customHeight="1">
      <c r="A759" s="4">
        <v>755</v>
      </c>
      <c r="B759" s="4">
        <v>35316</v>
      </c>
      <c r="C759" s="4">
        <v>1</v>
      </c>
      <c r="D759" s="6">
        <v>0</v>
      </c>
      <c r="E759" s="6">
        <v>-104.94</v>
      </c>
      <c r="F759" s="6">
        <v>0.53</v>
      </c>
      <c r="G759" s="6">
        <v>0.19</v>
      </c>
      <c r="H759" s="6">
        <v>83</v>
      </c>
    </row>
    <row r="760" spans="1:8" ht="18.95" customHeight="1">
      <c r="A760" s="4">
        <v>756</v>
      </c>
      <c r="B760" s="4">
        <v>35336</v>
      </c>
      <c r="C760" s="4">
        <v>1</v>
      </c>
      <c r="D760" s="6">
        <v>0</v>
      </c>
      <c r="E760" s="6">
        <v>-105.5</v>
      </c>
      <c r="F760" s="6">
        <v>0.55000000000000004</v>
      </c>
      <c r="G760" s="6">
        <v>0.11</v>
      </c>
      <c r="H760" s="6">
        <v>83</v>
      </c>
    </row>
    <row r="761" spans="1:8" ht="18.95" customHeight="1">
      <c r="A761" s="4">
        <v>757</v>
      </c>
      <c r="B761" s="4">
        <v>35356</v>
      </c>
      <c r="C761" s="4">
        <v>1</v>
      </c>
      <c r="D761" s="6">
        <v>0</v>
      </c>
      <c r="E761" s="6">
        <v>-106.06</v>
      </c>
      <c r="F761" s="6">
        <v>0.53</v>
      </c>
      <c r="G761" s="6">
        <v>-0.08</v>
      </c>
      <c r="H761" s="6">
        <v>85</v>
      </c>
    </row>
    <row r="762" spans="1:8" ht="18.95" customHeight="1">
      <c r="A762" s="4">
        <v>758</v>
      </c>
      <c r="B762" s="4">
        <v>35376</v>
      </c>
      <c r="C762" s="4">
        <v>1</v>
      </c>
      <c r="D762" s="6">
        <v>0</v>
      </c>
      <c r="E762" s="6">
        <v>-106.69</v>
      </c>
      <c r="F762" s="6">
        <v>0.53</v>
      </c>
      <c r="G762" s="6">
        <v>0.09</v>
      </c>
      <c r="H762" s="6">
        <v>85</v>
      </c>
    </row>
    <row r="763" spans="1:8" ht="18.95" customHeight="1">
      <c r="A763" s="4">
        <v>759</v>
      </c>
      <c r="B763" s="4">
        <v>35396</v>
      </c>
      <c r="C763" s="4">
        <v>1</v>
      </c>
      <c r="D763" s="6">
        <v>0</v>
      </c>
      <c r="E763" s="6">
        <v>-107.31</v>
      </c>
      <c r="F763" s="6">
        <v>0.55000000000000004</v>
      </c>
      <c r="G763" s="6">
        <v>-0.04</v>
      </c>
      <c r="H763" s="6">
        <v>85</v>
      </c>
    </row>
    <row r="764" spans="1:8" ht="18.95" customHeight="1">
      <c r="A764" s="4">
        <v>760</v>
      </c>
      <c r="B764" s="4">
        <v>35416</v>
      </c>
      <c r="C764" s="4">
        <v>1</v>
      </c>
      <c r="D764" s="6">
        <v>0</v>
      </c>
      <c r="E764" s="6">
        <v>-108.06</v>
      </c>
      <c r="F764" s="6">
        <v>0.57999999999999996</v>
      </c>
      <c r="G764" s="6">
        <v>0.19</v>
      </c>
      <c r="H764" s="6">
        <v>80</v>
      </c>
    </row>
    <row r="765" spans="1:8" ht="18.95" customHeight="1">
      <c r="A765" s="4">
        <v>761</v>
      </c>
      <c r="B765" s="4">
        <v>35436</v>
      </c>
      <c r="C765" s="4">
        <v>1</v>
      </c>
      <c r="D765" s="6">
        <v>0</v>
      </c>
      <c r="E765" s="6">
        <v>-108.87</v>
      </c>
      <c r="F765" s="6">
        <v>0.6</v>
      </c>
      <c r="G765" s="6">
        <v>-0.01</v>
      </c>
      <c r="H765" s="6">
        <v>80</v>
      </c>
    </row>
    <row r="766" spans="1:8" ht="18.95" customHeight="1">
      <c r="A766" s="4">
        <v>762</v>
      </c>
      <c r="B766" s="4">
        <v>35457</v>
      </c>
      <c r="C766" s="4">
        <v>1</v>
      </c>
      <c r="D766" s="6">
        <v>0</v>
      </c>
      <c r="E766" s="6">
        <v>-109.69</v>
      </c>
      <c r="F766" s="6">
        <v>0.57999999999999996</v>
      </c>
      <c r="G766" s="6">
        <v>0.04</v>
      </c>
      <c r="H766" s="6">
        <v>84</v>
      </c>
    </row>
    <row r="767" spans="1:8" ht="18.95" customHeight="1">
      <c r="A767" s="4">
        <v>763</v>
      </c>
      <c r="B767" s="4">
        <v>35477</v>
      </c>
      <c r="C767" s="4">
        <v>1</v>
      </c>
      <c r="D767" s="6">
        <v>0</v>
      </c>
      <c r="E767" s="6">
        <v>-110.62</v>
      </c>
      <c r="F767" s="6">
        <v>0.59</v>
      </c>
      <c r="G767" s="6">
        <v>-0.05</v>
      </c>
      <c r="H767" s="6">
        <v>84</v>
      </c>
    </row>
    <row r="768" spans="1:8" ht="18.95" customHeight="1">
      <c r="A768" s="4">
        <v>764</v>
      </c>
      <c r="B768" s="4">
        <v>35497</v>
      </c>
      <c r="C768" s="4">
        <v>1</v>
      </c>
      <c r="D768" s="6">
        <v>0</v>
      </c>
      <c r="E768" s="6">
        <v>-111.69</v>
      </c>
      <c r="F768" s="6">
        <v>0.6</v>
      </c>
      <c r="G768" s="6">
        <v>-0.02</v>
      </c>
      <c r="H768" s="6">
        <v>84</v>
      </c>
    </row>
    <row r="769" spans="1:8" ht="18.95" customHeight="1">
      <c r="A769" s="4">
        <v>765</v>
      </c>
      <c r="B769" s="4">
        <v>35517</v>
      </c>
      <c r="C769" s="4">
        <v>1</v>
      </c>
      <c r="D769" s="6">
        <v>0</v>
      </c>
      <c r="E769" s="6">
        <v>-112.81</v>
      </c>
      <c r="F769" s="6">
        <v>0.59</v>
      </c>
      <c r="G769" s="6">
        <v>0.01</v>
      </c>
      <c r="H769" s="6">
        <v>82</v>
      </c>
    </row>
    <row r="770" spans="1:8" ht="18.95" customHeight="1">
      <c r="A770" s="4">
        <v>766</v>
      </c>
      <c r="B770" s="4">
        <v>35537</v>
      </c>
      <c r="C770" s="4">
        <v>1</v>
      </c>
      <c r="D770" s="6">
        <v>0</v>
      </c>
      <c r="E770" s="6">
        <v>-114.06</v>
      </c>
      <c r="F770" s="6">
        <v>0.57999999999999996</v>
      </c>
      <c r="G770" s="6">
        <v>-0.11</v>
      </c>
      <c r="H770" s="6">
        <v>82</v>
      </c>
    </row>
    <row r="771" spans="1:8" ht="18.95" customHeight="1">
      <c r="A771" s="4">
        <v>767</v>
      </c>
      <c r="B771" s="4">
        <v>35557</v>
      </c>
      <c r="C771" s="4">
        <v>1</v>
      </c>
      <c r="D771" s="6">
        <v>0</v>
      </c>
      <c r="E771" s="6">
        <v>-115.44</v>
      </c>
      <c r="F771" s="6">
        <v>0.57999999999999996</v>
      </c>
      <c r="G771" s="6">
        <v>-0.15</v>
      </c>
      <c r="H771" s="6">
        <v>84</v>
      </c>
    </row>
    <row r="772" spans="1:8" ht="18.95" customHeight="1">
      <c r="A772" s="4">
        <v>768</v>
      </c>
      <c r="B772" s="4">
        <v>35577</v>
      </c>
      <c r="C772" s="4">
        <v>1</v>
      </c>
      <c r="D772" s="6">
        <v>0</v>
      </c>
      <c r="E772" s="6">
        <v>-117.06</v>
      </c>
      <c r="F772" s="6">
        <v>0.6</v>
      </c>
      <c r="G772" s="6">
        <v>0.23</v>
      </c>
      <c r="H772" s="6">
        <v>84</v>
      </c>
    </row>
    <row r="773" spans="1:8" ht="18.95" customHeight="1">
      <c r="A773" s="4">
        <v>769</v>
      </c>
      <c r="B773" s="4">
        <v>35597</v>
      </c>
      <c r="C773" s="4">
        <v>1</v>
      </c>
      <c r="D773" s="6">
        <v>0</v>
      </c>
      <c r="E773" s="6">
        <v>-118.81</v>
      </c>
      <c r="F773" s="6">
        <v>0.56999999999999995</v>
      </c>
      <c r="G773" s="6">
        <v>-0.03</v>
      </c>
      <c r="H773" s="6">
        <v>84</v>
      </c>
    </row>
    <row r="774" spans="1:8" ht="18.95" customHeight="1">
      <c r="A774" s="4">
        <v>770</v>
      </c>
      <c r="B774" s="4">
        <v>35617</v>
      </c>
      <c r="C774" s="4">
        <v>1</v>
      </c>
      <c r="D774" s="6">
        <v>0</v>
      </c>
      <c r="E774" s="6">
        <v>-120.75</v>
      </c>
      <c r="F774" s="6">
        <v>0.55000000000000004</v>
      </c>
      <c r="G774" s="6">
        <v>-0.03</v>
      </c>
      <c r="H774" s="6">
        <v>82</v>
      </c>
    </row>
    <row r="775" spans="1:8" ht="18.95" customHeight="1">
      <c r="A775" s="4">
        <v>771</v>
      </c>
      <c r="B775" s="4">
        <v>35637</v>
      </c>
      <c r="C775" s="4">
        <v>1</v>
      </c>
      <c r="D775" s="6">
        <v>0</v>
      </c>
      <c r="E775" s="6">
        <v>-122.94</v>
      </c>
      <c r="F775" s="6">
        <v>0.55000000000000004</v>
      </c>
      <c r="G775" s="6">
        <v>7.0000000000000007E-2</v>
      </c>
      <c r="H775" s="6">
        <v>82</v>
      </c>
    </row>
    <row r="776" spans="1:8" ht="18.95" customHeight="1">
      <c r="A776" s="4">
        <v>772</v>
      </c>
      <c r="B776" s="4">
        <v>35657</v>
      </c>
      <c r="C776" s="4">
        <v>1</v>
      </c>
      <c r="D776" s="6">
        <v>0</v>
      </c>
      <c r="E776" s="6">
        <v>-125.31</v>
      </c>
      <c r="F776" s="6">
        <v>0.54</v>
      </c>
      <c r="G776" s="6">
        <v>0.02</v>
      </c>
      <c r="H776" s="6">
        <v>81</v>
      </c>
    </row>
    <row r="777" spans="1:8" ht="18.95" customHeight="1">
      <c r="A777" s="4">
        <v>773</v>
      </c>
      <c r="B777" s="4">
        <v>35677</v>
      </c>
      <c r="C777" s="4">
        <v>1</v>
      </c>
      <c r="D777" s="6">
        <v>0</v>
      </c>
      <c r="E777" s="6">
        <v>-128.19</v>
      </c>
      <c r="F777" s="6">
        <v>0.54</v>
      </c>
      <c r="G777" s="6">
        <v>0.11</v>
      </c>
      <c r="H777" s="6">
        <v>81</v>
      </c>
    </row>
    <row r="778" spans="1:8" ht="18.95" customHeight="1">
      <c r="A778" s="4">
        <v>774</v>
      </c>
      <c r="B778" s="4">
        <v>35697</v>
      </c>
      <c r="C778" s="4">
        <v>1</v>
      </c>
      <c r="D778" s="6">
        <v>0</v>
      </c>
      <c r="E778" s="6">
        <v>-175.13</v>
      </c>
      <c r="F778" s="6">
        <v>0.5</v>
      </c>
      <c r="G778" s="6">
        <v>0.22</v>
      </c>
      <c r="H778" s="6">
        <v>81</v>
      </c>
    </row>
    <row r="779" spans="1:8" ht="18.95" customHeight="1">
      <c r="A779" s="4">
        <v>775</v>
      </c>
      <c r="B779" s="4">
        <v>35717</v>
      </c>
      <c r="C779" s="4">
        <v>1</v>
      </c>
      <c r="D779" s="6">
        <v>0</v>
      </c>
      <c r="E779" s="6">
        <v>-175.69</v>
      </c>
      <c r="F779" s="6">
        <v>0.49</v>
      </c>
      <c r="G779" s="6">
        <v>-0.33</v>
      </c>
      <c r="H779" s="6">
        <v>80</v>
      </c>
    </row>
    <row r="780" spans="1:8" ht="18.95" customHeight="1">
      <c r="A780" s="4">
        <v>776</v>
      </c>
      <c r="B780" s="4">
        <v>35737</v>
      </c>
      <c r="C780" s="4">
        <v>1</v>
      </c>
      <c r="D780" s="6">
        <v>0</v>
      </c>
      <c r="E780" s="6">
        <v>-176.25</v>
      </c>
      <c r="F780" s="6">
        <v>0.49</v>
      </c>
      <c r="G780" s="6">
        <v>0.46</v>
      </c>
      <c r="H780" s="6">
        <v>80</v>
      </c>
    </row>
    <row r="781" spans="1:8" ht="18.95" customHeight="1">
      <c r="A781" s="4">
        <v>777</v>
      </c>
      <c r="B781" s="4">
        <v>35758</v>
      </c>
      <c r="C781" s="4">
        <v>1</v>
      </c>
      <c r="D781" s="6">
        <v>0</v>
      </c>
      <c r="E781" s="6">
        <v>-176.75</v>
      </c>
      <c r="F781" s="6">
        <v>0.43</v>
      </c>
      <c r="G781" s="6">
        <v>0.14000000000000001</v>
      </c>
      <c r="H781" s="6">
        <v>79</v>
      </c>
    </row>
    <row r="782" spans="1:8" ht="18.95" customHeight="1">
      <c r="A782" s="4">
        <v>778</v>
      </c>
      <c r="B782" s="4">
        <v>35778</v>
      </c>
      <c r="C782" s="4">
        <v>1</v>
      </c>
      <c r="D782" s="6">
        <v>0</v>
      </c>
      <c r="E782" s="6">
        <v>-177.25</v>
      </c>
      <c r="F782" s="6">
        <v>0.43</v>
      </c>
      <c r="G782" s="6">
        <v>-0.05</v>
      </c>
      <c r="H782" s="6">
        <v>79</v>
      </c>
    </row>
    <row r="783" spans="1:8" ht="18.95" customHeight="1">
      <c r="A783" s="4">
        <v>779</v>
      </c>
      <c r="B783" s="4">
        <v>35798</v>
      </c>
      <c r="C783" s="4">
        <v>1</v>
      </c>
      <c r="D783" s="6">
        <v>0</v>
      </c>
      <c r="E783" s="6">
        <v>-177.69</v>
      </c>
      <c r="F783" s="6">
        <v>0.4</v>
      </c>
      <c r="G783" s="6">
        <v>0.02</v>
      </c>
      <c r="H783" s="6">
        <v>79</v>
      </c>
    </row>
    <row r="784" spans="1:8" ht="18.95" customHeight="1">
      <c r="A784" s="4">
        <v>780</v>
      </c>
      <c r="B784" s="4">
        <v>35818</v>
      </c>
      <c r="C784" s="4">
        <v>1</v>
      </c>
      <c r="D784" s="6">
        <v>0</v>
      </c>
      <c r="E784" s="6">
        <v>-178.13</v>
      </c>
      <c r="F784" s="6">
        <v>0.38</v>
      </c>
      <c r="G784" s="6">
        <v>0.01</v>
      </c>
      <c r="H784" s="6">
        <v>72</v>
      </c>
    </row>
    <row r="785" spans="1:8" ht="18.95" customHeight="1">
      <c r="A785" s="4">
        <v>781</v>
      </c>
      <c r="B785" s="4">
        <v>35838</v>
      </c>
      <c r="C785" s="4">
        <v>1</v>
      </c>
      <c r="D785" s="6">
        <v>0</v>
      </c>
      <c r="E785" s="6">
        <v>-178.5</v>
      </c>
      <c r="F785" s="6">
        <v>0.36</v>
      </c>
      <c r="G785" s="6">
        <v>-0.05</v>
      </c>
      <c r="H785" s="6">
        <v>72</v>
      </c>
    </row>
    <row r="786" spans="1:8" ht="18.95" customHeight="1">
      <c r="A786" s="4">
        <v>782</v>
      </c>
      <c r="B786" s="4">
        <v>35858</v>
      </c>
      <c r="C786" s="4">
        <v>1</v>
      </c>
      <c r="D786" s="6">
        <v>0</v>
      </c>
      <c r="E786" s="6">
        <v>-178.88</v>
      </c>
      <c r="F786" s="6">
        <v>0.31</v>
      </c>
      <c r="G786" s="6">
        <v>0.15</v>
      </c>
      <c r="H786" s="6">
        <v>72</v>
      </c>
    </row>
    <row r="787" spans="1:8" ht="18.95" customHeight="1">
      <c r="A787" s="4">
        <v>783</v>
      </c>
      <c r="B787" s="4">
        <v>35878</v>
      </c>
      <c r="C787" s="4">
        <v>1</v>
      </c>
      <c r="D787" s="6">
        <v>0</v>
      </c>
      <c r="E787" s="6">
        <v>-179.25</v>
      </c>
      <c r="F787" s="6">
        <v>0.3</v>
      </c>
      <c r="G787" s="6">
        <v>7.0000000000000007E-2</v>
      </c>
      <c r="H787" s="6">
        <v>72</v>
      </c>
    </row>
    <row r="788" spans="1:8" ht="18.95" customHeight="1">
      <c r="A788" s="4">
        <v>784</v>
      </c>
      <c r="B788" s="4">
        <v>35898</v>
      </c>
      <c r="C788" s="4">
        <v>1</v>
      </c>
      <c r="D788" s="6">
        <v>0</v>
      </c>
      <c r="E788" s="6">
        <v>-179.56</v>
      </c>
      <c r="F788" s="6">
        <v>0.25</v>
      </c>
      <c r="G788" s="6">
        <v>0.22</v>
      </c>
      <c r="H788" s="6">
        <v>72</v>
      </c>
    </row>
    <row r="789" spans="1:8" ht="18.95" customHeight="1">
      <c r="A789" s="4">
        <v>785</v>
      </c>
      <c r="B789" s="4">
        <v>35918</v>
      </c>
      <c r="C789" s="4">
        <v>1</v>
      </c>
      <c r="D789" s="6">
        <v>0</v>
      </c>
      <c r="E789" s="6">
        <v>-179.81</v>
      </c>
      <c r="F789" s="6">
        <v>0.22</v>
      </c>
      <c r="G789" s="6">
        <v>0</v>
      </c>
      <c r="H789" s="6">
        <v>70</v>
      </c>
    </row>
    <row r="790" spans="1:8" ht="18.95" customHeight="1">
      <c r="A790" s="4">
        <v>786</v>
      </c>
      <c r="B790" s="4">
        <v>35938</v>
      </c>
      <c r="C790" s="4">
        <v>1</v>
      </c>
      <c r="D790" s="6">
        <v>0</v>
      </c>
      <c r="E790" s="6">
        <v>179.88</v>
      </c>
      <c r="F790" s="6">
        <v>0.21</v>
      </c>
      <c r="G790" s="6">
        <v>7.0000000000000007E-2</v>
      </c>
      <c r="H790" s="6">
        <v>70</v>
      </c>
    </row>
    <row r="791" spans="1:8" ht="18.95" customHeight="1">
      <c r="A791" s="4">
        <v>787</v>
      </c>
      <c r="B791" s="4">
        <v>35958</v>
      </c>
      <c r="C791" s="4">
        <v>1</v>
      </c>
      <c r="D791" s="6">
        <v>0</v>
      </c>
      <c r="E791" s="6">
        <v>179.69</v>
      </c>
      <c r="F791" s="6">
        <v>0.17</v>
      </c>
      <c r="G791" s="6">
        <v>-7.0000000000000007E-2</v>
      </c>
      <c r="H791" s="6">
        <v>69</v>
      </c>
    </row>
    <row r="792" spans="1:8" ht="18.95" customHeight="1">
      <c r="A792" s="4">
        <v>788</v>
      </c>
      <c r="B792" s="4">
        <v>35978</v>
      </c>
      <c r="C792" s="4">
        <v>1</v>
      </c>
      <c r="D792" s="6">
        <v>0</v>
      </c>
      <c r="E792" s="6">
        <v>179.5</v>
      </c>
      <c r="F792" s="6">
        <v>0.16</v>
      </c>
      <c r="G792" s="6">
        <v>0.11</v>
      </c>
      <c r="H792" s="6">
        <v>69</v>
      </c>
    </row>
    <row r="793" spans="1:8" ht="18.95" customHeight="1">
      <c r="A793" s="4">
        <v>789</v>
      </c>
      <c r="B793" s="4">
        <v>35998</v>
      </c>
      <c r="C793" s="4">
        <v>1</v>
      </c>
      <c r="D793" s="6">
        <v>0</v>
      </c>
      <c r="E793" s="6">
        <v>179.31</v>
      </c>
      <c r="F793" s="6">
        <v>0.13</v>
      </c>
      <c r="G793" s="6">
        <v>0.04</v>
      </c>
      <c r="H793" s="6">
        <v>69</v>
      </c>
    </row>
    <row r="794" spans="1:8" ht="18.95" customHeight="1">
      <c r="A794" s="4">
        <v>790</v>
      </c>
      <c r="B794" s="4">
        <v>36018</v>
      </c>
      <c r="C794" s="4">
        <v>1</v>
      </c>
      <c r="D794" s="6">
        <v>0</v>
      </c>
      <c r="E794" s="6">
        <v>179.19</v>
      </c>
      <c r="F794" s="6">
        <v>0.11</v>
      </c>
      <c r="G794" s="6">
        <v>0.01</v>
      </c>
      <c r="H794" s="6">
        <v>64</v>
      </c>
    </row>
    <row r="795" spans="1:8" ht="18.95" customHeight="1">
      <c r="A795" s="4">
        <v>791</v>
      </c>
      <c r="B795" s="4">
        <v>36038</v>
      </c>
      <c r="C795" s="4">
        <v>1</v>
      </c>
      <c r="D795" s="6">
        <v>0</v>
      </c>
      <c r="E795" s="6">
        <v>179.06</v>
      </c>
      <c r="F795" s="6">
        <v>0.08</v>
      </c>
      <c r="G795" s="6">
        <v>0.14000000000000001</v>
      </c>
      <c r="H795" s="6">
        <v>64</v>
      </c>
    </row>
    <row r="796" spans="1:8" ht="18.95" customHeight="1">
      <c r="A796" s="4">
        <v>792</v>
      </c>
      <c r="B796" s="4">
        <v>36058</v>
      </c>
      <c r="C796" s="4">
        <v>1</v>
      </c>
      <c r="D796" s="6">
        <v>0</v>
      </c>
      <c r="E796" s="6">
        <v>179</v>
      </c>
      <c r="F796" s="6">
        <v>0.06</v>
      </c>
      <c r="G796" s="6">
        <v>0.16</v>
      </c>
      <c r="H796" s="6">
        <v>61</v>
      </c>
    </row>
    <row r="797" spans="1:8" ht="18.95" customHeight="1">
      <c r="A797" s="4">
        <v>793</v>
      </c>
      <c r="B797" s="4">
        <v>36078</v>
      </c>
      <c r="C797" s="4">
        <v>0</v>
      </c>
      <c r="D797" s="6">
        <v>0</v>
      </c>
      <c r="E797" s="6">
        <v>178.94</v>
      </c>
      <c r="F797" s="6">
        <v>0.01</v>
      </c>
      <c r="G797" s="6">
        <v>-0.04</v>
      </c>
      <c r="H797" s="6">
        <v>61</v>
      </c>
    </row>
    <row r="798" spans="1:8" ht="18.95" customHeight="1">
      <c r="A798" s="4">
        <v>794</v>
      </c>
      <c r="B798" s="4">
        <v>36098</v>
      </c>
      <c r="C798" s="4">
        <v>0</v>
      </c>
      <c r="D798" s="6">
        <v>0</v>
      </c>
      <c r="E798" s="6">
        <v>178.94</v>
      </c>
      <c r="F798" s="6">
        <v>0</v>
      </c>
      <c r="G798" s="6">
        <v>0.1</v>
      </c>
      <c r="H798" s="6">
        <v>61</v>
      </c>
    </row>
    <row r="799" spans="1:8" ht="18.95" customHeight="1">
      <c r="A799" s="4">
        <v>795</v>
      </c>
      <c r="B799" s="4">
        <v>36118</v>
      </c>
      <c r="C799" s="4">
        <v>0</v>
      </c>
      <c r="D799" s="6">
        <v>0</v>
      </c>
      <c r="E799" s="6">
        <v>178.94</v>
      </c>
      <c r="F799" s="6">
        <v>-0.02</v>
      </c>
      <c r="G799" s="6">
        <v>0.27</v>
      </c>
      <c r="H799" s="6">
        <v>58</v>
      </c>
    </row>
    <row r="800" spans="1:8" ht="18.95" customHeight="1">
      <c r="A800" s="4">
        <v>796</v>
      </c>
      <c r="B800" s="4">
        <v>36139</v>
      </c>
      <c r="C800" s="4">
        <v>0</v>
      </c>
      <c r="D800" s="6">
        <v>0</v>
      </c>
      <c r="E800" s="6">
        <v>179</v>
      </c>
      <c r="F800" s="6">
        <v>-0.05</v>
      </c>
      <c r="G800" s="6">
        <v>0.04</v>
      </c>
      <c r="H800" s="6">
        <v>58</v>
      </c>
    </row>
    <row r="801" spans="1:8" ht="18.95" customHeight="1">
      <c r="A801" s="4">
        <v>797</v>
      </c>
      <c r="B801" s="4">
        <v>36159</v>
      </c>
      <c r="C801" s="4">
        <v>1</v>
      </c>
      <c r="D801" s="6">
        <v>0</v>
      </c>
      <c r="E801" s="6">
        <v>179.06</v>
      </c>
      <c r="F801" s="6">
        <v>-0.09</v>
      </c>
      <c r="G801" s="6">
        <v>0</v>
      </c>
      <c r="H801" s="6">
        <v>55</v>
      </c>
    </row>
    <row r="802" spans="1:8" ht="18.95" customHeight="1">
      <c r="A802" s="4">
        <v>798</v>
      </c>
      <c r="B802" s="4">
        <v>36179</v>
      </c>
      <c r="C802" s="4">
        <v>1</v>
      </c>
      <c r="D802" s="6">
        <v>0</v>
      </c>
      <c r="E802" s="6">
        <v>179.13</v>
      </c>
      <c r="F802" s="6">
        <v>-0.11</v>
      </c>
      <c r="G802" s="6">
        <v>-0.19</v>
      </c>
      <c r="H802" s="6">
        <v>55</v>
      </c>
    </row>
    <row r="803" spans="1:8" ht="18.95" customHeight="1">
      <c r="A803" s="4">
        <v>799</v>
      </c>
      <c r="B803" s="4">
        <v>36199</v>
      </c>
      <c r="C803" s="4">
        <v>1</v>
      </c>
      <c r="D803" s="6">
        <v>0</v>
      </c>
      <c r="E803" s="6">
        <v>179.25</v>
      </c>
      <c r="F803" s="6">
        <v>-0.14000000000000001</v>
      </c>
      <c r="G803" s="6">
        <v>0.12</v>
      </c>
      <c r="H803" s="6">
        <v>55</v>
      </c>
    </row>
    <row r="804" spans="1:8" ht="18.95" customHeight="1">
      <c r="A804" s="4">
        <v>800</v>
      </c>
      <c r="B804" s="4">
        <v>36219</v>
      </c>
      <c r="C804" s="4">
        <v>1</v>
      </c>
      <c r="D804" s="6">
        <v>0</v>
      </c>
      <c r="E804" s="6">
        <v>179.38</v>
      </c>
      <c r="F804" s="6">
        <v>-0.16</v>
      </c>
      <c r="G804" s="6">
        <v>0.26</v>
      </c>
      <c r="H804" s="6">
        <v>50</v>
      </c>
    </row>
    <row r="805" spans="1:8" ht="18.95" customHeight="1">
      <c r="A805" s="4">
        <v>801</v>
      </c>
      <c r="B805" s="4">
        <v>36239</v>
      </c>
      <c r="C805" s="4">
        <v>1</v>
      </c>
      <c r="D805" s="6">
        <v>0</v>
      </c>
      <c r="E805" s="6">
        <v>179.56</v>
      </c>
      <c r="F805" s="6">
        <v>-0.17</v>
      </c>
      <c r="G805" s="6">
        <v>0.05</v>
      </c>
      <c r="H805" s="6">
        <v>50</v>
      </c>
    </row>
    <row r="806" spans="1:8" ht="18.95" customHeight="1">
      <c r="A806" s="4">
        <v>802</v>
      </c>
      <c r="B806" s="4">
        <v>36259</v>
      </c>
      <c r="C806" s="4">
        <v>1</v>
      </c>
      <c r="D806" s="6">
        <v>600</v>
      </c>
      <c r="E806" s="6">
        <v>179.69</v>
      </c>
      <c r="F806" s="6">
        <v>-0.19</v>
      </c>
      <c r="G806" s="6">
        <v>0.2</v>
      </c>
      <c r="H806" s="6">
        <v>46</v>
      </c>
    </row>
    <row r="807" spans="1:8" ht="18.95" customHeight="1">
      <c r="A807" s="4">
        <v>803</v>
      </c>
      <c r="B807" s="4">
        <v>36279</v>
      </c>
      <c r="C807" s="4">
        <v>1</v>
      </c>
      <c r="D807" s="6">
        <v>600</v>
      </c>
      <c r="E807" s="6">
        <v>179.94</v>
      </c>
      <c r="F807" s="6">
        <v>-0.21</v>
      </c>
      <c r="G807" s="6">
        <v>0.1</v>
      </c>
      <c r="H807" s="6">
        <v>46</v>
      </c>
    </row>
    <row r="808" spans="1:8" ht="18.95" customHeight="1">
      <c r="A808" s="4">
        <v>804</v>
      </c>
      <c r="B808" s="4">
        <v>36299</v>
      </c>
      <c r="C808" s="4">
        <v>1</v>
      </c>
      <c r="D808" s="6">
        <v>600</v>
      </c>
      <c r="E808" s="6">
        <v>-179.75</v>
      </c>
      <c r="F808" s="6">
        <v>-0.24</v>
      </c>
      <c r="G808" s="6">
        <v>0.18</v>
      </c>
      <c r="H808" s="6">
        <v>46</v>
      </c>
    </row>
    <row r="809" spans="1:8" ht="18.95" customHeight="1">
      <c r="A809" s="4">
        <v>805</v>
      </c>
      <c r="B809" s="4">
        <v>36319</v>
      </c>
      <c r="C809" s="4">
        <v>1</v>
      </c>
      <c r="D809" s="6">
        <v>600</v>
      </c>
      <c r="E809" s="6">
        <v>-179.5</v>
      </c>
      <c r="F809" s="6">
        <v>-0.27</v>
      </c>
      <c r="G809" s="6">
        <v>0.09</v>
      </c>
      <c r="H809" s="6">
        <v>42</v>
      </c>
    </row>
    <row r="810" spans="1:8" ht="18.95" customHeight="1">
      <c r="A810" s="4">
        <v>806</v>
      </c>
      <c r="B810" s="4">
        <v>36339</v>
      </c>
      <c r="C810" s="4">
        <v>1</v>
      </c>
      <c r="D810" s="6">
        <v>600</v>
      </c>
      <c r="E810" s="6">
        <v>-179.25</v>
      </c>
      <c r="F810" s="6">
        <v>-0.27</v>
      </c>
      <c r="G810" s="6">
        <v>0.18</v>
      </c>
      <c r="H810" s="6">
        <v>42</v>
      </c>
    </row>
    <row r="811" spans="1:8" ht="18.95" customHeight="1">
      <c r="A811" s="4">
        <v>807</v>
      </c>
      <c r="B811" s="4">
        <v>36359</v>
      </c>
      <c r="C811" s="4">
        <v>1</v>
      </c>
      <c r="D811" s="6">
        <v>0</v>
      </c>
      <c r="E811" s="6">
        <v>-178.94</v>
      </c>
      <c r="F811" s="6">
        <v>-0.28000000000000003</v>
      </c>
      <c r="G811" s="6">
        <v>0.05</v>
      </c>
      <c r="H811" s="6">
        <v>38</v>
      </c>
    </row>
    <row r="812" spans="1:8" ht="18.95" customHeight="1">
      <c r="A812" s="4">
        <v>808</v>
      </c>
      <c r="B812" s="4">
        <v>36379</v>
      </c>
      <c r="C812" s="4">
        <v>1</v>
      </c>
      <c r="D812" s="6">
        <v>0</v>
      </c>
      <c r="E812" s="6">
        <v>-178.63</v>
      </c>
      <c r="F812" s="6">
        <v>-0.27</v>
      </c>
      <c r="G812" s="6">
        <v>0.01</v>
      </c>
      <c r="H812" s="6">
        <v>38</v>
      </c>
    </row>
    <row r="813" spans="1:8" ht="18.95" customHeight="1">
      <c r="A813" s="4">
        <v>809</v>
      </c>
      <c r="B813" s="4">
        <v>36399</v>
      </c>
      <c r="C813" s="4">
        <v>1</v>
      </c>
      <c r="D813" s="6">
        <v>0</v>
      </c>
      <c r="E813" s="6">
        <v>-178.31</v>
      </c>
      <c r="F813" s="6">
        <v>-0.28999999999999998</v>
      </c>
      <c r="G813" s="6">
        <v>0.23</v>
      </c>
      <c r="H813" s="6">
        <v>38</v>
      </c>
    </row>
    <row r="814" spans="1:8" ht="18.95" customHeight="1">
      <c r="A814" s="4">
        <v>810</v>
      </c>
      <c r="B814" s="4">
        <v>36419</v>
      </c>
      <c r="C814" s="4">
        <v>1</v>
      </c>
      <c r="D814" s="6">
        <v>0</v>
      </c>
      <c r="E814" s="6">
        <v>-178</v>
      </c>
      <c r="F814" s="6">
        <v>-0.33</v>
      </c>
      <c r="G814" s="6">
        <v>0.04</v>
      </c>
      <c r="H814" s="6">
        <v>37</v>
      </c>
    </row>
    <row r="815" spans="1:8" ht="18.95" customHeight="1">
      <c r="A815" s="4">
        <v>811</v>
      </c>
      <c r="B815" s="4">
        <v>36439</v>
      </c>
      <c r="C815" s="4">
        <v>1</v>
      </c>
      <c r="D815" s="6">
        <v>0</v>
      </c>
      <c r="E815" s="6">
        <v>-177.63</v>
      </c>
      <c r="F815" s="6">
        <v>-0.34</v>
      </c>
      <c r="G815" s="6">
        <v>0.05</v>
      </c>
      <c r="H815" s="6">
        <v>37</v>
      </c>
    </row>
    <row r="816" spans="1:8" ht="18.95" customHeight="1">
      <c r="A816" s="4">
        <v>812</v>
      </c>
      <c r="B816" s="4">
        <v>36459</v>
      </c>
      <c r="C816" s="4">
        <v>1</v>
      </c>
      <c r="D816" s="6">
        <v>0</v>
      </c>
      <c r="E816" s="6">
        <v>-177.25</v>
      </c>
      <c r="F816" s="6">
        <v>-0.36</v>
      </c>
      <c r="G816" s="6">
        <v>-0.1</v>
      </c>
      <c r="H816" s="6">
        <v>33</v>
      </c>
    </row>
    <row r="817" spans="1:8" ht="18.95" customHeight="1">
      <c r="A817" s="4">
        <v>813</v>
      </c>
      <c r="B817" s="4">
        <v>36480</v>
      </c>
      <c r="C817" s="4">
        <v>1</v>
      </c>
      <c r="D817" s="6">
        <v>0</v>
      </c>
      <c r="E817" s="6">
        <v>-176.81</v>
      </c>
      <c r="F817" s="6">
        <v>-0.36</v>
      </c>
      <c r="G817" s="6">
        <v>-0.02</v>
      </c>
      <c r="H817" s="6">
        <v>33</v>
      </c>
    </row>
    <row r="818" spans="1:8" ht="18.95" customHeight="1">
      <c r="A818" s="4">
        <v>814</v>
      </c>
      <c r="B818" s="4">
        <v>36500</v>
      </c>
      <c r="C818" s="4">
        <v>1</v>
      </c>
      <c r="D818" s="6">
        <v>0</v>
      </c>
      <c r="E818" s="6">
        <v>-176.44</v>
      </c>
      <c r="F818" s="6">
        <v>-0.39</v>
      </c>
      <c r="G818" s="6">
        <v>-0.08</v>
      </c>
      <c r="H818" s="6">
        <v>33</v>
      </c>
    </row>
    <row r="819" spans="1:8" ht="18.95" customHeight="1">
      <c r="A819" s="4">
        <v>815</v>
      </c>
      <c r="B819" s="4">
        <v>36520</v>
      </c>
      <c r="C819" s="4">
        <v>1</v>
      </c>
      <c r="D819" s="6">
        <v>0</v>
      </c>
      <c r="E819" s="6">
        <v>-176</v>
      </c>
      <c r="F819" s="6">
        <v>-0.42</v>
      </c>
      <c r="G819" s="6">
        <v>-0.06</v>
      </c>
      <c r="H819" s="6">
        <v>29</v>
      </c>
    </row>
    <row r="820" spans="1:8" ht="18.95" customHeight="1">
      <c r="A820" s="4">
        <v>816</v>
      </c>
      <c r="B820" s="4">
        <v>36540</v>
      </c>
      <c r="C820" s="4">
        <v>1</v>
      </c>
      <c r="D820" s="6">
        <v>0</v>
      </c>
      <c r="E820" s="6">
        <v>-175.5</v>
      </c>
      <c r="F820" s="6">
        <v>-0.42</v>
      </c>
      <c r="G820" s="6">
        <v>-0.12</v>
      </c>
      <c r="H820" s="6">
        <v>29</v>
      </c>
    </row>
    <row r="821" spans="1:8" ht="18.95" customHeight="1">
      <c r="A821" s="4">
        <v>817</v>
      </c>
      <c r="B821" s="4">
        <v>36560</v>
      </c>
      <c r="C821" s="4">
        <v>1</v>
      </c>
      <c r="D821" s="6">
        <v>0</v>
      </c>
      <c r="E821" s="6">
        <v>-175</v>
      </c>
      <c r="F821" s="6">
        <v>-0.45</v>
      </c>
      <c r="G821" s="6">
        <v>0.06</v>
      </c>
      <c r="H821" s="6">
        <v>28</v>
      </c>
    </row>
    <row r="822" spans="1:8" ht="18.95" customHeight="1">
      <c r="A822" s="4">
        <v>818</v>
      </c>
      <c r="B822" s="4">
        <v>36580</v>
      </c>
      <c r="C822" s="4">
        <v>1</v>
      </c>
      <c r="D822" s="6">
        <v>0</v>
      </c>
      <c r="E822" s="6">
        <v>-174.5</v>
      </c>
      <c r="F822" s="6">
        <v>-0.45</v>
      </c>
      <c r="G822" s="6">
        <v>0</v>
      </c>
      <c r="H822" s="6">
        <v>28</v>
      </c>
    </row>
    <row r="823" spans="1:8" ht="18.95" customHeight="1">
      <c r="A823" s="4">
        <v>819</v>
      </c>
      <c r="B823" s="4">
        <v>36600</v>
      </c>
      <c r="C823" s="4">
        <v>1</v>
      </c>
      <c r="D823" s="6">
        <v>0</v>
      </c>
      <c r="E823" s="6">
        <v>-124.44</v>
      </c>
      <c r="F823" s="6">
        <v>-0.47</v>
      </c>
      <c r="G823" s="6">
        <v>0.04</v>
      </c>
      <c r="H823" s="6">
        <v>28</v>
      </c>
    </row>
    <row r="824" spans="1:8" ht="18.95" customHeight="1">
      <c r="A824" s="4">
        <v>820</v>
      </c>
      <c r="B824" s="4">
        <v>36620</v>
      </c>
      <c r="C824" s="4">
        <v>1</v>
      </c>
      <c r="D824" s="6">
        <v>0</v>
      </c>
      <c r="E824" s="6">
        <v>-122.25</v>
      </c>
      <c r="F824" s="6">
        <v>-0.49</v>
      </c>
      <c r="G824" s="6">
        <v>-0.04</v>
      </c>
      <c r="H824" s="6">
        <v>24</v>
      </c>
    </row>
    <row r="825" spans="1:8" ht="18.95" customHeight="1">
      <c r="A825" s="4">
        <v>821</v>
      </c>
      <c r="B825" s="4">
        <v>36640</v>
      </c>
      <c r="C825" s="4">
        <v>1</v>
      </c>
      <c r="D825" s="6">
        <v>0</v>
      </c>
      <c r="E825" s="6">
        <v>-120.19</v>
      </c>
      <c r="F825" s="6">
        <v>-0.5</v>
      </c>
      <c r="G825" s="6">
        <v>-0.01</v>
      </c>
      <c r="H825" s="6">
        <v>24</v>
      </c>
    </row>
    <row r="826" spans="1:8" ht="18.95" customHeight="1">
      <c r="A826" s="4">
        <v>822</v>
      </c>
      <c r="B826" s="4">
        <v>36660</v>
      </c>
      <c r="C826" s="4">
        <v>1</v>
      </c>
      <c r="D826" s="6">
        <v>0</v>
      </c>
      <c r="E826" s="6">
        <v>-118.25</v>
      </c>
      <c r="F826" s="6">
        <v>-0.53</v>
      </c>
      <c r="G826" s="6">
        <v>-0.1</v>
      </c>
      <c r="H826" s="6">
        <v>22</v>
      </c>
    </row>
    <row r="827" spans="1:8" ht="18.95" customHeight="1">
      <c r="A827" s="4">
        <v>823</v>
      </c>
      <c r="B827" s="4">
        <v>36680</v>
      </c>
      <c r="C827" s="4">
        <v>1</v>
      </c>
      <c r="D827" s="6">
        <v>0</v>
      </c>
      <c r="E827" s="6">
        <v>-116.56</v>
      </c>
      <c r="F827" s="6">
        <v>-0.51</v>
      </c>
      <c r="G827" s="6">
        <v>0.18</v>
      </c>
      <c r="H827" s="6">
        <v>22</v>
      </c>
    </row>
    <row r="828" spans="1:8" ht="18.95" customHeight="1">
      <c r="A828" s="4">
        <v>824</v>
      </c>
      <c r="B828" s="4">
        <v>36700</v>
      </c>
      <c r="C828" s="4">
        <v>1</v>
      </c>
      <c r="D828" s="6">
        <v>0</v>
      </c>
      <c r="E828" s="6">
        <v>-115</v>
      </c>
      <c r="F828" s="6">
        <v>-0.54</v>
      </c>
      <c r="G828" s="6">
        <v>0.05</v>
      </c>
      <c r="H828" s="6">
        <v>22</v>
      </c>
    </row>
    <row r="829" spans="1:8" ht="18.95" customHeight="1">
      <c r="A829" s="4">
        <v>825</v>
      </c>
      <c r="B829" s="4">
        <v>36720</v>
      </c>
      <c r="C829" s="4">
        <v>1</v>
      </c>
      <c r="D829" s="6">
        <v>0</v>
      </c>
      <c r="E829" s="6">
        <v>-113.62</v>
      </c>
      <c r="F829" s="6">
        <v>-0.53</v>
      </c>
      <c r="G829" s="6">
        <v>0.24</v>
      </c>
      <c r="H829" s="6">
        <v>20</v>
      </c>
    </row>
    <row r="830" spans="1:8" ht="18.95" customHeight="1">
      <c r="A830" s="4">
        <v>826</v>
      </c>
      <c r="B830" s="4">
        <v>36740</v>
      </c>
      <c r="C830" s="4">
        <v>1</v>
      </c>
      <c r="D830" s="6">
        <v>0</v>
      </c>
      <c r="E830" s="6">
        <v>-112.31</v>
      </c>
      <c r="F830" s="6">
        <v>-0.55000000000000004</v>
      </c>
      <c r="G830" s="6">
        <v>0.33</v>
      </c>
      <c r="H830" s="6">
        <v>20</v>
      </c>
    </row>
    <row r="831" spans="1:8" ht="18.95" customHeight="1">
      <c r="A831" s="4">
        <v>827</v>
      </c>
      <c r="B831" s="4">
        <v>36760</v>
      </c>
      <c r="C831" s="4">
        <v>1</v>
      </c>
      <c r="D831" s="6">
        <v>0</v>
      </c>
      <c r="E831" s="6">
        <v>-111.12</v>
      </c>
      <c r="F831" s="6">
        <v>-0.56999999999999995</v>
      </c>
      <c r="G831" s="6">
        <v>-0.03</v>
      </c>
      <c r="H831" s="6">
        <v>17</v>
      </c>
    </row>
    <row r="832" spans="1:8" ht="18.95" customHeight="1">
      <c r="A832" s="4">
        <v>828</v>
      </c>
      <c r="B832" s="4">
        <v>36780</v>
      </c>
      <c r="C832" s="4">
        <v>1</v>
      </c>
      <c r="D832" s="6">
        <v>0</v>
      </c>
      <c r="E832" s="6">
        <v>-110.06</v>
      </c>
      <c r="F832" s="6">
        <v>-0.56999999999999995</v>
      </c>
      <c r="G832" s="6">
        <v>0.04</v>
      </c>
      <c r="H832" s="6">
        <v>17</v>
      </c>
    </row>
    <row r="833" spans="1:8" ht="18.95" customHeight="1">
      <c r="A833" s="4">
        <v>829</v>
      </c>
      <c r="B833" s="4">
        <v>36800</v>
      </c>
      <c r="C833" s="4">
        <v>1</v>
      </c>
      <c r="D833" s="6">
        <v>0</v>
      </c>
      <c r="E833" s="6">
        <v>-109.06</v>
      </c>
      <c r="F833" s="6">
        <v>-0.55000000000000004</v>
      </c>
      <c r="G833" s="6">
        <v>0.14000000000000001</v>
      </c>
      <c r="H833" s="6">
        <v>17</v>
      </c>
    </row>
    <row r="834" spans="1:8" ht="18.95" customHeight="1">
      <c r="A834" s="4">
        <v>830</v>
      </c>
      <c r="B834" s="4">
        <v>36820</v>
      </c>
      <c r="C834" s="4">
        <v>1</v>
      </c>
      <c r="D834" s="6">
        <v>0</v>
      </c>
      <c r="E834" s="6">
        <v>-108.19</v>
      </c>
      <c r="F834" s="6">
        <v>-0.56000000000000005</v>
      </c>
      <c r="G834" s="6">
        <v>0.12</v>
      </c>
      <c r="H834" s="6">
        <v>17</v>
      </c>
    </row>
    <row r="835" spans="1:8" ht="18.95" customHeight="1">
      <c r="A835" s="4">
        <v>831</v>
      </c>
      <c r="B835" s="4">
        <v>36840</v>
      </c>
      <c r="C835" s="4">
        <v>1</v>
      </c>
      <c r="D835" s="6">
        <v>0</v>
      </c>
      <c r="E835" s="6">
        <v>-107.37</v>
      </c>
      <c r="F835" s="6">
        <v>-0.56000000000000005</v>
      </c>
      <c r="G835" s="6">
        <v>0.03</v>
      </c>
      <c r="H835" s="6">
        <v>17</v>
      </c>
    </row>
    <row r="836" spans="1:8" ht="18.95" customHeight="1">
      <c r="A836" s="4">
        <v>832</v>
      </c>
      <c r="B836" s="4">
        <v>36860</v>
      </c>
      <c r="C836" s="4">
        <v>1</v>
      </c>
      <c r="D836" s="6">
        <v>0</v>
      </c>
      <c r="E836" s="6">
        <v>-106.62</v>
      </c>
      <c r="F836" s="6">
        <v>-0.56999999999999995</v>
      </c>
      <c r="G836" s="6">
        <v>0.11</v>
      </c>
      <c r="H836" s="6">
        <v>15</v>
      </c>
    </row>
    <row r="837" spans="1:8" ht="18.95" customHeight="1">
      <c r="A837" s="4">
        <v>833</v>
      </c>
      <c r="B837" s="4">
        <v>36880</v>
      </c>
      <c r="C837" s="4">
        <v>1</v>
      </c>
      <c r="D837" s="6">
        <v>0</v>
      </c>
      <c r="E837" s="6">
        <v>-105.94</v>
      </c>
      <c r="F837" s="6">
        <v>-0.56999999999999995</v>
      </c>
      <c r="G837" s="6">
        <v>-0.03</v>
      </c>
      <c r="H837" s="6">
        <v>15</v>
      </c>
    </row>
    <row r="838" spans="1:8" ht="18.95" customHeight="1">
      <c r="A838" s="4">
        <v>834</v>
      </c>
      <c r="B838" s="4">
        <v>36900</v>
      </c>
      <c r="C838" s="4">
        <v>1</v>
      </c>
      <c r="D838" s="6">
        <v>0</v>
      </c>
      <c r="E838" s="6">
        <v>-105.31</v>
      </c>
      <c r="F838" s="6">
        <v>-0.56000000000000005</v>
      </c>
      <c r="G838" s="6">
        <v>-0.08</v>
      </c>
      <c r="H838" s="6">
        <v>15</v>
      </c>
    </row>
    <row r="839" spans="1:8" ht="18.95" customHeight="1">
      <c r="A839" s="4">
        <v>835</v>
      </c>
      <c r="B839" s="4">
        <v>36920</v>
      </c>
      <c r="C839" s="4">
        <v>1</v>
      </c>
      <c r="D839" s="6">
        <v>0</v>
      </c>
      <c r="E839" s="6">
        <v>-104.69</v>
      </c>
      <c r="F839" s="6">
        <v>-0.56999999999999995</v>
      </c>
      <c r="G839" s="6">
        <v>0.05</v>
      </c>
      <c r="H839" s="6">
        <v>19</v>
      </c>
    </row>
    <row r="840" spans="1:8" ht="18.95" customHeight="1">
      <c r="A840" s="4">
        <v>836</v>
      </c>
      <c r="B840" s="4">
        <v>36940</v>
      </c>
      <c r="C840" s="4">
        <v>1</v>
      </c>
      <c r="D840" s="6">
        <v>0</v>
      </c>
      <c r="E840" s="6">
        <v>-104.12</v>
      </c>
      <c r="F840" s="6">
        <v>-0.56999999999999995</v>
      </c>
      <c r="G840" s="6">
        <v>0</v>
      </c>
      <c r="H840" s="6">
        <v>19</v>
      </c>
    </row>
    <row r="841" spans="1:8" ht="18.95" customHeight="1">
      <c r="A841" s="4">
        <v>837</v>
      </c>
      <c r="B841" s="4">
        <v>36960</v>
      </c>
      <c r="C841" s="4">
        <v>1</v>
      </c>
      <c r="D841" s="6">
        <v>0</v>
      </c>
      <c r="E841" s="6">
        <v>-103.62</v>
      </c>
      <c r="F841" s="6">
        <v>-0.54</v>
      </c>
      <c r="G841" s="6">
        <v>0.16</v>
      </c>
      <c r="H841" s="6">
        <v>17</v>
      </c>
    </row>
    <row r="842" spans="1:8" ht="18.95" customHeight="1">
      <c r="A842" s="4">
        <v>838</v>
      </c>
      <c r="B842" s="4">
        <v>36980</v>
      </c>
      <c r="C842" s="4">
        <v>1</v>
      </c>
      <c r="D842" s="6">
        <v>0</v>
      </c>
      <c r="E842" s="6">
        <v>-103.19</v>
      </c>
      <c r="F842" s="6">
        <v>-0.53</v>
      </c>
      <c r="G842" s="6">
        <v>7.0000000000000007E-2</v>
      </c>
      <c r="H842" s="6">
        <v>17</v>
      </c>
    </row>
    <row r="843" spans="1:8" ht="18.95" customHeight="1">
      <c r="A843" s="4">
        <v>839</v>
      </c>
      <c r="B843" s="4">
        <v>37000</v>
      </c>
      <c r="C843" s="4">
        <v>1</v>
      </c>
      <c r="D843" s="6">
        <v>0</v>
      </c>
      <c r="E843" s="6">
        <v>-102.75</v>
      </c>
      <c r="F843" s="6">
        <v>-0.52</v>
      </c>
      <c r="G843" s="6">
        <v>0.08</v>
      </c>
      <c r="H843" s="6">
        <v>17</v>
      </c>
    </row>
    <row r="844" spans="1:8" ht="18.95" customHeight="1">
      <c r="A844" s="4">
        <v>840</v>
      </c>
      <c r="B844" s="4">
        <v>37020</v>
      </c>
      <c r="C844" s="4">
        <v>1</v>
      </c>
      <c r="D844" s="6">
        <v>0</v>
      </c>
      <c r="E844" s="6">
        <v>-102.37</v>
      </c>
      <c r="F844" s="6">
        <v>-0.53</v>
      </c>
      <c r="G844" s="6">
        <v>0.19</v>
      </c>
      <c r="H844" s="6">
        <v>19</v>
      </c>
    </row>
    <row r="845" spans="1:8" ht="18.95" customHeight="1">
      <c r="A845" s="4">
        <v>841</v>
      </c>
      <c r="B845" s="4">
        <v>37040</v>
      </c>
      <c r="C845" s="4">
        <v>1</v>
      </c>
      <c r="D845" s="6">
        <v>0</v>
      </c>
      <c r="E845" s="6">
        <v>-102</v>
      </c>
      <c r="F845" s="6">
        <v>-0.52</v>
      </c>
      <c r="G845" s="6">
        <v>0</v>
      </c>
      <c r="H845" s="6">
        <v>19</v>
      </c>
    </row>
    <row r="846" spans="1:8" ht="18.95" customHeight="1">
      <c r="A846" s="4">
        <v>842</v>
      </c>
      <c r="B846" s="4">
        <v>37060</v>
      </c>
      <c r="C846" s="4">
        <v>1</v>
      </c>
      <c r="D846" s="6">
        <v>0</v>
      </c>
      <c r="E846" s="6">
        <v>-101.69</v>
      </c>
      <c r="F846" s="6">
        <v>-0.49</v>
      </c>
      <c r="G846" s="6">
        <v>-0.01</v>
      </c>
      <c r="H846" s="6">
        <v>19</v>
      </c>
    </row>
    <row r="847" spans="1:8" ht="18.95" customHeight="1">
      <c r="A847" s="4">
        <v>843</v>
      </c>
      <c r="B847" s="4">
        <v>37080</v>
      </c>
      <c r="C847" s="4">
        <v>1</v>
      </c>
      <c r="D847" s="6">
        <v>0</v>
      </c>
      <c r="E847" s="6">
        <v>-101.37</v>
      </c>
      <c r="F847" s="6">
        <v>-0.47</v>
      </c>
      <c r="G847" s="6">
        <v>0.09</v>
      </c>
      <c r="H847" s="6">
        <v>19</v>
      </c>
    </row>
    <row r="848" spans="1:8" ht="18.95" customHeight="1">
      <c r="A848" s="4">
        <v>844</v>
      </c>
      <c r="B848" s="4">
        <v>37100</v>
      </c>
      <c r="C848" s="4">
        <v>1</v>
      </c>
      <c r="D848" s="6">
        <v>0</v>
      </c>
      <c r="E848" s="6">
        <v>-101.06</v>
      </c>
      <c r="F848" s="6">
        <v>-0.48</v>
      </c>
      <c r="G848" s="6">
        <v>0.17</v>
      </c>
      <c r="H848" s="6">
        <v>19</v>
      </c>
    </row>
    <row r="849" spans="1:8" ht="18.95" customHeight="1">
      <c r="A849" s="4">
        <v>845</v>
      </c>
      <c r="B849" s="4">
        <v>37120</v>
      </c>
      <c r="C849" s="4">
        <v>1</v>
      </c>
      <c r="D849" s="6">
        <v>0</v>
      </c>
      <c r="E849" s="6">
        <v>-100.81</v>
      </c>
      <c r="F849" s="6">
        <v>-0.48</v>
      </c>
      <c r="G849" s="6">
        <v>0.04</v>
      </c>
      <c r="H849" s="6">
        <v>25</v>
      </c>
    </row>
    <row r="850" spans="1:8" ht="18.95" customHeight="1">
      <c r="A850" s="4">
        <v>846</v>
      </c>
      <c r="B850" s="4">
        <v>37140</v>
      </c>
      <c r="C850" s="4">
        <v>1</v>
      </c>
      <c r="D850" s="6">
        <v>0</v>
      </c>
      <c r="E850" s="6">
        <v>-100.56</v>
      </c>
      <c r="F850" s="6">
        <v>-0.46</v>
      </c>
      <c r="G850" s="6">
        <v>-0.05</v>
      </c>
      <c r="H850" s="6">
        <v>25</v>
      </c>
    </row>
    <row r="851" spans="1:8" ht="18.95" customHeight="1">
      <c r="A851" s="4">
        <v>847</v>
      </c>
      <c r="B851" s="4">
        <v>37160</v>
      </c>
      <c r="C851" s="4">
        <v>1</v>
      </c>
      <c r="D851" s="6">
        <v>0</v>
      </c>
      <c r="E851" s="6">
        <v>-100.31</v>
      </c>
      <c r="F851" s="6">
        <v>-0.44</v>
      </c>
      <c r="G851" s="6">
        <v>-0.05</v>
      </c>
      <c r="H851" s="6">
        <v>27</v>
      </c>
    </row>
    <row r="852" spans="1:8" ht="18.95" customHeight="1">
      <c r="A852" s="4">
        <v>848</v>
      </c>
      <c r="B852" s="4">
        <v>37180</v>
      </c>
      <c r="C852" s="4">
        <v>1</v>
      </c>
      <c r="D852" s="6">
        <v>0</v>
      </c>
      <c r="E852" s="6">
        <v>-100.06</v>
      </c>
      <c r="F852" s="6">
        <v>-0.43</v>
      </c>
      <c r="G852" s="6">
        <v>0.06</v>
      </c>
      <c r="H852" s="6">
        <v>27</v>
      </c>
    </row>
    <row r="853" spans="1:8" ht="18.95" customHeight="1">
      <c r="A853" s="4">
        <v>849</v>
      </c>
      <c r="B853" s="4">
        <v>37200</v>
      </c>
      <c r="C853" s="4">
        <v>1</v>
      </c>
      <c r="D853" s="6">
        <v>0</v>
      </c>
      <c r="E853" s="6">
        <v>-99.87</v>
      </c>
      <c r="F853" s="6">
        <v>-0.41</v>
      </c>
      <c r="G853" s="6">
        <v>-0.04</v>
      </c>
      <c r="H853" s="6">
        <v>27</v>
      </c>
    </row>
    <row r="854" spans="1:8" ht="18.95" customHeight="1">
      <c r="A854" s="4">
        <v>850</v>
      </c>
      <c r="B854" s="4">
        <v>37220</v>
      </c>
      <c r="C854" s="4">
        <v>1</v>
      </c>
      <c r="D854" s="6">
        <v>0</v>
      </c>
      <c r="E854" s="6">
        <v>-99.69</v>
      </c>
      <c r="F854" s="6">
        <v>-0.39</v>
      </c>
      <c r="G854" s="6">
        <v>0.13</v>
      </c>
      <c r="H854" s="6">
        <v>28</v>
      </c>
    </row>
    <row r="855" spans="1:8" ht="18.95" customHeight="1">
      <c r="A855" s="4">
        <v>851</v>
      </c>
      <c r="B855" s="4">
        <v>37240</v>
      </c>
      <c r="C855" s="4">
        <v>1</v>
      </c>
      <c r="D855" s="6">
        <v>0</v>
      </c>
      <c r="E855" s="6">
        <v>-99.56</v>
      </c>
      <c r="F855" s="6">
        <v>-0.37</v>
      </c>
      <c r="G855" s="6">
        <v>-0.02</v>
      </c>
      <c r="H855" s="6">
        <v>28</v>
      </c>
    </row>
    <row r="856" spans="1:8" ht="18.95" customHeight="1">
      <c r="A856" s="4">
        <v>852</v>
      </c>
      <c r="B856" s="4">
        <v>37260</v>
      </c>
      <c r="C856" s="4">
        <v>1</v>
      </c>
      <c r="D856" s="6">
        <v>0</v>
      </c>
      <c r="E856" s="6">
        <v>-99.37</v>
      </c>
      <c r="F856" s="6">
        <v>-0.36</v>
      </c>
      <c r="G856" s="6">
        <v>0.06</v>
      </c>
      <c r="H856" s="6">
        <v>32</v>
      </c>
    </row>
    <row r="857" spans="1:8" ht="18.95" customHeight="1">
      <c r="A857" s="4">
        <v>853</v>
      </c>
      <c r="B857" s="4">
        <v>37280</v>
      </c>
      <c r="C857" s="4">
        <v>1</v>
      </c>
      <c r="D857" s="6">
        <v>0</v>
      </c>
      <c r="E857" s="6">
        <v>-99.25</v>
      </c>
      <c r="F857" s="6">
        <v>-0.35</v>
      </c>
      <c r="G857" s="6">
        <v>0.1</v>
      </c>
      <c r="H857" s="6">
        <v>32</v>
      </c>
    </row>
    <row r="858" spans="1:8" ht="18.95" customHeight="1">
      <c r="A858" s="4">
        <v>854</v>
      </c>
      <c r="B858" s="4">
        <v>37300</v>
      </c>
      <c r="C858" s="4">
        <v>1</v>
      </c>
      <c r="D858" s="6">
        <v>0</v>
      </c>
      <c r="E858" s="6">
        <v>-99.19</v>
      </c>
      <c r="F858" s="6">
        <v>-0.31</v>
      </c>
      <c r="G858" s="6">
        <v>-0.06</v>
      </c>
      <c r="H858" s="6">
        <v>32</v>
      </c>
    </row>
    <row r="859" spans="1:8" ht="18.95" customHeight="1">
      <c r="A859" s="4">
        <v>855</v>
      </c>
      <c r="B859" s="4">
        <v>37320</v>
      </c>
      <c r="C859" s="4">
        <v>1</v>
      </c>
      <c r="D859" s="6">
        <v>0</v>
      </c>
      <c r="E859" s="6">
        <v>-99.12</v>
      </c>
      <c r="F859" s="6">
        <v>-0.28999999999999998</v>
      </c>
      <c r="G859" s="6">
        <v>0.04</v>
      </c>
      <c r="H859" s="6">
        <v>35</v>
      </c>
    </row>
    <row r="860" spans="1:8" ht="18.95" customHeight="1">
      <c r="A860" s="4">
        <v>856</v>
      </c>
      <c r="B860" s="4">
        <v>37340</v>
      </c>
      <c r="C860" s="4">
        <v>1</v>
      </c>
      <c r="D860" s="6">
        <v>0</v>
      </c>
      <c r="E860" s="6">
        <v>-99.06</v>
      </c>
      <c r="F860" s="6">
        <v>-0.27</v>
      </c>
      <c r="G860" s="6">
        <v>0.1</v>
      </c>
      <c r="H860" s="6">
        <v>35</v>
      </c>
    </row>
    <row r="861" spans="1:8" ht="18.95" customHeight="1">
      <c r="A861" s="4">
        <v>857</v>
      </c>
      <c r="B861" s="4">
        <v>37360</v>
      </c>
      <c r="C861" s="4">
        <v>1</v>
      </c>
      <c r="D861" s="6">
        <v>0</v>
      </c>
      <c r="E861" s="6">
        <v>-99.06</v>
      </c>
      <c r="F861" s="6">
        <v>-0.25</v>
      </c>
      <c r="G861" s="6">
        <v>-0.02</v>
      </c>
      <c r="H861" s="6">
        <v>41</v>
      </c>
    </row>
    <row r="862" spans="1:8" ht="18.95" customHeight="1">
      <c r="A862" s="4">
        <v>858</v>
      </c>
      <c r="B862" s="4">
        <v>37380</v>
      </c>
      <c r="C862" s="4">
        <v>1</v>
      </c>
      <c r="D862" s="6">
        <v>0</v>
      </c>
      <c r="E862" s="6">
        <v>-99</v>
      </c>
      <c r="F862" s="6">
        <v>-0.23</v>
      </c>
      <c r="G862" s="6">
        <v>-0.06</v>
      </c>
      <c r="H862" s="6">
        <v>41</v>
      </c>
    </row>
    <row r="863" spans="1:8" ht="18.95" customHeight="1">
      <c r="A863" s="4">
        <v>859</v>
      </c>
      <c r="B863" s="4">
        <v>37400</v>
      </c>
      <c r="C863" s="4">
        <v>1</v>
      </c>
      <c r="D863" s="6">
        <v>0</v>
      </c>
      <c r="E863" s="6">
        <v>-98.94</v>
      </c>
      <c r="F863" s="6">
        <v>-0.2</v>
      </c>
      <c r="G863" s="6">
        <v>0.1</v>
      </c>
      <c r="H863" s="6">
        <v>41</v>
      </c>
    </row>
    <row r="864" spans="1:8" ht="18.95" customHeight="1">
      <c r="A864" s="4">
        <v>860</v>
      </c>
      <c r="B864" s="4">
        <v>37420</v>
      </c>
      <c r="C864" s="4">
        <v>1</v>
      </c>
      <c r="D864" s="6">
        <v>0</v>
      </c>
      <c r="E864" s="6">
        <v>-98.94</v>
      </c>
      <c r="F864" s="6">
        <v>-0.17</v>
      </c>
      <c r="G864" s="6">
        <v>0.02</v>
      </c>
      <c r="H864" s="6">
        <v>46</v>
      </c>
    </row>
    <row r="865" spans="1:8" ht="18.95" customHeight="1">
      <c r="A865" s="4">
        <v>861</v>
      </c>
      <c r="B865" s="4">
        <v>37440</v>
      </c>
      <c r="C865" s="4">
        <v>1</v>
      </c>
      <c r="D865" s="6">
        <v>0</v>
      </c>
      <c r="E865" s="6">
        <v>-98.87</v>
      </c>
      <c r="F865" s="6">
        <v>-0.15</v>
      </c>
      <c r="G865" s="6">
        <v>0</v>
      </c>
      <c r="H865" s="6">
        <v>46</v>
      </c>
    </row>
    <row r="866" spans="1:8" ht="18.95" customHeight="1">
      <c r="A866" s="4">
        <v>862</v>
      </c>
      <c r="B866" s="4">
        <v>37460</v>
      </c>
      <c r="C866" s="4">
        <v>1</v>
      </c>
      <c r="D866" s="6">
        <v>0</v>
      </c>
      <c r="E866" s="6">
        <v>-98.87</v>
      </c>
      <c r="F866" s="6">
        <v>-0.13</v>
      </c>
      <c r="G866" s="6">
        <v>0.12</v>
      </c>
      <c r="H866" s="6">
        <v>49</v>
      </c>
    </row>
    <row r="867" spans="1:8" ht="18.95" customHeight="1">
      <c r="A867" s="4">
        <v>863</v>
      </c>
      <c r="B867" s="4">
        <v>37480</v>
      </c>
      <c r="C867" s="4">
        <v>1</v>
      </c>
      <c r="D867" s="6">
        <v>0</v>
      </c>
      <c r="E867" s="6">
        <v>-98.87</v>
      </c>
      <c r="F867" s="6">
        <v>-0.09</v>
      </c>
      <c r="G867" s="6">
        <v>0.06</v>
      </c>
      <c r="H867" s="6">
        <v>49</v>
      </c>
    </row>
    <row r="868" spans="1:8" ht="18.95" customHeight="1">
      <c r="A868" s="4">
        <v>864</v>
      </c>
      <c r="B868" s="4">
        <v>37500</v>
      </c>
      <c r="C868" s="4">
        <v>1</v>
      </c>
      <c r="D868" s="6">
        <v>0</v>
      </c>
      <c r="E868" s="6">
        <v>-98.87</v>
      </c>
      <c r="F868" s="6">
        <v>-7.0000000000000007E-2</v>
      </c>
      <c r="G868" s="6">
        <v>0.13</v>
      </c>
      <c r="H868" s="6">
        <v>49</v>
      </c>
    </row>
    <row r="869" spans="1:8" ht="18.95" customHeight="1">
      <c r="A869" s="4">
        <v>865</v>
      </c>
      <c r="B869" s="4">
        <v>37520</v>
      </c>
      <c r="C869" s="4">
        <v>1</v>
      </c>
      <c r="D869" s="6">
        <v>0</v>
      </c>
      <c r="E869" s="6">
        <v>-98.87</v>
      </c>
      <c r="F869" s="6">
        <v>-0.04</v>
      </c>
      <c r="G869" s="6">
        <v>7.0000000000000007E-2</v>
      </c>
      <c r="H869" s="6">
        <v>54</v>
      </c>
    </row>
    <row r="870" spans="1:8" ht="18.95" customHeight="1">
      <c r="A870" s="4">
        <v>866</v>
      </c>
      <c r="B870" s="4">
        <v>37540</v>
      </c>
      <c r="C870" s="4">
        <v>1</v>
      </c>
      <c r="D870" s="6">
        <v>0</v>
      </c>
      <c r="E870" s="6">
        <v>-98.87</v>
      </c>
      <c r="F870" s="6">
        <v>-0.01</v>
      </c>
      <c r="G870" s="6">
        <v>-0.03</v>
      </c>
      <c r="H870" s="6">
        <v>54</v>
      </c>
    </row>
    <row r="871" spans="1:8" ht="18.95" customHeight="1">
      <c r="A871" s="4">
        <v>867</v>
      </c>
      <c r="B871" s="4">
        <v>37560</v>
      </c>
      <c r="C871" s="4">
        <v>1</v>
      </c>
      <c r="D871" s="6">
        <v>0</v>
      </c>
      <c r="E871" s="6">
        <v>-98.94</v>
      </c>
      <c r="F871" s="6">
        <v>0.02</v>
      </c>
      <c r="G871" s="6">
        <v>-0.08</v>
      </c>
      <c r="H871" s="6">
        <v>56</v>
      </c>
    </row>
    <row r="872" spans="1:8" ht="18.95" customHeight="1">
      <c r="A872" s="4">
        <v>868</v>
      </c>
      <c r="B872" s="4">
        <v>37580</v>
      </c>
      <c r="C872" s="4">
        <v>1</v>
      </c>
      <c r="D872" s="6">
        <v>0</v>
      </c>
      <c r="E872" s="6">
        <v>-99</v>
      </c>
      <c r="F872" s="6">
        <v>0.05</v>
      </c>
      <c r="G872" s="6">
        <v>0.03</v>
      </c>
      <c r="H872" s="6">
        <v>56</v>
      </c>
    </row>
    <row r="873" spans="1:8" ht="18.95" customHeight="1">
      <c r="A873" s="4">
        <v>869</v>
      </c>
      <c r="B873" s="4">
        <v>37600</v>
      </c>
      <c r="C873" s="4">
        <v>1</v>
      </c>
      <c r="D873" s="6">
        <v>0</v>
      </c>
      <c r="E873" s="6">
        <v>-99</v>
      </c>
      <c r="F873" s="6">
        <v>7.0000000000000007E-2</v>
      </c>
      <c r="G873" s="6">
        <v>0.01</v>
      </c>
      <c r="H873" s="6">
        <v>56</v>
      </c>
    </row>
    <row r="874" spans="1:8" ht="18.95" customHeight="1">
      <c r="A874" s="4">
        <v>870</v>
      </c>
      <c r="B874" s="4">
        <v>37620</v>
      </c>
      <c r="C874" s="4">
        <v>1</v>
      </c>
      <c r="D874" s="6">
        <v>0</v>
      </c>
      <c r="E874" s="6">
        <v>-99.06</v>
      </c>
      <c r="F874" s="6">
        <v>0.09</v>
      </c>
      <c r="G874" s="6">
        <v>0.18</v>
      </c>
      <c r="H874" s="6">
        <v>60</v>
      </c>
    </row>
    <row r="875" spans="1:8" ht="18.95" customHeight="1">
      <c r="A875" s="4">
        <v>871</v>
      </c>
      <c r="B875" s="4">
        <v>37640</v>
      </c>
      <c r="C875" s="4">
        <v>1</v>
      </c>
      <c r="D875" s="6">
        <v>0</v>
      </c>
      <c r="E875" s="6">
        <v>-99.12</v>
      </c>
      <c r="F875" s="6">
        <v>0.11</v>
      </c>
      <c r="G875" s="6">
        <v>-0.06</v>
      </c>
      <c r="H875" s="6">
        <v>60</v>
      </c>
    </row>
    <row r="876" spans="1:8" ht="18.95" customHeight="1">
      <c r="A876" s="4">
        <v>872</v>
      </c>
      <c r="B876" s="4">
        <v>37660</v>
      </c>
      <c r="C876" s="4">
        <v>1</v>
      </c>
      <c r="D876" s="6">
        <v>0</v>
      </c>
      <c r="E876" s="6">
        <v>-99.19</v>
      </c>
      <c r="F876" s="6">
        <v>0.14000000000000001</v>
      </c>
      <c r="G876" s="6">
        <v>0.13</v>
      </c>
      <c r="H876" s="6">
        <v>64</v>
      </c>
    </row>
    <row r="877" spans="1:8" ht="18.95" customHeight="1">
      <c r="A877" s="4">
        <v>873</v>
      </c>
      <c r="B877" s="4">
        <v>37680</v>
      </c>
      <c r="C877" s="4">
        <v>1</v>
      </c>
      <c r="D877" s="6">
        <v>0</v>
      </c>
      <c r="E877" s="6">
        <v>-99.25</v>
      </c>
      <c r="F877" s="6">
        <v>0.17</v>
      </c>
      <c r="G877" s="6">
        <v>0.02</v>
      </c>
      <c r="H877" s="6">
        <v>64</v>
      </c>
    </row>
    <row r="878" spans="1:8" ht="18.95" customHeight="1">
      <c r="A878" s="4">
        <v>874</v>
      </c>
      <c r="B878" s="4">
        <v>37700</v>
      </c>
      <c r="C878" s="4">
        <v>1</v>
      </c>
      <c r="D878" s="6">
        <v>0</v>
      </c>
      <c r="E878" s="6">
        <v>-99.31</v>
      </c>
      <c r="F878" s="6">
        <v>0.19</v>
      </c>
      <c r="G878" s="6">
        <v>0.06</v>
      </c>
      <c r="H878" s="6">
        <v>64</v>
      </c>
    </row>
    <row r="879" spans="1:8" ht="18.95" customHeight="1">
      <c r="A879" s="4">
        <v>875</v>
      </c>
      <c r="B879" s="4">
        <v>37720</v>
      </c>
      <c r="C879" s="4">
        <v>1</v>
      </c>
      <c r="D879" s="6">
        <v>0</v>
      </c>
      <c r="E879" s="6">
        <v>-99.37</v>
      </c>
      <c r="F879" s="6">
        <v>0.22</v>
      </c>
      <c r="G879" s="6">
        <v>-0.06</v>
      </c>
      <c r="H879" s="6">
        <v>66</v>
      </c>
    </row>
    <row r="880" spans="1:8" ht="18.95" customHeight="1">
      <c r="A880" s="4">
        <v>876</v>
      </c>
      <c r="B880" s="4">
        <v>37740</v>
      </c>
      <c r="C880" s="4">
        <v>1</v>
      </c>
      <c r="D880" s="6">
        <v>0</v>
      </c>
      <c r="E880" s="6">
        <v>-99.5</v>
      </c>
      <c r="F880" s="6">
        <v>0.24</v>
      </c>
      <c r="G880" s="6">
        <v>-0.05</v>
      </c>
      <c r="H880" s="6">
        <v>66</v>
      </c>
    </row>
    <row r="881" spans="1:8" ht="18.95" customHeight="1">
      <c r="A881" s="4">
        <v>877</v>
      </c>
      <c r="B881" s="4">
        <v>37761</v>
      </c>
      <c r="C881" s="4">
        <v>1</v>
      </c>
      <c r="D881" s="6">
        <v>0</v>
      </c>
      <c r="E881" s="6">
        <v>-99.62</v>
      </c>
      <c r="F881" s="6">
        <v>0.28000000000000003</v>
      </c>
      <c r="G881" s="6">
        <v>0.24</v>
      </c>
      <c r="H881" s="6">
        <v>69</v>
      </c>
    </row>
    <row r="882" spans="1:8" ht="18.95" customHeight="1">
      <c r="A882" s="4">
        <v>878</v>
      </c>
      <c r="B882" s="4">
        <v>37781</v>
      </c>
      <c r="C882" s="4">
        <v>1</v>
      </c>
      <c r="D882" s="6">
        <v>0</v>
      </c>
      <c r="E882" s="6">
        <v>-99.75</v>
      </c>
      <c r="F882" s="6">
        <v>0.31</v>
      </c>
      <c r="G882" s="6">
        <v>-0.11</v>
      </c>
      <c r="H882" s="6">
        <v>69</v>
      </c>
    </row>
    <row r="883" spans="1:8" ht="18.95" customHeight="1">
      <c r="A883" s="4">
        <v>879</v>
      </c>
      <c r="B883" s="4">
        <v>37801</v>
      </c>
      <c r="C883" s="4">
        <v>1</v>
      </c>
      <c r="D883" s="6">
        <v>0</v>
      </c>
      <c r="E883" s="6">
        <v>-99.87</v>
      </c>
      <c r="F883" s="6">
        <v>0.32</v>
      </c>
      <c r="G883" s="6">
        <v>0.02</v>
      </c>
      <c r="H883" s="6">
        <v>69</v>
      </c>
    </row>
    <row r="884" spans="1:8" ht="18.95" customHeight="1">
      <c r="A884" s="4">
        <v>880</v>
      </c>
      <c r="B884" s="4">
        <v>37821</v>
      </c>
      <c r="C884" s="4">
        <v>1</v>
      </c>
      <c r="D884" s="6">
        <v>0</v>
      </c>
      <c r="E884" s="6">
        <v>-100.06</v>
      </c>
      <c r="F884" s="6">
        <v>0.33</v>
      </c>
      <c r="G884" s="6">
        <v>-0.06</v>
      </c>
      <c r="H884" s="6">
        <v>72</v>
      </c>
    </row>
    <row r="885" spans="1:8" ht="18.95" customHeight="1">
      <c r="A885" s="4">
        <v>881</v>
      </c>
      <c r="B885" s="4">
        <v>37841</v>
      </c>
      <c r="C885" s="4">
        <v>1</v>
      </c>
      <c r="D885" s="6">
        <v>0</v>
      </c>
      <c r="E885" s="6">
        <v>-100.19</v>
      </c>
      <c r="F885" s="6">
        <v>0.34</v>
      </c>
      <c r="G885" s="6">
        <v>-0.06</v>
      </c>
      <c r="H885" s="6">
        <v>72</v>
      </c>
    </row>
    <row r="886" spans="1:8" ht="18.95" customHeight="1">
      <c r="A886" s="4">
        <v>882</v>
      </c>
      <c r="B886" s="4">
        <v>37861</v>
      </c>
      <c r="C886" s="4">
        <v>1</v>
      </c>
      <c r="D886" s="6">
        <v>0</v>
      </c>
      <c r="E886" s="6">
        <v>-100.37</v>
      </c>
      <c r="F886" s="6">
        <v>0.38</v>
      </c>
      <c r="G886" s="6">
        <v>-0.03</v>
      </c>
      <c r="H886" s="6">
        <v>75</v>
      </c>
    </row>
    <row r="887" spans="1:8" ht="18.95" customHeight="1">
      <c r="A887" s="4">
        <v>883</v>
      </c>
      <c r="B887" s="4">
        <v>37881</v>
      </c>
      <c r="C887" s="4">
        <v>1</v>
      </c>
      <c r="D887" s="6">
        <v>0</v>
      </c>
      <c r="E887" s="6">
        <v>-100.56</v>
      </c>
      <c r="F887" s="6">
        <v>0.38</v>
      </c>
      <c r="G887" s="6">
        <v>0.06</v>
      </c>
      <c r="H887" s="6">
        <v>75</v>
      </c>
    </row>
    <row r="888" spans="1:8" ht="18.95" customHeight="1">
      <c r="A888" s="4">
        <v>884</v>
      </c>
      <c r="B888" s="4">
        <v>37901</v>
      </c>
      <c r="C888" s="4">
        <v>1</v>
      </c>
      <c r="D888" s="6">
        <v>0</v>
      </c>
      <c r="E888" s="6">
        <v>-100.75</v>
      </c>
      <c r="F888" s="6">
        <v>0.39</v>
      </c>
      <c r="G888" s="6">
        <v>0.18</v>
      </c>
      <c r="H888" s="6">
        <v>75</v>
      </c>
    </row>
    <row r="889" spans="1:8" ht="18.95" customHeight="1">
      <c r="A889" s="4">
        <v>885</v>
      </c>
      <c r="B889" s="4">
        <v>37921</v>
      </c>
      <c r="C889" s="4">
        <v>1</v>
      </c>
      <c r="D889" s="6">
        <v>0</v>
      </c>
      <c r="E889" s="6">
        <v>-101</v>
      </c>
      <c r="F889" s="6">
        <v>0.41</v>
      </c>
      <c r="G889" s="6">
        <v>0.15</v>
      </c>
      <c r="H889" s="6">
        <v>76</v>
      </c>
    </row>
    <row r="890" spans="1:8" ht="18.95" customHeight="1">
      <c r="A890" s="4">
        <v>886</v>
      </c>
      <c r="B890" s="4">
        <v>37941</v>
      </c>
      <c r="C890" s="4">
        <v>1</v>
      </c>
      <c r="D890" s="6">
        <v>0</v>
      </c>
      <c r="E890" s="6">
        <v>-101.19</v>
      </c>
      <c r="F890" s="6">
        <v>0.43</v>
      </c>
      <c r="G890" s="6">
        <v>0.02</v>
      </c>
      <c r="H890" s="6">
        <v>76</v>
      </c>
    </row>
    <row r="891" spans="1:8" ht="18.95" customHeight="1">
      <c r="A891" s="4">
        <v>887</v>
      </c>
      <c r="B891" s="4">
        <v>37961</v>
      </c>
      <c r="C891" s="4">
        <v>1</v>
      </c>
      <c r="D891" s="6">
        <v>0</v>
      </c>
      <c r="E891" s="6">
        <v>-101.44</v>
      </c>
      <c r="F891" s="6">
        <v>0.43</v>
      </c>
      <c r="G891" s="6">
        <v>0.13</v>
      </c>
      <c r="H891" s="6">
        <v>77</v>
      </c>
    </row>
    <row r="892" spans="1:8" ht="18.95" customHeight="1">
      <c r="A892" s="4">
        <v>888</v>
      </c>
      <c r="B892" s="4">
        <v>37981</v>
      </c>
      <c r="C892" s="4">
        <v>1</v>
      </c>
      <c r="D892" s="6">
        <v>0</v>
      </c>
      <c r="E892" s="6">
        <v>-101.75</v>
      </c>
      <c r="F892" s="6">
        <v>0.43</v>
      </c>
      <c r="G892" s="6">
        <v>-0.1</v>
      </c>
      <c r="H892" s="6">
        <v>77</v>
      </c>
    </row>
    <row r="893" spans="1:8" ht="18.95" customHeight="1">
      <c r="A893" s="4">
        <v>889</v>
      </c>
      <c r="B893" s="4">
        <v>38001</v>
      </c>
      <c r="C893" s="4">
        <v>1</v>
      </c>
      <c r="D893" s="6">
        <v>0</v>
      </c>
      <c r="E893" s="6">
        <v>-102</v>
      </c>
      <c r="F893" s="6">
        <v>0.44</v>
      </c>
      <c r="G893" s="6">
        <v>-0.11</v>
      </c>
      <c r="H893" s="6">
        <v>77</v>
      </c>
    </row>
    <row r="894" spans="1:8" ht="18.95" customHeight="1">
      <c r="A894" s="4">
        <v>890</v>
      </c>
      <c r="B894" s="4">
        <v>38021</v>
      </c>
      <c r="C894" s="4">
        <v>1</v>
      </c>
      <c r="D894" s="6">
        <v>0</v>
      </c>
      <c r="E894" s="6">
        <v>-102.31</v>
      </c>
      <c r="F894" s="6">
        <v>0.45</v>
      </c>
      <c r="G894" s="6">
        <v>0.02</v>
      </c>
      <c r="H894" s="6">
        <v>79</v>
      </c>
    </row>
    <row r="895" spans="1:8" ht="18.95" customHeight="1">
      <c r="A895" s="4">
        <v>891</v>
      </c>
      <c r="B895" s="4">
        <v>38041</v>
      </c>
      <c r="C895" s="4">
        <v>1</v>
      </c>
      <c r="D895" s="6">
        <v>0</v>
      </c>
      <c r="E895" s="6">
        <v>-102.62</v>
      </c>
      <c r="F895" s="6">
        <v>0.47</v>
      </c>
      <c r="G895" s="6">
        <v>-0.05</v>
      </c>
      <c r="H895" s="6">
        <v>79</v>
      </c>
    </row>
    <row r="896" spans="1:8" ht="18.95" customHeight="1">
      <c r="A896" s="4">
        <v>892</v>
      </c>
      <c r="B896" s="4">
        <v>38062</v>
      </c>
      <c r="C896" s="4">
        <v>1</v>
      </c>
      <c r="D896" s="6">
        <v>0</v>
      </c>
      <c r="E896" s="6">
        <v>-102.94</v>
      </c>
      <c r="F896" s="6">
        <v>0.45</v>
      </c>
      <c r="G896" s="6">
        <v>-0.1</v>
      </c>
      <c r="H896" s="6">
        <v>81</v>
      </c>
    </row>
    <row r="897" spans="1:8" ht="18.95" customHeight="1">
      <c r="A897" s="4">
        <v>893</v>
      </c>
      <c r="B897" s="4">
        <v>38082</v>
      </c>
      <c r="C897" s="4">
        <v>1</v>
      </c>
      <c r="D897" s="6">
        <v>0</v>
      </c>
      <c r="E897" s="6">
        <v>-103.31</v>
      </c>
      <c r="F897" s="6">
        <v>0.46</v>
      </c>
      <c r="G897" s="6">
        <v>-0.1</v>
      </c>
      <c r="H897" s="6">
        <v>81</v>
      </c>
    </row>
    <row r="898" spans="1:8" ht="18.95" customHeight="1">
      <c r="A898" s="4">
        <v>894</v>
      </c>
      <c r="B898" s="4">
        <v>38102</v>
      </c>
      <c r="C898" s="4">
        <v>1</v>
      </c>
      <c r="D898" s="6">
        <v>0</v>
      </c>
      <c r="E898" s="6">
        <v>-103.69</v>
      </c>
      <c r="F898" s="6">
        <v>0.47</v>
      </c>
      <c r="G898" s="6">
        <v>0.01</v>
      </c>
      <c r="H898" s="6">
        <v>81</v>
      </c>
    </row>
    <row r="899" spans="1:8" ht="18.95" customHeight="1">
      <c r="A899" s="4">
        <v>895</v>
      </c>
      <c r="B899" s="4">
        <v>38122</v>
      </c>
      <c r="C899" s="4">
        <v>1</v>
      </c>
      <c r="D899" s="6">
        <v>0</v>
      </c>
      <c r="E899" s="6">
        <v>-104.12</v>
      </c>
      <c r="F899" s="6">
        <v>0.51</v>
      </c>
      <c r="G899" s="6">
        <v>0</v>
      </c>
      <c r="H899" s="6">
        <v>80</v>
      </c>
    </row>
    <row r="900" spans="1:8" ht="18.95" customHeight="1">
      <c r="A900" s="4">
        <v>896</v>
      </c>
      <c r="B900" s="4">
        <v>38142</v>
      </c>
      <c r="C900" s="4">
        <v>1</v>
      </c>
      <c r="D900" s="6">
        <v>0</v>
      </c>
      <c r="E900" s="6">
        <v>-104.56</v>
      </c>
      <c r="F900" s="6">
        <v>0.5</v>
      </c>
      <c r="G900" s="6">
        <v>0.1</v>
      </c>
      <c r="H900" s="6">
        <v>80</v>
      </c>
    </row>
    <row r="901" spans="1:8" ht="18.95" customHeight="1">
      <c r="A901" s="4">
        <v>897</v>
      </c>
      <c r="B901" s="4">
        <v>38162</v>
      </c>
      <c r="C901" s="4">
        <v>1</v>
      </c>
      <c r="D901" s="6">
        <v>0</v>
      </c>
      <c r="E901" s="6">
        <v>-105.06</v>
      </c>
      <c r="F901" s="6">
        <v>0.47</v>
      </c>
      <c r="G901" s="6">
        <v>-0.19</v>
      </c>
      <c r="H901" s="6">
        <v>83</v>
      </c>
    </row>
    <row r="902" spans="1:8" ht="18.95" customHeight="1">
      <c r="A902" s="4">
        <v>898</v>
      </c>
      <c r="B902" s="4">
        <v>38182</v>
      </c>
      <c r="C902" s="4">
        <v>1</v>
      </c>
      <c r="D902" s="6">
        <v>0</v>
      </c>
      <c r="E902" s="6">
        <v>-105.5</v>
      </c>
      <c r="F902" s="6">
        <v>0.47</v>
      </c>
      <c r="G902" s="6">
        <v>0.01</v>
      </c>
      <c r="H902" s="6">
        <v>83</v>
      </c>
    </row>
    <row r="903" spans="1:8" ht="18.95" customHeight="1">
      <c r="A903" s="4">
        <v>899</v>
      </c>
      <c r="B903" s="4">
        <v>38202</v>
      </c>
      <c r="C903" s="4">
        <v>1</v>
      </c>
      <c r="D903" s="6">
        <v>0</v>
      </c>
      <c r="E903" s="6">
        <v>-106.06</v>
      </c>
      <c r="F903" s="6">
        <v>0.48</v>
      </c>
      <c r="G903" s="6">
        <v>-0.11</v>
      </c>
      <c r="H903" s="6">
        <v>83</v>
      </c>
    </row>
    <row r="904" spans="1:8" ht="18.95" customHeight="1">
      <c r="A904" s="4">
        <v>900</v>
      </c>
      <c r="B904" s="4">
        <v>38222</v>
      </c>
      <c r="C904" s="4">
        <v>1</v>
      </c>
      <c r="D904" s="6">
        <v>0</v>
      </c>
      <c r="E904" s="6">
        <v>-106.62</v>
      </c>
      <c r="F904" s="6">
        <v>0.52</v>
      </c>
      <c r="G904" s="6">
        <v>0.23</v>
      </c>
      <c r="H904" s="6">
        <v>83</v>
      </c>
    </row>
    <row r="905" spans="1:8" ht="18.95" customHeight="1">
      <c r="A905" s="4">
        <v>901</v>
      </c>
      <c r="B905" s="4">
        <v>38242</v>
      </c>
      <c r="C905" s="4">
        <v>1</v>
      </c>
      <c r="D905" s="6">
        <v>0</v>
      </c>
      <c r="E905" s="6">
        <v>-107.25</v>
      </c>
      <c r="F905" s="6">
        <v>0.5</v>
      </c>
      <c r="G905" s="6">
        <v>0.04</v>
      </c>
      <c r="H905" s="6">
        <v>83</v>
      </c>
    </row>
    <row r="906" spans="1:8" ht="18.95" customHeight="1">
      <c r="A906" s="4">
        <v>902</v>
      </c>
      <c r="B906" s="4">
        <v>38262</v>
      </c>
      <c r="C906" s="4">
        <v>1</v>
      </c>
      <c r="D906" s="6">
        <v>0</v>
      </c>
      <c r="E906" s="6">
        <v>-107.87</v>
      </c>
      <c r="F906" s="6">
        <v>0.51</v>
      </c>
      <c r="G906" s="6">
        <v>0.3</v>
      </c>
      <c r="H906" s="6">
        <v>82</v>
      </c>
    </row>
    <row r="907" spans="1:8" ht="18.95" customHeight="1">
      <c r="A907" s="4">
        <v>903</v>
      </c>
      <c r="B907" s="4">
        <v>38282</v>
      </c>
      <c r="C907" s="4">
        <v>1</v>
      </c>
      <c r="D907" s="6">
        <v>0</v>
      </c>
      <c r="E907" s="6">
        <v>-108.62</v>
      </c>
      <c r="F907" s="6">
        <v>0.52</v>
      </c>
      <c r="G907" s="6">
        <v>-0.19</v>
      </c>
      <c r="H907" s="6">
        <v>82</v>
      </c>
    </row>
    <row r="908" spans="1:8" ht="18.95" customHeight="1">
      <c r="A908" s="4">
        <v>904</v>
      </c>
      <c r="B908" s="4">
        <v>38302</v>
      </c>
      <c r="C908" s="4">
        <v>1</v>
      </c>
      <c r="D908" s="6">
        <v>0</v>
      </c>
      <c r="E908" s="6">
        <v>-109.37</v>
      </c>
      <c r="F908" s="6">
        <v>0.54</v>
      </c>
      <c r="G908" s="6">
        <v>0</v>
      </c>
      <c r="H908" s="6">
        <v>82</v>
      </c>
    </row>
    <row r="909" spans="1:8" ht="18.95" customHeight="1">
      <c r="A909" s="4">
        <v>905</v>
      </c>
      <c r="B909" s="4">
        <v>38322</v>
      </c>
      <c r="C909" s="4">
        <v>1</v>
      </c>
      <c r="D909" s="6">
        <v>0</v>
      </c>
      <c r="E909" s="6">
        <v>-110.19</v>
      </c>
      <c r="F909" s="6">
        <v>0.53</v>
      </c>
      <c r="G909" s="6">
        <v>0.05</v>
      </c>
      <c r="H909" s="6">
        <v>84</v>
      </c>
    </row>
    <row r="910" spans="1:8" ht="18.95" customHeight="1">
      <c r="A910" s="4">
        <v>906</v>
      </c>
      <c r="B910" s="4">
        <v>38342</v>
      </c>
      <c r="C910" s="4">
        <v>1</v>
      </c>
      <c r="D910" s="6">
        <v>0</v>
      </c>
      <c r="E910" s="6">
        <v>-111</v>
      </c>
      <c r="F910" s="6">
        <v>0.52</v>
      </c>
      <c r="G910" s="6">
        <v>0.12</v>
      </c>
      <c r="H910" s="6">
        <v>84</v>
      </c>
    </row>
    <row r="911" spans="1:8" ht="18.95" customHeight="1">
      <c r="A911" s="4">
        <v>907</v>
      </c>
      <c r="B911" s="4">
        <v>38362</v>
      </c>
      <c r="C911" s="4">
        <v>1</v>
      </c>
      <c r="D911" s="6">
        <v>0</v>
      </c>
      <c r="E911" s="6">
        <v>-111.87</v>
      </c>
      <c r="F911" s="6">
        <v>0.51</v>
      </c>
      <c r="G911" s="6">
        <v>-0.04</v>
      </c>
      <c r="H911" s="6">
        <v>86</v>
      </c>
    </row>
    <row r="912" spans="1:8" ht="18.95" customHeight="1">
      <c r="A912" s="4">
        <v>908</v>
      </c>
      <c r="B912" s="4">
        <v>38382</v>
      </c>
      <c r="C912" s="4">
        <v>1</v>
      </c>
      <c r="D912" s="6">
        <v>0</v>
      </c>
      <c r="E912" s="6">
        <v>-112.87</v>
      </c>
      <c r="F912" s="6">
        <v>0.51</v>
      </c>
      <c r="G912" s="6">
        <v>0.13</v>
      </c>
      <c r="H912" s="6">
        <v>86</v>
      </c>
    </row>
    <row r="913" spans="1:8" ht="18.95" customHeight="1">
      <c r="A913" s="4">
        <v>909</v>
      </c>
      <c r="B913" s="4">
        <v>38402</v>
      </c>
      <c r="C913" s="4">
        <v>1</v>
      </c>
      <c r="D913" s="6">
        <v>0</v>
      </c>
      <c r="E913" s="6">
        <v>-114.06</v>
      </c>
      <c r="F913" s="6">
        <v>0.54</v>
      </c>
      <c r="G913" s="6">
        <v>0.02</v>
      </c>
      <c r="H913" s="6">
        <v>86</v>
      </c>
    </row>
    <row r="914" spans="1:8" ht="18.95" customHeight="1">
      <c r="A914" s="4">
        <v>910</v>
      </c>
      <c r="B914" s="4">
        <v>38422</v>
      </c>
      <c r="C914" s="4">
        <v>1</v>
      </c>
      <c r="D914" s="6">
        <v>0</v>
      </c>
      <c r="E914" s="6">
        <v>-115.31</v>
      </c>
      <c r="F914" s="6">
        <v>0.55000000000000004</v>
      </c>
      <c r="G914" s="6">
        <v>0.04</v>
      </c>
      <c r="H914" s="6">
        <v>83</v>
      </c>
    </row>
    <row r="915" spans="1:8" ht="18.95" customHeight="1">
      <c r="A915" s="4">
        <v>911</v>
      </c>
      <c r="B915" s="4">
        <v>38443</v>
      </c>
      <c r="C915" s="4">
        <v>1</v>
      </c>
      <c r="D915" s="6">
        <v>0</v>
      </c>
      <c r="E915" s="6">
        <v>-116.75</v>
      </c>
      <c r="F915" s="6">
        <v>0.52</v>
      </c>
      <c r="G915" s="6">
        <v>0.02</v>
      </c>
      <c r="H915" s="6">
        <v>83</v>
      </c>
    </row>
    <row r="916" spans="1:8" ht="18.95" customHeight="1">
      <c r="A916" s="4">
        <v>912</v>
      </c>
      <c r="B916" s="4">
        <v>38463</v>
      </c>
      <c r="C916" s="4">
        <v>1</v>
      </c>
      <c r="D916" s="6">
        <v>0</v>
      </c>
      <c r="E916" s="6">
        <v>-118.25</v>
      </c>
      <c r="F916" s="6">
        <v>0.5</v>
      </c>
      <c r="G916" s="6">
        <v>-0.05</v>
      </c>
      <c r="H916" s="6">
        <v>80</v>
      </c>
    </row>
    <row r="917" spans="1:8" ht="18.95" customHeight="1">
      <c r="A917" s="4">
        <v>913</v>
      </c>
      <c r="B917" s="4">
        <v>38483</v>
      </c>
      <c r="C917" s="4">
        <v>1</v>
      </c>
      <c r="D917" s="6">
        <v>0</v>
      </c>
      <c r="E917" s="6">
        <v>-119.87</v>
      </c>
      <c r="F917" s="6">
        <v>0.5</v>
      </c>
      <c r="G917" s="6">
        <v>0.08</v>
      </c>
      <c r="H917" s="6">
        <v>80</v>
      </c>
    </row>
    <row r="918" spans="1:8" ht="18.95" customHeight="1">
      <c r="A918" s="4">
        <v>914</v>
      </c>
      <c r="B918" s="4">
        <v>38503</v>
      </c>
      <c r="C918" s="4">
        <v>1</v>
      </c>
      <c r="D918" s="6">
        <v>0</v>
      </c>
      <c r="E918" s="6">
        <v>-121.69</v>
      </c>
      <c r="F918" s="6">
        <v>0.5</v>
      </c>
      <c r="G918" s="6">
        <v>0.02</v>
      </c>
      <c r="H918" s="6">
        <v>80</v>
      </c>
    </row>
    <row r="919" spans="1:8" ht="18.95" customHeight="1">
      <c r="A919" s="4">
        <v>915</v>
      </c>
      <c r="B919" s="4">
        <v>38523</v>
      </c>
      <c r="C919" s="4">
        <v>1</v>
      </c>
      <c r="D919" s="6">
        <v>0</v>
      </c>
      <c r="E919" s="6">
        <v>-123.81</v>
      </c>
      <c r="F919" s="6">
        <v>0.47</v>
      </c>
      <c r="G919" s="6">
        <v>0.11</v>
      </c>
      <c r="H919" s="6">
        <v>79</v>
      </c>
    </row>
    <row r="920" spans="1:8" ht="18.95" customHeight="1">
      <c r="A920" s="4">
        <v>916</v>
      </c>
      <c r="B920" s="4">
        <v>38543</v>
      </c>
      <c r="C920" s="4">
        <v>1</v>
      </c>
      <c r="D920" s="6">
        <v>0</v>
      </c>
      <c r="E920" s="6">
        <v>-125.94</v>
      </c>
      <c r="F920" s="6">
        <v>0.46</v>
      </c>
      <c r="G920" s="6">
        <v>7.0000000000000007E-2</v>
      </c>
      <c r="H920" s="6">
        <v>79</v>
      </c>
    </row>
    <row r="921" spans="1:8" ht="18.95" customHeight="1">
      <c r="A921" s="4">
        <v>917</v>
      </c>
      <c r="B921" s="4">
        <v>38563</v>
      </c>
      <c r="C921" s="4">
        <v>1</v>
      </c>
      <c r="D921" s="6">
        <v>0</v>
      </c>
      <c r="E921" s="6">
        <v>-128.38</v>
      </c>
      <c r="F921" s="6">
        <v>0.44</v>
      </c>
      <c r="G921" s="6">
        <v>0.03</v>
      </c>
      <c r="H921" s="6">
        <v>81</v>
      </c>
    </row>
    <row r="922" spans="1:8" ht="18.95" customHeight="1">
      <c r="A922" s="4">
        <v>918</v>
      </c>
      <c r="B922" s="4">
        <v>38583</v>
      </c>
      <c r="C922" s="4">
        <v>1</v>
      </c>
      <c r="D922" s="6">
        <v>0</v>
      </c>
      <c r="E922" s="6">
        <v>-175.06</v>
      </c>
      <c r="F922" s="6">
        <v>0.44</v>
      </c>
      <c r="G922" s="6">
        <v>0.06</v>
      </c>
      <c r="H922" s="6">
        <v>81</v>
      </c>
    </row>
    <row r="923" spans="1:8" ht="18.95" customHeight="1">
      <c r="A923" s="4">
        <v>919</v>
      </c>
      <c r="B923" s="4">
        <v>38603</v>
      </c>
      <c r="C923" s="4">
        <v>1</v>
      </c>
      <c r="D923" s="6">
        <v>0</v>
      </c>
      <c r="E923" s="6">
        <v>-175.56</v>
      </c>
      <c r="F923" s="6">
        <v>0.43</v>
      </c>
      <c r="G923" s="6">
        <v>0.14000000000000001</v>
      </c>
      <c r="H923" s="6">
        <v>81</v>
      </c>
    </row>
    <row r="924" spans="1:8" ht="18.95" customHeight="1">
      <c r="A924" s="4">
        <v>920</v>
      </c>
      <c r="B924" s="4">
        <v>38623</v>
      </c>
      <c r="C924" s="4">
        <v>1</v>
      </c>
      <c r="D924" s="6">
        <v>0</v>
      </c>
      <c r="E924" s="6">
        <v>-176</v>
      </c>
      <c r="F924" s="6">
        <v>0.4</v>
      </c>
      <c r="G924" s="6">
        <v>0.12</v>
      </c>
      <c r="H924" s="6">
        <v>81</v>
      </c>
    </row>
    <row r="925" spans="1:8" ht="18.95" customHeight="1">
      <c r="A925" s="4">
        <v>921</v>
      </c>
      <c r="B925" s="4">
        <v>38643</v>
      </c>
      <c r="C925" s="4">
        <v>1</v>
      </c>
      <c r="D925" s="6">
        <v>0</v>
      </c>
      <c r="E925" s="6">
        <v>-176.5</v>
      </c>
      <c r="F925" s="6">
        <v>0.4</v>
      </c>
      <c r="G925" s="6">
        <v>0.02</v>
      </c>
      <c r="H925" s="6">
        <v>81</v>
      </c>
    </row>
    <row r="926" spans="1:8" ht="18.95" customHeight="1">
      <c r="A926" s="4">
        <v>922</v>
      </c>
      <c r="B926" s="4">
        <v>38663</v>
      </c>
      <c r="C926" s="4">
        <v>1</v>
      </c>
      <c r="D926" s="6">
        <v>0</v>
      </c>
      <c r="E926" s="6">
        <v>-176.94</v>
      </c>
      <c r="F926" s="6">
        <v>0.42</v>
      </c>
      <c r="G926" s="6">
        <v>0.12</v>
      </c>
      <c r="H926" s="6">
        <v>78</v>
      </c>
    </row>
    <row r="927" spans="1:8" ht="18.95" customHeight="1">
      <c r="A927" s="4">
        <v>923</v>
      </c>
      <c r="B927" s="4">
        <v>38683</v>
      </c>
      <c r="C927" s="4">
        <v>1</v>
      </c>
      <c r="D927" s="6">
        <v>0</v>
      </c>
      <c r="E927" s="6">
        <v>-177.38</v>
      </c>
      <c r="F927" s="6">
        <v>0.4</v>
      </c>
      <c r="G927" s="6">
        <v>0</v>
      </c>
      <c r="H927" s="6">
        <v>78</v>
      </c>
    </row>
    <row r="928" spans="1:8" ht="18.95" customHeight="1">
      <c r="A928" s="4">
        <v>924</v>
      </c>
      <c r="B928" s="4">
        <v>38703</v>
      </c>
      <c r="C928" s="4">
        <v>1</v>
      </c>
      <c r="D928" s="6">
        <v>0</v>
      </c>
      <c r="E928" s="6">
        <v>-177.81</v>
      </c>
      <c r="F928" s="6">
        <v>0.37</v>
      </c>
      <c r="G928" s="6">
        <v>7.0000000000000007E-2</v>
      </c>
      <c r="H928" s="6">
        <v>78</v>
      </c>
    </row>
    <row r="929" spans="1:8" ht="18.95" customHeight="1">
      <c r="A929" s="4">
        <v>925</v>
      </c>
      <c r="B929" s="4">
        <v>38723</v>
      </c>
      <c r="C929" s="4">
        <v>1</v>
      </c>
      <c r="D929" s="6">
        <v>0</v>
      </c>
      <c r="E929" s="6">
        <v>-178.19</v>
      </c>
      <c r="F929" s="6">
        <v>0.34</v>
      </c>
      <c r="G929" s="6">
        <v>0.17</v>
      </c>
      <c r="H929" s="6">
        <v>75</v>
      </c>
    </row>
    <row r="930" spans="1:8" ht="18.95" customHeight="1">
      <c r="A930" s="4">
        <v>926</v>
      </c>
      <c r="B930" s="4">
        <v>38743</v>
      </c>
      <c r="C930" s="4">
        <v>1</v>
      </c>
      <c r="D930" s="6">
        <v>0</v>
      </c>
      <c r="E930" s="6">
        <v>-178.56</v>
      </c>
      <c r="F930" s="6">
        <v>0.33</v>
      </c>
      <c r="G930" s="6">
        <v>0.2</v>
      </c>
      <c r="H930" s="6">
        <v>75</v>
      </c>
    </row>
    <row r="931" spans="1:8" ht="18.95" customHeight="1">
      <c r="A931" s="4">
        <v>927</v>
      </c>
      <c r="B931" s="4">
        <v>38763</v>
      </c>
      <c r="C931" s="4">
        <v>1</v>
      </c>
      <c r="D931" s="6">
        <v>0</v>
      </c>
      <c r="E931" s="6">
        <v>-178.94</v>
      </c>
      <c r="F931" s="6">
        <v>0.3</v>
      </c>
      <c r="G931" s="6">
        <v>0.03</v>
      </c>
      <c r="H931" s="6">
        <v>75</v>
      </c>
    </row>
    <row r="932" spans="1:8" ht="18.95" customHeight="1">
      <c r="A932" s="4">
        <v>928</v>
      </c>
      <c r="B932" s="4">
        <v>38784</v>
      </c>
      <c r="C932" s="4">
        <v>1</v>
      </c>
      <c r="D932" s="6">
        <v>0</v>
      </c>
      <c r="E932" s="6">
        <v>-179.25</v>
      </c>
      <c r="F932" s="6">
        <v>0.28000000000000003</v>
      </c>
      <c r="G932" s="6">
        <v>0.04</v>
      </c>
      <c r="H932" s="6">
        <v>75</v>
      </c>
    </row>
    <row r="933" spans="1:8" ht="18.95" customHeight="1">
      <c r="A933" s="4">
        <v>929</v>
      </c>
      <c r="B933" s="4">
        <v>38804</v>
      </c>
      <c r="C933" s="4">
        <v>1</v>
      </c>
      <c r="D933" s="6">
        <v>0</v>
      </c>
      <c r="E933" s="6">
        <v>-179.56</v>
      </c>
      <c r="F933" s="6">
        <v>0.25</v>
      </c>
      <c r="G933" s="6">
        <v>0.08</v>
      </c>
      <c r="H933" s="6">
        <v>75</v>
      </c>
    </row>
    <row r="934" spans="1:8" ht="18.95" customHeight="1">
      <c r="A934" s="4">
        <v>930</v>
      </c>
      <c r="B934" s="4">
        <v>38824</v>
      </c>
      <c r="C934" s="4">
        <v>1</v>
      </c>
      <c r="D934" s="6">
        <v>0</v>
      </c>
      <c r="E934" s="6">
        <v>-179.81</v>
      </c>
      <c r="F934" s="6">
        <v>0.23</v>
      </c>
      <c r="G934" s="6">
        <v>-0.17</v>
      </c>
      <c r="H934" s="6">
        <v>72</v>
      </c>
    </row>
    <row r="935" spans="1:8" ht="18.95" customHeight="1">
      <c r="A935" s="4">
        <v>931</v>
      </c>
      <c r="B935" s="4">
        <v>38844</v>
      </c>
      <c r="C935" s="4">
        <v>1</v>
      </c>
      <c r="D935" s="6">
        <v>0</v>
      </c>
      <c r="E935" s="6">
        <v>179.88</v>
      </c>
      <c r="F935" s="6">
        <v>0.22</v>
      </c>
      <c r="G935" s="6">
        <v>7.0000000000000007E-2</v>
      </c>
      <c r="H935" s="6">
        <v>72</v>
      </c>
    </row>
    <row r="936" spans="1:8" ht="18.95" customHeight="1">
      <c r="A936" s="4">
        <v>932</v>
      </c>
      <c r="B936" s="4">
        <v>38864</v>
      </c>
      <c r="C936" s="4">
        <v>1</v>
      </c>
      <c r="D936" s="6">
        <v>0</v>
      </c>
      <c r="E936" s="6">
        <v>179.63</v>
      </c>
      <c r="F936" s="6">
        <v>0.18</v>
      </c>
      <c r="G936" s="6">
        <v>7.0000000000000007E-2</v>
      </c>
      <c r="H936" s="6">
        <v>70</v>
      </c>
    </row>
    <row r="937" spans="1:8" ht="18.95" customHeight="1">
      <c r="A937" s="4">
        <v>933</v>
      </c>
      <c r="B937" s="4">
        <v>38884</v>
      </c>
      <c r="C937" s="4">
        <v>1</v>
      </c>
      <c r="D937" s="6">
        <v>0</v>
      </c>
      <c r="E937" s="6">
        <v>179.44</v>
      </c>
      <c r="F937" s="6">
        <v>0.16</v>
      </c>
      <c r="G937" s="6">
        <v>0.18</v>
      </c>
      <c r="H937" s="6">
        <v>70</v>
      </c>
    </row>
    <row r="938" spans="1:8" ht="18.95" customHeight="1">
      <c r="A938" s="4">
        <v>934</v>
      </c>
      <c r="B938" s="4">
        <v>38904</v>
      </c>
      <c r="C938" s="4">
        <v>1</v>
      </c>
      <c r="D938" s="6">
        <v>0</v>
      </c>
      <c r="E938" s="6">
        <v>179.25</v>
      </c>
      <c r="F938" s="6">
        <v>0.13</v>
      </c>
      <c r="G938" s="6">
        <v>0.03</v>
      </c>
      <c r="H938" s="6">
        <v>70</v>
      </c>
    </row>
    <row r="939" spans="1:8" ht="18.95" customHeight="1">
      <c r="A939" s="4">
        <v>935</v>
      </c>
      <c r="B939" s="4">
        <v>38924</v>
      </c>
      <c r="C939" s="4">
        <v>1</v>
      </c>
      <c r="D939" s="6">
        <v>0</v>
      </c>
      <c r="E939" s="6">
        <v>179.13</v>
      </c>
      <c r="F939" s="6">
        <v>0.11</v>
      </c>
      <c r="G939" s="6">
        <v>0.14000000000000001</v>
      </c>
      <c r="H939" s="6">
        <v>65</v>
      </c>
    </row>
    <row r="940" spans="1:8" ht="18.95" customHeight="1">
      <c r="A940" s="4">
        <v>936</v>
      </c>
      <c r="B940" s="4">
        <v>38944</v>
      </c>
      <c r="C940" s="4">
        <v>1</v>
      </c>
      <c r="D940" s="6">
        <v>0</v>
      </c>
      <c r="E940" s="6">
        <v>179</v>
      </c>
      <c r="F940" s="6">
        <v>0.1</v>
      </c>
      <c r="G940" s="6">
        <v>-0.11</v>
      </c>
      <c r="H940" s="6">
        <v>65</v>
      </c>
    </row>
    <row r="941" spans="1:8" ht="18.95" customHeight="1">
      <c r="A941" s="4">
        <v>937</v>
      </c>
      <c r="B941" s="4">
        <v>38964</v>
      </c>
      <c r="C941" s="4">
        <v>1</v>
      </c>
      <c r="D941" s="6">
        <v>0</v>
      </c>
      <c r="E941" s="6">
        <v>178.94</v>
      </c>
      <c r="F941" s="6">
        <v>0.06</v>
      </c>
      <c r="G941" s="6">
        <v>-7.0000000000000007E-2</v>
      </c>
      <c r="H941" s="6">
        <v>60</v>
      </c>
    </row>
    <row r="942" spans="1:8" ht="18.95" customHeight="1">
      <c r="A942" s="4">
        <v>938</v>
      </c>
      <c r="B942" s="4">
        <v>38984</v>
      </c>
      <c r="C942" s="4">
        <v>0</v>
      </c>
      <c r="D942" s="6">
        <v>0</v>
      </c>
      <c r="E942" s="6">
        <v>178.88</v>
      </c>
      <c r="F942" s="6">
        <v>0.05</v>
      </c>
      <c r="G942" s="6">
        <v>0.09</v>
      </c>
      <c r="H942" s="6">
        <v>60</v>
      </c>
    </row>
    <row r="943" spans="1:8" ht="18.95" customHeight="1">
      <c r="A943" s="4">
        <v>939</v>
      </c>
      <c r="B943" s="4">
        <v>39004</v>
      </c>
      <c r="C943" s="4">
        <v>0</v>
      </c>
      <c r="D943" s="6">
        <v>0</v>
      </c>
      <c r="E943" s="6">
        <v>178.81</v>
      </c>
      <c r="F943" s="6">
        <v>0</v>
      </c>
      <c r="G943" s="6">
        <v>0.25</v>
      </c>
      <c r="H943" s="6">
        <v>60</v>
      </c>
    </row>
    <row r="944" spans="1:8" ht="18.95" customHeight="1">
      <c r="A944" s="4">
        <v>940</v>
      </c>
      <c r="B944" s="4">
        <v>39024</v>
      </c>
      <c r="C944" s="4">
        <v>0</v>
      </c>
      <c r="D944" s="6">
        <v>0</v>
      </c>
      <c r="E944" s="6">
        <v>178.81</v>
      </c>
      <c r="F944" s="6">
        <v>-0.03</v>
      </c>
      <c r="G944" s="6">
        <v>7.0000000000000007E-2</v>
      </c>
      <c r="H944" s="6">
        <v>57</v>
      </c>
    </row>
    <row r="945" spans="1:8" ht="18.95" customHeight="1">
      <c r="A945" s="4">
        <v>941</v>
      </c>
      <c r="B945" s="4">
        <v>39044</v>
      </c>
      <c r="C945" s="4">
        <v>0</v>
      </c>
      <c r="D945" s="6">
        <v>0</v>
      </c>
      <c r="E945" s="6">
        <v>178.88</v>
      </c>
      <c r="F945" s="6">
        <v>-0.04</v>
      </c>
      <c r="G945" s="6">
        <v>0.19</v>
      </c>
      <c r="H945" s="6">
        <v>57</v>
      </c>
    </row>
    <row r="946" spans="1:8" ht="18.95" customHeight="1">
      <c r="A946" s="4">
        <v>942</v>
      </c>
      <c r="B946" s="4">
        <v>39064</v>
      </c>
      <c r="C946" s="4">
        <v>0</v>
      </c>
      <c r="D946" s="6">
        <v>0</v>
      </c>
      <c r="E946" s="6">
        <v>178.94</v>
      </c>
      <c r="F946" s="6">
        <v>-0.09</v>
      </c>
      <c r="G946" s="6">
        <v>0.12</v>
      </c>
      <c r="H946" s="6">
        <v>55</v>
      </c>
    </row>
    <row r="947" spans="1:8" ht="18.95" customHeight="1">
      <c r="A947" s="4">
        <v>943</v>
      </c>
      <c r="B947" s="4">
        <v>39084</v>
      </c>
      <c r="C947" s="4">
        <v>1</v>
      </c>
      <c r="D947" s="6">
        <v>0</v>
      </c>
      <c r="E947" s="6">
        <v>179.06</v>
      </c>
      <c r="F947" s="6">
        <v>-0.1</v>
      </c>
      <c r="G947" s="6">
        <v>0.02</v>
      </c>
      <c r="H947" s="6">
        <v>55</v>
      </c>
    </row>
    <row r="948" spans="1:8" ht="18.95" customHeight="1">
      <c r="A948" s="4">
        <v>944</v>
      </c>
      <c r="B948" s="4">
        <v>39104</v>
      </c>
      <c r="C948" s="4">
        <v>1</v>
      </c>
      <c r="D948" s="6">
        <v>0</v>
      </c>
      <c r="E948" s="6">
        <v>179.19</v>
      </c>
      <c r="F948" s="6">
        <v>-0.15</v>
      </c>
      <c r="G948" s="6">
        <v>-0.03</v>
      </c>
      <c r="H948" s="6">
        <v>55</v>
      </c>
    </row>
    <row r="949" spans="1:8" ht="18.95" customHeight="1">
      <c r="A949" s="4">
        <v>945</v>
      </c>
      <c r="B949" s="4">
        <v>39124</v>
      </c>
      <c r="C949" s="4">
        <v>1</v>
      </c>
      <c r="D949" s="6">
        <v>0</v>
      </c>
      <c r="E949" s="6">
        <v>179.31</v>
      </c>
      <c r="F949" s="6">
        <v>-0.17</v>
      </c>
      <c r="G949" s="6">
        <v>7.0000000000000007E-2</v>
      </c>
      <c r="H949" s="6">
        <v>50</v>
      </c>
    </row>
    <row r="950" spans="1:8" ht="18.95" customHeight="1">
      <c r="A950" s="4">
        <v>946</v>
      </c>
      <c r="B950" s="4">
        <v>39144</v>
      </c>
      <c r="C950" s="4">
        <v>1</v>
      </c>
      <c r="D950" s="6">
        <v>0</v>
      </c>
      <c r="E950" s="6">
        <v>179.5</v>
      </c>
      <c r="F950" s="6">
        <v>-0.19</v>
      </c>
      <c r="G950" s="6">
        <v>0.33</v>
      </c>
      <c r="H950" s="6">
        <v>50</v>
      </c>
    </row>
    <row r="951" spans="1:8" ht="18.95" customHeight="1">
      <c r="A951" s="4">
        <v>947</v>
      </c>
      <c r="B951" s="4">
        <v>39164</v>
      </c>
      <c r="C951" s="4">
        <v>1</v>
      </c>
      <c r="D951" s="6">
        <v>600</v>
      </c>
      <c r="E951" s="6">
        <v>179.75</v>
      </c>
      <c r="F951" s="6">
        <v>-0.24</v>
      </c>
      <c r="G951" s="6">
        <v>0.06</v>
      </c>
      <c r="H951" s="6">
        <v>44</v>
      </c>
    </row>
    <row r="952" spans="1:8" ht="18.95" customHeight="1">
      <c r="A952" s="4">
        <v>948</v>
      </c>
      <c r="B952" s="4">
        <v>39184</v>
      </c>
      <c r="C952" s="4">
        <v>1</v>
      </c>
      <c r="D952" s="6">
        <v>600</v>
      </c>
      <c r="E952" s="6">
        <v>-179.94</v>
      </c>
      <c r="F952" s="6">
        <v>-0.25</v>
      </c>
      <c r="G952" s="6">
        <v>0.12</v>
      </c>
      <c r="H952" s="6">
        <v>44</v>
      </c>
    </row>
    <row r="953" spans="1:8" ht="18.95" customHeight="1">
      <c r="A953" s="4">
        <v>949</v>
      </c>
      <c r="B953" s="4">
        <v>39204</v>
      </c>
      <c r="C953" s="4">
        <v>1</v>
      </c>
      <c r="D953" s="6">
        <v>600</v>
      </c>
      <c r="E953" s="6">
        <v>-179.63</v>
      </c>
      <c r="F953" s="6">
        <v>-0.28000000000000003</v>
      </c>
      <c r="G953" s="6">
        <v>0.05</v>
      </c>
      <c r="H953" s="6">
        <v>44</v>
      </c>
    </row>
    <row r="954" spans="1:8" ht="18.95" customHeight="1">
      <c r="A954" s="4">
        <v>950</v>
      </c>
      <c r="B954" s="4">
        <v>39224</v>
      </c>
      <c r="C954" s="4">
        <v>1</v>
      </c>
      <c r="D954" s="6">
        <v>600</v>
      </c>
      <c r="E954" s="6">
        <v>-179.31</v>
      </c>
      <c r="F954" s="6">
        <v>-0.28999999999999998</v>
      </c>
      <c r="G954" s="6">
        <v>0.05</v>
      </c>
      <c r="H954" s="6">
        <v>41</v>
      </c>
    </row>
    <row r="955" spans="1:8" ht="18.95" customHeight="1">
      <c r="A955" s="4">
        <v>951</v>
      </c>
      <c r="B955" s="4">
        <v>39244</v>
      </c>
      <c r="C955" s="4">
        <v>1</v>
      </c>
      <c r="D955" s="6">
        <v>600</v>
      </c>
      <c r="E955" s="6">
        <v>-179</v>
      </c>
      <c r="F955" s="6">
        <v>-0.31</v>
      </c>
      <c r="G955" s="6">
        <v>0.12</v>
      </c>
      <c r="H955" s="6">
        <v>41</v>
      </c>
    </row>
    <row r="956" spans="1:8" ht="18.95" customHeight="1">
      <c r="A956" s="4">
        <v>952</v>
      </c>
      <c r="B956" s="4">
        <v>39264</v>
      </c>
      <c r="C956" s="4">
        <v>1</v>
      </c>
      <c r="D956" s="6">
        <v>0</v>
      </c>
      <c r="E956" s="6">
        <v>-178.63</v>
      </c>
      <c r="F956" s="6">
        <v>-0.34</v>
      </c>
      <c r="G956" s="6">
        <v>0.06</v>
      </c>
      <c r="H956" s="6">
        <v>36</v>
      </c>
    </row>
    <row r="957" spans="1:8" ht="18.95" customHeight="1">
      <c r="A957" s="4">
        <v>953</v>
      </c>
      <c r="B957" s="4">
        <v>39284</v>
      </c>
      <c r="C957" s="4">
        <v>1</v>
      </c>
      <c r="D957" s="6">
        <v>0</v>
      </c>
      <c r="E957" s="6">
        <v>-178.25</v>
      </c>
      <c r="F957" s="6">
        <v>-0.34</v>
      </c>
      <c r="G957" s="6">
        <v>0.16</v>
      </c>
      <c r="H957" s="6">
        <v>36</v>
      </c>
    </row>
    <row r="958" spans="1:8" ht="18.95" customHeight="1">
      <c r="A958" s="4">
        <v>954</v>
      </c>
      <c r="B958" s="4">
        <v>39304</v>
      </c>
      <c r="C958" s="4">
        <v>1</v>
      </c>
      <c r="D958" s="6">
        <v>0</v>
      </c>
      <c r="E958" s="6">
        <v>-177.81</v>
      </c>
      <c r="F958" s="6">
        <v>-0.36</v>
      </c>
      <c r="G958" s="6">
        <v>-0.04</v>
      </c>
      <c r="H958" s="6">
        <v>36</v>
      </c>
    </row>
    <row r="959" spans="1:8" ht="18.95" customHeight="1">
      <c r="A959" s="4">
        <v>955</v>
      </c>
      <c r="B959" s="4">
        <v>39324</v>
      </c>
      <c r="C959" s="4">
        <v>1</v>
      </c>
      <c r="D959" s="6">
        <v>0</v>
      </c>
      <c r="E959" s="6">
        <v>-177.44</v>
      </c>
      <c r="F959" s="6">
        <v>-0.4</v>
      </c>
      <c r="G959" s="6">
        <v>0.04</v>
      </c>
      <c r="H959" s="6">
        <v>33</v>
      </c>
    </row>
    <row r="960" spans="1:8" ht="18.95" customHeight="1">
      <c r="A960" s="4">
        <v>956</v>
      </c>
      <c r="B960" s="4">
        <v>39344</v>
      </c>
      <c r="C960" s="4">
        <v>1</v>
      </c>
      <c r="D960" s="6">
        <v>0</v>
      </c>
      <c r="E960" s="6">
        <v>-176.94</v>
      </c>
      <c r="F960" s="6">
        <v>-0.4</v>
      </c>
      <c r="G960" s="6">
        <v>0.05</v>
      </c>
      <c r="H960" s="6">
        <v>33</v>
      </c>
    </row>
    <row r="961" spans="1:8" ht="18.95" customHeight="1">
      <c r="A961" s="4">
        <v>957</v>
      </c>
      <c r="B961" s="4">
        <v>39364</v>
      </c>
      <c r="C961" s="4">
        <v>1</v>
      </c>
      <c r="D961" s="6">
        <v>0</v>
      </c>
      <c r="E961" s="6">
        <v>-176.5</v>
      </c>
      <c r="F961" s="6">
        <v>-0.41</v>
      </c>
      <c r="G961" s="6">
        <v>-0.02</v>
      </c>
      <c r="H961" s="6">
        <v>30</v>
      </c>
    </row>
    <row r="962" spans="1:8" ht="18.95" customHeight="1">
      <c r="A962" s="4">
        <v>958</v>
      </c>
      <c r="B962" s="4">
        <v>39384</v>
      </c>
      <c r="C962" s="4">
        <v>1</v>
      </c>
      <c r="D962" s="6">
        <v>0</v>
      </c>
      <c r="E962" s="6">
        <v>-176.06</v>
      </c>
      <c r="F962" s="6">
        <v>-0.41</v>
      </c>
      <c r="G962" s="6">
        <v>-0.03</v>
      </c>
      <c r="H962" s="6">
        <v>30</v>
      </c>
    </row>
    <row r="963" spans="1:8" ht="18.95" customHeight="1">
      <c r="A963" s="4">
        <v>959</v>
      </c>
      <c r="B963" s="4">
        <v>39404</v>
      </c>
      <c r="C963" s="4">
        <v>1</v>
      </c>
      <c r="D963" s="6">
        <v>0</v>
      </c>
      <c r="E963" s="6">
        <v>-175.63</v>
      </c>
      <c r="F963" s="6">
        <v>-0.43</v>
      </c>
      <c r="G963" s="6">
        <v>0.03</v>
      </c>
      <c r="H963" s="6">
        <v>30</v>
      </c>
    </row>
    <row r="964" spans="1:8" ht="18.95" customHeight="1">
      <c r="A964" s="4">
        <v>960</v>
      </c>
      <c r="B964" s="4">
        <v>39424</v>
      </c>
      <c r="C964" s="4">
        <v>1</v>
      </c>
      <c r="D964" s="6">
        <v>0</v>
      </c>
      <c r="E964" s="6">
        <v>-175.13</v>
      </c>
      <c r="F964" s="6">
        <v>-0.46</v>
      </c>
      <c r="G964" s="6">
        <v>0.01</v>
      </c>
      <c r="H964" s="6">
        <v>25</v>
      </c>
    </row>
    <row r="965" spans="1:8" ht="18.95" customHeight="1">
      <c r="A965" s="4">
        <v>961</v>
      </c>
      <c r="B965" s="4">
        <v>39444</v>
      </c>
      <c r="C965" s="4">
        <v>1</v>
      </c>
      <c r="D965" s="6">
        <v>0</v>
      </c>
      <c r="E965" s="6">
        <v>-174.56</v>
      </c>
      <c r="F965" s="6">
        <v>-0.47</v>
      </c>
      <c r="G965" s="6">
        <v>-0.12</v>
      </c>
      <c r="H965" s="6">
        <v>25</v>
      </c>
    </row>
    <row r="966" spans="1:8" ht="18.95" customHeight="1">
      <c r="A966" s="4">
        <v>962</v>
      </c>
      <c r="B966" s="4">
        <v>39464</v>
      </c>
      <c r="C966" s="4">
        <v>1</v>
      </c>
      <c r="D966" s="6">
        <v>0</v>
      </c>
      <c r="E966" s="6">
        <v>-124.62</v>
      </c>
      <c r="F966" s="6">
        <v>-0.5</v>
      </c>
      <c r="G966" s="6">
        <v>0.09</v>
      </c>
      <c r="H966" s="6">
        <v>23</v>
      </c>
    </row>
    <row r="967" spans="1:8" ht="18.95" customHeight="1">
      <c r="A967" s="4">
        <v>963</v>
      </c>
      <c r="B967" s="4">
        <v>39484</v>
      </c>
      <c r="C967" s="4">
        <v>1</v>
      </c>
      <c r="D967" s="6">
        <v>0</v>
      </c>
      <c r="E967" s="6">
        <v>-122.19</v>
      </c>
      <c r="F967" s="6">
        <v>-0.52</v>
      </c>
      <c r="G967" s="6">
        <v>0.05</v>
      </c>
      <c r="H967" s="6">
        <v>23</v>
      </c>
    </row>
    <row r="968" spans="1:8" ht="18.95" customHeight="1">
      <c r="A968" s="4">
        <v>964</v>
      </c>
      <c r="B968" s="4">
        <v>39504</v>
      </c>
      <c r="C968" s="4">
        <v>1</v>
      </c>
      <c r="D968" s="6">
        <v>0</v>
      </c>
      <c r="E968" s="6">
        <v>-120</v>
      </c>
      <c r="F968" s="6">
        <v>-0.55000000000000004</v>
      </c>
      <c r="G968" s="6">
        <v>-0.09</v>
      </c>
      <c r="H968" s="6">
        <v>23</v>
      </c>
    </row>
    <row r="969" spans="1:8" ht="18.95" customHeight="1">
      <c r="A969" s="4">
        <v>965</v>
      </c>
      <c r="B969" s="4">
        <v>39524</v>
      </c>
      <c r="C969" s="4">
        <v>1</v>
      </c>
      <c r="D969" s="6">
        <v>0</v>
      </c>
      <c r="E969" s="6">
        <v>-118</v>
      </c>
      <c r="F969" s="6">
        <v>-0.55000000000000004</v>
      </c>
      <c r="G969" s="6">
        <v>0.1</v>
      </c>
      <c r="H969" s="6">
        <v>20</v>
      </c>
    </row>
    <row r="970" spans="1:8" ht="18.95" customHeight="1">
      <c r="A970" s="4">
        <v>966</v>
      </c>
      <c r="B970" s="4">
        <v>39544</v>
      </c>
      <c r="C970" s="4">
        <v>1</v>
      </c>
      <c r="D970" s="6">
        <v>0</v>
      </c>
      <c r="E970" s="6">
        <v>-116.31</v>
      </c>
      <c r="F970" s="6">
        <v>-0.51</v>
      </c>
      <c r="G970" s="6">
        <v>0.13</v>
      </c>
      <c r="H970" s="6">
        <v>20</v>
      </c>
    </row>
    <row r="971" spans="1:8" ht="18.95" customHeight="1">
      <c r="A971" s="4">
        <v>967</v>
      </c>
      <c r="B971" s="4">
        <v>39564</v>
      </c>
      <c r="C971" s="4">
        <v>1</v>
      </c>
      <c r="D971" s="6">
        <v>0</v>
      </c>
      <c r="E971" s="6">
        <v>-114.81</v>
      </c>
      <c r="F971" s="6">
        <v>-0.5</v>
      </c>
      <c r="G971" s="6">
        <v>0.2</v>
      </c>
      <c r="H971" s="6">
        <v>19</v>
      </c>
    </row>
    <row r="972" spans="1:8" ht="18.95" customHeight="1">
      <c r="A972" s="4">
        <v>968</v>
      </c>
      <c r="B972" s="4">
        <v>39584</v>
      </c>
      <c r="C972" s="4">
        <v>1</v>
      </c>
      <c r="D972" s="6">
        <v>0</v>
      </c>
      <c r="E972" s="6">
        <v>-113.5</v>
      </c>
      <c r="F972" s="6">
        <v>-0.53</v>
      </c>
      <c r="G972" s="6">
        <v>0.08</v>
      </c>
      <c r="H972" s="6">
        <v>19</v>
      </c>
    </row>
    <row r="973" spans="1:8" ht="18.95" customHeight="1">
      <c r="A973" s="4">
        <v>969</v>
      </c>
      <c r="B973" s="4">
        <v>39604</v>
      </c>
      <c r="C973" s="4">
        <v>1</v>
      </c>
      <c r="D973" s="6">
        <v>0</v>
      </c>
      <c r="E973" s="6">
        <v>-112.19</v>
      </c>
      <c r="F973" s="6">
        <v>-0.54</v>
      </c>
      <c r="G973" s="6">
        <v>-0.01</v>
      </c>
      <c r="H973" s="6">
        <v>19</v>
      </c>
    </row>
    <row r="974" spans="1:8" ht="18.95" customHeight="1">
      <c r="A974" s="4">
        <v>970</v>
      </c>
      <c r="B974" s="4">
        <v>39624</v>
      </c>
      <c r="C974" s="4">
        <v>1</v>
      </c>
      <c r="D974" s="6">
        <v>0</v>
      </c>
      <c r="E974" s="6">
        <v>-111.06</v>
      </c>
      <c r="F974" s="6">
        <v>-0.54</v>
      </c>
      <c r="G974" s="6">
        <v>-0.11</v>
      </c>
      <c r="H974" s="6">
        <v>18</v>
      </c>
    </row>
    <row r="975" spans="1:8" ht="18.95" customHeight="1">
      <c r="A975" s="4">
        <v>971</v>
      </c>
      <c r="B975" s="4">
        <v>39644</v>
      </c>
      <c r="C975" s="4">
        <v>1</v>
      </c>
      <c r="D975" s="6">
        <v>0</v>
      </c>
      <c r="E975" s="6">
        <v>-110.06</v>
      </c>
      <c r="F975" s="6">
        <v>-0.52</v>
      </c>
      <c r="G975" s="6">
        <v>0.25</v>
      </c>
      <c r="H975" s="6">
        <v>18</v>
      </c>
    </row>
    <row r="976" spans="1:8" ht="18.95" customHeight="1">
      <c r="A976" s="4">
        <v>972</v>
      </c>
      <c r="B976" s="4">
        <v>39664</v>
      </c>
      <c r="C976" s="4">
        <v>1</v>
      </c>
      <c r="D976" s="6">
        <v>0</v>
      </c>
      <c r="E976" s="6">
        <v>-109.06</v>
      </c>
      <c r="F976" s="6">
        <v>-0.55000000000000004</v>
      </c>
      <c r="G976" s="6">
        <v>-0.09</v>
      </c>
      <c r="H976" s="6">
        <v>19</v>
      </c>
    </row>
    <row r="977" spans="1:8" ht="18.95" customHeight="1">
      <c r="A977" s="4">
        <v>973</v>
      </c>
      <c r="B977" s="4">
        <v>39684</v>
      </c>
      <c r="C977" s="4">
        <v>1</v>
      </c>
      <c r="D977" s="6">
        <v>0</v>
      </c>
      <c r="E977" s="6">
        <v>-108.19</v>
      </c>
      <c r="F977" s="6">
        <v>-0.55000000000000004</v>
      </c>
      <c r="G977" s="6">
        <v>0.06</v>
      </c>
      <c r="H977" s="6">
        <v>19</v>
      </c>
    </row>
    <row r="978" spans="1:8" ht="18.95" customHeight="1">
      <c r="A978" s="4">
        <v>974</v>
      </c>
      <c r="B978" s="4">
        <v>39704</v>
      </c>
      <c r="C978" s="4">
        <v>1</v>
      </c>
      <c r="D978" s="6">
        <v>0</v>
      </c>
      <c r="E978" s="6">
        <v>-107.37</v>
      </c>
      <c r="F978" s="6">
        <v>-0.54</v>
      </c>
      <c r="G978" s="6">
        <v>-0.03</v>
      </c>
      <c r="H978" s="6">
        <v>19</v>
      </c>
    </row>
    <row r="979" spans="1:8" ht="18.95" customHeight="1">
      <c r="A979" s="4">
        <v>975</v>
      </c>
      <c r="B979" s="4">
        <v>39724</v>
      </c>
      <c r="C979" s="4">
        <v>1</v>
      </c>
      <c r="D979" s="6">
        <v>0</v>
      </c>
      <c r="E979" s="6">
        <v>-106.62</v>
      </c>
      <c r="F979" s="6">
        <v>-0.55000000000000004</v>
      </c>
      <c r="G979" s="6">
        <v>-0.19</v>
      </c>
      <c r="H979" s="6">
        <v>18</v>
      </c>
    </row>
    <row r="980" spans="1:8" ht="18.95" customHeight="1">
      <c r="A980" s="4">
        <v>976</v>
      </c>
      <c r="B980" s="4">
        <v>39744</v>
      </c>
      <c r="C980" s="4">
        <v>1</v>
      </c>
      <c r="D980" s="6">
        <v>0</v>
      </c>
      <c r="E980" s="6">
        <v>-105.94</v>
      </c>
      <c r="F980" s="6">
        <v>-0.55000000000000004</v>
      </c>
      <c r="G980" s="6">
        <v>0.24</v>
      </c>
      <c r="H980" s="6">
        <v>18</v>
      </c>
    </row>
    <row r="981" spans="1:8" ht="18.95" customHeight="1">
      <c r="A981" s="4">
        <v>977</v>
      </c>
      <c r="B981" s="4">
        <v>39764</v>
      </c>
      <c r="C981" s="4">
        <v>1</v>
      </c>
      <c r="D981" s="6">
        <v>0</v>
      </c>
      <c r="E981" s="6">
        <v>-105.25</v>
      </c>
      <c r="F981" s="6">
        <v>-0.56999999999999995</v>
      </c>
      <c r="G981" s="6">
        <v>0.02</v>
      </c>
      <c r="H981" s="6">
        <v>17</v>
      </c>
    </row>
    <row r="982" spans="1:8" ht="18.95" customHeight="1">
      <c r="A982" s="4">
        <v>978</v>
      </c>
      <c r="B982" s="4">
        <v>39784</v>
      </c>
      <c r="C982" s="4">
        <v>1</v>
      </c>
      <c r="D982" s="6">
        <v>0</v>
      </c>
      <c r="E982" s="6">
        <v>-104.62</v>
      </c>
      <c r="F982" s="6">
        <v>-0.56000000000000005</v>
      </c>
      <c r="G982" s="6">
        <v>-0.03</v>
      </c>
      <c r="H982" s="6">
        <v>17</v>
      </c>
    </row>
    <row r="983" spans="1:8" ht="18.95" customHeight="1">
      <c r="A983" s="4">
        <v>979</v>
      </c>
      <c r="B983" s="4">
        <v>39804</v>
      </c>
      <c r="C983" s="4">
        <v>1</v>
      </c>
      <c r="D983" s="6">
        <v>0</v>
      </c>
      <c r="E983" s="6">
        <v>-104.12</v>
      </c>
      <c r="F983" s="6">
        <v>-0.53</v>
      </c>
      <c r="G983" s="6">
        <v>0.05</v>
      </c>
      <c r="H983" s="6">
        <v>17</v>
      </c>
    </row>
    <row r="984" spans="1:8" ht="18.95" customHeight="1">
      <c r="A984" s="4">
        <v>980</v>
      </c>
      <c r="B984" s="4">
        <v>39824</v>
      </c>
      <c r="C984" s="4">
        <v>1</v>
      </c>
      <c r="D984" s="6">
        <v>0</v>
      </c>
      <c r="E984" s="6">
        <v>-103.62</v>
      </c>
      <c r="F984" s="6">
        <v>-0.51</v>
      </c>
      <c r="G984" s="6">
        <v>0.1</v>
      </c>
      <c r="H984" s="6">
        <v>19</v>
      </c>
    </row>
    <row r="985" spans="1:8" ht="18.95" customHeight="1">
      <c r="A985" s="4">
        <v>981</v>
      </c>
      <c r="B985" s="4">
        <v>39844</v>
      </c>
      <c r="C985" s="4">
        <v>1</v>
      </c>
      <c r="D985" s="6">
        <v>0</v>
      </c>
      <c r="E985" s="6">
        <v>-103.19</v>
      </c>
      <c r="F985" s="6">
        <v>-0.51</v>
      </c>
      <c r="G985" s="6">
        <v>0.14000000000000001</v>
      </c>
      <c r="H985" s="6">
        <v>19</v>
      </c>
    </row>
    <row r="986" spans="1:8" ht="18.95" customHeight="1">
      <c r="A986" s="4">
        <v>982</v>
      </c>
      <c r="B986" s="4">
        <v>39864</v>
      </c>
      <c r="C986" s="4">
        <v>1</v>
      </c>
      <c r="D986" s="6">
        <v>0</v>
      </c>
      <c r="E986" s="6">
        <v>-102.81</v>
      </c>
      <c r="F986" s="6">
        <v>-0.5</v>
      </c>
      <c r="G986" s="6">
        <v>0</v>
      </c>
      <c r="H986" s="6">
        <v>19</v>
      </c>
    </row>
    <row r="987" spans="1:8" ht="18.95" customHeight="1">
      <c r="A987" s="4">
        <v>983</v>
      </c>
      <c r="B987" s="4">
        <v>39884</v>
      </c>
      <c r="C987" s="4">
        <v>1</v>
      </c>
      <c r="D987" s="6">
        <v>0</v>
      </c>
      <c r="E987" s="6">
        <v>-102.44</v>
      </c>
      <c r="F987" s="6">
        <v>-0.5</v>
      </c>
      <c r="G987" s="6">
        <v>0.01</v>
      </c>
      <c r="H987" s="6">
        <v>19</v>
      </c>
    </row>
    <row r="988" spans="1:8" ht="18.95" customHeight="1">
      <c r="A988" s="4">
        <v>984</v>
      </c>
      <c r="B988" s="4">
        <v>39904</v>
      </c>
      <c r="C988" s="4">
        <v>1</v>
      </c>
      <c r="D988" s="6">
        <v>0</v>
      </c>
      <c r="E988" s="6">
        <v>-102.06</v>
      </c>
      <c r="F988" s="6">
        <v>-0.46</v>
      </c>
      <c r="G988" s="6">
        <v>-0.13</v>
      </c>
      <c r="H988" s="6">
        <v>19</v>
      </c>
    </row>
    <row r="989" spans="1:8" ht="18.95" customHeight="1">
      <c r="A989" s="4">
        <v>985</v>
      </c>
      <c r="B989" s="4">
        <v>39924</v>
      </c>
      <c r="C989" s="4">
        <v>1</v>
      </c>
      <c r="D989" s="6">
        <v>0</v>
      </c>
      <c r="E989" s="6">
        <v>-101.75</v>
      </c>
      <c r="F989" s="6">
        <v>-0.47</v>
      </c>
      <c r="G989" s="6">
        <v>-0.12</v>
      </c>
      <c r="H989" s="6">
        <v>21</v>
      </c>
    </row>
    <row r="990" spans="1:8" ht="18.95" customHeight="1">
      <c r="A990" s="4">
        <v>986</v>
      </c>
      <c r="B990" s="4">
        <v>39944</v>
      </c>
      <c r="C990" s="4">
        <v>1</v>
      </c>
      <c r="D990" s="6">
        <v>0</v>
      </c>
      <c r="E990" s="6">
        <v>-101.44</v>
      </c>
      <c r="F990" s="6">
        <v>-0.46</v>
      </c>
      <c r="G990" s="6">
        <v>0.01</v>
      </c>
      <c r="H990" s="6">
        <v>21</v>
      </c>
    </row>
    <row r="991" spans="1:8" ht="18.95" customHeight="1">
      <c r="A991" s="4">
        <v>987</v>
      </c>
      <c r="B991" s="4">
        <v>39964</v>
      </c>
      <c r="C991" s="4">
        <v>1</v>
      </c>
      <c r="D991" s="6">
        <v>0</v>
      </c>
      <c r="E991" s="6">
        <v>-101.19</v>
      </c>
      <c r="F991" s="6">
        <v>-0.47</v>
      </c>
      <c r="G991" s="6">
        <v>-7.0000000000000007E-2</v>
      </c>
      <c r="H991" s="6">
        <v>22</v>
      </c>
    </row>
    <row r="992" spans="1:8" ht="18.95" customHeight="1">
      <c r="A992" s="4">
        <v>988</v>
      </c>
      <c r="B992" s="4">
        <v>39984</v>
      </c>
      <c r="C992" s="4">
        <v>1</v>
      </c>
      <c r="D992" s="6">
        <v>0</v>
      </c>
      <c r="E992" s="6">
        <v>-100.87</v>
      </c>
      <c r="F992" s="6">
        <v>-0.43</v>
      </c>
      <c r="G992" s="6">
        <v>0.01</v>
      </c>
      <c r="H992" s="6">
        <v>22</v>
      </c>
    </row>
    <row r="993" spans="1:8" ht="18.95" customHeight="1">
      <c r="A993" s="4">
        <v>989</v>
      </c>
      <c r="B993" s="4">
        <v>40004</v>
      </c>
      <c r="C993" s="4">
        <v>1</v>
      </c>
      <c r="D993" s="6">
        <v>0</v>
      </c>
      <c r="E993" s="6">
        <v>-100.69</v>
      </c>
      <c r="F993" s="6">
        <v>-0.42</v>
      </c>
      <c r="G993" s="6">
        <v>-0.01</v>
      </c>
      <c r="H993" s="6">
        <v>22</v>
      </c>
    </row>
    <row r="994" spans="1:8" ht="18.95" customHeight="1">
      <c r="A994" s="4">
        <v>990</v>
      </c>
      <c r="B994" s="4">
        <v>40024</v>
      </c>
      <c r="C994" s="4">
        <v>1</v>
      </c>
      <c r="D994" s="6">
        <v>0</v>
      </c>
      <c r="E994" s="6">
        <v>-100.44</v>
      </c>
      <c r="F994" s="6">
        <v>-0.41</v>
      </c>
      <c r="G994" s="6">
        <v>0.11</v>
      </c>
      <c r="H994" s="6">
        <v>22</v>
      </c>
    </row>
    <row r="995" spans="1:8" ht="18.95" customHeight="1">
      <c r="A995" s="4">
        <v>991</v>
      </c>
      <c r="B995" s="4">
        <v>40044</v>
      </c>
      <c r="C995" s="4">
        <v>1</v>
      </c>
      <c r="D995" s="6">
        <v>0</v>
      </c>
      <c r="E995" s="6">
        <v>-100.19</v>
      </c>
      <c r="F995" s="6">
        <v>-0.41</v>
      </c>
      <c r="G995" s="6">
        <v>0.02</v>
      </c>
      <c r="H995" s="6">
        <v>22</v>
      </c>
    </row>
    <row r="996" spans="1:8" ht="18.95" customHeight="1">
      <c r="A996" s="4">
        <v>992</v>
      </c>
      <c r="B996" s="4">
        <v>40065</v>
      </c>
      <c r="C996" s="4">
        <v>1</v>
      </c>
      <c r="D996" s="6">
        <v>0</v>
      </c>
      <c r="E996" s="6">
        <v>-100</v>
      </c>
      <c r="F996" s="6">
        <v>-0.38</v>
      </c>
      <c r="G996" s="6">
        <v>0.09</v>
      </c>
      <c r="H996" s="6">
        <v>25</v>
      </c>
    </row>
    <row r="997" spans="1:8" ht="18.95" customHeight="1">
      <c r="A997" s="4">
        <v>993</v>
      </c>
      <c r="B997" s="4">
        <v>40085</v>
      </c>
      <c r="C997" s="4">
        <v>1</v>
      </c>
      <c r="D997" s="6">
        <v>0</v>
      </c>
      <c r="E997" s="6">
        <v>-99.81</v>
      </c>
      <c r="F997" s="6">
        <v>-0.38</v>
      </c>
      <c r="G997" s="6">
        <v>0.06</v>
      </c>
      <c r="H997" s="6">
        <v>25</v>
      </c>
    </row>
    <row r="998" spans="1:8" ht="18.95" customHeight="1">
      <c r="A998" s="4">
        <v>994</v>
      </c>
      <c r="B998" s="4">
        <v>40105</v>
      </c>
      <c r="C998" s="4">
        <v>1</v>
      </c>
      <c r="D998" s="6">
        <v>0</v>
      </c>
      <c r="E998" s="6">
        <v>-99.69</v>
      </c>
      <c r="F998" s="6">
        <v>-0.37</v>
      </c>
      <c r="G998" s="6">
        <v>0.04</v>
      </c>
      <c r="H998" s="6">
        <v>25</v>
      </c>
    </row>
    <row r="999" spans="1:8" ht="18.95" customHeight="1">
      <c r="A999" s="4">
        <v>995</v>
      </c>
      <c r="B999" s="4">
        <v>40125</v>
      </c>
      <c r="C999" s="4">
        <v>1</v>
      </c>
      <c r="D999" s="6">
        <v>0</v>
      </c>
      <c r="E999" s="6">
        <v>-99.5</v>
      </c>
      <c r="F999" s="6">
        <v>-0.37</v>
      </c>
      <c r="G999" s="6">
        <v>0.02</v>
      </c>
      <c r="H999" s="6">
        <v>30</v>
      </c>
    </row>
    <row r="1000" spans="1:8" ht="18.95" customHeight="1">
      <c r="A1000" s="4">
        <v>996</v>
      </c>
      <c r="B1000" s="4">
        <v>40145</v>
      </c>
      <c r="C1000" s="4">
        <v>1</v>
      </c>
      <c r="D1000" s="6">
        <v>0</v>
      </c>
      <c r="E1000" s="6">
        <v>-99.37</v>
      </c>
      <c r="F1000" s="6">
        <v>-0.36</v>
      </c>
      <c r="G1000" s="6">
        <v>-0.05</v>
      </c>
      <c r="H1000" s="6">
        <v>30</v>
      </c>
    </row>
    <row r="1001" spans="1:8" ht="18.95" customHeight="1">
      <c r="A1001" s="4">
        <v>997</v>
      </c>
      <c r="B1001" s="4">
        <v>40165</v>
      </c>
      <c r="C1001" s="4">
        <v>1</v>
      </c>
      <c r="D1001" s="6">
        <v>0</v>
      </c>
      <c r="E1001" s="6">
        <v>-99.25</v>
      </c>
      <c r="F1001" s="6">
        <v>-0.33</v>
      </c>
      <c r="G1001" s="6">
        <v>0.01</v>
      </c>
      <c r="H1001" s="6">
        <v>33</v>
      </c>
    </row>
    <row r="1002" spans="1:8" ht="18.95" customHeight="1">
      <c r="A1002" s="4">
        <v>998</v>
      </c>
      <c r="B1002" s="4">
        <v>40185</v>
      </c>
      <c r="C1002" s="4">
        <v>1</v>
      </c>
      <c r="D1002" s="6">
        <v>0</v>
      </c>
      <c r="E1002" s="6">
        <v>-99.12</v>
      </c>
      <c r="F1002" s="6">
        <v>-0.3</v>
      </c>
      <c r="G1002" s="6">
        <v>0.1</v>
      </c>
      <c r="H1002" s="6">
        <v>33</v>
      </c>
    </row>
    <row r="1003" spans="1:8" ht="18.95" customHeight="1">
      <c r="A1003" s="4">
        <v>999</v>
      </c>
      <c r="B1003" s="4">
        <v>40205</v>
      </c>
      <c r="C1003" s="4">
        <v>1</v>
      </c>
      <c r="D1003" s="6">
        <v>0</v>
      </c>
      <c r="E1003" s="6">
        <v>-99.06</v>
      </c>
      <c r="F1003" s="6">
        <v>-0.28999999999999998</v>
      </c>
      <c r="G1003" s="6">
        <v>-0.05</v>
      </c>
      <c r="H1003" s="6">
        <v>33</v>
      </c>
    </row>
    <row r="1004" spans="1:8" ht="18.95" customHeight="1">
      <c r="A1004" s="4">
        <v>1000</v>
      </c>
      <c r="B1004" s="4">
        <v>40225</v>
      </c>
      <c r="C1004" s="4">
        <v>1</v>
      </c>
      <c r="D1004" s="6">
        <v>0</v>
      </c>
      <c r="E1004" s="6">
        <v>-99.06</v>
      </c>
      <c r="F1004" s="6">
        <v>-0.28000000000000003</v>
      </c>
      <c r="G1004" s="6">
        <v>0</v>
      </c>
      <c r="H1004" s="6">
        <v>37</v>
      </c>
    </row>
    <row r="1005" spans="1:8" ht="18.95" customHeight="1">
      <c r="A1005" s="4">
        <v>1001</v>
      </c>
      <c r="B1005" s="4">
        <v>40245</v>
      </c>
      <c r="C1005" s="4">
        <v>1</v>
      </c>
      <c r="D1005" s="6">
        <v>0</v>
      </c>
      <c r="E1005" s="6">
        <v>-99</v>
      </c>
      <c r="F1005" s="6">
        <v>-0.25</v>
      </c>
      <c r="G1005" s="6">
        <v>-0.03</v>
      </c>
      <c r="H1005" s="6">
        <v>37</v>
      </c>
    </row>
    <row r="1006" spans="1:8" ht="18.95" customHeight="1">
      <c r="A1006" s="4">
        <v>1002</v>
      </c>
      <c r="B1006" s="4">
        <v>40265</v>
      </c>
      <c r="C1006" s="4">
        <v>1</v>
      </c>
      <c r="D1006" s="6">
        <v>0</v>
      </c>
      <c r="E1006" s="6">
        <v>-98.94</v>
      </c>
      <c r="F1006" s="6">
        <v>-0.23</v>
      </c>
      <c r="G1006" s="6">
        <v>0.02</v>
      </c>
      <c r="H1006" s="6">
        <v>40</v>
      </c>
    </row>
    <row r="1007" spans="1:8" ht="18.95" customHeight="1">
      <c r="A1007" s="4">
        <v>1003</v>
      </c>
      <c r="B1007" s="4">
        <v>40285</v>
      </c>
      <c r="C1007" s="4">
        <v>1</v>
      </c>
      <c r="D1007" s="6">
        <v>0</v>
      </c>
      <c r="E1007" s="6">
        <v>-98.94</v>
      </c>
      <c r="F1007" s="6">
        <v>-0.2</v>
      </c>
      <c r="G1007" s="6">
        <v>-0.01</v>
      </c>
      <c r="H1007" s="6">
        <v>40</v>
      </c>
    </row>
    <row r="1008" spans="1:8" ht="18.95" customHeight="1">
      <c r="A1008" s="4">
        <v>1004</v>
      </c>
      <c r="B1008" s="4">
        <v>40305</v>
      </c>
      <c r="C1008" s="4">
        <v>1</v>
      </c>
      <c r="D1008" s="6">
        <v>0</v>
      </c>
      <c r="E1008" s="6">
        <v>-98.87</v>
      </c>
      <c r="F1008" s="6">
        <v>-0.19</v>
      </c>
      <c r="G1008" s="6">
        <v>0.09</v>
      </c>
      <c r="H1008" s="6">
        <v>40</v>
      </c>
    </row>
    <row r="1009" spans="1:8" ht="18.95" customHeight="1">
      <c r="A1009" s="4">
        <v>1005</v>
      </c>
      <c r="B1009" s="4">
        <v>40325</v>
      </c>
      <c r="C1009" s="4">
        <v>1</v>
      </c>
      <c r="D1009" s="6">
        <v>0</v>
      </c>
      <c r="E1009" s="6">
        <v>-98.87</v>
      </c>
      <c r="F1009" s="6">
        <v>-0.17</v>
      </c>
      <c r="G1009" s="6">
        <v>7.0000000000000007E-2</v>
      </c>
      <c r="H1009" s="6">
        <v>43</v>
      </c>
    </row>
    <row r="1010" spans="1:8" ht="18.95" customHeight="1">
      <c r="A1010" s="4">
        <v>1006</v>
      </c>
      <c r="B1010" s="4">
        <v>40345</v>
      </c>
      <c r="C1010" s="4">
        <v>1</v>
      </c>
      <c r="D1010" s="6">
        <v>0</v>
      </c>
      <c r="E1010" s="6">
        <v>-98.81</v>
      </c>
      <c r="F1010" s="6">
        <v>-0.15</v>
      </c>
      <c r="G1010" s="6">
        <v>0.05</v>
      </c>
      <c r="H1010" s="6">
        <v>43</v>
      </c>
    </row>
    <row r="1011" spans="1:8" ht="18.95" customHeight="1">
      <c r="A1011" s="4">
        <v>1007</v>
      </c>
      <c r="B1011" s="4">
        <v>40366</v>
      </c>
      <c r="C1011" s="4">
        <v>1</v>
      </c>
      <c r="D1011" s="6">
        <v>0</v>
      </c>
      <c r="E1011" s="6">
        <v>-98.81</v>
      </c>
      <c r="F1011" s="6">
        <v>-0.12</v>
      </c>
      <c r="G1011" s="6">
        <v>0</v>
      </c>
      <c r="H1011" s="6">
        <v>47</v>
      </c>
    </row>
    <row r="1012" spans="1:8" ht="18.95" customHeight="1">
      <c r="A1012" s="4">
        <v>1008</v>
      </c>
      <c r="B1012" s="4">
        <v>40386</v>
      </c>
      <c r="C1012" s="4">
        <v>1</v>
      </c>
      <c r="D1012" s="6">
        <v>0</v>
      </c>
      <c r="E1012" s="6">
        <v>-98.81</v>
      </c>
      <c r="F1012" s="6">
        <v>-0.11</v>
      </c>
      <c r="G1012" s="6">
        <v>0</v>
      </c>
      <c r="H1012" s="6">
        <v>47</v>
      </c>
    </row>
    <row r="1013" spans="1:8" ht="18.95" customHeight="1">
      <c r="A1013" s="4">
        <v>1009</v>
      </c>
      <c r="B1013" s="4">
        <v>40406</v>
      </c>
      <c r="C1013" s="4">
        <v>1</v>
      </c>
      <c r="D1013" s="6">
        <v>0</v>
      </c>
      <c r="E1013" s="6">
        <v>-98.81</v>
      </c>
      <c r="F1013" s="6">
        <v>-0.08</v>
      </c>
      <c r="G1013" s="6">
        <v>0.16</v>
      </c>
      <c r="H1013" s="6">
        <v>47</v>
      </c>
    </row>
    <row r="1014" spans="1:8" ht="18.95" customHeight="1">
      <c r="A1014" s="4">
        <v>1010</v>
      </c>
      <c r="B1014" s="4">
        <v>40426</v>
      </c>
      <c r="C1014" s="4">
        <v>1</v>
      </c>
      <c r="D1014" s="6">
        <v>0</v>
      </c>
      <c r="E1014" s="6">
        <v>-98.81</v>
      </c>
      <c r="F1014" s="6">
        <v>-0.06</v>
      </c>
      <c r="G1014" s="6">
        <v>0.05</v>
      </c>
      <c r="H1014" s="6">
        <v>52</v>
      </c>
    </row>
    <row r="1015" spans="1:8" ht="18.95" customHeight="1">
      <c r="A1015" s="4">
        <v>1011</v>
      </c>
      <c r="B1015" s="4">
        <v>40446</v>
      </c>
      <c r="C1015" s="4">
        <v>1</v>
      </c>
      <c r="D1015" s="6">
        <v>0</v>
      </c>
      <c r="E1015" s="6">
        <v>-98.81</v>
      </c>
      <c r="F1015" s="6">
        <v>-0.03</v>
      </c>
      <c r="G1015" s="6">
        <v>0.01</v>
      </c>
      <c r="H1015" s="6">
        <v>52</v>
      </c>
    </row>
    <row r="1016" spans="1:8" ht="18.95" customHeight="1">
      <c r="A1016" s="4">
        <v>1012</v>
      </c>
      <c r="B1016" s="4">
        <v>40466</v>
      </c>
      <c r="C1016" s="4">
        <v>1</v>
      </c>
      <c r="D1016" s="6">
        <v>0</v>
      </c>
      <c r="E1016" s="6">
        <v>-98.81</v>
      </c>
      <c r="F1016" s="6">
        <v>-0.01</v>
      </c>
      <c r="G1016" s="6">
        <v>7.0000000000000007E-2</v>
      </c>
      <c r="H1016" s="6">
        <v>56</v>
      </c>
    </row>
    <row r="1017" spans="1:8" ht="18.95" customHeight="1">
      <c r="A1017" s="4">
        <v>1013</v>
      </c>
      <c r="B1017" s="4">
        <v>40486</v>
      </c>
      <c r="C1017" s="4">
        <v>1</v>
      </c>
      <c r="D1017" s="6">
        <v>0</v>
      </c>
      <c r="E1017" s="6">
        <v>-98.81</v>
      </c>
      <c r="F1017" s="6">
        <v>0.02</v>
      </c>
      <c r="G1017" s="6">
        <v>0.06</v>
      </c>
      <c r="H1017" s="6">
        <v>56</v>
      </c>
    </row>
    <row r="1018" spans="1:8" ht="18.95" customHeight="1">
      <c r="A1018" s="4">
        <v>1014</v>
      </c>
      <c r="B1018" s="4">
        <v>40506</v>
      </c>
      <c r="C1018" s="4">
        <v>1</v>
      </c>
      <c r="D1018" s="6">
        <v>0</v>
      </c>
      <c r="E1018" s="6">
        <v>-98.87</v>
      </c>
      <c r="F1018" s="6">
        <v>0.04</v>
      </c>
      <c r="G1018" s="6">
        <v>0.06</v>
      </c>
      <c r="H1018" s="6">
        <v>56</v>
      </c>
    </row>
    <row r="1019" spans="1:8" ht="18.95" customHeight="1">
      <c r="A1019" s="4">
        <v>1015</v>
      </c>
      <c r="B1019" s="4">
        <v>40526</v>
      </c>
      <c r="C1019" s="4">
        <v>1</v>
      </c>
      <c r="D1019" s="6">
        <v>0</v>
      </c>
      <c r="E1019" s="6">
        <v>-98.87</v>
      </c>
      <c r="F1019" s="6">
        <v>7.0000000000000007E-2</v>
      </c>
      <c r="G1019" s="6">
        <v>0.13</v>
      </c>
      <c r="H1019" s="6">
        <v>62</v>
      </c>
    </row>
    <row r="1020" spans="1:8" ht="18.95" customHeight="1">
      <c r="A1020" s="4">
        <v>1016</v>
      </c>
      <c r="B1020" s="4">
        <v>40546</v>
      </c>
      <c r="C1020" s="4">
        <v>1</v>
      </c>
      <c r="D1020" s="6">
        <v>0</v>
      </c>
      <c r="E1020" s="6">
        <v>-98.94</v>
      </c>
      <c r="F1020" s="6">
        <v>0.09</v>
      </c>
      <c r="G1020" s="6">
        <v>-0.01</v>
      </c>
      <c r="H1020" s="6">
        <v>62</v>
      </c>
    </row>
    <row r="1021" spans="1:8" ht="18.95" customHeight="1">
      <c r="A1021" s="4">
        <v>1017</v>
      </c>
      <c r="B1021" s="4">
        <v>40566</v>
      </c>
      <c r="C1021" s="4">
        <v>1</v>
      </c>
      <c r="D1021" s="6">
        <v>0</v>
      </c>
      <c r="E1021" s="6">
        <v>-98.94</v>
      </c>
      <c r="F1021" s="6">
        <v>0.12</v>
      </c>
      <c r="G1021" s="6">
        <v>0.19</v>
      </c>
      <c r="H1021" s="6">
        <v>62</v>
      </c>
    </row>
    <row r="1022" spans="1:8" ht="18.95" customHeight="1">
      <c r="A1022" s="4">
        <v>1018</v>
      </c>
      <c r="B1022" s="4">
        <v>40586</v>
      </c>
      <c r="C1022" s="4">
        <v>1</v>
      </c>
      <c r="D1022" s="6">
        <v>0</v>
      </c>
      <c r="E1022" s="6">
        <v>-99</v>
      </c>
      <c r="F1022" s="6">
        <v>0.14000000000000001</v>
      </c>
      <c r="G1022" s="6">
        <v>0.14000000000000001</v>
      </c>
      <c r="H1022" s="6">
        <v>62</v>
      </c>
    </row>
    <row r="1023" spans="1:8" ht="18.95" customHeight="1">
      <c r="A1023" s="4">
        <v>1019</v>
      </c>
      <c r="B1023" s="4">
        <v>40606</v>
      </c>
      <c r="C1023" s="4">
        <v>1</v>
      </c>
      <c r="D1023" s="6">
        <v>0</v>
      </c>
      <c r="E1023" s="6">
        <v>-99.06</v>
      </c>
      <c r="F1023" s="6">
        <v>0.16</v>
      </c>
      <c r="G1023" s="6">
        <v>0.08</v>
      </c>
      <c r="H1023" s="6">
        <v>62</v>
      </c>
    </row>
    <row r="1024" spans="1:8" ht="18.95" customHeight="1">
      <c r="A1024" s="4">
        <v>1020</v>
      </c>
      <c r="B1024" s="4">
        <v>40626</v>
      </c>
      <c r="C1024" s="4">
        <v>1</v>
      </c>
      <c r="D1024" s="6">
        <v>0</v>
      </c>
      <c r="E1024" s="6">
        <v>-99.12</v>
      </c>
      <c r="F1024" s="6">
        <v>0.18</v>
      </c>
      <c r="G1024" s="6">
        <v>-0.06</v>
      </c>
      <c r="H1024" s="6">
        <v>68</v>
      </c>
    </row>
    <row r="1025" spans="1:8" ht="18.95" customHeight="1">
      <c r="A1025" s="4">
        <v>1021</v>
      </c>
      <c r="B1025" s="4">
        <v>40646</v>
      </c>
      <c r="C1025" s="4">
        <v>1</v>
      </c>
      <c r="D1025" s="6">
        <v>0</v>
      </c>
      <c r="E1025" s="6">
        <v>-99.19</v>
      </c>
      <c r="F1025" s="6">
        <v>0.2</v>
      </c>
      <c r="G1025" s="6">
        <v>0.16</v>
      </c>
      <c r="H1025" s="6">
        <v>68</v>
      </c>
    </row>
    <row r="1026" spans="1:8" ht="18.95" customHeight="1">
      <c r="A1026" s="4">
        <v>1022</v>
      </c>
      <c r="B1026" s="4">
        <v>40666</v>
      </c>
      <c r="C1026" s="4">
        <v>1</v>
      </c>
      <c r="D1026" s="6">
        <v>0</v>
      </c>
      <c r="E1026" s="6">
        <v>-99.25</v>
      </c>
      <c r="F1026" s="6">
        <v>0.24</v>
      </c>
      <c r="G1026" s="6">
        <v>0</v>
      </c>
      <c r="H1026" s="6">
        <v>68</v>
      </c>
    </row>
    <row r="1027" spans="1:8" ht="18.95" customHeight="1">
      <c r="A1027" s="4">
        <v>1023</v>
      </c>
      <c r="B1027" s="4">
        <v>40686</v>
      </c>
      <c r="C1027" s="4">
        <v>1</v>
      </c>
      <c r="D1027" s="6">
        <v>0</v>
      </c>
      <c r="E1027" s="6">
        <v>-99.37</v>
      </c>
      <c r="F1027" s="6">
        <v>0.26</v>
      </c>
      <c r="G1027" s="6">
        <v>0.06</v>
      </c>
      <c r="H1027" s="6">
        <v>68</v>
      </c>
    </row>
    <row r="1028" spans="1:8" ht="18.95" customHeight="1">
      <c r="A1028" s="4">
        <v>1024</v>
      </c>
      <c r="B1028" s="4">
        <v>40706</v>
      </c>
      <c r="C1028" s="4">
        <v>1</v>
      </c>
      <c r="D1028" s="6">
        <v>0</v>
      </c>
      <c r="E1028" s="6">
        <v>-99.5</v>
      </c>
      <c r="F1028" s="6">
        <v>0.28000000000000003</v>
      </c>
      <c r="G1028" s="6">
        <v>0.02</v>
      </c>
      <c r="H1028" s="6">
        <v>68</v>
      </c>
    </row>
    <row r="1029" spans="1:8" ht="18.95" customHeight="1">
      <c r="A1029" s="4">
        <v>1025</v>
      </c>
      <c r="B1029" s="4">
        <v>40726</v>
      </c>
      <c r="C1029" s="4">
        <v>1</v>
      </c>
      <c r="D1029" s="6">
        <v>0</v>
      </c>
      <c r="E1029" s="6">
        <v>-99.62</v>
      </c>
      <c r="F1029" s="6">
        <v>0.3</v>
      </c>
      <c r="G1029" s="6">
        <v>0.03</v>
      </c>
      <c r="H1029" s="6">
        <v>73</v>
      </c>
    </row>
    <row r="1030" spans="1:8" ht="18.95" customHeight="1">
      <c r="A1030" s="4">
        <v>1026</v>
      </c>
      <c r="B1030" s="4">
        <v>40747</v>
      </c>
      <c r="C1030" s="4">
        <v>1</v>
      </c>
      <c r="D1030" s="6">
        <v>0</v>
      </c>
      <c r="E1030" s="6">
        <v>-99.75</v>
      </c>
      <c r="F1030" s="6">
        <v>0.34</v>
      </c>
      <c r="G1030" s="6">
        <v>0.2</v>
      </c>
      <c r="H1030" s="6">
        <v>73</v>
      </c>
    </row>
    <row r="1031" spans="1:8" ht="18.95" customHeight="1">
      <c r="A1031" s="4">
        <v>1027</v>
      </c>
      <c r="B1031" s="4">
        <v>40767</v>
      </c>
      <c r="C1031" s="4">
        <v>1</v>
      </c>
      <c r="D1031" s="6">
        <v>0</v>
      </c>
      <c r="E1031" s="6">
        <v>-99.94</v>
      </c>
      <c r="F1031" s="6">
        <v>0.36</v>
      </c>
      <c r="G1031" s="6">
        <v>-0.08</v>
      </c>
      <c r="H1031" s="6">
        <v>73</v>
      </c>
    </row>
    <row r="1032" spans="1:8" ht="18.95" customHeight="1">
      <c r="A1032" s="4">
        <v>1028</v>
      </c>
      <c r="B1032" s="4">
        <v>40787</v>
      </c>
      <c r="C1032" s="4">
        <v>1</v>
      </c>
      <c r="D1032" s="6">
        <v>0</v>
      </c>
      <c r="E1032" s="6">
        <v>-100.12</v>
      </c>
      <c r="F1032" s="6">
        <v>0.37</v>
      </c>
      <c r="G1032" s="6">
        <v>0.08</v>
      </c>
      <c r="H1032" s="6">
        <v>73</v>
      </c>
    </row>
    <row r="1033" spans="1:8" ht="18.95" customHeight="1">
      <c r="A1033" s="4">
        <v>1029</v>
      </c>
      <c r="B1033" s="4">
        <v>40807</v>
      </c>
      <c r="C1033" s="4">
        <v>1</v>
      </c>
      <c r="D1033" s="6">
        <v>0</v>
      </c>
      <c r="E1033" s="6">
        <v>-100.31</v>
      </c>
      <c r="F1033" s="6">
        <v>0.41</v>
      </c>
      <c r="G1033" s="6">
        <v>-0.04</v>
      </c>
      <c r="H1033" s="6">
        <v>73</v>
      </c>
    </row>
    <row r="1034" spans="1:8" ht="18.95" customHeight="1">
      <c r="A1034" s="4">
        <v>1030</v>
      </c>
      <c r="B1034" s="4">
        <v>40827</v>
      </c>
      <c r="C1034" s="4">
        <v>1</v>
      </c>
      <c r="D1034" s="6">
        <v>0</v>
      </c>
      <c r="E1034" s="6">
        <v>-100.5</v>
      </c>
      <c r="F1034" s="6">
        <v>0.45</v>
      </c>
      <c r="G1034" s="6">
        <v>-0.11</v>
      </c>
      <c r="H1034" s="6">
        <v>77</v>
      </c>
    </row>
    <row r="1035" spans="1:8" ht="18.95" customHeight="1">
      <c r="A1035" s="4">
        <v>1031</v>
      </c>
      <c r="B1035" s="4">
        <v>40847</v>
      </c>
      <c r="C1035" s="4">
        <v>1</v>
      </c>
      <c r="D1035" s="6">
        <v>0</v>
      </c>
      <c r="E1035" s="6">
        <v>-100.75</v>
      </c>
      <c r="F1035" s="6">
        <v>0.46</v>
      </c>
      <c r="G1035" s="6">
        <v>0.05</v>
      </c>
      <c r="H1035" s="6">
        <v>77</v>
      </c>
    </row>
    <row r="1036" spans="1:8" ht="18.95" customHeight="1">
      <c r="A1036" s="4">
        <v>1032</v>
      </c>
      <c r="B1036" s="4">
        <v>40867</v>
      </c>
      <c r="C1036" s="4">
        <v>1</v>
      </c>
      <c r="D1036" s="6">
        <v>0</v>
      </c>
      <c r="E1036" s="6">
        <v>-101</v>
      </c>
      <c r="F1036" s="6">
        <v>0.48</v>
      </c>
      <c r="G1036" s="6">
        <v>0.17</v>
      </c>
      <c r="H1036" s="6">
        <v>77</v>
      </c>
    </row>
    <row r="1037" spans="1:8" ht="18.95" customHeight="1">
      <c r="A1037" s="4">
        <v>1033</v>
      </c>
      <c r="B1037" s="4">
        <v>40887</v>
      </c>
      <c r="C1037" s="4">
        <v>1</v>
      </c>
      <c r="D1037" s="6">
        <v>0</v>
      </c>
      <c r="E1037" s="6">
        <v>-101.25</v>
      </c>
      <c r="F1037" s="6">
        <v>0.48</v>
      </c>
      <c r="G1037" s="6">
        <v>0.1</v>
      </c>
      <c r="H1037" s="6">
        <v>77</v>
      </c>
    </row>
    <row r="1038" spans="1:8" ht="18.95" customHeight="1">
      <c r="A1038" s="4">
        <v>1034</v>
      </c>
      <c r="B1038" s="4">
        <v>40907</v>
      </c>
      <c r="C1038" s="4">
        <v>1</v>
      </c>
      <c r="D1038" s="6">
        <v>0</v>
      </c>
      <c r="E1038" s="6">
        <v>-101.56</v>
      </c>
      <c r="F1038" s="6">
        <v>0.53</v>
      </c>
      <c r="G1038" s="6">
        <v>-0.36</v>
      </c>
      <c r="H1038" s="6">
        <v>77</v>
      </c>
    </row>
    <row r="1039" spans="1:8" ht="18.95" customHeight="1">
      <c r="A1039" s="4">
        <v>1035</v>
      </c>
      <c r="B1039" s="4">
        <v>40927</v>
      </c>
      <c r="C1039" s="4">
        <v>1</v>
      </c>
      <c r="D1039" s="6">
        <v>0</v>
      </c>
      <c r="E1039" s="6">
        <v>-101.87</v>
      </c>
      <c r="F1039" s="6">
        <v>0.51</v>
      </c>
      <c r="G1039" s="6">
        <v>0.04</v>
      </c>
      <c r="H1039" s="6">
        <v>77</v>
      </c>
    </row>
    <row r="1040" spans="1:8" ht="18.95" customHeight="1">
      <c r="A1040" s="4">
        <v>1036</v>
      </c>
      <c r="B1040" s="4">
        <v>40947</v>
      </c>
      <c r="C1040" s="4">
        <v>1</v>
      </c>
      <c r="D1040" s="6">
        <v>0</v>
      </c>
      <c r="E1040" s="6">
        <v>-102.19</v>
      </c>
      <c r="F1040" s="6">
        <v>0.52</v>
      </c>
      <c r="G1040" s="6">
        <v>0.11</v>
      </c>
      <c r="H1040" s="6">
        <v>77</v>
      </c>
    </row>
    <row r="1041" spans="1:8" ht="18.95" customHeight="1">
      <c r="A1041" s="4">
        <v>1037</v>
      </c>
      <c r="B1041" s="4">
        <v>40967</v>
      </c>
      <c r="C1041" s="4">
        <v>1</v>
      </c>
      <c r="D1041" s="6">
        <v>0</v>
      </c>
      <c r="E1041" s="6">
        <v>-102.56</v>
      </c>
      <c r="F1041" s="6">
        <v>0.53</v>
      </c>
      <c r="G1041" s="6">
        <v>0.13</v>
      </c>
      <c r="H1041" s="6">
        <v>80</v>
      </c>
    </row>
    <row r="1042" spans="1:8" ht="18.95" customHeight="1">
      <c r="A1042" s="4">
        <v>1038</v>
      </c>
      <c r="B1042" s="4">
        <v>40987</v>
      </c>
      <c r="C1042" s="4">
        <v>1</v>
      </c>
      <c r="D1042" s="6">
        <v>0</v>
      </c>
      <c r="E1042" s="6">
        <v>-103</v>
      </c>
      <c r="F1042" s="6">
        <v>0.55000000000000004</v>
      </c>
      <c r="G1042" s="6">
        <v>-0.04</v>
      </c>
      <c r="H1042" s="6">
        <v>80</v>
      </c>
    </row>
    <row r="1043" spans="1:8" ht="18.95" customHeight="1">
      <c r="A1043" s="4">
        <v>1039</v>
      </c>
      <c r="B1043" s="4">
        <v>41007</v>
      </c>
      <c r="C1043" s="4">
        <v>1</v>
      </c>
      <c r="D1043" s="6">
        <v>0</v>
      </c>
      <c r="E1043" s="6">
        <v>-103.44</v>
      </c>
      <c r="F1043" s="6">
        <v>0.56999999999999995</v>
      </c>
      <c r="G1043" s="6">
        <v>-0.01</v>
      </c>
      <c r="H1043" s="6">
        <v>80</v>
      </c>
    </row>
    <row r="1044" spans="1:8" ht="18.95" customHeight="1">
      <c r="A1044" s="4">
        <v>1040</v>
      </c>
      <c r="B1044" s="4">
        <v>41027</v>
      </c>
      <c r="C1044" s="4">
        <v>1</v>
      </c>
      <c r="D1044" s="6">
        <v>0</v>
      </c>
      <c r="E1044" s="6">
        <v>-103.87</v>
      </c>
      <c r="F1044" s="6">
        <v>0.54</v>
      </c>
      <c r="G1044" s="6">
        <v>-0.09</v>
      </c>
      <c r="H1044" s="6">
        <v>81</v>
      </c>
    </row>
    <row r="1045" spans="1:8" ht="18.95" customHeight="1">
      <c r="A1045" s="4">
        <v>1041</v>
      </c>
      <c r="B1045" s="4">
        <v>41047</v>
      </c>
      <c r="C1045" s="4">
        <v>1</v>
      </c>
      <c r="D1045" s="6">
        <v>0</v>
      </c>
      <c r="E1045" s="6">
        <v>-104.37</v>
      </c>
      <c r="F1045" s="6">
        <v>0.56000000000000005</v>
      </c>
      <c r="G1045" s="6">
        <v>0.05</v>
      </c>
      <c r="H1045" s="6">
        <v>81</v>
      </c>
    </row>
    <row r="1046" spans="1:8" ht="18.95" customHeight="1">
      <c r="A1046" s="4">
        <v>1042</v>
      </c>
      <c r="B1046" s="4">
        <v>41067</v>
      </c>
      <c r="C1046" s="4">
        <v>1</v>
      </c>
      <c r="D1046" s="6">
        <v>0</v>
      </c>
      <c r="E1046" s="6">
        <v>-104.87</v>
      </c>
      <c r="F1046" s="6">
        <v>0.57999999999999996</v>
      </c>
      <c r="G1046" s="6">
        <v>0.25</v>
      </c>
      <c r="H1046" s="6">
        <v>82</v>
      </c>
    </row>
    <row r="1047" spans="1:8" ht="18.95" customHeight="1">
      <c r="A1047" s="4">
        <v>1043</v>
      </c>
      <c r="B1047" s="4">
        <v>41088</v>
      </c>
      <c r="C1047" s="4">
        <v>1</v>
      </c>
      <c r="D1047" s="6">
        <v>0</v>
      </c>
      <c r="E1047" s="6">
        <v>-105.44</v>
      </c>
      <c r="F1047" s="6">
        <v>0.55000000000000004</v>
      </c>
      <c r="G1047" s="6">
        <v>-0.11</v>
      </c>
      <c r="H1047" s="6">
        <v>82</v>
      </c>
    </row>
    <row r="1048" spans="1:8" ht="18.95" customHeight="1">
      <c r="A1048" s="4">
        <v>1044</v>
      </c>
      <c r="B1048" s="4">
        <v>41108</v>
      </c>
      <c r="C1048" s="4">
        <v>1</v>
      </c>
      <c r="D1048" s="6">
        <v>0</v>
      </c>
      <c r="E1048" s="6">
        <v>-106.06</v>
      </c>
      <c r="F1048" s="6">
        <v>0.53</v>
      </c>
      <c r="G1048" s="6">
        <v>0.1</v>
      </c>
      <c r="H1048" s="6">
        <v>82</v>
      </c>
    </row>
    <row r="1049" spans="1:8" ht="18.95" customHeight="1">
      <c r="A1049" s="4">
        <v>1045</v>
      </c>
      <c r="B1049" s="4">
        <v>41128</v>
      </c>
      <c r="C1049" s="4">
        <v>1</v>
      </c>
      <c r="D1049" s="6">
        <v>0</v>
      </c>
      <c r="E1049" s="6">
        <v>-106.62</v>
      </c>
      <c r="F1049" s="6">
        <v>0.54</v>
      </c>
      <c r="G1049" s="6">
        <v>-0.02</v>
      </c>
      <c r="H1049" s="6">
        <v>84</v>
      </c>
    </row>
    <row r="1050" spans="1:8" ht="18.95" customHeight="1">
      <c r="A1050" s="4">
        <v>1046</v>
      </c>
      <c r="B1050" s="4">
        <v>41148</v>
      </c>
      <c r="C1050" s="4">
        <v>1</v>
      </c>
      <c r="D1050" s="6">
        <v>0</v>
      </c>
      <c r="E1050" s="6">
        <v>-107.31</v>
      </c>
      <c r="F1050" s="6">
        <v>0.55000000000000004</v>
      </c>
      <c r="G1050" s="6">
        <v>0.01</v>
      </c>
      <c r="H1050" s="6">
        <v>84</v>
      </c>
    </row>
    <row r="1051" spans="1:8" ht="18.95" customHeight="1">
      <c r="A1051" s="4">
        <v>1047</v>
      </c>
      <c r="B1051" s="4">
        <v>41168</v>
      </c>
      <c r="C1051" s="4">
        <v>1</v>
      </c>
      <c r="D1051" s="6">
        <v>0</v>
      </c>
      <c r="E1051" s="6">
        <v>-108.12</v>
      </c>
      <c r="F1051" s="6">
        <v>0.59</v>
      </c>
      <c r="G1051" s="6">
        <v>-0.05</v>
      </c>
      <c r="H1051" s="6">
        <v>82</v>
      </c>
    </row>
    <row r="1052" spans="1:8" ht="18.95" customHeight="1">
      <c r="A1052" s="4">
        <v>1048</v>
      </c>
      <c r="B1052" s="4">
        <v>41188</v>
      </c>
      <c r="C1052" s="4">
        <v>1</v>
      </c>
      <c r="D1052" s="6">
        <v>0</v>
      </c>
      <c r="E1052" s="6">
        <v>-108.94</v>
      </c>
      <c r="F1052" s="6">
        <v>0.59</v>
      </c>
      <c r="G1052" s="6">
        <v>0.31</v>
      </c>
      <c r="H1052" s="6">
        <v>82</v>
      </c>
    </row>
    <row r="1053" spans="1:8" ht="18.95" customHeight="1">
      <c r="A1053" s="4">
        <v>1049</v>
      </c>
      <c r="B1053" s="4">
        <v>41208</v>
      </c>
      <c r="C1053" s="4">
        <v>1</v>
      </c>
      <c r="D1053" s="6">
        <v>0</v>
      </c>
      <c r="E1053" s="6">
        <v>-109.81</v>
      </c>
      <c r="F1053" s="6">
        <v>0.6</v>
      </c>
      <c r="G1053" s="6">
        <v>0.06</v>
      </c>
      <c r="H1053" s="6">
        <v>82</v>
      </c>
    </row>
    <row r="1054" spans="1:8" ht="18.95" customHeight="1">
      <c r="A1054" s="4">
        <v>1050</v>
      </c>
      <c r="B1054" s="4">
        <v>41228</v>
      </c>
      <c r="C1054" s="4">
        <v>1</v>
      </c>
      <c r="D1054" s="6">
        <v>0</v>
      </c>
      <c r="E1054" s="6">
        <v>-110.75</v>
      </c>
      <c r="F1054" s="6">
        <v>0.61</v>
      </c>
      <c r="G1054" s="6">
        <v>0.16</v>
      </c>
      <c r="H1054" s="6">
        <v>82</v>
      </c>
    </row>
    <row r="1055" spans="1:8" ht="18.95" customHeight="1">
      <c r="A1055" s="4">
        <v>1051</v>
      </c>
      <c r="B1055" s="4">
        <v>41248</v>
      </c>
      <c r="C1055" s="4">
        <v>1</v>
      </c>
      <c r="D1055" s="6">
        <v>0</v>
      </c>
      <c r="E1055" s="6">
        <v>-111.87</v>
      </c>
      <c r="F1055" s="6">
        <v>0.62</v>
      </c>
      <c r="G1055" s="6">
        <v>0.11</v>
      </c>
      <c r="H1055" s="6">
        <v>82</v>
      </c>
    </row>
    <row r="1056" spans="1:8" ht="18.95" customHeight="1">
      <c r="A1056" s="4">
        <v>1052</v>
      </c>
      <c r="B1056" s="4">
        <v>41268</v>
      </c>
      <c r="C1056" s="4">
        <v>1</v>
      </c>
      <c r="D1056" s="6">
        <v>0</v>
      </c>
      <c r="E1056" s="6">
        <v>-113.06</v>
      </c>
      <c r="F1056" s="6">
        <v>0.57999999999999996</v>
      </c>
      <c r="G1056" s="6">
        <v>0.11</v>
      </c>
      <c r="H1056" s="6">
        <v>84</v>
      </c>
    </row>
    <row r="1057" spans="1:8" ht="18.95" customHeight="1">
      <c r="A1057" s="4">
        <v>1053</v>
      </c>
      <c r="B1057" s="4">
        <v>41288</v>
      </c>
      <c r="C1057" s="4">
        <v>1</v>
      </c>
      <c r="D1057" s="6">
        <v>0</v>
      </c>
      <c r="E1057" s="6">
        <v>-114.37</v>
      </c>
      <c r="F1057" s="6">
        <v>0.56999999999999995</v>
      </c>
      <c r="G1057" s="6">
        <v>0.03</v>
      </c>
      <c r="H1057" s="6">
        <v>84</v>
      </c>
    </row>
    <row r="1058" spans="1:8" ht="18.95" customHeight="1">
      <c r="A1058" s="4">
        <v>1054</v>
      </c>
      <c r="B1058" s="4">
        <v>41308</v>
      </c>
      <c r="C1058" s="4">
        <v>1</v>
      </c>
      <c r="D1058" s="6">
        <v>0</v>
      </c>
      <c r="E1058" s="6">
        <v>-115.75</v>
      </c>
      <c r="F1058" s="6">
        <v>0.55000000000000004</v>
      </c>
      <c r="G1058" s="6">
        <v>0</v>
      </c>
      <c r="H1058" s="6">
        <v>84</v>
      </c>
    </row>
    <row r="1059" spans="1:8" ht="18.95" customHeight="1">
      <c r="A1059" s="4">
        <v>1055</v>
      </c>
      <c r="B1059" s="4">
        <v>41328</v>
      </c>
      <c r="C1059" s="4">
        <v>1</v>
      </c>
      <c r="D1059" s="6">
        <v>0</v>
      </c>
      <c r="E1059" s="6">
        <v>-117.31</v>
      </c>
      <c r="F1059" s="6">
        <v>0.53</v>
      </c>
      <c r="G1059" s="6">
        <v>-0.01</v>
      </c>
      <c r="H1059" s="6">
        <v>79</v>
      </c>
    </row>
    <row r="1060" spans="1:8" ht="18.95" customHeight="1">
      <c r="A1060" s="4">
        <v>1056</v>
      </c>
      <c r="B1060" s="4">
        <v>41348</v>
      </c>
      <c r="C1060" s="4">
        <v>1</v>
      </c>
      <c r="D1060" s="6">
        <v>0</v>
      </c>
      <c r="E1060" s="6">
        <v>-119</v>
      </c>
      <c r="F1060" s="6">
        <v>0.52</v>
      </c>
      <c r="G1060" s="6">
        <v>0.15</v>
      </c>
      <c r="H1060" s="6">
        <v>79</v>
      </c>
    </row>
    <row r="1061" spans="1:8" ht="18.95" customHeight="1">
      <c r="A1061" s="4">
        <v>1057</v>
      </c>
      <c r="B1061" s="4">
        <v>41368</v>
      </c>
      <c r="C1061" s="4">
        <v>1</v>
      </c>
      <c r="D1061" s="6">
        <v>0</v>
      </c>
      <c r="E1061" s="6">
        <v>-120.81</v>
      </c>
      <c r="F1061" s="6">
        <v>0.49</v>
      </c>
      <c r="G1061" s="6">
        <v>0.1</v>
      </c>
      <c r="H1061" s="6">
        <v>82</v>
      </c>
    </row>
    <row r="1062" spans="1:8" ht="18.95" customHeight="1">
      <c r="A1062" s="4">
        <v>1058</v>
      </c>
      <c r="B1062" s="4">
        <v>41388</v>
      </c>
      <c r="C1062" s="4">
        <v>1</v>
      </c>
      <c r="D1062" s="6">
        <v>0</v>
      </c>
      <c r="E1062" s="6">
        <v>-122.87</v>
      </c>
      <c r="F1062" s="6">
        <v>0.5</v>
      </c>
      <c r="G1062" s="6">
        <v>0.06</v>
      </c>
      <c r="H1062" s="6">
        <v>82</v>
      </c>
    </row>
    <row r="1063" spans="1:8" ht="18.95" customHeight="1">
      <c r="A1063" s="4">
        <v>1059</v>
      </c>
      <c r="B1063" s="4">
        <v>41408</v>
      </c>
      <c r="C1063" s="4">
        <v>1</v>
      </c>
      <c r="D1063" s="6">
        <v>0</v>
      </c>
      <c r="E1063" s="6">
        <v>-125.12</v>
      </c>
      <c r="F1063" s="6">
        <v>0.48</v>
      </c>
      <c r="G1063" s="6">
        <v>-0.02</v>
      </c>
      <c r="H1063" s="6">
        <v>82</v>
      </c>
    </row>
    <row r="1064" spans="1:8" ht="18.95" customHeight="1">
      <c r="A1064" s="4">
        <v>1060</v>
      </c>
      <c r="B1064" s="4">
        <v>41428</v>
      </c>
      <c r="C1064" s="4">
        <v>1</v>
      </c>
      <c r="D1064" s="6">
        <v>0</v>
      </c>
      <c r="E1064" s="6">
        <v>-174.56</v>
      </c>
      <c r="F1064" s="6">
        <v>0.44</v>
      </c>
      <c r="G1064" s="6">
        <v>-0.11</v>
      </c>
      <c r="H1064" s="6">
        <v>78</v>
      </c>
    </row>
    <row r="1065" spans="1:8" ht="18.95" customHeight="1">
      <c r="A1065" s="4">
        <v>1061</v>
      </c>
      <c r="B1065" s="4">
        <v>41448</v>
      </c>
      <c r="C1065" s="4">
        <v>1</v>
      </c>
      <c r="D1065" s="6">
        <v>0</v>
      </c>
      <c r="E1065" s="6">
        <v>-175.06</v>
      </c>
      <c r="F1065" s="6">
        <v>0.45</v>
      </c>
      <c r="G1065" s="6">
        <v>0.34</v>
      </c>
      <c r="H1065" s="6">
        <v>78</v>
      </c>
    </row>
    <row r="1066" spans="1:8" ht="18.95" customHeight="1">
      <c r="A1066" s="4">
        <v>1062</v>
      </c>
      <c r="B1066" s="4">
        <v>41468</v>
      </c>
      <c r="C1066" s="4">
        <v>1</v>
      </c>
      <c r="D1066" s="6">
        <v>0</v>
      </c>
      <c r="E1066" s="6">
        <v>-175.56</v>
      </c>
      <c r="F1066" s="6">
        <v>0.43</v>
      </c>
      <c r="G1066" s="6">
        <v>0.15</v>
      </c>
      <c r="H1066" s="6">
        <v>80</v>
      </c>
    </row>
    <row r="1067" spans="1:8" ht="18.95" customHeight="1">
      <c r="A1067" s="4">
        <v>1063</v>
      </c>
      <c r="B1067" s="4">
        <v>41488</v>
      </c>
      <c r="C1067" s="4">
        <v>1</v>
      </c>
      <c r="D1067" s="6">
        <v>0</v>
      </c>
      <c r="E1067" s="6">
        <v>-176</v>
      </c>
      <c r="F1067" s="6">
        <v>0.43</v>
      </c>
      <c r="G1067" s="6">
        <v>-0.08</v>
      </c>
      <c r="H1067" s="6">
        <v>80</v>
      </c>
    </row>
    <row r="1068" spans="1:8" ht="18.95" customHeight="1">
      <c r="A1068" s="4">
        <v>1064</v>
      </c>
      <c r="B1068" s="4">
        <v>41508</v>
      </c>
      <c r="C1068" s="4">
        <v>1</v>
      </c>
      <c r="D1068" s="6">
        <v>0</v>
      </c>
      <c r="E1068" s="6">
        <v>-176.5</v>
      </c>
      <c r="F1068" s="6">
        <v>0.39</v>
      </c>
      <c r="G1068" s="6">
        <v>0.13</v>
      </c>
      <c r="H1068" s="6">
        <v>80</v>
      </c>
    </row>
    <row r="1069" spans="1:8" ht="18.95" customHeight="1">
      <c r="A1069" s="4">
        <v>1065</v>
      </c>
      <c r="B1069" s="4">
        <v>41528</v>
      </c>
      <c r="C1069" s="4">
        <v>1</v>
      </c>
      <c r="D1069" s="6">
        <v>0</v>
      </c>
      <c r="E1069" s="6">
        <v>-176.94</v>
      </c>
      <c r="F1069" s="6">
        <v>0.38</v>
      </c>
      <c r="G1069" s="6">
        <v>0.15</v>
      </c>
      <c r="H1069" s="6">
        <v>77</v>
      </c>
    </row>
    <row r="1070" spans="1:8" ht="18.95" customHeight="1">
      <c r="A1070" s="4">
        <v>1066</v>
      </c>
      <c r="B1070" s="4">
        <v>41548</v>
      </c>
      <c r="C1070" s="4">
        <v>1</v>
      </c>
      <c r="D1070" s="6">
        <v>0</v>
      </c>
      <c r="E1070" s="6">
        <v>-177.31</v>
      </c>
      <c r="F1070" s="6">
        <v>0.35</v>
      </c>
      <c r="G1070" s="6">
        <v>0.08</v>
      </c>
      <c r="H1070" s="6">
        <v>77</v>
      </c>
    </row>
    <row r="1071" spans="1:8" ht="18.95" customHeight="1">
      <c r="A1071" s="4">
        <v>1067</v>
      </c>
      <c r="B1071" s="4">
        <v>41568</v>
      </c>
      <c r="C1071" s="4">
        <v>1</v>
      </c>
      <c r="D1071" s="6">
        <v>0</v>
      </c>
      <c r="E1071" s="6">
        <v>-177.69</v>
      </c>
      <c r="F1071" s="6">
        <v>0.34</v>
      </c>
      <c r="G1071" s="6">
        <v>0.03</v>
      </c>
      <c r="H1071" s="6">
        <v>74</v>
      </c>
    </row>
    <row r="1072" spans="1:8" ht="18.95" customHeight="1">
      <c r="A1072" s="4">
        <v>1068</v>
      </c>
      <c r="B1072" s="4">
        <v>41588</v>
      </c>
      <c r="C1072" s="4">
        <v>1</v>
      </c>
      <c r="D1072" s="6">
        <v>0</v>
      </c>
      <c r="E1072" s="6">
        <v>-178.06</v>
      </c>
      <c r="F1072" s="6">
        <v>0.33</v>
      </c>
      <c r="G1072" s="6">
        <v>0.11</v>
      </c>
      <c r="H1072" s="6">
        <v>74</v>
      </c>
    </row>
    <row r="1073" spans="1:8" ht="18.95" customHeight="1">
      <c r="A1073" s="4">
        <v>1069</v>
      </c>
      <c r="B1073" s="4">
        <v>41608</v>
      </c>
      <c r="C1073" s="4">
        <v>1</v>
      </c>
      <c r="D1073" s="6">
        <v>0</v>
      </c>
      <c r="E1073" s="6">
        <v>-178.44</v>
      </c>
      <c r="F1073" s="6">
        <v>0.31</v>
      </c>
      <c r="G1073" s="6">
        <v>0</v>
      </c>
      <c r="H1073" s="6">
        <v>74</v>
      </c>
    </row>
    <row r="1074" spans="1:8" ht="18.95" customHeight="1">
      <c r="A1074" s="4">
        <v>1070</v>
      </c>
      <c r="B1074" s="4">
        <v>41628</v>
      </c>
      <c r="C1074" s="4">
        <v>1</v>
      </c>
      <c r="D1074" s="6">
        <v>0</v>
      </c>
      <c r="E1074" s="6">
        <v>-178.75</v>
      </c>
      <c r="F1074" s="6">
        <v>0.28000000000000003</v>
      </c>
      <c r="G1074" s="6">
        <v>0</v>
      </c>
      <c r="H1074" s="6">
        <v>73</v>
      </c>
    </row>
    <row r="1075" spans="1:8" ht="18.95" customHeight="1">
      <c r="A1075" s="4">
        <v>1071</v>
      </c>
      <c r="B1075" s="4">
        <v>41648</v>
      </c>
      <c r="C1075" s="4">
        <v>1</v>
      </c>
      <c r="D1075" s="6">
        <v>0</v>
      </c>
      <c r="E1075" s="6">
        <v>-179.06</v>
      </c>
      <c r="F1075" s="6">
        <v>0.27</v>
      </c>
      <c r="G1075" s="6">
        <v>0.17</v>
      </c>
      <c r="H1075" s="6">
        <v>73</v>
      </c>
    </row>
    <row r="1076" spans="1:8" ht="18.95" customHeight="1">
      <c r="A1076" s="4">
        <v>1072</v>
      </c>
      <c r="B1076" s="4">
        <v>41668</v>
      </c>
      <c r="C1076" s="4">
        <v>1</v>
      </c>
      <c r="D1076" s="6">
        <v>0</v>
      </c>
      <c r="E1076" s="6">
        <v>-179.38</v>
      </c>
      <c r="F1076" s="6">
        <v>0.25</v>
      </c>
      <c r="G1076" s="6">
        <v>0.13</v>
      </c>
      <c r="H1076" s="6">
        <v>70</v>
      </c>
    </row>
    <row r="1077" spans="1:8" ht="18.95" customHeight="1">
      <c r="A1077" s="4">
        <v>1073</v>
      </c>
      <c r="B1077" s="4">
        <v>41688</v>
      </c>
      <c r="C1077" s="4">
        <v>1</v>
      </c>
      <c r="D1077" s="6">
        <v>0</v>
      </c>
      <c r="E1077" s="6">
        <v>-179.63</v>
      </c>
      <c r="F1077" s="6">
        <v>0.23</v>
      </c>
      <c r="G1077" s="6">
        <v>0.26</v>
      </c>
      <c r="H1077" s="6">
        <v>70</v>
      </c>
    </row>
    <row r="1078" spans="1:8" ht="18.95" customHeight="1">
      <c r="A1078" s="4">
        <v>1074</v>
      </c>
      <c r="B1078" s="4">
        <v>41708</v>
      </c>
      <c r="C1078" s="4">
        <v>1</v>
      </c>
      <c r="D1078" s="6">
        <v>0</v>
      </c>
      <c r="E1078" s="6">
        <v>-179.88</v>
      </c>
      <c r="F1078" s="6">
        <v>0.2</v>
      </c>
      <c r="G1078" s="6">
        <v>0.11</v>
      </c>
      <c r="H1078" s="6">
        <v>70</v>
      </c>
    </row>
    <row r="1079" spans="1:8" ht="18.95" customHeight="1">
      <c r="A1079" s="4">
        <v>1075</v>
      </c>
      <c r="B1079" s="4">
        <v>41728</v>
      </c>
      <c r="C1079" s="4">
        <v>1</v>
      </c>
      <c r="D1079" s="6">
        <v>0</v>
      </c>
      <c r="E1079" s="6">
        <v>179.88</v>
      </c>
      <c r="F1079" s="6">
        <v>0.18</v>
      </c>
      <c r="G1079" s="6">
        <v>0.09</v>
      </c>
      <c r="H1079" s="6">
        <v>68</v>
      </c>
    </row>
    <row r="1080" spans="1:8" ht="18.95" customHeight="1">
      <c r="A1080" s="4">
        <v>1076</v>
      </c>
      <c r="B1080" s="4">
        <v>41748</v>
      </c>
      <c r="C1080" s="4">
        <v>1</v>
      </c>
      <c r="D1080" s="6">
        <v>0</v>
      </c>
      <c r="E1080" s="6">
        <v>179.69</v>
      </c>
      <c r="F1080" s="6">
        <v>0.16</v>
      </c>
      <c r="G1080" s="6">
        <v>0.01</v>
      </c>
      <c r="H1080" s="6">
        <v>68</v>
      </c>
    </row>
    <row r="1081" spans="1:8" ht="18.95" customHeight="1">
      <c r="A1081" s="4">
        <v>1077</v>
      </c>
      <c r="B1081" s="4">
        <v>41768</v>
      </c>
      <c r="C1081" s="4">
        <v>1</v>
      </c>
      <c r="D1081" s="6">
        <v>0</v>
      </c>
      <c r="E1081" s="6">
        <v>179.5</v>
      </c>
      <c r="F1081" s="6">
        <v>0.13</v>
      </c>
      <c r="G1081" s="6">
        <v>-0.08</v>
      </c>
      <c r="H1081" s="6">
        <v>65</v>
      </c>
    </row>
    <row r="1082" spans="1:8" ht="18.95" customHeight="1">
      <c r="A1082" s="4">
        <v>1078</v>
      </c>
      <c r="B1082" s="4">
        <v>41788</v>
      </c>
      <c r="C1082" s="4">
        <v>1</v>
      </c>
      <c r="D1082" s="6">
        <v>0</v>
      </c>
      <c r="E1082" s="6">
        <v>179.31</v>
      </c>
      <c r="F1082" s="6">
        <v>0.11</v>
      </c>
      <c r="G1082" s="6">
        <v>-0.14000000000000001</v>
      </c>
      <c r="H1082" s="6">
        <v>65</v>
      </c>
    </row>
    <row r="1083" spans="1:8" ht="18.95" customHeight="1">
      <c r="A1083" s="4">
        <v>1079</v>
      </c>
      <c r="B1083" s="4">
        <v>41808</v>
      </c>
      <c r="C1083" s="4">
        <v>1</v>
      </c>
      <c r="D1083" s="6">
        <v>0</v>
      </c>
      <c r="E1083" s="6">
        <v>179.19</v>
      </c>
      <c r="F1083" s="6">
        <v>0.1</v>
      </c>
      <c r="G1083" s="6">
        <v>-0.3</v>
      </c>
      <c r="H1083" s="6">
        <v>65</v>
      </c>
    </row>
    <row r="1084" spans="1:8" ht="18.95" customHeight="1">
      <c r="A1084" s="4">
        <v>1080</v>
      </c>
      <c r="B1084" s="4">
        <v>41828</v>
      </c>
      <c r="C1084" s="4">
        <v>1</v>
      </c>
      <c r="D1084" s="6">
        <v>0</v>
      </c>
      <c r="E1084" s="6">
        <v>179.13</v>
      </c>
      <c r="F1084" s="6">
        <v>0.09</v>
      </c>
      <c r="G1084" s="6">
        <v>0.03</v>
      </c>
      <c r="H1084" s="6">
        <v>63</v>
      </c>
    </row>
    <row r="1085" spans="1:8" ht="18.95" customHeight="1">
      <c r="A1085" s="4">
        <v>1081</v>
      </c>
      <c r="B1085" s="4">
        <v>41848</v>
      </c>
      <c r="C1085" s="4">
        <v>1</v>
      </c>
      <c r="D1085" s="6">
        <v>0</v>
      </c>
      <c r="E1085" s="6">
        <v>179</v>
      </c>
      <c r="F1085" s="6">
        <v>7.0000000000000007E-2</v>
      </c>
      <c r="G1085" s="6">
        <v>0.12</v>
      </c>
      <c r="H1085" s="6">
        <v>63</v>
      </c>
    </row>
    <row r="1086" spans="1:8" ht="18.95" customHeight="1">
      <c r="A1086" s="4">
        <v>1082</v>
      </c>
      <c r="B1086" s="4">
        <v>41868</v>
      </c>
      <c r="C1086" s="4">
        <v>1</v>
      </c>
      <c r="D1086" s="6">
        <v>0</v>
      </c>
      <c r="E1086" s="6">
        <v>178.94</v>
      </c>
      <c r="F1086" s="6">
        <v>0.05</v>
      </c>
      <c r="G1086" s="6">
        <v>-0.27</v>
      </c>
      <c r="H1086" s="6">
        <v>61</v>
      </c>
    </row>
    <row r="1087" spans="1:8" ht="18.95" customHeight="1">
      <c r="A1087" s="4">
        <v>1083</v>
      </c>
      <c r="B1087" s="4">
        <v>41888</v>
      </c>
      <c r="C1087" s="4">
        <v>0</v>
      </c>
      <c r="D1087" s="6">
        <v>0</v>
      </c>
      <c r="E1087" s="6">
        <v>178.94</v>
      </c>
      <c r="F1087" s="6">
        <v>0.03</v>
      </c>
      <c r="G1087" s="6">
        <v>0.06</v>
      </c>
      <c r="H1087" s="6">
        <v>61</v>
      </c>
    </row>
    <row r="1088" spans="1:8" ht="18.95" customHeight="1">
      <c r="A1088" s="4">
        <v>1084</v>
      </c>
      <c r="B1088" s="4">
        <v>41908</v>
      </c>
      <c r="C1088" s="4">
        <v>0</v>
      </c>
      <c r="D1088" s="6">
        <v>0</v>
      </c>
      <c r="E1088" s="6">
        <v>178.94</v>
      </c>
      <c r="F1088" s="6">
        <v>0</v>
      </c>
      <c r="G1088" s="6">
        <v>0</v>
      </c>
      <c r="H1088" s="6">
        <v>61</v>
      </c>
    </row>
    <row r="1089" spans="1:8" ht="18.95" customHeight="1">
      <c r="A1089" s="4">
        <v>1085</v>
      </c>
      <c r="B1089" s="4">
        <v>41928</v>
      </c>
      <c r="C1089" s="4">
        <v>0</v>
      </c>
      <c r="D1089" s="6">
        <v>0</v>
      </c>
      <c r="E1089" s="6">
        <v>178.94</v>
      </c>
      <c r="F1089" s="6">
        <v>-0.02</v>
      </c>
      <c r="G1089" s="6">
        <v>0.1</v>
      </c>
      <c r="H1089" s="6">
        <v>59</v>
      </c>
    </row>
    <row r="1090" spans="1:8" ht="18.95" customHeight="1">
      <c r="A1090" s="4">
        <v>1086</v>
      </c>
      <c r="B1090" s="4">
        <v>41948</v>
      </c>
      <c r="C1090" s="4">
        <v>0</v>
      </c>
      <c r="D1090" s="6">
        <v>0</v>
      </c>
      <c r="E1090" s="6">
        <v>178.94</v>
      </c>
      <c r="F1090" s="6">
        <v>-0.04</v>
      </c>
      <c r="G1090" s="6">
        <v>0.06</v>
      </c>
      <c r="H1090" s="6">
        <v>59</v>
      </c>
    </row>
    <row r="1091" spans="1:8" ht="18.95" customHeight="1">
      <c r="A1091" s="4">
        <v>1087</v>
      </c>
      <c r="B1091" s="4">
        <v>41968</v>
      </c>
      <c r="C1091" s="4">
        <v>0</v>
      </c>
      <c r="D1091" s="6">
        <v>0</v>
      </c>
      <c r="E1091" s="6">
        <v>179</v>
      </c>
      <c r="F1091" s="6">
        <v>-7.0000000000000007E-2</v>
      </c>
      <c r="G1091" s="6">
        <v>0.15</v>
      </c>
      <c r="H1091" s="6">
        <v>53</v>
      </c>
    </row>
    <row r="1092" spans="1:8" ht="18.95" customHeight="1">
      <c r="A1092" s="4">
        <v>1088</v>
      </c>
      <c r="B1092" s="4">
        <v>41988</v>
      </c>
      <c r="C1092" s="4">
        <v>1</v>
      </c>
      <c r="D1092" s="6">
        <v>0</v>
      </c>
      <c r="E1092" s="6">
        <v>179.13</v>
      </c>
      <c r="F1092" s="6">
        <v>-0.09</v>
      </c>
      <c r="G1092" s="6">
        <v>-0.05</v>
      </c>
      <c r="H1092" s="6">
        <v>53</v>
      </c>
    </row>
    <row r="1093" spans="1:8" ht="18.95" customHeight="1">
      <c r="A1093" s="4">
        <v>1089</v>
      </c>
      <c r="B1093" s="4">
        <v>42008</v>
      </c>
      <c r="C1093" s="4">
        <v>1</v>
      </c>
      <c r="D1093" s="6">
        <v>0</v>
      </c>
      <c r="E1093" s="6">
        <v>179.19</v>
      </c>
      <c r="F1093" s="6">
        <v>-0.11</v>
      </c>
      <c r="G1093" s="6">
        <v>0.11</v>
      </c>
      <c r="H1093" s="6">
        <v>53</v>
      </c>
    </row>
    <row r="1094" spans="1:8" ht="18.95" customHeight="1">
      <c r="A1094" s="4">
        <v>1090</v>
      </c>
      <c r="B1094" s="4">
        <v>42028</v>
      </c>
      <c r="C1094" s="4">
        <v>1</v>
      </c>
      <c r="D1094" s="6">
        <v>0</v>
      </c>
      <c r="E1094" s="6">
        <v>179.38</v>
      </c>
      <c r="F1094" s="6">
        <v>-0.13</v>
      </c>
      <c r="G1094" s="6">
        <v>0.05</v>
      </c>
      <c r="H1094" s="6">
        <v>49</v>
      </c>
    </row>
    <row r="1095" spans="1:8" ht="18.95" customHeight="1">
      <c r="A1095" s="4">
        <v>1091</v>
      </c>
      <c r="B1095" s="4">
        <v>42048</v>
      </c>
      <c r="C1095" s="4">
        <v>1</v>
      </c>
      <c r="D1095" s="6">
        <v>0</v>
      </c>
      <c r="E1095" s="6">
        <v>179.5</v>
      </c>
      <c r="F1095" s="6">
        <v>-0.15</v>
      </c>
      <c r="G1095" s="6">
        <v>0.06</v>
      </c>
      <c r="H1095" s="6">
        <v>49</v>
      </c>
    </row>
    <row r="1096" spans="1:8" ht="18.95" customHeight="1">
      <c r="A1096" s="4">
        <v>1092</v>
      </c>
      <c r="B1096" s="4">
        <v>42068</v>
      </c>
      <c r="C1096" s="4">
        <v>1</v>
      </c>
      <c r="D1096" s="6">
        <v>600</v>
      </c>
      <c r="E1096" s="6">
        <v>179.69</v>
      </c>
      <c r="F1096" s="6">
        <v>-0.18</v>
      </c>
      <c r="G1096" s="6">
        <v>-0.16</v>
      </c>
      <c r="H1096" s="6">
        <v>47</v>
      </c>
    </row>
    <row r="1097" spans="1:8" ht="18.95" customHeight="1">
      <c r="A1097" s="4">
        <v>1093</v>
      </c>
      <c r="B1097" s="4">
        <v>42088</v>
      </c>
      <c r="C1097" s="4">
        <v>1</v>
      </c>
      <c r="D1097" s="6">
        <v>600</v>
      </c>
      <c r="E1097" s="6">
        <v>179.88</v>
      </c>
      <c r="F1097" s="6">
        <v>-0.2</v>
      </c>
      <c r="G1097" s="6">
        <v>0.41</v>
      </c>
      <c r="H1097" s="6">
        <v>47</v>
      </c>
    </row>
    <row r="1098" spans="1:8" ht="18.95" customHeight="1">
      <c r="A1098" s="4">
        <v>1094</v>
      </c>
      <c r="B1098" s="4">
        <v>42108</v>
      </c>
      <c r="C1098" s="4">
        <v>1</v>
      </c>
      <c r="D1098" s="6">
        <v>600</v>
      </c>
      <c r="E1098" s="6">
        <v>-179.81</v>
      </c>
      <c r="F1098" s="6">
        <v>-0.23</v>
      </c>
      <c r="G1098" s="6">
        <v>0.01</v>
      </c>
      <c r="H1098" s="6">
        <v>47</v>
      </c>
    </row>
    <row r="1099" spans="1:8" ht="18.95" customHeight="1">
      <c r="A1099" s="4">
        <v>1095</v>
      </c>
      <c r="B1099" s="4">
        <v>42128</v>
      </c>
      <c r="C1099" s="4">
        <v>1</v>
      </c>
      <c r="D1099" s="6">
        <v>600</v>
      </c>
      <c r="E1099" s="6">
        <v>-179.56</v>
      </c>
      <c r="F1099" s="6">
        <v>-0.25</v>
      </c>
      <c r="G1099" s="6">
        <v>7.0000000000000007E-2</v>
      </c>
      <c r="H1099" s="6">
        <v>42</v>
      </c>
    </row>
    <row r="1100" spans="1:8" ht="18.95" customHeight="1">
      <c r="A1100" s="4">
        <v>1096</v>
      </c>
      <c r="B1100" s="4">
        <v>42148</v>
      </c>
      <c r="C1100" s="4">
        <v>1</v>
      </c>
      <c r="D1100" s="6">
        <v>600</v>
      </c>
      <c r="E1100" s="6">
        <v>-179.25</v>
      </c>
      <c r="F1100" s="6">
        <v>-0.27</v>
      </c>
      <c r="G1100" s="6">
        <v>0.26</v>
      </c>
      <c r="H1100" s="6">
        <v>42</v>
      </c>
    </row>
    <row r="1101" spans="1:8" ht="18.95" customHeight="1">
      <c r="A1101" s="4">
        <v>1097</v>
      </c>
      <c r="B1101" s="4">
        <v>42168</v>
      </c>
      <c r="C1101" s="4">
        <v>1</v>
      </c>
      <c r="D1101" s="6">
        <v>0</v>
      </c>
      <c r="E1101" s="6">
        <v>-178.94</v>
      </c>
      <c r="F1101" s="6">
        <v>-0.27</v>
      </c>
      <c r="G1101" s="6">
        <v>-0.18</v>
      </c>
      <c r="H1101" s="6">
        <v>38</v>
      </c>
    </row>
    <row r="1102" spans="1:8" ht="18.95" customHeight="1">
      <c r="A1102" s="4">
        <v>1098</v>
      </c>
      <c r="B1102" s="4">
        <v>42188</v>
      </c>
      <c r="C1102" s="4">
        <v>1</v>
      </c>
      <c r="D1102" s="6">
        <v>0</v>
      </c>
      <c r="E1102" s="6">
        <v>-178.69</v>
      </c>
      <c r="F1102" s="6">
        <v>-0.28999999999999998</v>
      </c>
      <c r="G1102" s="6">
        <v>0.26</v>
      </c>
      <c r="H1102" s="6">
        <v>38</v>
      </c>
    </row>
    <row r="1103" spans="1:8" ht="18.95" customHeight="1">
      <c r="A1103" s="4">
        <v>1099</v>
      </c>
      <c r="B1103" s="4">
        <v>42208</v>
      </c>
      <c r="C1103" s="4">
        <v>1</v>
      </c>
      <c r="D1103" s="6">
        <v>0</v>
      </c>
      <c r="E1103" s="6">
        <v>-178.31</v>
      </c>
      <c r="F1103" s="6">
        <v>-0.3</v>
      </c>
      <c r="G1103" s="6">
        <v>7.0000000000000007E-2</v>
      </c>
      <c r="H1103" s="6">
        <v>38</v>
      </c>
    </row>
    <row r="1104" spans="1:8" ht="18.95" customHeight="1">
      <c r="A1104" s="4">
        <v>1100</v>
      </c>
      <c r="B1104" s="4">
        <v>42228</v>
      </c>
      <c r="C1104" s="4">
        <v>1</v>
      </c>
      <c r="D1104" s="6">
        <v>0</v>
      </c>
      <c r="E1104" s="6">
        <v>-178</v>
      </c>
      <c r="F1104" s="6">
        <v>-0.33</v>
      </c>
      <c r="G1104" s="6">
        <v>0.2</v>
      </c>
      <c r="H1104" s="6">
        <v>36</v>
      </c>
    </row>
    <row r="1105" spans="1:8" ht="18.95" customHeight="1">
      <c r="A1105" s="4">
        <v>1101</v>
      </c>
      <c r="B1105" s="4">
        <v>42248</v>
      </c>
      <c r="C1105" s="4">
        <v>1</v>
      </c>
      <c r="D1105" s="6">
        <v>0</v>
      </c>
      <c r="E1105" s="6">
        <v>-177.63</v>
      </c>
      <c r="F1105" s="6">
        <v>-0.34</v>
      </c>
      <c r="G1105" s="6">
        <v>0.09</v>
      </c>
      <c r="H1105" s="6">
        <v>36</v>
      </c>
    </row>
    <row r="1106" spans="1:8" ht="18.95" customHeight="1">
      <c r="A1106" s="4">
        <v>1102</v>
      </c>
      <c r="B1106" s="4">
        <v>42268</v>
      </c>
      <c r="C1106" s="4">
        <v>1</v>
      </c>
      <c r="D1106" s="6">
        <v>0</v>
      </c>
      <c r="E1106" s="6">
        <v>-177.25</v>
      </c>
      <c r="F1106" s="6">
        <v>-0.35</v>
      </c>
      <c r="G1106" s="6">
        <v>-7.0000000000000007E-2</v>
      </c>
      <c r="H1106" s="6">
        <v>31</v>
      </c>
    </row>
    <row r="1107" spans="1:8" ht="18.95" customHeight="1">
      <c r="A1107" s="4">
        <v>1103</v>
      </c>
      <c r="B1107" s="4">
        <v>42288</v>
      </c>
      <c r="C1107" s="4">
        <v>1</v>
      </c>
      <c r="D1107" s="6">
        <v>0</v>
      </c>
      <c r="E1107" s="6">
        <v>-176.81</v>
      </c>
      <c r="F1107" s="6">
        <v>-0.38</v>
      </c>
      <c r="G1107" s="6">
        <v>0.17</v>
      </c>
      <c r="H1107" s="6">
        <v>31</v>
      </c>
    </row>
    <row r="1108" spans="1:8" ht="18.95" customHeight="1">
      <c r="A1108" s="4">
        <v>1104</v>
      </c>
      <c r="B1108" s="4">
        <v>42308</v>
      </c>
      <c r="C1108" s="4">
        <v>1</v>
      </c>
      <c r="D1108" s="6">
        <v>0</v>
      </c>
      <c r="E1108" s="6">
        <v>-176.38</v>
      </c>
      <c r="F1108" s="6">
        <v>-0.41</v>
      </c>
      <c r="G1108" s="6">
        <v>-0.12</v>
      </c>
      <c r="H1108" s="6">
        <v>31</v>
      </c>
    </row>
    <row r="1109" spans="1:8" ht="18.95" customHeight="1">
      <c r="A1109" s="4">
        <v>1105</v>
      </c>
      <c r="B1109" s="4">
        <v>42328</v>
      </c>
      <c r="C1109" s="4">
        <v>1</v>
      </c>
      <c r="D1109" s="6">
        <v>0</v>
      </c>
      <c r="E1109" s="6">
        <v>-175.88</v>
      </c>
      <c r="F1109" s="6">
        <v>-0.44</v>
      </c>
      <c r="G1109" s="6">
        <v>0.06</v>
      </c>
      <c r="H1109" s="6">
        <v>29</v>
      </c>
    </row>
    <row r="1110" spans="1:8" ht="18.95" customHeight="1">
      <c r="A1110" s="4">
        <v>1106</v>
      </c>
      <c r="B1110" s="4">
        <v>42348</v>
      </c>
      <c r="C1110" s="4">
        <v>1</v>
      </c>
      <c r="D1110" s="6">
        <v>0</v>
      </c>
      <c r="E1110" s="6">
        <v>-175.44</v>
      </c>
      <c r="F1110" s="6">
        <v>-0.44</v>
      </c>
      <c r="G1110" s="6">
        <v>0.33</v>
      </c>
      <c r="H1110" s="6">
        <v>29</v>
      </c>
    </row>
    <row r="1111" spans="1:8" ht="18.95" customHeight="1">
      <c r="A1111" s="4">
        <v>1107</v>
      </c>
      <c r="B1111" s="4">
        <v>42369</v>
      </c>
      <c r="C1111" s="4">
        <v>1</v>
      </c>
      <c r="D1111" s="6">
        <v>0</v>
      </c>
      <c r="E1111" s="6">
        <v>-174.88</v>
      </c>
      <c r="F1111" s="6">
        <v>-0.47</v>
      </c>
      <c r="G1111" s="6">
        <v>0.44</v>
      </c>
      <c r="H1111" s="6">
        <v>27</v>
      </c>
    </row>
    <row r="1112" spans="1:8" ht="18.95" customHeight="1">
      <c r="A1112" s="4">
        <v>1108</v>
      </c>
      <c r="B1112" s="4">
        <v>42389</v>
      </c>
      <c r="C1112" s="4">
        <v>1</v>
      </c>
      <c r="D1112" s="6">
        <v>0</v>
      </c>
      <c r="E1112" s="6">
        <v>-125.87</v>
      </c>
      <c r="F1112" s="6">
        <v>-0.48</v>
      </c>
      <c r="G1112" s="6">
        <v>0.03</v>
      </c>
      <c r="H1112" s="6">
        <v>27</v>
      </c>
    </row>
    <row r="1113" spans="1:8" ht="18.95" customHeight="1">
      <c r="A1113" s="4">
        <v>1109</v>
      </c>
      <c r="B1113" s="4">
        <v>42409</v>
      </c>
      <c r="C1113" s="4">
        <v>1</v>
      </c>
      <c r="D1113" s="6">
        <v>0</v>
      </c>
      <c r="E1113" s="6">
        <v>-123.31</v>
      </c>
      <c r="F1113" s="6">
        <v>-0.51</v>
      </c>
      <c r="G1113" s="6">
        <v>0.25</v>
      </c>
      <c r="H1113" s="6">
        <v>27</v>
      </c>
    </row>
    <row r="1114" spans="1:8" ht="18.95" customHeight="1">
      <c r="A1114" s="4">
        <v>1110</v>
      </c>
      <c r="B1114" s="4">
        <v>42429</v>
      </c>
      <c r="C1114" s="4">
        <v>1</v>
      </c>
      <c r="D1114" s="6">
        <v>0</v>
      </c>
      <c r="E1114" s="6">
        <v>-121</v>
      </c>
      <c r="F1114" s="6">
        <v>-0.51</v>
      </c>
      <c r="G1114" s="6">
        <v>0.32</v>
      </c>
      <c r="H1114" s="6">
        <v>24</v>
      </c>
    </row>
    <row r="1115" spans="1:8" ht="18.95" customHeight="1">
      <c r="A1115" s="4">
        <v>1111</v>
      </c>
      <c r="B1115" s="4">
        <v>42449</v>
      </c>
      <c r="C1115" s="4">
        <v>1</v>
      </c>
      <c r="D1115" s="6">
        <v>0</v>
      </c>
      <c r="E1115" s="6">
        <v>-118.94</v>
      </c>
      <c r="F1115" s="6">
        <v>-0.53</v>
      </c>
      <c r="G1115" s="6">
        <v>-7.0000000000000007E-2</v>
      </c>
      <c r="H1115" s="6">
        <v>24</v>
      </c>
    </row>
    <row r="1116" spans="1:8" ht="18.95" customHeight="1">
      <c r="A1116" s="4">
        <v>1112</v>
      </c>
      <c r="B1116" s="4">
        <v>42469</v>
      </c>
      <c r="C1116" s="4">
        <v>1</v>
      </c>
      <c r="D1116" s="6">
        <v>0</v>
      </c>
      <c r="E1116" s="6">
        <v>-117.06</v>
      </c>
      <c r="F1116" s="6">
        <v>-0.56000000000000005</v>
      </c>
      <c r="G1116" s="6">
        <v>0.51</v>
      </c>
      <c r="H1116" s="6">
        <v>22</v>
      </c>
    </row>
    <row r="1117" spans="1:8" ht="18.95" customHeight="1">
      <c r="A1117" s="4">
        <v>1113</v>
      </c>
      <c r="B1117" s="4">
        <v>42489</v>
      </c>
      <c r="C1117" s="4">
        <v>1</v>
      </c>
      <c r="D1117" s="6">
        <v>0</v>
      </c>
      <c r="E1117" s="6">
        <v>-115.31</v>
      </c>
      <c r="F1117" s="6">
        <v>-0.56000000000000005</v>
      </c>
      <c r="G1117" s="6">
        <v>0.16</v>
      </c>
      <c r="H1117" s="6">
        <v>22</v>
      </c>
    </row>
    <row r="1118" spans="1:8" ht="18.95" customHeight="1">
      <c r="A1118" s="4">
        <v>1114</v>
      </c>
      <c r="B1118" s="4">
        <v>42509</v>
      </c>
      <c r="C1118" s="4">
        <v>1</v>
      </c>
      <c r="D1118" s="6">
        <v>0</v>
      </c>
      <c r="E1118" s="6">
        <v>-113.75</v>
      </c>
      <c r="F1118" s="6">
        <v>-0.56000000000000005</v>
      </c>
      <c r="G1118" s="6">
        <v>0.2</v>
      </c>
      <c r="H1118" s="6">
        <v>22</v>
      </c>
    </row>
    <row r="1119" spans="1:8" ht="18.95" customHeight="1">
      <c r="A1119" s="4">
        <v>1115</v>
      </c>
      <c r="B1119" s="4">
        <v>42529</v>
      </c>
      <c r="C1119" s="4">
        <v>1</v>
      </c>
      <c r="D1119" s="6">
        <v>0</v>
      </c>
      <c r="E1119" s="6">
        <v>-112.37</v>
      </c>
      <c r="F1119" s="6">
        <v>-0.56999999999999995</v>
      </c>
      <c r="G1119" s="6">
        <v>0.05</v>
      </c>
      <c r="H1119" s="6">
        <v>19</v>
      </c>
    </row>
    <row r="1120" spans="1:8" ht="18.95" customHeight="1">
      <c r="A1120" s="4">
        <v>1116</v>
      </c>
      <c r="B1120" s="4">
        <v>42549</v>
      </c>
      <c r="C1120" s="4">
        <v>1</v>
      </c>
      <c r="D1120" s="6">
        <v>0</v>
      </c>
      <c r="E1120" s="6">
        <v>-111.06</v>
      </c>
      <c r="F1120" s="6">
        <v>-0.59</v>
      </c>
      <c r="G1120" s="6">
        <v>0.09</v>
      </c>
      <c r="H1120" s="6">
        <v>19</v>
      </c>
    </row>
    <row r="1121" spans="1:8" ht="18.95" customHeight="1">
      <c r="A1121" s="4">
        <v>1117</v>
      </c>
      <c r="B1121" s="4">
        <v>42569</v>
      </c>
      <c r="C1121" s="4">
        <v>1</v>
      </c>
      <c r="D1121" s="6">
        <v>0</v>
      </c>
      <c r="E1121" s="6">
        <v>-109.87</v>
      </c>
      <c r="F1121" s="6">
        <v>-0.62</v>
      </c>
      <c r="G1121" s="6">
        <v>0.16</v>
      </c>
      <c r="H1121" s="6">
        <v>17</v>
      </c>
    </row>
    <row r="1122" spans="1:8" ht="18.95" customHeight="1">
      <c r="A1122" s="4">
        <v>1118</v>
      </c>
      <c r="B1122" s="4">
        <v>42589</v>
      </c>
      <c r="C1122" s="4">
        <v>1</v>
      </c>
      <c r="D1122" s="6">
        <v>0</v>
      </c>
      <c r="E1122" s="6">
        <v>-108.81</v>
      </c>
      <c r="F1122" s="6">
        <v>-0.6</v>
      </c>
      <c r="G1122" s="6">
        <v>0.02</v>
      </c>
      <c r="H1122" s="6">
        <v>17</v>
      </c>
    </row>
    <row r="1123" spans="1:8" ht="18.95" customHeight="1">
      <c r="A1123" s="4">
        <v>1119</v>
      </c>
      <c r="B1123" s="4">
        <v>42609</v>
      </c>
      <c r="C1123" s="4">
        <v>1</v>
      </c>
      <c r="D1123" s="6">
        <v>0</v>
      </c>
      <c r="E1123" s="6">
        <v>-107.87</v>
      </c>
      <c r="F1123" s="6">
        <v>-0.61</v>
      </c>
      <c r="G1123" s="6">
        <v>0.03</v>
      </c>
      <c r="H1123" s="6">
        <v>17</v>
      </c>
    </row>
    <row r="1124" spans="1:8" ht="18.95" customHeight="1">
      <c r="A1124" s="4">
        <v>1120</v>
      </c>
      <c r="B1124" s="4">
        <v>42629</v>
      </c>
      <c r="C1124" s="4">
        <v>1</v>
      </c>
      <c r="D1124" s="6">
        <v>0</v>
      </c>
      <c r="E1124" s="6">
        <v>-107</v>
      </c>
      <c r="F1124" s="6">
        <v>-0.61</v>
      </c>
      <c r="G1124" s="6">
        <v>0.3</v>
      </c>
      <c r="H1124" s="6">
        <v>17</v>
      </c>
    </row>
    <row r="1125" spans="1:8" ht="18.95" customHeight="1">
      <c r="A1125" s="4">
        <v>1121</v>
      </c>
      <c r="B1125" s="4">
        <v>42649</v>
      </c>
      <c r="C1125" s="4">
        <v>1</v>
      </c>
      <c r="D1125" s="6">
        <v>0</v>
      </c>
      <c r="E1125" s="6">
        <v>-106.19</v>
      </c>
      <c r="F1125" s="6">
        <v>-0.64</v>
      </c>
      <c r="G1125" s="6">
        <v>0.21</v>
      </c>
      <c r="H1125" s="6">
        <v>17</v>
      </c>
    </row>
    <row r="1126" spans="1:8" ht="18.95" customHeight="1">
      <c r="A1126" s="4">
        <v>1122</v>
      </c>
      <c r="B1126" s="4">
        <v>42670</v>
      </c>
      <c r="C1126" s="4">
        <v>1</v>
      </c>
      <c r="D1126" s="6">
        <v>0</v>
      </c>
      <c r="E1126" s="6">
        <v>-105.44</v>
      </c>
      <c r="F1126" s="6">
        <v>-0.61</v>
      </c>
      <c r="G1126" s="6">
        <v>0.55000000000000004</v>
      </c>
      <c r="H1126" s="6">
        <v>17</v>
      </c>
    </row>
    <row r="1127" spans="1:8" ht="18.95" customHeight="1">
      <c r="A1127" s="4">
        <v>1123</v>
      </c>
      <c r="B1127" s="4">
        <v>42690</v>
      </c>
      <c r="C1127" s="4">
        <v>1</v>
      </c>
      <c r="D1127" s="6">
        <v>0</v>
      </c>
      <c r="E1127" s="6">
        <v>-104.75</v>
      </c>
      <c r="F1127" s="6">
        <v>-0.59</v>
      </c>
      <c r="G1127" s="6">
        <v>0.21</v>
      </c>
      <c r="H1127" s="6">
        <v>17</v>
      </c>
    </row>
    <row r="1128" spans="1:8" ht="18.95" customHeight="1">
      <c r="A1128" s="4">
        <v>1124</v>
      </c>
      <c r="B1128" s="4">
        <v>42710</v>
      </c>
      <c r="C1128" s="4">
        <v>1</v>
      </c>
      <c r="D1128" s="6">
        <v>0</v>
      </c>
      <c r="E1128" s="6">
        <v>-104.19</v>
      </c>
      <c r="F1128" s="6">
        <v>-0.61</v>
      </c>
      <c r="G1128" s="6">
        <v>0.05</v>
      </c>
      <c r="H1128" s="6">
        <v>17</v>
      </c>
    </row>
    <row r="1129" spans="1:8" ht="18.95" customHeight="1">
      <c r="A1129" s="4">
        <v>1125</v>
      </c>
      <c r="B1129" s="4">
        <v>42730</v>
      </c>
      <c r="C1129" s="4">
        <v>1</v>
      </c>
      <c r="D1129" s="6">
        <v>0</v>
      </c>
      <c r="E1129" s="6">
        <v>-103.62</v>
      </c>
      <c r="F1129" s="6">
        <v>-0.59</v>
      </c>
      <c r="G1129" s="6">
        <v>0.02</v>
      </c>
      <c r="H1129" s="6">
        <v>16</v>
      </c>
    </row>
    <row r="1130" spans="1:8" ht="18.95" customHeight="1">
      <c r="A1130" s="4">
        <v>1126</v>
      </c>
      <c r="B1130" s="4">
        <v>42750</v>
      </c>
      <c r="C1130" s="4">
        <v>1</v>
      </c>
      <c r="D1130" s="6">
        <v>0</v>
      </c>
      <c r="E1130" s="6">
        <v>-103.12</v>
      </c>
      <c r="F1130" s="6">
        <v>-0.56999999999999995</v>
      </c>
      <c r="G1130" s="6">
        <v>0.12</v>
      </c>
      <c r="H1130" s="6">
        <v>16</v>
      </c>
    </row>
    <row r="1131" spans="1:8" ht="18.95" customHeight="1">
      <c r="A1131" s="4">
        <v>1127</v>
      </c>
      <c r="B1131" s="4">
        <v>42770</v>
      </c>
      <c r="C1131" s="4">
        <v>1</v>
      </c>
      <c r="D1131" s="6">
        <v>0</v>
      </c>
      <c r="E1131" s="6">
        <v>-102.69</v>
      </c>
      <c r="F1131" s="6">
        <v>-0.56000000000000005</v>
      </c>
      <c r="G1131" s="6">
        <v>7.0000000000000007E-2</v>
      </c>
      <c r="H1131" s="6">
        <v>18</v>
      </c>
    </row>
    <row r="1132" spans="1:8" ht="18.95" customHeight="1">
      <c r="A1132" s="4">
        <v>1128</v>
      </c>
      <c r="B1132" s="4">
        <v>42790</v>
      </c>
      <c r="C1132" s="4">
        <v>1</v>
      </c>
      <c r="D1132" s="6">
        <v>0</v>
      </c>
      <c r="E1132" s="6">
        <v>-102.31</v>
      </c>
      <c r="F1132" s="6">
        <v>-0.56000000000000005</v>
      </c>
      <c r="G1132" s="6">
        <v>0.09</v>
      </c>
      <c r="H1132" s="6">
        <v>18</v>
      </c>
    </row>
    <row r="1133" spans="1:8" ht="18.95" customHeight="1">
      <c r="A1133" s="4">
        <v>1129</v>
      </c>
      <c r="B1133" s="4">
        <v>42810</v>
      </c>
      <c r="C1133" s="4">
        <v>1</v>
      </c>
      <c r="D1133" s="6">
        <v>0</v>
      </c>
      <c r="E1133" s="6">
        <v>-101.94</v>
      </c>
      <c r="F1133" s="6">
        <v>-0.54</v>
      </c>
      <c r="G1133" s="6">
        <v>0.1</v>
      </c>
      <c r="H1133" s="6">
        <v>18</v>
      </c>
    </row>
    <row r="1134" spans="1:8" ht="18.95" customHeight="1">
      <c r="A1134" s="4">
        <v>1130</v>
      </c>
      <c r="B1134" s="4">
        <v>42830</v>
      </c>
      <c r="C1134" s="4">
        <v>1</v>
      </c>
      <c r="D1134" s="6">
        <v>0</v>
      </c>
      <c r="E1134" s="6">
        <v>-101.62</v>
      </c>
      <c r="F1134" s="6">
        <v>-0.5</v>
      </c>
      <c r="G1134" s="6">
        <v>0.06</v>
      </c>
      <c r="H1134" s="6">
        <v>21</v>
      </c>
    </row>
    <row r="1135" spans="1:8" ht="18.95" customHeight="1">
      <c r="A1135" s="4">
        <v>1131</v>
      </c>
      <c r="B1135" s="4">
        <v>42850</v>
      </c>
      <c r="C1135" s="4">
        <v>1</v>
      </c>
      <c r="D1135" s="6">
        <v>0</v>
      </c>
      <c r="E1135" s="6">
        <v>-101.37</v>
      </c>
      <c r="F1135" s="6">
        <v>-0.48</v>
      </c>
      <c r="G1135" s="6">
        <v>0.11</v>
      </c>
      <c r="H1135" s="6">
        <v>21</v>
      </c>
    </row>
    <row r="1136" spans="1:8" ht="18.95" customHeight="1">
      <c r="A1136" s="4">
        <v>1132</v>
      </c>
      <c r="B1136" s="4">
        <v>42870</v>
      </c>
      <c r="C1136" s="4">
        <v>1</v>
      </c>
      <c r="D1136" s="6">
        <v>0</v>
      </c>
      <c r="E1136" s="6">
        <v>-101.06</v>
      </c>
      <c r="F1136" s="6">
        <v>-0.47</v>
      </c>
      <c r="G1136" s="6">
        <v>0.08</v>
      </c>
      <c r="H1136" s="6">
        <v>22</v>
      </c>
    </row>
    <row r="1137" spans="1:8" ht="18.95" customHeight="1">
      <c r="A1137" s="4">
        <v>1133</v>
      </c>
      <c r="B1137" s="4">
        <v>42890</v>
      </c>
      <c r="C1137" s="4">
        <v>1</v>
      </c>
      <c r="D1137" s="6">
        <v>0</v>
      </c>
      <c r="E1137" s="6">
        <v>-100.81</v>
      </c>
      <c r="F1137" s="6">
        <v>-0.47</v>
      </c>
      <c r="G1137" s="6">
        <v>0.02</v>
      </c>
      <c r="H1137" s="6">
        <v>22</v>
      </c>
    </row>
    <row r="1138" spans="1:8" ht="18.95" customHeight="1">
      <c r="A1138" s="4">
        <v>1134</v>
      </c>
      <c r="B1138" s="4">
        <v>42910</v>
      </c>
      <c r="C1138" s="4">
        <v>1</v>
      </c>
      <c r="D1138" s="6">
        <v>0</v>
      </c>
      <c r="E1138" s="6">
        <v>-100.5</v>
      </c>
      <c r="F1138" s="6">
        <v>-0.46</v>
      </c>
      <c r="G1138" s="6">
        <v>-0.23</v>
      </c>
      <c r="H1138" s="6">
        <v>22</v>
      </c>
    </row>
    <row r="1139" spans="1:8" ht="18.95" customHeight="1">
      <c r="A1139" s="4">
        <v>1135</v>
      </c>
      <c r="B1139" s="4">
        <v>42930</v>
      </c>
      <c r="C1139" s="4">
        <v>1</v>
      </c>
      <c r="D1139" s="6">
        <v>0</v>
      </c>
      <c r="E1139" s="6">
        <v>-100.31</v>
      </c>
      <c r="F1139" s="6">
        <v>-0.43</v>
      </c>
      <c r="G1139" s="6">
        <v>-0.01</v>
      </c>
      <c r="H1139" s="6">
        <v>26</v>
      </c>
    </row>
    <row r="1140" spans="1:8" ht="18.95" customHeight="1">
      <c r="A1140" s="4">
        <v>1136</v>
      </c>
      <c r="B1140" s="4">
        <v>42950</v>
      </c>
      <c r="C1140" s="4">
        <v>1</v>
      </c>
      <c r="D1140" s="6">
        <v>0</v>
      </c>
      <c r="E1140" s="6">
        <v>-100.06</v>
      </c>
      <c r="F1140" s="6">
        <v>-0.45</v>
      </c>
      <c r="G1140" s="6">
        <v>0.1</v>
      </c>
      <c r="H1140" s="6">
        <v>26</v>
      </c>
    </row>
    <row r="1141" spans="1:8" ht="18.95" customHeight="1">
      <c r="A1141" s="4">
        <v>1137</v>
      </c>
      <c r="B1141" s="4">
        <v>42970</v>
      </c>
      <c r="C1141" s="4">
        <v>1</v>
      </c>
      <c r="D1141" s="6">
        <v>0</v>
      </c>
      <c r="E1141" s="6">
        <v>-99.87</v>
      </c>
      <c r="F1141" s="6">
        <v>-0.43</v>
      </c>
      <c r="G1141" s="6">
        <v>-0.19</v>
      </c>
      <c r="H1141" s="6">
        <v>27</v>
      </c>
    </row>
    <row r="1142" spans="1:8" ht="18.95" customHeight="1">
      <c r="A1142" s="4">
        <v>1138</v>
      </c>
      <c r="B1142" s="4">
        <v>42990</v>
      </c>
      <c r="C1142" s="4">
        <v>1</v>
      </c>
      <c r="D1142" s="6">
        <v>0</v>
      </c>
      <c r="E1142" s="6">
        <v>-99.69</v>
      </c>
      <c r="F1142" s="6">
        <v>-0.4</v>
      </c>
      <c r="G1142" s="6">
        <v>0.03</v>
      </c>
      <c r="H1142" s="6">
        <v>27</v>
      </c>
    </row>
    <row r="1143" spans="1:8" ht="18.95" customHeight="1">
      <c r="A1143" s="4">
        <v>1139</v>
      </c>
      <c r="B1143" s="4">
        <v>43010</v>
      </c>
      <c r="C1143" s="4">
        <v>1</v>
      </c>
      <c r="D1143" s="6">
        <v>0</v>
      </c>
      <c r="E1143" s="6">
        <v>-99.5</v>
      </c>
      <c r="F1143" s="6">
        <v>-0.37</v>
      </c>
      <c r="G1143" s="6">
        <v>0.19</v>
      </c>
      <c r="H1143" s="6">
        <v>27</v>
      </c>
    </row>
    <row r="1144" spans="1:8" ht="18.95" customHeight="1">
      <c r="A1144" s="4">
        <v>1140</v>
      </c>
      <c r="B1144" s="4">
        <v>43030</v>
      </c>
      <c r="C1144" s="4">
        <v>1</v>
      </c>
      <c r="D1144" s="6">
        <v>0</v>
      </c>
      <c r="E1144" s="6">
        <v>-99.37</v>
      </c>
      <c r="F1144" s="6">
        <v>-0.34</v>
      </c>
      <c r="G1144" s="6">
        <v>0</v>
      </c>
      <c r="H1144" s="6">
        <v>32</v>
      </c>
    </row>
    <row r="1145" spans="1:8" ht="18.95" customHeight="1">
      <c r="A1145" s="4">
        <v>1141</v>
      </c>
      <c r="B1145" s="4">
        <v>43051</v>
      </c>
      <c r="C1145" s="4">
        <v>1</v>
      </c>
      <c r="D1145" s="6">
        <v>0</v>
      </c>
      <c r="E1145" s="6">
        <v>-99.19</v>
      </c>
      <c r="F1145" s="6">
        <v>-0.33</v>
      </c>
      <c r="G1145" s="6">
        <v>-0.01</v>
      </c>
      <c r="H1145" s="6">
        <v>32</v>
      </c>
    </row>
    <row r="1146" spans="1:8" ht="18.95" customHeight="1">
      <c r="A1146" s="4">
        <v>1142</v>
      </c>
      <c r="B1146" s="4">
        <v>43071</v>
      </c>
      <c r="C1146" s="4">
        <v>1</v>
      </c>
      <c r="D1146" s="6">
        <v>0</v>
      </c>
      <c r="E1146" s="6">
        <v>-99.06</v>
      </c>
      <c r="F1146" s="6">
        <v>-0.3</v>
      </c>
      <c r="G1146" s="6">
        <v>0.01</v>
      </c>
      <c r="H1146" s="6">
        <v>36</v>
      </c>
    </row>
    <row r="1147" spans="1:8" ht="18.95" customHeight="1">
      <c r="A1147" s="4">
        <v>1143</v>
      </c>
      <c r="B1147" s="4">
        <v>43091</v>
      </c>
      <c r="C1147" s="4">
        <v>1</v>
      </c>
      <c r="D1147" s="6">
        <v>0</v>
      </c>
      <c r="E1147" s="6">
        <v>-99.06</v>
      </c>
      <c r="F1147" s="6">
        <v>-0.28999999999999998</v>
      </c>
      <c r="G1147" s="6">
        <v>-0.11</v>
      </c>
      <c r="H1147" s="6">
        <v>36</v>
      </c>
    </row>
    <row r="1148" spans="1:8" ht="18.95" customHeight="1">
      <c r="A1148" s="4">
        <v>1144</v>
      </c>
      <c r="B1148" s="4">
        <v>43111</v>
      </c>
      <c r="C1148" s="4">
        <v>1</v>
      </c>
      <c r="D1148" s="6">
        <v>0</v>
      </c>
      <c r="E1148" s="6">
        <v>-99</v>
      </c>
      <c r="F1148" s="6">
        <v>-0.26</v>
      </c>
      <c r="G1148" s="6">
        <v>-0.06</v>
      </c>
      <c r="H1148" s="6">
        <v>36</v>
      </c>
    </row>
    <row r="1149" spans="1:8" ht="18.95" customHeight="1">
      <c r="A1149" s="4">
        <v>1145</v>
      </c>
      <c r="B1149" s="4">
        <v>43131</v>
      </c>
      <c r="C1149" s="4">
        <v>1</v>
      </c>
      <c r="D1149" s="6">
        <v>0</v>
      </c>
      <c r="E1149" s="6">
        <v>-98.94</v>
      </c>
      <c r="F1149" s="6">
        <v>-0.24</v>
      </c>
      <c r="G1149" s="6">
        <v>7.0000000000000007E-2</v>
      </c>
      <c r="H1149" s="6">
        <v>39</v>
      </c>
    </row>
    <row r="1150" spans="1:8" ht="18.95" customHeight="1">
      <c r="A1150" s="4">
        <v>1146</v>
      </c>
      <c r="B1150" s="4">
        <v>43151</v>
      </c>
      <c r="C1150" s="4">
        <v>1</v>
      </c>
      <c r="D1150" s="6">
        <v>0</v>
      </c>
      <c r="E1150" s="6">
        <v>-98.94</v>
      </c>
      <c r="F1150" s="6">
        <v>-0.22</v>
      </c>
      <c r="G1150" s="6">
        <v>0.06</v>
      </c>
      <c r="H1150" s="6">
        <v>39</v>
      </c>
    </row>
    <row r="1151" spans="1:8" ht="18.95" customHeight="1">
      <c r="A1151" s="4">
        <v>1147</v>
      </c>
      <c r="B1151" s="4">
        <v>43171</v>
      </c>
      <c r="C1151" s="4">
        <v>1</v>
      </c>
      <c r="D1151" s="6">
        <v>0</v>
      </c>
      <c r="E1151" s="6">
        <v>-98.87</v>
      </c>
      <c r="F1151" s="6">
        <v>-0.18</v>
      </c>
      <c r="G1151" s="6">
        <v>-0.17</v>
      </c>
      <c r="H1151" s="6">
        <v>43</v>
      </c>
    </row>
    <row r="1152" spans="1:8" ht="18.95" customHeight="1">
      <c r="A1152" s="4">
        <v>1148</v>
      </c>
      <c r="B1152" s="4">
        <v>43191</v>
      </c>
      <c r="C1152" s="4">
        <v>1</v>
      </c>
      <c r="D1152" s="6">
        <v>0</v>
      </c>
      <c r="E1152" s="6">
        <v>-98.87</v>
      </c>
      <c r="F1152" s="6">
        <v>-0.17</v>
      </c>
      <c r="G1152" s="6">
        <v>0.13</v>
      </c>
      <c r="H1152" s="6">
        <v>43</v>
      </c>
    </row>
    <row r="1153" spans="1:8" ht="18.95" customHeight="1">
      <c r="A1153" s="4">
        <v>1149</v>
      </c>
      <c r="B1153" s="4">
        <v>43211</v>
      </c>
      <c r="C1153" s="4">
        <v>1</v>
      </c>
      <c r="D1153" s="6">
        <v>0</v>
      </c>
      <c r="E1153" s="6">
        <v>-98.81</v>
      </c>
      <c r="F1153" s="6">
        <v>-0.15</v>
      </c>
      <c r="G1153" s="6">
        <v>0.09</v>
      </c>
      <c r="H1153" s="6">
        <v>43</v>
      </c>
    </row>
    <row r="1154" spans="1:8" ht="18.95" customHeight="1">
      <c r="A1154" s="4">
        <v>1150</v>
      </c>
      <c r="B1154" s="4">
        <v>43231</v>
      </c>
      <c r="C1154" s="4">
        <v>1</v>
      </c>
      <c r="D1154" s="6">
        <v>0</v>
      </c>
      <c r="E1154" s="6">
        <v>-98.81</v>
      </c>
      <c r="F1154" s="6">
        <v>-0.14000000000000001</v>
      </c>
      <c r="G1154" s="6">
        <v>0.06</v>
      </c>
      <c r="H1154" s="6">
        <v>47</v>
      </c>
    </row>
    <row r="1155" spans="1:8" ht="18.95" customHeight="1">
      <c r="A1155" s="4">
        <v>1151</v>
      </c>
      <c r="B1155" s="4">
        <v>43251</v>
      </c>
      <c r="C1155" s="4">
        <v>1</v>
      </c>
      <c r="D1155" s="6">
        <v>0</v>
      </c>
      <c r="E1155" s="6">
        <v>-98.75</v>
      </c>
      <c r="F1155" s="6">
        <v>-0.12</v>
      </c>
      <c r="G1155" s="6">
        <v>-0.02</v>
      </c>
      <c r="H1155" s="6">
        <v>47</v>
      </c>
    </row>
    <row r="1156" spans="1:8" ht="18.95" customHeight="1">
      <c r="A1156" s="4">
        <v>1152</v>
      </c>
      <c r="B1156" s="4">
        <v>43271</v>
      </c>
      <c r="C1156" s="4">
        <v>1</v>
      </c>
      <c r="D1156" s="6">
        <v>0</v>
      </c>
      <c r="E1156" s="6">
        <v>-98.75</v>
      </c>
      <c r="F1156" s="6">
        <v>-0.09</v>
      </c>
      <c r="G1156" s="6">
        <v>-0.09</v>
      </c>
      <c r="H1156" s="6">
        <v>49</v>
      </c>
    </row>
    <row r="1157" spans="1:8" ht="18.95" customHeight="1">
      <c r="A1157" s="4">
        <v>1153</v>
      </c>
      <c r="B1157" s="4">
        <v>43291</v>
      </c>
      <c r="C1157" s="4">
        <v>1</v>
      </c>
      <c r="D1157" s="6">
        <v>0</v>
      </c>
      <c r="E1157" s="6">
        <v>-98.75</v>
      </c>
      <c r="F1157" s="6">
        <v>-7.0000000000000007E-2</v>
      </c>
      <c r="G1157" s="6">
        <v>-0.01</v>
      </c>
      <c r="H1157" s="6">
        <v>49</v>
      </c>
    </row>
    <row r="1158" spans="1:8" ht="18.95" customHeight="1">
      <c r="A1158" s="4">
        <v>1154</v>
      </c>
      <c r="B1158" s="4">
        <v>43311</v>
      </c>
      <c r="C1158" s="4">
        <v>1</v>
      </c>
      <c r="D1158" s="6">
        <v>0</v>
      </c>
      <c r="E1158" s="6">
        <v>-98.81</v>
      </c>
      <c r="F1158" s="6">
        <v>-0.05</v>
      </c>
      <c r="G1158" s="6">
        <v>0.04</v>
      </c>
      <c r="H1158" s="6">
        <v>49</v>
      </c>
    </row>
    <row r="1159" spans="1:8" ht="18.95" customHeight="1">
      <c r="A1159" s="4">
        <v>1155</v>
      </c>
      <c r="B1159" s="4">
        <v>43331</v>
      </c>
      <c r="C1159" s="4">
        <v>1</v>
      </c>
      <c r="D1159" s="6">
        <v>0</v>
      </c>
      <c r="E1159" s="6">
        <v>-98.81</v>
      </c>
      <c r="F1159" s="6">
        <v>-0.03</v>
      </c>
      <c r="G1159" s="6">
        <v>-0.16</v>
      </c>
      <c r="H1159" s="6">
        <v>52</v>
      </c>
    </row>
    <row r="1160" spans="1:8" ht="18.95" customHeight="1">
      <c r="A1160" s="4">
        <v>1156</v>
      </c>
      <c r="B1160" s="4">
        <v>43351</v>
      </c>
      <c r="C1160" s="4">
        <v>1</v>
      </c>
      <c r="D1160" s="6">
        <v>0</v>
      </c>
      <c r="E1160" s="6">
        <v>-98.87</v>
      </c>
      <c r="F1160" s="6">
        <v>-0.01</v>
      </c>
      <c r="G1160" s="6">
        <v>0.04</v>
      </c>
      <c r="H1160" s="6">
        <v>52</v>
      </c>
    </row>
    <row r="1161" spans="1:8" ht="18.95" customHeight="1">
      <c r="A1161" s="4">
        <v>1157</v>
      </c>
      <c r="B1161" s="4">
        <v>43371</v>
      </c>
      <c r="C1161" s="4">
        <v>1</v>
      </c>
      <c r="D1161" s="6">
        <v>0</v>
      </c>
      <c r="E1161" s="6">
        <v>-98.87</v>
      </c>
      <c r="F1161" s="6">
        <v>0.01</v>
      </c>
      <c r="G1161" s="6">
        <v>-0.01</v>
      </c>
      <c r="H1161" s="6">
        <v>56</v>
      </c>
    </row>
    <row r="1162" spans="1:8" ht="18.95" customHeight="1">
      <c r="A1162" s="4">
        <v>1158</v>
      </c>
      <c r="B1162" s="4">
        <v>43392</v>
      </c>
      <c r="C1162" s="4">
        <v>1</v>
      </c>
      <c r="D1162" s="6">
        <v>0</v>
      </c>
      <c r="E1162" s="6">
        <v>-98.94</v>
      </c>
      <c r="F1162" s="6">
        <v>0.03</v>
      </c>
      <c r="G1162" s="6">
        <v>-0.03</v>
      </c>
      <c r="H1162" s="6">
        <v>56</v>
      </c>
    </row>
    <row r="1163" spans="1:8" ht="18.95" customHeight="1">
      <c r="A1163" s="4">
        <v>1159</v>
      </c>
      <c r="B1163" s="4">
        <v>43412</v>
      </c>
      <c r="C1163" s="4">
        <v>1</v>
      </c>
      <c r="D1163" s="6">
        <v>0</v>
      </c>
      <c r="E1163" s="6">
        <v>-99</v>
      </c>
      <c r="F1163" s="6">
        <v>0.06</v>
      </c>
      <c r="G1163" s="6">
        <v>-0.08</v>
      </c>
      <c r="H1163" s="6">
        <v>56</v>
      </c>
    </row>
    <row r="1164" spans="1:8" ht="18.95" customHeight="1">
      <c r="A1164" s="4">
        <v>1160</v>
      </c>
      <c r="B1164" s="4">
        <v>43432</v>
      </c>
      <c r="C1164" s="4">
        <v>1</v>
      </c>
      <c r="D1164" s="6">
        <v>0</v>
      </c>
      <c r="E1164" s="6">
        <v>-99.06</v>
      </c>
      <c r="F1164" s="6">
        <v>0.08</v>
      </c>
      <c r="G1164" s="6">
        <v>-0.01</v>
      </c>
      <c r="H1164" s="6">
        <v>59</v>
      </c>
    </row>
    <row r="1165" spans="1:8" ht="18.95" customHeight="1">
      <c r="A1165" s="4">
        <v>1161</v>
      </c>
      <c r="B1165" s="4">
        <v>43452</v>
      </c>
      <c r="C1165" s="4">
        <v>1</v>
      </c>
      <c r="D1165" s="6">
        <v>0</v>
      </c>
      <c r="E1165" s="6">
        <v>-99.12</v>
      </c>
      <c r="F1165" s="6">
        <v>0.09</v>
      </c>
      <c r="G1165" s="6">
        <v>-0.16</v>
      </c>
      <c r="H1165" s="6">
        <v>59</v>
      </c>
    </row>
    <row r="1166" spans="1:8" ht="18.95" customHeight="1">
      <c r="A1166" s="4">
        <v>1162</v>
      </c>
      <c r="B1166" s="4">
        <v>43472</v>
      </c>
      <c r="C1166" s="4">
        <v>1</v>
      </c>
      <c r="D1166" s="6">
        <v>0</v>
      </c>
      <c r="E1166" s="6">
        <v>-99.19</v>
      </c>
      <c r="F1166" s="6">
        <v>0.12</v>
      </c>
      <c r="G1166" s="6">
        <v>0.18</v>
      </c>
      <c r="H1166" s="6">
        <v>63</v>
      </c>
    </row>
    <row r="1167" spans="1:8" ht="18.95" customHeight="1">
      <c r="A1167" s="4">
        <v>1163</v>
      </c>
      <c r="B1167" s="4">
        <v>43492</v>
      </c>
      <c r="C1167" s="4">
        <v>1</v>
      </c>
      <c r="D1167" s="6">
        <v>0</v>
      </c>
      <c r="E1167" s="6">
        <v>-99.19</v>
      </c>
      <c r="F1167" s="6">
        <v>0.13</v>
      </c>
      <c r="G1167" s="6">
        <v>-0.02</v>
      </c>
      <c r="H1167" s="6">
        <v>63</v>
      </c>
    </row>
    <row r="1168" spans="1:8" ht="18.95" customHeight="1">
      <c r="A1168" s="4">
        <v>1164</v>
      </c>
      <c r="B1168" s="4">
        <v>43512</v>
      </c>
      <c r="C1168" s="4">
        <v>1</v>
      </c>
      <c r="D1168" s="6">
        <v>0</v>
      </c>
      <c r="E1168" s="6">
        <v>-99.25</v>
      </c>
      <c r="F1168" s="6">
        <v>0.17</v>
      </c>
      <c r="G1168" s="6">
        <v>-0.04</v>
      </c>
      <c r="H1168" s="6">
        <v>63</v>
      </c>
    </row>
    <row r="1169" spans="1:8" ht="18.95" customHeight="1">
      <c r="A1169" s="4">
        <v>1165</v>
      </c>
      <c r="B1169" s="4">
        <v>43532</v>
      </c>
      <c r="C1169" s="4">
        <v>1</v>
      </c>
      <c r="D1169" s="6">
        <v>0</v>
      </c>
      <c r="E1169" s="6">
        <v>-99.31</v>
      </c>
      <c r="F1169" s="6">
        <v>0.18</v>
      </c>
      <c r="G1169" s="6">
        <v>-0.02</v>
      </c>
      <c r="H1169" s="6">
        <v>67</v>
      </c>
    </row>
    <row r="1170" spans="1:8" ht="18.95" customHeight="1">
      <c r="A1170" s="4">
        <v>1166</v>
      </c>
      <c r="B1170" s="4">
        <v>43552</v>
      </c>
      <c r="C1170" s="4">
        <v>1</v>
      </c>
      <c r="D1170" s="6">
        <v>0</v>
      </c>
      <c r="E1170" s="6">
        <v>-99.37</v>
      </c>
      <c r="F1170" s="6">
        <v>0.19</v>
      </c>
      <c r="G1170" s="6">
        <v>-0.02</v>
      </c>
      <c r="H1170" s="6">
        <v>67</v>
      </c>
    </row>
    <row r="1171" spans="1:8" ht="18.95" customHeight="1">
      <c r="A1171" s="4">
        <v>1167</v>
      </c>
      <c r="B1171" s="4">
        <v>43572</v>
      </c>
      <c r="C1171" s="4">
        <v>1</v>
      </c>
      <c r="D1171" s="6">
        <v>0</v>
      </c>
      <c r="E1171" s="6">
        <v>-99.44</v>
      </c>
      <c r="F1171" s="6">
        <v>0.21</v>
      </c>
      <c r="G1171" s="6">
        <v>-0.06</v>
      </c>
      <c r="H1171" s="6">
        <v>69</v>
      </c>
    </row>
    <row r="1172" spans="1:8" ht="18.95" customHeight="1">
      <c r="A1172" s="4">
        <v>1168</v>
      </c>
      <c r="B1172" s="4">
        <v>43592</v>
      </c>
      <c r="C1172" s="4">
        <v>1</v>
      </c>
      <c r="D1172" s="6">
        <v>0</v>
      </c>
      <c r="E1172" s="6">
        <v>-99.56</v>
      </c>
      <c r="F1172" s="6">
        <v>0.23</v>
      </c>
      <c r="G1172" s="6">
        <v>0</v>
      </c>
      <c r="H1172" s="6">
        <v>69</v>
      </c>
    </row>
    <row r="1173" spans="1:8" ht="18.95" customHeight="1">
      <c r="A1173" s="4">
        <v>1169</v>
      </c>
      <c r="B1173" s="4">
        <v>43612</v>
      </c>
      <c r="C1173" s="4">
        <v>1</v>
      </c>
      <c r="D1173" s="6">
        <v>0</v>
      </c>
      <c r="E1173" s="6">
        <v>-99.62</v>
      </c>
      <c r="F1173" s="6">
        <v>0.26</v>
      </c>
      <c r="G1173" s="6">
        <v>-0.03</v>
      </c>
      <c r="H1173" s="6">
        <v>69</v>
      </c>
    </row>
    <row r="1174" spans="1:8" ht="18.95" customHeight="1">
      <c r="A1174" s="4">
        <v>1170</v>
      </c>
      <c r="B1174" s="4">
        <v>43632</v>
      </c>
      <c r="C1174" s="4">
        <v>1</v>
      </c>
      <c r="D1174" s="6">
        <v>0</v>
      </c>
      <c r="E1174" s="6">
        <v>-99.75</v>
      </c>
      <c r="F1174" s="6">
        <v>0.28999999999999998</v>
      </c>
      <c r="G1174" s="6">
        <v>-0.01</v>
      </c>
      <c r="H1174" s="6">
        <v>70</v>
      </c>
    </row>
    <row r="1175" spans="1:8" ht="18.95" customHeight="1">
      <c r="A1175" s="4">
        <v>1171</v>
      </c>
      <c r="B1175" s="4">
        <v>43652</v>
      </c>
      <c r="C1175" s="4">
        <v>1</v>
      </c>
      <c r="D1175" s="6">
        <v>0</v>
      </c>
      <c r="E1175" s="6">
        <v>-99.87</v>
      </c>
      <c r="F1175" s="6">
        <v>0.28000000000000003</v>
      </c>
      <c r="G1175" s="6">
        <v>0.19</v>
      </c>
      <c r="H1175" s="6">
        <v>70</v>
      </c>
    </row>
    <row r="1176" spans="1:8" ht="18.95" customHeight="1">
      <c r="A1176" s="4">
        <v>1172</v>
      </c>
      <c r="B1176" s="4">
        <v>43672</v>
      </c>
      <c r="C1176" s="4">
        <v>1</v>
      </c>
      <c r="D1176" s="6">
        <v>0</v>
      </c>
      <c r="E1176" s="6">
        <v>-100</v>
      </c>
      <c r="F1176" s="6">
        <v>0.31</v>
      </c>
      <c r="G1176" s="6">
        <v>0.02</v>
      </c>
      <c r="H1176" s="6">
        <v>74</v>
      </c>
    </row>
    <row r="1177" spans="1:8" ht="18.95" customHeight="1">
      <c r="A1177" s="4">
        <v>1173</v>
      </c>
      <c r="B1177" s="4">
        <v>43692</v>
      </c>
      <c r="C1177" s="4">
        <v>1</v>
      </c>
      <c r="D1177" s="6">
        <v>0</v>
      </c>
      <c r="E1177" s="6">
        <v>-100.12</v>
      </c>
      <c r="F1177" s="6">
        <v>0.32</v>
      </c>
      <c r="G1177" s="6">
        <v>0.06</v>
      </c>
      <c r="H1177" s="6">
        <v>74</v>
      </c>
    </row>
    <row r="1178" spans="1:8" ht="18.95" customHeight="1">
      <c r="A1178" s="4">
        <v>1174</v>
      </c>
      <c r="B1178" s="4">
        <v>43712</v>
      </c>
      <c r="C1178" s="4">
        <v>1</v>
      </c>
      <c r="D1178" s="6">
        <v>0</v>
      </c>
      <c r="E1178" s="6">
        <v>-100.31</v>
      </c>
      <c r="F1178" s="6">
        <v>0.35</v>
      </c>
      <c r="G1178" s="6">
        <v>0.13</v>
      </c>
      <c r="H1178" s="6">
        <v>74</v>
      </c>
    </row>
    <row r="1179" spans="1:8" ht="18.95" customHeight="1">
      <c r="A1179" s="4">
        <v>1175</v>
      </c>
      <c r="B1179" s="4">
        <v>43732</v>
      </c>
      <c r="C1179" s="4">
        <v>1</v>
      </c>
      <c r="D1179" s="6">
        <v>0</v>
      </c>
      <c r="E1179" s="6">
        <v>-100.44</v>
      </c>
      <c r="F1179" s="6">
        <v>0.36</v>
      </c>
      <c r="G1179" s="6">
        <v>0.09</v>
      </c>
      <c r="H1179" s="6">
        <v>79</v>
      </c>
    </row>
    <row r="1180" spans="1:8" ht="18.95" customHeight="1">
      <c r="A1180" s="4">
        <v>1176</v>
      </c>
      <c r="B1180" s="4">
        <v>43752</v>
      </c>
      <c r="C1180" s="4">
        <v>1</v>
      </c>
      <c r="D1180" s="6">
        <v>0</v>
      </c>
      <c r="E1180" s="6">
        <v>-100.62</v>
      </c>
      <c r="F1180" s="6">
        <v>0.36</v>
      </c>
      <c r="G1180" s="6">
        <v>0.19</v>
      </c>
      <c r="H1180" s="6">
        <v>79</v>
      </c>
    </row>
    <row r="1181" spans="1:8" ht="18.95" customHeight="1">
      <c r="A1181" s="4">
        <v>1177</v>
      </c>
      <c r="B1181" s="4">
        <v>43772</v>
      </c>
      <c r="C1181" s="4">
        <v>1</v>
      </c>
      <c r="D1181" s="6">
        <v>0</v>
      </c>
      <c r="E1181" s="6">
        <v>-100.81</v>
      </c>
      <c r="F1181" s="6">
        <v>0.39</v>
      </c>
      <c r="G1181" s="6">
        <v>0.04</v>
      </c>
      <c r="H1181" s="6">
        <v>78</v>
      </c>
    </row>
    <row r="1182" spans="1:8" ht="18.95" customHeight="1">
      <c r="A1182" s="4">
        <v>1178</v>
      </c>
      <c r="B1182" s="4">
        <v>43792</v>
      </c>
      <c r="C1182" s="4">
        <v>1</v>
      </c>
      <c r="D1182" s="6">
        <v>0</v>
      </c>
      <c r="E1182" s="6">
        <v>-101</v>
      </c>
      <c r="F1182" s="6">
        <v>0.4</v>
      </c>
      <c r="G1182" s="6">
        <v>-0.02</v>
      </c>
      <c r="H1182" s="6">
        <v>78</v>
      </c>
    </row>
    <row r="1183" spans="1:8" ht="18.95" customHeight="1">
      <c r="A1183" s="4">
        <v>1179</v>
      </c>
      <c r="B1183" s="4">
        <v>43812</v>
      </c>
      <c r="C1183" s="4">
        <v>1</v>
      </c>
      <c r="D1183" s="6">
        <v>0</v>
      </c>
      <c r="E1183" s="6">
        <v>-101.25</v>
      </c>
      <c r="F1183" s="6">
        <v>0.43</v>
      </c>
      <c r="G1183" s="6">
        <v>0.06</v>
      </c>
      <c r="H1183" s="6">
        <v>78</v>
      </c>
    </row>
    <row r="1184" spans="1:8" ht="18.95" customHeight="1">
      <c r="A1184" s="4">
        <v>1180</v>
      </c>
      <c r="B1184" s="4">
        <v>43832</v>
      </c>
      <c r="C1184" s="4">
        <v>1</v>
      </c>
      <c r="D1184" s="6">
        <v>0</v>
      </c>
      <c r="E1184" s="6">
        <v>-101.5</v>
      </c>
      <c r="F1184" s="6">
        <v>0.44</v>
      </c>
      <c r="G1184" s="6">
        <v>0.11</v>
      </c>
      <c r="H1184" s="6">
        <v>77</v>
      </c>
    </row>
    <row r="1185" spans="1:8" ht="18.95" customHeight="1">
      <c r="A1185" s="4">
        <v>1181</v>
      </c>
      <c r="B1185" s="4">
        <v>43852</v>
      </c>
      <c r="C1185" s="4">
        <v>1</v>
      </c>
      <c r="D1185" s="6">
        <v>0</v>
      </c>
      <c r="E1185" s="6">
        <v>-101.81</v>
      </c>
      <c r="F1185" s="6">
        <v>0.45</v>
      </c>
      <c r="G1185" s="6">
        <v>0.15</v>
      </c>
      <c r="H1185" s="6">
        <v>77</v>
      </c>
    </row>
    <row r="1186" spans="1:8" ht="18.95" customHeight="1">
      <c r="A1186" s="4">
        <v>1182</v>
      </c>
      <c r="B1186" s="4">
        <v>43872</v>
      </c>
      <c r="C1186" s="4">
        <v>1</v>
      </c>
      <c r="D1186" s="6">
        <v>0</v>
      </c>
      <c r="E1186" s="6">
        <v>-102.12</v>
      </c>
      <c r="F1186" s="6">
        <v>0.49</v>
      </c>
      <c r="G1186" s="6">
        <v>-0.05</v>
      </c>
      <c r="H1186" s="6">
        <v>81</v>
      </c>
    </row>
    <row r="1187" spans="1:8" ht="18.95" customHeight="1">
      <c r="A1187" s="4">
        <v>1183</v>
      </c>
      <c r="B1187" s="4">
        <v>43892</v>
      </c>
      <c r="C1187" s="4">
        <v>1</v>
      </c>
      <c r="D1187" s="6">
        <v>0</v>
      </c>
      <c r="E1187" s="6">
        <v>-102.44</v>
      </c>
      <c r="F1187" s="6">
        <v>0.49</v>
      </c>
      <c r="G1187" s="6">
        <v>-0.05</v>
      </c>
      <c r="H1187" s="6">
        <v>81</v>
      </c>
    </row>
    <row r="1188" spans="1:8" ht="18.95" customHeight="1">
      <c r="A1188" s="4">
        <v>1184</v>
      </c>
      <c r="B1188" s="4">
        <v>43912</v>
      </c>
      <c r="C1188" s="4">
        <v>1</v>
      </c>
      <c r="D1188" s="6">
        <v>0</v>
      </c>
      <c r="E1188" s="6">
        <v>-102.81</v>
      </c>
      <c r="F1188" s="6">
        <v>0.49</v>
      </c>
      <c r="G1188" s="6">
        <v>-0.02</v>
      </c>
      <c r="H1188" s="6">
        <v>81</v>
      </c>
    </row>
    <row r="1189" spans="1:8" ht="18.95" customHeight="1">
      <c r="A1189" s="4">
        <v>1185</v>
      </c>
      <c r="B1189" s="4">
        <v>43932</v>
      </c>
      <c r="C1189" s="4">
        <v>1</v>
      </c>
      <c r="D1189" s="6">
        <v>0</v>
      </c>
      <c r="E1189" s="6">
        <v>-103.19</v>
      </c>
      <c r="F1189" s="6">
        <v>0.51</v>
      </c>
      <c r="G1189" s="6">
        <v>0.13</v>
      </c>
      <c r="H1189" s="6">
        <v>78</v>
      </c>
    </row>
    <row r="1190" spans="1:8" ht="18.95" customHeight="1">
      <c r="A1190" s="4">
        <v>1186</v>
      </c>
      <c r="B1190" s="4">
        <v>43952</v>
      </c>
      <c r="C1190" s="4">
        <v>1</v>
      </c>
      <c r="D1190" s="6">
        <v>0</v>
      </c>
      <c r="E1190" s="6">
        <v>-103.62</v>
      </c>
      <c r="F1190" s="6">
        <v>0.53</v>
      </c>
      <c r="G1190" s="6">
        <v>0.03</v>
      </c>
      <c r="H1190" s="6">
        <v>78</v>
      </c>
    </row>
    <row r="1191" spans="1:8" ht="18.95" customHeight="1">
      <c r="A1191" s="4">
        <v>1187</v>
      </c>
      <c r="B1191" s="4">
        <v>43972</v>
      </c>
      <c r="C1191" s="4">
        <v>1</v>
      </c>
      <c r="D1191" s="6">
        <v>0</v>
      </c>
      <c r="E1191" s="6">
        <v>-104.06</v>
      </c>
      <c r="F1191" s="6">
        <v>0.56000000000000005</v>
      </c>
      <c r="G1191" s="6">
        <v>0.02</v>
      </c>
      <c r="H1191" s="6">
        <v>82</v>
      </c>
    </row>
    <row r="1192" spans="1:8" ht="18.95" customHeight="1">
      <c r="A1192" s="4">
        <v>1188</v>
      </c>
      <c r="B1192" s="4">
        <v>43992</v>
      </c>
      <c r="C1192" s="4">
        <v>1</v>
      </c>
      <c r="D1192" s="6">
        <v>0</v>
      </c>
      <c r="E1192" s="6">
        <v>-104.56</v>
      </c>
      <c r="F1192" s="6">
        <v>0.54</v>
      </c>
      <c r="G1192" s="6">
        <v>0.11</v>
      </c>
      <c r="H1192" s="6">
        <v>82</v>
      </c>
    </row>
    <row r="1193" spans="1:8" ht="18.95" customHeight="1">
      <c r="A1193" s="4">
        <v>1189</v>
      </c>
      <c r="B1193" s="4">
        <v>44012</v>
      </c>
      <c r="C1193" s="4">
        <v>1</v>
      </c>
      <c r="D1193" s="6">
        <v>0</v>
      </c>
      <c r="E1193" s="6">
        <v>-105.12</v>
      </c>
      <c r="F1193" s="6">
        <v>0.53</v>
      </c>
      <c r="G1193" s="6">
        <v>-0.1</v>
      </c>
      <c r="H1193" s="6">
        <v>82</v>
      </c>
    </row>
    <row r="1194" spans="1:8" ht="18.95" customHeight="1">
      <c r="A1194" s="4">
        <v>1190</v>
      </c>
      <c r="B1194" s="4">
        <v>44032</v>
      </c>
      <c r="C1194" s="4">
        <v>1</v>
      </c>
      <c r="D1194" s="6">
        <v>0</v>
      </c>
      <c r="E1194" s="6">
        <v>-105.69</v>
      </c>
      <c r="F1194" s="6">
        <v>0.54</v>
      </c>
      <c r="G1194" s="6">
        <v>7.0000000000000007E-2</v>
      </c>
      <c r="H1194" s="6">
        <v>82</v>
      </c>
    </row>
    <row r="1195" spans="1:8" ht="18.95" customHeight="1">
      <c r="A1195" s="4">
        <v>1191</v>
      </c>
      <c r="B1195" s="4">
        <v>44052</v>
      </c>
      <c r="C1195" s="4">
        <v>1</v>
      </c>
      <c r="D1195" s="6">
        <v>0</v>
      </c>
      <c r="E1195" s="6">
        <v>-106.31</v>
      </c>
      <c r="F1195" s="6">
        <v>0.56000000000000005</v>
      </c>
      <c r="G1195" s="6">
        <v>-0.04</v>
      </c>
      <c r="H1195" s="6">
        <v>82</v>
      </c>
    </row>
    <row r="1196" spans="1:8" ht="18.95" customHeight="1">
      <c r="A1196" s="4">
        <v>1192</v>
      </c>
      <c r="B1196" s="4">
        <v>44072</v>
      </c>
      <c r="C1196" s="4">
        <v>1</v>
      </c>
      <c r="D1196" s="6">
        <v>0</v>
      </c>
      <c r="E1196" s="6">
        <v>-107</v>
      </c>
      <c r="F1196" s="6">
        <v>0.59</v>
      </c>
      <c r="G1196" s="6">
        <v>0</v>
      </c>
      <c r="H1196" s="6">
        <v>84</v>
      </c>
    </row>
    <row r="1197" spans="1:8" ht="18.95" customHeight="1">
      <c r="A1197" s="4">
        <v>1193</v>
      </c>
      <c r="B1197" s="4">
        <v>44092</v>
      </c>
      <c r="C1197" s="4">
        <v>1</v>
      </c>
      <c r="D1197" s="6">
        <v>0</v>
      </c>
      <c r="E1197" s="6">
        <v>-107.69</v>
      </c>
      <c r="F1197" s="6">
        <v>0.56000000000000005</v>
      </c>
      <c r="G1197" s="6">
        <v>0.08</v>
      </c>
      <c r="H1197" s="6">
        <v>84</v>
      </c>
    </row>
    <row r="1198" spans="1:8" ht="18.95" customHeight="1">
      <c r="A1198" s="4">
        <v>1194</v>
      </c>
      <c r="B1198" s="4">
        <v>44112</v>
      </c>
      <c r="C1198" s="4">
        <v>1</v>
      </c>
      <c r="D1198" s="6">
        <v>0</v>
      </c>
      <c r="E1198" s="6">
        <v>-108.5</v>
      </c>
      <c r="F1198" s="6">
        <v>0.6</v>
      </c>
      <c r="G1198" s="6">
        <v>0.04</v>
      </c>
      <c r="H1198" s="6">
        <v>84</v>
      </c>
    </row>
    <row r="1199" spans="1:8" ht="18.95" customHeight="1">
      <c r="A1199" s="4">
        <v>1195</v>
      </c>
      <c r="B1199" s="4">
        <v>44132</v>
      </c>
      <c r="C1199" s="4">
        <v>1</v>
      </c>
      <c r="D1199" s="6">
        <v>0</v>
      </c>
      <c r="E1199" s="6">
        <v>-109.37</v>
      </c>
      <c r="F1199" s="6">
        <v>0.6</v>
      </c>
      <c r="G1199" s="6">
        <v>0.11</v>
      </c>
      <c r="H1199" s="6">
        <v>82</v>
      </c>
    </row>
    <row r="1200" spans="1:8" ht="18.95" customHeight="1">
      <c r="A1200" s="4">
        <v>1196</v>
      </c>
      <c r="B1200" s="4">
        <v>44152</v>
      </c>
      <c r="C1200" s="4">
        <v>1</v>
      </c>
      <c r="D1200" s="6">
        <v>0</v>
      </c>
      <c r="E1200" s="6">
        <v>-110.25</v>
      </c>
      <c r="F1200" s="6">
        <v>0.62</v>
      </c>
      <c r="G1200" s="6">
        <v>-0.17</v>
      </c>
      <c r="H1200" s="6">
        <v>82</v>
      </c>
    </row>
    <row r="1201" spans="1:8" ht="18.95" customHeight="1">
      <c r="A1201" s="4">
        <v>1197</v>
      </c>
      <c r="B1201" s="4">
        <v>44172</v>
      </c>
      <c r="C1201" s="4">
        <v>1</v>
      </c>
      <c r="D1201" s="6">
        <v>0</v>
      </c>
      <c r="E1201" s="6">
        <v>-111.25</v>
      </c>
      <c r="F1201" s="6">
        <v>0.6</v>
      </c>
      <c r="G1201" s="6">
        <v>-0.11</v>
      </c>
      <c r="H1201" s="6">
        <v>85</v>
      </c>
    </row>
    <row r="1202" spans="1:8" ht="18.95" customHeight="1">
      <c r="A1202" s="4">
        <v>1198</v>
      </c>
      <c r="B1202" s="4">
        <v>44192</v>
      </c>
      <c r="C1202" s="4">
        <v>1</v>
      </c>
      <c r="D1202" s="6">
        <v>0</v>
      </c>
      <c r="E1202" s="6">
        <v>-112.31</v>
      </c>
      <c r="F1202" s="6">
        <v>0.61</v>
      </c>
      <c r="G1202" s="6">
        <v>0.24</v>
      </c>
      <c r="H1202" s="6">
        <v>85</v>
      </c>
    </row>
    <row r="1203" spans="1:8" ht="18.95" customHeight="1">
      <c r="A1203" s="4">
        <v>1199</v>
      </c>
      <c r="B1203" s="4">
        <v>44212</v>
      </c>
      <c r="C1203" s="4">
        <v>1</v>
      </c>
      <c r="D1203" s="6">
        <v>0</v>
      </c>
      <c r="E1203" s="6">
        <v>-113.62</v>
      </c>
      <c r="F1203" s="6">
        <v>0.64</v>
      </c>
      <c r="G1203" s="6">
        <v>-0.05</v>
      </c>
      <c r="H1203" s="6">
        <v>85</v>
      </c>
    </row>
    <row r="1204" spans="1:8" ht="18.95" customHeight="1">
      <c r="A1204" s="4">
        <v>1200</v>
      </c>
      <c r="B1204" s="4">
        <v>44232</v>
      </c>
      <c r="C1204" s="4">
        <v>1</v>
      </c>
      <c r="D1204" s="6">
        <v>0</v>
      </c>
      <c r="E1204" s="6">
        <v>-115.12</v>
      </c>
      <c r="F1204" s="6">
        <v>0.61</v>
      </c>
      <c r="G1204" s="6">
        <v>0.04</v>
      </c>
      <c r="H1204" s="6">
        <v>82</v>
      </c>
    </row>
    <row r="1205" spans="1:8" ht="18.95" customHeight="1">
      <c r="A1205" s="4">
        <v>1201</v>
      </c>
      <c r="B1205" s="4">
        <v>44252</v>
      </c>
      <c r="C1205" s="4">
        <v>1</v>
      </c>
      <c r="D1205" s="6">
        <v>0</v>
      </c>
      <c r="E1205" s="6">
        <v>-116.75</v>
      </c>
      <c r="F1205" s="6">
        <v>0.6</v>
      </c>
      <c r="G1205" s="6">
        <v>0.19</v>
      </c>
      <c r="H1205" s="6">
        <v>82</v>
      </c>
    </row>
    <row r="1206" spans="1:8" ht="18.95" customHeight="1">
      <c r="A1206" s="4">
        <v>1202</v>
      </c>
      <c r="B1206" s="4">
        <v>44272</v>
      </c>
      <c r="C1206" s="4">
        <v>1</v>
      </c>
      <c r="D1206" s="6">
        <v>0</v>
      </c>
      <c r="E1206" s="6">
        <v>-118.56</v>
      </c>
      <c r="F1206" s="6">
        <v>0.59</v>
      </c>
      <c r="G1206" s="6">
        <v>0.08</v>
      </c>
      <c r="H1206" s="6">
        <v>82</v>
      </c>
    </row>
    <row r="1207" spans="1:8" ht="18.95" customHeight="1">
      <c r="A1207" s="4">
        <v>1203</v>
      </c>
      <c r="B1207" s="4">
        <v>44292</v>
      </c>
      <c r="C1207" s="4">
        <v>1</v>
      </c>
      <c r="D1207" s="6">
        <v>0</v>
      </c>
      <c r="E1207" s="6">
        <v>-120.56</v>
      </c>
      <c r="F1207" s="6">
        <v>0.56999999999999995</v>
      </c>
      <c r="G1207" s="6">
        <v>7.0000000000000007E-2</v>
      </c>
      <c r="H1207" s="6">
        <v>82</v>
      </c>
    </row>
    <row r="1208" spans="1:8" ht="18.95" customHeight="1">
      <c r="A1208" s="4">
        <v>1204</v>
      </c>
      <c r="B1208" s="4">
        <v>44312</v>
      </c>
      <c r="C1208" s="4">
        <v>1</v>
      </c>
      <c r="D1208" s="6">
        <v>0</v>
      </c>
      <c r="E1208" s="6">
        <v>-122.87</v>
      </c>
      <c r="F1208" s="6">
        <v>0.57999999999999996</v>
      </c>
      <c r="G1208" s="6">
        <v>-7.0000000000000007E-2</v>
      </c>
      <c r="H1208" s="6">
        <v>82</v>
      </c>
    </row>
    <row r="1209" spans="1:8" ht="18.95" customHeight="1">
      <c r="A1209" s="4">
        <v>1205</v>
      </c>
      <c r="B1209" s="4">
        <v>44332</v>
      </c>
      <c r="C1209" s="4">
        <v>1</v>
      </c>
      <c r="D1209" s="6">
        <v>0</v>
      </c>
      <c r="E1209" s="6">
        <v>-125.37</v>
      </c>
      <c r="F1209" s="6">
        <v>0.54</v>
      </c>
      <c r="G1209" s="6">
        <v>7.0000000000000007E-2</v>
      </c>
      <c r="H1209" s="6">
        <v>80</v>
      </c>
    </row>
    <row r="1210" spans="1:8" ht="18.95" customHeight="1">
      <c r="A1210" s="4">
        <v>1206</v>
      </c>
      <c r="B1210" s="4">
        <v>44352</v>
      </c>
      <c r="C1210" s="4">
        <v>1</v>
      </c>
      <c r="D1210" s="6">
        <v>0</v>
      </c>
      <c r="E1210" s="6">
        <v>-174.69</v>
      </c>
      <c r="F1210" s="6">
        <v>0.52</v>
      </c>
      <c r="G1210" s="6">
        <v>0.11</v>
      </c>
      <c r="H1210" s="6">
        <v>80</v>
      </c>
    </row>
    <row r="1211" spans="1:8" ht="18.95" customHeight="1">
      <c r="A1211" s="4">
        <v>1207</v>
      </c>
      <c r="B1211" s="4">
        <v>44372</v>
      </c>
      <c r="C1211" s="4">
        <v>1</v>
      </c>
      <c r="D1211" s="6">
        <v>0</v>
      </c>
      <c r="E1211" s="6">
        <v>-175.25</v>
      </c>
      <c r="F1211" s="6">
        <v>0.53</v>
      </c>
      <c r="G1211" s="6">
        <v>0.01</v>
      </c>
      <c r="H1211" s="6">
        <v>78</v>
      </c>
    </row>
    <row r="1212" spans="1:8" ht="18.95" customHeight="1">
      <c r="A1212" s="4">
        <v>1208</v>
      </c>
      <c r="B1212" s="4">
        <v>44392</v>
      </c>
      <c r="C1212" s="4">
        <v>1</v>
      </c>
      <c r="D1212" s="6">
        <v>0</v>
      </c>
      <c r="E1212" s="6">
        <v>-175.81</v>
      </c>
      <c r="F1212" s="6">
        <v>0.49</v>
      </c>
      <c r="G1212" s="6">
        <v>-0.21</v>
      </c>
      <c r="H1212" s="6">
        <v>78</v>
      </c>
    </row>
    <row r="1213" spans="1:8" ht="18.95" customHeight="1">
      <c r="A1213" s="4">
        <v>1209</v>
      </c>
      <c r="B1213" s="4">
        <v>44412</v>
      </c>
      <c r="C1213" s="4">
        <v>1</v>
      </c>
      <c r="D1213" s="6">
        <v>0</v>
      </c>
      <c r="E1213" s="6">
        <v>-176.31</v>
      </c>
      <c r="F1213" s="6">
        <v>0.47</v>
      </c>
      <c r="G1213" s="6">
        <v>0.13</v>
      </c>
      <c r="H1213" s="6">
        <v>78</v>
      </c>
    </row>
    <row r="1214" spans="1:8" ht="18.95" customHeight="1">
      <c r="A1214" s="4">
        <v>1210</v>
      </c>
      <c r="B1214" s="4">
        <v>44432</v>
      </c>
      <c r="C1214" s="4">
        <v>1</v>
      </c>
      <c r="D1214" s="6">
        <v>0</v>
      </c>
      <c r="E1214" s="6">
        <v>-176.81</v>
      </c>
      <c r="F1214" s="6">
        <v>0.44</v>
      </c>
      <c r="G1214" s="6">
        <v>0.04</v>
      </c>
      <c r="H1214" s="6">
        <v>77</v>
      </c>
    </row>
    <row r="1215" spans="1:8" ht="18.95" customHeight="1">
      <c r="A1215" s="4">
        <v>1211</v>
      </c>
      <c r="B1215" s="4">
        <v>44452</v>
      </c>
      <c r="C1215" s="4">
        <v>1</v>
      </c>
      <c r="D1215" s="6">
        <v>0</v>
      </c>
      <c r="E1215" s="6">
        <v>-177.31</v>
      </c>
      <c r="F1215" s="6">
        <v>0.43</v>
      </c>
      <c r="G1215" s="6">
        <v>0.02</v>
      </c>
      <c r="H1215" s="6">
        <v>77</v>
      </c>
    </row>
    <row r="1216" spans="1:8" ht="18.95" customHeight="1">
      <c r="A1216" s="4">
        <v>1212</v>
      </c>
      <c r="B1216" s="4">
        <v>44473</v>
      </c>
      <c r="C1216" s="4">
        <v>1</v>
      </c>
      <c r="D1216" s="6">
        <v>0</v>
      </c>
      <c r="E1216" s="6">
        <v>-177.75</v>
      </c>
      <c r="F1216" s="6">
        <v>0.4</v>
      </c>
      <c r="G1216" s="6">
        <v>0.05</v>
      </c>
      <c r="H1216" s="6">
        <v>74</v>
      </c>
    </row>
    <row r="1217" spans="1:8" ht="18.95" customHeight="1">
      <c r="A1217" s="4">
        <v>1213</v>
      </c>
      <c r="B1217" s="4">
        <v>44493</v>
      </c>
      <c r="C1217" s="4">
        <v>1</v>
      </c>
      <c r="D1217" s="6">
        <v>0</v>
      </c>
      <c r="E1217" s="6">
        <v>-178.19</v>
      </c>
      <c r="F1217" s="6">
        <v>0.36</v>
      </c>
      <c r="G1217" s="6">
        <v>-0.1</v>
      </c>
      <c r="H1217" s="6">
        <v>74</v>
      </c>
    </row>
    <row r="1218" spans="1:8" ht="18.95" customHeight="1">
      <c r="A1218" s="4">
        <v>1214</v>
      </c>
      <c r="B1218" s="4">
        <v>44513</v>
      </c>
      <c r="C1218" s="4">
        <v>1</v>
      </c>
      <c r="D1218" s="6">
        <v>0</v>
      </c>
      <c r="E1218" s="6">
        <v>-178.56</v>
      </c>
      <c r="F1218" s="6">
        <v>0.34</v>
      </c>
      <c r="G1218" s="6">
        <v>0.13</v>
      </c>
      <c r="H1218" s="6">
        <v>74</v>
      </c>
    </row>
    <row r="1219" spans="1:8" ht="18.95" customHeight="1">
      <c r="A1219" s="4">
        <v>1215</v>
      </c>
      <c r="B1219" s="4">
        <v>44533</v>
      </c>
      <c r="C1219" s="4">
        <v>1</v>
      </c>
      <c r="D1219" s="6">
        <v>0</v>
      </c>
      <c r="E1219" s="6">
        <v>-178.94</v>
      </c>
      <c r="F1219" s="6">
        <v>0.33</v>
      </c>
      <c r="G1219" s="6">
        <v>-0.03</v>
      </c>
      <c r="H1219" s="6">
        <v>73</v>
      </c>
    </row>
    <row r="1220" spans="1:8" ht="18.95" customHeight="1">
      <c r="A1220" s="4">
        <v>1216</v>
      </c>
      <c r="B1220" s="4">
        <v>44553</v>
      </c>
      <c r="C1220" s="4">
        <v>1</v>
      </c>
      <c r="D1220" s="6">
        <v>0</v>
      </c>
      <c r="E1220" s="6">
        <v>-179.25</v>
      </c>
      <c r="F1220" s="6">
        <v>0.28000000000000003</v>
      </c>
      <c r="G1220" s="6">
        <v>0.2</v>
      </c>
      <c r="H1220" s="6">
        <v>73</v>
      </c>
    </row>
    <row r="1221" spans="1:8" ht="18.95" customHeight="1">
      <c r="A1221" s="4">
        <v>1217</v>
      </c>
      <c r="B1221" s="4">
        <v>44573</v>
      </c>
      <c r="C1221" s="4">
        <v>1</v>
      </c>
      <c r="D1221" s="6">
        <v>0</v>
      </c>
      <c r="E1221" s="6">
        <v>-179.56</v>
      </c>
      <c r="F1221" s="6">
        <v>0.26</v>
      </c>
      <c r="G1221" s="6">
        <v>0.1</v>
      </c>
      <c r="H1221" s="6">
        <v>69</v>
      </c>
    </row>
    <row r="1222" spans="1:8" ht="18.95" customHeight="1">
      <c r="A1222" s="4">
        <v>1218</v>
      </c>
      <c r="B1222" s="4">
        <v>44593</v>
      </c>
      <c r="C1222" s="4">
        <v>1</v>
      </c>
      <c r="D1222" s="6">
        <v>0</v>
      </c>
      <c r="E1222" s="6">
        <v>-179.81</v>
      </c>
      <c r="F1222" s="6">
        <v>0.23</v>
      </c>
      <c r="G1222" s="6">
        <v>0.06</v>
      </c>
      <c r="H1222" s="6">
        <v>69</v>
      </c>
    </row>
    <row r="1223" spans="1:8" ht="18.95" customHeight="1">
      <c r="A1223" s="4">
        <v>1219</v>
      </c>
      <c r="B1223" s="4">
        <v>44613</v>
      </c>
      <c r="C1223" s="4">
        <v>1</v>
      </c>
      <c r="D1223" s="6">
        <v>0</v>
      </c>
      <c r="E1223" s="6">
        <v>179.88</v>
      </c>
      <c r="F1223" s="6">
        <v>0.22</v>
      </c>
      <c r="G1223" s="6">
        <v>0.16</v>
      </c>
      <c r="H1223" s="6">
        <v>69</v>
      </c>
    </row>
    <row r="1224" spans="1:8" ht="18.95" customHeight="1">
      <c r="A1224" s="4">
        <v>1220</v>
      </c>
      <c r="B1224" s="4">
        <v>44633</v>
      </c>
      <c r="C1224" s="4">
        <v>1</v>
      </c>
      <c r="D1224" s="6">
        <v>0</v>
      </c>
      <c r="E1224" s="6">
        <v>179.63</v>
      </c>
      <c r="F1224" s="6">
        <v>0.19</v>
      </c>
      <c r="G1224" s="6">
        <v>-0.03</v>
      </c>
      <c r="H1224" s="6">
        <v>68</v>
      </c>
    </row>
    <row r="1225" spans="1:8" ht="18.95" customHeight="1">
      <c r="A1225" s="4">
        <v>1221</v>
      </c>
      <c r="B1225" s="4">
        <v>44653</v>
      </c>
      <c r="C1225" s="4">
        <v>1</v>
      </c>
      <c r="D1225" s="6">
        <v>0</v>
      </c>
      <c r="E1225" s="6">
        <v>179.44</v>
      </c>
      <c r="F1225" s="6">
        <v>0.16</v>
      </c>
      <c r="G1225" s="6">
        <v>0.15</v>
      </c>
      <c r="H1225" s="6">
        <v>68</v>
      </c>
    </row>
    <row r="1226" spans="1:8" ht="18.95" customHeight="1">
      <c r="A1226" s="4">
        <v>1222</v>
      </c>
      <c r="B1226" s="4">
        <v>44674</v>
      </c>
      <c r="C1226" s="4">
        <v>1</v>
      </c>
      <c r="D1226" s="6">
        <v>0</v>
      </c>
      <c r="E1226" s="6">
        <v>179.31</v>
      </c>
      <c r="F1226" s="6">
        <v>0.14000000000000001</v>
      </c>
      <c r="G1226" s="6">
        <v>-0.23</v>
      </c>
      <c r="H1226" s="6">
        <v>68</v>
      </c>
    </row>
    <row r="1227" spans="1:8" ht="18.95" customHeight="1">
      <c r="A1227" s="4">
        <v>1223</v>
      </c>
      <c r="B1227" s="4">
        <v>44694</v>
      </c>
      <c r="C1227" s="4">
        <v>1</v>
      </c>
      <c r="D1227" s="6">
        <v>0</v>
      </c>
      <c r="E1227" s="6">
        <v>179.19</v>
      </c>
      <c r="F1227" s="6">
        <v>0.12</v>
      </c>
      <c r="G1227" s="6">
        <v>-0.06</v>
      </c>
      <c r="H1227" s="6">
        <v>68</v>
      </c>
    </row>
    <row r="1228" spans="1:8" ht="18.95" customHeight="1">
      <c r="A1228" s="4">
        <v>1224</v>
      </c>
      <c r="B1228" s="4">
        <v>44715</v>
      </c>
      <c r="C1228" s="4">
        <v>1</v>
      </c>
      <c r="D1228" s="6">
        <v>0</v>
      </c>
      <c r="E1228" s="6">
        <v>179.06</v>
      </c>
      <c r="F1228" s="6">
        <v>7.0000000000000007E-2</v>
      </c>
      <c r="G1228" s="6">
        <v>0.23</v>
      </c>
      <c r="H1228" s="6">
        <v>68</v>
      </c>
    </row>
    <row r="1229" spans="1:8" ht="18.95" customHeight="1">
      <c r="A1229" s="4">
        <v>1225</v>
      </c>
      <c r="B1229" s="4">
        <v>44735</v>
      </c>
      <c r="C1229" s="4">
        <v>1</v>
      </c>
      <c r="D1229" s="6">
        <v>0</v>
      </c>
      <c r="E1229" s="6">
        <v>179</v>
      </c>
      <c r="F1229" s="6">
        <v>0.05</v>
      </c>
      <c r="G1229" s="6">
        <v>0.02</v>
      </c>
      <c r="H1229" s="6">
        <v>60</v>
      </c>
    </row>
    <row r="1230" spans="1:8" ht="18.95" customHeight="1">
      <c r="A1230" s="4">
        <v>1226</v>
      </c>
      <c r="B1230" s="4">
        <v>44755</v>
      </c>
      <c r="C1230" s="4">
        <v>0</v>
      </c>
      <c r="D1230" s="6">
        <v>0</v>
      </c>
      <c r="E1230" s="6">
        <v>178.94</v>
      </c>
      <c r="F1230" s="6">
        <v>0.02</v>
      </c>
      <c r="G1230" s="6">
        <v>0</v>
      </c>
      <c r="H1230" s="6">
        <v>60</v>
      </c>
    </row>
    <row r="1231" spans="1:8" ht="18.95" customHeight="1">
      <c r="A1231" s="4">
        <v>1227</v>
      </c>
      <c r="B1231" s="4">
        <v>44775</v>
      </c>
      <c r="C1231" s="4">
        <v>0</v>
      </c>
      <c r="D1231" s="6">
        <v>0</v>
      </c>
      <c r="E1231" s="6">
        <v>178.94</v>
      </c>
      <c r="F1231" s="6">
        <v>0</v>
      </c>
      <c r="G1231" s="6">
        <v>-0.06</v>
      </c>
      <c r="H1231" s="6">
        <v>63</v>
      </c>
    </row>
    <row r="1232" spans="1:8" ht="18.95" customHeight="1">
      <c r="A1232" s="4">
        <v>1228</v>
      </c>
      <c r="B1232" s="4">
        <v>44795</v>
      </c>
      <c r="C1232" s="4">
        <v>0</v>
      </c>
      <c r="D1232" s="6">
        <v>0</v>
      </c>
      <c r="E1232" s="6">
        <v>178.94</v>
      </c>
      <c r="F1232" s="6">
        <v>-0.02</v>
      </c>
      <c r="G1232" s="6">
        <v>0.01</v>
      </c>
      <c r="H1232" s="6">
        <v>63</v>
      </c>
    </row>
    <row r="1233" spans="1:8" ht="18.95" customHeight="1">
      <c r="A1233" s="4">
        <v>1229</v>
      </c>
      <c r="B1233" s="4">
        <v>44815</v>
      </c>
      <c r="C1233" s="4">
        <v>0</v>
      </c>
      <c r="D1233" s="6">
        <v>0</v>
      </c>
      <c r="E1233" s="6">
        <v>179</v>
      </c>
      <c r="F1233" s="6">
        <v>-0.06</v>
      </c>
      <c r="G1233" s="6">
        <v>-0.01</v>
      </c>
      <c r="H1233" s="6">
        <v>63</v>
      </c>
    </row>
    <row r="1234" spans="1:8" ht="18.95" customHeight="1">
      <c r="A1234" s="4">
        <v>1230</v>
      </c>
      <c r="B1234" s="4">
        <v>44835</v>
      </c>
      <c r="C1234" s="4">
        <v>0</v>
      </c>
      <c r="D1234" s="6">
        <v>0</v>
      </c>
      <c r="E1234" s="6">
        <v>179.06</v>
      </c>
      <c r="F1234" s="6">
        <v>-0.08</v>
      </c>
      <c r="G1234" s="6">
        <v>0.02</v>
      </c>
      <c r="H1234" s="6">
        <v>54</v>
      </c>
    </row>
    <row r="1235" spans="1:8" ht="18.95" customHeight="1">
      <c r="A1235" s="4">
        <v>1231</v>
      </c>
      <c r="B1235" s="4">
        <v>44855</v>
      </c>
      <c r="C1235" s="4">
        <v>1</v>
      </c>
      <c r="D1235" s="6">
        <v>0</v>
      </c>
      <c r="E1235" s="6">
        <v>179.19</v>
      </c>
      <c r="F1235" s="6">
        <v>-0.09</v>
      </c>
      <c r="G1235" s="6">
        <v>0.33</v>
      </c>
      <c r="H1235" s="6">
        <v>54</v>
      </c>
    </row>
    <row r="1236" spans="1:8" ht="18.95" customHeight="1">
      <c r="A1236" s="4">
        <v>1232</v>
      </c>
      <c r="B1236" s="4">
        <v>44875</v>
      </c>
      <c r="C1236" s="4">
        <v>1</v>
      </c>
      <c r="D1236" s="6">
        <v>600</v>
      </c>
      <c r="E1236" s="6">
        <v>179.25</v>
      </c>
      <c r="F1236" s="6">
        <v>-0.12</v>
      </c>
      <c r="G1236" s="6">
        <v>0.17</v>
      </c>
      <c r="H1236" s="6">
        <v>52</v>
      </c>
    </row>
    <row r="1237" spans="1:8" ht="18.95" customHeight="1">
      <c r="A1237" s="4">
        <v>1233</v>
      </c>
      <c r="B1237" s="4">
        <v>44895</v>
      </c>
      <c r="C1237" s="4">
        <v>1</v>
      </c>
      <c r="D1237" s="6">
        <v>600</v>
      </c>
      <c r="E1237" s="6">
        <v>179.38</v>
      </c>
      <c r="F1237" s="6">
        <v>-0.13</v>
      </c>
      <c r="G1237" s="6">
        <v>0.24</v>
      </c>
      <c r="H1237" s="6">
        <v>52</v>
      </c>
    </row>
    <row r="1238" spans="1:8" ht="18.95" customHeight="1">
      <c r="A1238" s="4">
        <v>1234</v>
      </c>
      <c r="B1238" s="4">
        <v>44915</v>
      </c>
      <c r="C1238" s="4">
        <v>1</v>
      </c>
      <c r="D1238" s="6">
        <v>600</v>
      </c>
      <c r="E1238" s="6">
        <v>179.56</v>
      </c>
      <c r="F1238" s="6">
        <v>-0.16</v>
      </c>
      <c r="G1238" s="6">
        <v>0.21</v>
      </c>
      <c r="H1238" s="6">
        <v>52</v>
      </c>
    </row>
    <row r="1239" spans="1:8" ht="18.95" customHeight="1">
      <c r="A1239" s="4">
        <v>1235</v>
      </c>
      <c r="B1239" s="4">
        <v>44935</v>
      </c>
      <c r="C1239" s="4">
        <v>1</v>
      </c>
      <c r="D1239" s="6">
        <v>600</v>
      </c>
      <c r="E1239" s="6">
        <v>179.75</v>
      </c>
      <c r="F1239" s="6">
        <v>-0.19</v>
      </c>
      <c r="G1239" s="6">
        <v>0.24</v>
      </c>
      <c r="H1239" s="6">
        <v>48</v>
      </c>
    </row>
    <row r="1240" spans="1:8" ht="18.95" customHeight="1">
      <c r="A1240" s="4">
        <v>1236</v>
      </c>
      <c r="B1240" s="4">
        <v>44955</v>
      </c>
      <c r="C1240" s="4">
        <v>1</v>
      </c>
      <c r="D1240" s="6">
        <v>600</v>
      </c>
      <c r="E1240" s="6">
        <v>-179.94</v>
      </c>
      <c r="F1240" s="6">
        <v>-0.21</v>
      </c>
      <c r="G1240" s="6">
        <v>0.16</v>
      </c>
      <c r="H1240" s="6">
        <v>48</v>
      </c>
    </row>
    <row r="1241" spans="1:8" ht="18.95" customHeight="1">
      <c r="A1241" s="4">
        <v>1237</v>
      </c>
      <c r="B1241" s="4">
        <v>44975</v>
      </c>
      <c r="C1241" s="4">
        <v>1</v>
      </c>
      <c r="D1241" s="6">
        <v>0</v>
      </c>
      <c r="E1241" s="6">
        <v>-179.75</v>
      </c>
      <c r="F1241" s="6">
        <v>-0.23</v>
      </c>
      <c r="G1241" s="6">
        <v>0.27</v>
      </c>
      <c r="H1241" s="6">
        <v>43</v>
      </c>
    </row>
    <row r="1242" spans="1:8" ht="18.95" customHeight="1">
      <c r="A1242" s="4">
        <v>1238</v>
      </c>
      <c r="B1242" s="4">
        <v>44995</v>
      </c>
      <c r="C1242" s="4">
        <v>1</v>
      </c>
      <c r="D1242" s="6">
        <v>0</v>
      </c>
      <c r="E1242" s="6">
        <v>-179.5</v>
      </c>
      <c r="F1242" s="6">
        <v>-0.23</v>
      </c>
      <c r="G1242" s="6">
        <v>0.15</v>
      </c>
      <c r="H1242" s="6">
        <v>43</v>
      </c>
    </row>
    <row r="1243" spans="1:8" ht="18.95" customHeight="1">
      <c r="A1243" s="4">
        <v>1239</v>
      </c>
      <c r="B1243" s="4">
        <v>45015</v>
      </c>
      <c r="C1243" s="4">
        <v>1</v>
      </c>
      <c r="D1243" s="6">
        <v>0</v>
      </c>
      <c r="E1243" s="6">
        <v>-179.25</v>
      </c>
      <c r="F1243" s="6">
        <v>-0.24</v>
      </c>
      <c r="G1243" s="6">
        <v>0.16</v>
      </c>
      <c r="H1243" s="6">
        <v>43</v>
      </c>
    </row>
    <row r="1244" spans="1:8" ht="18.95" customHeight="1">
      <c r="A1244" s="4">
        <v>1240</v>
      </c>
      <c r="B1244" s="4">
        <v>45035</v>
      </c>
      <c r="C1244" s="4">
        <v>1</v>
      </c>
      <c r="D1244" s="6">
        <v>0</v>
      </c>
      <c r="E1244" s="6">
        <v>-178.94</v>
      </c>
      <c r="F1244" s="6">
        <v>-0.26</v>
      </c>
      <c r="G1244" s="6">
        <v>0.25</v>
      </c>
      <c r="H1244" s="6">
        <v>40</v>
      </c>
    </row>
    <row r="1245" spans="1:8" ht="18.95" customHeight="1">
      <c r="A1245" s="4">
        <v>1241</v>
      </c>
      <c r="B1245" s="4">
        <v>45056</v>
      </c>
      <c r="C1245" s="4">
        <v>1</v>
      </c>
      <c r="D1245" s="6">
        <v>0</v>
      </c>
      <c r="E1245" s="6">
        <v>-178.63</v>
      </c>
      <c r="F1245" s="6">
        <v>-0.27</v>
      </c>
      <c r="G1245" s="6">
        <v>0</v>
      </c>
      <c r="H1245" s="6">
        <v>40</v>
      </c>
    </row>
    <row r="1246" spans="1:8" ht="18.95" customHeight="1">
      <c r="A1246" s="4">
        <v>1242</v>
      </c>
      <c r="B1246" s="4">
        <v>45076</v>
      </c>
      <c r="C1246" s="4">
        <v>1</v>
      </c>
      <c r="D1246" s="6">
        <v>0</v>
      </c>
      <c r="E1246" s="6">
        <v>-178.38</v>
      </c>
      <c r="F1246" s="6">
        <v>-0.28000000000000003</v>
      </c>
      <c r="G1246" s="6">
        <v>-0.06</v>
      </c>
      <c r="H1246" s="6">
        <v>38</v>
      </c>
    </row>
    <row r="1247" spans="1:8" ht="18.95" customHeight="1">
      <c r="A1247" s="4">
        <v>1243</v>
      </c>
      <c r="B1247" s="4">
        <v>45096</v>
      </c>
      <c r="C1247" s="4">
        <v>1</v>
      </c>
      <c r="D1247" s="6">
        <v>0</v>
      </c>
      <c r="E1247" s="6">
        <v>-178</v>
      </c>
      <c r="F1247" s="6">
        <v>-0.28000000000000003</v>
      </c>
      <c r="G1247" s="6">
        <v>0.2</v>
      </c>
      <c r="H1247" s="6">
        <v>38</v>
      </c>
    </row>
    <row r="1248" spans="1:8" ht="18.95" customHeight="1">
      <c r="A1248" s="4">
        <v>1244</v>
      </c>
      <c r="B1248" s="4">
        <v>45116</v>
      </c>
      <c r="C1248" s="4">
        <v>1</v>
      </c>
      <c r="D1248" s="6">
        <v>0</v>
      </c>
      <c r="E1248" s="6">
        <v>-177.69</v>
      </c>
      <c r="F1248" s="6">
        <v>-0.32</v>
      </c>
      <c r="G1248" s="6">
        <v>0.22</v>
      </c>
      <c r="H1248" s="6">
        <v>38</v>
      </c>
    </row>
    <row r="1249" spans="1:8" ht="18.95" customHeight="1">
      <c r="A1249" s="4">
        <v>1245</v>
      </c>
      <c r="B1249" s="4">
        <v>45136</v>
      </c>
      <c r="C1249" s="4">
        <v>1</v>
      </c>
      <c r="D1249" s="6">
        <v>0</v>
      </c>
      <c r="E1249" s="6">
        <v>-177.31</v>
      </c>
      <c r="F1249" s="6">
        <v>-0.34</v>
      </c>
      <c r="G1249" s="6">
        <v>0.1</v>
      </c>
      <c r="H1249" s="6">
        <v>34</v>
      </c>
    </row>
    <row r="1250" spans="1:8" ht="18.95" customHeight="1">
      <c r="A1250" s="4">
        <v>1246</v>
      </c>
      <c r="B1250" s="4">
        <v>45156</v>
      </c>
      <c r="C1250" s="4">
        <v>1</v>
      </c>
      <c r="D1250" s="6">
        <v>0</v>
      </c>
      <c r="E1250" s="6">
        <v>-176.94</v>
      </c>
      <c r="F1250" s="6">
        <v>-0.36</v>
      </c>
      <c r="G1250" s="6">
        <v>0.17</v>
      </c>
      <c r="H1250" s="6">
        <v>34</v>
      </c>
    </row>
    <row r="1251" spans="1:8" ht="18.95" customHeight="1">
      <c r="A1251" s="4">
        <v>1247</v>
      </c>
      <c r="B1251" s="4">
        <v>45176</v>
      </c>
      <c r="C1251" s="4">
        <v>1</v>
      </c>
      <c r="D1251" s="6">
        <v>0</v>
      </c>
      <c r="E1251" s="6">
        <v>-176.56</v>
      </c>
      <c r="F1251" s="6">
        <v>-0.36</v>
      </c>
      <c r="G1251" s="6">
        <v>-0.08</v>
      </c>
      <c r="H1251" s="6">
        <v>30</v>
      </c>
    </row>
    <row r="1252" spans="1:8" ht="18.95" customHeight="1">
      <c r="A1252" s="4">
        <v>1248</v>
      </c>
      <c r="B1252" s="4">
        <v>45196</v>
      </c>
      <c r="C1252" s="4">
        <v>1</v>
      </c>
      <c r="D1252" s="6">
        <v>0</v>
      </c>
      <c r="E1252" s="6">
        <v>-176.13</v>
      </c>
      <c r="F1252" s="6">
        <v>-0.37</v>
      </c>
      <c r="G1252" s="6">
        <v>0.12</v>
      </c>
      <c r="H1252" s="6">
        <v>30</v>
      </c>
    </row>
    <row r="1253" spans="1:8" ht="18.95" customHeight="1">
      <c r="A1253" s="4">
        <v>1249</v>
      </c>
      <c r="B1253" s="4">
        <v>45216</v>
      </c>
      <c r="C1253" s="4">
        <v>1</v>
      </c>
      <c r="D1253" s="6">
        <v>0</v>
      </c>
      <c r="E1253" s="6">
        <v>-175.69</v>
      </c>
      <c r="F1253" s="6">
        <v>-0.4</v>
      </c>
      <c r="G1253" s="6">
        <v>0.13</v>
      </c>
      <c r="H1253" s="6">
        <v>30</v>
      </c>
    </row>
    <row r="1254" spans="1:8" ht="18.95" customHeight="1">
      <c r="A1254" s="4">
        <v>1250</v>
      </c>
      <c r="B1254" s="4">
        <v>45236</v>
      </c>
      <c r="C1254" s="4">
        <v>1</v>
      </c>
      <c r="D1254" s="6">
        <v>0</v>
      </c>
      <c r="E1254" s="6">
        <v>-175.25</v>
      </c>
      <c r="F1254" s="6">
        <v>-0.44</v>
      </c>
      <c r="G1254" s="6">
        <v>0.06</v>
      </c>
      <c r="H1254" s="6">
        <v>28</v>
      </c>
    </row>
    <row r="1255" spans="1:8" ht="18.95" customHeight="1">
      <c r="A1255" s="4">
        <v>1251</v>
      </c>
      <c r="B1255" s="4">
        <v>45256</v>
      </c>
      <c r="C1255" s="4">
        <v>1</v>
      </c>
      <c r="D1255" s="6">
        <v>0</v>
      </c>
      <c r="E1255" s="6">
        <v>-174.75</v>
      </c>
      <c r="F1255" s="6">
        <v>-0.43</v>
      </c>
      <c r="G1255" s="6">
        <v>0.04</v>
      </c>
      <c r="H1255" s="6">
        <v>28</v>
      </c>
    </row>
    <row r="1256" spans="1:8" ht="18.95" customHeight="1">
      <c r="A1256" s="4">
        <v>1252</v>
      </c>
      <c r="B1256" s="4">
        <v>45276</v>
      </c>
      <c r="C1256" s="4">
        <v>1</v>
      </c>
      <c r="D1256" s="6">
        <v>0</v>
      </c>
      <c r="E1256" s="6">
        <v>-125.5</v>
      </c>
      <c r="F1256" s="6">
        <v>-0.46</v>
      </c>
      <c r="G1256" s="6">
        <v>0.15</v>
      </c>
      <c r="H1256" s="6">
        <v>25</v>
      </c>
    </row>
    <row r="1257" spans="1:8" ht="18.95" customHeight="1">
      <c r="A1257" s="4">
        <v>1253</v>
      </c>
      <c r="B1257" s="4">
        <v>45296</v>
      </c>
      <c r="C1257" s="4">
        <v>1</v>
      </c>
      <c r="D1257" s="6">
        <v>0</v>
      </c>
      <c r="E1257" s="6">
        <v>-123.25</v>
      </c>
      <c r="F1257" s="6">
        <v>-0.46</v>
      </c>
      <c r="G1257" s="6">
        <v>0.09</v>
      </c>
      <c r="H1257" s="6">
        <v>25</v>
      </c>
    </row>
    <row r="1258" spans="1:8" ht="18.95" customHeight="1">
      <c r="A1258" s="4">
        <v>1254</v>
      </c>
      <c r="B1258" s="4">
        <v>45316</v>
      </c>
      <c r="C1258" s="4">
        <v>1</v>
      </c>
      <c r="D1258" s="6">
        <v>0</v>
      </c>
      <c r="E1258" s="6">
        <v>-121</v>
      </c>
      <c r="F1258" s="6">
        <v>-0.52</v>
      </c>
      <c r="G1258" s="6">
        <v>0.04</v>
      </c>
      <c r="H1258" s="6">
        <v>25</v>
      </c>
    </row>
    <row r="1259" spans="1:8" ht="18.95" customHeight="1">
      <c r="A1259" s="4">
        <v>1255</v>
      </c>
      <c r="B1259" s="4">
        <v>45336</v>
      </c>
      <c r="C1259" s="4">
        <v>1</v>
      </c>
      <c r="D1259" s="6">
        <v>0</v>
      </c>
      <c r="E1259" s="6">
        <v>-119</v>
      </c>
      <c r="F1259" s="6">
        <v>-0.53</v>
      </c>
      <c r="G1259" s="6">
        <v>0</v>
      </c>
      <c r="H1259" s="6">
        <v>22</v>
      </c>
    </row>
    <row r="1260" spans="1:8" ht="18.95" customHeight="1">
      <c r="A1260" s="4">
        <v>1256</v>
      </c>
      <c r="B1260" s="4">
        <v>45356</v>
      </c>
      <c r="C1260" s="4">
        <v>1</v>
      </c>
      <c r="D1260" s="6">
        <v>0</v>
      </c>
      <c r="E1260" s="6">
        <v>-117.19</v>
      </c>
      <c r="F1260" s="6">
        <v>-0.53</v>
      </c>
      <c r="G1260" s="6">
        <v>-7.0000000000000007E-2</v>
      </c>
      <c r="H1260" s="6">
        <v>22</v>
      </c>
    </row>
    <row r="1261" spans="1:8" ht="18.95" customHeight="1">
      <c r="A1261" s="4">
        <v>1257</v>
      </c>
      <c r="B1261" s="4">
        <v>45376</v>
      </c>
      <c r="C1261" s="4">
        <v>1</v>
      </c>
      <c r="D1261" s="6">
        <v>0</v>
      </c>
      <c r="E1261" s="6">
        <v>-115.62</v>
      </c>
      <c r="F1261" s="6">
        <v>-0.51</v>
      </c>
      <c r="G1261" s="6">
        <v>0</v>
      </c>
      <c r="H1261" s="6">
        <v>20</v>
      </c>
    </row>
    <row r="1262" spans="1:8" ht="18.95" customHeight="1">
      <c r="A1262" s="4">
        <v>1258</v>
      </c>
      <c r="B1262" s="4">
        <v>45396</v>
      </c>
      <c r="C1262" s="4">
        <v>1</v>
      </c>
      <c r="D1262" s="6">
        <v>0</v>
      </c>
      <c r="E1262" s="6">
        <v>-114.25</v>
      </c>
      <c r="F1262" s="6">
        <v>-0.52</v>
      </c>
      <c r="G1262" s="6">
        <v>0.08</v>
      </c>
      <c r="H1262" s="6">
        <v>20</v>
      </c>
    </row>
    <row r="1263" spans="1:8" ht="18.95" customHeight="1">
      <c r="A1263" s="4">
        <v>1259</v>
      </c>
      <c r="B1263" s="4">
        <v>45416</v>
      </c>
      <c r="C1263" s="4">
        <v>1</v>
      </c>
      <c r="D1263" s="6">
        <v>0</v>
      </c>
      <c r="E1263" s="6">
        <v>-112.87</v>
      </c>
      <c r="F1263" s="6">
        <v>-0.55000000000000004</v>
      </c>
      <c r="G1263" s="6">
        <v>-0.15</v>
      </c>
      <c r="H1263" s="6">
        <v>20</v>
      </c>
    </row>
    <row r="1264" spans="1:8" ht="18.95" customHeight="1">
      <c r="A1264" s="4">
        <v>1260</v>
      </c>
      <c r="B1264" s="4">
        <v>45436</v>
      </c>
      <c r="C1264" s="4">
        <v>1</v>
      </c>
      <c r="D1264" s="6">
        <v>0</v>
      </c>
      <c r="E1264" s="6">
        <v>-111.69</v>
      </c>
      <c r="F1264" s="6">
        <v>-0.53</v>
      </c>
      <c r="G1264" s="6">
        <v>0.16</v>
      </c>
      <c r="H1264" s="6">
        <v>18</v>
      </c>
    </row>
    <row r="1265" spans="1:8" ht="18.95" customHeight="1">
      <c r="A1265" s="4">
        <v>1261</v>
      </c>
      <c r="B1265" s="4">
        <v>45456</v>
      </c>
      <c r="C1265" s="4">
        <v>1</v>
      </c>
      <c r="D1265" s="6">
        <v>0</v>
      </c>
      <c r="E1265" s="6">
        <v>-110.62</v>
      </c>
      <c r="F1265" s="6">
        <v>-0.52</v>
      </c>
      <c r="G1265" s="6">
        <v>0.1</v>
      </c>
      <c r="H1265" s="6">
        <v>18</v>
      </c>
    </row>
    <row r="1266" spans="1:8" ht="18.95" customHeight="1">
      <c r="A1266" s="4">
        <v>1262</v>
      </c>
      <c r="B1266" s="4">
        <v>45476</v>
      </c>
      <c r="C1266" s="4">
        <v>1</v>
      </c>
      <c r="D1266" s="6">
        <v>0</v>
      </c>
      <c r="E1266" s="6">
        <v>-109.62</v>
      </c>
      <c r="F1266" s="6">
        <v>-0.53</v>
      </c>
      <c r="G1266" s="6">
        <v>0.12</v>
      </c>
      <c r="H1266" s="6">
        <v>18</v>
      </c>
    </row>
    <row r="1267" spans="1:8" ht="18.95" customHeight="1">
      <c r="A1267" s="4">
        <v>1263</v>
      </c>
      <c r="B1267" s="4">
        <v>45496</v>
      </c>
      <c r="C1267" s="4">
        <v>1</v>
      </c>
      <c r="D1267" s="6">
        <v>0</v>
      </c>
      <c r="E1267" s="6">
        <v>-108.69</v>
      </c>
      <c r="F1267" s="6">
        <v>-0.54</v>
      </c>
      <c r="G1267" s="6">
        <v>0.15</v>
      </c>
      <c r="H1267" s="6">
        <v>18</v>
      </c>
    </row>
    <row r="1268" spans="1:8" ht="18.95" customHeight="1">
      <c r="A1268" s="4">
        <v>1264</v>
      </c>
      <c r="B1268" s="4">
        <v>45516</v>
      </c>
      <c r="C1268" s="4">
        <v>1</v>
      </c>
      <c r="D1268" s="6">
        <v>0</v>
      </c>
      <c r="E1268" s="6">
        <v>-107.81</v>
      </c>
      <c r="F1268" s="6">
        <v>-0.56000000000000005</v>
      </c>
      <c r="G1268" s="6">
        <v>0</v>
      </c>
      <c r="H1268" s="6">
        <v>18</v>
      </c>
    </row>
    <row r="1269" spans="1:8" ht="18.95" customHeight="1">
      <c r="A1269" s="4">
        <v>1265</v>
      </c>
      <c r="B1269" s="4">
        <v>45536</v>
      </c>
      <c r="C1269" s="4">
        <v>1</v>
      </c>
      <c r="D1269" s="6">
        <v>0</v>
      </c>
      <c r="E1269" s="6">
        <v>-107.06</v>
      </c>
      <c r="F1269" s="6">
        <v>-0.54</v>
      </c>
      <c r="G1269" s="6">
        <v>-0.14000000000000001</v>
      </c>
      <c r="H1269" s="6">
        <v>17</v>
      </c>
    </row>
    <row r="1270" spans="1:8" ht="18.95" customHeight="1">
      <c r="A1270" s="4">
        <v>1266</v>
      </c>
      <c r="B1270" s="4">
        <v>45556</v>
      </c>
      <c r="C1270" s="4">
        <v>1</v>
      </c>
      <c r="D1270" s="6">
        <v>0</v>
      </c>
      <c r="E1270" s="6">
        <v>-106.37</v>
      </c>
      <c r="F1270" s="6">
        <v>-0.52</v>
      </c>
      <c r="G1270" s="6">
        <v>-0.03</v>
      </c>
      <c r="H1270" s="6">
        <v>17</v>
      </c>
    </row>
    <row r="1271" spans="1:8" ht="18.95" customHeight="1">
      <c r="A1271" s="4">
        <v>1267</v>
      </c>
      <c r="B1271" s="4">
        <v>45576</v>
      </c>
      <c r="C1271" s="4">
        <v>1</v>
      </c>
      <c r="D1271" s="6">
        <v>0</v>
      </c>
      <c r="E1271" s="6">
        <v>-105.69</v>
      </c>
      <c r="F1271" s="6">
        <v>-0.56000000000000005</v>
      </c>
      <c r="G1271" s="6">
        <v>-0.35</v>
      </c>
      <c r="H1271" s="6">
        <v>16</v>
      </c>
    </row>
    <row r="1272" spans="1:8" ht="18.95" customHeight="1">
      <c r="A1272" s="4">
        <v>1268</v>
      </c>
      <c r="B1272" s="4">
        <v>45596</v>
      </c>
      <c r="C1272" s="4">
        <v>1</v>
      </c>
      <c r="D1272" s="6">
        <v>0</v>
      </c>
      <c r="E1272" s="6">
        <v>-105</v>
      </c>
      <c r="F1272" s="6">
        <v>-0.56000000000000005</v>
      </c>
      <c r="G1272" s="6">
        <v>0.17</v>
      </c>
      <c r="H1272" s="6">
        <v>16</v>
      </c>
    </row>
    <row r="1273" spans="1:8" ht="18.95" customHeight="1">
      <c r="A1273" s="4">
        <v>1269</v>
      </c>
      <c r="B1273" s="4">
        <v>45616</v>
      </c>
      <c r="C1273" s="4">
        <v>1</v>
      </c>
      <c r="D1273" s="6">
        <v>0</v>
      </c>
      <c r="E1273" s="6">
        <v>-104.44</v>
      </c>
      <c r="F1273" s="6">
        <v>-0.56000000000000005</v>
      </c>
      <c r="G1273" s="6">
        <v>0.13</v>
      </c>
      <c r="H1273" s="6">
        <v>16</v>
      </c>
    </row>
    <row r="1274" spans="1:8" ht="18.95" customHeight="1">
      <c r="A1274" s="4">
        <v>1270</v>
      </c>
      <c r="B1274" s="4">
        <v>45636</v>
      </c>
      <c r="C1274" s="4">
        <v>1</v>
      </c>
      <c r="D1274" s="6">
        <v>0</v>
      </c>
      <c r="E1274" s="6">
        <v>-103.94</v>
      </c>
      <c r="F1274" s="6">
        <v>-0.55000000000000004</v>
      </c>
      <c r="G1274" s="6">
        <v>-0.06</v>
      </c>
      <c r="H1274" s="6">
        <v>18</v>
      </c>
    </row>
    <row r="1275" spans="1:8" ht="18.95" customHeight="1">
      <c r="A1275" s="4">
        <v>1271</v>
      </c>
      <c r="B1275" s="4">
        <v>45656</v>
      </c>
      <c r="C1275" s="4">
        <v>1</v>
      </c>
      <c r="D1275" s="6">
        <v>0</v>
      </c>
      <c r="E1275" s="6">
        <v>-103.44</v>
      </c>
      <c r="F1275" s="6">
        <v>-0.54</v>
      </c>
      <c r="G1275" s="6">
        <v>0.09</v>
      </c>
      <c r="H1275" s="6">
        <v>18</v>
      </c>
    </row>
    <row r="1276" spans="1:8" ht="18.95" customHeight="1">
      <c r="A1276" s="4">
        <v>1272</v>
      </c>
      <c r="B1276" s="4">
        <v>45676</v>
      </c>
      <c r="C1276" s="4">
        <v>1</v>
      </c>
      <c r="D1276" s="6">
        <v>0</v>
      </c>
      <c r="E1276" s="6">
        <v>-103</v>
      </c>
      <c r="F1276" s="6">
        <v>-0.55000000000000004</v>
      </c>
      <c r="G1276" s="6">
        <v>-0.04</v>
      </c>
      <c r="H1276" s="6">
        <v>18</v>
      </c>
    </row>
    <row r="1277" spans="1:8" ht="18.95" customHeight="1">
      <c r="A1277" s="4">
        <v>1273</v>
      </c>
      <c r="B1277" s="4">
        <v>45696</v>
      </c>
      <c r="C1277" s="4">
        <v>1</v>
      </c>
      <c r="D1277" s="6">
        <v>0</v>
      </c>
      <c r="E1277" s="6">
        <v>-102.62</v>
      </c>
      <c r="F1277" s="6">
        <v>-0.53</v>
      </c>
      <c r="G1277" s="6">
        <v>0.13</v>
      </c>
      <c r="H1277" s="6">
        <v>18</v>
      </c>
    </row>
    <row r="1278" spans="1:8" ht="18.95" customHeight="1">
      <c r="A1278" s="4">
        <v>1274</v>
      </c>
      <c r="B1278" s="4">
        <v>45716</v>
      </c>
      <c r="C1278" s="4">
        <v>1</v>
      </c>
      <c r="D1278" s="6">
        <v>0</v>
      </c>
      <c r="E1278" s="6">
        <v>-102.25</v>
      </c>
      <c r="F1278" s="6">
        <v>-0.49</v>
      </c>
      <c r="G1278" s="6">
        <v>0.1</v>
      </c>
      <c r="H1278" s="6">
        <v>18</v>
      </c>
    </row>
    <row r="1279" spans="1:8" ht="18.95" customHeight="1">
      <c r="A1279" s="4">
        <v>1275</v>
      </c>
      <c r="B1279" s="4">
        <v>45736</v>
      </c>
      <c r="C1279" s="4">
        <v>1</v>
      </c>
      <c r="D1279" s="6">
        <v>0</v>
      </c>
      <c r="E1279" s="6">
        <v>-101.94</v>
      </c>
      <c r="F1279" s="6">
        <v>-0.48</v>
      </c>
      <c r="G1279" s="6">
        <v>0.11</v>
      </c>
      <c r="H1279" s="6">
        <v>19</v>
      </c>
    </row>
    <row r="1280" spans="1:8" ht="18.95" customHeight="1">
      <c r="A1280" s="4">
        <v>1276</v>
      </c>
      <c r="B1280" s="4">
        <v>45756</v>
      </c>
      <c r="C1280" s="4">
        <v>1</v>
      </c>
      <c r="D1280" s="6">
        <v>0</v>
      </c>
      <c r="E1280" s="6">
        <v>-101.62</v>
      </c>
      <c r="F1280" s="6">
        <v>-0.49</v>
      </c>
      <c r="G1280" s="6">
        <v>0.08</v>
      </c>
      <c r="H1280" s="6">
        <v>19</v>
      </c>
    </row>
    <row r="1281" spans="1:8" ht="18.95" customHeight="1">
      <c r="A1281" s="4">
        <v>1277</v>
      </c>
      <c r="B1281" s="4">
        <v>45776</v>
      </c>
      <c r="C1281" s="4">
        <v>1</v>
      </c>
      <c r="D1281" s="6">
        <v>0</v>
      </c>
      <c r="E1281" s="6">
        <v>-101.31</v>
      </c>
      <c r="F1281" s="6">
        <v>-0.49</v>
      </c>
      <c r="G1281" s="6">
        <v>0</v>
      </c>
      <c r="H1281" s="6">
        <v>22</v>
      </c>
    </row>
    <row r="1282" spans="1:8" ht="18.95" customHeight="1">
      <c r="A1282" s="4">
        <v>1278</v>
      </c>
      <c r="B1282" s="4">
        <v>45796</v>
      </c>
      <c r="C1282" s="4">
        <v>1</v>
      </c>
      <c r="D1282" s="6">
        <v>0</v>
      </c>
      <c r="E1282" s="6">
        <v>-101</v>
      </c>
      <c r="F1282" s="6">
        <v>-0.48</v>
      </c>
      <c r="G1282" s="6">
        <v>0.09</v>
      </c>
      <c r="H1282" s="6">
        <v>22</v>
      </c>
    </row>
    <row r="1283" spans="1:8" ht="18.95" customHeight="1">
      <c r="A1283" s="4">
        <v>1279</v>
      </c>
      <c r="B1283" s="4">
        <v>45816</v>
      </c>
      <c r="C1283" s="4">
        <v>1</v>
      </c>
      <c r="D1283" s="6">
        <v>0</v>
      </c>
      <c r="E1283" s="6">
        <v>-100.75</v>
      </c>
      <c r="F1283" s="6">
        <v>-0.45</v>
      </c>
      <c r="G1283" s="6">
        <v>-0.06</v>
      </c>
      <c r="H1283" s="6">
        <v>22</v>
      </c>
    </row>
    <row r="1284" spans="1:8" ht="18.95" customHeight="1">
      <c r="A1284" s="4">
        <v>1280</v>
      </c>
      <c r="B1284" s="4">
        <v>45836</v>
      </c>
      <c r="C1284" s="4">
        <v>1</v>
      </c>
      <c r="D1284" s="6">
        <v>0</v>
      </c>
      <c r="E1284" s="6">
        <v>-100.5</v>
      </c>
      <c r="F1284" s="6">
        <v>-0.45</v>
      </c>
      <c r="G1284" s="6">
        <v>0.04</v>
      </c>
      <c r="H1284" s="6">
        <v>26</v>
      </c>
    </row>
    <row r="1285" spans="1:8" ht="18.95" customHeight="1">
      <c r="A1285" s="4">
        <v>1281</v>
      </c>
      <c r="B1285" s="4">
        <v>45856</v>
      </c>
      <c r="C1285" s="4">
        <v>1</v>
      </c>
      <c r="D1285" s="6">
        <v>0</v>
      </c>
      <c r="E1285" s="6">
        <v>-100.25</v>
      </c>
      <c r="F1285" s="6">
        <v>-0.45</v>
      </c>
      <c r="G1285" s="6">
        <v>0.03</v>
      </c>
      <c r="H1285" s="6">
        <v>26</v>
      </c>
    </row>
    <row r="1286" spans="1:8" ht="18.95" customHeight="1">
      <c r="A1286" s="4">
        <v>1282</v>
      </c>
      <c r="B1286" s="4">
        <v>45876</v>
      </c>
      <c r="C1286" s="4">
        <v>1</v>
      </c>
      <c r="D1286" s="6">
        <v>0</v>
      </c>
      <c r="E1286" s="6">
        <v>-100.06</v>
      </c>
      <c r="F1286" s="6">
        <v>-0.43</v>
      </c>
      <c r="G1286" s="6">
        <v>-0.01</v>
      </c>
      <c r="H1286" s="6">
        <v>27</v>
      </c>
    </row>
    <row r="1287" spans="1:8" ht="18.95" customHeight="1">
      <c r="A1287" s="4">
        <v>1283</v>
      </c>
      <c r="B1287" s="4">
        <v>45896</v>
      </c>
      <c r="C1287" s="4">
        <v>1</v>
      </c>
      <c r="D1287" s="6">
        <v>0</v>
      </c>
      <c r="E1287" s="6">
        <v>-99.87</v>
      </c>
      <c r="F1287" s="6">
        <v>-0.4</v>
      </c>
      <c r="G1287" s="6">
        <v>0.08</v>
      </c>
      <c r="H1287" s="6">
        <v>27</v>
      </c>
    </row>
    <row r="1288" spans="1:8" ht="18.95" customHeight="1">
      <c r="A1288" s="4">
        <v>1284</v>
      </c>
      <c r="B1288" s="4">
        <v>45916</v>
      </c>
      <c r="C1288" s="4">
        <v>1</v>
      </c>
      <c r="D1288" s="6">
        <v>0</v>
      </c>
      <c r="E1288" s="6">
        <v>-99.69</v>
      </c>
      <c r="F1288" s="6">
        <v>-0.39</v>
      </c>
      <c r="G1288" s="6">
        <v>-0.05</v>
      </c>
      <c r="H1288" s="6">
        <v>27</v>
      </c>
    </row>
    <row r="1289" spans="1:8" ht="18.95" customHeight="1">
      <c r="A1289" s="4">
        <v>1285</v>
      </c>
      <c r="B1289" s="4">
        <v>45936</v>
      </c>
      <c r="C1289" s="4">
        <v>1</v>
      </c>
      <c r="D1289" s="6">
        <v>0</v>
      </c>
      <c r="E1289" s="6">
        <v>-99.5</v>
      </c>
      <c r="F1289" s="6">
        <v>-0.39</v>
      </c>
      <c r="G1289" s="6">
        <v>0.09</v>
      </c>
      <c r="H1289" s="6">
        <v>30</v>
      </c>
    </row>
    <row r="1290" spans="1:8" ht="18.95" customHeight="1">
      <c r="A1290" s="4">
        <v>1286</v>
      </c>
      <c r="B1290" s="4">
        <v>45956</v>
      </c>
      <c r="C1290" s="4">
        <v>1</v>
      </c>
      <c r="D1290" s="6">
        <v>0</v>
      </c>
      <c r="E1290" s="6">
        <v>-99.37</v>
      </c>
      <c r="F1290" s="6">
        <v>-0.36</v>
      </c>
      <c r="G1290" s="6">
        <v>-0.03</v>
      </c>
      <c r="H1290" s="6">
        <v>30</v>
      </c>
    </row>
    <row r="1291" spans="1:8" ht="18.95" customHeight="1">
      <c r="A1291" s="4">
        <v>1287</v>
      </c>
      <c r="B1291" s="4">
        <v>45976</v>
      </c>
      <c r="C1291" s="4">
        <v>1</v>
      </c>
      <c r="D1291" s="6">
        <v>0</v>
      </c>
      <c r="E1291" s="6">
        <v>-99.19</v>
      </c>
      <c r="F1291" s="6">
        <v>-0.34</v>
      </c>
      <c r="G1291" s="6">
        <v>0.06</v>
      </c>
      <c r="H1291" s="6">
        <v>33</v>
      </c>
    </row>
    <row r="1292" spans="1:8" ht="18.95" customHeight="1">
      <c r="A1292" s="4">
        <v>1288</v>
      </c>
      <c r="B1292" s="4">
        <v>45996</v>
      </c>
      <c r="C1292" s="4">
        <v>1</v>
      </c>
      <c r="D1292" s="6">
        <v>0</v>
      </c>
      <c r="E1292" s="6">
        <v>-99.12</v>
      </c>
      <c r="F1292" s="6">
        <v>-0.32</v>
      </c>
      <c r="G1292" s="6">
        <v>0.02</v>
      </c>
      <c r="H1292" s="6">
        <v>33</v>
      </c>
    </row>
    <row r="1293" spans="1:8" ht="18.95" customHeight="1">
      <c r="A1293" s="4">
        <v>1289</v>
      </c>
      <c r="B1293" s="4">
        <v>46016</v>
      </c>
      <c r="C1293" s="4">
        <v>1</v>
      </c>
      <c r="D1293" s="6">
        <v>0</v>
      </c>
      <c r="E1293" s="6">
        <v>-99.06</v>
      </c>
      <c r="F1293" s="6">
        <v>-0.3</v>
      </c>
      <c r="G1293" s="6">
        <v>0.02</v>
      </c>
      <c r="H1293" s="6">
        <v>33</v>
      </c>
    </row>
    <row r="1294" spans="1:8" ht="18.95" customHeight="1">
      <c r="A1294" s="4">
        <v>1290</v>
      </c>
      <c r="B1294" s="4">
        <v>46036</v>
      </c>
      <c r="C1294" s="4">
        <v>1</v>
      </c>
      <c r="D1294" s="6">
        <v>0</v>
      </c>
      <c r="E1294" s="6">
        <v>-99</v>
      </c>
      <c r="F1294" s="6">
        <v>-0.28000000000000003</v>
      </c>
      <c r="G1294" s="6">
        <v>0.24</v>
      </c>
      <c r="H1294" s="6">
        <v>37</v>
      </c>
    </row>
    <row r="1295" spans="1:8" ht="18.95" customHeight="1">
      <c r="A1295" s="4">
        <v>1291</v>
      </c>
      <c r="B1295" s="4">
        <v>46056</v>
      </c>
      <c r="C1295" s="4">
        <v>1</v>
      </c>
      <c r="D1295" s="6">
        <v>0</v>
      </c>
      <c r="E1295" s="6">
        <v>-98.94</v>
      </c>
      <c r="F1295" s="6">
        <v>-0.25</v>
      </c>
      <c r="G1295" s="6">
        <v>-0.03</v>
      </c>
      <c r="H1295" s="6">
        <v>37</v>
      </c>
    </row>
    <row r="1296" spans="1:8" ht="18.95" customHeight="1">
      <c r="A1296" s="4">
        <v>1292</v>
      </c>
      <c r="B1296" s="4">
        <v>46076</v>
      </c>
      <c r="C1296" s="4">
        <v>1</v>
      </c>
      <c r="D1296" s="6">
        <v>0</v>
      </c>
      <c r="E1296" s="6">
        <v>-98.94</v>
      </c>
      <c r="F1296" s="6">
        <v>-0.23</v>
      </c>
      <c r="G1296" s="6">
        <v>0.2</v>
      </c>
      <c r="H1296" s="6">
        <v>42</v>
      </c>
    </row>
    <row r="1297" spans="1:8" ht="18.95" customHeight="1">
      <c r="A1297" s="4">
        <v>1293</v>
      </c>
      <c r="B1297" s="4">
        <v>46096</v>
      </c>
      <c r="C1297" s="4">
        <v>1</v>
      </c>
      <c r="D1297" s="6">
        <v>0</v>
      </c>
      <c r="E1297" s="6">
        <v>-98.87</v>
      </c>
      <c r="F1297" s="6">
        <v>-0.21</v>
      </c>
      <c r="G1297" s="6">
        <v>0.01</v>
      </c>
      <c r="H1297" s="6">
        <v>42</v>
      </c>
    </row>
    <row r="1298" spans="1:8" ht="18.95" customHeight="1">
      <c r="A1298" s="4">
        <v>1294</v>
      </c>
      <c r="B1298" s="4">
        <v>46116</v>
      </c>
      <c r="C1298" s="4">
        <v>1</v>
      </c>
      <c r="D1298" s="6">
        <v>0</v>
      </c>
      <c r="E1298" s="6">
        <v>-98.87</v>
      </c>
      <c r="F1298" s="6">
        <v>-0.2</v>
      </c>
      <c r="G1298" s="6">
        <v>0.18</v>
      </c>
      <c r="H1298" s="6">
        <v>42</v>
      </c>
    </row>
    <row r="1299" spans="1:8" ht="18.95" customHeight="1">
      <c r="A1299" s="4">
        <v>1295</v>
      </c>
      <c r="B1299" s="4">
        <v>46136</v>
      </c>
      <c r="C1299" s="4">
        <v>1</v>
      </c>
      <c r="D1299" s="6">
        <v>0</v>
      </c>
      <c r="E1299" s="6">
        <v>-98.87</v>
      </c>
      <c r="F1299" s="6">
        <v>-0.16</v>
      </c>
      <c r="G1299" s="6">
        <v>7.0000000000000007E-2</v>
      </c>
      <c r="H1299" s="6">
        <v>45</v>
      </c>
    </row>
    <row r="1300" spans="1:8" ht="18.95" customHeight="1">
      <c r="A1300" s="4">
        <v>1296</v>
      </c>
      <c r="B1300" s="4">
        <v>46156</v>
      </c>
      <c r="C1300" s="4">
        <v>1</v>
      </c>
      <c r="D1300" s="6">
        <v>0</v>
      </c>
      <c r="E1300" s="6">
        <v>-98.81</v>
      </c>
      <c r="F1300" s="6">
        <v>-0.13</v>
      </c>
      <c r="G1300" s="6">
        <v>0.08</v>
      </c>
      <c r="H1300" s="6">
        <v>45</v>
      </c>
    </row>
    <row r="1301" spans="1:8" ht="18.95" customHeight="1">
      <c r="A1301" s="4">
        <v>1297</v>
      </c>
      <c r="B1301" s="4">
        <v>46176</v>
      </c>
      <c r="C1301" s="4">
        <v>1</v>
      </c>
      <c r="D1301" s="6">
        <v>0</v>
      </c>
      <c r="E1301" s="6">
        <v>-98.81</v>
      </c>
      <c r="F1301" s="6">
        <v>-0.1</v>
      </c>
      <c r="G1301" s="6">
        <v>0</v>
      </c>
      <c r="H1301" s="6">
        <v>50</v>
      </c>
    </row>
    <row r="1302" spans="1:8" ht="18.95" customHeight="1">
      <c r="A1302" s="4">
        <v>1298</v>
      </c>
      <c r="B1302" s="4">
        <v>46196</v>
      </c>
      <c r="C1302" s="4">
        <v>1</v>
      </c>
      <c r="D1302" s="6">
        <v>0</v>
      </c>
      <c r="E1302" s="6">
        <v>-98.81</v>
      </c>
      <c r="F1302" s="6">
        <v>-0.08</v>
      </c>
      <c r="G1302" s="6">
        <v>0.03</v>
      </c>
      <c r="H1302" s="6">
        <v>50</v>
      </c>
    </row>
    <row r="1303" spans="1:8" ht="18.95" customHeight="1">
      <c r="A1303" s="4">
        <v>1299</v>
      </c>
      <c r="B1303" s="4">
        <v>46216</v>
      </c>
      <c r="C1303" s="4">
        <v>1</v>
      </c>
      <c r="D1303" s="6">
        <v>0</v>
      </c>
      <c r="E1303" s="6">
        <v>-98.87</v>
      </c>
      <c r="F1303" s="6">
        <v>-0.05</v>
      </c>
      <c r="G1303" s="6">
        <v>0.14000000000000001</v>
      </c>
      <c r="H1303" s="6">
        <v>50</v>
      </c>
    </row>
    <row r="1304" spans="1:8" ht="18.95" customHeight="1">
      <c r="A1304" s="4">
        <v>1300</v>
      </c>
      <c r="B1304" s="4">
        <v>46236</v>
      </c>
      <c r="C1304" s="4">
        <v>1</v>
      </c>
      <c r="D1304" s="6">
        <v>0</v>
      </c>
      <c r="E1304" s="6">
        <v>-98.87</v>
      </c>
      <c r="F1304" s="6">
        <v>-0.02</v>
      </c>
      <c r="G1304" s="6">
        <v>7.0000000000000007E-2</v>
      </c>
      <c r="H1304" s="6">
        <v>53</v>
      </c>
    </row>
    <row r="1305" spans="1:8" ht="18.95" customHeight="1">
      <c r="A1305" s="4">
        <v>1301</v>
      </c>
      <c r="B1305" s="4">
        <v>46256</v>
      </c>
      <c r="C1305" s="4">
        <v>1</v>
      </c>
      <c r="D1305" s="6">
        <v>0</v>
      </c>
      <c r="E1305" s="6">
        <v>-98.94</v>
      </c>
      <c r="F1305" s="6">
        <v>0</v>
      </c>
      <c r="G1305" s="6">
        <v>0.03</v>
      </c>
      <c r="H1305" s="6">
        <v>53</v>
      </c>
    </row>
    <row r="1306" spans="1:8" ht="18.95" customHeight="1">
      <c r="A1306" s="4">
        <v>1302</v>
      </c>
      <c r="B1306" s="4">
        <v>46276</v>
      </c>
      <c r="C1306" s="4">
        <v>1</v>
      </c>
      <c r="D1306" s="6">
        <v>0</v>
      </c>
      <c r="E1306" s="6">
        <v>-98.94</v>
      </c>
      <c r="F1306" s="6">
        <v>0.03</v>
      </c>
      <c r="G1306" s="6">
        <v>-0.05</v>
      </c>
      <c r="H1306" s="6">
        <v>57</v>
      </c>
    </row>
    <row r="1307" spans="1:8" ht="18.95" customHeight="1">
      <c r="A1307" s="4">
        <v>1303</v>
      </c>
      <c r="B1307" s="4">
        <v>46296</v>
      </c>
      <c r="C1307" s="4">
        <v>1</v>
      </c>
      <c r="D1307" s="6">
        <v>0</v>
      </c>
      <c r="E1307" s="6">
        <v>-99</v>
      </c>
      <c r="F1307" s="6">
        <v>0.05</v>
      </c>
      <c r="G1307" s="6">
        <v>0.19</v>
      </c>
      <c r="H1307" s="6">
        <v>57</v>
      </c>
    </row>
    <row r="1308" spans="1:8" ht="18.95" customHeight="1">
      <c r="A1308" s="4">
        <v>1304</v>
      </c>
      <c r="B1308" s="4">
        <v>46316</v>
      </c>
      <c r="C1308" s="4">
        <v>1</v>
      </c>
      <c r="D1308" s="6">
        <v>0</v>
      </c>
      <c r="E1308" s="6">
        <v>-99</v>
      </c>
      <c r="F1308" s="6">
        <v>7.0000000000000007E-2</v>
      </c>
      <c r="G1308" s="6">
        <v>0.12</v>
      </c>
      <c r="H1308" s="6">
        <v>57</v>
      </c>
    </row>
    <row r="1309" spans="1:8" ht="18.95" customHeight="1">
      <c r="A1309" s="4">
        <v>1305</v>
      </c>
      <c r="B1309" s="4">
        <v>46336</v>
      </c>
      <c r="C1309" s="4">
        <v>1</v>
      </c>
      <c r="D1309" s="6">
        <v>0</v>
      </c>
      <c r="E1309" s="6">
        <v>-99.06</v>
      </c>
      <c r="F1309" s="6">
        <v>0.1</v>
      </c>
      <c r="G1309" s="6">
        <v>7.0000000000000007E-2</v>
      </c>
      <c r="H1309" s="6">
        <v>60</v>
      </c>
    </row>
    <row r="1310" spans="1:8" ht="18.95" customHeight="1">
      <c r="A1310" s="4">
        <v>1306</v>
      </c>
      <c r="B1310" s="4">
        <v>46356</v>
      </c>
      <c r="C1310" s="4">
        <v>1</v>
      </c>
      <c r="D1310" s="6">
        <v>0</v>
      </c>
      <c r="E1310" s="6">
        <v>-99.12</v>
      </c>
      <c r="F1310" s="6">
        <v>0.12</v>
      </c>
      <c r="G1310" s="6">
        <v>0.1</v>
      </c>
      <c r="H1310" s="6">
        <v>60</v>
      </c>
    </row>
    <row r="1311" spans="1:8" ht="18.95" customHeight="1">
      <c r="A1311" s="4">
        <v>1307</v>
      </c>
      <c r="B1311" s="4">
        <v>46376</v>
      </c>
      <c r="C1311" s="4">
        <v>1</v>
      </c>
      <c r="D1311" s="6">
        <v>0</v>
      </c>
      <c r="E1311" s="6">
        <v>-99.19</v>
      </c>
      <c r="F1311" s="6">
        <v>0.15</v>
      </c>
      <c r="G1311" s="6">
        <v>0.06</v>
      </c>
      <c r="H1311" s="6">
        <v>64</v>
      </c>
    </row>
    <row r="1312" spans="1:8" ht="18.95" customHeight="1">
      <c r="A1312" s="4">
        <v>1308</v>
      </c>
      <c r="B1312" s="4">
        <v>46396</v>
      </c>
      <c r="C1312" s="4">
        <v>1</v>
      </c>
      <c r="D1312" s="6">
        <v>0</v>
      </c>
      <c r="E1312" s="6">
        <v>-99.19</v>
      </c>
      <c r="F1312" s="6">
        <v>0.17</v>
      </c>
      <c r="G1312" s="6">
        <v>-0.09</v>
      </c>
      <c r="H1312" s="6">
        <v>64</v>
      </c>
    </row>
    <row r="1313" spans="1:8" ht="18.95" customHeight="1">
      <c r="A1313" s="4">
        <v>1309</v>
      </c>
      <c r="B1313" s="4">
        <v>46416</v>
      </c>
      <c r="C1313" s="4">
        <v>1</v>
      </c>
      <c r="D1313" s="6">
        <v>0</v>
      </c>
      <c r="E1313" s="6">
        <v>-99.25</v>
      </c>
      <c r="F1313" s="6">
        <v>0.2</v>
      </c>
      <c r="G1313" s="6">
        <v>0.1</v>
      </c>
      <c r="H1313" s="6">
        <v>64</v>
      </c>
    </row>
    <row r="1314" spans="1:8" ht="18.95" customHeight="1">
      <c r="A1314" s="4">
        <v>1310</v>
      </c>
      <c r="B1314" s="4">
        <v>46436</v>
      </c>
      <c r="C1314" s="4">
        <v>1</v>
      </c>
      <c r="D1314" s="6">
        <v>0</v>
      </c>
      <c r="E1314" s="6">
        <v>-99.37</v>
      </c>
      <c r="F1314" s="6">
        <v>0.23</v>
      </c>
      <c r="G1314" s="6">
        <v>0.01</v>
      </c>
      <c r="H1314" s="6">
        <v>66</v>
      </c>
    </row>
    <row r="1315" spans="1:8" ht="18.95" customHeight="1">
      <c r="A1315" s="4">
        <v>1311</v>
      </c>
      <c r="B1315" s="4">
        <v>46456</v>
      </c>
      <c r="C1315" s="4">
        <v>1</v>
      </c>
      <c r="D1315" s="6">
        <v>0</v>
      </c>
      <c r="E1315" s="6">
        <v>-99.44</v>
      </c>
      <c r="F1315" s="6">
        <v>0.26</v>
      </c>
      <c r="G1315" s="6">
        <v>-0.03</v>
      </c>
      <c r="H1315" s="6">
        <v>66</v>
      </c>
    </row>
    <row r="1316" spans="1:8" ht="18.95" customHeight="1">
      <c r="A1316" s="4">
        <v>1312</v>
      </c>
      <c r="B1316" s="4">
        <v>46476</v>
      </c>
      <c r="C1316" s="4">
        <v>1</v>
      </c>
      <c r="D1316" s="6">
        <v>0</v>
      </c>
      <c r="E1316" s="6">
        <v>-99.56</v>
      </c>
      <c r="F1316" s="6">
        <v>0.27</v>
      </c>
      <c r="G1316" s="6">
        <v>0.12</v>
      </c>
      <c r="H1316" s="6">
        <v>69</v>
      </c>
    </row>
    <row r="1317" spans="1:8" ht="18.95" customHeight="1">
      <c r="A1317" s="4">
        <v>1313</v>
      </c>
      <c r="B1317" s="4">
        <v>46496</v>
      </c>
      <c r="C1317" s="4">
        <v>1</v>
      </c>
      <c r="D1317" s="6">
        <v>0</v>
      </c>
      <c r="E1317" s="6">
        <v>-99.69</v>
      </c>
      <c r="F1317" s="6">
        <v>0.28999999999999998</v>
      </c>
      <c r="G1317" s="6">
        <v>0.06</v>
      </c>
      <c r="H1317" s="6">
        <v>69</v>
      </c>
    </row>
    <row r="1318" spans="1:8" ht="18.95" customHeight="1">
      <c r="A1318" s="4">
        <v>1314</v>
      </c>
      <c r="B1318" s="4">
        <v>46516</v>
      </c>
      <c r="C1318" s="4">
        <v>1</v>
      </c>
      <c r="D1318" s="6">
        <v>0</v>
      </c>
      <c r="E1318" s="6">
        <v>-99.81</v>
      </c>
      <c r="F1318" s="6">
        <v>0.31</v>
      </c>
      <c r="G1318" s="6">
        <v>0.09</v>
      </c>
      <c r="H1318" s="6">
        <v>69</v>
      </c>
    </row>
    <row r="1319" spans="1:8" ht="18.95" customHeight="1">
      <c r="A1319" s="4">
        <v>1315</v>
      </c>
      <c r="B1319" s="4">
        <v>46536</v>
      </c>
      <c r="C1319" s="4">
        <v>1</v>
      </c>
      <c r="D1319" s="6">
        <v>0</v>
      </c>
      <c r="E1319" s="6">
        <v>-99.94</v>
      </c>
      <c r="F1319" s="6">
        <v>0.33</v>
      </c>
      <c r="G1319" s="6">
        <v>0.04</v>
      </c>
      <c r="H1319" s="6">
        <v>74</v>
      </c>
    </row>
    <row r="1320" spans="1:8" ht="18.95" customHeight="1">
      <c r="A1320" s="4">
        <v>1316</v>
      </c>
      <c r="B1320" s="4">
        <v>46556</v>
      </c>
      <c r="C1320" s="4">
        <v>1</v>
      </c>
      <c r="D1320" s="6">
        <v>0</v>
      </c>
      <c r="E1320" s="6">
        <v>-100.12</v>
      </c>
      <c r="F1320" s="6">
        <v>0.34</v>
      </c>
      <c r="G1320" s="6">
        <v>-7.0000000000000007E-2</v>
      </c>
      <c r="H1320" s="6">
        <v>74</v>
      </c>
    </row>
    <row r="1321" spans="1:8" ht="18.95" customHeight="1">
      <c r="A1321" s="4">
        <v>1317</v>
      </c>
      <c r="B1321" s="4">
        <v>46576</v>
      </c>
      <c r="C1321" s="4">
        <v>1</v>
      </c>
      <c r="D1321" s="6">
        <v>0</v>
      </c>
      <c r="E1321" s="6">
        <v>-100.25</v>
      </c>
      <c r="F1321" s="6">
        <v>0.34</v>
      </c>
      <c r="G1321" s="6">
        <v>-0.08</v>
      </c>
      <c r="H1321" s="6">
        <v>73</v>
      </c>
    </row>
    <row r="1322" spans="1:8" ht="18.95" customHeight="1">
      <c r="A1322" s="4">
        <v>1318</v>
      </c>
      <c r="B1322" s="4">
        <v>46596</v>
      </c>
      <c r="C1322" s="4">
        <v>1</v>
      </c>
      <c r="D1322" s="6">
        <v>0</v>
      </c>
      <c r="E1322" s="6">
        <v>-100.44</v>
      </c>
      <c r="F1322" s="6">
        <v>0.37</v>
      </c>
      <c r="G1322" s="6">
        <v>0.05</v>
      </c>
      <c r="H1322" s="6">
        <v>73</v>
      </c>
    </row>
    <row r="1323" spans="1:8" ht="18.95" customHeight="1">
      <c r="A1323" s="4">
        <v>1319</v>
      </c>
      <c r="B1323" s="4">
        <v>46616</v>
      </c>
      <c r="C1323" s="4">
        <v>1</v>
      </c>
      <c r="D1323" s="6">
        <v>0</v>
      </c>
      <c r="E1323" s="6">
        <v>-100.62</v>
      </c>
      <c r="F1323" s="6">
        <v>0.38</v>
      </c>
      <c r="G1323" s="6">
        <v>0.12</v>
      </c>
      <c r="H1323" s="6">
        <v>73</v>
      </c>
    </row>
    <row r="1324" spans="1:8" ht="18.95" customHeight="1">
      <c r="A1324" s="4">
        <v>1320</v>
      </c>
      <c r="B1324" s="4">
        <v>46636</v>
      </c>
      <c r="C1324" s="4">
        <v>1</v>
      </c>
      <c r="D1324" s="6">
        <v>0</v>
      </c>
      <c r="E1324" s="6">
        <v>-100.81</v>
      </c>
      <c r="F1324" s="6">
        <v>0.4</v>
      </c>
      <c r="G1324" s="6">
        <v>0.04</v>
      </c>
      <c r="H1324" s="6">
        <v>77</v>
      </c>
    </row>
    <row r="1325" spans="1:8" ht="18.95" customHeight="1">
      <c r="A1325" s="4">
        <v>1321</v>
      </c>
      <c r="B1325" s="4">
        <v>46656</v>
      </c>
      <c r="C1325" s="4">
        <v>1</v>
      </c>
      <c r="D1325" s="6">
        <v>0</v>
      </c>
      <c r="E1325" s="6">
        <v>-101.06</v>
      </c>
      <c r="F1325" s="6">
        <v>0.41</v>
      </c>
      <c r="G1325" s="6">
        <v>7.0000000000000007E-2</v>
      </c>
      <c r="H1325" s="6">
        <v>77</v>
      </c>
    </row>
    <row r="1326" spans="1:8" ht="18.95" customHeight="1">
      <c r="A1326" s="4">
        <v>1322</v>
      </c>
      <c r="B1326" s="4">
        <v>46676</v>
      </c>
      <c r="C1326" s="4">
        <v>1</v>
      </c>
      <c r="D1326" s="6">
        <v>0</v>
      </c>
      <c r="E1326" s="6">
        <v>-101.25</v>
      </c>
      <c r="F1326" s="6">
        <v>0.42</v>
      </c>
      <c r="G1326" s="6">
        <v>0.1</v>
      </c>
      <c r="H1326" s="6">
        <v>77</v>
      </c>
    </row>
    <row r="1327" spans="1:8" ht="18.95" customHeight="1">
      <c r="A1327" s="4">
        <v>1323</v>
      </c>
      <c r="B1327" s="4">
        <v>46696</v>
      </c>
      <c r="C1327" s="4">
        <v>1</v>
      </c>
      <c r="D1327" s="6">
        <v>0</v>
      </c>
      <c r="E1327" s="6">
        <v>-101.5</v>
      </c>
      <c r="F1327" s="6">
        <v>0.44</v>
      </c>
      <c r="G1327" s="6">
        <v>0</v>
      </c>
      <c r="H1327" s="6">
        <v>77</v>
      </c>
    </row>
    <row r="1328" spans="1:8" ht="18.95" customHeight="1">
      <c r="A1328" s="4">
        <v>1324</v>
      </c>
      <c r="B1328" s="4">
        <v>46716</v>
      </c>
      <c r="C1328" s="4">
        <v>1</v>
      </c>
      <c r="D1328" s="6">
        <v>0</v>
      </c>
      <c r="E1328" s="6">
        <v>-101.81</v>
      </c>
      <c r="F1328" s="6">
        <v>0.46</v>
      </c>
      <c r="G1328" s="6">
        <v>0.12</v>
      </c>
      <c r="H1328" s="6">
        <v>77</v>
      </c>
    </row>
    <row r="1329" spans="1:8" ht="18.95" customHeight="1">
      <c r="A1329" s="4">
        <v>1325</v>
      </c>
      <c r="B1329" s="4">
        <v>46736</v>
      </c>
      <c r="C1329" s="4">
        <v>1</v>
      </c>
      <c r="D1329" s="6">
        <v>0</v>
      </c>
      <c r="E1329" s="6">
        <v>-102.06</v>
      </c>
      <c r="F1329" s="6">
        <v>0.42</v>
      </c>
      <c r="G1329" s="6">
        <v>0.08</v>
      </c>
      <c r="H1329" s="6">
        <v>81</v>
      </c>
    </row>
    <row r="1330" spans="1:8" ht="18.95" customHeight="1">
      <c r="A1330" s="4">
        <v>1326</v>
      </c>
      <c r="B1330" s="4">
        <v>46756</v>
      </c>
      <c r="C1330" s="4">
        <v>1</v>
      </c>
      <c r="D1330" s="6">
        <v>0</v>
      </c>
      <c r="E1330" s="6">
        <v>-102.31</v>
      </c>
      <c r="F1330" s="6">
        <v>0.4</v>
      </c>
      <c r="G1330" s="6">
        <v>-0.05</v>
      </c>
      <c r="H1330" s="6">
        <v>81</v>
      </c>
    </row>
    <row r="1331" spans="1:8" ht="18.95" customHeight="1">
      <c r="A1331" s="4">
        <v>1327</v>
      </c>
      <c r="B1331" s="4">
        <v>46777</v>
      </c>
      <c r="C1331" s="4">
        <v>1</v>
      </c>
      <c r="D1331" s="6">
        <v>0</v>
      </c>
      <c r="E1331" s="6">
        <v>-102.62</v>
      </c>
      <c r="F1331" s="6">
        <v>0.4</v>
      </c>
      <c r="G1331" s="6">
        <v>0.32</v>
      </c>
      <c r="H1331" s="6">
        <v>83</v>
      </c>
    </row>
    <row r="1332" spans="1:8" ht="18.95" customHeight="1">
      <c r="A1332" s="4">
        <v>1328</v>
      </c>
      <c r="B1332" s="4">
        <v>46797</v>
      </c>
      <c r="C1332" s="4">
        <v>1</v>
      </c>
      <c r="D1332" s="6">
        <v>0</v>
      </c>
      <c r="E1332" s="6">
        <v>-102.94</v>
      </c>
      <c r="F1332" s="6">
        <v>0.41</v>
      </c>
      <c r="G1332" s="6">
        <v>0.13</v>
      </c>
      <c r="H1332" s="6">
        <v>83</v>
      </c>
    </row>
    <row r="1333" spans="1:8" ht="18.95" customHeight="1">
      <c r="A1333" s="4">
        <v>1329</v>
      </c>
      <c r="B1333" s="4">
        <v>46817</v>
      </c>
      <c r="C1333" s="4">
        <v>1</v>
      </c>
      <c r="D1333" s="6">
        <v>0</v>
      </c>
      <c r="E1333" s="6">
        <v>-103.25</v>
      </c>
      <c r="F1333" s="6">
        <v>0.44</v>
      </c>
      <c r="G1333" s="6">
        <v>-0.16</v>
      </c>
      <c r="H1333" s="6">
        <v>83</v>
      </c>
    </row>
    <row r="1334" spans="1:8" ht="18.95" customHeight="1">
      <c r="A1334" s="4">
        <v>1330</v>
      </c>
      <c r="B1334" s="4">
        <v>46837</v>
      </c>
      <c r="C1334" s="4">
        <v>1</v>
      </c>
      <c r="D1334" s="6">
        <v>0</v>
      </c>
      <c r="E1334" s="6">
        <v>-103.62</v>
      </c>
      <c r="F1334" s="6">
        <v>0.48</v>
      </c>
      <c r="G1334" s="6">
        <v>0.05</v>
      </c>
      <c r="H1334" s="6">
        <v>83</v>
      </c>
    </row>
    <row r="1335" spans="1:8" ht="18.95" customHeight="1">
      <c r="A1335" s="4">
        <v>1331</v>
      </c>
      <c r="B1335" s="4">
        <v>46857</v>
      </c>
      <c r="C1335" s="4">
        <v>1</v>
      </c>
      <c r="D1335" s="6">
        <v>0</v>
      </c>
      <c r="E1335" s="6">
        <v>-104.06</v>
      </c>
      <c r="F1335" s="6">
        <v>0.47</v>
      </c>
      <c r="G1335" s="6">
        <v>0.01</v>
      </c>
      <c r="H1335" s="6">
        <v>83</v>
      </c>
    </row>
    <row r="1336" spans="1:8" ht="18.95" customHeight="1">
      <c r="A1336" s="4">
        <v>1332</v>
      </c>
      <c r="B1336" s="4">
        <v>46877</v>
      </c>
      <c r="C1336" s="4">
        <v>1</v>
      </c>
      <c r="D1336" s="6">
        <v>0</v>
      </c>
      <c r="E1336" s="6">
        <v>-104.5</v>
      </c>
      <c r="F1336" s="6">
        <v>0.48</v>
      </c>
      <c r="G1336" s="6">
        <v>-0.13</v>
      </c>
      <c r="H1336" s="6">
        <v>84</v>
      </c>
    </row>
    <row r="1337" spans="1:8" ht="18.95" customHeight="1">
      <c r="A1337" s="4">
        <v>1333</v>
      </c>
      <c r="B1337" s="4">
        <v>46897</v>
      </c>
      <c r="C1337" s="4">
        <v>1</v>
      </c>
      <c r="D1337" s="6">
        <v>0</v>
      </c>
      <c r="E1337" s="6">
        <v>-104.94</v>
      </c>
      <c r="F1337" s="6">
        <v>0.47</v>
      </c>
      <c r="G1337" s="6">
        <v>0.1</v>
      </c>
      <c r="H1337" s="6">
        <v>84</v>
      </c>
    </row>
    <row r="1338" spans="1:8" ht="18.95" customHeight="1">
      <c r="A1338" s="4">
        <v>1334</v>
      </c>
      <c r="B1338" s="4">
        <v>46917</v>
      </c>
      <c r="C1338" s="4">
        <v>1</v>
      </c>
      <c r="D1338" s="6">
        <v>0</v>
      </c>
      <c r="E1338" s="6">
        <v>-105.44</v>
      </c>
      <c r="F1338" s="6">
        <v>0.5</v>
      </c>
      <c r="G1338" s="6">
        <v>0.02</v>
      </c>
      <c r="H1338" s="6">
        <v>84</v>
      </c>
    </row>
    <row r="1339" spans="1:8" ht="18.95" customHeight="1">
      <c r="A1339" s="4">
        <v>1335</v>
      </c>
      <c r="B1339" s="4">
        <v>46937</v>
      </c>
      <c r="C1339" s="4">
        <v>1</v>
      </c>
      <c r="D1339" s="6">
        <v>0</v>
      </c>
      <c r="E1339" s="6">
        <v>-105.94</v>
      </c>
      <c r="F1339" s="6">
        <v>0.46</v>
      </c>
      <c r="G1339" s="6">
        <v>0.26</v>
      </c>
      <c r="H1339" s="6">
        <v>83</v>
      </c>
    </row>
    <row r="1340" spans="1:8" ht="18.95" customHeight="1">
      <c r="A1340" s="4">
        <v>1336</v>
      </c>
      <c r="B1340" s="4">
        <v>46957</v>
      </c>
      <c r="C1340" s="4">
        <v>1</v>
      </c>
      <c r="D1340" s="6">
        <v>0</v>
      </c>
      <c r="E1340" s="6">
        <v>-106.5</v>
      </c>
      <c r="F1340" s="6">
        <v>0.46</v>
      </c>
      <c r="G1340" s="6">
        <v>-0.13</v>
      </c>
      <c r="H1340" s="6">
        <v>83</v>
      </c>
    </row>
    <row r="1341" spans="1:8" ht="18.95" customHeight="1">
      <c r="A1341" s="4">
        <v>1337</v>
      </c>
      <c r="B1341" s="4">
        <v>46978</v>
      </c>
      <c r="C1341" s="4">
        <v>1</v>
      </c>
      <c r="D1341" s="6">
        <v>0</v>
      </c>
      <c r="E1341" s="6">
        <v>-107.06</v>
      </c>
      <c r="F1341" s="6">
        <v>0.45</v>
      </c>
      <c r="G1341" s="6">
        <v>-0.16</v>
      </c>
      <c r="H1341" s="6">
        <v>87</v>
      </c>
    </row>
    <row r="1342" spans="1:8" ht="18.95" customHeight="1">
      <c r="A1342" s="4">
        <v>1338</v>
      </c>
      <c r="B1342" s="4">
        <v>46998</v>
      </c>
      <c r="C1342" s="4">
        <v>1</v>
      </c>
      <c r="D1342" s="6">
        <v>0</v>
      </c>
      <c r="E1342" s="6">
        <v>-107.62</v>
      </c>
      <c r="F1342" s="6">
        <v>0.49</v>
      </c>
      <c r="G1342" s="6">
        <v>0.09</v>
      </c>
      <c r="H1342" s="6">
        <v>87</v>
      </c>
    </row>
    <row r="1343" spans="1:8" ht="18.95" customHeight="1">
      <c r="A1343" s="4">
        <v>1339</v>
      </c>
      <c r="B1343" s="4">
        <v>47019</v>
      </c>
      <c r="C1343" s="4">
        <v>1</v>
      </c>
      <c r="D1343" s="6">
        <v>0</v>
      </c>
      <c r="E1343" s="6">
        <v>-108.37</v>
      </c>
      <c r="F1343" s="6">
        <v>0.5</v>
      </c>
      <c r="G1343" s="6">
        <v>-0.27</v>
      </c>
      <c r="H1343" s="6">
        <v>87</v>
      </c>
    </row>
    <row r="1344" spans="1:8" ht="18.95" customHeight="1">
      <c r="A1344" s="4">
        <v>1340</v>
      </c>
      <c r="B1344" s="4">
        <v>47039</v>
      </c>
      <c r="C1344" s="4">
        <v>1</v>
      </c>
      <c r="D1344" s="6">
        <v>0</v>
      </c>
      <c r="E1344" s="6">
        <v>-109.06</v>
      </c>
      <c r="F1344" s="6">
        <v>0.51</v>
      </c>
      <c r="G1344" s="6">
        <v>0.36</v>
      </c>
      <c r="H1344" s="6">
        <v>85</v>
      </c>
    </row>
    <row r="1345" spans="1:8" ht="18.95" customHeight="1">
      <c r="A1345" s="4">
        <v>1341</v>
      </c>
      <c r="B1345" s="4">
        <v>47059</v>
      </c>
      <c r="C1345" s="4">
        <v>1</v>
      </c>
      <c r="D1345" s="6">
        <v>0</v>
      </c>
      <c r="E1345" s="6">
        <v>-109.75</v>
      </c>
      <c r="F1345" s="6">
        <v>0.52</v>
      </c>
      <c r="G1345" s="6">
        <v>0.21</v>
      </c>
      <c r="H1345" s="6">
        <v>85</v>
      </c>
    </row>
    <row r="1346" spans="1:8" ht="18.95" customHeight="1">
      <c r="A1346" s="4">
        <v>1342</v>
      </c>
      <c r="B1346" s="4">
        <v>47079</v>
      </c>
      <c r="C1346" s="4">
        <v>1</v>
      </c>
      <c r="D1346" s="6">
        <v>0</v>
      </c>
      <c r="E1346" s="6">
        <v>-110.56</v>
      </c>
      <c r="F1346" s="6">
        <v>0.55000000000000004</v>
      </c>
      <c r="G1346" s="6">
        <v>-7.0000000000000007E-2</v>
      </c>
      <c r="H1346" s="6">
        <v>85</v>
      </c>
    </row>
    <row r="1347" spans="1:8" ht="18.95" customHeight="1">
      <c r="A1347" s="4">
        <v>1343</v>
      </c>
      <c r="B1347" s="4">
        <v>47099</v>
      </c>
      <c r="C1347" s="4">
        <v>1</v>
      </c>
      <c r="D1347" s="6">
        <v>0</v>
      </c>
      <c r="E1347" s="6">
        <v>-111.56</v>
      </c>
      <c r="F1347" s="6">
        <v>0.56000000000000005</v>
      </c>
      <c r="G1347" s="6">
        <v>-0.05</v>
      </c>
      <c r="H1347" s="6">
        <v>85</v>
      </c>
    </row>
    <row r="1348" spans="1:8" ht="18.95" customHeight="1">
      <c r="A1348" s="4">
        <v>1344</v>
      </c>
      <c r="B1348" s="4">
        <v>47119</v>
      </c>
      <c r="C1348" s="4">
        <v>1</v>
      </c>
      <c r="D1348" s="6">
        <v>0</v>
      </c>
      <c r="E1348" s="6">
        <v>-112.62</v>
      </c>
      <c r="F1348" s="6">
        <v>0.54</v>
      </c>
      <c r="G1348" s="6">
        <v>-7.0000000000000007E-2</v>
      </c>
      <c r="H1348" s="6">
        <v>85</v>
      </c>
    </row>
    <row r="1349" spans="1:8" ht="18.95" customHeight="1">
      <c r="A1349" s="4">
        <v>1345</v>
      </c>
      <c r="B1349" s="4">
        <v>47139</v>
      </c>
      <c r="C1349" s="4">
        <v>1</v>
      </c>
      <c r="D1349" s="6">
        <v>0</v>
      </c>
      <c r="E1349" s="6">
        <v>-113.75</v>
      </c>
      <c r="F1349" s="6">
        <v>0.53</v>
      </c>
      <c r="G1349" s="6">
        <v>0.09</v>
      </c>
      <c r="H1349" s="6">
        <v>85</v>
      </c>
    </row>
    <row r="1350" spans="1:8" ht="18.95" customHeight="1">
      <c r="A1350" s="4">
        <v>1346</v>
      </c>
      <c r="B1350" s="4">
        <v>47159</v>
      </c>
      <c r="C1350" s="4">
        <v>1</v>
      </c>
      <c r="D1350" s="6">
        <v>0</v>
      </c>
      <c r="E1350" s="6">
        <v>-115</v>
      </c>
      <c r="F1350" s="6">
        <v>0.53</v>
      </c>
      <c r="G1350" s="6">
        <v>-7.0000000000000007E-2</v>
      </c>
      <c r="H1350" s="6">
        <v>85</v>
      </c>
    </row>
    <row r="1351" spans="1:8" ht="18.95" customHeight="1">
      <c r="A1351" s="4">
        <v>1347</v>
      </c>
      <c r="B1351" s="4">
        <v>47179</v>
      </c>
      <c r="C1351" s="4">
        <v>1</v>
      </c>
      <c r="D1351" s="6">
        <v>0</v>
      </c>
      <c r="E1351" s="6">
        <v>-116.37</v>
      </c>
      <c r="F1351" s="6">
        <v>0.54</v>
      </c>
      <c r="G1351" s="6">
        <v>-7.0000000000000007E-2</v>
      </c>
      <c r="H1351" s="6">
        <v>81</v>
      </c>
    </row>
    <row r="1352" spans="1:8" ht="18.95" customHeight="1">
      <c r="A1352" s="4">
        <v>1348</v>
      </c>
      <c r="B1352" s="4">
        <v>47199</v>
      </c>
      <c r="C1352" s="4">
        <v>1</v>
      </c>
      <c r="D1352" s="6">
        <v>0</v>
      </c>
      <c r="E1352" s="6">
        <v>-117.94</v>
      </c>
      <c r="F1352" s="6">
        <v>0.53</v>
      </c>
      <c r="G1352" s="6">
        <v>-0.18</v>
      </c>
      <c r="H1352" s="6">
        <v>81</v>
      </c>
    </row>
    <row r="1353" spans="1:8" ht="18.95" customHeight="1">
      <c r="A1353" s="4">
        <v>1349</v>
      </c>
      <c r="B1353" s="4">
        <v>47219</v>
      </c>
      <c r="C1353" s="4">
        <v>1</v>
      </c>
      <c r="D1353" s="6">
        <v>0</v>
      </c>
      <c r="E1353" s="6">
        <v>-119.62</v>
      </c>
      <c r="F1353" s="6">
        <v>0.5</v>
      </c>
      <c r="G1353" s="6">
        <v>-0.1</v>
      </c>
      <c r="H1353" s="6">
        <v>81</v>
      </c>
    </row>
    <row r="1354" spans="1:8" ht="18.95" customHeight="1">
      <c r="A1354" s="4">
        <v>1350</v>
      </c>
      <c r="B1354" s="4">
        <v>47239</v>
      </c>
      <c r="C1354" s="4">
        <v>1</v>
      </c>
      <c r="D1354" s="6">
        <v>0</v>
      </c>
      <c r="E1354" s="6">
        <v>-121.44</v>
      </c>
      <c r="F1354" s="6">
        <v>0.5</v>
      </c>
      <c r="G1354" s="6">
        <v>0.02</v>
      </c>
      <c r="H1354" s="6">
        <v>83</v>
      </c>
    </row>
    <row r="1355" spans="1:8" ht="18.95" customHeight="1">
      <c r="A1355" s="4">
        <v>1351</v>
      </c>
      <c r="B1355" s="4">
        <v>47259</v>
      </c>
      <c r="C1355" s="4">
        <v>1</v>
      </c>
      <c r="D1355" s="6">
        <v>0</v>
      </c>
      <c r="E1355" s="6">
        <v>-123.5</v>
      </c>
      <c r="F1355" s="6">
        <v>0.5</v>
      </c>
      <c r="G1355" s="6">
        <v>0.16</v>
      </c>
      <c r="H1355" s="6">
        <v>83</v>
      </c>
    </row>
    <row r="1356" spans="1:8" ht="18.95" customHeight="1">
      <c r="A1356" s="4">
        <v>1352</v>
      </c>
      <c r="B1356" s="4">
        <v>47279</v>
      </c>
      <c r="C1356" s="4">
        <v>1</v>
      </c>
      <c r="D1356" s="6">
        <v>0</v>
      </c>
      <c r="E1356" s="6">
        <v>-125.87</v>
      </c>
      <c r="F1356" s="6">
        <v>0.5</v>
      </c>
      <c r="G1356" s="6">
        <v>0.06</v>
      </c>
      <c r="H1356" s="6">
        <v>79</v>
      </c>
    </row>
    <row r="1357" spans="1:8" ht="18.95" customHeight="1">
      <c r="A1357" s="4">
        <v>1353</v>
      </c>
      <c r="B1357" s="4">
        <v>47299</v>
      </c>
      <c r="C1357" s="4">
        <v>1</v>
      </c>
      <c r="D1357" s="6">
        <v>0</v>
      </c>
      <c r="E1357" s="6">
        <v>-174.69</v>
      </c>
      <c r="F1357" s="6">
        <v>0.49</v>
      </c>
      <c r="G1357" s="6">
        <v>0.05</v>
      </c>
      <c r="H1357" s="6">
        <v>79</v>
      </c>
    </row>
    <row r="1358" spans="1:8" ht="18.95" customHeight="1">
      <c r="A1358" s="4">
        <v>1354</v>
      </c>
      <c r="B1358" s="4">
        <v>47319</v>
      </c>
      <c r="C1358" s="4">
        <v>1</v>
      </c>
      <c r="D1358" s="6">
        <v>0</v>
      </c>
      <c r="E1358" s="6">
        <v>-175.19</v>
      </c>
      <c r="F1358" s="6">
        <v>0.45</v>
      </c>
      <c r="G1358" s="6">
        <v>-0.02</v>
      </c>
      <c r="H1358" s="6">
        <v>79</v>
      </c>
    </row>
    <row r="1359" spans="1:8" ht="18.95" customHeight="1">
      <c r="A1359" s="4">
        <v>1355</v>
      </c>
      <c r="B1359" s="4">
        <v>47339</v>
      </c>
      <c r="C1359" s="4">
        <v>1</v>
      </c>
      <c r="D1359" s="6">
        <v>0</v>
      </c>
      <c r="E1359" s="6">
        <v>-175.75</v>
      </c>
      <c r="F1359" s="6">
        <v>0.45</v>
      </c>
      <c r="G1359" s="6">
        <v>0.06</v>
      </c>
      <c r="H1359" s="6">
        <v>79</v>
      </c>
    </row>
    <row r="1360" spans="1:8" ht="18.95" customHeight="1">
      <c r="A1360" s="4">
        <v>1356</v>
      </c>
      <c r="B1360" s="4">
        <v>47360</v>
      </c>
      <c r="C1360" s="4">
        <v>1</v>
      </c>
      <c r="D1360" s="6">
        <v>0</v>
      </c>
      <c r="E1360" s="6">
        <v>-176.25</v>
      </c>
      <c r="F1360" s="6">
        <v>0.46</v>
      </c>
      <c r="G1360" s="6">
        <v>0.08</v>
      </c>
      <c r="H1360" s="6">
        <v>79</v>
      </c>
    </row>
    <row r="1361" spans="1:8" ht="18.95" customHeight="1">
      <c r="A1361" s="4">
        <v>1357</v>
      </c>
      <c r="B1361" s="4">
        <v>47380</v>
      </c>
      <c r="C1361" s="4">
        <v>1</v>
      </c>
      <c r="D1361" s="6">
        <v>0</v>
      </c>
      <c r="E1361" s="6">
        <v>-176.69</v>
      </c>
      <c r="F1361" s="6">
        <v>0.39</v>
      </c>
      <c r="G1361" s="6">
        <v>0.04</v>
      </c>
      <c r="H1361" s="6">
        <v>77</v>
      </c>
    </row>
    <row r="1362" spans="1:8" ht="18.95" customHeight="1">
      <c r="A1362" s="4">
        <v>1358</v>
      </c>
      <c r="B1362" s="4">
        <v>47400</v>
      </c>
      <c r="C1362" s="4">
        <v>1</v>
      </c>
      <c r="D1362" s="6">
        <v>0</v>
      </c>
      <c r="E1362" s="6">
        <v>-177.13</v>
      </c>
      <c r="F1362" s="6">
        <v>0.39</v>
      </c>
      <c r="G1362" s="6">
        <v>0.06</v>
      </c>
      <c r="H1362" s="6">
        <v>77</v>
      </c>
    </row>
    <row r="1363" spans="1:8" ht="18.95" customHeight="1">
      <c r="A1363" s="4">
        <v>1359</v>
      </c>
      <c r="B1363" s="4">
        <v>47420</v>
      </c>
      <c r="C1363" s="4">
        <v>1</v>
      </c>
      <c r="D1363" s="6">
        <v>0</v>
      </c>
      <c r="E1363" s="6">
        <v>-177.56</v>
      </c>
      <c r="F1363" s="6">
        <v>0.35</v>
      </c>
      <c r="G1363" s="6">
        <v>0.14000000000000001</v>
      </c>
      <c r="H1363" s="6">
        <v>77</v>
      </c>
    </row>
    <row r="1364" spans="1:8" ht="18.95" customHeight="1">
      <c r="A1364" s="4">
        <v>1360</v>
      </c>
      <c r="B1364" s="4">
        <v>47440</v>
      </c>
      <c r="C1364" s="4">
        <v>1</v>
      </c>
      <c r="D1364" s="6">
        <v>0</v>
      </c>
      <c r="E1364" s="6">
        <v>-177.94</v>
      </c>
      <c r="F1364" s="6">
        <v>0.35</v>
      </c>
      <c r="G1364" s="6">
        <v>-0.09</v>
      </c>
      <c r="H1364" s="6">
        <v>77</v>
      </c>
    </row>
    <row r="1365" spans="1:8" ht="18.95" customHeight="1">
      <c r="A1365" s="4">
        <v>1361</v>
      </c>
      <c r="B1365" s="4">
        <v>47460</v>
      </c>
      <c r="C1365" s="4">
        <v>1</v>
      </c>
      <c r="D1365" s="6">
        <v>0</v>
      </c>
      <c r="E1365" s="6">
        <v>-178.38</v>
      </c>
      <c r="F1365" s="6">
        <v>0.33</v>
      </c>
      <c r="G1365" s="6">
        <v>-0.14000000000000001</v>
      </c>
      <c r="H1365" s="6">
        <v>77</v>
      </c>
    </row>
    <row r="1366" spans="1:8" ht="18.95" customHeight="1">
      <c r="A1366" s="4">
        <v>1362</v>
      </c>
      <c r="B1366" s="4">
        <v>47480</v>
      </c>
      <c r="C1366" s="4">
        <v>1</v>
      </c>
      <c r="D1366" s="6">
        <v>0</v>
      </c>
      <c r="E1366" s="6">
        <v>-178.69</v>
      </c>
      <c r="F1366" s="6">
        <v>0.28999999999999998</v>
      </c>
      <c r="G1366" s="6">
        <v>0</v>
      </c>
      <c r="H1366" s="6">
        <v>73</v>
      </c>
    </row>
    <row r="1367" spans="1:8" ht="18.95" customHeight="1">
      <c r="A1367" s="4">
        <v>1363</v>
      </c>
      <c r="B1367" s="4">
        <v>47500</v>
      </c>
      <c r="C1367" s="4">
        <v>1</v>
      </c>
      <c r="D1367" s="6">
        <v>0</v>
      </c>
      <c r="E1367" s="6">
        <v>-179</v>
      </c>
      <c r="F1367" s="6">
        <v>0.27</v>
      </c>
      <c r="G1367" s="6">
        <v>0.12</v>
      </c>
      <c r="H1367" s="6">
        <v>73</v>
      </c>
    </row>
    <row r="1368" spans="1:8" ht="18.95" customHeight="1">
      <c r="A1368" s="4">
        <v>1364</v>
      </c>
      <c r="B1368" s="4">
        <v>47520</v>
      </c>
      <c r="C1368" s="4">
        <v>1</v>
      </c>
      <c r="D1368" s="6">
        <v>0</v>
      </c>
      <c r="E1368" s="6">
        <v>-179.31</v>
      </c>
      <c r="F1368" s="6">
        <v>0.26</v>
      </c>
      <c r="G1368" s="6">
        <v>0.13</v>
      </c>
      <c r="H1368" s="6">
        <v>73</v>
      </c>
    </row>
    <row r="1369" spans="1:8" ht="18.95" customHeight="1">
      <c r="A1369" s="4">
        <v>1365</v>
      </c>
      <c r="B1369" s="4">
        <v>47540</v>
      </c>
      <c r="C1369" s="4">
        <v>1</v>
      </c>
      <c r="D1369" s="6">
        <v>0</v>
      </c>
      <c r="E1369" s="6">
        <v>-179.63</v>
      </c>
      <c r="F1369" s="6">
        <v>0.25</v>
      </c>
      <c r="G1369" s="6">
        <v>0.08</v>
      </c>
      <c r="H1369" s="6">
        <v>73</v>
      </c>
    </row>
    <row r="1370" spans="1:8" ht="18.95" customHeight="1">
      <c r="A1370" s="4">
        <v>1366</v>
      </c>
      <c r="B1370" s="4">
        <v>47560</v>
      </c>
      <c r="C1370" s="4">
        <v>1</v>
      </c>
      <c r="D1370" s="6">
        <v>0</v>
      </c>
      <c r="E1370" s="6">
        <v>-179.88</v>
      </c>
      <c r="F1370" s="6">
        <v>0.21</v>
      </c>
      <c r="G1370" s="6">
        <v>-0.02</v>
      </c>
      <c r="H1370" s="6">
        <v>73</v>
      </c>
    </row>
    <row r="1371" spans="1:8" ht="18.95" customHeight="1">
      <c r="A1371" s="4">
        <v>1367</v>
      </c>
      <c r="B1371" s="4">
        <v>47580</v>
      </c>
      <c r="C1371" s="4">
        <v>1</v>
      </c>
      <c r="D1371" s="6">
        <v>0</v>
      </c>
      <c r="E1371" s="6">
        <v>179.88</v>
      </c>
      <c r="F1371" s="6">
        <v>0.19</v>
      </c>
      <c r="G1371" s="6">
        <v>0.27</v>
      </c>
      <c r="H1371" s="6">
        <v>70</v>
      </c>
    </row>
    <row r="1372" spans="1:8" ht="18.95" customHeight="1">
      <c r="A1372" s="4">
        <v>1368</v>
      </c>
      <c r="B1372" s="4">
        <v>47600</v>
      </c>
      <c r="C1372" s="4">
        <v>1</v>
      </c>
      <c r="D1372" s="6">
        <v>0</v>
      </c>
      <c r="E1372" s="6">
        <v>179.63</v>
      </c>
      <c r="F1372" s="6">
        <v>0.17</v>
      </c>
      <c r="G1372" s="6">
        <v>0.28999999999999998</v>
      </c>
      <c r="H1372" s="6">
        <v>70</v>
      </c>
    </row>
    <row r="1373" spans="1:8" ht="18.95" customHeight="1">
      <c r="A1373" s="4">
        <v>1369</v>
      </c>
      <c r="B1373" s="4">
        <v>47620</v>
      </c>
      <c r="C1373" s="4">
        <v>1</v>
      </c>
      <c r="D1373" s="6">
        <v>0</v>
      </c>
      <c r="E1373" s="6">
        <v>179.44</v>
      </c>
      <c r="F1373" s="6">
        <v>0.14000000000000001</v>
      </c>
      <c r="G1373" s="6">
        <v>-0.16</v>
      </c>
      <c r="H1373" s="6">
        <v>70</v>
      </c>
    </row>
    <row r="1374" spans="1:8" ht="18.95" customHeight="1">
      <c r="A1374" s="4">
        <v>1370</v>
      </c>
      <c r="B1374" s="4">
        <v>47640</v>
      </c>
      <c r="C1374" s="4">
        <v>1</v>
      </c>
      <c r="D1374" s="6">
        <v>0</v>
      </c>
      <c r="E1374" s="6">
        <v>179.31</v>
      </c>
      <c r="F1374" s="6">
        <v>0.12</v>
      </c>
      <c r="G1374" s="6">
        <v>0</v>
      </c>
      <c r="H1374" s="6">
        <v>65</v>
      </c>
    </row>
    <row r="1375" spans="1:8" ht="18.95" customHeight="1">
      <c r="A1375" s="4">
        <v>1371</v>
      </c>
      <c r="B1375" s="4">
        <v>47660</v>
      </c>
      <c r="C1375" s="4">
        <v>1</v>
      </c>
      <c r="D1375" s="6">
        <v>0</v>
      </c>
      <c r="E1375" s="6">
        <v>179.19</v>
      </c>
      <c r="F1375" s="6">
        <v>0.1</v>
      </c>
      <c r="G1375" s="6">
        <v>0.47</v>
      </c>
      <c r="H1375" s="6">
        <v>65</v>
      </c>
    </row>
    <row r="1376" spans="1:8" ht="18.95" customHeight="1">
      <c r="A1376" s="4">
        <v>1372</v>
      </c>
      <c r="B1376" s="4">
        <v>47680</v>
      </c>
      <c r="C1376" s="4">
        <v>1</v>
      </c>
      <c r="D1376" s="6">
        <v>0</v>
      </c>
      <c r="E1376" s="6">
        <v>179.13</v>
      </c>
      <c r="F1376" s="6">
        <v>7.0000000000000007E-2</v>
      </c>
      <c r="G1376" s="6">
        <v>0.2</v>
      </c>
      <c r="H1376" s="6">
        <v>63</v>
      </c>
    </row>
    <row r="1377" spans="1:8" ht="18.95" customHeight="1">
      <c r="A1377" s="4">
        <v>1373</v>
      </c>
      <c r="B1377" s="4">
        <v>47700</v>
      </c>
      <c r="C1377" s="4">
        <v>0</v>
      </c>
      <c r="D1377" s="6">
        <v>0</v>
      </c>
      <c r="E1377" s="6">
        <v>179.06</v>
      </c>
      <c r="F1377" s="6">
        <v>0.05</v>
      </c>
      <c r="G1377" s="6">
        <v>0.09</v>
      </c>
      <c r="H1377" s="6">
        <v>63</v>
      </c>
    </row>
    <row r="1378" spans="1:8" ht="18.95" customHeight="1">
      <c r="A1378" s="4">
        <v>1374</v>
      </c>
      <c r="B1378" s="4">
        <v>47720</v>
      </c>
      <c r="C1378" s="4">
        <v>0</v>
      </c>
      <c r="D1378" s="6">
        <v>0</v>
      </c>
      <c r="E1378" s="6">
        <v>179</v>
      </c>
      <c r="F1378" s="6">
        <v>0</v>
      </c>
      <c r="G1378" s="6">
        <v>0.2</v>
      </c>
      <c r="H1378" s="6">
        <v>63</v>
      </c>
    </row>
    <row r="1379" spans="1:8" ht="18.95" customHeight="1">
      <c r="A1379" s="4">
        <v>1375</v>
      </c>
      <c r="B1379" s="4">
        <v>47740</v>
      </c>
      <c r="C1379" s="4">
        <v>0</v>
      </c>
      <c r="D1379" s="6">
        <v>0</v>
      </c>
      <c r="E1379" s="6">
        <v>179</v>
      </c>
      <c r="F1379" s="6">
        <v>-0.03</v>
      </c>
      <c r="G1379" s="6">
        <v>7.0000000000000007E-2</v>
      </c>
      <c r="H1379" s="6">
        <v>59</v>
      </c>
    </row>
    <row r="1380" spans="1:8" ht="18.95" customHeight="1">
      <c r="A1380" s="4">
        <v>1376</v>
      </c>
      <c r="B1380" s="4">
        <v>47760</v>
      </c>
      <c r="C1380" s="4">
        <v>0</v>
      </c>
      <c r="D1380" s="6">
        <v>0</v>
      </c>
      <c r="E1380" s="6">
        <v>179.06</v>
      </c>
      <c r="F1380" s="6">
        <v>-0.04</v>
      </c>
      <c r="G1380" s="6">
        <v>-0.1</v>
      </c>
      <c r="H1380" s="6">
        <v>59</v>
      </c>
    </row>
    <row r="1381" spans="1:8" ht="18.95" customHeight="1">
      <c r="A1381" s="4">
        <v>1377</v>
      </c>
      <c r="B1381" s="4">
        <v>47780</v>
      </c>
      <c r="C1381" s="4">
        <v>1</v>
      </c>
      <c r="D1381" s="6">
        <v>0</v>
      </c>
      <c r="E1381" s="6">
        <v>179.13</v>
      </c>
      <c r="F1381" s="6">
        <v>-0.09</v>
      </c>
      <c r="G1381" s="6">
        <v>0.13</v>
      </c>
      <c r="H1381" s="6">
        <v>56</v>
      </c>
    </row>
    <row r="1382" spans="1:8" ht="18.95" customHeight="1">
      <c r="A1382" s="4">
        <v>1378</v>
      </c>
      <c r="B1382" s="4">
        <v>47800</v>
      </c>
      <c r="C1382" s="4">
        <v>1</v>
      </c>
      <c r="D1382" s="6">
        <v>0</v>
      </c>
      <c r="E1382" s="6">
        <v>179.19</v>
      </c>
      <c r="F1382" s="6">
        <v>-0.11</v>
      </c>
      <c r="G1382" s="6">
        <v>-0.03</v>
      </c>
      <c r="H1382" s="6">
        <v>56</v>
      </c>
    </row>
    <row r="1383" spans="1:8" ht="18.95" customHeight="1">
      <c r="A1383" s="4">
        <v>1379</v>
      </c>
      <c r="B1383" s="4">
        <v>47820</v>
      </c>
      <c r="C1383" s="4">
        <v>1</v>
      </c>
      <c r="D1383" s="6">
        <v>0</v>
      </c>
      <c r="E1383" s="6">
        <v>179.38</v>
      </c>
      <c r="F1383" s="6">
        <v>-0.15</v>
      </c>
      <c r="G1383" s="6">
        <v>0.11</v>
      </c>
      <c r="H1383" s="6">
        <v>56</v>
      </c>
    </row>
    <row r="1384" spans="1:8" ht="18.95" customHeight="1">
      <c r="A1384" s="4">
        <v>1380</v>
      </c>
      <c r="B1384" s="4">
        <v>47840</v>
      </c>
      <c r="C1384" s="4">
        <v>1</v>
      </c>
      <c r="D1384" s="6">
        <v>0</v>
      </c>
      <c r="E1384" s="6">
        <v>179.5</v>
      </c>
      <c r="F1384" s="6">
        <v>-0.17</v>
      </c>
      <c r="G1384" s="6">
        <v>0.3</v>
      </c>
      <c r="H1384" s="6">
        <v>50</v>
      </c>
    </row>
    <row r="1385" spans="1:8" ht="18.95" customHeight="1">
      <c r="A1385" s="4">
        <v>1381</v>
      </c>
      <c r="B1385" s="4">
        <v>47860</v>
      </c>
      <c r="C1385" s="4">
        <v>1</v>
      </c>
      <c r="D1385" s="6">
        <v>0</v>
      </c>
      <c r="E1385" s="6">
        <v>179.75</v>
      </c>
      <c r="F1385" s="6">
        <v>-0.21</v>
      </c>
      <c r="G1385" s="6">
        <v>0.2</v>
      </c>
      <c r="H1385" s="6">
        <v>50</v>
      </c>
    </row>
    <row r="1386" spans="1:8" ht="18.95" customHeight="1">
      <c r="A1386" s="4">
        <v>1382</v>
      </c>
      <c r="B1386" s="4">
        <v>47880</v>
      </c>
      <c r="C1386" s="4">
        <v>1</v>
      </c>
      <c r="D1386" s="6">
        <v>600</v>
      </c>
      <c r="E1386" s="6">
        <v>-179.94</v>
      </c>
      <c r="F1386" s="6">
        <v>-0.23</v>
      </c>
      <c r="G1386" s="6">
        <v>0</v>
      </c>
      <c r="H1386" s="6">
        <v>47</v>
      </c>
    </row>
    <row r="1387" spans="1:8" ht="18.95" customHeight="1">
      <c r="A1387" s="4">
        <v>1383</v>
      </c>
      <c r="B1387" s="4">
        <v>47900</v>
      </c>
      <c r="C1387" s="4">
        <v>1</v>
      </c>
      <c r="D1387" s="6">
        <v>600</v>
      </c>
      <c r="E1387" s="6">
        <v>-179.63</v>
      </c>
      <c r="F1387" s="6">
        <v>-0.26</v>
      </c>
      <c r="G1387" s="6">
        <v>0.06</v>
      </c>
      <c r="H1387" s="6">
        <v>47</v>
      </c>
    </row>
    <row r="1388" spans="1:8" ht="18.95" customHeight="1">
      <c r="A1388" s="4">
        <v>1384</v>
      </c>
      <c r="B1388" s="4">
        <v>47920</v>
      </c>
      <c r="C1388" s="4">
        <v>1</v>
      </c>
      <c r="D1388" s="6">
        <v>600</v>
      </c>
      <c r="E1388" s="6">
        <v>-179.38</v>
      </c>
      <c r="F1388" s="6">
        <v>-0.28999999999999998</v>
      </c>
      <c r="G1388" s="6">
        <v>0.05</v>
      </c>
      <c r="H1388" s="6">
        <v>47</v>
      </c>
    </row>
    <row r="1389" spans="1:8" ht="18.95" customHeight="1">
      <c r="A1389" s="4">
        <v>1385</v>
      </c>
      <c r="B1389" s="4">
        <v>47940</v>
      </c>
      <c r="C1389" s="4">
        <v>1</v>
      </c>
      <c r="D1389" s="6">
        <v>600</v>
      </c>
      <c r="E1389" s="6">
        <v>-179</v>
      </c>
      <c r="F1389" s="6">
        <v>-0.32</v>
      </c>
      <c r="G1389" s="6">
        <v>-0.01</v>
      </c>
      <c r="H1389" s="6">
        <v>41</v>
      </c>
    </row>
    <row r="1390" spans="1:8" ht="18.95" customHeight="1">
      <c r="A1390" s="4">
        <v>1386</v>
      </c>
      <c r="B1390" s="4">
        <v>47960</v>
      </c>
      <c r="C1390" s="4">
        <v>1</v>
      </c>
      <c r="D1390" s="6">
        <v>600</v>
      </c>
      <c r="E1390" s="6">
        <v>-178.69</v>
      </c>
      <c r="F1390" s="6">
        <v>-0.32</v>
      </c>
      <c r="G1390" s="6">
        <v>0.01</v>
      </c>
      <c r="H1390" s="6">
        <v>41</v>
      </c>
    </row>
    <row r="1391" spans="1:8" ht="18.95" customHeight="1">
      <c r="A1391" s="4">
        <v>1387</v>
      </c>
      <c r="B1391" s="4">
        <v>47980</v>
      </c>
      <c r="C1391" s="4">
        <v>1</v>
      </c>
      <c r="D1391" s="6">
        <v>0</v>
      </c>
      <c r="E1391" s="6">
        <v>-178.31</v>
      </c>
      <c r="F1391" s="6">
        <v>-0.34</v>
      </c>
      <c r="G1391" s="6">
        <v>0.14000000000000001</v>
      </c>
      <c r="H1391" s="6">
        <v>36</v>
      </c>
    </row>
    <row r="1392" spans="1:8" ht="18.95" customHeight="1">
      <c r="A1392" s="4">
        <v>1388</v>
      </c>
      <c r="B1392" s="4">
        <v>48000</v>
      </c>
      <c r="C1392" s="4">
        <v>1</v>
      </c>
      <c r="D1392" s="6">
        <v>0</v>
      </c>
      <c r="E1392" s="6">
        <v>-177.94</v>
      </c>
      <c r="F1392" s="6">
        <v>-0.36</v>
      </c>
      <c r="G1392" s="6">
        <v>0.04</v>
      </c>
      <c r="H1392" s="6">
        <v>36</v>
      </c>
    </row>
    <row r="1393" spans="1:8" ht="18.95" customHeight="1">
      <c r="A1393" s="4">
        <v>1389</v>
      </c>
      <c r="B1393" s="4">
        <v>48020</v>
      </c>
      <c r="C1393" s="4">
        <v>1</v>
      </c>
      <c r="D1393" s="6">
        <v>0</v>
      </c>
      <c r="E1393" s="6">
        <v>-177.5</v>
      </c>
      <c r="F1393" s="6">
        <v>-0.37</v>
      </c>
      <c r="G1393" s="6">
        <v>-0.01</v>
      </c>
      <c r="H1393" s="6">
        <v>36</v>
      </c>
    </row>
    <row r="1394" spans="1:8" ht="18.95" customHeight="1">
      <c r="A1394" s="4">
        <v>1390</v>
      </c>
      <c r="B1394" s="4">
        <v>48040</v>
      </c>
      <c r="C1394" s="4">
        <v>1</v>
      </c>
      <c r="D1394" s="6">
        <v>0</v>
      </c>
      <c r="E1394" s="6">
        <v>-177.13</v>
      </c>
      <c r="F1394" s="6">
        <v>-0.39</v>
      </c>
      <c r="G1394" s="6">
        <v>0.04</v>
      </c>
      <c r="H1394" s="6">
        <v>33</v>
      </c>
    </row>
    <row r="1395" spans="1:8" ht="18.95" customHeight="1">
      <c r="A1395" s="4">
        <v>1391</v>
      </c>
      <c r="B1395" s="4">
        <v>48060</v>
      </c>
      <c r="C1395" s="4">
        <v>1</v>
      </c>
      <c r="D1395" s="6">
        <v>0</v>
      </c>
      <c r="E1395" s="6">
        <v>-176.69</v>
      </c>
      <c r="F1395" s="6">
        <v>-0.4</v>
      </c>
      <c r="G1395" s="6">
        <v>0.11</v>
      </c>
      <c r="H1395" s="6">
        <v>33</v>
      </c>
    </row>
    <row r="1396" spans="1:8" ht="18.95" customHeight="1">
      <c r="A1396" s="4">
        <v>1392</v>
      </c>
      <c r="B1396" s="4">
        <v>48080</v>
      </c>
      <c r="C1396" s="4">
        <v>1</v>
      </c>
      <c r="D1396" s="6">
        <v>0</v>
      </c>
      <c r="E1396" s="6">
        <v>-176.19</v>
      </c>
      <c r="F1396" s="6">
        <v>-0.46</v>
      </c>
      <c r="G1396" s="6">
        <v>-0.15</v>
      </c>
      <c r="H1396" s="6">
        <v>30</v>
      </c>
    </row>
    <row r="1397" spans="1:8" ht="18.95" customHeight="1">
      <c r="A1397" s="4">
        <v>1393</v>
      </c>
      <c r="B1397" s="4">
        <v>48100</v>
      </c>
      <c r="C1397" s="4">
        <v>1</v>
      </c>
      <c r="D1397" s="6">
        <v>0</v>
      </c>
      <c r="E1397" s="6">
        <v>-175.69</v>
      </c>
      <c r="F1397" s="6">
        <v>-0.47</v>
      </c>
      <c r="G1397" s="6">
        <v>-0.04</v>
      </c>
      <c r="H1397" s="6">
        <v>30</v>
      </c>
    </row>
    <row r="1398" spans="1:8" ht="18.95" customHeight="1">
      <c r="A1398" s="4">
        <v>1394</v>
      </c>
      <c r="B1398" s="4">
        <v>48120</v>
      </c>
      <c r="C1398" s="4">
        <v>1</v>
      </c>
      <c r="D1398" s="6">
        <v>0</v>
      </c>
      <c r="E1398" s="6">
        <v>-175.19</v>
      </c>
      <c r="F1398" s="6">
        <v>-0.48</v>
      </c>
      <c r="G1398" s="6">
        <v>0.21</v>
      </c>
      <c r="H1398" s="6">
        <v>30</v>
      </c>
    </row>
    <row r="1399" spans="1:8" ht="18.95" customHeight="1">
      <c r="A1399" s="4">
        <v>1395</v>
      </c>
      <c r="B1399" s="4">
        <v>48140</v>
      </c>
      <c r="C1399" s="4">
        <v>1</v>
      </c>
      <c r="D1399" s="6">
        <v>0</v>
      </c>
      <c r="E1399" s="6">
        <v>-174.63</v>
      </c>
      <c r="F1399" s="6">
        <v>-0.51</v>
      </c>
      <c r="G1399" s="6">
        <v>0.01</v>
      </c>
      <c r="H1399" s="6">
        <v>27</v>
      </c>
    </row>
    <row r="1400" spans="1:8" ht="18.95" customHeight="1">
      <c r="A1400" s="4">
        <v>1396</v>
      </c>
      <c r="B1400" s="4">
        <v>48160</v>
      </c>
      <c r="C1400" s="4">
        <v>1</v>
      </c>
      <c r="D1400" s="6">
        <v>0</v>
      </c>
      <c r="E1400" s="6">
        <v>-124.62</v>
      </c>
      <c r="F1400" s="6">
        <v>-0.51</v>
      </c>
      <c r="G1400" s="6">
        <v>0.22</v>
      </c>
      <c r="H1400" s="6">
        <v>27</v>
      </c>
    </row>
    <row r="1401" spans="1:8" ht="18.95" customHeight="1">
      <c r="A1401" s="4">
        <v>1397</v>
      </c>
      <c r="B1401" s="4">
        <v>48180</v>
      </c>
      <c r="C1401" s="4">
        <v>1</v>
      </c>
      <c r="D1401" s="6">
        <v>0</v>
      </c>
      <c r="E1401" s="6">
        <v>-122.12</v>
      </c>
      <c r="F1401" s="6">
        <v>-0.53</v>
      </c>
      <c r="G1401" s="6">
        <v>-0.06</v>
      </c>
      <c r="H1401" s="6">
        <v>25</v>
      </c>
    </row>
    <row r="1402" spans="1:8" ht="18.95" customHeight="1">
      <c r="A1402" s="4">
        <v>1398</v>
      </c>
      <c r="B1402" s="4">
        <v>48200</v>
      </c>
      <c r="C1402" s="4">
        <v>1</v>
      </c>
      <c r="D1402" s="6">
        <v>0</v>
      </c>
      <c r="E1402" s="6">
        <v>-120</v>
      </c>
      <c r="F1402" s="6">
        <v>-0.51</v>
      </c>
      <c r="G1402" s="6">
        <v>0.06</v>
      </c>
      <c r="H1402" s="6">
        <v>25</v>
      </c>
    </row>
    <row r="1403" spans="1:8" ht="18.95" customHeight="1">
      <c r="A1403" s="4">
        <v>1399</v>
      </c>
      <c r="B1403" s="4">
        <v>48220</v>
      </c>
      <c r="C1403" s="4">
        <v>1</v>
      </c>
      <c r="D1403" s="6">
        <v>0</v>
      </c>
      <c r="E1403" s="6">
        <v>-118.12</v>
      </c>
      <c r="F1403" s="6">
        <v>-0.51</v>
      </c>
      <c r="G1403" s="6">
        <v>0.02</v>
      </c>
      <c r="H1403" s="6">
        <v>25</v>
      </c>
    </row>
    <row r="1404" spans="1:8" ht="18.95" customHeight="1">
      <c r="A1404" s="4">
        <v>1400</v>
      </c>
      <c r="B1404" s="4">
        <v>48240</v>
      </c>
      <c r="C1404" s="4">
        <v>1</v>
      </c>
      <c r="D1404" s="6">
        <v>0</v>
      </c>
      <c r="E1404" s="6">
        <v>-116.5</v>
      </c>
      <c r="F1404" s="6">
        <v>-0.51</v>
      </c>
      <c r="G1404" s="6">
        <v>-0.04</v>
      </c>
      <c r="H1404" s="6">
        <v>20</v>
      </c>
    </row>
    <row r="1405" spans="1:8" ht="18.95" customHeight="1">
      <c r="A1405" s="4">
        <v>1401</v>
      </c>
      <c r="B1405" s="4">
        <v>48260</v>
      </c>
      <c r="C1405" s="4">
        <v>1</v>
      </c>
      <c r="D1405" s="6">
        <v>0</v>
      </c>
      <c r="E1405" s="6">
        <v>-115</v>
      </c>
      <c r="F1405" s="6">
        <v>-0.5</v>
      </c>
      <c r="G1405" s="6">
        <v>0.13</v>
      </c>
      <c r="H1405" s="6">
        <v>20</v>
      </c>
    </row>
    <row r="1406" spans="1:8" ht="18.95" customHeight="1">
      <c r="A1406" s="4">
        <v>1402</v>
      </c>
      <c r="B1406" s="4">
        <v>48280</v>
      </c>
      <c r="C1406" s="4">
        <v>1</v>
      </c>
      <c r="D1406" s="6">
        <v>0</v>
      </c>
      <c r="E1406" s="6">
        <v>-113.69</v>
      </c>
      <c r="F1406" s="6">
        <v>-0.49</v>
      </c>
      <c r="G1406" s="6">
        <v>0.21</v>
      </c>
      <c r="H1406" s="6">
        <v>20</v>
      </c>
    </row>
    <row r="1407" spans="1:8" ht="18.95" customHeight="1">
      <c r="A1407" s="4">
        <v>1403</v>
      </c>
      <c r="B1407" s="4">
        <v>48300</v>
      </c>
      <c r="C1407" s="4">
        <v>1</v>
      </c>
      <c r="D1407" s="6">
        <v>0</v>
      </c>
      <c r="E1407" s="6">
        <v>-112.5</v>
      </c>
      <c r="F1407" s="6">
        <v>-0.5</v>
      </c>
      <c r="G1407" s="6">
        <v>-0.17</v>
      </c>
      <c r="H1407" s="6">
        <v>20</v>
      </c>
    </row>
    <row r="1408" spans="1:8" ht="18.95" customHeight="1">
      <c r="A1408" s="4">
        <v>1404</v>
      </c>
      <c r="B1408" s="4">
        <v>48320</v>
      </c>
      <c r="C1408" s="4">
        <v>1</v>
      </c>
      <c r="D1408" s="6">
        <v>0</v>
      </c>
      <c r="E1408" s="6">
        <v>-111.37</v>
      </c>
      <c r="F1408" s="6">
        <v>-0.51</v>
      </c>
      <c r="G1408" s="6">
        <v>0.06</v>
      </c>
      <c r="H1408" s="6">
        <v>20</v>
      </c>
    </row>
    <row r="1409" spans="1:8" ht="18.95" customHeight="1">
      <c r="A1409" s="4">
        <v>1405</v>
      </c>
      <c r="B1409" s="4">
        <v>48340</v>
      </c>
      <c r="C1409" s="4">
        <v>1</v>
      </c>
      <c r="D1409" s="6">
        <v>0</v>
      </c>
      <c r="E1409" s="6">
        <v>-110.37</v>
      </c>
      <c r="F1409" s="6">
        <v>-0.52</v>
      </c>
      <c r="G1409" s="6">
        <v>0.09</v>
      </c>
      <c r="H1409" s="6">
        <v>17</v>
      </c>
    </row>
    <row r="1410" spans="1:8" ht="18.95" customHeight="1">
      <c r="A1410" s="4">
        <v>1406</v>
      </c>
      <c r="B1410" s="4">
        <v>48360</v>
      </c>
      <c r="C1410" s="4">
        <v>1</v>
      </c>
      <c r="D1410" s="6">
        <v>0</v>
      </c>
      <c r="E1410" s="6">
        <v>-109.44</v>
      </c>
      <c r="F1410" s="6">
        <v>-0.52</v>
      </c>
      <c r="G1410" s="6">
        <v>0.02</v>
      </c>
      <c r="H1410" s="6">
        <v>17</v>
      </c>
    </row>
    <row r="1411" spans="1:8" ht="18.95" customHeight="1">
      <c r="A1411" s="4">
        <v>1407</v>
      </c>
      <c r="B1411" s="4">
        <v>48380</v>
      </c>
      <c r="C1411" s="4">
        <v>1</v>
      </c>
      <c r="D1411" s="6">
        <v>0</v>
      </c>
      <c r="E1411" s="6">
        <v>-108.56</v>
      </c>
      <c r="F1411" s="6">
        <v>-0.51</v>
      </c>
      <c r="G1411" s="6">
        <v>-7.0000000000000007E-2</v>
      </c>
      <c r="H1411" s="6">
        <v>17</v>
      </c>
    </row>
    <row r="1412" spans="1:8" ht="18.95" customHeight="1">
      <c r="A1412" s="4">
        <v>1408</v>
      </c>
      <c r="B1412" s="4">
        <v>48400</v>
      </c>
      <c r="C1412" s="4">
        <v>1</v>
      </c>
      <c r="D1412" s="6">
        <v>0</v>
      </c>
      <c r="E1412" s="6">
        <v>-107.75</v>
      </c>
      <c r="F1412" s="6">
        <v>-0.52</v>
      </c>
      <c r="G1412" s="6">
        <v>0.11</v>
      </c>
      <c r="H1412" s="6">
        <v>17</v>
      </c>
    </row>
    <row r="1413" spans="1:8" ht="18.95" customHeight="1">
      <c r="A1413" s="4">
        <v>1409</v>
      </c>
      <c r="B1413" s="4">
        <v>48420</v>
      </c>
      <c r="C1413" s="4">
        <v>1</v>
      </c>
      <c r="D1413" s="6">
        <v>0</v>
      </c>
      <c r="E1413" s="6">
        <v>-107</v>
      </c>
      <c r="F1413" s="6">
        <v>-0.55000000000000004</v>
      </c>
      <c r="G1413" s="6">
        <v>0.13</v>
      </c>
      <c r="H1413" s="6">
        <v>17</v>
      </c>
    </row>
    <row r="1414" spans="1:8" ht="18.95" customHeight="1">
      <c r="A1414" s="4">
        <v>1410</v>
      </c>
      <c r="B1414" s="4">
        <v>48440</v>
      </c>
      <c r="C1414" s="4">
        <v>1</v>
      </c>
      <c r="D1414" s="6">
        <v>0</v>
      </c>
      <c r="E1414" s="6">
        <v>-106.31</v>
      </c>
      <c r="F1414" s="6">
        <v>-0.56000000000000005</v>
      </c>
      <c r="G1414" s="6">
        <v>0.12</v>
      </c>
      <c r="H1414" s="6">
        <v>16</v>
      </c>
    </row>
    <row r="1415" spans="1:8" ht="18.95" customHeight="1">
      <c r="A1415" s="4">
        <v>1411</v>
      </c>
      <c r="B1415" s="4">
        <v>48460</v>
      </c>
      <c r="C1415" s="4">
        <v>1</v>
      </c>
      <c r="D1415" s="6">
        <v>0</v>
      </c>
      <c r="E1415" s="6">
        <v>-105.62</v>
      </c>
      <c r="F1415" s="6">
        <v>-0.53</v>
      </c>
      <c r="G1415" s="6">
        <v>-0.09</v>
      </c>
      <c r="H1415" s="6">
        <v>16</v>
      </c>
    </row>
    <row r="1416" spans="1:8" ht="18.95" customHeight="1">
      <c r="A1416" s="4">
        <v>1412</v>
      </c>
      <c r="B1416" s="4">
        <v>48480</v>
      </c>
      <c r="C1416" s="4">
        <v>1</v>
      </c>
      <c r="D1416" s="6">
        <v>0</v>
      </c>
      <c r="E1416" s="6">
        <v>-105.06</v>
      </c>
      <c r="F1416" s="6">
        <v>-0.51</v>
      </c>
      <c r="G1416" s="6">
        <v>0.11</v>
      </c>
      <c r="H1416" s="6">
        <v>16</v>
      </c>
    </row>
    <row r="1417" spans="1:8" ht="18.95" customHeight="1">
      <c r="A1417" s="4">
        <v>1413</v>
      </c>
      <c r="B1417" s="4">
        <v>48500</v>
      </c>
      <c r="C1417" s="4">
        <v>1</v>
      </c>
      <c r="D1417" s="6">
        <v>0</v>
      </c>
      <c r="E1417" s="6">
        <v>-104.56</v>
      </c>
      <c r="F1417" s="6">
        <v>-0.5</v>
      </c>
      <c r="G1417" s="6">
        <v>0.02</v>
      </c>
      <c r="H1417" s="6">
        <v>16</v>
      </c>
    </row>
    <row r="1418" spans="1:8" ht="18.95" customHeight="1">
      <c r="A1418" s="4">
        <v>1414</v>
      </c>
      <c r="B1418" s="4">
        <v>48520</v>
      </c>
      <c r="C1418" s="4">
        <v>1</v>
      </c>
      <c r="D1418" s="6">
        <v>0</v>
      </c>
      <c r="E1418" s="6">
        <v>-104.06</v>
      </c>
      <c r="F1418" s="6">
        <v>-0.51</v>
      </c>
      <c r="G1418" s="6">
        <v>0.15</v>
      </c>
      <c r="H1418" s="6">
        <v>16</v>
      </c>
    </row>
    <row r="1419" spans="1:8" ht="18.95" customHeight="1">
      <c r="A1419" s="4">
        <v>1415</v>
      </c>
      <c r="B1419" s="4">
        <v>48540</v>
      </c>
      <c r="C1419" s="4">
        <v>1</v>
      </c>
      <c r="D1419" s="6">
        <v>0</v>
      </c>
      <c r="E1419" s="6">
        <v>-103.69</v>
      </c>
      <c r="F1419" s="6">
        <v>-0.5</v>
      </c>
      <c r="G1419" s="6">
        <v>0.06</v>
      </c>
      <c r="H1419" s="6">
        <v>18</v>
      </c>
    </row>
    <row r="1420" spans="1:8" ht="18.95" customHeight="1">
      <c r="A1420" s="4">
        <v>1416</v>
      </c>
      <c r="B1420" s="4">
        <v>48560</v>
      </c>
      <c r="C1420" s="4">
        <v>1</v>
      </c>
      <c r="D1420" s="6">
        <v>0</v>
      </c>
      <c r="E1420" s="6">
        <v>-103.25</v>
      </c>
      <c r="F1420" s="6">
        <v>-0.48</v>
      </c>
      <c r="G1420" s="6">
        <v>0.1</v>
      </c>
      <c r="H1420" s="6">
        <v>18</v>
      </c>
    </row>
    <row r="1421" spans="1:8" ht="18.95" customHeight="1">
      <c r="A1421" s="4">
        <v>1417</v>
      </c>
      <c r="B1421" s="4">
        <v>48580</v>
      </c>
      <c r="C1421" s="4">
        <v>1</v>
      </c>
      <c r="D1421" s="6">
        <v>0</v>
      </c>
      <c r="E1421" s="6">
        <v>-102.87</v>
      </c>
      <c r="F1421" s="6">
        <v>-0.47</v>
      </c>
      <c r="G1421" s="6">
        <v>0.25</v>
      </c>
      <c r="H1421" s="6">
        <v>21</v>
      </c>
    </row>
    <row r="1422" spans="1:8" ht="18.95" customHeight="1">
      <c r="A1422" s="4">
        <v>1418</v>
      </c>
      <c r="B1422" s="4">
        <v>48600</v>
      </c>
      <c r="C1422" s="4">
        <v>1</v>
      </c>
      <c r="D1422" s="6">
        <v>0</v>
      </c>
      <c r="E1422" s="6">
        <v>-102.56</v>
      </c>
      <c r="F1422" s="6">
        <v>-0.47</v>
      </c>
      <c r="G1422" s="6">
        <v>-7.0000000000000007E-2</v>
      </c>
      <c r="H1422" s="6">
        <v>21</v>
      </c>
    </row>
    <row r="1423" spans="1:8" ht="18.95" customHeight="1">
      <c r="A1423" s="4">
        <v>1419</v>
      </c>
      <c r="B1423" s="4">
        <v>48620</v>
      </c>
      <c r="C1423" s="4">
        <v>1</v>
      </c>
      <c r="D1423" s="6">
        <v>0</v>
      </c>
      <c r="E1423" s="6">
        <v>-102.19</v>
      </c>
      <c r="F1423" s="6">
        <v>-0.47</v>
      </c>
      <c r="G1423" s="6">
        <v>-0.04</v>
      </c>
      <c r="H1423" s="6">
        <v>21</v>
      </c>
    </row>
    <row r="1424" spans="1:8" ht="18.95" customHeight="1">
      <c r="A1424" s="4">
        <v>1420</v>
      </c>
      <c r="B1424" s="4">
        <v>48640</v>
      </c>
      <c r="C1424" s="4">
        <v>1</v>
      </c>
      <c r="D1424" s="6">
        <v>0</v>
      </c>
      <c r="E1424" s="6">
        <v>-101.87</v>
      </c>
      <c r="F1424" s="6">
        <v>-0.47</v>
      </c>
      <c r="G1424" s="6">
        <v>0.16</v>
      </c>
      <c r="H1424" s="6">
        <v>20</v>
      </c>
    </row>
    <row r="1425" spans="1:8" ht="18.95" customHeight="1">
      <c r="A1425" s="4">
        <v>1421</v>
      </c>
      <c r="B1425" s="4">
        <v>48660</v>
      </c>
      <c r="C1425" s="4">
        <v>1</v>
      </c>
      <c r="D1425" s="6">
        <v>0</v>
      </c>
      <c r="E1425" s="6">
        <v>-101.56</v>
      </c>
      <c r="F1425" s="6">
        <v>-0.44</v>
      </c>
      <c r="G1425" s="6">
        <v>0.01</v>
      </c>
      <c r="H1425" s="6">
        <v>20</v>
      </c>
    </row>
    <row r="1426" spans="1:8" ht="18.95" customHeight="1">
      <c r="A1426" s="4">
        <v>1422</v>
      </c>
      <c r="B1426" s="4">
        <v>48680</v>
      </c>
      <c r="C1426" s="4">
        <v>1</v>
      </c>
      <c r="D1426" s="6">
        <v>0</v>
      </c>
      <c r="E1426" s="6">
        <v>-101.31</v>
      </c>
      <c r="F1426" s="6">
        <v>-0.43</v>
      </c>
      <c r="G1426" s="6">
        <v>0.13</v>
      </c>
      <c r="H1426" s="6">
        <v>22</v>
      </c>
    </row>
    <row r="1427" spans="1:8" ht="18.95" customHeight="1">
      <c r="A1427" s="4">
        <v>1423</v>
      </c>
      <c r="B1427" s="4">
        <v>48700</v>
      </c>
      <c r="C1427" s="4">
        <v>1</v>
      </c>
      <c r="D1427" s="6">
        <v>0</v>
      </c>
      <c r="E1427" s="6">
        <v>-101.06</v>
      </c>
      <c r="F1427" s="6">
        <v>-0.42</v>
      </c>
      <c r="G1427" s="6">
        <v>0.06</v>
      </c>
      <c r="H1427" s="6">
        <v>22</v>
      </c>
    </row>
    <row r="1428" spans="1:8" ht="18.95" customHeight="1">
      <c r="A1428" s="4">
        <v>1424</v>
      </c>
      <c r="B1428" s="4">
        <v>48720</v>
      </c>
      <c r="C1428" s="4">
        <v>1</v>
      </c>
      <c r="D1428" s="6">
        <v>0</v>
      </c>
      <c r="E1428" s="6">
        <v>-100.81</v>
      </c>
      <c r="F1428" s="6">
        <v>-0.43</v>
      </c>
      <c r="G1428" s="6">
        <v>0.18</v>
      </c>
      <c r="H1428" s="6">
        <v>22</v>
      </c>
    </row>
    <row r="1429" spans="1:8" ht="18.95" customHeight="1">
      <c r="A1429" s="4">
        <v>1425</v>
      </c>
      <c r="B1429" s="4">
        <v>48740</v>
      </c>
      <c r="C1429" s="4">
        <v>1</v>
      </c>
      <c r="D1429" s="6">
        <v>0</v>
      </c>
      <c r="E1429" s="6">
        <v>-100.56</v>
      </c>
      <c r="F1429" s="6">
        <v>-0.4</v>
      </c>
      <c r="G1429" s="6">
        <v>0.02</v>
      </c>
      <c r="H1429" s="6">
        <v>27</v>
      </c>
    </row>
    <row r="1430" spans="1:8" ht="18.95" customHeight="1">
      <c r="A1430" s="4">
        <v>1426</v>
      </c>
      <c r="B1430" s="4">
        <v>48760</v>
      </c>
      <c r="C1430" s="4">
        <v>1</v>
      </c>
      <c r="D1430" s="6">
        <v>0</v>
      </c>
      <c r="E1430" s="6">
        <v>-100.37</v>
      </c>
      <c r="F1430" s="6">
        <v>-0.4</v>
      </c>
      <c r="G1430" s="6">
        <v>0.02</v>
      </c>
      <c r="H1430" s="6">
        <v>27</v>
      </c>
    </row>
    <row r="1431" spans="1:8" ht="18.95" customHeight="1">
      <c r="A1431" s="4">
        <v>1427</v>
      </c>
      <c r="B1431" s="4">
        <v>48781</v>
      </c>
      <c r="C1431" s="4">
        <v>1</v>
      </c>
      <c r="D1431" s="6">
        <v>0</v>
      </c>
      <c r="E1431" s="6">
        <v>-100.12</v>
      </c>
      <c r="F1431" s="6">
        <v>-0.37</v>
      </c>
      <c r="G1431" s="6">
        <v>0.09</v>
      </c>
      <c r="H1431" s="6">
        <v>27</v>
      </c>
    </row>
    <row r="1432" spans="1:8" ht="18.95" customHeight="1">
      <c r="A1432" s="4">
        <v>1428</v>
      </c>
      <c r="B1432" s="4">
        <v>48801</v>
      </c>
      <c r="C1432" s="4">
        <v>1</v>
      </c>
      <c r="D1432" s="6">
        <v>0</v>
      </c>
      <c r="E1432" s="6">
        <v>-99.94</v>
      </c>
      <c r="F1432" s="6">
        <v>-0.39</v>
      </c>
      <c r="G1432" s="6">
        <v>0.04</v>
      </c>
      <c r="H1432" s="6">
        <v>27</v>
      </c>
    </row>
    <row r="1433" spans="1:8" ht="18.95" customHeight="1">
      <c r="A1433" s="4">
        <v>1429</v>
      </c>
      <c r="B1433" s="4">
        <v>48821</v>
      </c>
      <c r="C1433" s="4">
        <v>1</v>
      </c>
      <c r="D1433" s="6">
        <v>0</v>
      </c>
      <c r="E1433" s="6">
        <v>-99.81</v>
      </c>
      <c r="F1433" s="6">
        <v>-0.37</v>
      </c>
      <c r="G1433" s="6">
        <v>0.14000000000000001</v>
      </c>
      <c r="H1433" s="6">
        <v>27</v>
      </c>
    </row>
    <row r="1434" spans="1:8" ht="18.95" customHeight="1">
      <c r="A1434" s="4">
        <v>1430</v>
      </c>
      <c r="B1434" s="4">
        <v>48841</v>
      </c>
      <c r="C1434" s="4">
        <v>1</v>
      </c>
      <c r="D1434" s="6">
        <v>0</v>
      </c>
      <c r="E1434" s="6">
        <v>-99.62</v>
      </c>
      <c r="F1434" s="6">
        <v>-0.36</v>
      </c>
      <c r="G1434" s="6">
        <v>0.11</v>
      </c>
      <c r="H1434" s="6">
        <v>30</v>
      </c>
    </row>
    <row r="1435" spans="1:8" ht="18.95" customHeight="1">
      <c r="A1435" s="4">
        <v>1431</v>
      </c>
      <c r="B1435" s="4">
        <v>48861</v>
      </c>
      <c r="C1435" s="4">
        <v>1</v>
      </c>
      <c r="D1435" s="6">
        <v>0</v>
      </c>
      <c r="E1435" s="6">
        <v>-99.5</v>
      </c>
      <c r="F1435" s="6">
        <v>-0.32</v>
      </c>
      <c r="G1435" s="6">
        <v>7.0000000000000007E-2</v>
      </c>
      <c r="H1435" s="6">
        <v>30</v>
      </c>
    </row>
    <row r="1436" spans="1:8" ht="18.95" customHeight="1">
      <c r="A1436" s="4">
        <v>1432</v>
      </c>
      <c r="B1436" s="4">
        <v>48881</v>
      </c>
      <c r="C1436" s="4">
        <v>1</v>
      </c>
      <c r="D1436" s="6">
        <v>0</v>
      </c>
      <c r="E1436" s="6">
        <v>-99.37</v>
      </c>
      <c r="F1436" s="6">
        <v>-0.32</v>
      </c>
      <c r="G1436" s="6">
        <v>0</v>
      </c>
      <c r="H1436" s="6">
        <v>31</v>
      </c>
    </row>
    <row r="1437" spans="1:8" ht="18.95" customHeight="1">
      <c r="A1437" s="4">
        <v>1433</v>
      </c>
      <c r="B1437" s="4">
        <v>48901</v>
      </c>
      <c r="C1437" s="4">
        <v>1</v>
      </c>
      <c r="D1437" s="6">
        <v>0</v>
      </c>
      <c r="E1437" s="6">
        <v>-99.25</v>
      </c>
      <c r="F1437" s="6">
        <v>-0.3</v>
      </c>
      <c r="G1437" s="6">
        <v>0</v>
      </c>
      <c r="H1437" s="6">
        <v>31</v>
      </c>
    </row>
    <row r="1438" spans="1:8" ht="18.95" customHeight="1">
      <c r="A1438" s="4">
        <v>1434</v>
      </c>
      <c r="B1438" s="4">
        <v>48921</v>
      </c>
      <c r="C1438" s="4">
        <v>1</v>
      </c>
      <c r="D1438" s="6">
        <v>0</v>
      </c>
      <c r="E1438" s="6">
        <v>-99.12</v>
      </c>
      <c r="F1438" s="6">
        <v>-0.28999999999999998</v>
      </c>
      <c r="G1438" s="6">
        <v>0.11</v>
      </c>
      <c r="H1438" s="6">
        <v>31</v>
      </c>
    </row>
    <row r="1439" spans="1:8" ht="18.95" customHeight="1">
      <c r="A1439" s="4">
        <v>1435</v>
      </c>
      <c r="B1439" s="4">
        <v>48941</v>
      </c>
      <c r="C1439" s="4">
        <v>1</v>
      </c>
      <c r="D1439" s="6">
        <v>0</v>
      </c>
      <c r="E1439" s="6">
        <v>-99.06</v>
      </c>
      <c r="F1439" s="6">
        <v>-0.26</v>
      </c>
      <c r="G1439" s="6">
        <v>-7.0000000000000007E-2</v>
      </c>
      <c r="H1439" s="6">
        <v>37</v>
      </c>
    </row>
    <row r="1440" spans="1:8" ht="18.95" customHeight="1">
      <c r="A1440" s="4">
        <v>1436</v>
      </c>
      <c r="B1440" s="4">
        <v>48961</v>
      </c>
      <c r="C1440" s="4">
        <v>1</v>
      </c>
      <c r="D1440" s="6">
        <v>0</v>
      </c>
      <c r="E1440" s="6">
        <v>-99.06</v>
      </c>
      <c r="F1440" s="6">
        <v>-0.25</v>
      </c>
      <c r="G1440" s="6">
        <v>0.12</v>
      </c>
      <c r="H1440" s="6">
        <v>37</v>
      </c>
    </row>
    <row r="1441" spans="1:8" ht="18.95" customHeight="1">
      <c r="A1441" s="4">
        <v>1437</v>
      </c>
      <c r="B1441" s="4">
        <v>48982</v>
      </c>
      <c r="C1441" s="4">
        <v>1</v>
      </c>
      <c r="D1441" s="6">
        <v>0</v>
      </c>
      <c r="E1441" s="6">
        <v>-99</v>
      </c>
      <c r="F1441" s="6">
        <v>-0.23</v>
      </c>
      <c r="G1441" s="6">
        <v>0.03</v>
      </c>
      <c r="H1441" s="6">
        <v>39</v>
      </c>
    </row>
    <row r="1442" spans="1:8" ht="18.95" customHeight="1">
      <c r="A1442" s="4">
        <v>1438</v>
      </c>
      <c r="B1442" s="4">
        <v>49002</v>
      </c>
      <c r="C1442" s="4">
        <v>1</v>
      </c>
      <c r="D1442" s="6">
        <v>0</v>
      </c>
      <c r="E1442" s="6">
        <v>-99</v>
      </c>
      <c r="F1442" s="6">
        <v>-0.22</v>
      </c>
      <c r="G1442" s="6">
        <v>0.04</v>
      </c>
      <c r="H1442" s="6">
        <v>39</v>
      </c>
    </row>
    <row r="1443" spans="1:8" ht="18.95" customHeight="1">
      <c r="A1443" s="4">
        <v>1439</v>
      </c>
      <c r="B1443" s="4">
        <v>49022</v>
      </c>
      <c r="C1443" s="4">
        <v>1</v>
      </c>
      <c r="D1443" s="6">
        <v>0</v>
      </c>
      <c r="E1443" s="6">
        <v>-98.94</v>
      </c>
      <c r="F1443" s="6">
        <v>-0.2</v>
      </c>
      <c r="G1443" s="6">
        <v>0.04</v>
      </c>
      <c r="H1443" s="6">
        <v>39</v>
      </c>
    </row>
    <row r="1444" spans="1:8" ht="18.95" customHeight="1">
      <c r="A1444" s="4">
        <v>1440</v>
      </c>
      <c r="B1444" s="4">
        <v>49042</v>
      </c>
      <c r="C1444" s="4">
        <v>1</v>
      </c>
      <c r="D1444" s="6">
        <v>0</v>
      </c>
      <c r="E1444" s="6">
        <v>-98.87</v>
      </c>
      <c r="F1444" s="6">
        <v>-0.18</v>
      </c>
      <c r="G1444" s="6">
        <v>0.06</v>
      </c>
      <c r="H1444" s="6">
        <v>42</v>
      </c>
    </row>
    <row r="1445" spans="1:8" ht="18.95" customHeight="1">
      <c r="A1445" s="4">
        <v>1441</v>
      </c>
      <c r="B1445" s="4">
        <v>49062</v>
      </c>
      <c r="C1445" s="4">
        <v>1</v>
      </c>
      <c r="D1445" s="6">
        <v>0</v>
      </c>
      <c r="E1445" s="6">
        <v>-98.87</v>
      </c>
      <c r="F1445" s="6">
        <v>-0.16</v>
      </c>
      <c r="G1445" s="6">
        <v>-0.02</v>
      </c>
      <c r="H1445" s="6">
        <v>42</v>
      </c>
    </row>
    <row r="1446" spans="1:8" ht="18.95" customHeight="1">
      <c r="A1446" s="4">
        <v>1442</v>
      </c>
      <c r="B1446" s="4">
        <v>49082</v>
      </c>
      <c r="C1446" s="4">
        <v>1</v>
      </c>
      <c r="D1446" s="6">
        <v>0</v>
      </c>
      <c r="E1446" s="6">
        <v>-98.87</v>
      </c>
      <c r="F1446" s="6">
        <v>-0.15</v>
      </c>
      <c r="G1446" s="6">
        <v>0.08</v>
      </c>
      <c r="H1446" s="6">
        <v>47</v>
      </c>
    </row>
    <row r="1447" spans="1:8" ht="18.95" customHeight="1">
      <c r="A1447" s="4">
        <v>1443</v>
      </c>
      <c r="B1447" s="4">
        <v>49102</v>
      </c>
      <c r="C1447" s="4">
        <v>1</v>
      </c>
      <c r="D1447" s="6">
        <v>0</v>
      </c>
      <c r="E1447" s="6">
        <v>-98.87</v>
      </c>
      <c r="F1447" s="6">
        <v>-0.13</v>
      </c>
      <c r="G1447" s="6">
        <v>7.0000000000000007E-2</v>
      </c>
      <c r="H1447" s="6">
        <v>47</v>
      </c>
    </row>
    <row r="1448" spans="1:8" ht="18.95" customHeight="1">
      <c r="A1448" s="4">
        <v>1444</v>
      </c>
      <c r="B1448" s="4">
        <v>49122</v>
      </c>
      <c r="C1448" s="4">
        <v>1</v>
      </c>
      <c r="D1448" s="6">
        <v>0</v>
      </c>
      <c r="E1448" s="6">
        <v>-98.81</v>
      </c>
      <c r="F1448" s="6">
        <v>-0.1</v>
      </c>
      <c r="G1448" s="6">
        <v>0.09</v>
      </c>
      <c r="H1448" s="6">
        <v>47</v>
      </c>
    </row>
    <row r="1449" spans="1:8" ht="18.95" customHeight="1">
      <c r="A1449" s="4">
        <v>1445</v>
      </c>
      <c r="B1449" s="4">
        <v>49142</v>
      </c>
      <c r="C1449" s="4">
        <v>1</v>
      </c>
      <c r="D1449" s="6">
        <v>0</v>
      </c>
      <c r="E1449" s="6">
        <v>-98.81</v>
      </c>
      <c r="F1449" s="6">
        <v>-0.08</v>
      </c>
      <c r="G1449" s="6">
        <v>0.1</v>
      </c>
      <c r="H1449" s="6">
        <v>49</v>
      </c>
    </row>
    <row r="1450" spans="1:8" ht="18.95" customHeight="1">
      <c r="A1450" s="4">
        <v>1446</v>
      </c>
      <c r="B1450" s="4">
        <v>49162</v>
      </c>
      <c r="C1450" s="4">
        <v>1</v>
      </c>
      <c r="D1450" s="6">
        <v>0</v>
      </c>
      <c r="E1450" s="6">
        <v>-98.81</v>
      </c>
      <c r="F1450" s="6">
        <v>-0.05</v>
      </c>
      <c r="G1450" s="6">
        <v>0.04</v>
      </c>
      <c r="H1450" s="6">
        <v>49</v>
      </c>
    </row>
    <row r="1451" spans="1:8" ht="18.95" customHeight="1">
      <c r="A1451" s="4">
        <v>1447</v>
      </c>
      <c r="B1451" s="4">
        <v>49182</v>
      </c>
      <c r="C1451" s="4">
        <v>1</v>
      </c>
      <c r="D1451" s="6">
        <v>0</v>
      </c>
      <c r="E1451" s="6">
        <v>-98.87</v>
      </c>
      <c r="F1451" s="6">
        <v>-0.03</v>
      </c>
      <c r="G1451" s="6">
        <v>0.01</v>
      </c>
      <c r="H1451" s="6">
        <v>54</v>
      </c>
    </row>
    <row r="1452" spans="1:8" ht="18.95" customHeight="1">
      <c r="A1452" s="4">
        <v>1448</v>
      </c>
      <c r="B1452" s="4">
        <v>49202</v>
      </c>
      <c r="C1452" s="4">
        <v>1</v>
      </c>
      <c r="D1452" s="6">
        <v>0</v>
      </c>
      <c r="E1452" s="6">
        <v>-98.87</v>
      </c>
      <c r="F1452" s="6">
        <v>-0.01</v>
      </c>
      <c r="G1452" s="6">
        <v>7.0000000000000007E-2</v>
      </c>
      <c r="H1452" s="6">
        <v>54</v>
      </c>
    </row>
    <row r="1453" spans="1:8" ht="18.95" customHeight="1">
      <c r="A1453" s="4">
        <v>1449</v>
      </c>
      <c r="B1453" s="4">
        <v>49222</v>
      </c>
      <c r="C1453" s="4">
        <v>1</v>
      </c>
      <c r="D1453" s="6">
        <v>0</v>
      </c>
      <c r="E1453" s="6">
        <v>-98.94</v>
      </c>
      <c r="F1453" s="6">
        <v>0.01</v>
      </c>
      <c r="G1453" s="6">
        <v>0</v>
      </c>
      <c r="H1453" s="6">
        <v>54</v>
      </c>
    </row>
    <row r="1454" spans="1:8" ht="18.95" customHeight="1">
      <c r="A1454" s="4">
        <v>1450</v>
      </c>
      <c r="B1454" s="4">
        <v>49242</v>
      </c>
      <c r="C1454" s="4">
        <v>1</v>
      </c>
      <c r="D1454" s="6">
        <v>0</v>
      </c>
      <c r="E1454" s="6">
        <v>-99</v>
      </c>
      <c r="F1454" s="6">
        <v>0.03</v>
      </c>
      <c r="G1454" s="6">
        <v>7.0000000000000007E-2</v>
      </c>
      <c r="H1454" s="6">
        <v>57</v>
      </c>
    </row>
    <row r="1455" spans="1:8" ht="18.95" customHeight="1">
      <c r="A1455" s="4">
        <v>1451</v>
      </c>
      <c r="B1455" s="4">
        <v>49262</v>
      </c>
      <c r="C1455" s="4">
        <v>1</v>
      </c>
      <c r="D1455" s="6">
        <v>0</v>
      </c>
      <c r="E1455" s="6">
        <v>-99.06</v>
      </c>
      <c r="F1455" s="6">
        <v>0.05</v>
      </c>
      <c r="G1455" s="6">
        <v>0.04</v>
      </c>
      <c r="H1455" s="6">
        <v>57</v>
      </c>
    </row>
    <row r="1456" spans="1:8" ht="18.95" customHeight="1">
      <c r="A1456" s="4">
        <v>1452</v>
      </c>
      <c r="B1456" s="4">
        <v>49283</v>
      </c>
      <c r="C1456" s="4">
        <v>1</v>
      </c>
      <c r="D1456" s="6">
        <v>0</v>
      </c>
      <c r="E1456" s="6">
        <v>-99.06</v>
      </c>
      <c r="F1456" s="6">
        <v>0.1</v>
      </c>
      <c r="G1456" s="6">
        <v>0.06</v>
      </c>
      <c r="H1456" s="6">
        <v>59</v>
      </c>
    </row>
    <row r="1457" spans="1:8" ht="18.95" customHeight="1">
      <c r="A1457" s="4">
        <v>1453</v>
      </c>
      <c r="B1457" s="4">
        <v>49303</v>
      </c>
      <c r="C1457" s="4">
        <v>1</v>
      </c>
      <c r="D1457" s="6">
        <v>0</v>
      </c>
      <c r="E1457" s="6">
        <v>-99.06</v>
      </c>
      <c r="F1457" s="6">
        <v>0.11</v>
      </c>
      <c r="G1457" s="6">
        <v>-0.04</v>
      </c>
      <c r="H1457" s="6">
        <v>59</v>
      </c>
    </row>
    <row r="1458" spans="1:8" ht="18.95" customHeight="1">
      <c r="A1458" s="4">
        <v>1454</v>
      </c>
      <c r="B1458" s="4">
        <v>49323</v>
      </c>
      <c r="C1458" s="4">
        <v>1</v>
      </c>
      <c r="D1458" s="6">
        <v>0</v>
      </c>
      <c r="E1458" s="6">
        <v>-99.12</v>
      </c>
      <c r="F1458" s="6">
        <v>0.13</v>
      </c>
      <c r="G1458" s="6">
        <v>0.05</v>
      </c>
      <c r="H1458" s="6">
        <v>59</v>
      </c>
    </row>
    <row r="1459" spans="1:8" ht="18.95" customHeight="1">
      <c r="A1459" s="4">
        <v>1455</v>
      </c>
      <c r="B1459" s="4">
        <v>49343</v>
      </c>
      <c r="C1459" s="4">
        <v>1</v>
      </c>
      <c r="D1459" s="6">
        <v>0</v>
      </c>
      <c r="E1459" s="6">
        <v>-99.19</v>
      </c>
      <c r="F1459" s="6">
        <v>0.16</v>
      </c>
      <c r="G1459" s="6">
        <v>0.04</v>
      </c>
      <c r="H1459" s="6">
        <v>64</v>
      </c>
    </row>
    <row r="1460" spans="1:8" ht="18.95" customHeight="1">
      <c r="A1460" s="4">
        <v>1456</v>
      </c>
      <c r="B1460" s="4">
        <v>49363</v>
      </c>
      <c r="C1460" s="4">
        <v>1</v>
      </c>
      <c r="D1460" s="6">
        <v>0</v>
      </c>
      <c r="E1460" s="6">
        <v>-99.25</v>
      </c>
      <c r="F1460" s="6">
        <v>0.18</v>
      </c>
      <c r="G1460" s="6">
        <v>7.0000000000000007E-2</v>
      </c>
      <c r="H1460" s="6">
        <v>64</v>
      </c>
    </row>
    <row r="1461" spans="1:8" ht="18.95" customHeight="1">
      <c r="A1461" s="4">
        <v>1457</v>
      </c>
      <c r="B1461" s="4">
        <v>49383</v>
      </c>
      <c r="C1461" s="4">
        <v>1</v>
      </c>
      <c r="D1461" s="6">
        <v>0</v>
      </c>
      <c r="E1461" s="6">
        <v>-99.37</v>
      </c>
      <c r="F1461" s="6">
        <v>0.22</v>
      </c>
      <c r="G1461" s="6">
        <v>0</v>
      </c>
      <c r="H1461" s="6">
        <v>66</v>
      </c>
    </row>
    <row r="1462" spans="1:8" ht="18.95" customHeight="1">
      <c r="A1462" s="4">
        <v>1458</v>
      </c>
      <c r="B1462" s="4">
        <v>49403</v>
      </c>
      <c r="C1462" s="4">
        <v>1</v>
      </c>
      <c r="D1462" s="6">
        <v>0</v>
      </c>
      <c r="E1462" s="6">
        <v>-99.44</v>
      </c>
      <c r="F1462" s="6">
        <v>0.23</v>
      </c>
      <c r="G1462" s="6">
        <v>0.12</v>
      </c>
      <c r="H1462" s="6">
        <v>66</v>
      </c>
    </row>
    <row r="1463" spans="1:8" ht="18.95" customHeight="1">
      <c r="A1463" s="4">
        <v>1459</v>
      </c>
      <c r="B1463" s="4">
        <v>49423</v>
      </c>
      <c r="C1463" s="4">
        <v>1</v>
      </c>
      <c r="D1463" s="6">
        <v>0</v>
      </c>
      <c r="E1463" s="6">
        <v>-99.56</v>
      </c>
      <c r="F1463" s="6">
        <v>0.26</v>
      </c>
      <c r="G1463" s="6">
        <v>0.01</v>
      </c>
      <c r="H1463" s="6">
        <v>66</v>
      </c>
    </row>
    <row r="1464" spans="1:8" ht="18.95" customHeight="1">
      <c r="A1464" s="4">
        <v>1460</v>
      </c>
      <c r="B1464" s="4">
        <v>49443</v>
      </c>
      <c r="C1464" s="4">
        <v>1</v>
      </c>
      <c r="D1464" s="6">
        <v>0</v>
      </c>
      <c r="E1464" s="6">
        <v>-99.69</v>
      </c>
      <c r="F1464" s="6">
        <v>0.3</v>
      </c>
      <c r="G1464" s="6">
        <v>0.19</v>
      </c>
      <c r="H1464" s="6">
        <v>69</v>
      </c>
    </row>
    <row r="1465" spans="1:8" ht="18.95" customHeight="1">
      <c r="A1465" s="4">
        <v>1461</v>
      </c>
      <c r="B1465" s="4">
        <v>49463</v>
      </c>
      <c r="C1465" s="4">
        <v>1</v>
      </c>
      <c r="D1465" s="6">
        <v>0</v>
      </c>
      <c r="E1465" s="6">
        <v>-99.81</v>
      </c>
      <c r="F1465" s="6">
        <v>0.31</v>
      </c>
      <c r="G1465" s="6">
        <v>-0.03</v>
      </c>
      <c r="H1465" s="6">
        <v>69</v>
      </c>
    </row>
    <row r="1466" spans="1:8" ht="18.95" customHeight="1">
      <c r="A1466" s="4">
        <v>1462</v>
      </c>
      <c r="B1466" s="4">
        <v>49483</v>
      </c>
      <c r="C1466" s="4">
        <v>1</v>
      </c>
      <c r="D1466" s="6">
        <v>0</v>
      </c>
      <c r="E1466" s="6">
        <v>-99.94</v>
      </c>
      <c r="F1466" s="6">
        <v>0.34</v>
      </c>
      <c r="G1466" s="6">
        <v>0.01</v>
      </c>
      <c r="H1466" s="6">
        <v>73</v>
      </c>
    </row>
    <row r="1467" spans="1:8" ht="18.95" customHeight="1">
      <c r="A1467" s="4">
        <v>1463</v>
      </c>
      <c r="B1467" s="4">
        <v>49503</v>
      </c>
      <c r="C1467" s="4">
        <v>1</v>
      </c>
      <c r="D1467" s="6">
        <v>0</v>
      </c>
      <c r="E1467" s="6">
        <v>-100.06</v>
      </c>
      <c r="F1467" s="6">
        <v>0.36</v>
      </c>
      <c r="G1467" s="6">
        <v>0.13</v>
      </c>
      <c r="H1467" s="6">
        <v>73</v>
      </c>
    </row>
    <row r="1468" spans="1:8" ht="18.95" customHeight="1">
      <c r="A1468" s="4">
        <v>1464</v>
      </c>
      <c r="B1468" s="4">
        <v>49523</v>
      </c>
      <c r="C1468" s="4">
        <v>1</v>
      </c>
      <c r="D1468" s="6">
        <v>0</v>
      </c>
      <c r="E1468" s="6">
        <v>-100.25</v>
      </c>
      <c r="F1468" s="6">
        <v>0.4</v>
      </c>
      <c r="G1468" s="6">
        <v>0.14000000000000001</v>
      </c>
      <c r="H1468" s="6">
        <v>73</v>
      </c>
    </row>
    <row r="1469" spans="1:8" ht="18.95" customHeight="1">
      <c r="A1469" s="4">
        <v>1465</v>
      </c>
      <c r="B1469" s="4">
        <v>49543</v>
      </c>
      <c r="C1469" s="4">
        <v>1</v>
      </c>
      <c r="D1469" s="6">
        <v>0</v>
      </c>
      <c r="E1469" s="6">
        <v>-100.5</v>
      </c>
      <c r="F1469" s="6">
        <v>0.41</v>
      </c>
      <c r="G1469" s="6">
        <v>0.05</v>
      </c>
      <c r="H1469" s="6">
        <v>76</v>
      </c>
    </row>
    <row r="1470" spans="1:8" ht="18.95" customHeight="1">
      <c r="A1470" s="4">
        <v>1466</v>
      </c>
      <c r="B1470" s="4">
        <v>49563</v>
      </c>
      <c r="C1470" s="4">
        <v>1</v>
      </c>
      <c r="D1470" s="6">
        <v>0</v>
      </c>
      <c r="E1470" s="6">
        <v>-100.69</v>
      </c>
      <c r="F1470" s="6">
        <v>0.42</v>
      </c>
      <c r="G1470" s="6">
        <v>-0.03</v>
      </c>
      <c r="H1470" s="6">
        <v>76</v>
      </c>
    </row>
    <row r="1471" spans="1:8" ht="18.95" customHeight="1">
      <c r="A1471" s="4">
        <v>1467</v>
      </c>
      <c r="B1471" s="4">
        <v>49583</v>
      </c>
      <c r="C1471" s="4">
        <v>1</v>
      </c>
      <c r="D1471" s="6">
        <v>0</v>
      </c>
      <c r="E1471" s="6">
        <v>-100.87</v>
      </c>
      <c r="F1471" s="6">
        <v>0.44</v>
      </c>
      <c r="G1471" s="6">
        <v>-0.14000000000000001</v>
      </c>
      <c r="H1471" s="6">
        <v>77</v>
      </c>
    </row>
    <row r="1472" spans="1:8" ht="18.95" customHeight="1">
      <c r="A1472" s="4">
        <v>1468</v>
      </c>
      <c r="B1472" s="4">
        <v>49603</v>
      </c>
      <c r="C1472" s="4">
        <v>1</v>
      </c>
      <c r="D1472" s="6">
        <v>0</v>
      </c>
      <c r="E1472" s="6">
        <v>-101.19</v>
      </c>
      <c r="F1472" s="6">
        <v>0.48</v>
      </c>
      <c r="G1472" s="6">
        <v>0</v>
      </c>
      <c r="H1472" s="6">
        <v>77</v>
      </c>
    </row>
    <row r="1473" spans="1:8" ht="18.95" customHeight="1">
      <c r="A1473" s="4">
        <v>1469</v>
      </c>
      <c r="B1473" s="4">
        <v>49623</v>
      </c>
      <c r="C1473" s="4">
        <v>1</v>
      </c>
      <c r="D1473" s="6">
        <v>0</v>
      </c>
      <c r="E1473" s="6">
        <v>-101.44</v>
      </c>
      <c r="F1473" s="6">
        <v>0.49</v>
      </c>
      <c r="G1473" s="6">
        <v>0</v>
      </c>
      <c r="H1473" s="6">
        <v>77</v>
      </c>
    </row>
    <row r="1474" spans="1:8" ht="18.95" customHeight="1">
      <c r="A1474" s="4">
        <v>1470</v>
      </c>
      <c r="B1474" s="4">
        <v>49643</v>
      </c>
      <c r="C1474" s="4">
        <v>1</v>
      </c>
      <c r="D1474" s="6">
        <v>0</v>
      </c>
      <c r="E1474" s="6">
        <v>-101.75</v>
      </c>
      <c r="F1474" s="6">
        <v>0.5</v>
      </c>
      <c r="G1474" s="6">
        <v>0.01</v>
      </c>
      <c r="H1474" s="6">
        <v>78</v>
      </c>
    </row>
    <row r="1475" spans="1:8" ht="18.95" customHeight="1">
      <c r="A1475" s="4">
        <v>1471</v>
      </c>
      <c r="B1475" s="4">
        <v>49664</v>
      </c>
      <c r="C1475" s="4">
        <v>1</v>
      </c>
      <c r="D1475" s="6">
        <v>0</v>
      </c>
      <c r="E1475" s="6">
        <v>-102.06</v>
      </c>
      <c r="F1475" s="6">
        <v>0.49</v>
      </c>
      <c r="G1475" s="6">
        <v>0.02</v>
      </c>
      <c r="H1475" s="6">
        <v>78</v>
      </c>
    </row>
    <row r="1476" spans="1:8" ht="18.95" customHeight="1">
      <c r="A1476" s="4">
        <v>1472</v>
      </c>
      <c r="B1476" s="4">
        <v>49684</v>
      </c>
      <c r="C1476" s="4">
        <v>1</v>
      </c>
      <c r="D1476" s="6">
        <v>0</v>
      </c>
      <c r="E1476" s="6">
        <v>-102.37</v>
      </c>
      <c r="F1476" s="6">
        <v>0.52</v>
      </c>
      <c r="G1476" s="6">
        <v>0.03</v>
      </c>
      <c r="H1476" s="6">
        <v>79</v>
      </c>
    </row>
    <row r="1477" spans="1:8" ht="18.95" customHeight="1">
      <c r="A1477" s="4">
        <v>1473</v>
      </c>
      <c r="B1477" s="4">
        <v>49704</v>
      </c>
      <c r="C1477" s="4">
        <v>1</v>
      </c>
      <c r="D1477" s="6">
        <v>0</v>
      </c>
      <c r="E1477" s="6">
        <v>-102.75</v>
      </c>
      <c r="F1477" s="6">
        <v>0.53</v>
      </c>
      <c r="G1477" s="6">
        <v>0.09</v>
      </c>
      <c r="H1477" s="6">
        <v>79</v>
      </c>
    </row>
    <row r="1478" spans="1:8" ht="18.95" customHeight="1">
      <c r="A1478" s="4">
        <v>1474</v>
      </c>
      <c r="B1478" s="4">
        <v>49724</v>
      </c>
      <c r="C1478" s="4">
        <v>1</v>
      </c>
      <c r="D1478" s="6">
        <v>0</v>
      </c>
      <c r="E1478" s="6">
        <v>-103.12</v>
      </c>
      <c r="F1478" s="6">
        <v>0.53</v>
      </c>
      <c r="G1478" s="6">
        <v>0.33</v>
      </c>
      <c r="H1478" s="6">
        <v>79</v>
      </c>
    </row>
    <row r="1479" spans="1:8" ht="18.95" customHeight="1">
      <c r="A1479" s="4">
        <v>1475</v>
      </c>
      <c r="B1479" s="4">
        <v>49744</v>
      </c>
      <c r="C1479" s="4">
        <v>1</v>
      </c>
      <c r="D1479" s="6">
        <v>0</v>
      </c>
      <c r="E1479" s="6">
        <v>-103.56</v>
      </c>
      <c r="F1479" s="6">
        <v>0.54</v>
      </c>
      <c r="G1479" s="6">
        <v>-0.01</v>
      </c>
      <c r="H1479" s="6">
        <v>79</v>
      </c>
    </row>
    <row r="1480" spans="1:8" ht="18.95" customHeight="1">
      <c r="A1480" s="4">
        <v>1476</v>
      </c>
      <c r="B1480" s="4">
        <v>49764</v>
      </c>
      <c r="C1480" s="4">
        <v>1</v>
      </c>
      <c r="D1480" s="6">
        <v>0</v>
      </c>
      <c r="E1480" s="6">
        <v>-104</v>
      </c>
      <c r="F1480" s="6">
        <v>0.56999999999999995</v>
      </c>
      <c r="G1480" s="6">
        <v>-0.06</v>
      </c>
      <c r="H1480" s="6">
        <v>79</v>
      </c>
    </row>
    <row r="1481" spans="1:8" ht="18.95" customHeight="1">
      <c r="A1481" s="4">
        <v>1477</v>
      </c>
      <c r="B1481" s="4">
        <v>49784</v>
      </c>
      <c r="C1481" s="4">
        <v>1</v>
      </c>
      <c r="D1481" s="6">
        <v>0</v>
      </c>
      <c r="E1481" s="6">
        <v>-104.5</v>
      </c>
      <c r="F1481" s="6">
        <v>0.54</v>
      </c>
      <c r="G1481" s="6">
        <v>0.28999999999999998</v>
      </c>
      <c r="H1481" s="6">
        <v>80</v>
      </c>
    </row>
    <row r="1482" spans="1:8" ht="18.95" customHeight="1">
      <c r="A1482" s="4">
        <v>1478</v>
      </c>
      <c r="B1482" s="4">
        <v>49804</v>
      </c>
      <c r="C1482" s="4">
        <v>1</v>
      </c>
      <c r="D1482" s="6">
        <v>0</v>
      </c>
      <c r="E1482" s="6">
        <v>-105</v>
      </c>
      <c r="F1482" s="6">
        <v>0.52</v>
      </c>
      <c r="G1482" s="6">
        <v>0.09</v>
      </c>
      <c r="H1482" s="6">
        <v>80</v>
      </c>
    </row>
    <row r="1483" spans="1:8" ht="18.95" customHeight="1">
      <c r="A1483" s="4">
        <v>1479</v>
      </c>
      <c r="B1483" s="4">
        <v>49824</v>
      </c>
      <c r="C1483" s="4">
        <v>1</v>
      </c>
      <c r="D1483" s="6">
        <v>0</v>
      </c>
      <c r="E1483" s="6">
        <v>-105.5</v>
      </c>
      <c r="F1483" s="6">
        <v>0.51</v>
      </c>
      <c r="G1483" s="6">
        <v>0</v>
      </c>
      <c r="H1483" s="6">
        <v>80</v>
      </c>
    </row>
    <row r="1484" spans="1:8" ht="18.95" customHeight="1">
      <c r="A1484" s="4">
        <v>1480</v>
      </c>
      <c r="B1484" s="4">
        <v>49844</v>
      </c>
      <c r="C1484" s="4">
        <v>1</v>
      </c>
      <c r="D1484" s="6">
        <v>0</v>
      </c>
      <c r="E1484" s="6">
        <v>-106.06</v>
      </c>
      <c r="F1484" s="6">
        <v>0.54</v>
      </c>
      <c r="G1484" s="6">
        <v>0.11</v>
      </c>
      <c r="H1484" s="6">
        <v>85</v>
      </c>
    </row>
    <row r="1485" spans="1:8" ht="18.95" customHeight="1">
      <c r="A1485" s="4">
        <v>1481</v>
      </c>
      <c r="B1485" s="4">
        <v>49864</v>
      </c>
      <c r="C1485" s="4">
        <v>1</v>
      </c>
      <c r="D1485" s="6">
        <v>0</v>
      </c>
      <c r="E1485" s="6">
        <v>-106.69</v>
      </c>
      <c r="F1485" s="6">
        <v>0.55000000000000004</v>
      </c>
      <c r="G1485" s="6">
        <v>0.12</v>
      </c>
      <c r="H1485" s="6">
        <v>85</v>
      </c>
    </row>
    <row r="1486" spans="1:8" ht="18.95" customHeight="1">
      <c r="A1486" s="4">
        <v>1482</v>
      </c>
      <c r="B1486" s="4">
        <v>49884</v>
      </c>
      <c r="C1486" s="4">
        <v>1</v>
      </c>
      <c r="D1486" s="6">
        <v>0</v>
      </c>
      <c r="E1486" s="6">
        <v>-107.37</v>
      </c>
      <c r="F1486" s="6">
        <v>0.56999999999999995</v>
      </c>
      <c r="G1486" s="6">
        <v>0.17</v>
      </c>
      <c r="H1486" s="6">
        <v>86</v>
      </c>
    </row>
    <row r="1487" spans="1:8" ht="18.95" customHeight="1">
      <c r="A1487" s="4">
        <v>1483</v>
      </c>
      <c r="B1487" s="4">
        <v>49904</v>
      </c>
      <c r="C1487" s="4">
        <v>1</v>
      </c>
      <c r="D1487" s="6">
        <v>0</v>
      </c>
      <c r="E1487" s="6">
        <v>-108.12</v>
      </c>
      <c r="F1487" s="6">
        <v>0.56000000000000005</v>
      </c>
      <c r="G1487" s="6">
        <v>-0.16</v>
      </c>
      <c r="H1487" s="6">
        <v>86</v>
      </c>
    </row>
    <row r="1488" spans="1:8" ht="18.95" customHeight="1">
      <c r="A1488" s="4">
        <v>1484</v>
      </c>
      <c r="B1488" s="4">
        <v>49924</v>
      </c>
      <c r="C1488" s="4">
        <v>1</v>
      </c>
      <c r="D1488" s="6">
        <v>0</v>
      </c>
      <c r="E1488" s="6">
        <v>-108.94</v>
      </c>
      <c r="F1488" s="6">
        <v>0.59</v>
      </c>
      <c r="G1488" s="6">
        <v>0.05</v>
      </c>
      <c r="H1488" s="6">
        <v>86</v>
      </c>
    </row>
    <row r="1489" spans="1:8" ht="18.95" customHeight="1">
      <c r="A1489" s="4">
        <v>1485</v>
      </c>
      <c r="B1489" s="4">
        <v>49944</v>
      </c>
      <c r="C1489" s="4">
        <v>1</v>
      </c>
      <c r="D1489" s="6">
        <v>0</v>
      </c>
      <c r="E1489" s="6">
        <v>-109.81</v>
      </c>
      <c r="F1489" s="6">
        <v>0.62</v>
      </c>
      <c r="G1489" s="6">
        <v>-0.08</v>
      </c>
      <c r="H1489" s="6">
        <v>84</v>
      </c>
    </row>
    <row r="1490" spans="1:8" ht="18.95" customHeight="1">
      <c r="A1490" s="4">
        <v>1486</v>
      </c>
      <c r="B1490" s="4">
        <v>49964</v>
      </c>
      <c r="C1490" s="4">
        <v>1</v>
      </c>
      <c r="D1490" s="6">
        <v>0</v>
      </c>
      <c r="E1490" s="6">
        <v>-110.75</v>
      </c>
      <c r="F1490" s="6">
        <v>0.57999999999999996</v>
      </c>
      <c r="G1490" s="6">
        <v>0.2</v>
      </c>
      <c r="H1490" s="6">
        <v>84</v>
      </c>
    </row>
    <row r="1491" spans="1:8" ht="18.95" customHeight="1">
      <c r="A1491" s="4">
        <v>1487</v>
      </c>
      <c r="B1491" s="4">
        <v>49984</v>
      </c>
      <c r="C1491" s="4">
        <v>1</v>
      </c>
      <c r="D1491" s="6">
        <v>0</v>
      </c>
      <c r="E1491" s="6">
        <v>-111.75</v>
      </c>
      <c r="F1491" s="6">
        <v>0.56999999999999995</v>
      </c>
      <c r="G1491" s="6">
        <v>0.06</v>
      </c>
      <c r="H1491" s="6">
        <v>83</v>
      </c>
    </row>
    <row r="1492" spans="1:8" ht="18.95" customHeight="1">
      <c r="A1492" s="4">
        <v>1488</v>
      </c>
      <c r="B1492" s="4">
        <v>50004</v>
      </c>
      <c r="C1492" s="4">
        <v>1</v>
      </c>
      <c r="D1492" s="6">
        <v>0</v>
      </c>
      <c r="E1492" s="6">
        <v>-112.81</v>
      </c>
      <c r="F1492" s="6">
        <v>0.54</v>
      </c>
      <c r="G1492" s="6">
        <v>0.06</v>
      </c>
      <c r="H1492" s="6">
        <v>83</v>
      </c>
    </row>
    <row r="1493" spans="1:8" ht="18.95" customHeight="1">
      <c r="A1493" s="4">
        <v>1489</v>
      </c>
      <c r="B1493" s="4">
        <v>50024</v>
      </c>
      <c r="C1493" s="4">
        <v>1</v>
      </c>
      <c r="D1493" s="6">
        <v>0</v>
      </c>
      <c r="E1493" s="6">
        <v>-114</v>
      </c>
      <c r="F1493" s="6">
        <v>0.56999999999999995</v>
      </c>
      <c r="G1493" s="6">
        <v>-0.08</v>
      </c>
      <c r="H1493" s="6">
        <v>83</v>
      </c>
    </row>
    <row r="1494" spans="1:8" ht="18.95" customHeight="1">
      <c r="A1494" s="4">
        <v>1490</v>
      </c>
      <c r="B1494" s="4">
        <v>50044</v>
      </c>
      <c r="C1494" s="4">
        <v>1</v>
      </c>
      <c r="D1494" s="6">
        <v>0</v>
      </c>
      <c r="E1494" s="6">
        <v>-115.31</v>
      </c>
      <c r="F1494" s="6">
        <v>0.54</v>
      </c>
      <c r="G1494" s="6">
        <v>-0.15</v>
      </c>
      <c r="H1494" s="6">
        <v>82</v>
      </c>
    </row>
    <row r="1495" spans="1:8" ht="18.95" customHeight="1">
      <c r="A1495" s="4">
        <v>1491</v>
      </c>
      <c r="B1495" s="4">
        <v>50064</v>
      </c>
      <c r="C1495" s="4">
        <v>1</v>
      </c>
      <c r="D1495" s="6">
        <v>0</v>
      </c>
      <c r="E1495" s="6">
        <v>-116.75</v>
      </c>
      <c r="F1495" s="6">
        <v>0.52</v>
      </c>
      <c r="G1495" s="6">
        <v>0.27</v>
      </c>
      <c r="H1495" s="6">
        <v>82</v>
      </c>
    </row>
    <row r="1496" spans="1:8" ht="18.95" customHeight="1">
      <c r="A1496" s="4">
        <v>1492</v>
      </c>
      <c r="B1496" s="4">
        <v>50084</v>
      </c>
      <c r="C1496" s="4">
        <v>1</v>
      </c>
      <c r="D1496" s="6">
        <v>0</v>
      </c>
      <c r="E1496" s="6">
        <v>-118.25</v>
      </c>
      <c r="F1496" s="6">
        <v>0.51</v>
      </c>
      <c r="G1496" s="6">
        <v>7.0000000000000007E-2</v>
      </c>
      <c r="H1496" s="6">
        <v>84</v>
      </c>
    </row>
    <row r="1497" spans="1:8" ht="18.95" customHeight="1">
      <c r="A1497" s="4">
        <v>1493</v>
      </c>
      <c r="B1497" s="4">
        <v>50104</v>
      </c>
      <c r="C1497" s="4">
        <v>1</v>
      </c>
      <c r="D1497" s="6">
        <v>0</v>
      </c>
      <c r="E1497" s="6">
        <v>-119.94</v>
      </c>
      <c r="F1497" s="6">
        <v>0.51</v>
      </c>
      <c r="G1497" s="6">
        <v>-0.06</v>
      </c>
      <c r="H1497" s="6">
        <v>84</v>
      </c>
    </row>
    <row r="1498" spans="1:8" ht="18.95" customHeight="1">
      <c r="A1498" s="4">
        <v>1494</v>
      </c>
      <c r="B1498" s="4">
        <v>50124</v>
      </c>
      <c r="C1498" s="4">
        <v>1</v>
      </c>
      <c r="D1498" s="6">
        <v>0</v>
      </c>
      <c r="E1498" s="6">
        <v>-121.81</v>
      </c>
      <c r="F1498" s="6">
        <v>0.47</v>
      </c>
      <c r="G1498" s="6">
        <v>0.01</v>
      </c>
      <c r="H1498" s="6">
        <v>84</v>
      </c>
    </row>
    <row r="1499" spans="1:8" ht="18.95" customHeight="1">
      <c r="A1499" s="4">
        <v>1495</v>
      </c>
      <c r="B1499" s="4">
        <v>50144</v>
      </c>
      <c r="C1499" s="4">
        <v>1</v>
      </c>
      <c r="D1499" s="6">
        <v>0</v>
      </c>
      <c r="E1499" s="6">
        <v>-123.81</v>
      </c>
      <c r="F1499" s="6">
        <v>0.46</v>
      </c>
      <c r="G1499" s="6">
        <v>0</v>
      </c>
      <c r="H1499" s="6">
        <v>80</v>
      </c>
    </row>
    <row r="1500" spans="1:8" ht="18.95" customHeight="1">
      <c r="A1500" s="4">
        <v>1496</v>
      </c>
      <c r="B1500" s="4">
        <v>50164</v>
      </c>
      <c r="C1500" s="4">
        <v>1</v>
      </c>
      <c r="D1500" s="6">
        <v>0</v>
      </c>
      <c r="E1500" s="6">
        <v>-126</v>
      </c>
      <c r="F1500" s="6">
        <v>0.46</v>
      </c>
      <c r="G1500" s="6">
        <v>7.0000000000000007E-2</v>
      </c>
      <c r="H1500" s="6">
        <v>80</v>
      </c>
    </row>
    <row r="1501" spans="1:8" ht="18.95" customHeight="1">
      <c r="A1501" s="4">
        <v>1497</v>
      </c>
      <c r="B1501" s="4">
        <v>50184</v>
      </c>
      <c r="C1501" s="4">
        <v>1</v>
      </c>
      <c r="D1501" s="6">
        <v>0</v>
      </c>
      <c r="E1501" s="6">
        <v>-174.69</v>
      </c>
      <c r="F1501" s="6">
        <v>0.46</v>
      </c>
      <c r="G1501" s="6">
        <v>0.02</v>
      </c>
      <c r="H1501" s="6">
        <v>81</v>
      </c>
    </row>
    <row r="1502" spans="1:8" ht="18.95" customHeight="1">
      <c r="A1502" s="4">
        <v>1498</v>
      </c>
      <c r="B1502" s="4">
        <v>50204</v>
      </c>
      <c r="C1502" s="4">
        <v>1</v>
      </c>
      <c r="D1502" s="6">
        <v>0</v>
      </c>
      <c r="E1502" s="6">
        <v>-175.19</v>
      </c>
      <c r="F1502" s="6">
        <v>0.46</v>
      </c>
      <c r="G1502" s="6">
        <v>0.14000000000000001</v>
      </c>
      <c r="H1502" s="6">
        <v>81</v>
      </c>
    </row>
    <row r="1503" spans="1:8" ht="18.95" customHeight="1">
      <c r="A1503" s="4">
        <v>1499</v>
      </c>
      <c r="B1503" s="4">
        <v>50224</v>
      </c>
      <c r="C1503" s="4">
        <v>1</v>
      </c>
      <c r="D1503" s="6">
        <v>0</v>
      </c>
      <c r="E1503" s="6">
        <v>-175.69</v>
      </c>
      <c r="F1503" s="6">
        <v>0.43</v>
      </c>
      <c r="G1503" s="6">
        <v>-0.09</v>
      </c>
      <c r="H1503" s="6">
        <v>81</v>
      </c>
    </row>
    <row r="1504" spans="1:8" ht="18.95" customHeight="1">
      <c r="A1504" s="4">
        <v>1500</v>
      </c>
      <c r="B1504" s="4">
        <v>50244</v>
      </c>
      <c r="C1504" s="4">
        <v>1</v>
      </c>
      <c r="D1504" s="6">
        <v>0</v>
      </c>
      <c r="E1504" s="6">
        <v>-176.13</v>
      </c>
      <c r="F1504" s="6">
        <v>0.39</v>
      </c>
      <c r="G1504" s="6">
        <v>-0.02</v>
      </c>
      <c r="H1504" s="6">
        <v>78</v>
      </c>
    </row>
    <row r="1505" spans="1:8" ht="18.95" customHeight="1">
      <c r="A1505" s="4">
        <v>1501</v>
      </c>
      <c r="B1505" s="4">
        <v>50264</v>
      </c>
      <c r="C1505" s="4">
        <v>1</v>
      </c>
      <c r="D1505" s="6">
        <v>0</v>
      </c>
      <c r="E1505" s="6">
        <v>-176.56</v>
      </c>
      <c r="F1505" s="6">
        <v>0.38</v>
      </c>
      <c r="G1505" s="6">
        <v>0.13</v>
      </c>
      <c r="H1505" s="6">
        <v>78</v>
      </c>
    </row>
    <row r="1506" spans="1:8" ht="18.95" customHeight="1">
      <c r="A1506" s="4">
        <v>1502</v>
      </c>
      <c r="B1506" s="4">
        <v>50284</v>
      </c>
      <c r="C1506" s="4">
        <v>1</v>
      </c>
      <c r="D1506" s="6">
        <v>0</v>
      </c>
      <c r="E1506" s="6">
        <v>-177</v>
      </c>
      <c r="F1506" s="6">
        <v>0.37</v>
      </c>
      <c r="G1506" s="6">
        <v>0.1</v>
      </c>
      <c r="H1506" s="6">
        <v>78</v>
      </c>
    </row>
    <row r="1507" spans="1:8" ht="18.95" customHeight="1">
      <c r="A1507" s="4">
        <v>1503</v>
      </c>
      <c r="B1507" s="4">
        <v>50304</v>
      </c>
      <c r="C1507" s="4">
        <v>1</v>
      </c>
      <c r="D1507" s="6">
        <v>0</v>
      </c>
      <c r="E1507" s="6">
        <v>-177.38</v>
      </c>
      <c r="F1507" s="6">
        <v>0.35</v>
      </c>
      <c r="G1507" s="6">
        <v>-0.06</v>
      </c>
      <c r="H1507" s="6">
        <v>78</v>
      </c>
    </row>
    <row r="1508" spans="1:8" ht="18.95" customHeight="1">
      <c r="A1508" s="4">
        <v>1504</v>
      </c>
      <c r="B1508" s="4">
        <v>50324</v>
      </c>
      <c r="C1508" s="4">
        <v>1</v>
      </c>
      <c r="D1508" s="6">
        <v>0</v>
      </c>
      <c r="E1508" s="6">
        <v>-177.75</v>
      </c>
      <c r="F1508" s="6">
        <v>0.33</v>
      </c>
      <c r="G1508" s="6">
        <v>0</v>
      </c>
      <c r="H1508" s="6">
        <v>78</v>
      </c>
    </row>
    <row r="1509" spans="1:8" ht="18.95" customHeight="1">
      <c r="A1509" s="4">
        <v>1505</v>
      </c>
      <c r="B1509" s="4">
        <v>50344</v>
      </c>
      <c r="C1509" s="4">
        <v>1</v>
      </c>
      <c r="D1509" s="6">
        <v>0</v>
      </c>
      <c r="E1509" s="6">
        <v>-178.13</v>
      </c>
      <c r="F1509" s="6">
        <v>0.3</v>
      </c>
      <c r="G1509" s="6">
        <v>0</v>
      </c>
      <c r="H1509" s="6">
        <v>74</v>
      </c>
    </row>
    <row r="1510" spans="1:8" ht="18.95" customHeight="1">
      <c r="A1510" s="4">
        <v>1506</v>
      </c>
      <c r="B1510" s="4">
        <v>50364</v>
      </c>
      <c r="C1510" s="4">
        <v>1</v>
      </c>
      <c r="D1510" s="6">
        <v>0</v>
      </c>
      <c r="E1510" s="6">
        <v>-178.44</v>
      </c>
      <c r="F1510" s="6">
        <v>0.3</v>
      </c>
      <c r="G1510" s="6">
        <v>-0.06</v>
      </c>
      <c r="H1510" s="6">
        <v>74</v>
      </c>
    </row>
    <row r="1511" spans="1:8" ht="18.95" customHeight="1">
      <c r="A1511" s="4">
        <v>1507</v>
      </c>
      <c r="B1511" s="4">
        <v>50384</v>
      </c>
      <c r="C1511" s="4">
        <v>1</v>
      </c>
      <c r="D1511" s="6">
        <v>0</v>
      </c>
      <c r="E1511" s="6">
        <v>-178.75</v>
      </c>
      <c r="F1511" s="6">
        <v>0.28000000000000003</v>
      </c>
      <c r="G1511" s="6">
        <v>0.18</v>
      </c>
      <c r="H1511" s="6">
        <v>74</v>
      </c>
    </row>
    <row r="1512" spans="1:8" ht="18.95" customHeight="1">
      <c r="A1512" s="4">
        <v>1508</v>
      </c>
      <c r="B1512" s="4">
        <v>50404</v>
      </c>
      <c r="C1512" s="4">
        <v>1</v>
      </c>
      <c r="D1512" s="6">
        <v>0</v>
      </c>
      <c r="E1512" s="6">
        <v>-179.06</v>
      </c>
      <c r="F1512" s="6">
        <v>0.27</v>
      </c>
      <c r="G1512" s="6">
        <v>-0.12</v>
      </c>
      <c r="H1512" s="6">
        <v>74</v>
      </c>
    </row>
    <row r="1513" spans="1:8" ht="18.95" customHeight="1">
      <c r="A1513" s="4">
        <v>1509</v>
      </c>
      <c r="B1513" s="4">
        <v>50424</v>
      </c>
      <c r="C1513" s="4">
        <v>1</v>
      </c>
      <c r="D1513" s="6">
        <v>0</v>
      </c>
      <c r="E1513" s="6">
        <v>-179.31</v>
      </c>
      <c r="F1513" s="6">
        <v>0.24</v>
      </c>
      <c r="G1513" s="6">
        <v>-0.12</v>
      </c>
      <c r="H1513" s="6">
        <v>74</v>
      </c>
    </row>
    <row r="1514" spans="1:8" ht="18.95" customHeight="1">
      <c r="A1514" s="4">
        <v>1510</v>
      </c>
      <c r="B1514" s="4">
        <v>50444</v>
      </c>
      <c r="C1514" s="4">
        <v>1</v>
      </c>
      <c r="D1514" s="6">
        <v>0</v>
      </c>
      <c r="E1514" s="6">
        <v>-179.56</v>
      </c>
      <c r="F1514" s="6">
        <v>0.23</v>
      </c>
      <c r="G1514" s="6">
        <v>0.03</v>
      </c>
      <c r="H1514" s="6">
        <v>70</v>
      </c>
    </row>
    <row r="1515" spans="1:8" ht="18.95" customHeight="1">
      <c r="A1515" s="4">
        <v>1511</v>
      </c>
      <c r="B1515" s="4">
        <v>50464</v>
      </c>
      <c r="C1515" s="4">
        <v>1</v>
      </c>
      <c r="D1515" s="6">
        <v>0</v>
      </c>
      <c r="E1515" s="6">
        <v>-179.81</v>
      </c>
      <c r="F1515" s="6">
        <v>0.21</v>
      </c>
      <c r="G1515" s="6">
        <v>0.01</v>
      </c>
      <c r="H1515" s="6">
        <v>70</v>
      </c>
    </row>
    <row r="1516" spans="1:8" ht="18.95" customHeight="1">
      <c r="A1516" s="4">
        <v>1512</v>
      </c>
      <c r="B1516" s="4">
        <v>50484</v>
      </c>
      <c r="C1516" s="4">
        <v>1</v>
      </c>
      <c r="D1516" s="6">
        <v>0</v>
      </c>
      <c r="E1516" s="6">
        <v>179.88</v>
      </c>
      <c r="F1516" s="6">
        <v>0.19</v>
      </c>
      <c r="G1516" s="6">
        <v>0.28999999999999998</v>
      </c>
      <c r="H1516" s="6">
        <v>66</v>
      </c>
    </row>
    <row r="1517" spans="1:8" ht="18.95" customHeight="1">
      <c r="A1517" s="4">
        <v>1513</v>
      </c>
      <c r="B1517" s="4">
        <v>50504</v>
      </c>
      <c r="C1517" s="4">
        <v>1</v>
      </c>
      <c r="D1517" s="6">
        <v>0</v>
      </c>
      <c r="E1517" s="6">
        <v>179.69</v>
      </c>
      <c r="F1517" s="6">
        <v>0.17</v>
      </c>
      <c r="G1517" s="6">
        <v>0.24</v>
      </c>
      <c r="H1517" s="6">
        <v>66</v>
      </c>
    </row>
    <row r="1518" spans="1:8" ht="18.95" customHeight="1">
      <c r="A1518" s="4">
        <v>1514</v>
      </c>
      <c r="B1518" s="4">
        <v>50524</v>
      </c>
      <c r="C1518" s="4">
        <v>1</v>
      </c>
      <c r="D1518" s="6">
        <v>0</v>
      </c>
      <c r="E1518" s="6">
        <v>179.5</v>
      </c>
      <c r="F1518" s="6">
        <v>0.15</v>
      </c>
      <c r="G1518" s="6">
        <v>7.0000000000000007E-2</v>
      </c>
      <c r="H1518" s="6">
        <v>66</v>
      </c>
    </row>
    <row r="1519" spans="1:8" ht="18.95" customHeight="1">
      <c r="A1519" s="4">
        <v>1515</v>
      </c>
      <c r="B1519" s="4">
        <v>50544</v>
      </c>
      <c r="C1519" s="4">
        <v>1</v>
      </c>
      <c r="D1519" s="6">
        <v>0</v>
      </c>
      <c r="E1519" s="6">
        <v>179.31</v>
      </c>
      <c r="F1519" s="6">
        <v>0.13</v>
      </c>
      <c r="G1519" s="6">
        <v>0.05</v>
      </c>
      <c r="H1519" s="6">
        <v>67</v>
      </c>
    </row>
    <row r="1520" spans="1:8" ht="18.95" customHeight="1">
      <c r="A1520" s="4">
        <v>1516</v>
      </c>
      <c r="B1520" s="4">
        <v>50564</v>
      </c>
      <c r="C1520" s="4">
        <v>1</v>
      </c>
      <c r="D1520" s="6">
        <v>0</v>
      </c>
      <c r="E1520" s="6">
        <v>179.19</v>
      </c>
      <c r="F1520" s="6">
        <v>0.12</v>
      </c>
      <c r="G1520" s="6">
        <v>-0.09</v>
      </c>
      <c r="H1520" s="6">
        <v>67</v>
      </c>
    </row>
    <row r="1521" spans="1:8" ht="18.95" customHeight="1">
      <c r="A1521" s="4">
        <v>1517</v>
      </c>
      <c r="B1521" s="4">
        <v>50584</v>
      </c>
      <c r="C1521" s="4">
        <v>1</v>
      </c>
      <c r="D1521" s="6">
        <v>0</v>
      </c>
      <c r="E1521" s="6">
        <v>179.06</v>
      </c>
      <c r="F1521" s="6">
        <v>0.09</v>
      </c>
      <c r="G1521" s="6">
        <v>0.21</v>
      </c>
      <c r="H1521" s="6">
        <v>63</v>
      </c>
    </row>
    <row r="1522" spans="1:8" ht="18.95" customHeight="1">
      <c r="A1522" s="4">
        <v>1518</v>
      </c>
      <c r="B1522" s="4">
        <v>50604</v>
      </c>
      <c r="C1522" s="4">
        <v>1</v>
      </c>
      <c r="D1522" s="6">
        <v>0</v>
      </c>
      <c r="E1522" s="6">
        <v>179</v>
      </c>
      <c r="F1522" s="6">
        <v>7.0000000000000007E-2</v>
      </c>
      <c r="G1522" s="6">
        <v>0.01</v>
      </c>
      <c r="H1522" s="6">
        <v>63</v>
      </c>
    </row>
    <row r="1523" spans="1:8" ht="18.95" customHeight="1">
      <c r="A1523" s="4">
        <v>1519</v>
      </c>
      <c r="B1523" s="4">
        <v>50624</v>
      </c>
      <c r="C1523" s="4">
        <v>0</v>
      </c>
      <c r="D1523" s="6">
        <v>0</v>
      </c>
      <c r="E1523" s="6">
        <v>178.94</v>
      </c>
      <c r="F1523" s="6">
        <v>0.04</v>
      </c>
      <c r="G1523" s="6">
        <v>0.21</v>
      </c>
      <c r="H1523" s="6">
        <v>63</v>
      </c>
    </row>
    <row r="1524" spans="1:8" ht="18.95" customHeight="1">
      <c r="A1524" s="4">
        <v>1520</v>
      </c>
      <c r="B1524" s="4">
        <v>50644</v>
      </c>
      <c r="C1524" s="4">
        <v>0</v>
      </c>
      <c r="D1524" s="6">
        <v>0</v>
      </c>
      <c r="E1524" s="6">
        <v>178.94</v>
      </c>
      <c r="F1524" s="6">
        <v>0.02</v>
      </c>
      <c r="G1524" s="6">
        <v>0</v>
      </c>
      <c r="H1524" s="6">
        <v>60</v>
      </c>
    </row>
    <row r="1525" spans="1:8" ht="18.95" customHeight="1">
      <c r="A1525" s="4">
        <v>1521</v>
      </c>
      <c r="B1525" s="4">
        <v>50664</v>
      </c>
      <c r="C1525" s="4">
        <v>0</v>
      </c>
      <c r="D1525" s="6">
        <v>0</v>
      </c>
      <c r="E1525" s="6">
        <v>178.94</v>
      </c>
      <c r="F1525" s="6">
        <v>-0.01</v>
      </c>
      <c r="G1525" s="6">
        <v>0</v>
      </c>
      <c r="H1525" s="6">
        <v>60</v>
      </c>
    </row>
    <row r="1526" spans="1:8" ht="18.95" customHeight="1">
      <c r="A1526" s="4">
        <v>1522</v>
      </c>
      <c r="B1526" s="4">
        <v>50684</v>
      </c>
      <c r="C1526" s="4">
        <v>0</v>
      </c>
      <c r="D1526" s="6">
        <v>0</v>
      </c>
      <c r="E1526" s="6">
        <v>178.94</v>
      </c>
      <c r="F1526" s="6">
        <v>-0.03</v>
      </c>
      <c r="G1526" s="6">
        <v>0.01</v>
      </c>
      <c r="H1526" s="6">
        <v>55</v>
      </c>
    </row>
    <row r="1527" spans="1:8" ht="18.95" customHeight="1">
      <c r="A1527" s="4">
        <v>1523</v>
      </c>
      <c r="B1527" s="4">
        <v>50704</v>
      </c>
      <c r="C1527" s="4">
        <v>0</v>
      </c>
      <c r="D1527" s="6">
        <v>0</v>
      </c>
      <c r="E1527" s="6">
        <v>179</v>
      </c>
      <c r="F1527" s="6">
        <v>-0.06</v>
      </c>
      <c r="G1527" s="6">
        <v>0</v>
      </c>
      <c r="H1527" s="6">
        <v>55</v>
      </c>
    </row>
    <row r="1528" spans="1:8" ht="18.95" customHeight="1">
      <c r="A1528" s="4">
        <v>1524</v>
      </c>
      <c r="B1528" s="4">
        <v>50724</v>
      </c>
      <c r="C1528" s="4">
        <v>1</v>
      </c>
      <c r="D1528" s="6">
        <v>0</v>
      </c>
      <c r="E1528" s="6">
        <v>179.06</v>
      </c>
      <c r="F1528" s="6">
        <v>-0.08</v>
      </c>
      <c r="G1528" s="6">
        <v>-0.04</v>
      </c>
      <c r="H1528" s="6">
        <v>55</v>
      </c>
    </row>
    <row r="1529" spans="1:8" ht="18.95" customHeight="1">
      <c r="A1529" s="4">
        <v>1525</v>
      </c>
      <c r="B1529" s="4">
        <v>50744</v>
      </c>
      <c r="C1529" s="4">
        <v>1</v>
      </c>
      <c r="D1529" s="6">
        <v>0</v>
      </c>
      <c r="E1529" s="6">
        <v>179.19</v>
      </c>
      <c r="F1529" s="6">
        <v>-0.1</v>
      </c>
      <c r="G1529" s="6">
        <v>-0.04</v>
      </c>
      <c r="H1529" s="6">
        <v>53</v>
      </c>
    </row>
    <row r="1530" spans="1:8" ht="18.95" customHeight="1">
      <c r="A1530" s="4">
        <v>1526</v>
      </c>
      <c r="B1530" s="4">
        <v>50764</v>
      </c>
      <c r="C1530" s="4">
        <v>1</v>
      </c>
      <c r="D1530" s="6">
        <v>0</v>
      </c>
      <c r="E1530" s="6">
        <v>179.31</v>
      </c>
      <c r="F1530" s="6">
        <v>-0.13</v>
      </c>
      <c r="G1530" s="6">
        <v>0.21</v>
      </c>
      <c r="H1530" s="6">
        <v>53</v>
      </c>
    </row>
    <row r="1531" spans="1:8" ht="18.95" customHeight="1">
      <c r="A1531" s="4">
        <v>1527</v>
      </c>
      <c r="B1531" s="4">
        <v>50785</v>
      </c>
      <c r="C1531" s="4">
        <v>1</v>
      </c>
      <c r="D1531" s="6">
        <v>600</v>
      </c>
      <c r="E1531" s="6">
        <v>179.5</v>
      </c>
      <c r="F1531" s="6">
        <v>-0.15</v>
      </c>
      <c r="G1531" s="6">
        <v>0.06</v>
      </c>
      <c r="H1531" s="6">
        <v>49</v>
      </c>
    </row>
    <row r="1532" spans="1:8" ht="18.95" customHeight="1">
      <c r="A1532" s="4">
        <v>1528</v>
      </c>
      <c r="B1532" s="4">
        <v>50805</v>
      </c>
      <c r="C1532" s="4">
        <v>1</v>
      </c>
      <c r="D1532" s="6">
        <v>600</v>
      </c>
      <c r="E1532" s="6">
        <v>179.63</v>
      </c>
      <c r="F1532" s="6">
        <v>-0.17</v>
      </c>
      <c r="G1532" s="6">
        <v>7.0000000000000007E-2</v>
      </c>
      <c r="H1532" s="6">
        <v>49</v>
      </c>
    </row>
    <row r="1533" spans="1:8" ht="18.95" customHeight="1">
      <c r="A1533" s="4">
        <v>1529</v>
      </c>
      <c r="B1533" s="4">
        <v>50825</v>
      </c>
      <c r="C1533" s="4">
        <v>1</v>
      </c>
      <c r="D1533" s="6">
        <v>600</v>
      </c>
      <c r="E1533" s="6">
        <v>179.88</v>
      </c>
      <c r="F1533" s="6">
        <v>-0.2</v>
      </c>
      <c r="G1533" s="6">
        <v>7.0000000000000007E-2</v>
      </c>
      <c r="H1533" s="6">
        <v>49</v>
      </c>
    </row>
    <row r="1534" spans="1:8" ht="18.95" customHeight="1">
      <c r="A1534" s="4">
        <v>1530</v>
      </c>
      <c r="B1534" s="4">
        <v>50845</v>
      </c>
      <c r="C1534" s="4">
        <v>1</v>
      </c>
      <c r="D1534" s="6">
        <v>600</v>
      </c>
      <c r="E1534" s="6">
        <v>-179.81</v>
      </c>
      <c r="F1534" s="6">
        <v>-0.23</v>
      </c>
      <c r="G1534" s="6">
        <v>0.24</v>
      </c>
      <c r="H1534" s="6">
        <v>44</v>
      </c>
    </row>
    <row r="1535" spans="1:8" ht="18.95" customHeight="1">
      <c r="A1535" s="4">
        <v>1531</v>
      </c>
      <c r="B1535" s="4">
        <v>50865</v>
      </c>
      <c r="C1535" s="4">
        <v>1</v>
      </c>
      <c r="D1535" s="6">
        <v>600</v>
      </c>
      <c r="E1535" s="6">
        <v>-179.56</v>
      </c>
      <c r="F1535" s="6">
        <v>-0.23</v>
      </c>
      <c r="G1535" s="6">
        <v>-0.13</v>
      </c>
      <c r="H1535" s="6">
        <v>44</v>
      </c>
    </row>
    <row r="1536" spans="1:8" ht="18.95" customHeight="1">
      <c r="A1536" s="4">
        <v>1532</v>
      </c>
      <c r="B1536" s="4">
        <v>50885</v>
      </c>
      <c r="C1536" s="4">
        <v>1</v>
      </c>
      <c r="D1536" s="6">
        <v>0</v>
      </c>
      <c r="E1536" s="6">
        <v>-179.31</v>
      </c>
      <c r="F1536" s="6">
        <v>-0.26</v>
      </c>
      <c r="G1536" s="6">
        <v>0.08</v>
      </c>
      <c r="H1536" s="6">
        <v>40</v>
      </c>
    </row>
    <row r="1537" spans="1:8" ht="18.95" customHeight="1">
      <c r="A1537" s="4">
        <v>1533</v>
      </c>
      <c r="B1537" s="4">
        <v>50905</v>
      </c>
      <c r="C1537" s="4">
        <v>1</v>
      </c>
      <c r="D1537" s="6">
        <v>0</v>
      </c>
      <c r="E1537" s="6">
        <v>-179</v>
      </c>
      <c r="F1537" s="6">
        <v>-0.27</v>
      </c>
      <c r="G1537" s="6">
        <v>0.02</v>
      </c>
      <c r="H1537" s="6">
        <v>40</v>
      </c>
    </row>
    <row r="1538" spans="1:8" ht="18.95" customHeight="1">
      <c r="A1538" s="4">
        <v>1534</v>
      </c>
      <c r="B1538" s="4">
        <v>50925</v>
      </c>
      <c r="C1538" s="4">
        <v>1</v>
      </c>
      <c r="D1538" s="6">
        <v>0</v>
      </c>
      <c r="E1538" s="6">
        <v>-178.69</v>
      </c>
      <c r="F1538" s="6">
        <v>-0.28999999999999998</v>
      </c>
      <c r="G1538" s="6">
        <v>0.05</v>
      </c>
      <c r="H1538" s="6">
        <v>40</v>
      </c>
    </row>
    <row r="1539" spans="1:8" ht="18.95" customHeight="1">
      <c r="A1539" s="4">
        <v>1535</v>
      </c>
      <c r="B1539" s="4">
        <v>50945</v>
      </c>
      <c r="C1539" s="4">
        <v>1</v>
      </c>
      <c r="D1539" s="6">
        <v>0</v>
      </c>
      <c r="E1539" s="6">
        <v>-178.38</v>
      </c>
      <c r="F1539" s="6">
        <v>-0.28999999999999998</v>
      </c>
      <c r="G1539" s="6">
        <v>0.12</v>
      </c>
      <c r="H1539" s="6">
        <v>36</v>
      </c>
    </row>
    <row r="1540" spans="1:8" ht="18.95" customHeight="1">
      <c r="A1540" s="4">
        <v>1536</v>
      </c>
      <c r="B1540" s="4">
        <v>50965</v>
      </c>
      <c r="C1540" s="4">
        <v>1</v>
      </c>
      <c r="D1540" s="6">
        <v>0</v>
      </c>
      <c r="E1540" s="6">
        <v>-178.06</v>
      </c>
      <c r="F1540" s="6">
        <v>-0.31</v>
      </c>
      <c r="G1540" s="6">
        <v>0.11</v>
      </c>
      <c r="H1540" s="6">
        <v>36</v>
      </c>
    </row>
    <row r="1541" spans="1:8" ht="18.95" customHeight="1">
      <c r="A1541" s="4">
        <v>1537</v>
      </c>
      <c r="B1541" s="4">
        <v>50985</v>
      </c>
      <c r="C1541" s="4">
        <v>1</v>
      </c>
      <c r="D1541" s="6">
        <v>0</v>
      </c>
      <c r="E1541" s="6">
        <v>-177.69</v>
      </c>
      <c r="F1541" s="6">
        <v>-0.33</v>
      </c>
      <c r="G1541" s="6">
        <v>0.03</v>
      </c>
      <c r="H1541" s="6">
        <v>32</v>
      </c>
    </row>
    <row r="1542" spans="1:8" ht="18.95" customHeight="1">
      <c r="A1542" s="4">
        <v>1538</v>
      </c>
      <c r="B1542" s="4">
        <v>51005</v>
      </c>
      <c r="C1542" s="4">
        <v>1</v>
      </c>
      <c r="D1542" s="6">
        <v>0</v>
      </c>
      <c r="E1542" s="6">
        <v>-177.31</v>
      </c>
      <c r="F1542" s="6">
        <v>-0.36</v>
      </c>
      <c r="G1542" s="6">
        <v>0.19</v>
      </c>
      <c r="H1542" s="6">
        <v>32</v>
      </c>
    </row>
    <row r="1543" spans="1:8" ht="18.95" customHeight="1">
      <c r="A1543" s="4">
        <v>1539</v>
      </c>
      <c r="B1543" s="4">
        <v>51025</v>
      </c>
      <c r="C1543" s="4">
        <v>1</v>
      </c>
      <c r="D1543" s="6">
        <v>0</v>
      </c>
      <c r="E1543" s="6">
        <v>-176.88</v>
      </c>
      <c r="F1543" s="6">
        <v>-0.4</v>
      </c>
      <c r="G1543" s="6">
        <v>-0.03</v>
      </c>
      <c r="H1543" s="6">
        <v>32</v>
      </c>
    </row>
    <row r="1544" spans="1:8" ht="18.95" customHeight="1">
      <c r="A1544" s="4">
        <v>1540</v>
      </c>
      <c r="B1544" s="4">
        <v>51045</v>
      </c>
      <c r="C1544" s="4">
        <v>1</v>
      </c>
      <c r="D1544" s="6">
        <v>0</v>
      </c>
      <c r="E1544" s="6">
        <v>-176.44</v>
      </c>
      <c r="F1544" s="6">
        <v>-0.41</v>
      </c>
      <c r="G1544" s="6">
        <v>-0.01</v>
      </c>
      <c r="H1544" s="6">
        <v>32</v>
      </c>
    </row>
    <row r="1545" spans="1:8" ht="18.95" customHeight="1">
      <c r="A1545" s="4">
        <v>1541</v>
      </c>
      <c r="B1545" s="4">
        <v>51065</v>
      </c>
      <c r="C1545" s="4">
        <v>1</v>
      </c>
      <c r="D1545" s="6">
        <v>0</v>
      </c>
      <c r="E1545" s="6">
        <v>-175.94</v>
      </c>
      <c r="F1545" s="6">
        <v>-0.44</v>
      </c>
      <c r="G1545" s="6">
        <v>-0.08</v>
      </c>
      <c r="H1545" s="6">
        <v>32</v>
      </c>
    </row>
    <row r="1546" spans="1:8" ht="18.95" customHeight="1">
      <c r="A1546" s="4">
        <v>1542</v>
      </c>
      <c r="B1546" s="4">
        <v>51085</v>
      </c>
      <c r="C1546" s="4">
        <v>1</v>
      </c>
      <c r="D1546" s="6">
        <v>0</v>
      </c>
      <c r="E1546" s="6">
        <v>-175.44</v>
      </c>
      <c r="F1546" s="6">
        <v>-0.45</v>
      </c>
      <c r="G1546" s="6">
        <v>0.09</v>
      </c>
      <c r="H1546" s="6">
        <v>26</v>
      </c>
    </row>
    <row r="1547" spans="1:8" ht="18.95" customHeight="1">
      <c r="A1547" s="4">
        <v>1543</v>
      </c>
      <c r="B1547" s="4">
        <v>51105</v>
      </c>
      <c r="C1547" s="4">
        <v>1</v>
      </c>
      <c r="D1547" s="6">
        <v>0</v>
      </c>
      <c r="E1547" s="6">
        <v>-174.94</v>
      </c>
      <c r="F1547" s="6">
        <v>-0.48</v>
      </c>
      <c r="G1547" s="6">
        <v>0</v>
      </c>
      <c r="H1547" s="6">
        <v>26</v>
      </c>
    </row>
    <row r="1548" spans="1:8" ht="18.95" customHeight="1">
      <c r="A1548" s="4">
        <v>1544</v>
      </c>
      <c r="B1548" s="4">
        <v>51125</v>
      </c>
      <c r="C1548" s="4">
        <v>1</v>
      </c>
      <c r="D1548" s="6">
        <v>0</v>
      </c>
      <c r="E1548" s="6">
        <v>-126.12</v>
      </c>
      <c r="F1548" s="6">
        <v>-0.48</v>
      </c>
      <c r="G1548" s="6">
        <v>0.02</v>
      </c>
      <c r="H1548" s="6">
        <v>26</v>
      </c>
    </row>
    <row r="1549" spans="1:8" ht="18.95" customHeight="1">
      <c r="A1549" s="4">
        <v>1545</v>
      </c>
      <c r="B1549" s="4">
        <v>51145</v>
      </c>
      <c r="C1549" s="4">
        <v>1</v>
      </c>
      <c r="D1549" s="6">
        <v>0</v>
      </c>
      <c r="E1549" s="6">
        <v>-123.62</v>
      </c>
      <c r="F1549" s="6">
        <v>-0.5</v>
      </c>
      <c r="G1549" s="6">
        <v>0.11</v>
      </c>
      <c r="H1549" s="6">
        <v>24</v>
      </c>
    </row>
    <row r="1550" spans="1:8" ht="18.95" customHeight="1">
      <c r="A1550" s="4">
        <v>1546</v>
      </c>
      <c r="B1550" s="4">
        <v>51165</v>
      </c>
      <c r="C1550" s="4">
        <v>1</v>
      </c>
      <c r="D1550" s="6">
        <v>0</v>
      </c>
      <c r="E1550" s="6">
        <v>-121.31</v>
      </c>
      <c r="F1550" s="6">
        <v>-0.52</v>
      </c>
      <c r="G1550" s="6">
        <v>0.08</v>
      </c>
      <c r="H1550" s="6">
        <v>24</v>
      </c>
    </row>
    <row r="1551" spans="1:8" ht="18.95" customHeight="1">
      <c r="A1551" s="4">
        <v>1547</v>
      </c>
      <c r="B1551" s="4">
        <v>51185</v>
      </c>
      <c r="C1551" s="4">
        <v>1</v>
      </c>
      <c r="D1551" s="6">
        <v>0</v>
      </c>
      <c r="E1551" s="6">
        <v>-119.12</v>
      </c>
      <c r="F1551" s="6">
        <v>-0.54</v>
      </c>
      <c r="G1551" s="6">
        <v>0.02</v>
      </c>
      <c r="H1551" s="6">
        <v>21</v>
      </c>
    </row>
    <row r="1552" spans="1:8" ht="18.95" customHeight="1">
      <c r="A1552" s="4">
        <v>1548</v>
      </c>
      <c r="B1552" s="4">
        <v>51205</v>
      </c>
      <c r="C1552" s="4">
        <v>1</v>
      </c>
      <c r="D1552" s="6">
        <v>0</v>
      </c>
      <c r="E1552" s="6">
        <v>-117.25</v>
      </c>
      <c r="F1552" s="6">
        <v>-0.54</v>
      </c>
      <c r="G1552" s="6">
        <v>-0.11</v>
      </c>
      <c r="H1552" s="6">
        <v>21</v>
      </c>
    </row>
    <row r="1553" spans="1:8" ht="18.95" customHeight="1">
      <c r="A1553" s="4">
        <v>1549</v>
      </c>
      <c r="B1553" s="4">
        <v>51225</v>
      </c>
      <c r="C1553" s="4">
        <v>1</v>
      </c>
      <c r="D1553" s="6">
        <v>0</v>
      </c>
      <c r="E1553" s="6">
        <v>-115.62</v>
      </c>
      <c r="F1553" s="6">
        <v>-0.53</v>
      </c>
      <c r="G1553" s="6">
        <v>0.08</v>
      </c>
      <c r="H1553" s="6">
        <v>21</v>
      </c>
    </row>
    <row r="1554" spans="1:8" ht="18.95" customHeight="1">
      <c r="A1554" s="4">
        <v>1550</v>
      </c>
      <c r="B1554" s="4">
        <v>51245</v>
      </c>
      <c r="C1554" s="4">
        <v>1</v>
      </c>
      <c r="D1554" s="6">
        <v>0</v>
      </c>
      <c r="E1554" s="6">
        <v>-114.06</v>
      </c>
      <c r="F1554" s="6">
        <v>-0.55000000000000004</v>
      </c>
      <c r="G1554" s="6">
        <v>0.32</v>
      </c>
      <c r="H1554" s="6">
        <v>20</v>
      </c>
    </row>
    <row r="1555" spans="1:8" ht="18.95" customHeight="1">
      <c r="A1555" s="4">
        <v>1551</v>
      </c>
      <c r="B1555" s="4">
        <v>51265</v>
      </c>
      <c r="C1555" s="4">
        <v>1</v>
      </c>
      <c r="D1555" s="6">
        <v>0</v>
      </c>
      <c r="E1555" s="6">
        <v>-112.69</v>
      </c>
      <c r="F1555" s="6">
        <v>-0.57999999999999996</v>
      </c>
      <c r="G1555" s="6">
        <v>-0.15</v>
      </c>
      <c r="H1555" s="6">
        <v>20</v>
      </c>
    </row>
    <row r="1556" spans="1:8" ht="18.95" customHeight="1">
      <c r="A1556" s="4">
        <v>1552</v>
      </c>
      <c r="B1556" s="4">
        <v>51286</v>
      </c>
      <c r="C1556" s="4">
        <v>1</v>
      </c>
      <c r="D1556" s="6">
        <v>0</v>
      </c>
      <c r="E1556" s="6">
        <v>-111.44</v>
      </c>
      <c r="F1556" s="6">
        <v>-0.57999999999999996</v>
      </c>
      <c r="G1556" s="6">
        <v>0.02</v>
      </c>
      <c r="H1556" s="6">
        <v>18</v>
      </c>
    </row>
    <row r="1557" spans="1:8" ht="18.95" customHeight="1">
      <c r="A1557" s="4">
        <v>1553</v>
      </c>
      <c r="B1557" s="4">
        <v>51306</v>
      </c>
      <c r="C1557" s="4">
        <v>1</v>
      </c>
      <c r="D1557" s="6">
        <v>0</v>
      </c>
      <c r="E1557" s="6">
        <v>-110.25</v>
      </c>
      <c r="F1557" s="6">
        <v>-0.57999999999999996</v>
      </c>
      <c r="G1557" s="6">
        <v>0.04</v>
      </c>
      <c r="H1557" s="6">
        <v>18</v>
      </c>
    </row>
    <row r="1558" spans="1:8" ht="18.95" customHeight="1">
      <c r="A1558" s="4">
        <v>1554</v>
      </c>
      <c r="B1558" s="4">
        <v>51326</v>
      </c>
      <c r="C1558" s="4">
        <v>1</v>
      </c>
      <c r="D1558" s="6">
        <v>0</v>
      </c>
      <c r="E1558" s="6">
        <v>-109.25</v>
      </c>
      <c r="F1558" s="6">
        <v>-0.6</v>
      </c>
      <c r="G1558" s="6">
        <v>0.02</v>
      </c>
      <c r="H1558" s="6">
        <v>18</v>
      </c>
    </row>
    <row r="1559" spans="1:8" ht="18.95" customHeight="1">
      <c r="A1559" s="4">
        <v>1555</v>
      </c>
      <c r="B1559" s="4">
        <v>51346</v>
      </c>
      <c r="C1559" s="4">
        <v>1</v>
      </c>
      <c r="D1559" s="6">
        <v>0</v>
      </c>
      <c r="E1559" s="6">
        <v>-108.19</v>
      </c>
      <c r="F1559" s="6">
        <v>-0.64</v>
      </c>
      <c r="G1559" s="6">
        <v>0.09</v>
      </c>
      <c r="H1559" s="6">
        <v>18</v>
      </c>
    </row>
    <row r="1560" spans="1:8" ht="18.95" customHeight="1">
      <c r="A1560" s="4">
        <v>1556</v>
      </c>
      <c r="B1560" s="4">
        <v>51366</v>
      </c>
      <c r="C1560" s="4">
        <v>1</v>
      </c>
      <c r="D1560" s="6">
        <v>0</v>
      </c>
      <c r="E1560" s="6">
        <v>-107.31</v>
      </c>
      <c r="F1560" s="6">
        <v>-0.61</v>
      </c>
      <c r="G1560" s="6">
        <v>0.13</v>
      </c>
      <c r="H1560" s="6">
        <v>18</v>
      </c>
    </row>
    <row r="1561" spans="1:8" ht="18.95" customHeight="1">
      <c r="A1561" s="4">
        <v>1557</v>
      </c>
      <c r="B1561" s="4">
        <v>51386</v>
      </c>
      <c r="C1561" s="4">
        <v>1</v>
      </c>
      <c r="D1561" s="6">
        <v>0</v>
      </c>
      <c r="E1561" s="6">
        <v>-106.5</v>
      </c>
      <c r="F1561" s="6">
        <v>-0.61</v>
      </c>
      <c r="G1561" s="6">
        <v>-0.12</v>
      </c>
      <c r="H1561" s="6">
        <v>16</v>
      </c>
    </row>
    <row r="1562" spans="1:8" ht="18.95" customHeight="1">
      <c r="A1562" s="4">
        <v>1558</v>
      </c>
      <c r="B1562" s="4">
        <v>51406</v>
      </c>
      <c r="C1562" s="4">
        <v>1</v>
      </c>
      <c r="D1562" s="6">
        <v>0</v>
      </c>
      <c r="E1562" s="6">
        <v>-105.75</v>
      </c>
      <c r="F1562" s="6">
        <v>-0.6</v>
      </c>
      <c r="G1562" s="6">
        <v>0.42</v>
      </c>
      <c r="H1562" s="6">
        <v>16</v>
      </c>
    </row>
    <row r="1563" spans="1:8" ht="18.95" customHeight="1">
      <c r="A1563" s="4">
        <v>1559</v>
      </c>
      <c r="B1563" s="4">
        <v>51426</v>
      </c>
      <c r="C1563" s="4">
        <v>1</v>
      </c>
      <c r="D1563" s="6">
        <v>0</v>
      </c>
      <c r="E1563" s="6">
        <v>-105.06</v>
      </c>
      <c r="F1563" s="6">
        <v>-0.6</v>
      </c>
      <c r="G1563" s="6">
        <v>-0.05</v>
      </c>
      <c r="H1563" s="6">
        <v>16</v>
      </c>
    </row>
    <row r="1564" spans="1:8" ht="18.95" customHeight="1">
      <c r="A1564" s="4">
        <v>1560</v>
      </c>
      <c r="B1564" s="4">
        <v>51446</v>
      </c>
      <c r="C1564" s="4">
        <v>1</v>
      </c>
      <c r="D1564" s="6">
        <v>0</v>
      </c>
      <c r="E1564" s="6">
        <v>-104.44</v>
      </c>
      <c r="F1564" s="6">
        <v>-0.6</v>
      </c>
      <c r="G1564" s="6">
        <v>0.08</v>
      </c>
      <c r="H1564" s="6">
        <v>16</v>
      </c>
    </row>
    <row r="1565" spans="1:8" ht="18.95" customHeight="1">
      <c r="A1565" s="4">
        <v>1561</v>
      </c>
      <c r="B1565" s="4">
        <v>51466</v>
      </c>
      <c r="C1565" s="4">
        <v>1</v>
      </c>
      <c r="D1565" s="6">
        <v>0</v>
      </c>
      <c r="E1565" s="6">
        <v>-103.87</v>
      </c>
      <c r="F1565" s="6">
        <v>-0.56000000000000005</v>
      </c>
      <c r="G1565" s="6">
        <v>0</v>
      </c>
      <c r="H1565" s="6">
        <v>16</v>
      </c>
    </row>
    <row r="1566" spans="1:8" ht="18.95" customHeight="1">
      <c r="A1566" s="4">
        <v>1562</v>
      </c>
      <c r="B1566" s="4">
        <v>51486</v>
      </c>
      <c r="C1566" s="4">
        <v>1</v>
      </c>
      <c r="D1566" s="6">
        <v>0</v>
      </c>
      <c r="E1566" s="6">
        <v>-103.37</v>
      </c>
      <c r="F1566" s="6">
        <v>-0.56999999999999995</v>
      </c>
      <c r="G1566" s="6">
        <v>0.05</v>
      </c>
      <c r="H1566" s="6">
        <v>16</v>
      </c>
    </row>
    <row r="1567" spans="1:8" ht="18.95" customHeight="1">
      <c r="A1567" s="4">
        <v>1563</v>
      </c>
      <c r="B1567" s="4">
        <v>51506</v>
      </c>
      <c r="C1567" s="4">
        <v>1</v>
      </c>
      <c r="D1567" s="6">
        <v>0</v>
      </c>
      <c r="E1567" s="6">
        <v>-102.94</v>
      </c>
      <c r="F1567" s="6">
        <v>-0.56999999999999995</v>
      </c>
      <c r="G1567" s="6">
        <v>0.01</v>
      </c>
      <c r="H1567" s="6">
        <v>16</v>
      </c>
    </row>
    <row r="1568" spans="1:8" ht="18.95" customHeight="1">
      <c r="A1568" s="4">
        <v>1564</v>
      </c>
      <c r="B1568" s="4">
        <v>51526</v>
      </c>
      <c r="C1568" s="4">
        <v>1</v>
      </c>
      <c r="D1568" s="6">
        <v>0</v>
      </c>
      <c r="E1568" s="6">
        <v>-102.5</v>
      </c>
      <c r="F1568" s="6">
        <v>-0.54</v>
      </c>
      <c r="G1568" s="6">
        <v>0.06</v>
      </c>
      <c r="H1568" s="6">
        <v>16</v>
      </c>
    </row>
    <row r="1569" spans="1:8" ht="18.95" customHeight="1">
      <c r="A1569" s="4">
        <v>1565</v>
      </c>
      <c r="B1569" s="4">
        <v>51546</v>
      </c>
      <c r="C1569" s="4">
        <v>1</v>
      </c>
      <c r="D1569" s="6">
        <v>0</v>
      </c>
      <c r="E1569" s="6">
        <v>-102.12</v>
      </c>
      <c r="F1569" s="6">
        <v>-0.5</v>
      </c>
      <c r="G1569" s="6">
        <v>0.24</v>
      </c>
      <c r="H1569" s="6">
        <v>17</v>
      </c>
    </row>
    <row r="1570" spans="1:8" ht="18.95" customHeight="1">
      <c r="A1570" s="4">
        <v>1566</v>
      </c>
      <c r="B1570" s="4">
        <v>51566</v>
      </c>
      <c r="C1570" s="4">
        <v>1</v>
      </c>
      <c r="D1570" s="6">
        <v>0</v>
      </c>
      <c r="E1570" s="6">
        <v>-101.75</v>
      </c>
      <c r="F1570" s="6">
        <v>-0.49</v>
      </c>
      <c r="G1570" s="6">
        <v>0.06</v>
      </c>
      <c r="H1570" s="6">
        <v>17</v>
      </c>
    </row>
    <row r="1571" spans="1:8" ht="18.95" customHeight="1">
      <c r="A1571" s="4">
        <v>1567</v>
      </c>
      <c r="B1571" s="4">
        <v>51587</v>
      </c>
      <c r="C1571" s="4">
        <v>1</v>
      </c>
      <c r="D1571" s="6">
        <v>0</v>
      </c>
      <c r="E1571" s="6">
        <v>-101.44</v>
      </c>
      <c r="F1571" s="6">
        <v>-0.5</v>
      </c>
      <c r="G1571" s="6">
        <v>0.1</v>
      </c>
      <c r="H1571" s="6">
        <v>19</v>
      </c>
    </row>
    <row r="1572" spans="1:8" ht="18.95" customHeight="1">
      <c r="A1572" s="4">
        <v>1568</v>
      </c>
      <c r="B1572" s="4">
        <v>51607</v>
      </c>
      <c r="C1572" s="4">
        <v>1</v>
      </c>
      <c r="D1572" s="6">
        <v>0</v>
      </c>
      <c r="E1572" s="6">
        <v>-101.12</v>
      </c>
      <c r="F1572" s="6">
        <v>-0.5</v>
      </c>
      <c r="G1572" s="6">
        <v>-7.0000000000000007E-2</v>
      </c>
      <c r="H1572" s="6">
        <v>19</v>
      </c>
    </row>
    <row r="1573" spans="1:8" ht="18.95" customHeight="1">
      <c r="A1573" s="4">
        <v>1569</v>
      </c>
      <c r="B1573" s="4">
        <v>51627</v>
      </c>
      <c r="C1573" s="4">
        <v>1</v>
      </c>
      <c r="D1573" s="6">
        <v>0</v>
      </c>
      <c r="E1573" s="6">
        <v>-100.87</v>
      </c>
      <c r="F1573" s="6">
        <v>-0.48</v>
      </c>
      <c r="G1573" s="6">
        <v>0.08</v>
      </c>
      <c r="H1573" s="6">
        <v>19</v>
      </c>
    </row>
    <row r="1574" spans="1:8" ht="18.95" customHeight="1">
      <c r="A1574" s="4">
        <v>1570</v>
      </c>
      <c r="B1574" s="4">
        <v>51647</v>
      </c>
      <c r="C1574" s="4">
        <v>1</v>
      </c>
      <c r="D1574" s="6">
        <v>0</v>
      </c>
      <c r="E1574" s="6">
        <v>-100.56</v>
      </c>
      <c r="F1574" s="6">
        <v>-0.47</v>
      </c>
      <c r="G1574" s="6">
        <v>0.12</v>
      </c>
      <c r="H1574" s="6">
        <v>23</v>
      </c>
    </row>
    <row r="1575" spans="1:8" ht="18.95" customHeight="1">
      <c r="A1575" s="4">
        <v>1571</v>
      </c>
      <c r="B1575" s="4">
        <v>51667</v>
      </c>
      <c r="C1575" s="4">
        <v>1</v>
      </c>
      <c r="D1575" s="6">
        <v>0</v>
      </c>
      <c r="E1575" s="6">
        <v>-100.31</v>
      </c>
      <c r="F1575" s="6">
        <v>-0.47</v>
      </c>
      <c r="G1575" s="6">
        <v>-0.08</v>
      </c>
      <c r="H1575" s="6">
        <v>23</v>
      </c>
    </row>
    <row r="1576" spans="1:8" ht="18.95" customHeight="1">
      <c r="A1576" s="4">
        <v>1572</v>
      </c>
      <c r="B1576" s="4">
        <v>51687</v>
      </c>
      <c r="C1576" s="4">
        <v>1</v>
      </c>
      <c r="D1576" s="6">
        <v>0</v>
      </c>
      <c r="E1576" s="6">
        <v>-100.12</v>
      </c>
      <c r="F1576" s="6">
        <v>-0.44</v>
      </c>
      <c r="G1576" s="6">
        <v>0.03</v>
      </c>
      <c r="H1576" s="6">
        <v>25</v>
      </c>
    </row>
    <row r="1577" spans="1:8" ht="18.95" customHeight="1">
      <c r="A1577" s="4">
        <v>1573</v>
      </c>
      <c r="B1577" s="4">
        <v>51707</v>
      </c>
      <c r="C1577" s="4">
        <v>1</v>
      </c>
      <c r="D1577" s="6">
        <v>0</v>
      </c>
      <c r="E1577" s="6">
        <v>-99.87</v>
      </c>
      <c r="F1577" s="6">
        <v>-0.41</v>
      </c>
      <c r="G1577" s="6">
        <v>0.01</v>
      </c>
      <c r="H1577" s="6">
        <v>25</v>
      </c>
    </row>
    <row r="1578" spans="1:8" ht="18.95" customHeight="1">
      <c r="A1578" s="4">
        <v>1574</v>
      </c>
      <c r="B1578" s="4">
        <v>51727</v>
      </c>
      <c r="C1578" s="4">
        <v>1</v>
      </c>
      <c r="D1578" s="6">
        <v>0</v>
      </c>
      <c r="E1578" s="6">
        <v>-99.75</v>
      </c>
      <c r="F1578" s="6">
        <v>-0.4</v>
      </c>
      <c r="G1578" s="6">
        <v>0.16</v>
      </c>
      <c r="H1578" s="6">
        <v>25</v>
      </c>
    </row>
    <row r="1579" spans="1:8" ht="18.95" customHeight="1">
      <c r="A1579" s="4">
        <v>1575</v>
      </c>
      <c r="B1579" s="4">
        <v>51747</v>
      </c>
      <c r="C1579" s="4">
        <v>1</v>
      </c>
      <c r="D1579" s="6">
        <v>0</v>
      </c>
      <c r="E1579" s="6">
        <v>-99.56</v>
      </c>
      <c r="F1579" s="6">
        <v>-0.37</v>
      </c>
      <c r="G1579" s="6">
        <v>0.18</v>
      </c>
      <c r="H1579" s="6">
        <v>30</v>
      </c>
    </row>
    <row r="1580" spans="1:8" ht="18.95" customHeight="1">
      <c r="A1580" s="4">
        <v>1576</v>
      </c>
      <c r="B1580" s="4">
        <v>51767</v>
      </c>
      <c r="C1580" s="4">
        <v>1</v>
      </c>
      <c r="D1580" s="6">
        <v>0</v>
      </c>
      <c r="E1580" s="6">
        <v>-99.37</v>
      </c>
      <c r="F1580" s="6">
        <v>-0.37</v>
      </c>
      <c r="G1580" s="6">
        <v>-0.05</v>
      </c>
      <c r="H1580" s="6">
        <v>30</v>
      </c>
    </row>
    <row r="1581" spans="1:8" ht="18.95" customHeight="1">
      <c r="A1581" s="4">
        <v>1577</v>
      </c>
      <c r="B1581" s="4">
        <v>51787</v>
      </c>
      <c r="C1581" s="4">
        <v>1</v>
      </c>
      <c r="D1581" s="6">
        <v>0</v>
      </c>
      <c r="E1581" s="6">
        <v>-99.25</v>
      </c>
      <c r="F1581" s="6">
        <v>-0.32</v>
      </c>
      <c r="G1581" s="6">
        <v>0.04</v>
      </c>
      <c r="H1581" s="6">
        <v>32</v>
      </c>
    </row>
    <row r="1582" spans="1:8" ht="18.95" customHeight="1">
      <c r="A1582" s="4">
        <v>1578</v>
      </c>
      <c r="B1582" s="4">
        <v>51807</v>
      </c>
      <c r="C1582" s="4">
        <v>1</v>
      </c>
      <c r="D1582" s="6">
        <v>0</v>
      </c>
      <c r="E1582" s="6">
        <v>-99.12</v>
      </c>
      <c r="F1582" s="6">
        <v>-0.32</v>
      </c>
      <c r="G1582" s="6">
        <v>0.08</v>
      </c>
      <c r="H1582" s="6">
        <v>32</v>
      </c>
    </row>
    <row r="1583" spans="1:8" ht="18.95" customHeight="1">
      <c r="A1583" s="4">
        <v>1579</v>
      </c>
      <c r="B1583" s="4">
        <v>51827</v>
      </c>
      <c r="C1583" s="4">
        <v>1</v>
      </c>
      <c r="D1583" s="6">
        <v>0</v>
      </c>
      <c r="E1583" s="6">
        <v>-99.06</v>
      </c>
      <c r="F1583" s="6">
        <v>-0.3</v>
      </c>
      <c r="G1583" s="6">
        <v>0.16</v>
      </c>
      <c r="H1583" s="6">
        <v>32</v>
      </c>
    </row>
    <row r="1584" spans="1:8" ht="18.95" customHeight="1">
      <c r="A1584" s="4">
        <v>1580</v>
      </c>
      <c r="B1584" s="4">
        <v>51847</v>
      </c>
      <c r="C1584" s="4">
        <v>1</v>
      </c>
      <c r="D1584" s="6">
        <v>0</v>
      </c>
      <c r="E1584" s="6">
        <v>-99</v>
      </c>
      <c r="F1584" s="6">
        <v>-0.28000000000000003</v>
      </c>
      <c r="G1584" s="6">
        <v>0.02</v>
      </c>
      <c r="H1584" s="6">
        <v>36</v>
      </c>
    </row>
    <row r="1585" spans="1:8" ht="18.95" customHeight="1">
      <c r="A1585" s="4">
        <v>1581</v>
      </c>
      <c r="B1585" s="4">
        <v>51867</v>
      </c>
      <c r="C1585" s="4">
        <v>1</v>
      </c>
      <c r="D1585" s="6">
        <v>0</v>
      </c>
      <c r="E1585" s="6">
        <v>-98.94</v>
      </c>
      <c r="F1585" s="6">
        <v>-0.26</v>
      </c>
      <c r="G1585" s="6">
        <v>0</v>
      </c>
      <c r="H1585" s="6">
        <v>36</v>
      </c>
    </row>
    <row r="1586" spans="1:8" ht="18.95" customHeight="1">
      <c r="A1586" s="4">
        <v>1582</v>
      </c>
      <c r="B1586" s="4">
        <v>51887</v>
      </c>
      <c r="C1586" s="4">
        <v>1</v>
      </c>
      <c r="D1586" s="6">
        <v>0</v>
      </c>
      <c r="E1586" s="6">
        <v>-98.94</v>
      </c>
      <c r="F1586" s="6">
        <v>-0.23</v>
      </c>
      <c r="G1586" s="6">
        <v>0.04</v>
      </c>
      <c r="H1586" s="6">
        <v>40</v>
      </c>
    </row>
    <row r="1587" spans="1:8" ht="18.95" customHeight="1">
      <c r="A1587" s="4">
        <v>1583</v>
      </c>
      <c r="B1587" s="4">
        <v>51907</v>
      </c>
      <c r="C1587" s="4">
        <v>1</v>
      </c>
      <c r="D1587" s="6">
        <v>0</v>
      </c>
      <c r="E1587" s="6">
        <v>-98.87</v>
      </c>
      <c r="F1587" s="6">
        <v>-0.21</v>
      </c>
      <c r="G1587" s="6">
        <v>0.25</v>
      </c>
      <c r="H1587" s="6">
        <v>40</v>
      </c>
    </row>
    <row r="1588" spans="1:8" ht="18.95" customHeight="1">
      <c r="A1588" s="4">
        <v>1584</v>
      </c>
      <c r="B1588" s="4">
        <v>51927</v>
      </c>
      <c r="C1588" s="4">
        <v>1</v>
      </c>
      <c r="D1588" s="6">
        <v>0</v>
      </c>
      <c r="E1588" s="6">
        <v>-98.81</v>
      </c>
      <c r="F1588" s="6">
        <v>-0.2</v>
      </c>
      <c r="G1588" s="6">
        <v>0.19</v>
      </c>
      <c r="H1588" s="6">
        <v>40</v>
      </c>
    </row>
    <row r="1589" spans="1:8" ht="18.95" customHeight="1">
      <c r="A1589" s="4">
        <v>1585</v>
      </c>
      <c r="B1589" s="4">
        <v>51947</v>
      </c>
      <c r="C1589" s="4">
        <v>1</v>
      </c>
      <c r="D1589" s="6">
        <v>0</v>
      </c>
      <c r="E1589" s="6">
        <v>-98.75</v>
      </c>
      <c r="F1589" s="6">
        <v>-0.19</v>
      </c>
      <c r="G1589" s="6">
        <v>0.04</v>
      </c>
      <c r="H1589" s="6">
        <v>44</v>
      </c>
    </row>
    <row r="1590" spans="1:8" ht="18.95" customHeight="1">
      <c r="A1590" s="4">
        <v>1586</v>
      </c>
      <c r="B1590" s="4">
        <v>51968</v>
      </c>
      <c r="C1590" s="4">
        <v>1</v>
      </c>
      <c r="D1590" s="6">
        <v>0</v>
      </c>
      <c r="E1590" s="6">
        <v>-98.75</v>
      </c>
      <c r="F1590" s="6">
        <v>-0.15</v>
      </c>
      <c r="G1590" s="6">
        <v>-0.09</v>
      </c>
      <c r="H1590" s="6">
        <v>44</v>
      </c>
    </row>
    <row r="1591" spans="1:8" ht="18.95" customHeight="1">
      <c r="A1591" s="4">
        <v>1587</v>
      </c>
      <c r="B1591" s="4">
        <v>51988</v>
      </c>
      <c r="C1591" s="4">
        <v>1</v>
      </c>
      <c r="D1591" s="6">
        <v>0</v>
      </c>
      <c r="E1591" s="6">
        <v>-98.75</v>
      </c>
      <c r="F1591" s="6">
        <v>-0.12</v>
      </c>
      <c r="G1591" s="6">
        <v>0</v>
      </c>
      <c r="H1591" s="6">
        <v>49</v>
      </c>
    </row>
    <row r="1592" spans="1:8" ht="18.95" customHeight="1">
      <c r="A1592" s="4">
        <v>1588</v>
      </c>
      <c r="B1592" s="4">
        <v>52008</v>
      </c>
      <c r="C1592" s="4">
        <v>1</v>
      </c>
      <c r="D1592" s="6">
        <v>0</v>
      </c>
      <c r="E1592" s="6">
        <v>-98.69</v>
      </c>
      <c r="F1592" s="6">
        <v>-0.11</v>
      </c>
      <c r="G1592" s="6">
        <v>0.01</v>
      </c>
      <c r="H1592" s="6">
        <v>49</v>
      </c>
    </row>
    <row r="1593" spans="1:8" ht="18.95" customHeight="1">
      <c r="A1593" s="4">
        <v>1589</v>
      </c>
      <c r="B1593" s="4">
        <v>52028</v>
      </c>
      <c r="C1593" s="4">
        <v>1</v>
      </c>
      <c r="D1593" s="6">
        <v>0</v>
      </c>
      <c r="E1593" s="6">
        <v>-98.69</v>
      </c>
      <c r="F1593" s="6">
        <v>-0.08</v>
      </c>
      <c r="G1593" s="6">
        <v>0.16</v>
      </c>
      <c r="H1593" s="6">
        <v>49</v>
      </c>
    </row>
    <row r="1594" spans="1:8" ht="18.95" customHeight="1">
      <c r="A1594" s="4">
        <v>1590</v>
      </c>
      <c r="B1594" s="4">
        <v>52048</v>
      </c>
      <c r="C1594" s="4">
        <v>1</v>
      </c>
      <c r="D1594" s="6">
        <v>0</v>
      </c>
      <c r="E1594" s="6">
        <v>-98.69</v>
      </c>
      <c r="F1594" s="6">
        <v>-0.05</v>
      </c>
      <c r="G1594" s="6">
        <v>0.05</v>
      </c>
      <c r="H1594" s="6">
        <v>50</v>
      </c>
    </row>
    <row r="1595" spans="1:8" ht="18.95" customHeight="1">
      <c r="A1595" s="4">
        <v>1591</v>
      </c>
      <c r="B1595" s="4">
        <v>52068</v>
      </c>
      <c r="C1595" s="4">
        <v>1</v>
      </c>
      <c r="D1595" s="6">
        <v>0</v>
      </c>
      <c r="E1595" s="6">
        <v>-98.75</v>
      </c>
      <c r="F1595" s="6">
        <v>-0.04</v>
      </c>
      <c r="G1595" s="6">
        <v>0.09</v>
      </c>
      <c r="H1595" s="6">
        <v>50</v>
      </c>
    </row>
    <row r="1596" spans="1:8" ht="18.95" customHeight="1">
      <c r="A1596" s="4">
        <v>1592</v>
      </c>
      <c r="B1596" s="4">
        <v>52088</v>
      </c>
      <c r="C1596" s="4">
        <v>1</v>
      </c>
      <c r="D1596" s="6">
        <v>0</v>
      </c>
      <c r="E1596" s="6">
        <v>-98.75</v>
      </c>
      <c r="F1596" s="6">
        <v>-0.01</v>
      </c>
      <c r="G1596" s="6">
        <v>0.12</v>
      </c>
      <c r="H1596" s="6">
        <v>53</v>
      </c>
    </row>
    <row r="1597" spans="1:8" ht="18.95" customHeight="1">
      <c r="A1597" s="4">
        <v>1593</v>
      </c>
      <c r="B1597" s="4">
        <v>52108</v>
      </c>
      <c r="C1597" s="4">
        <v>1</v>
      </c>
      <c r="D1597" s="6">
        <v>0</v>
      </c>
      <c r="E1597" s="6">
        <v>-98.75</v>
      </c>
      <c r="F1597" s="6">
        <v>0</v>
      </c>
      <c r="G1597" s="6">
        <v>0.19</v>
      </c>
      <c r="H1597" s="6">
        <v>53</v>
      </c>
    </row>
    <row r="1598" spans="1:8" ht="18.95" customHeight="1">
      <c r="A1598" s="4">
        <v>1594</v>
      </c>
      <c r="B1598" s="4">
        <v>52128</v>
      </c>
      <c r="C1598" s="4">
        <v>1</v>
      </c>
      <c r="D1598" s="6">
        <v>0</v>
      </c>
      <c r="E1598" s="6">
        <v>-98.75</v>
      </c>
      <c r="F1598" s="6">
        <v>0.03</v>
      </c>
      <c r="G1598" s="6">
        <v>7.0000000000000007E-2</v>
      </c>
      <c r="H1598" s="6">
        <v>53</v>
      </c>
    </row>
    <row r="1599" spans="1:8" ht="18.95" customHeight="1">
      <c r="A1599" s="4">
        <v>1595</v>
      </c>
      <c r="B1599" s="4">
        <v>52148</v>
      </c>
      <c r="C1599" s="4">
        <v>1</v>
      </c>
      <c r="D1599" s="6">
        <v>0</v>
      </c>
      <c r="E1599" s="6">
        <v>-98.75</v>
      </c>
      <c r="F1599" s="6">
        <v>0.04</v>
      </c>
      <c r="G1599" s="6">
        <v>0.22</v>
      </c>
      <c r="H1599" s="6">
        <v>60</v>
      </c>
    </row>
    <row r="1600" spans="1:8" ht="18.95" customHeight="1">
      <c r="A1600" s="4">
        <v>1596</v>
      </c>
      <c r="B1600" s="4">
        <v>52168</v>
      </c>
      <c r="C1600" s="4">
        <v>1</v>
      </c>
      <c r="D1600" s="6">
        <v>0</v>
      </c>
      <c r="E1600" s="6">
        <v>-98.81</v>
      </c>
      <c r="F1600" s="6">
        <v>0.06</v>
      </c>
      <c r="G1600" s="6">
        <v>0.14000000000000001</v>
      </c>
      <c r="H1600" s="6">
        <v>60</v>
      </c>
    </row>
    <row r="1601" spans="1:8" ht="18.95" customHeight="1">
      <c r="A1601" s="4">
        <v>1597</v>
      </c>
      <c r="B1601" s="4">
        <v>52188</v>
      </c>
      <c r="C1601" s="4">
        <v>1</v>
      </c>
      <c r="D1601" s="6">
        <v>0</v>
      </c>
      <c r="E1601" s="6">
        <v>-98.81</v>
      </c>
      <c r="F1601" s="6">
        <v>0.08</v>
      </c>
      <c r="G1601" s="6">
        <v>0.08</v>
      </c>
      <c r="H1601" s="6">
        <v>62</v>
      </c>
    </row>
    <row r="1602" spans="1:8" ht="18.95" customHeight="1">
      <c r="A1602" s="4">
        <v>1598</v>
      </c>
      <c r="B1602" s="4">
        <v>52208</v>
      </c>
      <c r="C1602" s="4">
        <v>1</v>
      </c>
      <c r="D1602" s="6">
        <v>0</v>
      </c>
      <c r="E1602" s="6">
        <v>-98.87</v>
      </c>
      <c r="F1602" s="6">
        <v>0.1</v>
      </c>
      <c r="G1602" s="6">
        <v>0.13</v>
      </c>
      <c r="H1602" s="6">
        <v>62</v>
      </c>
    </row>
    <row r="1603" spans="1:8" ht="18.95" customHeight="1">
      <c r="A1603" s="4">
        <v>1599</v>
      </c>
      <c r="B1603" s="4">
        <v>52228</v>
      </c>
      <c r="C1603" s="4">
        <v>1</v>
      </c>
      <c r="D1603" s="6">
        <v>0</v>
      </c>
      <c r="E1603" s="6">
        <v>-98.87</v>
      </c>
      <c r="F1603" s="6">
        <v>0.12</v>
      </c>
      <c r="G1603" s="6">
        <v>-0.19</v>
      </c>
      <c r="H1603" s="6">
        <v>62</v>
      </c>
    </row>
    <row r="1604" spans="1:8" ht="18.95" customHeight="1">
      <c r="A1604" s="4">
        <v>1600</v>
      </c>
      <c r="B1604" s="4">
        <v>52248</v>
      </c>
      <c r="C1604" s="4">
        <v>1</v>
      </c>
      <c r="D1604" s="6">
        <v>0</v>
      </c>
      <c r="E1604" s="6">
        <v>-98.94</v>
      </c>
      <c r="F1604" s="6">
        <v>0.14000000000000001</v>
      </c>
      <c r="G1604" s="6">
        <v>-7.0000000000000007E-2</v>
      </c>
      <c r="H1604" s="6">
        <v>63</v>
      </c>
    </row>
    <row r="1605" spans="1:8" ht="18.95" customHeight="1">
      <c r="A1605" s="4">
        <v>1601</v>
      </c>
      <c r="B1605" s="4">
        <v>52268</v>
      </c>
      <c r="C1605" s="4">
        <v>1</v>
      </c>
      <c r="D1605" s="6">
        <v>0</v>
      </c>
      <c r="E1605" s="6">
        <v>-99</v>
      </c>
      <c r="F1605" s="6">
        <v>0.15</v>
      </c>
      <c r="G1605" s="6">
        <v>0.06</v>
      </c>
      <c r="H1605" s="6">
        <v>63</v>
      </c>
    </row>
    <row r="1606" spans="1:8" ht="18.95" customHeight="1">
      <c r="A1606" s="4">
        <v>1602</v>
      </c>
      <c r="B1606" s="4">
        <v>52288</v>
      </c>
      <c r="C1606" s="4">
        <v>1</v>
      </c>
      <c r="D1606" s="6">
        <v>0</v>
      </c>
      <c r="E1606" s="6">
        <v>-99.06</v>
      </c>
      <c r="F1606" s="6">
        <v>0.17</v>
      </c>
      <c r="G1606" s="6">
        <v>0.18</v>
      </c>
      <c r="H1606" s="6">
        <v>67</v>
      </c>
    </row>
    <row r="1607" spans="1:8" ht="18.95" customHeight="1">
      <c r="A1607" s="4">
        <v>1603</v>
      </c>
      <c r="B1607" s="4">
        <v>52308</v>
      </c>
      <c r="C1607" s="4">
        <v>1</v>
      </c>
      <c r="D1607" s="6">
        <v>0</v>
      </c>
      <c r="E1607" s="6">
        <v>-99.12</v>
      </c>
      <c r="F1607" s="6">
        <v>0.21</v>
      </c>
      <c r="G1607" s="6">
        <v>0.28999999999999998</v>
      </c>
      <c r="H1607" s="6">
        <v>67</v>
      </c>
    </row>
    <row r="1608" spans="1:8" ht="18.95" customHeight="1">
      <c r="A1608" s="4">
        <v>1604</v>
      </c>
      <c r="B1608" s="4">
        <v>52328</v>
      </c>
      <c r="C1608" s="4">
        <v>1</v>
      </c>
      <c r="D1608" s="6">
        <v>0</v>
      </c>
      <c r="E1608" s="6">
        <v>-99.19</v>
      </c>
      <c r="F1608" s="6">
        <v>0.23</v>
      </c>
      <c r="G1608" s="6">
        <v>0.17</v>
      </c>
      <c r="H1608" s="6">
        <v>67</v>
      </c>
    </row>
    <row r="1609" spans="1:8" ht="18.95" customHeight="1">
      <c r="A1609" s="4">
        <v>1605</v>
      </c>
      <c r="B1609" s="4">
        <v>52348</v>
      </c>
      <c r="C1609" s="4">
        <v>1</v>
      </c>
      <c r="D1609" s="6">
        <v>0</v>
      </c>
      <c r="E1609" s="6">
        <v>-99.25</v>
      </c>
      <c r="F1609" s="6">
        <v>0.25</v>
      </c>
      <c r="G1609" s="6">
        <v>-0.04</v>
      </c>
      <c r="H1609" s="6">
        <v>69</v>
      </c>
    </row>
    <row r="1610" spans="1:8" ht="18.95" customHeight="1">
      <c r="A1610" s="4">
        <v>1606</v>
      </c>
      <c r="B1610" s="4">
        <v>52368</v>
      </c>
      <c r="C1610" s="4">
        <v>1</v>
      </c>
      <c r="D1610" s="6">
        <v>0</v>
      </c>
      <c r="E1610" s="6">
        <v>-99.37</v>
      </c>
      <c r="F1610" s="6">
        <v>0.26</v>
      </c>
      <c r="G1610" s="6">
        <v>-0.01</v>
      </c>
      <c r="H1610" s="6">
        <v>69</v>
      </c>
    </row>
    <row r="1611" spans="1:8" ht="18.95" customHeight="1">
      <c r="A1611" s="4">
        <v>1607</v>
      </c>
      <c r="B1611" s="4">
        <v>52388</v>
      </c>
      <c r="C1611" s="4">
        <v>1</v>
      </c>
      <c r="D1611" s="6">
        <v>0</v>
      </c>
      <c r="E1611" s="6">
        <v>-99.5</v>
      </c>
      <c r="F1611" s="6">
        <v>0.28999999999999998</v>
      </c>
      <c r="G1611" s="6">
        <v>-0.13</v>
      </c>
      <c r="H1611" s="6">
        <v>72</v>
      </c>
    </row>
    <row r="1612" spans="1:8" ht="18.95" customHeight="1">
      <c r="A1612" s="4">
        <v>1608</v>
      </c>
      <c r="B1612" s="4">
        <v>52408</v>
      </c>
      <c r="C1612" s="4">
        <v>1</v>
      </c>
      <c r="D1612" s="6">
        <v>0</v>
      </c>
      <c r="E1612" s="6">
        <v>-99.62</v>
      </c>
      <c r="F1612" s="6">
        <v>0.3</v>
      </c>
      <c r="G1612" s="6">
        <v>-0.05</v>
      </c>
      <c r="H1612" s="6">
        <v>72</v>
      </c>
    </row>
    <row r="1613" spans="1:8" ht="18.95" customHeight="1">
      <c r="A1613" s="4">
        <v>1609</v>
      </c>
      <c r="B1613" s="4">
        <v>52428</v>
      </c>
      <c r="C1613" s="4">
        <v>1</v>
      </c>
      <c r="D1613" s="6">
        <v>0</v>
      </c>
      <c r="E1613" s="6">
        <v>-99.75</v>
      </c>
      <c r="F1613" s="6">
        <v>0.32</v>
      </c>
      <c r="G1613" s="6">
        <v>0.03</v>
      </c>
      <c r="H1613" s="6">
        <v>72</v>
      </c>
    </row>
    <row r="1614" spans="1:8" ht="18.95" customHeight="1">
      <c r="A1614" s="4">
        <v>1610</v>
      </c>
      <c r="B1614" s="4">
        <v>52448</v>
      </c>
      <c r="C1614" s="4">
        <v>1</v>
      </c>
      <c r="D1614" s="6">
        <v>0</v>
      </c>
      <c r="E1614" s="6">
        <v>-99.94</v>
      </c>
      <c r="F1614" s="6">
        <v>0.33</v>
      </c>
      <c r="G1614" s="6">
        <v>0.19</v>
      </c>
      <c r="H1614" s="6">
        <v>76</v>
      </c>
    </row>
    <row r="1615" spans="1:8" ht="18.95" customHeight="1">
      <c r="A1615" s="4">
        <v>1611</v>
      </c>
      <c r="B1615" s="4">
        <v>52468</v>
      </c>
      <c r="C1615" s="4">
        <v>1</v>
      </c>
      <c r="D1615" s="6">
        <v>0</v>
      </c>
      <c r="E1615" s="6">
        <v>-100.06</v>
      </c>
      <c r="F1615" s="6">
        <v>0.34</v>
      </c>
      <c r="G1615" s="6">
        <v>-0.02</v>
      </c>
      <c r="H1615" s="6">
        <v>76</v>
      </c>
    </row>
    <row r="1616" spans="1:8" ht="18.95" customHeight="1">
      <c r="A1616" s="4">
        <v>1612</v>
      </c>
      <c r="B1616" s="4">
        <v>52488</v>
      </c>
      <c r="C1616" s="4">
        <v>1</v>
      </c>
      <c r="D1616" s="6">
        <v>0</v>
      </c>
      <c r="E1616" s="6">
        <v>-100.25</v>
      </c>
      <c r="F1616" s="6">
        <v>0.37</v>
      </c>
      <c r="G1616" s="6">
        <v>-0.09</v>
      </c>
      <c r="H1616" s="6">
        <v>77</v>
      </c>
    </row>
    <row r="1617" spans="1:8" ht="18.95" customHeight="1">
      <c r="A1617" s="4">
        <v>1613</v>
      </c>
      <c r="B1617" s="4">
        <v>52508</v>
      </c>
      <c r="C1617" s="4">
        <v>1</v>
      </c>
      <c r="D1617" s="6">
        <v>0</v>
      </c>
      <c r="E1617" s="6">
        <v>-100.44</v>
      </c>
      <c r="F1617" s="6">
        <v>0.39</v>
      </c>
      <c r="G1617" s="6">
        <v>-0.02</v>
      </c>
      <c r="H1617" s="6">
        <v>77</v>
      </c>
    </row>
    <row r="1618" spans="1:8" ht="18.95" customHeight="1">
      <c r="A1618" s="4">
        <v>1614</v>
      </c>
      <c r="B1618" s="4">
        <v>52528</v>
      </c>
      <c r="C1618" s="4">
        <v>1</v>
      </c>
      <c r="D1618" s="6">
        <v>0</v>
      </c>
      <c r="E1618" s="6">
        <v>-100.62</v>
      </c>
      <c r="F1618" s="6">
        <v>0.41</v>
      </c>
      <c r="G1618" s="6">
        <v>0.26</v>
      </c>
      <c r="H1618" s="6">
        <v>77</v>
      </c>
    </row>
    <row r="1619" spans="1:8" ht="18.95" customHeight="1">
      <c r="A1619" s="4">
        <v>1615</v>
      </c>
      <c r="B1619" s="4">
        <v>52548</v>
      </c>
      <c r="C1619" s="4">
        <v>1</v>
      </c>
      <c r="D1619" s="6">
        <v>0</v>
      </c>
      <c r="E1619" s="6">
        <v>-100.87</v>
      </c>
      <c r="F1619" s="6">
        <v>0.4</v>
      </c>
      <c r="G1619" s="6">
        <v>-0.1</v>
      </c>
      <c r="H1619" s="6">
        <v>80</v>
      </c>
    </row>
    <row r="1620" spans="1:8" ht="18.95" customHeight="1">
      <c r="A1620" s="4">
        <v>1616</v>
      </c>
      <c r="B1620" s="4">
        <v>52568</v>
      </c>
      <c r="C1620" s="4">
        <v>1</v>
      </c>
      <c r="D1620" s="6">
        <v>0</v>
      </c>
      <c r="E1620" s="6">
        <v>-101.06</v>
      </c>
      <c r="F1620" s="6">
        <v>0.45</v>
      </c>
      <c r="G1620" s="6">
        <v>0.06</v>
      </c>
      <c r="H1620" s="6">
        <v>80</v>
      </c>
    </row>
    <row r="1621" spans="1:8" ht="18.95" customHeight="1">
      <c r="A1621" s="4">
        <v>1617</v>
      </c>
      <c r="B1621" s="4">
        <v>52588</v>
      </c>
      <c r="C1621" s="4">
        <v>1</v>
      </c>
      <c r="D1621" s="6">
        <v>0</v>
      </c>
      <c r="E1621" s="6">
        <v>-101.37</v>
      </c>
      <c r="F1621" s="6">
        <v>0.46</v>
      </c>
      <c r="G1621" s="6">
        <v>-0.11</v>
      </c>
      <c r="H1621" s="6">
        <v>78</v>
      </c>
    </row>
    <row r="1622" spans="1:8" ht="18.95" customHeight="1">
      <c r="A1622" s="4">
        <v>1618</v>
      </c>
      <c r="B1622" s="4">
        <v>52608</v>
      </c>
      <c r="C1622" s="4">
        <v>1</v>
      </c>
      <c r="D1622" s="6">
        <v>0</v>
      </c>
      <c r="E1622" s="6">
        <v>-101.62</v>
      </c>
      <c r="F1622" s="6">
        <v>0.45</v>
      </c>
      <c r="G1622" s="6">
        <v>0.08</v>
      </c>
      <c r="H1622" s="6">
        <v>78</v>
      </c>
    </row>
    <row r="1623" spans="1:8" ht="18.95" customHeight="1">
      <c r="A1623" s="4">
        <v>1619</v>
      </c>
      <c r="B1623" s="4">
        <v>52628</v>
      </c>
      <c r="C1623" s="4">
        <v>1</v>
      </c>
      <c r="D1623" s="6">
        <v>0</v>
      </c>
      <c r="E1623" s="6">
        <v>-101.94</v>
      </c>
      <c r="F1623" s="6">
        <v>0.44</v>
      </c>
      <c r="G1623" s="6">
        <v>-7.0000000000000007E-2</v>
      </c>
      <c r="H1623" s="6">
        <v>78</v>
      </c>
    </row>
    <row r="1624" spans="1:8" ht="18.95" customHeight="1">
      <c r="A1624" s="4">
        <v>1620</v>
      </c>
      <c r="B1624" s="4">
        <v>52648</v>
      </c>
      <c r="C1624" s="4">
        <v>1</v>
      </c>
      <c r="D1624" s="6">
        <v>0</v>
      </c>
      <c r="E1624" s="6">
        <v>-102.25</v>
      </c>
      <c r="F1624" s="6">
        <v>0.45</v>
      </c>
      <c r="G1624" s="6">
        <v>-0.11</v>
      </c>
      <c r="H1624" s="6">
        <v>82</v>
      </c>
    </row>
    <row r="1625" spans="1:8" ht="18.95" customHeight="1">
      <c r="A1625" s="4">
        <v>1621</v>
      </c>
      <c r="B1625" s="4">
        <v>52668</v>
      </c>
      <c r="C1625" s="4">
        <v>1</v>
      </c>
      <c r="D1625" s="6">
        <v>0</v>
      </c>
      <c r="E1625" s="6">
        <v>-102.56</v>
      </c>
      <c r="F1625" s="6">
        <v>0.45</v>
      </c>
      <c r="G1625" s="6">
        <v>0.01</v>
      </c>
      <c r="H1625" s="6">
        <v>82</v>
      </c>
    </row>
    <row r="1626" spans="1:8" ht="18.95" customHeight="1">
      <c r="A1626" s="4">
        <v>1622</v>
      </c>
      <c r="B1626" s="4">
        <v>52688</v>
      </c>
      <c r="C1626" s="4">
        <v>1</v>
      </c>
      <c r="D1626" s="6">
        <v>0</v>
      </c>
      <c r="E1626" s="6">
        <v>-102.87</v>
      </c>
      <c r="F1626" s="6">
        <v>0.49</v>
      </c>
      <c r="G1626" s="6">
        <v>-0.01</v>
      </c>
      <c r="H1626" s="6">
        <v>81</v>
      </c>
    </row>
    <row r="1627" spans="1:8" ht="18.95" customHeight="1">
      <c r="A1627" s="4">
        <v>1623</v>
      </c>
      <c r="B1627" s="4">
        <v>52708</v>
      </c>
      <c r="C1627" s="4">
        <v>1</v>
      </c>
      <c r="D1627" s="6">
        <v>0</v>
      </c>
      <c r="E1627" s="6">
        <v>-103.25</v>
      </c>
      <c r="F1627" s="6">
        <v>0.48</v>
      </c>
      <c r="G1627" s="6">
        <v>0.11</v>
      </c>
      <c r="H1627" s="6">
        <v>81</v>
      </c>
    </row>
    <row r="1628" spans="1:8" ht="18.95" customHeight="1">
      <c r="A1628" s="4">
        <v>1624</v>
      </c>
      <c r="B1628" s="4">
        <v>52728</v>
      </c>
      <c r="C1628" s="4">
        <v>1</v>
      </c>
      <c r="D1628" s="6">
        <v>0</v>
      </c>
      <c r="E1628" s="6">
        <v>-103.69</v>
      </c>
      <c r="F1628" s="6">
        <v>0.5</v>
      </c>
      <c r="G1628" s="6">
        <v>-0.11</v>
      </c>
      <c r="H1628" s="6">
        <v>81</v>
      </c>
    </row>
    <row r="1629" spans="1:8" ht="18.95" customHeight="1">
      <c r="A1629" s="4">
        <v>1625</v>
      </c>
      <c r="B1629" s="4">
        <v>52748</v>
      </c>
      <c r="C1629" s="4">
        <v>1</v>
      </c>
      <c r="D1629" s="6">
        <v>0</v>
      </c>
      <c r="E1629" s="6">
        <v>-104.12</v>
      </c>
      <c r="F1629" s="6">
        <v>0.51</v>
      </c>
      <c r="G1629" s="6">
        <v>0.08</v>
      </c>
      <c r="H1629" s="6">
        <v>83</v>
      </c>
    </row>
    <row r="1630" spans="1:8" ht="18.95" customHeight="1">
      <c r="A1630" s="4">
        <v>1626</v>
      </c>
      <c r="B1630" s="4">
        <v>52768</v>
      </c>
      <c r="C1630" s="4">
        <v>1</v>
      </c>
      <c r="D1630" s="6">
        <v>0</v>
      </c>
      <c r="E1630" s="6">
        <v>-104.62</v>
      </c>
      <c r="F1630" s="6">
        <v>0.52</v>
      </c>
      <c r="G1630" s="6">
        <v>0</v>
      </c>
      <c r="H1630" s="6">
        <v>83</v>
      </c>
    </row>
    <row r="1631" spans="1:8" ht="18.95" customHeight="1">
      <c r="A1631" s="4">
        <v>1627</v>
      </c>
      <c r="B1631" s="4">
        <v>52789</v>
      </c>
      <c r="C1631" s="4">
        <v>1</v>
      </c>
      <c r="D1631" s="6">
        <v>0</v>
      </c>
      <c r="E1631" s="6">
        <v>-105.19</v>
      </c>
      <c r="F1631" s="6">
        <v>0.56000000000000005</v>
      </c>
      <c r="G1631" s="6">
        <v>-7.0000000000000007E-2</v>
      </c>
      <c r="H1631" s="6">
        <v>84</v>
      </c>
    </row>
    <row r="1632" spans="1:8" ht="18.95" customHeight="1">
      <c r="A1632" s="4">
        <v>1628</v>
      </c>
      <c r="B1632" s="4">
        <v>52809</v>
      </c>
      <c r="C1632" s="4">
        <v>1</v>
      </c>
      <c r="D1632" s="6">
        <v>0</v>
      </c>
      <c r="E1632" s="6">
        <v>-105.75</v>
      </c>
      <c r="F1632" s="6">
        <v>0.52</v>
      </c>
      <c r="G1632" s="6">
        <v>-0.01</v>
      </c>
      <c r="H1632" s="6">
        <v>84</v>
      </c>
    </row>
    <row r="1633" spans="1:8" ht="18.95" customHeight="1">
      <c r="A1633" s="4">
        <v>1629</v>
      </c>
      <c r="B1633" s="4">
        <v>52829</v>
      </c>
      <c r="C1633" s="4">
        <v>1</v>
      </c>
      <c r="D1633" s="6">
        <v>0</v>
      </c>
      <c r="E1633" s="6">
        <v>-106.37</v>
      </c>
      <c r="F1633" s="6">
        <v>0.55000000000000004</v>
      </c>
      <c r="G1633" s="6">
        <v>-0.02</v>
      </c>
      <c r="H1633" s="6">
        <v>84</v>
      </c>
    </row>
    <row r="1634" spans="1:8" ht="18.95" customHeight="1">
      <c r="A1634" s="4">
        <v>1630</v>
      </c>
      <c r="B1634" s="4">
        <v>52849</v>
      </c>
      <c r="C1634" s="4">
        <v>1</v>
      </c>
      <c r="D1634" s="6">
        <v>0</v>
      </c>
      <c r="E1634" s="6">
        <v>-107.06</v>
      </c>
      <c r="F1634" s="6">
        <v>0.56999999999999995</v>
      </c>
      <c r="G1634" s="6">
        <v>0</v>
      </c>
      <c r="H1634" s="6">
        <v>82</v>
      </c>
    </row>
    <row r="1635" spans="1:8" ht="18.95" customHeight="1">
      <c r="A1635" s="4">
        <v>1631</v>
      </c>
      <c r="B1635" s="4">
        <v>52869</v>
      </c>
      <c r="C1635" s="4">
        <v>1</v>
      </c>
      <c r="D1635" s="6">
        <v>0</v>
      </c>
      <c r="E1635" s="6">
        <v>-107.81</v>
      </c>
      <c r="F1635" s="6">
        <v>0.59</v>
      </c>
      <c r="G1635" s="6">
        <v>0.01</v>
      </c>
      <c r="H1635" s="6">
        <v>82</v>
      </c>
    </row>
    <row r="1636" spans="1:8" ht="18.95" customHeight="1">
      <c r="A1636" s="4">
        <v>1632</v>
      </c>
      <c r="B1636" s="4">
        <v>52889</v>
      </c>
      <c r="C1636" s="4">
        <v>1</v>
      </c>
      <c r="D1636" s="6">
        <v>0</v>
      </c>
      <c r="E1636" s="6">
        <v>-108.69</v>
      </c>
      <c r="F1636" s="6">
        <v>0.57999999999999996</v>
      </c>
      <c r="G1636" s="6">
        <v>0.28000000000000003</v>
      </c>
      <c r="H1636" s="6">
        <v>85</v>
      </c>
    </row>
    <row r="1637" spans="1:8" ht="18.95" customHeight="1">
      <c r="A1637" s="4">
        <v>1633</v>
      </c>
      <c r="B1637" s="4">
        <v>52909</v>
      </c>
      <c r="C1637" s="4">
        <v>1</v>
      </c>
      <c r="D1637" s="6">
        <v>0</v>
      </c>
      <c r="E1637" s="6">
        <v>-109.5</v>
      </c>
      <c r="F1637" s="6">
        <v>0.59</v>
      </c>
      <c r="G1637" s="6">
        <v>7.0000000000000007E-2</v>
      </c>
      <c r="H1637" s="6">
        <v>85</v>
      </c>
    </row>
    <row r="1638" spans="1:8" ht="18.95" customHeight="1">
      <c r="A1638" s="4">
        <v>1634</v>
      </c>
      <c r="B1638" s="4">
        <v>52929</v>
      </c>
      <c r="C1638" s="4">
        <v>1</v>
      </c>
      <c r="D1638" s="6">
        <v>0</v>
      </c>
      <c r="E1638" s="6">
        <v>-110.44</v>
      </c>
      <c r="F1638" s="6">
        <v>0.61</v>
      </c>
      <c r="G1638" s="6">
        <v>-0.12</v>
      </c>
      <c r="H1638" s="6">
        <v>85</v>
      </c>
    </row>
    <row r="1639" spans="1:8" ht="18.95" customHeight="1">
      <c r="A1639" s="4">
        <v>1635</v>
      </c>
      <c r="B1639" s="4">
        <v>52950</v>
      </c>
      <c r="C1639" s="4">
        <v>1</v>
      </c>
      <c r="D1639" s="6">
        <v>0</v>
      </c>
      <c r="E1639" s="6">
        <v>-111.56</v>
      </c>
      <c r="F1639" s="6">
        <v>0.59</v>
      </c>
      <c r="G1639" s="6">
        <v>-0.22</v>
      </c>
      <c r="H1639" s="6">
        <v>83</v>
      </c>
    </row>
    <row r="1640" spans="1:8" ht="18.95" customHeight="1">
      <c r="A1640" s="4">
        <v>1636</v>
      </c>
      <c r="B1640" s="4">
        <v>52970</v>
      </c>
      <c r="C1640" s="4">
        <v>1</v>
      </c>
      <c r="D1640" s="6">
        <v>0</v>
      </c>
      <c r="E1640" s="6">
        <v>-112.75</v>
      </c>
      <c r="F1640" s="6">
        <v>0.59</v>
      </c>
      <c r="G1640" s="6">
        <v>-0.09</v>
      </c>
      <c r="H1640" s="6">
        <v>83</v>
      </c>
    </row>
    <row r="1641" spans="1:8" ht="18.95" customHeight="1">
      <c r="A1641" s="4">
        <v>1637</v>
      </c>
      <c r="B1641" s="4">
        <v>52990</v>
      </c>
      <c r="C1641" s="4">
        <v>1</v>
      </c>
      <c r="D1641" s="6">
        <v>0</v>
      </c>
      <c r="E1641" s="6">
        <v>-114</v>
      </c>
      <c r="F1641" s="6">
        <v>0.57999999999999996</v>
      </c>
      <c r="G1641" s="6">
        <v>0.09</v>
      </c>
      <c r="H1641" s="6">
        <v>86</v>
      </c>
    </row>
    <row r="1642" spans="1:8" ht="18.95" customHeight="1">
      <c r="A1642" s="4">
        <v>1638</v>
      </c>
      <c r="B1642" s="4">
        <v>53010</v>
      </c>
      <c r="C1642" s="4">
        <v>1</v>
      </c>
      <c r="D1642" s="6">
        <v>0</v>
      </c>
      <c r="E1642" s="6">
        <v>-115.44</v>
      </c>
      <c r="F1642" s="6">
        <v>0.57999999999999996</v>
      </c>
      <c r="G1642" s="6">
        <v>-0.03</v>
      </c>
      <c r="H1642" s="6">
        <v>86</v>
      </c>
    </row>
    <row r="1643" spans="1:8" ht="18.95" customHeight="1">
      <c r="A1643" s="4">
        <v>1639</v>
      </c>
      <c r="B1643" s="4">
        <v>53030</v>
      </c>
      <c r="C1643" s="4">
        <v>1</v>
      </c>
      <c r="D1643" s="6">
        <v>0</v>
      </c>
      <c r="E1643" s="6">
        <v>-117.06</v>
      </c>
      <c r="F1643" s="6">
        <v>0.57999999999999996</v>
      </c>
      <c r="G1643" s="6">
        <v>0.05</v>
      </c>
      <c r="H1643" s="6">
        <v>86</v>
      </c>
    </row>
    <row r="1644" spans="1:8" ht="18.95" customHeight="1">
      <c r="A1644" s="4">
        <v>1640</v>
      </c>
      <c r="B1644" s="4">
        <v>53050</v>
      </c>
      <c r="C1644" s="4">
        <v>1</v>
      </c>
      <c r="D1644" s="6">
        <v>0</v>
      </c>
      <c r="E1644" s="6">
        <v>-118.94</v>
      </c>
      <c r="F1644" s="6">
        <v>0.55000000000000004</v>
      </c>
      <c r="G1644" s="6">
        <v>0.09</v>
      </c>
      <c r="H1644" s="6">
        <v>81</v>
      </c>
    </row>
    <row r="1645" spans="1:8" ht="18.95" customHeight="1">
      <c r="A1645" s="4">
        <v>1641</v>
      </c>
      <c r="B1645" s="4">
        <v>53070</v>
      </c>
      <c r="C1645" s="4">
        <v>1</v>
      </c>
      <c r="D1645" s="6">
        <v>0</v>
      </c>
      <c r="E1645" s="6">
        <v>-120.87</v>
      </c>
      <c r="F1645" s="6">
        <v>0.55000000000000004</v>
      </c>
      <c r="G1645" s="6">
        <v>-0.1</v>
      </c>
      <c r="H1645" s="6">
        <v>81</v>
      </c>
    </row>
    <row r="1646" spans="1:8" ht="18.95" customHeight="1">
      <c r="A1646" s="4">
        <v>1642</v>
      </c>
      <c r="B1646" s="4">
        <v>53090</v>
      </c>
      <c r="C1646" s="4">
        <v>1</v>
      </c>
      <c r="D1646" s="6">
        <v>0</v>
      </c>
      <c r="E1646" s="6">
        <v>-123.12</v>
      </c>
      <c r="F1646" s="6">
        <v>0.55000000000000004</v>
      </c>
      <c r="G1646" s="6">
        <v>0.28000000000000003</v>
      </c>
      <c r="H1646" s="6">
        <v>82</v>
      </c>
    </row>
    <row r="1647" spans="1:8" ht="18.95" customHeight="1">
      <c r="A1647" s="4">
        <v>1643</v>
      </c>
      <c r="B1647" s="4">
        <v>53110</v>
      </c>
      <c r="C1647" s="4">
        <v>1</v>
      </c>
      <c r="D1647" s="6">
        <v>0</v>
      </c>
      <c r="E1647" s="6">
        <v>-125.69</v>
      </c>
      <c r="F1647" s="6">
        <v>0.54</v>
      </c>
      <c r="G1647" s="6">
        <v>-0.27</v>
      </c>
      <c r="H1647" s="6">
        <v>82</v>
      </c>
    </row>
    <row r="1648" spans="1:8" ht="18.95" customHeight="1">
      <c r="A1648" s="4">
        <v>1644</v>
      </c>
      <c r="B1648" s="4">
        <v>53130</v>
      </c>
      <c r="C1648" s="4">
        <v>1</v>
      </c>
      <c r="D1648" s="6">
        <v>0</v>
      </c>
      <c r="E1648" s="6">
        <v>-174.81</v>
      </c>
      <c r="F1648" s="6">
        <v>0.5</v>
      </c>
      <c r="G1648" s="6">
        <v>-0.08</v>
      </c>
      <c r="H1648" s="6">
        <v>82</v>
      </c>
    </row>
    <row r="1649" spans="1:8" ht="18.95" customHeight="1">
      <c r="A1649" s="4">
        <v>1645</v>
      </c>
      <c r="B1649" s="4">
        <v>53150</v>
      </c>
      <c r="C1649" s="4">
        <v>1</v>
      </c>
      <c r="D1649" s="6">
        <v>0</v>
      </c>
      <c r="E1649" s="6">
        <v>-175.31</v>
      </c>
      <c r="F1649" s="6">
        <v>0.48</v>
      </c>
      <c r="G1649" s="6">
        <v>-0.04</v>
      </c>
      <c r="H1649" s="6">
        <v>80</v>
      </c>
    </row>
    <row r="1650" spans="1:8" ht="18.95" customHeight="1">
      <c r="A1650" s="4">
        <v>1646</v>
      </c>
      <c r="B1650" s="4">
        <v>53170</v>
      </c>
      <c r="C1650" s="4">
        <v>1</v>
      </c>
      <c r="D1650" s="6">
        <v>0</v>
      </c>
      <c r="E1650" s="6">
        <v>-175.88</v>
      </c>
      <c r="F1650" s="6">
        <v>0.48</v>
      </c>
      <c r="G1650" s="6">
        <v>0.03</v>
      </c>
      <c r="H1650" s="6">
        <v>80</v>
      </c>
    </row>
    <row r="1651" spans="1:8" ht="18.95" customHeight="1">
      <c r="A1651" s="4">
        <v>1647</v>
      </c>
      <c r="B1651" s="4">
        <v>53190</v>
      </c>
      <c r="C1651" s="4">
        <v>1</v>
      </c>
      <c r="D1651" s="6">
        <v>0</v>
      </c>
      <c r="E1651" s="6">
        <v>-176.38</v>
      </c>
      <c r="F1651" s="6">
        <v>0.44</v>
      </c>
      <c r="G1651" s="6">
        <v>0.15</v>
      </c>
      <c r="H1651" s="6">
        <v>78</v>
      </c>
    </row>
    <row r="1652" spans="1:8" ht="18.95" customHeight="1">
      <c r="A1652" s="4">
        <v>1648</v>
      </c>
      <c r="B1652" s="4">
        <v>53210</v>
      </c>
      <c r="C1652" s="4">
        <v>1</v>
      </c>
      <c r="D1652" s="6">
        <v>0</v>
      </c>
      <c r="E1652" s="6">
        <v>-176.88</v>
      </c>
      <c r="F1652" s="6">
        <v>0.42</v>
      </c>
      <c r="G1652" s="6">
        <v>0</v>
      </c>
      <c r="H1652" s="6">
        <v>78</v>
      </c>
    </row>
    <row r="1653" spans="1:8" ht="18.95" customHeight="1">
      <c r="A1653" s="4">
        <v>1649</v>
      </c>
      <c r="B1653" s="4">
        <v>53230</v>
      </c>
      <c r="C1653" s="4">
        <v>1</v>
      </c>
      <c r="D1653" s="6">
        <v>0</v>
      </c>
      <c r="E1653" s="6">
        <v>-177.31</v>
      </c>
      <c r="F1653" s="6">
        <v>0.39</v>
      </c>
      <c r="G1653" s="6">
        <v>-0.05</v>
      </c>
      <c r="H1653" s="6">
        <v>78</v>
      </c>
    </row>
    <row r="1654" spans="1:8" ht="18.95" customHeight="1">
      <c r="A1654" s="4">
        <v>1650</v>
      </c>
      <c r="B1654" s="4">
        <v>53250</v>
      </c>
      <c r="C1654" s="4">
        <v>1</v>
      </c>
      <c r="D1654" s="6">
        <v>0</v>
      </c>
      <c r="E1654" s="6">
        <v>-177.75</v>
      </c>
      <c r="F1654" s="6">
        <v>0.38</v>
      </c>
      <c r="G1654" s="6">
        <v>0.01</v>
      </c>
      <c r="H1654" s="6">
        <v>76</v>
      </c>
    </row>
    <row r="1655" spans="1:8" ht="18.95" customHeight="1">
      <c r="A1655" s="4">
        <v>1651</v>
      </c>
      <c r="B1655" s="4">
        <v>53270</v>
      </c>
      <c r="C1655" s="4">
        <v>1</v>
      </c>
      <c r="D1655" s="6">
        <v>0</v>
      </c>
      <c r="E1655" s="6">
        <v>-178.19</v>
      </c>
      <c r="F1655" s="6">
        <v>0.36</v>
      </c>
      <c r="G1655" s="6">
        <v>0.06</v>
      </c>
      <c r="H1655" s="6">
        <v>76</v>
      </c>
    </row>
    <row r="1656" spans="1:8" ht="18.95" customHeight="1">
      <c r="A1656" s="4">
        <v>1652</v>
      </c>
      <c r="B1656" s="4">
        <v>53291</v>
      </c>
      <c r="C1656" s="4">
        <v>1</v>
      </c>
      <c r="D1656" s="6">
        <v>0</v>
      </c>
      <c r="E1656" s="6">
        <v>-178.5</v>
      </c>
      <c r="F1656" s="6">
        <v>0.31</v>
      </c>
      <c r="G1656" s="6">
        <v>-0.1</v>
      </c>
      <c r="H1656" s="6">
        <v>74</v>
      </c>
    </row>
    <row r="1657" spans="1:8" ht="18.95" customHeight="1">
      <c r="A1657" s="4">
        <v>1653</v>
      </c>
      <c r="B1657" s="4">
        <v>53311</v>
      </c>
      <c r="C1657" s="4">
        <v>1</v>
      </c>
      <c r="D1657" s="6">
        <v>0</v>
      </c>
      <c r="E1657" s="6">
        <v>-178.88</v>
      </c>
      <c r="F1657" s="6">
        <v>0.28999999999999998</v>
      </c>
      <c r="G1657" s="6">
        <v>0.06</v>
      </c>
      <c r="H1657" s="6">
        <v>74</v>
      </c>
    </row>
    <row r="1658" spans="1:8" ht="18.95" customHeight="1">
      <c r="A1658" s="4">
        <v>1654</v>
      </c>
      <c r="B1658" s="4">
        <v>53331</v>
      </c>
      <c r="C1658" s="4">
        <v>1</v>
      </c>
      <c r="D1658" s="6">
        <v>0</v>
      </c>
      <c r="E1658" s="6">
        <v>-179.19</v>
      </c>
      <c r="F1658" s="6">
        <v>0.27</v>
      </c>
      <c r="G1658" s="6">
        <v>-0.02</v>
      </c>
      <c r="H1658" s="6">
        <v>74</v>
      </c>
    </row>
    <row r="1659" spans="1:8" ht="18.95" customHeight="1">
      <c r="A1659" s="4">
        <v>1655</v>
      </c>
      <c r="B1659" s="4">
        <v>53351</v>
      </c>
      <c r="C1659" s="4">
        <v>1</v>
      </c>
      <c r="D1659" s="6">
        <v>0</v>
      </c>
      <c r="E1659" s="6">
        <v>-179.44</v>
      </c>
      <c r="F1659" s="6">
        <v>0.25</v>
      </c>
      <c r="G1659" s="6">
        <v>0.01</v>
      </c>
      <c r="H1659" s="6">
        <v>71</v>
      </c>
    </row>
    <row r="1660" spans="1:8" ht="18.95" customHeight="1">
      <c r="A1660" s="4">
        <v>1656</v>
      </c>
      <c r="B1660" s="4">
        <v>53371</v>
      </c>
      <c r="C1660" s="4">
        <v>1</v>
      </c>
      <c r="D1660" s="6">
        <v>0</v>
      </c>
      <c r="E1660" s="6">
        <v>-179.75</v>
      </c>
      <c r="F1660" s="6">
        <v>0.22</v>
      </c>
      <c r="G1660" s="6">
        <v>-0.04</v>
      </c>
      <c r="H1660" s="6">
        <v>71</v>
      </c>
    </row>
    <row r="1661" spans="1:8" ht="18.95" customHeight="1">
      <c r="A1661" s="4">
        <v>1657</v>
      </c>
      <c r="B1661" s="4">
        <v>53391</v>
      </c>
      <c r="C1661" s="4">
        <v>1</v>
      </c>
      <c r="D1661" s="6">
        <v>0</v>
      </c>
      <c r="E1661" s="6">
        <v>179.94</v>
      </c>
      <c r="F1661" s="6">
        <v>0.2</v>
      </c>
      <c r="G1661" s="6">
        <v>0.24</v>
      </c>
      <c r="H1661" s="6">
        <v>68</v>
      </c>
    </row>
    <row r="1662" spans="1:8" ht="18.95" customHeight="1">
      <c r="A1662" s="4">
        <v>1658</v>
      </c>
      <c r="B1662" s="4">
        <v>53411</v>
      </c>
      <c r="C1662" s="4">
        <v>1</v>
      </c>
      <c r="D1662" s="6">
        <v>0</v>
      </c>
      <c r="E1662" s="6">
        <v>179.75</v>
      </c>
      <c r="F1662" s="6">
        <v>0.19</v>
      </c>
      <c r="G1662" s="6">
        <v>0.21</v>
      </c>
      <c r="H1662" s="6">
        <v>68</v>
      </c>
    </row>
    <row r="1663" spans="1:8" ht="18.95" customHeight="1">
      <c r="A1663" s="4">
        <v>1659</v>
      </c>
      <c r="B1663" s="4">
        <v>53431</v>
      </c>
      <c r="C1663" s="4">
        <v>1</v>
      </c>
      <c r="D1663" s="6">
        <v>0</v>
      </c>
      <c r="E1663" s="6">
        <v>179.5</v>
      </c>
      <c r="F1663" s="6">
        <v>0.15</v>
      </c>
      <c r="G1663" s="6">
        <v>0.25</v>
      </c>
      <c r="H1663" s="6">
        <v>68</v>
      </c>
    </row>
    <row r="1664" spans="1:8" ht="18.95" customHeight="1">
      <c r="A1664" s="4">
        <v>1660</v>
      </c>
      <c r="B1664" s="4">
        <v>53451</v>
      </c>
      <c r="C1664" s="4">
        <v>1</v>
      </c>
      <c r="D1664" s="6">
        <v>0</v>
      </c>
      <c r="E1664" s="6">
        <v>179.38</v>
      </c>
      <c r="F1664" s="6">
        <v>0.12</v>
      </c>
      <c r="G1664" s="6">
        <v>0.21</v>
      </c>
      <c r="H1664" s="6">
        <v>66</v>
      </c>
    </row>
    <row r="1665" spans="1:8" ht="18.95" customHeight="1">
      <c r="A1665" s="4">
        <v>1661</v>
      </c>
      <c r="B1665" s="4">
        <v>53471</v>
      </c>
      <c r="C1665" s="4">
        <v>1</v>
      </c>
      <c r="D1665" s="6">
        <v>0</v>
      </c>
      <c r="E1665" s="6">
        <v>179.25</v>
      </c>
      <c r="F1665" s="6">
        <v>0.11</v>
      </c>
      <c r="G1665" s="6">
        <v>0.21</v>
      </c>
      <c r="H1665" s="6">
        <v>66</v>
      </c>
    </row>
    <row r="1666" spans="1:8" ht="18.95" customHeight="1">
      <c r="A1666" s="4">
        <v>1662</v>
      </c>
      <c r="B1666" s="4">
        <v>53491</v>
      </c>
      <c r="C1666" s="4">
        <v>1</v>
      </c>
      <c r="D1666" s="6">
        <v>0</v>
      </c>
      <c r="E1666" s="6">
        <v>179.13</v>
      </c>
      <c r="F1666" s="6">
        <v>7.0000000000000007E-2</v>
      </c>
      <c r="G1666" s="6">
        <v>-0.15</v>
      </c>
      <c r="H1666" s="6">
        <v>61</v>
      </c>
    </row>
    <row r="1667" spans="1:8" ht="18.95" customHeight="1">
      <c r="A1667" s="4">
        <v>1663</v>
      </c>
      <c r="B1667" s="4">
        <v>53511</v>
      </c>
      <c r="C1667" s="4">
        <v>1</v>
      </c>
      <c r="D1667" s="6">
        <v>0</v>
      </c>
      <c r="E1667" s="6">
        <v>179.06</v>
      </c>
      <c r="F1667" s="6">
        <v>0.06</v>
      </c>
      <c r="G1667" s="6">
        <v>0.19</v>
      </c>
      <c r="H1667" s="6">
        <v>61</v>
      </c>
    </row>
    <row r="1668" spans="1:8" ht="18.95" customHeight="1">
      <c r="A1668" s="4">
        <v>1664</v>
      </c>
      <c r="B1668" s="4">
        <v>53531</v>
      </c>
      <c r="C1668" s="4">
        <v>0</v>
      </c>
      <c r="D1668" s="6">
        <v>0</v>
      </c>
      <c r="E1668" s="6">
        <v>178.94</v>
      </c>
      <c r="F1668" s="6">
        <v>0.02</v>
      </c>
      <c r="G1668" s="6">
        <v>-0.06</v>
      </c>
      <c r="H1668" s="6">
        <v>61</v>
      </c>
    </row>
    <row r="1669" spans="1:8" ht="18.95" customHeight="1">
      <c r="A1669" s="4">
        <v>1665</v>
      </c>
      <c r="B1669" s="4">
        <v>53551</v>
      </c>
      <c r="C1669" s="4">
        <v>0</v>
      </c>
      <c r="D1669" s="6">
        <v>0</v>
      </c>
      <c r="E1669" s="6">
        <v>178.94</v>
      </c>
      <c r="F1669" s="6">
        <v>0</v>
      </c>
      <c r="G1669" s="6">
        <v>-0.08</v>
      </c>
      <c r="H1669" s="6">
        <v>58</v>
      </c>
    </row>
    <row r="1670" spans="1:8" ht="18.95" customHeight="1">
      <c r="A1670" s="4">
        <v>1666</v>
      </c>
      <c r="B1670" s="4">
        <v>53571</v>
      </c>
      <c r="C1670" s="4">
        <v>0</v>
      </c>
      <c r="D1670" s="6">
        <v>0</v>
      </c>
      <c r="E1670" s="6">
        <v>178.94</v>
      </c>
      <c r="F1670" s="6">
        <v>-0.03</v>
      </c>
      <c r="G1670" s="6">
        <v>0.24</v>
      </c>
      <c r="H1670" s="6">
        <v>58</v>
      </c>
    </row>
    <row r="1671" spans="1:8" ht="18.95" customHeight="1">
      <c r="A1671" s="4">
        <v>1667</v>
      </c>
      <c r="B1671" s="4">
        <v>53591</v>
      </c>
      <c r="C1671" s="4">
        <v>0</v>
      </c>
      <c r="D1671" s="6">
        <v>0</v>
      </c>
      <c r="E1671" s="6">
        <v>179</v>
      </c>
      <c r="F1671" s="6">
        <v>-0.04</v>
      </c>
      <c r="G1671" s="6">
        <v>0.18</v>
      </c>
      <c r="H1671" s="6">
        <v>54</v>
      </c>
    </row>
    <row r="1672" spans="1:8" ht="18.95" customHeight="1">
      <c r="A1672" s="4">
        <v>1668</v>
      </c>
      <c r="B1672" s="4">
        <v>53611</v>
      </c>
      <c r="C1672" s="4">
        <v>0</v>
      </c>
      <c r="D1672" s="6">
        <v>0</v>
      </c>
      <c r="E1672" s="6">
        <v>179</v>
      </c>
      <c r="F1672" s="6">
        <v>-0.06</v>
      </c>
      <c r="G1672" s="6">
        <v>0.16</v>
      </c>
      <c r="H1672" s="6">
        <v>54</v>
      </c>
    </row>
    <row r="1673" spans="1:8" ht="18.95" customHeight="1">
      <c r="A1673" s="4">
        <v>1669</v>
      </c>
      <c r="B1673" s="4">
        <v>53632</v>
      </c>
      <c r="C1673" s="4">
        <v>1</v>
      </c>
      <c r="D1673" s="6">
        <v>0</v>
      </c>
      <c r="E1673" s="6">
        <v>179.06</v>
      </c>
      <c r="F1673" s="6">
        <v>-0.09</v>
      </c>
      <c r="G1673" s="6">
        <v>0.2</v>
      </c>
      <c r="H1673" s="6">
        <v>54</v>
      </c>
    </row>
    <row r="1674" spans="1:8" ht="18.95" customHeight="1">
      <c r="A1674" s="4">
        <v>1670</v>
      </c>
      <c r="B1674" s="4">
        <v>53652</v>
      </c>
      <c r="C1674" s="4">
        <v>1</v>
      </c>
      <c r="D1674" s="6">
        <v>0</v>
      </c>
      <c r="E1674" s="6">
        <v>179.19</v>
      </c>
      <c r="F1674" s="6">
        <v>-0.11</v>
      </c>
      <c r="G1674" s="6">
        <v>0.19</v>
      </c>
      <c r="H1674" s="6">
        <v>53</v>
      </c>
    </row>
    <row r="1675" spans="1:8" ht="18.95" customHeight="1">
      <c r="A1675" s="4">
        <v>1671</v>
      </c>
      <c r="B1675" s="4">
        <v>53672</v>
      </c>
      <c r="C1675" s="4">
        <v>1</v>
      </c>
      <c r="D1675" s="6">
        <v>0</v>
      </c>
      <c r="E1675" s="6">
        <v>179.31</v>
      </c>
      <c r="F1675" s="6">
        <v>-0.14000000000000001</v>
      </c>
      <c r="G1675" s="6">
        <v>-0.14000000000000001</v>
      </c>
      <c r="H1675" s="6">
        <v>53</v>
      </c>
    </row>
    <row r="1676" spans="1:8" ht="18.95" customHeight="1">
      <c r="A1676" s="4">
        <v>1672</v>
      </c>
      <c r="B1676" s="4">
        <v>53692</v>
      </c>
      <c r="C1676" s="4">
        <v>1</v>
      </c>
      <c r="D1676" s="6">
        <v>594.05999999999995</v>
      </c>
      <c r="E1676" s="6">
        <v>179.44</v>
      </c>
      <c r="F1676" s="6">
        <v>-0.17</v>
      </c>
      <c r="G1676" s="6">
        <v>0.06</v>
      </c>
      <c r="H1676" s="6">
        <v>49</v>
      </c>
    </row>
    <row r="1677" spans="1:8" ht="18.95" customHeight="1">
      <c r="A1677" s="4">
        <v>1673</v>
      </c>
      <c r="B1677" s="4">
        <v>53712</v>
      </c>
      <c r="C1677" s="4">
        <v>1</v>
      </c>
      <c r="D1677" s="6">
        <v>594.05999999999995</v>
      </c>
      <c r="E1677" s="6">
        <v>179.63</v>
      </c>
      <c r="F1677" s="6">
        <v>-0.19</v>
      </c>
      <c r="G1677" s="6">
        <v>0.09</v>
      </c>
      <c r="H1677" s="6">
        <v>49</v>
      </c>
    </row>
    <row r="1678" spans="1:8" ht="18.95" customHeight="1">
      <c r="A1678" s="4">
        <v>1674</v>
      </c>
      <c r="B1678" s="4">
        <v>53732</v>
      </c>
      <c r="C1678" s="4">
        <v>1</v>
      </c>
      <c r="D1678" s="6">
        <v>594.05999999999995</v>
      </c>
      <c r="E1678" s="6">
        <v>179.81</v>
      </c>
      <c r="F1678" s="6">
        <v>-0.2</v>
      </c>
      <c r="G1678" s="6">
        <v>0.05</v>
      </c>
      <c r="H1678" s="6">
        <v>49</v>
      </c>
    </row>
    <row r="1679" spans="1:8" ht="18.95" customHeight="1">
      <c r="A1679" s="4">
        <v>1675</v>
      </c>
      <c r="B1679" s="4">
        <v>53752</v>
      </c>
      <c r="C1679" s="4">
        <v>1</v>
      </c>
      <c r="D1679" s="6">
        <v>594.05999999999995</v>
      </c>
      <c r="E1679" s="6">
        <v>-179.88</v>
      </c>
      <c r="F1679" s="6">
        <v>-0.21</v>
      </c>
      <c r="G1679" s="6">
        <v>0.01</v>
      </c>
      <c r="H1679" s="6">
        <v>46</v>
      </c>
    </row>
    <row r="1680" spans="1:8" ht="18.95" customHeight="1">
      <c r="A1680" s="4">
        <v>1676</v>
      </c>
      <c r="B1680" s="4">
        <v>53772</v>
      </c>
      <c r="C1680" s="4">
        <v>1</v>
      </c>
      <c r="D1680" s="6">
        <v>594.05999999999995</v>
      </c>
      <c r="E1680" s="6">
        <v>-179.69</v>
      </c>
      <c r="F1680" s="6">
        <v>-0.23</v>
      </c>
      <c r="G1680" s="6">
        <v>0.1</v>
      </c>
      <c r="H1680" s="6">
        <v>46</v>
      </c>
    </row>
    <row r="1681" spans="1:8" ht="18.95" customHeight="1">
      <c r="A1681" s="4">
        <v>1677</v>
      </c>
      <c r="B1681" s="4">
        <v>53792</v>
      </c>
      <c r="C1681" s="4">
        <v>1</v>
      </c>
      <c r="D1681" s="6">
        <v>0</v>
      </c>
      <c r="E1681" s="6">
        <v>-179.38</v>
      </c>
      <c r="F1681" s="6">
        <v>-0.24</v>
      </c>
      <c r="G1681" s="6">
        <v>0.14000000000000001</v>
      </c>
      <c r="H1681" s="6">
        <v>43</v>
      </c>
    </row>
    <row r="1682" spans="1:8" ht="18.95" customHeight="1">
      <c r="A1682" s="4">
        <v>1678</v>
      </c>
      <c r="B1682" s="4">
        <v>53812</v>
      </c>
      <c r="C1682" s="4">
        <v>1</v>
      </c>
      <c r="D1682" s="6">
        <v>0</v>
      </c>
      <c r="E1682" s="6">
        <v>-179.13</v>
      </c>
      <c r="F1682" s="6">
        <v>-0.25</v>
      </c>
      <c r="G1682" s="6">
        <v>0.12</v>
      </c>
      <c r="H1682" s="6">
        <v>43</v>
      </c>
    </row>
    <row r="1683" spans="1:8" ht="18.95" customHeight="1">
      <c r="A1683" s="4">
        <v>1679</v>
      </c>
      <c r="B1683" s="4">
        <v>53832</v>
      </c>
      <c r="C1683" s="4">
        <v>1</v>
      </c>
      <c r="D1683" s="6">
        <v>0</v>
      </c>
      <c r="E1683" s="6">
        <v>-178.88</v>
      </c>
      <c r="F1683" s="6">
        <v>-0.25</v>
      </c>
      <c r="G1683" s="6">
        <v>0.06</v>
      </c>
      <c r="H1683" s="6">
        <v>43</v>
      </c>
    </row>
    <row r="1684" spans="1:8" ht="18.95" customHeight="1">
      <c r="A1684" s="4">
        <v>1680</v>
      </c>
      <c r="B1684" s="4">
        <v>53852</v>
      </c>
      <c r="C1684" s="4">
        <v>1</v>
      </c>
      <c r="D1684" s="6">
        <v>0</v>
      </c>
      <c r="E1684" s="6">
        <v>-178.56</v>
      </c>
      <c r="F1684" s="6">
        <v>-0.28000000000000003</v>
      </c>
      <c r="G1684" s="6">
        <v>0.04</v>
      </c>
      <c r="H1684" s="6">
        <v>36</v>
      </c>
    </row>
    <row r="1685" spans="1:8" ht="18.95" customHeight="1">
      <c r="A1685" s="4">
        <v>1681</v>
      </c>
      <c r="B1685" s="4">
        <v>53872</v>
      </c>
      <c r="C1685" s="4">
        <v>1</v>
      </c>
      <c r="D1685" s="6">
        <v>0</v>
      </c>
      <c r="E1685" s="6">
        <v>-178.25</v>
      </c>
      <c r="F1685" s="6">
        <v>-0.28999999999999998</v>
      </c>
      <c r="G1685" s="6">
        <v>-0.15</v>
      </c>
      <c r="H1685" s="6">
        <v>36</v>
      </c>
    </row>
    <row r="1686" spans="1:8" ht="18.95" customHeight="1">
      <c r="A1686" s="4">
        <v>1682</v>
      </c>
      <c r="B1686" s="4">
        <v>53892</v>
      </c>
      <c r="C1686" s="4">
        <v>1</v>
      </c>
      <c r="D1686" s="6">
        <v>0</v>
      </c>
      <c r="E1686" s="6">
        <v>-177.94</v>
      </c>
      <c r="F1686" s="6">
        <v>-0.33</v>
      </c>
      <c r="G1686" s="6">
        <v>-0.01</v>
      </c>
      <c r="H1686" s="6">
        <v>33</v>
      </c>
    </row>
    <row r="1687" spans="1:8" ht="18.95" customHeight="1">
      <c r="A1687" s="4">
        <v>1683</v>
      </c>
      <c r="B1687" s="4">
        <v>53912</v>
      </c>
      <c r="C1687" s="4">
        <v>1</v>
      </c>
      <c r="D1687" s="6">
        <v>0</v>
      </c>
      <c r="E1687" s="6">
        <v>-177.56</v>
      </c>
      <c r="F1687" s="6">
        <v>-0.33</v>
      </c>
      <c r="G1687" s="6">
        <v>-0.27</v>
      </c>
      <c r="H1687" s="6">
        <v>33</v>
      </c>
    </row>
    <row r="1688" spans="1:8" ht="18.95" customHeight="1">
      <c r="A1688" s="4">
        <v>1684</v>
      </c>
      <c r="B1688" s="4">
        <v>53932</v>
      </c>
      <c r="C1688" s="4">
        <v>1</v>
      </c>
      <c r="D1688" s="6">
        <v>0</v>
      </c>
      <c r="E1688" s="6">
        <v>-177.19</v>
      </c>
      <c r="F1688" s="6">
        <v>-0.34</v>
      </c>
      <c r="G1688" s="6">
        <v>0.09</v>
      </c>
      <c r="H1688" s="6">
        <v>33</v>
      </c>
    </row>
    <row r="1689" spans="1:8" ht="18.95" customHeight="1">
      <c r="A1689" s="4">
        <v>1685</v>
      </c>
      <c r="B1689" s="4">
        <v>53952</v>
      </c>
      <c r="C1689" s="4">
        <v>1</v>
      </c>
      <c r="D1689" s="6">
        <v>0</v>
      </c>
      <c r="E1689" s="6">
        <v>-176.81</v>
      </c>
      <c r="F1689" s="6">
        <v>-0.35</v>
      </c>
      <c r="G1689" s="6">
        <v>-0.08</v>
      </c>
      <c r="H1689" s="6">
        <v>31</v>
      </c>
    </row>
    <row r="1690" spans="1:8" ht="18.95" customHeight="1">
      <c r="A1690" s="4">
        <v>1686</v>
      </c>
      <c r="B1690" s="4">
        <v>53972</v>
      </c>
      <c r="C1690" s="4">
        <v>1</v>
      </c>
      <c r="D1690" s="6">
        <v>0</v>
      </c>
      <c r="E1690" s="6">
        <v>-176.44</v>
      </c>
      <c r="F1690" s="6">
        <v>-0.38</v>
      </c>
      <c r="G1690" s="6">
        <v>0.04</v>
      </c>
      <c r="H1690" s="6">
        <v>31</v>
      </c>
    </row>
    <row r="1691" spans="1:8" ht="18.95" customHeight="1">
      <c r="A1691" s="4">
        <v>1687</v>
      </c>
      <c r="B1691" s="4">
        <v>53992</v>
      </c>
      <c r="C1691" s="4">
        <v>1</v>
      </c>
      <c r="D1691" s="6">
        <v>0</v>
      </c>
      <c r="E1691" s="6">
        <v>-176</v>
      </c>
      <c r="F1691" s="6">
        <v>-0.38</v>
      </c>
      <c r="G1691" s="6">
        <v>-0.04</v>
      </c>
      <c r="H1691" s="6">
        <v>29</v>
      </c>
    </row>
    <row r="1692" spans="1:8" ht="18.95" customHeight="1">
      <c r="A1692" s="4">
        <v>1688</v>
      </c>
      <c r="B1692" s="4">
        <v>54012</v>
      </c>
      <c r="C1692" s="4">
        <v>1</v>
      </c>
      <c r="D1692" s="6">
        <v>0</v>
      </c>
      <c r="E1692" s="6">
        <v>-175.56</v>
      </c>
      <c r="F1692" s="6">
        <v>-0.4</v>
      </c>
      <c r="G1692" s="6">
        <v>-0.03</v>
      </c>
      <c r="H1692" s="6">
        <v>29</v>
      </c>
    </row>
    <row r="1693" spans="1:8" ht="18.95" customHeight="1">
      <c r="A1693" s="4">
        <v>1689</v>
      </c>
      <c r="B1693" s="4">
        <v>54032</v>
      </c>
      <c r="C1693" s="4">
        <v>1</v>
      </c>
      <c r="D1693" s="6">
        <v>0</v>
      </c>
      <c r="E1693" s="6">
        <v>-175.13</v>
      </c>
      <c r="F1693" s="6">
        <v>-0.4</v>
      </c>
      <c r="G1693" s="6">
        <v>0.03</v>
      </c>
      <c r="H1693" s="6">
        <v>29</v>
      </c>
    </row>
    <row r="1694" spans="1:8" ht="18.95" customHeight="1">
      <c r="A1694" s="4">
        <v>1690</v>
      </c>
      <c r="B1694" s="4">
        <v>54052</v>
      </c>
      <c r="C1694" s="4">
        <v>1</v>
      </c>
      <c r="D1694" s="6">
        <v>0</v>
      </c>
      <c r="E1694" s="6">
        <v>-174.69</v>
      </c>
      <c r="F1694" s="6">
        <v>-0.43</v>
      </c>
      <c r="G1694" s="6">
        <v>0.04</v>
      </c>
      <c r="H1694" s="6">
        <v>26</v>
      </c>
    </row>
    <row r="1695" spans="1:8" ht="18.95" customHeight="1">
      <c r="A1695" s="4">
        <v>1691</v>
      </c>
      <c r="B1695" s="4">
        <v>54072</v>
      </c>
      <c r="C1695" s="4">
        <v>1</v>
      </c>
      <c r="D1695" s="6">
        <v>0</v>
      </c>
      <c r="E1695" s="6">
        <v>-124.62</v>
      </c>
      <c r="F1695" s="6">
        <v>-0.44</v>
      </c>
      <c r="G1695" s="6">
        <v>-0.14000000000000001</v>
      </c>
      <c r="H1695" s="6">
        <v>26</v>
      </c>
    </row>
    <row r="1696" spans="1:8" ht="18.95" customHeight="1">
      <c r="A1696" s="4">
        <v>1692</v>
      </c>
      <c r="B1696" s="4">
        <v>54092</v>
      </c>
      <c r="C1696" s="4">
        <v>1</v>
      </c>
      <c r="D1696" s="6">
        <v>0</v>
      </c>
      <c r="E1696" s="6">
        <v>-122.37</v>
      </c>
      <c r="F1696" s="6">
        <v>-0.48</v>
      </c>
      <c r="G1696" s="6">
        <v>0</v>
      </c>
      <c r="H1696" s="6">
        <v>23</v>
      </c>
    </row>
    <row r="1697" spans="1:8" ht="18.95" customHeight="1">
      <c r="A1697" s="4">
        <v>1693</v>
      </c>
      <c r="B1697" s="4">
        <v>54112</v>
      </c>
      <c r="C1697" s="4">
        <v>1</v>
      </c>
      <c r="D1697" s="6">
        <v>0</v>
      </c>
      <c r="E1697" s="6">
        <v>-120.31</v>
      </c>
      <c r="F1697" s="6">
        <v>-0.47</v>
      </c>
      <c r="G1697" s="6">
        <v>0.02</v>
      </c>
      <c r="H1697" s="6">
        <v>23</v>
      </c>
    </row>
    <row r="1698" spans="1:8" ht="18.95" customHeight="1">
      <c r="A1698" s="4">
        <v>1694</v>
      </c>
      <c r="B1698" s="4">
        <v>54132</v>
      </c>
      <c r="C1698" s="4">
        <v>1</v>
      </c>
      <c r="D1698" s="6">
        <v>0</v>
      </c>
      <c r="E1698" s="6">
        <v>-118.5</v>
      </c>
      <c r="F1698" s="6">
        <v>-0.47</v>
      </c>
      <c r="G1698" s="6">
        <v>0.02</v>
      </c>
      <c r="H1698" s="6">
        <v>23</v>
      </c>
    </row>
    <row r="1699" spans="1:8" ht="18.95" customHeight="1">
      <c r="A1699" s="4">
        <v>1695</v>
      </c>
      <c r="B1699" s="4">
        <v>54152</v>
      </c>
      <c r="C1699" s="4">
        <v>1</v>
      </c>
      <c r="D1699" s="6">
        <v>0</v>
      </c>
      <c r="E1699" s="6">
        <v>-116.87</v>
      </c>
      <c r="F1699" s="6">
        <v>-0.46</v>
      </c>
      <c r="G1699" s="6">
        <v>-0.06</v>
      </c>
      <c r="H1699" s="6">
        <v>21</v>
      </c>
    </row>
    <row r="1700" spans="1:8" ht="18.95" customHeight="1">
      <c r="A1700" s="4">
        <v>1696</v>
      </c>
      <c r="B1700" s="4">
        <v>54172</v>
      </c>
      <c r="C1700" s="4">
        <v>1</v>
      </c>
      <c r="D1700" s="6">
        <v>0</v>
      </c>
      <c r="E1700" s="6">
        <v>-115.44</v>
      </c>
      <c r="F1700" s="6">
        <v>-0.47</v>
      </c>
      <c r="G1700" s="6">
        <v>0.01</v>
      </c>
      <c r="H1700" s="6">
        <v>21</v>
      </c>
    </row>
    <row r="1701" spans="1:8" ht="18.95" customHeight="1">
      <c r="A1701" s="4">
        <v>1697</v>
      </c>
      <c r="B1701" s="4">
        <v>54192</v>
      </c>
      <c r="C1701" s="4">
        <v>1</v>
      </c>
      <c r="D1701" s="6">
        <v>0</v>
      </c>
      <c r="E1701" s="6">
        <v>-114.12</v>
      </c>
      <c r="F1701" s="6">
        <v>-0.47</v>
      </c>
      <c r="G1701" s="6">
        <v>0.03</v>
      </c>
      <c r="H1701" s="6">
        <v>19</v>
      </c>
    </row>
    <row r="1702" spans="1:8" ht="18.95" customHeight="1">
      <c r="A1702" s="4">
        <v>1698</v>
      </c>
      <c r="B1702" s="4">
        <v>54212</v>
      </c>
      <c r="C1702" s="4">
        <v>1</v>
      </c>
      <c r="D1702" s="6">
        <v>0</v>
      </c>
      <c r="E1702" s="6">
        <v>-112.94</v>
      </c>
      <c r="F1702" s="6">
        <v>-0.47</v>
      </c>
      <c r="G1702" s="6">
        <v>0.1</v>
      </c>
      <c r="H1702" s="6">
        <v>19</v>
      </c>
    </row>
    <row r="1703" spans="1:8" ht="18.95" customHeight="1">
      <c r="A1703" s="4">
        <v>1699</v>
      </c>
      <c r="B1703" s="4">
        <v>54232</v>
      </c>
      <c r="C1703" s="4">
        <v>1</v>
      </c>
      <c r="D1703" s="6">
        <v>0</v>
      </c>
      <c r="E1703" s="6">
        <v>-111.87</v>
      </c>
      <c r="F1703" s="6">
        <v>-0.47</v>
      </c>
      <c r="G1703" s="6">
        <v>0.19</v>
      </c>
      <c r="H1703" s="6">
        <v>19</v>
      </c>
    </row>
    <row r="1704" spans="1:8" ht="18.95" customHeight="1">
      <c r="A1704" s="4">
        <v>1700</v>
      </c>
      <c r="B1704" s="4">
        <v>54252</v>
      </c>
      <c r="C1704" s="4">
        <v>1</v>
      </c>
      <c r="D1704" s="6">
        <v>0</v>
      </c>
      <c r="E1704" s="6">
        <v>-110.81</v>
      </c>
      <c r="F1704" s="6">
        <v>-0.51</v>
      </c>
      <c r="G1704" s="6">
        <v>0.09</v>
      </c>
      <c r="H1704" s="6">
        <v>17</v>
      </c>
    </row>
    <row r="1705" spans="1:8" ht="18.95" customHeight="1">
      <c r="A1705" s="4">
        <v>1701</v>
      </c>
      <c r="B1705" s="4">
        <v>54272</v>
      </c>
      <c r="C1705" s="4">
        <v>1</v>
      </c>
      <c r="D1705" s="6">
        <v>0</v>
      </c>
      <c r="E1705" s="6">
        <v>-109.81</v>
      </c>
      <c r="F1705" s="6">
        <v>-0.52</v>
      </c>
      <c r="G1705" s="6">
        <v>-0.01</v>
      </c>
      <c r="H1705" s="6">
        <v>17</v>
      </c>
    </row>
    <row r="1706" spans="1:8" ht="18.95" customHeight="1">
      <c r="A1706" s="4">
        <v>1702</v>
      </c>
      <c r="B1706" s="4">
        <v>54292</v>
      </c>
      <c r="C1706" s="4">
        <v>1</v>
      </c>
      <c r="D1706" s="6">
        <v>0</v>
      </c>
      <c r="E1706" s="6">
        <v>-108.87</v>
      </c>
      <c r="F1706" s="6">
        <v>-0.54</v>
      </c>
      <c r="G1706" s="6">
        <v>-0.05</v>
      </c>
      <c r="H1706" s="6">
        <v>17</v>
      </c>
    </row>
    <row r="1707" spans="1:8" ht="18.95" customHeight="1">
      <c r="A1707" s="4">
        <v>1703</v>
      </c>
      <c r="B1707" s="4">
        <v>54312</v>
      </c>
      <c r="C1707" s="4">
        <v>1</v>
      </c>
      <c r="D1707" s="6">
        <v>0</v>
      </c>
      <c r="E1707" s="6">
        <v>-108.06</v>
      </c>
      <c r="F1707" s="6">
        <v>-0.52</v>
      </c>
      <c r="G1707" s="6">
        <v>0.16</v>
      </c>
      <c r="H1707" s="6">
        <v>17</v>
      </c>
    </row>
    <row r="1708" spans="1:8" ht="18.95" customHeight="1">
      <c r="A1708" s="4">
        <v>1704</v>
      </c>
      <c r="B1708" s="4">
        <v>54332</v>
      </c>
      <c r="C1708" s="4">
        <v>1</v>
      </c>
      <c r="D1708" s="6">
        <v>0</v>
      </c>
      <c r="E1708" s="6">
        <v>-107.25</v>
      </c>
      <c r="F1708" s="6">
        <v>-0.55000000000000004</v>
      </c>
      <c r="G1708" s="6">
        <v>-7.0000000000000007E-2</v>
      </c>
      <c r="H1708" s="6">
        <v>17</v>
      </c>
    </row>
    <row r="1709" spans="1:8" ht="18.95" customHeight="1">
      <c r="A1709" s="4">
        <v>1705</v>
      </c>
      <c r="B1709" s="4">
        <v>54352</v>
      </c>
      <c r="C1709" s="4">
        <v>1</v>
      </c>
      <c r="D1709" s="6">
        <v>0</v>
      </c>
      <c r="E1709" s="6">
        <v>-106.44</v>
      </c>
      <c r="F1709" s="6">
        <v>-0.56999999999999995</v>
      </c>
      <c r="G1709" s="6">
        <v>-0.06</v>
      </c>
      <c r="H1709" s="6">
        <v>18</v>
      </c>
    </row>
    <row r="1710" spans="1:8" ht="18.95" customHeight="1">
      <c r="A1710" s="4">
        <v>1706</v>
      </c>
      <c r="B1710" s="4">
        <v>54372</v>
      </c>
      <c r="C1710" s="4">
        <v>1</v>
      </c>
      <c r="D1710" s="6">
        <v>0</v>
      </c>
      <c r="E1710" s="6">
        <v>-105.75</v>
      </c>
      <c r="F1710" s="6">
        <v>-0.56999999999999995</v>
      </c>
      <c r="G1710" s="6">
        <v>-0.22</v>
      </c>
      <c r="H1710" s="6">
        <v>18</v>
      </c>
    </row>
    <row r="1711" spans="1:8" ht="18.95" customHeight="1">
      <c r="A1711" s="4">
        <v>1707</v>
      </c>
      <c r="B1711" s="4">
        <v>54392</v>
      </c>
      <c r="C1711" s="4">
        <v>1</v>
      </c>
      <c r="D1711" s="6">
        <v>0</v>
      </c>
      <c r="E1711" s="6">
        <v>-105.06</v>
      </c>
      <c r="F1711" s="6">
        <v>-0.56000000000000005</v>
      </c>
      <c r="G1711" s="6">
        <v>0.1</v>
      </c>
      <c r="H1711" s="6">
        <v>17</v>
      </c>
    </row>
    <row r="1712" spans="1:8" ht="18.95" customHeight="1">
      <c r="A1712" s="4">
        <v>1708</v>
      </c>
      <c r="B1712" s="4">
        <v>54412</v>
      </c>
      <c r="C1712" s="4">
        <v>1</v>
      </c>
      <c r="D1712" s="6">
        <v>0</v>
      </c>
      <c r="E1712" s="6">
        <v>-104.44</v>
      </c>
      <c r="F1712" s="6">
        <v>-0.55000000000000004</v>
      </c>
      <c r="G1712" s="6">
        <v>0.01</v>
      </c>
      <c r="H1712" s="6">
        <v>17</v>
      </c>
    </row>
    <row r="1713" spans="1:8" ht="18.95" customHeight="1">
      <c r="A1713" s="4">
        <v>1709</v>
      </c>
      <c r="B1713" s="4">
        <v>54432</v>
      </c>
      <c r="C1713" s="4">
        <v>1</v>
      </c>
      <c r="D1713" s="6">
        <v>0</v>
      </c>
      <c r="E1713" s="6">
        <v>-103.94</v>
      </c>
      <c r="F1713" s="6">
        <v>-0.56000000000000005</v>
      </c>
      <c r="G1713" s="6">
        <v>0.13</v>
      </c>
      <c r="H1713" s="6">
        <v>17</v>
      </c>
    </row>
    <row r="1714" spans="1:8" ht="18.95" customHeight="1">
      <c r="A1714" s="4">
        <v>1710</v>
      </c>
      <c r="B1714" s="4">
        <v>54452</v>
      </c>
      <c r="C1714" s="4">
        <v>1</v>
      </c>
      <c r="D1714" s="6">
        <v>0</v>
      </c>
      <c r="E1714" s="6">
        <v>-103.44</v>
      </c>
      <c r="F1714" s="6">
        <v>-0.56000000000000005</v>
      </c>
      <c r="G1714" s="6">
        <v>0.1</v>
      </c>
      <c r="H1714" s="6">
        <v>18</v>
      </c>
    </row>
    <row r="1715" spans="1:8" ht="18.95" customHeight="1">
      <c r="A1715" s="4">
        <v>1711</v>
      </c>
      <c r="B1715" s="4">
        <v>54472</v>
      </c>
      <c r="C1715" s="4">
        <v>1</v>
      </c>
      <c r="D1715" s="6">
        <v>0</v>
      </c>
      <c r="E1715" s="6">
        <v>-103</v>
      </c>
      <c r="F1715" s="6">
        <v>-0.52</v>
      </c>
      <c r="G1715" s="6">
        <v>0.06</v>
      </c>
      <c r="H1715" s="6">
        <v>18</v>
      </c>
    </row>
    <row r="1716" spans="1:8" ht="18.95" customHeight="1">
      <c r="A1716" s="4">
        <v>1712</v>
      </c>
      <c r="B1716" s="4">
        <v>54492</v>
      </c>
      <c r="C1716" s="4">
        <v>1</v>
      </c>
      <c r="D1716" s="6">
        <v>0</v>
      </c>
      <c r="E1716" s="6">
        <v>-102.62</v>
      </c>
      <c r="F1716" s="6">
        <v>-0.5</v>
      </c>
      <c r="G1716" s="6">
        <v>7.0000000000000007E-2</v>
      </c>
      <c r="H1716" s="6">
        <v>17</v>
      </c>
    </row>
    <row r="1717" spans="1:8" ht="18.95" customHeight="1">
      <c r="A1717" s="4">
        <v>1713</v>
      </c>
      <c r="B1717" s="4">
        <v>54512</v>
      </c>
      <c r="C1717" s="4">
        <v>1</v>
      </c>
      <c r="D1717" s="6">
        <v>0</v>
      </c>
      <c r="E1717" s="6">
        <v>-102.25</v>
      </c>
      <c r="F1717" s="6">
        <v>-0.51</v>
      </c>
      <c r="G1717" s="6">
        <v>0.02</v>
      </c>
      <c r="H1717" s="6">
        <v>17</v>
      </c>
    </row>
    <row r="1718" spans="1:8" ht="18.95" customHeight="1">
      <c r="A1718" s="4">
        <v>1714</v>
      </c>
      <c r="B1718" s="4">
        <v>54532</v>
      </c>
      <c r="C1718" s="4">
        <v>1</v>
      </c>
      <c r="D1718" s="6">
        <v>0</v>
      </c>
      <c r="E1718" s="6">
        <v>-101.87</v>
      </c>
      <c r="F1718" s="6">
        <v>-0.51</v>
      </c>
      <c r="G1718" s="6">
        <v>-0.06</v>
      </c>
      <c r="H1718" s="6">
        <v>17</v>
      </c>
    </row>
    <row r="1719" spans="1:8" ht="18.95" customHeight="1">
      <c r="A1719" s="4">
        <v>1715</v>
      </c>
      <c r="B1719" s="4">
        <v>54552</v>
      </c>
      <c r="C1719" s="4">
        <v>1</v>
      </c>
      <c r="D1719" s="6">
        <v>0</v>
      </c>
      <c r="E1719" s="6">
        <v>-101.56</v>
      </c>
      <c r="F1719" s="6">
        <v>-0.51</v>
      </c>
      <c r="G1719" s="6">
        <v>0</v>
      </c>
      <c r="H1719" s="6">
        <v>21</v>
      </c>
    </row>
    <row r="1720" spans="1:8" ht="18.95" customHeight="1">
      <c r="A1720" s="4">
        <v>1716</v>
      </c>
      <c r="B1720" s="4">
        <v>54572</v>
      </c>
      <c r="C1720" s="4">
        <v>1</v>
      </c>
      <c r="D1720" s="6">
        <v>0</v>
      </c>
      <c r="E1720" s="6">
        <v>-101.25</v>
      </c>
      <c r="F1720" s="6">
        <v>-0.49</v>
      </c>
      <c r="G1720" s="6">
        <v>0.02</v>
      </c>
      <c r="H1720" s="6">
        <v>21</v>
      </c>
    </row>
    <row r="1721" spans="1:8" ht="18.95" customHeight="1">
      <c r="A1721" s="4">
        <v>1717</v>
      </c>
      <c r="B1721" s="4">
        <v>54592</v>
      </c>
      <c r="C1721" s="4">
        <v>1</v>
      </c>
      <c r="D1721" s="6">
        <v>0</v>
      </c>
      <c r="E1721" s="6">
        <v>-100.94</v>
      </c>
      <c r="F1721" s="6">
        <v>-0.49</v>
      </c>
      <c r="G1721" s="6">
        <v>-0.05</v>
      </c>
      <c r="H1721" s="6">
        <v>23</v>
      </c>
    </row>
    <row r="1722" spans="1:8" ht="18.95" customHeight="1">
      <c r="A1722" s="4">
        <v>1718</v>
      </c>
      <c r="B1722" s="4">
        <v>54612</v>
      </c>
      <c r="C1722" s="4">
        <v>1</v>
      </c>
      <c r="D1722" s="6">
        <v>0</v>
      </c>
      <c r="E1722" s="6">
        <v>-100.69</v>
      </c>
      <c r="F1722" s="6">
        <v>-0.47</v>
      </c>
      <c r="G1722" s="6">
        <v>0.12</v>
      </c>
      <c r="H1722" s="6">
        <v>23</v>
      </c>
    </row>
    <row r="1723" spans="1:8" ht="18.95" customHeight="1">
      <c r="A1723" s="4">
        <v>1719</v>
      </c>
      <c r="B1723" s="4">
        <v>54632</v>
      </c>
      <c r="C1723" s="4">
        <v>1</v>
      </c>
      <c r="D1723" s="6">
        <v>0</v>
      </c>
      <c r="E1723" s="6">
        <v>-100.37</v>
      </c>
      <c r="F1723" s="6">
        <v>-0.47</v>
      </c>
      <c r="G1723" s="6">
        <v>-0.05</v>
      </c>
      <c r="H1723" s="6">
        <v>23</v>
      </c>
    </row>
    <row r="1724" spans="1:8" ht="18.95" customHeight="1">
      <c r="A1724" s="4">
        <v>1720</v>
      </c>
      <c r="B1724" s="4">
        <v>54652</v>
      </c>
      <c r="C1724" s="4">
        <v>1</v>
      </c>
      <c r="D1724" s="6">
        <v>0</v>
      </c>
      <c r="E1724" s="6">
        <v>-100.12</v>
      </c>
      <c r="F1724" s="6">
        <v>-0.45</v>
      </c>
      <c r="G1724" s="6">
        <v>0.08</v>
      </c>
      <c r="H1724" s="6">
        <v>26</v>
      </c>
    </row>
    <row r="1725" spans="1:8" ht="18.95" customHeight="1">
      <c r="A1725" s="4">
        <v>1721</v>
      </c>
      <c r="B1725" s="4">
        <v>54672</v>
      </c>
      <c r="C1725" s="4">
        <v>1</v>
      </c>
      <c r="D1725" s="6">
        <v>0</v>
      </c>
      <c r="E1725" s="6">
        <v>-99.94</v>
      </c>
      <c r="F1725" s="6">
        <v>-0.44</v>
      </c>
      <c r="G1725" s="6">
        <v>-0.04</v>
      </c>
      <c r="H1725" s="6">
        <v>26</v>
      </c>
    </row>
    <row r="1726" spans="1:8" ht="18.95" customHeight="1">
      <c r="A1726" s="4">
        <v>1722</v>
      </c>
      <c r="B1726" s="4">
        <v>54692</v>
      </c>
      <c r="C1726" s="4">
        <v>1</v>
      </c>
      <c r="D1726" s="6">
        <v>0</v>
      </c>
      <c r="E1726" s="6">
        <v>-99.75</v>
      </c>
      <c r="F1726" s="6">
        <v>-0.43</v>
      </c>
      <c r="G1726" s="6">
        <v>0.05</v>
      </c>
      <c r="H1726" s="6">
        <v>26</v>
      </c>
    </row>
    <row r="1727" spans="1:8" ht="18.95" customHeight="1">
      <c r="A1727" s="4">
        <v>1723</v>
      </c>
      <c r="B1727" s="4">
        <v>54712</v>
      </c>
      <c r="C1727" s="4">
        <v>1</v>
      </c>
      <c r="D1727" s="6">
        <v>0</v>
      </c>
      <c r="E1727" s="6">
        <v>-99.56</v>
      </c>
      <c r="F1727" s="6">
        <v>-0.41</v>
      </c>
      <c r="G1727" s="6">
        <v>-0.02</v>
      </c>
      <c r="H1727" s="6">
        <v>26</v>
      </c>
    </row>
    <row r="1728" spans="1:8" ht="18.95" customHeight="1">
      <c r="A1728" s="4">
        <v>1724</v>
      </c>
      <c r="B1728" s="4">
        <v>54732</v>
      </c>
      <c r="C1728" s="4">
        <v>1</v>
      </c>
      <c r="D1728" s="6">
        <v>0</v>
      </c>
      <c r="E1728" s="6">
        <v>-99.37</v>
      </c>
      <c r="F1728" s="6">
        <v>-0.39</v>
      </c>
      <c r="G1728" s="6">
        <v>7.0000000000000007E-2</v>
      </c>
      <c r="H1728" s="6">
        <v>26</v>
      </c>
    </row>
    <row r="1729" spans="1:8" ht="18.95" customHeight="1">
      <c r="A1729" s="4">
        <v>1725</v>
      </c>
      <c r="B1729" s="4">
        <v>54752</v>
      </c>
      <c r="C1729" s="4">
        <v>1</v>
      </c>
      <c r="D1729" s="6">
        <v>0</v>
      </c>
      <c r="E1729" s="6">
        <v>-99.19</v>
      </c>
      <c r="F1729" s="6">
        <v>-0.37</v>
      </c>
      <c r="G1729" s="6">
        <v>7.0000000000000007E-2</v>
      </c>
      <c r="H1729" s="6">
        <v>31</v>
      </c>
    </row>
    <row r="1730" spans="1:8" ht="18.95" customHeight="1">
      <c r="A1730" s="4">
        <v>1726</v>
      </c>
      <c r="B1730" s="4">
        <v>54772</v>
      </c>
      <c r="C1730" s="4">
        <v>1</v>
      </c>
      <c r="D1730" s="6">
        <v>0</v>
      </c>
      <c r="E1730" s="6">
        <v>-99.06</v>
      </c>
      <c r="F1730" s="6">
        <v>-0.35</v>
      </c>
      <c r="G1730" s="6">
        <v>0.13</v>
      </c>
      <c r="H1730" s="6">
        <v>31</v>
      </c>
    </row>
    <row r="1731" spans="1:8" ht="18.95" customHeight="1">
      <c r="A1731" s="4">
        <v>1727</v>
      </c>
      <c r="B1731" s="4">
        <v>54792</v>
      </c>
      <c r="C1731" s="4">
        <v>1</v>
      </c>
      <c r="D1731" s="6">
        <v>0</v>
      </c>
      <c r="E1731" s="6">
        <v>-98.94</v>
      </c>
      <c r="F1731" s="6">
        <v>-0.33</v>
      </c>
      <c r="G1731" s="6">
        <v>0</v>
      </c>
      <c r="H1731" s="6">
        <v>34</v>
      </c>
    </row>
    <row r="1732" spans="1:8" ht="18.95" customHeight="1">
      <c r="A1732" s="4">
        <v>1728</v>
      </c>
      <c r="B1732" s="4">
        <v>54812</v>
      </c>
      <c r="C1732" s="4">
        <v>1</v>
      </c>
      <c r="D1732" s="6">
        <v>0</v>
      </c>
      <c r="E1732" s="6">
        <v>-98.87</v>
      </c>
      <c r="F1732" s="6">
        <v>-0.3</v>
      </c>
      <c r="G1732" s="6">
        <v>-0.02</v>
      </c>
      <c r="H1732" s="6">
        <v>34</v>
      </c>
    </row>
    <row r="1733" spans="1:8" ht="18.95" customHeight="1">
      <c r="A1733" s="4">
        <v>1729</v>
      </c>
      <c r="B1733" s="4">
        <v>54832</v>
      </c>
      <c r="C1733" s="4">
        <v>1</v>
      </c>
      <c r="D1733" s="6">
        <v>0</v>
      </c>
      <c r="E1733" s="6">
        <v>-98.81</v>
      </c>
      <c r="F1733" s="6">
        <v>-0.28000000000000003</v>
      </c>
      <c r="G1733" s="6">
        <v>0.05</v>
      </c>
      <c r="H1733" s="6">
        <v>34</v>
      </c>
    </row>
    <row r="1734" spans="1:8" ht="18.95" customHeight="1">
      <c r="A1734" s="4">
        <v>1730</v>
      </c>
      <c r="B1734" s="4">
        <v>54852</v>
      </c>
      <c r="C1734" s="4">
        <v>1</v>
      </c>
      <c r="D1734" s="6">
        <v>0</v>
      </c>
      <c r="E1734" s="6">
        <v>-98.81</v>
      </c>
      <c r="F1734" s="6">
        <v>-0.26</v>
      </c>
      <c r="G1734" s="6">
        <v>0.21</v>
      </c>
      <c r="H1734" s="6">
        <v>40</v>
      </c>
    </row>
    <row r="1735" spans="1:8" ht="18.95" customHeight="1">
      <c r="A1735" s="4">
        <v>1731</v>
      </c>
      <c r="B1735" s="4">
        <v>54872</v>
      </c>
      <c r="C1735" s="4">
        <v>1</v>
      </c>
      <c r="D1735" s="6">
        <v>0</v>
      </c>
      <c r="E1735" s="6">
        <v>-98.81</v>
      </c>
      <c r="F1735" s="6">
        <v>-0.25</v>
      </c>
      <c r="G1735" s="6">
        <v>0.16</v>
      </c>
      <c r="H1735" s="6">
        <v>40</v>
      </c>
    </row>
    <row r="1736" spans="1:8" ht="18.95" customHeight="1">
      <c r="A1736" s="4">
        <v>1732</v>
      </c>
      <c r="B1736" s="4">
        <v>54892</v>
      </c>
      <c r="C1736" s="4">
        <v>1</v>
      </c>
      <c r="D1736" s="6">
        <v>0</v>
      </c>
      <c r="E1736" s="6">
        <v>-98.75</v>
      </c>
      <c r="F1736" s="6">
        <v>-0.22</v>
      </c>
      <c r="G1736" s="6">
        <v>-0.11</v>
      </c>
      <c r="H1736" s="6">
        <v>42</v>
      </c>
    </row>
    <row r="1737" spans="1:8" ht="18.95" customHeight="1">
      <c r="A1737" s="4">
        <v>1733</v>
      </c>
      <c r="B1737" s="4">
        <v>54912</v>
      </c>
      <c r="C1737" s="4">
        <v>1</v>
      </c>
      <c r="D1737" s="6">
        <v>0</v>
      </c>
      <c r="E1737" s="6">
        <v>-98.75</v>
      </c>
      <c r="F1737" s="6">
        <v>-0.2</v>
      </c>
      <c r="G1737" s="6">
        <v>0.08</v>
      </c>
      <c r="H1737" s="6">
        <v>42</v>
      </c>
    </row>
    <row r="1738" spans="1:8" ht="18.95" customHeight="1">
      <c r="A1738" s="4">
        <v>1734</v>
      </c>
      <c r="B1738" s="4">
        <v>54932</v>
      </c>
      <c r="C1738" s="4">
        <v>1</v>
      </c>
      <c r="D1738" s="6">
        <v>0</v>
      </c>
      <c r="E1738" s="6">
        <v>-98.69</v>
      </c>
      <c r="F1738" s="6">
        <v>-0.17</v>
      </c>
      <c r="G1738" s="6">
        <v>0.15</v>
      </c>
      <c r="H1738" s="6">
        <v>42</v>
      </c>
    </row>
    <row r="1739" spans="1:8" ht="18.95" customHeight="1">
      <c r="A1739" s="4">
        <v>1735</v>
      </c>
      <c r="B1739" s="4">
        <v>54952</v>
      </c>
      <c r="C1739" s="4">
        <v>1</v>
      </c>
      <c r="D1739" s="6">
        <v>0</v>
      </c>
      <c r="E1739" s="6">
        <v>-98.69</v>
      </c>
      <c r="F1739" s="6">
        <v>-0.15</v>
      </c>
      <c r="G1739" s="6">
        <v>0.03</v>
      </c>
      <c r="H1739" s="6">
        <v>46</v>
      </c>
    </row>
    <row r="1740" spans="1:8" ht="18.95" customHeight="1">
      <c r="A1740" s="4">
        <v>1736</v>
      </c>
      <c r="B1740" s="4">
        <v>54972</v>
      </c>
      <c r="C1740" s="4">
        <v>1</v>
      </c>
      <c r="D1740" s="6">
        <v>0</v>
      </c>
      <c r="E1740" s="6">
        <v>-98.69</v>
      </c>
      <c r="F1740" s="6">
        <v>-0.12</v>
      </c>
      <c r="G1740" s="6">
        <v>0.1</v>
      </c>
      <c r="H1740" s="6">
        <v>46</v>
      </c>
    </row>
    <row r="1741" spans="1:8" ht="18.95" customHeight="1">
      <c r="A1741" s="4">
        <v>1737</v>
      </c>
      <c r="B1741" s="4">
        <v>54992</v>
      </c>
      <c r="C1741" s="4">
        <v>1</v>
      </c>
      <c r="D1741" s="6">
        <v>0</v>
      </c>
      <c r="E1741" s="6">
        <v>-98.69</v>
      </c>
      <c r="F1741" s="6">
        <v>-0.09</v>
      </c>
      <c r="G1741" s="6">
        <v>0.06</v>
      </c>
      <c r="H1741" s="6">
        <v>50</v>
      </c>
    </row>
    <row r="1742" spans="1:8" ht="18.95" customHeight="1">
      <c r="A1742" s="4">
        <v>1738</v>
      </c>
      <c r="B1742" s="4">
        <v>55012</v>
      </c>
      <c r="C1742" s="4">
        <v>1</v>
      </c>
      <c r="D1742" s="6">
        <v>0</v>
      </c>
      <c r="E1742" s="6">
        <v>-98.75</v>
      </c>
      <c r="F1742" s="6">
        <v>-0.06</v>
      </c>
      <c r="G1742" s="6">
        <v>0.03</v>
      </c>
      <c r="H1742" s="6">
        <v>50</v>
      </c>
    </row>
    <row r="1743" spans="1:8" ht="18.95" customHeight="1">
      <c r="A1743" s="4">
        <v>1739</v>
      </c>
      <c r="B1743" s="4">
        <v>55032</v>
      </c>
      <c r="C1743" s="4">
        <v>1</v>
      </c>
      <c r="D1743" s="6">
        <v>0</v>
      </c>
      <c r="E1743" s="6">
        <v>-98.75</v>
      </c>
      <c r="F1743" s="6">
        <v>-0.04</v>
      </c>
      <c r="G1743" s="6">
        <v>0.15</v>
      </c>
      <c r="H1743" s="6">
        <v>50</v>
      </c>
    </row>
    <row r="1744" spans="1:8" ht="18.95" customHeight="1">
      <c r="A1744" s="4">
        <v>1740</v>
      </c>
      <c r="B1744" s="4">
        <v>55052</v>
      </c>
      <c r="C1744" s="4">
        <v>1</v>
      </c>
      <c r="D1744" s="6">
        <v>0</v>
      </c>
      <c r="E1744" s="6">
        <v>-98.75</v>
      </c>
      <c r="F1744" s="6">
        <v>-0.01</v>
      </c>
      <c r="G1744" s="6">
        <v>-0.02</v>
      </c>
      <c r="H1744" s="6">
        <v>53</v>
      </c>
    </row>
    <row r="1745" spans="1:8" ht="18.95" customHeight="1">
      <c r="A1745" s="4">
        <v>1741</v>
      </c>
      <c r="B1745" s="4">
        <v>55072</v>
      </c>
      <c r="C1745" s="4">
        <v>1</v>
      </c>
      <c r="D1745" s="6">
        <v>0</v>
      </c>
      <c r="E1745" s="6">
        <v>-98.81</v>
      </c>
      <c r="F1745" s="6">
        <v>0.01</v>
      </c>
      <c r="G1745" s="6">
        <v>-0.05</v>
      </c>
      <c r="H1745" s="6">
        <v>53</v>
      </c>
    </row>
    <row r="1746" spans="1:8" ht="18.95" customHeight="1">
      <c r="A1746" s="4">
        <v>1742</v>
      </c>
      <c r="B1746" s="4">
        <v>55093</v>
      </c>
      <c r="C1746" s="4">
        <v>1</v>
      </c>
      <c r="D1746" s="6">
        <v>0</v>
      </c>
      <c r="E1746" s="6">
        <v>-98.87</v>
      </c>
      <c r="F1746" s="6">
        <v>0.04</v>
      </c>
      <c r="G1746" s="6">
        <v>-0.02</v>
      </c>
      <c r="H1746" s="6">
        <v>59</v>
      </c>
    </row>
    <row r="1747" spans="1:8" ht="18.95" customHeight="1">
      <c r="A1747" s="4">
        <v>1743</v>
      </c>
      <c r="B1747" s="4">
        <v>55113</v>
      </c>
      <c r="C1747" s="4">
        <v>1</v>
      </c>
      <c r="D1747" s="6">
        <v>0</v>
      </c>
      <c r="E1747" s="6">
        <v>-98.87</v>
      </c>
      <c r="F1747" s="6">
        <v>0.06</v>
      </c>
      <c r="G1747" s="6">
        <v>-0.05</v>
      </c>
      <c r="H1747" s="6">
        <v>59</v>
      </c>
    </row>
    <row r="1748" spans="1:8" ht="18.95" customHeight="1">
      <c r="A1748" s="4">
        <v>1744</v>
      </c>
      <c r="B1748" s="4">
        <v>55133</v>
      </c>
      <c r="C1748" s="4">
        <v>1</v>
      </c>
      <c r="D1748" s="6">
        <v>0</v>
      </c>
      <c r="E1748" s="6">
        <v>-98.94</v>
      </c>
      <c r="F1748" s="6">
        <v>0.08</v>
      </c>
      <c r="G1748" s="6">
        <v>0.3</v>
      </c>
      <c r="H1748" s="6">
        <v>59</v>
      </c>
    </row>
    <row r="1749" spans="1:8" ht="18.95" customHeight="1">
      <c r="A1749" s="4">
        <v>1745</v>
      </c>
      <c r="B1749" s="4">
        <v>55153</v>
      </c>
      <c r="C1749" s="4">
        <v>1</v>
      </c>
      <c r="D1749" s="6">
        <v>0</v>
      </c>
      <c r="E1749" s="6">
        <v>-98.94</v>
      </c>
      <c r="F1749" s="6">
        <v>0.11</v>
      </c>
      <c r="G1749" s="6">
        <v>0.15</v>
      </c>
      <c r="H1749" s="6">
        <v>59</v>
      </c>
    </row>
    <row r="1750" spans="1:8" ht="18.95" customHeight="1">
      <c r="A1750" s="4">
        <v>1746</v>
      </c>
      <c r="B1750" s="4">
        <v>55173</v>
      </c>
      <c r="C1750" s="4">
        <v>1</v>
      </c>
      <c r="D1750" s="6">
        <v>0</v>
      </c>
      <c r="E1750" s="6">
        <v>-99</v>
      </c>
      <c r="F1750" s="6">
        <v>0.13</v>
      </c>
      <c r="G1750" s="6">
        <v>0.02</v>
      </c>
      <c r="H1750" s="6">
        <v>59</v>
      </c>
    </row>
    <row r="1751" spans="1:8" ht="18.95" customHeight="1">
      <c r="A1751" s="4">
        <v>1747</v>
      </c>
      <c r="B1751" s="4">
        <v>55193</v>
      </c>
      <c r="C1751" s="4">
        <v>1</v>
      </c>
      <c r="D1751" s="6">
        <v>0</v>
      </c>
      <c r="E1751" s="6">
        <v>-99.06</v>
      </c>
      <c r="F1751" s="6">
        <v>0.17</v>
      </c>
      <c r="G1751" s="6">
        <v>0.01</v>
      </c>
      <c r="H1751" s="6">
        <v>64</v>
      </c>
    </row>
    <row r="1752" spans="1:8" ht="18.95" customHeight="1">
      <c r="A1752" s="4">
        <v>1748</v>
      </c>
      <c r="B1752" s="4">
        <v>55213</v>
      </c>
      <c r="C1752" s="4">
        <v>1</v>
      </c>
      <c r="D1752" s="6">
        <v>0</v>
      </c>
      <c r="E1752" s="6">
        <v>-99.12</v>
      </c>
      <c r="F1752" s="6">
        <v>0.19</v>
      </c>
      <c r="G1752" s="6">
        <v>0.08</v>
      </c>
      <c r="H1752" s="6">
        <v>64</v>
      </c>
    </row>
    <row r="1753" spans="1:8" ht="18.95" customHeight="1">
      <c r="A1753" s="4">
        <v>1749</v>
      </c>
      <c r="B1753" s="4">
        <v>55233</v>
      </c>
      <c r="C1753" s="4">
        <v>1</v>
      </c>
      <c r="D1753" s="6">
        <v>0</v>
      </c>
      <c r="E1753" s="6">
        <v>-99.19</v>
      </c>
      <c r="F1753" s="6">
        <v>0.21</v>
      </c>
      <c r="G1753" s="6">
        <v>-0.06</v>
      </c>
      <c r="H1753" s="6">
        <v>64</v>
      </c>
    </row>
    <row r="1754" spans="1:8" ht="18.95" customHeight="1">
      <c r="A1754" s="4">
        <v>1750</v>
      </c>
      <c r="B1754" s="4">
        <v>55254</v>
      </c>
      <c r="C1754" s="4">
        <v>1</v>
      </c>
      <c r="D1754" s="6">
        <v>0</v>
      </c>
      <c r="E1754" s="6">
        <v>-99.31</v>
      </c>
      <c r="F1754" s="6">
        <v>0.23</v>
      </c>
      <c r="G1754" s="6">
        <v>0.15</v>
      </c>
      <c r="H1754" s="6">
        <v>69</v>
      </c>
    </row>
    <row r="1755" spans="1:8" ht="18.95" customHeight="1">
      <c r="A1755" s="4">
        <v>1751</v>
      </c>
      <c r="B1755" s="4">
        <v>55274</v>
      </c>
      <c r="C1755" s="4">
        <v>1</v>
      </c>
      <c r="D1755" s="6">
        <v>0</v>
      </c>
      <c r="E1755" s="6">
        <v>-99.37</v>
      </c>
      <c r="F1755" s="6">
        <v>0.24</v>
      </c>
      <c r="G1755" s="6">
        <v>0.06</v>
      </c>
      <c r="H1755" s="6">
        <v>69</v>
      </c>
    </row>
    <row r="1756" spans="1:8" ht="18.95" customHeight="1">
      <c r="A1756" s="4">
        <v>1752</v>
      </c>
      <c r="B1756" s="4">
        <v>55294</v>
      </c>
      <c r="C1756" s="4">
        <v>1</v>
      </c>
      <c r="D1756" s="6">
        <v>0</v>
      </c>
      <c r="E1756" s="6">
        <v>-99.5</v>
      </c>
      <c r="F1756" s="6">
        <v>0.28000000000000003</v>
      </c>
      <c r="G1756" s="6">
        <v>0</v>
      </c>
      <c r="H1756" s="6">
        <v>70</v>
      </c>
    </row>
    <row r="1757" spans="1:8" ht="18.95" customHeight="1">
      <c r="A1757" s="4">
        <v>1753</v>
      </c>
      <c r="B1757" s="4">
        <v>55314</v>
      </c>
      <c r="C1757" s="4">
        <v>1</v>
      </c>
      <c r="D1757" s="6">
        <v>0</v>
      </c>
      <c r="E1757" s="6">
        <v>-99.62</v>
      </c>
      <c r="F1757" s="6">
        <v>0.28000000000000003</v>
      </c>
      <c r="G1757" s="6">
        <v>-0.01</v>
      </c>
      <c r="H1757" s="6">
        <v>70</v>
      </c>
    </row>
    <row r="1758" spans="1:8" ht="18.95" customHeight="1">
      <c r="A1758" s="4">
        <v>1754</v>
      </c>
      <c r="B1758" s="4">
        <v>55334</v>
      </c>
      <c r="C1758" s="4">
        <v>1</v>
      </c>
      <c r="D1758" s="6">
        <v>0</v>
      </c>
      <c r="E1758" s="6">
        <v>-99.69</v>
      </c>
      <c r="F1758" s="6">
        <v>0.3</v>
      </c>
      <c r="G1758" s="6">
        <v>0.09</v>
      </c>
      <c r="H1758" s="6">
        <v>70</v>
      </c>
    </row>
    <row r="1759" spans="1:8" ht="18.95" customHeight="1">
      <c r="A1759" s="4">
        <v>1755</v>
      </c>
      <c r="B1759" s="4">
        <v>55354</v>
      </c>
      <c r="C1759" s="4">
        <v>1</v>
      </c>
      <c r="D1759" s="6">
        <v>0</v>
      </c>
      <c r="E1759" s="6">
        <v>-99.81</v>
      </c>
      <c r="F1759" s="6">
        <v>0.31</v>
      </c>
      <c r="G1759" s="6">
        <v>0.14000000000000001</v>
      </c>
      <c r="H1759" s="6">
        <v>74</v>
      </c>
    </row>
    <row r="1760" spans="1:8" ht="18.95" customHeight="1">
      <c r="A1760" s="4">
        <v>1756</v>
      </c>
      <c r="B1760" s="4">
        <v>55374</v>
      </c>
      <c r="C1760" s="4">
        <v>1</v>
      </c>
      <c r="D1760" s="6">
        <v>0</v>
      </c>
      <c r="E1760" s="6">
        <v>-100</v>
      </c>
      <c r="F1760" s="6">
        <v>0.34</v>
      </c>
      <c r="G1760" s="6">
        <v>0.05</v>
      </c>
      <c r="H1760" s="6">
        <v>74</v>
      </c>
    </row>
    <row r="1761" spans="1:8" ht="18.95" customHeight="1">
      <c r="A1761" s="4">
        <v>1757</v>
      </c>
      <c r="B1761" s="4">
        <v>55394</v>
      </c>
      <c r="C1761" s="4">
        <v>1</v>
      </c>
      <c r="D1761" s="6">
        <v>0</v>
      </c>
      <c r="E1761" s="6">
        <v>-100.12</v>
      </c>
      <c r="F1761" s="6">
        <v>0.35</v>
      </c>
      <c r="G1761" s="6">
        <v>-0.03</v>
      </c>
      <c r="H1761" s="6">
        <v>75</v>
      </c>
    </row>
    <row r="1762" spans="1:8" ht="18.95" customHeight="1">
      <c r="A1762" s="4">
        <v>1758</v>
      </c>
      <c r="B1762" s="4">
        <v>55414</v>
      </c>
      <c r="C1762" s="4">
        <v>1</v>
      </c>
      <c r="D1762" s="6">
        <v>0</v>
      </c>
      <c r="E1762" s="6">
        <v>-100.31</v>
      </c>
      <c r="F1762" s="6">
        <v>0.36</v>
      </c>
      <c r="G1762" s="6">
        <v>-0.14000000000000001</v>
      </c>
      <c r="H1762" s="6">
        <v>75</v>
      </c>
    </row>
    <row r="1763" spans="1:8" ht="18.95" customHeight="1">
      <c r="A1763" s="4">
        <v>1759</v>
      </c>
      <c r="B1763" s="4">
        <v>55434</v>
      </c>
      <c r="C1763" s="4">
        <v>1</v>
      </c>
      <c r="D1763" s="6">
        <v>0</v>
      </c>
      <c r="E1763" s="6">
        <v>-100.5</v>
      </c>
      <c r="F1763" s="6">
        <v>0.39</v>
      </c>
      <c r="G1763" s="6">
        <v>-0.01</v>
      </c>
      <c r="H1763" s="6">
        <v>75</v>
      </c>
    </row>
    <row r="1764" spans="1:8" ht="18.95" customHeight="1">
      <c r="A1764" s="4">
        <v>1760</v>
      </c>
      <c r="B1764" s="4">
        <v>55454</v>
      </c>
      <c r="C1764" s="4">
        <v>1</v>
      </c>
      <c r="D1764" s="6">
        <v>0</v>
      </c>
      <c r="E1764" s="6">
        <v>-100.75</v>
      </c>
      <c r="F1764" s="6">
        <v>0.43</v>
      </c>
      <c r="G1764" s="6">
        <v>-0.02</v>
      </c>
      <c r="H1764" s="6">
        <v>77</v>
      </c>
    </row>
    <row r="1765" spans="1:8" ht="18.95" customHeight="1">
      <c r="A1765" s="4">
        <v>1761</v>
      </c>
      <c r="B1765" s="4">
        <v>55474</v>
      </c>
      <c r="C1765" s="4">
        <v>1</v>
      </c>
      <c r="D1765" s="6">
        <v>0</v>
      </c>
      <c r="E1765" s="6">
        <v>-101</v>
      </c>
      <c r="F1765" s="6">
        <v>0.45</v>
      </c>
      <c r="G1765" s="6">
        <v>-0.04</v>
      </c>
      <c r="H1765" s="6">
        <v>77</v>
      </c>
    </row>
    <row r="1766" spans="1:8" ht="18.95" customHeight="1">
      <c r="A1766" s="4">
        <v>1762</v>
      </c>
      <c r="B1766" s="4">
        <v>55494</v>
      </c>
      <c r="C1766" s="4">
        <v>1</v>
      </c>
      <c r="D1766" s="6">
        <v>0</v>
      </c>
      <c r="E1766" s="6">
        <v>-101.25</v>
      </c>
      <c r="F1766" s="6">
        <v>0.45</v>
      </c>
      <c r="G1766" s="6">
        <v>-0.06</v>
      </c>
      <c r="H1766" s="6">
        <v>78</v>
      </c>
    </row>
    <row r="1767" spans="1:8" ht="18.95" customHeight="1">
      <c r="A1767" s="4">
        <v>1763</v>
      </c>
      <c r="B1767" s="4">
        <v>55514</v>
      </c>
      <c r="C1767" s="4">
        <v>1</v>
      </c>
      <c r="D1767" s="6">
        <v>0</v>
      </c>
      <c r="E1767" s="6">
        <v>-101.5</v>
      </c>
      <c r="F1767" s="6">
        <v>0.43</v>
      </c>
      <c r="G1767" s="6">
        <v>0.23</v>
      </c>
      <c r="H1767" s="6">
        <v>78</v>
      </c>
    </row>
    <row r="1768" spans="1:8" ht="18.95" customHeight="1">
      <c r="A1768" s="4">
        <v>1764</v>
      </c>
      <c r="B1768" s="4">
        <v>55534</v>
      </c>
      <c r="C1768" s="4">
        <v>1</v>
      </c>
      <c r="D1768" s="6">
        <v>0</v>
      </c>
      <c r="E1768" s="6">
        <v>-101.75</v>
      </c>
      <c r="F1768" s="6">
        <v>0.42</v>
      </c>
      <c r="G1768" s="6">
        <v>0.04</v>
      </c>
      <c r="H1768" s="6">
        <v>78</v>
      </c>
    </row>
    <row r="1769" spans="1:8" ht="18.95" customHeight="1">
      <c r="A1769" s="4">
        <v>1765</v>
      </c>
      <c r="B1769" s="4">
        <v>55554</v>
      </c>
      <c r="C1769" s="4">
        <v>1</v>
      </c>
      <c r="D1769" s="6">
        <v>0</v>
      </c>
      <c r="E1769" s="6">
        <v>-102</v>
      </c>
      <c r="F1769" s="6">
        <v>0.42</v>
      </c>
      <c r="G1769" s="6">
        <v>0</v>
      </c>
      <c r="H1769" s="6">
        <v>82</v>
      </c>
    </row>
    <row r="1770" spans="1:8" ht="18.95" customHeight="1">
      <c r="A1770" s="4">
        <v>1766</v>
      </c>
      <c r="B1770" s="4">
        <v>55574</v>
      </c>
      <c r="C1770" s="4">
        <v>1</v>
      </c>
      <c r="D1770" s="6">
        <v>0</v>
      </c>
      <c r="E1770" s="6">
        <v>-102.31</v>
      </c>
      <c r="F1770" s="6">
        <v>0.42</v>
      </c>
      <c r="G1770" s="6">
        <v>0.22</v>
      </c>
      <c r="H1770" s="6">
        <v>82</v>
      </c>
    </row>
    <row r="1771" spans="1:8" ht="18.95" customHeight="1">
      <c r="A1771" s="4">
        <v>1767</v>
      </c>
      <c r="B1771" s="4">
        <v>55595</v>
      </c>
      <c r="C1771" s="4">
        <v>1</v>
      </c>
      <c r="D1771" s="6">
        <v>0</v>
      </c>
      <c r="E1771" s="6">
        <v>-102.56</v>
      </c>
      <c r="F1771" s="6">
        <v>0.44</v>
      </c>
      <c r="G1771" s="6">
        <v>-0.05</v>
      </c>
      <c r="H1771" s="6">
        <v>78</v>
      </c>
    </row>
    <row r="1772" spans="1:8" ht="18.95" customHeight="1">
      <c r="A1772" s="4">
        <v>1768</v>
      </c>
      <c r="B1772" s="4">
        <v>55615</v>
      </c>
      <c r="C1772" s="4">
        <v>1</v>
      </c>
      <c r="D1772" s="6">
        <v>0</v>
      </c>
      <c r="E1772" s="6">
        <v>-102.94</v>
      </c>
      <c r="F1772" s="6">
        <v>0.44</v>
      </c>
      <c r="G1772" s="6">
        <v>0.02</v>
      </c>
      <c r="H1772" s="6">
        <v>78</v>
      </c>
    </row>
    <row r="1773" spans="1:8" ht="18.95" customHeight="1">
      <c r="A1773" s="4">
        <v>1769</v>
      </c>
      <c r="B1773" s="4">
        <v>55635</v>
      </c>
      <c r="C1773" s="4">
        <v>1</v>
      </c>
      <c r="D1773" s="6">
        <v>0</v>
      </c>
      <c r="E1773" s="6">
        <v>-103.31</v>
      </c>
      <c r="F1773" s="6">
        <v>0.49</v>
      </c>
      <c r="G1773" s="6">
        <v>0.1</v>
      </c>
      <c r="H1773" s="6">
        <v>78</v>
      </c>
    </row>
    <row r="1774" spans="1:8" ht="18.95" customHeight="1">
      <c r="A1774" s="4">
        <v>1770</v>
      </c>
      <c r="B1774" s="4">
        <v>55655</v>
      </c>
      <c r="C1774" s="4">
        <v>1</v>
      </c>
      <c r="D1774" s="6">
        <v>0</v>
      </c>
      <c r="E1774" s="6">
        <v>-103.69</v>
      </c>
      <c r="F1774" s="6">
        <v>0.52</v>
      </c>
      <c r="G1774" s="6">
        <v>-0.19</v>
      </c>
      <c r="H1774" s="6">
        <v>82</v>
      </c>
    </row>
    <row r="1775" spans="1:8" ht="18.95" customHeight="1">
      <c r="A1775" s="4">
        <v>1771</v>
      </c>
      <c r="B1775" s="4">
        <v>55675</v>
      </c>
      <c r="C1775" s="4">
        <v>1</v>
      </c>
      <c r="D1775" s="6">
        <v>0</v>
      </c>
      <c r="E1775" s="6">
        <v>-104.12</v>
      </c>
      <c r="F1775" s="6">
        <v>0.54</v>
      </c>
      <c r="G1775" s="6">
        <v>-0.08</v>
      </c>
      <c r="H1775" s="6">
        <v>82</v>
      </c>
    </row>
    <row r="1776" spans="1:8" ht="18.95" customHeight="1">
      <c r="A1776" s="4">
        <v>1772</v>
      </c>
      <c r="B1776" s="4">
        <v>55695</v>
      </c>
      <c r="C1776" s="4">
        <v>1</v>
      </c>
      <c r="D1776" s="6">
        <v>0</v>
      </c>
      <c r="E1776" s="6">
        <v>-104.62</v>
      </c>
      <c r="F1776" s="6">
        <v>0.5</v>
      </c>
      <c r="G1776" s="6">
        <v>-0.13</v>
      </c>
      <c r="H1776" s="6">
        <v>84</v>
      </c>
    </row>
    <row r="1777" spans="1:8" ht="18.95" customHeight="1">
      <c r="A1777" s="4">
        <v>1773</v>
      </c>
      <c r="B1777" s="4">
        <v>55715</v>
      </c>
      <c r="C1777" s="4">
        <v>1</v>
      </c>
      <c r="D1777" s="6">
        <v>0</v>
      </c>
      <c r="E1777" s="6">
        <v>-105.12</v>
      </c>
      <c r="F1777" s="6">
        <v>0.5</v>
      </c>
      <c r="G1777" s="6">
        <v>0.14000000000000001</v>
      </c>
      <c r="H1777" s="6">
        <v>84</v>
      </c>
    </row>
    <row r="1778" spans="1:8" ht="18.95" customHeight="1">
      <c r="A1778" s="4">
        <v>1774</v>
      </c>
      <c r="B1778" s="4">
        <v>55735</v>
      </c>
      <c r="C1778" s="4">
        <v>1</v>
      </c>
      <c r="D1778" s="6">
        <v>0</v>
      </c>
      <c r="E1778" s="6">
        <v>-105.62</v>
      </c>
      <c r="F1778" s="6">
        <v>0.51</v>
      </c>
      <c r="G1778" s="6">
        <v>0.08</v>
      </c>
      <c r="H1778" s="6">
        <v>84</v>
      </c>
    </row>
    <row r="1779" spans="1:8" ht="18.95" customHeight="1">
      <c r="A1779" s="4">
        <v>1775</v>
      </c>
      <c r="B1779" s="4">
        <v>55755</v>
      </c>
      <c r="C1779" s="4">
        <v>1</v>
      </c>
      <c r="D1779" s="6">
        <v>0</v>
      </c>
      <c r="E1779" s="6">
        <v>-106.19</v>
      </c>
      <c r="F1779" s="6">
        <v>0.51</v>
      </c>
      <c r="G1779" s="6">
        <v>0.05</v>
      </c>
      <c r="H1779" s="6">
        <v>82</v>
      </c>
    </row>
    <row r="1780" spans="1:8" ht="18.95" customHeight="1">
      <c r="A1780" s="4">
        <v>1776</v>
      </c>
      <c r="B1780" s="4">
        <v>55775</v>
      </c>
      <c r="C1780" s="4">
        <v>1</v>
      </c>
      <c r="D1780" s="6">
        <v>0</v>
      </c>
      <c r="E1780" s="6">
        <v>-106.81</v>
      </c>
      <c r="F1780" s="6">
        <v>0.49</v>
      </c>
      <c r="G1780" s="6">
        <v>-0.14000000000000001</v>
      </c>
      <c r="H1780" s="6">
        <v>82</v>
      </c>
    </row>
    <row r="1781" spans="1:8" ht="18.95" customHeight="1">
      <c r="A1781" s="4">
        <v>1777</v>
      </c>
      <c r="B1781" s="4">
        <v>55795</v>
      </c>
      <c r="C1781" s="4">
        <v>1</v>
      </c>
      <c r="D1781" s="6">
        <v>0</v>
      </c>
      <c r="E1781" s="6">
        <v>-107.44</v>
      </c>
      <c r="F1781" s="6">
        <v>0.53</v>
      </c>
      <c r="G1781" s="6">
        <v>-0.08</v>
      </c>
      <c r="H1781" s="6">
        <v>82</v>
      </c>
    </row>
    <row r="1782" spans="1:8" ht="18.95" customHeight="1">
      <c r="A1782" s="4">
        <v>1778</v>
      </c>
      <c r="B1782" s="4">
        <v>55815</v>
      </c>
      <c r="C1782" s="4">
        <v>1</v>
      </c>
      <c r="D1782" s="6">
        <v>0</v>
      </c>
      <c r="E1782" s="6">
        <v>-108.12</v>
      </c>
      <c r="F1782" s="6">
        <v>0.54</v>
      </c>
      <c r="G1782" s="6">
        <v>0</v>
      </c>
      <c r="H1782" s="6">
        <v>82</v>
      </c>
    </row>
    <row r="1783" spans="1:8" ht="18.95" customHeight="1">
      <c r="A1783" s="4">
        <v>1779</v>
      </c>
      <c r="B1783" s="4">
        <v>55835</v>
      </c>
      <c r="C1783" s="4">
        <v>1</v>
      </c>
      <c r="D1783" s="6">
        <v>0</v>
      </c>
      <c r="E1783" s="6">
        <v>-108.94</v>
      </c>
      <c r="F1783" s="6">
        <v>0.57999999999999996</v>
      </c>
      <c r="G1783" s="6">
        <v>0.28999999999999998</v>
      </c>
      <c r="H1783" s="6">
        <v>82</v>
      </c>
    </row>
    <row r="1784" spans="1:8" ht="18.95" customHeight="1">
      <c r="A1784" s="4">
        <v>1780</v>
      </c>
      <c r="B1784" s="4">
        <v>55855</v>
      </c>
      <c r="C1784" s="4">
        <v>1</v>
      </c>
      <c r="D1784" s="6">
        <v>0</v>
      </c>
      <c r="E1784" s="6">
        <v>-109.75</v>
      </c>
      <c r="F1784" s="6">
        <v>0.6</v>
      </c>
      <c r="G1784" s="6">
        <v>-0.16</v>
      </c>
      <c r="H1784" s="6">
        <v>84</v>
      </c>
    </row>
    <row r="1785" spans="1:8" ht="18.95" customHeight="1">
      <c r="A1785" s="4">
        <v>1781</v>
      </c>
      <c r="B1785" s="4">
        <v>55875</v>
      </c>
      <c r="C1785" s="4">
        <v>1</v>
      </c>
      <c r="D1785" s="6">
        <v>0</v>
      </c>
      <c r="E1785" s="6">
        <v>-110.62</v>
      </c>
      <c r="F1785" s="6">
        <v>0.56000000000000005</v>
      </c>
      <c r="G1785" s="6">
        <v>0.05</v>
      </c>
      <c r="H1785" s="6">
        <v>84</v>
      </c>
    </row>
    <row r="1786" spans="1:8" ht="18.95" customHeight="1">
      <c r="A1786" s="4">
        <v>1782</v>
      </c>
      <c r="B1786" s="4">
        <v>55896</v>
      </c>
      <c r="C1786" s="4">
        <v>1</v>
      </c>
      <c r="D1786" s="6">
        <v>0</v>
      </c>
      <c r="E1786" s="6">
        <v>-111.62</v>
      </c>
      <c r="F1786" s="6">
        <v>0.55000000000000004</v>
      </c>
      <c r="G1786" s="6">
        <v>-0.16</v>
      </c>
      <c r="H1786" s="6">
        <v>84</v>
      </c>
    </row>
    <row r="1787" spans="1:8" ht="18.95" customHeight="1">
      <c r="A1787" s="4">
        <v>1783</v>
      </c>
      <c r="B1787" s="4">
        <v>55916</v>
      </c>
      <c r="C1787" s="4">
        <v>1</v>
      </c>
      <c r="D1787" s="6">
        <v>0</v>
      </c>
      <c r="E1787" s="6">
        <v>-112.69</v>
      </c>
      <c r="F1787" s="6">
        <v>0.55000000000000004</v>
      </c>
      <c r="G1787" s="6">
        <v>0.13</v>
      </c>
      <c r="H1787" s="6">
        <v>84</v>
      </c>
    </row>
    <row r="1788" spans="1:8" ht="18.95" customHeight="1">
      <c r="A1788" s="4">
        <v>1784</v>
      </c>
      <c r="B1788" s="4">
        <v>55936</v>
      </c>
      <c r="C1788" s="4">
        <v>1</v>
      </c>
      <c r="D1788" s="6">
        <v>0</v>
      </c>
      <c r="E1788" s="6">
        <v>-113.94</v>
      </c>
      <c r="F1788" s="6">
        <v>0.55000000000000004</v>
      </c>
      <c r="G1788" s="6">
        <v>0.08</v>
      </c>
      <c r="H1788" s="6">
        <v>84</v>
      </c>
    </row>
    <row r="1789" spans="1:8" ht="18.95" customHeight="1">
      <c r="A1789" s="4">
        <v>1785</v>
      </c>
      <c r="B1789" s="4">
        <v>55956</v>
      </c>
      <c r="C1789" s="4">
        <v>1</v>
      </c>
      <c r="D1789" s="6">
        <v>0</v>
      </c>
      <c r="E1789" s="6">
        <v>-115.25</v>
      </c>
      <c r="F1789" s="6">
        <v>0.52</v>
      </c>
      <c r="G1789" s="6">
        <v>0.06</v>
      </c>
      <c r="H1789" s="6">
        <v>84</v>
      </c>
    </row>
    <row r="1790" spans="1:8" ht="18.95" customHeight="1">
      <c r="A1790" s="4">
        <v>1786</v>
      </c>
      <c r="B1790" s="4">
        <v>55976</v>
      </c>
      <c r="C1790" s="4">
        <v>1</v>
      </c>
      <c r="D1790" s="6">
        <v>0</v>
      </c>
      <c r="E1790" s="6">
        <v>-116.62</v>
      </c>
      <c r="F1790" s="6">
        <v>0.5</v>
      </c>
      <c r="G1790" s="6">
        <v>0.02</v>
      </c>
      <c r="H1790" s="6">
        <v>84</v>
      </c>
    </row>
    <row r="1791" spans="1:8" ht="18.95" customHeight="1">
      <c r="A1791" s="4">
        <v>1787</v>
      </c>
      <c r="B1791" s="4">
        <v>55996</v>
      </c>
      <c r="C1791" s="4">
        <v>1</v>
      </c>
      <c r="D1791" s="6">
        <v>0</v>
      </c>
      <c r="E1791" s="6">
        <v>-118.19</v>
      </c>
      <c r="F1791" s="6">
        <v>0.5</v>
      </c>
      <c r="G1791" s="6">
        <v>-0.09</v>
      </c>
      <c r="H1791" s="6">
        <v>83</v>
      </c>
    </row>
    <row r="1792" spans="1:8" ht="18.95" customHeight="1">
      <c r="A1792" s="4">
        <v>1788</v>
      </c>
      <c r="B1792" s="4">
        <v>56016</v>
      </c>
      <c r="C1792" s="4">
        <v>1</v>
      </c>
      <c r="D1792" s="6">
        <v>0</v>
      </c>
      <c r="E1792" s="6">
        <v>-119.87</v>
      </c>
      <c r="F1792" s="6">
        <v>0.51</v>
      </c>
      <c r="G1792" s="6">
        <v>-0.1</v>
      </c>
      <c r="H1792" s="6">
        <v>83</v>
      </c>
    </row>
    <row r="1793" spans="1:8" ht="18.95" customHeight="1">
      <c r="A1793" s="4">
        <v>1789</v>
      </c>
      <c r="B1793" s="4">
        <v>56036</v>
      </c>
      <c r="C1793" s="4">
        <v>1</v>
      </c>
      <c r="D1793" s="6">
        <v>0</v>
      </c>
      <c r="E1793" s="6">
        <v>-121.81</v>
      </c>
      <c r="F1793" s="6">
        <v>0.49</v>
      </c>
      <c r="G1793" s="6">
        <v>-0.16</v>
      </c>
      <c r="H1793" s="6">
        <v>83</v>
      </c>
    </row>
    <row r="1794" spans="1:8" ht="18.95" customHeight="1">
      <c r="A1794" s="4">
        <v>1790</v>
      </c>
      <c r="B1794" s="4">
        <v>56056</v>
      </c>
      <c r="C1794" s="4">
        <v>1</v>
      </c>
      <c r="D1794" s="6">
        <v>0</v>
      </c>
      <c r="E1794" s="6">
        <v>-123.87</v>
      </c>
      <c r="F1794" s="6">
        <v>0.45</v>
      </c>
      <c r="G1794" s="6">
        <v>-0.02</v>
      </c>
      <c r="H1794" s="6">
        <v>81</v>
      </c>
    </row>
    <row r="1795" spans="1:8" ht="18.95" customHeight="1">
      <c r="A1795" s="4">
        <v>1791</v>
      </c>
      <c r="B1795" s="4">
        <v>56076</v>
      </c>
      <c r="C1795" s="4">
        <v>1</v>
      </c>
      <c r="D1795" s="6">
        <v>0</v>
      </c>
      <c r="E1795" s="6">
        <v>-126.19</v>
      </c>
      <c r="F1795" s="6">
        <v>0.48</v>
      </c>
      <c r="G1795" s="6">
        <v>-0.03</v>
      </c>
      <c r="H1795" s="6">
        <v>81</v>
      </c>
    </row>
    <row r="1796" spans="1:8" ht="18.95" customHeight="1">
      <c r="A1796" s="4">
        <v>1792</v>
      </c>
      <c r="B1796" s="4">
        <v>56096</v>
      </c>
      <c r="C1796" s="4">
        <v>1</v>
      </c>
      <c r="D1796" s="6">
        <v>0</v>
      </c>
      <c r="E1796" s="6">
        <v>-174.88</v>
      </c>
      <c r="F1796" s="6">
        <v>0.47</v>
      </c>
      <c r="G1796" s="6">
        <v>-0.03</v>
      </c>
      <c r="H1796" s="6">
        <v>81</v>
      </c>
    </row>
    <row r="1797" spans="1:8" ht="18.95" customHeight="1">
      <c r="A1797" s="4">
        <v>1793</v>
      </c>
      <c r="B1797" s="4">
        <v>56116</v>
      </c>
      <c r="C1797" s="4">
        <v>1</v>
      </c>
      <c r="D1797" s="6">
        <v>0</v>
      </c>
      <c r="E1797" s="6">
        <v>-175.44</v>
      </c>
      <c r="F1797" s="6">
        <v>0.47</v>
      </c>
      <c r="G1797" s="6">
        <v>0.04</v>
      </c>
      <c r="H1797" s="6">
        <v>81</v>
      </c>
    </row>
    <row r="1798" spans="1:8" ht="18.95" customHeight="1">
      <c r="A1798" s="4">
        <v>1794</v>
      </c>
      <c r="B1798" s="4">
        <v>56136</v>
      </c>
      <c r="C1798" s="4">
        <v>1</v>
      </c>
      <c r="D1798" s="6">
        <v>0</v>
      </c>
      <c r="E1798" s="6">
        <v>-175.88</v>
      </c>
      <c r="F1798" s="6">
        <v>0.43</v>
      </c>
      <c r="G1798" s="6">
        <v>0.16</v>
      </c>
      <c r="H1798" s="6">
        <v>81</v>
      </c>
    </row>
    <row r="1799" spans="1:8" ht="18.95" customHeight="1">
      <c r="A1799" s="4">
        <v>1795</v>
      </c>
      <c r="B1799" s="4">
        <v>56156</v>
      </c>
      <c r="C1799" s="4">
        <v>1</v>
      </c>
      <c r="D1799" s="6">
        <v>0</v>
      </c>
      <c r="E1799" s="6">
        <v>-176.38</v>
      </c>
      <c r="F1799" s="6">
        <v>0.41</v>
      </c>
      <c r="G1799" s="6">
        <v>0.03</v>
      </c>
      <c r="H1799" s="6">
        <v>80</v>
      </c>
    </row>
    <row r="1800" spans="1:8" ht="18.95" customHeight="1">
      <c r="A1800" s="4">
        <v>1796</v>
      </c>
      <c r="B1800" s="4">
        <v>56176</v>
      </c>
      <c r="C1800" s="4">
        <v>1</v>
      </c>
      <c r="D1800" s="6">
        <v>0</v>
      </c>
      <c r="E1800" s="6">
        <v>-176.81</v>
      </c>
      <c r="F1800" s="6">
        <v>0.4</v>
      </c>
      <c r="G1800" s="6">
        <v>0.02</v>
      </c>
      <c r="H1800" s="6">
        <v>80</v>
      </c>
    </row>
    <row r="1801" spans="1:8" ht="18.95" customHeight="1">
      <c r="A1801" s="4">
        <v>1797</v>
      </c>
      <c r="B1801" s="4">
        <v>56196</v>
      </c>
      <c r="C1801" s="4">
        <v>1</v>
      </c>
      <c r="D1801" s="6">
        <v>0</v>
      </c>
      <c r="E1801" s="6">
        <v>-177.25</v>
      </c>
      <c r="F1801" s="6">
        <v>0.4</v>
      </c>
      <c r="G1801" s="6">
        <v>0.05</v>
      </c>
      <c r="H1801" s="6">
        <v>79</v>
      </c>
    </row>
    <row r="1802" spans="1:8" ht="18.95" customHeight="1">
      <c r="A1802" s="4">
        <v>1798</v>
      </c>
      <c r="B1802" s="4">
        <v>56216</v>
      </c>
      <c r="C1802" s="4">
        <v>1</v>
      </c>
      <c r="D1802" s="6">
        <v>0</v>
      </c>
      <c r="E1802" s="6">
        <v>-177.63</v>
      </c>
      <c r="F1802" s="6">
        <v>0.35</v>
      </c>
      <c r="G1802" s="6">
        <v>0.19</v>
      </c>
      <c r="H1802" s="6">
        <v>79</v>
      </c>
    </row>
    <row r="1803" spans="1:8" ht="18.95" customHeight="1">
      <c r="A1803" s="4">
        <v>1799</v>
      </c>
      <c r="B1803" s="4">
        <v>56236</v>
      </c>
      <c r="C1803" s="4">
        <v>1</v>
      </c>
      <c r="D1803" s="6">
        <v>0</v>
      </c>
      <c r="E1803" s="6">
        <v>-178</v>
      </c>
      <c r="F1803" s="6">
        <v>0.33</v>
      </c>
      <c r="G1803" s="6">
        <v>0.01</v>
      </c>
      <c r="H1803" s="6">
        <v>79</v>
      </c>
    </row>
    <row r="1804" spans="1:8" ht="18.95" customHeight="1">
      <c r="A1804" s="4">
        <v>1800</v>
      </c>
      <c r="B1804" s="4">
        <v>56256</v>
      </c>
      <c r="C1804" s="4">
        <v>1</v>
      </c>
      <c r="D1804" s="6">
        <v>0</v>
      </c>
      <c r="E1804" s="6">
        <v>-178.38</v>
      </c>
      <c r="F1804" s="6">
        <v>0.32</v>
      </c>
      <c r="G1804" s="6">
        <v>0.15</v>
      </c>
      <c r="H1804" s="6">
        <v>75</v>
      </c>
    </row>
    <row r="1805" spans="1:8" ht="18.95" customHeight="1">
      <c r="A1805" s="4">
        <v>1801</v>
      </c>
      <c r="B1805" s="4">
        <v>56276</v>
      </c>
      <c r="C1805" s="4">
        <v>1</v>
      </c>
      <c r="D1805" s="6">
        <v>0</v>
      </c>
      <c r="E1805" s="6">
        <v>-178.75</v>
      </c>
      <c r="F1805" s="6">
        <v>0.32</v>
      </c>
      <c r="G1805" s="6">
        <v>0.16</v>
      </c>
      <c r="H1805" s="6">
        <v>75</v>
      </c>
    </row>
    <row r="1806" spans="1:8" ht="18.95" customHeight="1">
      <c r="A1806" s="4">
        <v>1802</v>
      </c>
      <c r="B1806" s="4">
        <v>56296</v>
      </c>
      <c r="C1806" s="4">
        <v>1</v>
      </c>
      <c r="D1806" s="6">
        <v>0</v>
      </c>
      <c r="E1806" s="6">
        <v>-179.06</v>
      </c>
      <c r="F1806" s="6">
        <v>0.28000000000000003</v>
      </c>
      <c r="G1806" s="6">
        <v>0.06</v>
      </c>
      <c r="H1806" s="6">
        <v>73</v>
      </c>
    </row>
    <row r="1807" spans="1:8" ht="18.95" customHeight="1">
      <c r="A1807" s="4">
        <v>1803</v>
      </c>
      <c r="B1807" s="4">
        <v>56316</v>
      </c>
      <c r="C1807" s="4">
        <v>1</v>
      </c>
      <c r="D1807" s="6">
        <v>0</v>
      </c>
      <c r="E1807" s="6">
        <v>-179.38</v>
      </c>
      <c r="F1807" s="6">
        <v>0.26</v>
      </c>
      <c r="G1807" s="6">
        <v>-0.11</v>
      </c>
      <c r="H1807" s="6">
        <v>73</v>
      </c>
    </row>
    <row r="1808" spans="1:8" ht="18.95" customHeight="1">
      <c r="A1808" s="4">
        <v>1804</v>
      </c>
      <c r="B1808" s="4">
        <v>56336</v>
      </c>
      <c r="C1808" s="4">
        <v>1</v>
      </c>
      <c r="D1808" s="6">
        <v>0</v>
      </c>
      <c r="E1808" s="6">
        <v>-179.63</v>
      </c>
      <c r="F1808" s="6">
        <v>0.25</v>
      </c>
      <c r="G1808" s="6">
        <v>-0.04</v>
      </c>
      <c r="H1808" s="6">
        <v>73</v>
      </c>
    </row>
    <row r="1809" spans="1:8" ht="18.95" customHeight="1">
      <c r="A1809" s="4">
        <v>1805</v>
      </c>
      <c r="B1809" s="4">
        <v>56356</v>
      </c>
      <c r="C1809" s="4">
        <v>1</v>
      </c>
      <c r="D1809" s="6">
        <v>0</v>
      </c>
      <c r="E1809" s="6">
        <v>-179.88</v>
      </c>
      <c r="F1809" s="6">
        <v>0.22</v>
      </c>
      <c r="G1809" s="6">
        <v>0.05</v>
      </c>
      <c r="H1809" s="6">
        <v>71</v>
      </c>
    </row>
    <row r="1810" spans="1:8" ht="18.95" customHeight="1">
      <c r="A1810" s="4">
        <v>1806</v>
      </c>
      <c r="B1810" s="4">
        <v>56376</v>
      </c>
      <c r="C1810" s="4">
        <v>1</v>
      </c>
      <c r="D1810" s="6">
        <v>0</v>
      </c>
      <c r="E1810" s="6">
        <v>179.81</v>
      </c>
      <c r="F1810" s="6">
        <v>0.2</v>
      </c>
      <c r="G1810" s="6">
        <v>0.17</v>
      </c>
      <c r="H1810" s="6">
        <v>71</v>
      </c>
    </row>
    <row r="1811" spans="1:8" ht="18.95" customHeight="1">
      <c r="A1811" s="4">
        <v>1807</v>
      </c>
      <c r="B1811" s="4">
        <v>56396</v>
      </c>
      <c r="C1811" s="4">
        <v>1</v>
      </c>
      <c r="D1811" s="6">
        <v>0</v>
      </c>
      <c r="E1811" s="6">
        <v>179.63</v>
      </c>
      <c r="F1811" s="6">
        <v>0.15</v>
      </c>
      <c r="G1811" s="6">
        <v>0.13</v>
      </c>
      <c r="H1811" s="6">
        <v>67</v>
      </c>
    </row>
    <row r="1812" spans="1:8" ht="18.95" customHeight="1">
      <c r="A1812" s="4">
        <v>1808</v>
      </c>
      <c r="B1812" s="4">
        <v>56416</v>
      </c>
      <c r="C1812" s="4">
        <v>1</v>
      </c>
      <c r="D1812" s="6">
        <v>0</v>
      </c>
      <c r="E1812" s="6">
        <v>179.44</v>
      </c>
      <c r="F1812" s="6">
        <v>0.15</v>
      </c>
      <c r="G1812" s="6">
        <v>0.01</v>
      </c>
      <c r="H1812" s="6">
        <v>67</v>
      </c>
    </row>
    <row r="1813" spans="1:8" ht="18.95" customHeight="1">
      <c r="A1813" s="4">
        <v>1809</v>
      </c>
      <c r="B1813" s="4">
        <v>56436</v>
      </c>
      <c r="C1813" s="4">
        <v>1</v>
      </c>
      <c r="D1813" s="6">
        <v>0</v>
      </c>
      <c r="E1813" s="6">
        <v>179.25</v>
      </c>
      <c r="F1813" s="6">
        <v>0.11</v>
      </c>
      <c r="G1813" s="6">
        <v>0.26</v>
      </c>
      <c r="H1813" s="6">
        <v>67</v>
      </c>
    </row>
    <row r="1814" spans="1:8" ht="18.95" customHeight="1">
      <c r="A1814" s="4">
        <v>1810</v>
      </c>
      <c r="B1814" s="4">
        <v>56456</v>
      </c>
      <c r="C1814" s="4">
        <v>1</v>
      </c>
      <c r="D1814" s="6">
        <v>0</v>
      </c>
      <c r="E1814" s="6">
        <v>179.13</v>
      </c>
      <c r="F1814" s="6">
        <v>0.1</v>
      </c>
      <c r="G1814" s="6">
        <v>-0.08</v>
      </c>
      <c r="H1814" s="6">
        <v>62</v>
      </c>
    </row>
    <row r="1815" spans="1:8" ht="18.95" customHeight="1">
      <c r="A1815" s="4">
        <v>1811</v>
      </c>
      <c r="B1815" s="4">
        <v>56476</v>
      </c>
      <c r="C1815" s="4">
        <v>1</v>
      </c>
      <c r="D1815" s="6">
        <v>0</v>
      </c>
      <c r="E1815" s="6">
        <v>179.06</v>
      </c>
      <c r="F1815" s="6">
        <v>7.0000000000000007E-2</v>
      </c>
      <c r="G1815" s="6">
        <v>0.15</v>
      </c>
      <c r="H1815" s="6">
        <v>62</v>
      </c>
    </row>
    <row r="1816" spans="1:8" ht="18.95" customHeight="1">
      <c r="A1816" s="4">
        <v>1812</v>
      </c>
      <c r="B1816" s="4">
        <v>56496</v>
      </c>
      <c r="C1816" s="4">
        <v>0</v>
      </c>
      <c r="D1816" s="6">
        <v>0</v>
      </c>
      <c r="E1816" s="6">
        <v>179</v>
      </c>
      <c r="F1816" s="6">
        <v>0.04</v>
      </c>
      <c r="G1816" s="6">
        <v>0.02</v>
      </c>
      <c r="H1816" s="6">
        <v>63</v>
      </c>
    </row>
    <row r="1817" spans="1:8" ht="18.95" customHeight="1">
      <c r="A1817" s="4">
        <v>1813</v>
      </c>
      <c r="B1817" s="4">
        <v>56516</v>
      </c>
      <c r="C1817" s="4">
        <v>0</v>
      </c>
      <c r="D1817" s="6">
        <v>0</v>
      </c>
      <c r="E1817" s="6">
        <v>179</v>
      </c>
      <c r="F1817" s="6">
        <v>0.02</v>
      </c>
      <c r="G1817" s="6">
        <v>0.08</v>
      </c>
      <c r="H1817" s="6">
        <v>63</v>
      </c>
    </row>
    <row r="1818" spans="1:8" ht="18.95" customHeight="1">
      <c r="A1818" s="4">
        <v>1814</v>
      </c>
      <c r="B1818" s="4">
        <v>56536</v>
      </c>
      <c r="C1818" s="4">
        <v>0</v>
      </c>
      <c r="D1818" s="6">
        <v>0</v>
      </c>
      <c r="E1818" s="6">
        <v>179</v>
      </c>
      <c r="F1818" s="6">
        <v>-0.01</v>
      </c>
      <c r="G1818" s="6">
        <v>0.04</v>
      </c>
      <c r="H1818" s="6">
        <v>63</v>
      </c>
    </row>
    <row r="1819" spans="1:8" ht="18.95" customHeight="1">
      <c r="A1819" s="4">
        <v>1815</v>
      </c>
      <c r="B1819" s="4">
        <v>56556</v>
      </c>
      <c r="C1819" s="4">
        <v>0</v>
      </c>
      <c r="D1819" s="6">
        <v>0</v>
      </c>
      <c r="E1819" s="6">
        <v>179</v>
      </c>
      <c r="F1819" s="6">
        <v>-0.04</v>
      </c>
      <c r="G1819" s="6">
        <v>0.31</v>
      </c>
      <c r="H1819" s="6">
        <v>56</v>
      </c>
    </row>
    <row r="1820" spans="1:8" ht="18.95" customHeight="1">
      <c r="A1820" s="4">
        <v>1816</v>
      </c>
      <c r="B1820" s="4">
        <v>56576</v>
      </c>
      <c r="C1820" s="4">
        <v>1</v>
      </c>
      <c r="D1820" s="6">
        <v>0</v>
      </c>
      <c r="E1820" s="6">
        <v>179.06</v>
      </c>
      <c r="F1820" s="6">
        <v>-7.0000000000000007E-2</v>
      </c>
      <c r="G1820" s="6">
        <v>0.16</v>
      </c>
      <c r="H1820" s="6">
        <v>56</v>
      </c>
    </row>
    <row r="1821" spans="1:8" ht="18.95" customHeight="1">
      <c r="A1821" s="4">
        <v>1817</v>
      </c>
      <c r="B1821" s="4">
        <v>56596</v>
      </c>
      <c r="C1821" s="4">
        <v>1</v>
      </c>
      <c r="D1821" s="6">
        <v>600</v>
      </c>
      <c r="E1821" s="6">
        <v>179.19</v>
      </c>
      <c r="F1821" s="6">
        <v>-0.1</v>
      </c>
      <c r="G1821" s="6">
        <v>-0.19</v>
      </c>
      <c r="H1821" s="6">
        <v>52</v>
      </c>
    </row>
    <row r="1822" spans="1:8" ht="18.95" customHeight="1">
      <c r="A1822" s="4">
        <v>1818</v>
      </c>
      <c r="B1822" s="4">
        <v>56616</v>
      </c>
      <c r="C1822" s="4">
        <v>1</v>
      </c>
      <c r="D1822" s="6">
        <v>600</v>
      </c>
      <c r="E1822" s="6">
        <v>179.31</v>
      </c>
      <c r="F1822" s="6">
        <v>-0.13</v>
      </c>
      <c r="G1822" s="6">
        <v>0.24</v>
      </c>
      <c r="H1822" s="6">
        <v>52</v>
      </c>
    </row>
    <row r="1823" spans="1:8" ht="18.95" customHeight="1">
      <c r="A1823" s="4">
        <v>1819</v>
      </c>
      <c r="B1823" s="4">
        <v>56636</v>
      </c>
      <c r="C1823" s="4">
        <v>1</v>
      </c>
      <c r="D1823" s="6">
        <v>600</v>
      </c>
      <c r="E1823" s="6">
        <v>179.44</v>
      </c>
      <c r="F1823" s="6">
        <v>-0.16</v>
      </c>
      <c r="G1823" s="6">
        <v>0.26</v>
      </c>
      <c r="H1823" s="6">
        <v>52</v>
      </c>
    </row>
    <row r="1824" spans="1:8" ht="18.95" customHeight="1">
      <c r="A1824" s="4">
        <v>1820</v>
      </c>
      <c r="B1824" s="4">
        <v>56656</v>
      </c>
      <c r="C1824" s="4">
        <v>1</v>
      </c>
      <c r="D1824" s="6">
        <v>600</v>
      </c>
      <c r="E1824" s="6">
        <v>179.63</v>
      </c>
      <c r="F1824" s="6">
        <v>-0.19</v>
      </c>
      <c r="G1824" s="6">
        <v>0.01</v>
      </c>
      <c r="H1824" s="6">
        <v>47</v>
      </c>
    </row>
    <row r="1825" spans="1:8" ht="18.95" customHeight="1">
      <c r="A1825" s="4">
        <v>1821</v>
      </c>
      <c r="B1825" s="4">
        <v>56676</v>
      </c>
      <c r="C1825" s="4">
        <v>1</v>
      </c>
      <c r="D1825" s="6">
        <v>600</v>
      </c>
      <c r="E1825" s="6">
        <v>179.88</v>
      </c>
      <c r="F1825" s="6">
        <v>-0.22</v>
      </c>
      <c r="G1825" s="6">
        <v>0.31</v>
      </c>
      <c r="H1825" s="6">
        <v>47</v>
      </c>
    </row>
    <row r="1826" spans="1:8" ht="18.95" customHeight="1">
      <c r="A1826" s="4">
        <v>1822</v>
      </c>
      <c r="B1826" s="4">
        <v>56696</v>
      </c>
      <c r="C1826" s="4">
        <v>1</v>
      </c>
      <c r="D1826" s="6">
        <v>0</v>
      </c>
      <c r="E1826" s="6">
        <v>-179.75</v>
      </c>
      <c r="F1826" s="6">
        <v>-0.25</v>
      </c>
      <c r="G1826" s="6">
        <v>0.16</v>
      </c>
      <c r="H1826" s="6">
        <v>45</v>
      </c>
    </row>
    <row r="1827" spans="1:8" ht="18.95" customHeight="1">
      <c r="A1827" s="4">
        <v>1823</v>
      </c>
      <c r="B1827" s="4">
        <v>56716</v>
      </c>
      <c r="C1827" s="4">
        <v>1</v>
      </c>
      <c r="D1827" s="6">
        <v>0</v>
      </c>
      <c r="E1827" s="6">
        <v>-179.5</v>
      </c>
      <c r="F1827" s="6">
        <v>-0.26</v>
      </c>
      <c r="G1827" s="6">
        <v>7.0000000000000007E-2</v>
      </c>
      <c r="H1827" s="6">
        <v>45</v>
      </c>
    </row>
    <row r="1828" spans="1:8" ht="18.95" customHeight="1">
      <c r="A1828" s="4">
        <v>1824</v>
      </c>
      <c r="B1828" s="4">
        <v>56736</v>
      </c>
      <c r="C1828" s="4">
        <v>1</v>
      </c>
      <c r="D1828" s="6">
        <v>0</v>
      </c>
      <c r="E1828" s="6">
        <v>-179.19</v>
      </c>
      <c r="F1828" s="6">
        <v>-0.28000000000000003</v>
      </c>
      <c r="G1828" s="6">
        <v>0.13</v>
      </c>
      <c r="H1828" s="6">
        <v>45</v>
      </c>
    </row>
    <row r="1829" spans="1:8" ht="18.95" customHeight="1">
      <c r="A1829" s="4">
        <v>1825</v>
      </c>
      <c r="B1829" s="4">
        <v>56756</v>
      </c>
      <c r="C1829" s="4">
        <v>1</v>
      </c>
      <c r="D1829" s="6">
        <v>0</v>
      </c>
      <c r="E1829" s="6">
        <v>-178.88</v>
      </c>
      <c r="F1829" s="6">
        <v>-0.31</v>
      </c>
      <c r="G1829" s="6">
        <v>-0.08</v>
      </c>
      <c r="H1829" s="6">
        <v>39</v>
      </c>
    </row>
    <row r="1830" spans="1:8" ht="18.95" customHeight="1">
      <c r="A1830" s="4">
        <v>1826</v>
      </c>
      <c r="B1830" s="4">
        <v>56776</v>
      </c>
      <c r="C1830" s="4">
        <v>1</v>
      </c>
      <c r="D1830" s="6">
        <v>0</v>
      </c>
      <c r="E1830" s="6">
        <v>-178.5</v>
      </c>
      <c r="F1830" s="6">
        <v>-0.32</v>
      </c>
      <c r="G1830" s="6">
        <v>0.18</v>
      </c>
      <c r="H1830" s="6">
        <v>39</v>
      </c>
    </row>
    <row r="1831" spans="1:8" ht="18.95" customHeight="1">
      <c r="A1831" s="4">
        <v>1827</v>
      </c>
      <c r="B1831" s="4">
        <v>56796</v>
      </c>
      <c r="C1831" s="4">
        <v>1</v>
      </c>
      <c r="D1831" s="6">
        <v>0</v>
      </c>
      <c r="E1831" s="6">
        <v>-178.19</v>
      </c>
      <c r="F1831" s="6">
        <v>-0.32</v>
      </c>
      <c r="G1831" s="6">
        <v>0.14000000000000001</v>
      </c>
      <c r="H1831" s="6">
        <v>36</v>
      </c>
    </row>
    <row r="1832" spans="1:8" ht="18.95" customHeight="1">
      <c r="A1832" s="4">
        <v>1828</v>
      </c>
      <c r="B1832" s="4">
        <v>56816</v>
      </c>
      <c r="C1832" s="4">
        <v>1</v>
      </c>
      <c r="D1832" s="6">
        <v>0</v>
      </c>
      <c r="E1832" s="6">
        <v>-177.81</v>
      </c>
      <c r="F1832" s="6">
        <v>-0.33</v>
      </c>
      <c r="G1832" s="6">
        <v>0.01</v>
      </c>
      <c r="H1832" s="6">
        <v>36</v>
      </c>
    </row>
    <row r="1833" spans="1:8" ht="18.95" customHeight="1">
      <c r="A1833" s="4">
        <v>1829</v>
      </c>
      <c r="B1833" s="4">
        <v>56836</v>
      </c>
      <c r="C1833" s="4">
        <v>1</v>
      </c>
      <c r="D1833" s="6">
        <v>0</v>
      </c>
      <c r="E1833" s="6">
        <v>-177.44</v>
      </c>
      <c r="F1833" s="6">
        <v>-0.35</v>
      </c>
      <c r="G1833" s="6">
        <v>0.33</v>
      </c>
      <c r="H1833" s="6">
        <v>36</v>
      </c>
    </row>
    <row r="1834" spans="1:8" ht="18.95" customHeight="1">
      <c r="A1834" s="4">
        <v>1830</v>
      </c>
      <c r="B1834" s="4">
        <v>56856</v>
      </c>
      <c r="C1834" s="4">
        <v>1</v>
      </c>
      <c r="D1834" s="6">
        <v>0</v>
      </c>
      <c r="E1834" s="6">
        <v>-177</v>
      </c>
      <c r="F1834" s="6">
        <v>-0.39</v>
      </c>
      <c r="G1834" s="6">
        <v>0.02</v>
      </c>
      <c r="H1834" s="6">
        <v>31</v>
      </c>
    </row>
    <row r="1835" spans="1:8" ht="18.95" customHeight="1">
      <c r="A1835" s="4">
        <v>1831</v>
      </c>
      <c r="B1835" s="4">
        <v>56876</v>
      </c>
      <c r="C1835" s="4">
        <v>1</v>
      </c>
      <c r="D1835" s="6">
        <v>0</v>
      </c>
      <c r="E1835" s="6">
        <v>-176.56</v>
      </c>
      <c r="F1835" s="6">
        <v>-0.41</v>
      </c>
      <c r="G1835" s="6">
        <v>0.27</v>
      </c>
      <c r="H1835" s="6">
        <v>31</v>
      </c>
    </row>
    <row r="1836" spans="1:8" ht="18.95" customHeight="1">
      <c r="A1836" s="4">
        <v>1832</v>
      </c>
      <c r="B1836" s="4">
        <v>56896</v>
      </c>
      <c r="C1836" s="4">
        <v>1</v>
      </c>
      <c r="D1836" s="6">
        <v>0</v>
      </c>
      <c r="E1836" s="6">
        <v>-176.13</v>
      </c>
      <c r="F1836" s="6">
        <v>-0.42</v>
      </c>
      <c r="G1836" s="6">
        <v>-0.04</v>
      </c>
      <c r="H1836" s="6">
        <v>30</v>
      </c>
    </row>
    <row r="1837" spans="1:8" ht="18.95" customHeight="1">
      <c r="A1837" s="4">
        <v>1833</v>
      </c>
      <c r="B1837" s="4">
        <v>56916</v>
      </c>
      <c r="C1837" s="4">
        <v>1</v>
      </c>
      <c r="D1837" s="6">
        <v>0</v>
      </c>
      <c r="E1837" s="6">
        <v>-175.63</v>
      </c>
      <c r="F1837" s="6">
        <v>-0.45</v>
      </c>
      <c r="G1837" s="6">
        <v>0.19</v>
      </c>
      <c r="H1837" s="6">
        <v>30</v>
      </c>
    </row>
    <row r="1838" spans="1:8" ht="18.95" customHeight="1">
      <c r="A1838" s="4">
        <v>1834</v>
      </c>
      <c r="B1838" s="4">
        <v>56936</v>
      </c>
      <c r="C1838" s="4">
        <v>1</v>
      </c>
      <c r="D1838" s="6">
        <v>0</v>
      </c>
      <c r="E1838" s="6">
        <v>-175.13</v>
      </c>
      <c r="F1838" s="6">
        <v>-0.47</v>
      </c>
      <c r="G1838" s="6">
        <v>0.22</v>
      </c>
      <c r="H1838" s="6">
        <v>30</v>
      </c>
    </row>
    <row r="1839" spans="1:8" ht="18.95" customHeight="1">
      <c r="A1839" s="4">
        <v>1835</v>
      </c>
      <c r="B1839" s="4">
        <v>56956</v>
      </c>
      <c r="C1839" s="4">
        <v>1</v>
      </c>
      <c r="D1839" s="6">
        <v>0</v>
      </c>
      <c r="E1839" s="6">
        <v>-174.56</v>
      </c>
      <c r="F1839" s="6">
        <v>-0.48</v>
      </c>
      <c r="G1839" s="6">
        <v>0.19</v>
      </c>
      <c r="H1839" s="6">
        <v>24</v>
      </c>
    </row>
    <row r="1840" spans="1:8" ht="18.95" customHeight="1">
      <c r="A1840" s="4">
        <v>1836</v>
      </c>
      <c r="B1840" s="4">
        <v>56976</v>
      </c>
      <c r="C1840" s="4">
        <v>1</v>
      </c>
      <c r="D1840" s="6">
        <v>0</v>
      </c>
      <c r="E1840" s="6">
        <v>-124.06</v>
      </c>
      <c r="F1840" s="6">
        <v>-0.47</v>
      </c>
      <c r="G1840" s="6">
        <v>-0.12</v>
      </c>
      <c r="H1840" s="6">
        <v>24</v>
      </c>
    </row>
    <row r="1841" spans="1:8" ht="18.95" customHeight="1">
      <c r="A1841" s="4">
        <v>1837</v>
      </c>
      <c r="B1841" s="4">
        <v>56996</v>
      </c>
      <c r="C1841" s="4">
        <v>1</v>
      </c>
      <c r="D1841" s="6">
        <v>0</v>
      </c>
      <c r="E1841" s="6">
        <v>-121.81</v>
      </c>
      <c r="F1841" s="6">
        <v>-0.48</v>
      </c>
      <c r="G1841" s="6">
        <v>-0.2</v>
      </c>
      <c r="H1841" s="6">
        <v>24</v>
      </c>
    </row>
    <row r="1842" spans="1:8" ht="18.95" customHeight="1">
      <c r="A1842" s="4">
        <v>1838</v>
      </c>
      <c r="B1842" s="4">
        <v>57016</v>
      </c>
      <c r="C1842" s="4">
        <v>1</v>
      </c>
      <c r="D1842" s="6">
        <v>0</v>
      </c>
      <c r="E1842" s="6">
        <v>-119.75</v>
      </c>
      <c r="F1842" s="6">
        <v>-0.51</v>
      </c>
      <c r="G1842" s="6">
        <v>0.28000000000000003</v>
      </c>
      <c r="H1842" s="6">
        <v>24</v>
      </c>
    </row>
    <row r="1843" spans="1:8" ht="18.95" customHeight="1">
      <c r="A1843" s="4">
        <v>1839</v>
      </c>
      <c r="B1843" s="4">
        <v>57036</v>
      </c>
      <c r="C1843" s="4">
        <v>1</v>
      </c>
      <c r="D1843" s="6">
        <v>0</v>
      </c>
      <c r="E1843" s="6">
        <v>-117.81</v>
      </c>
      <c r="F1843" s="6">
        <v>-0.51</v>
      </c>
      <c r="G1843" s="6">
        <v>-0.15</v>
      </c>
      <c r="H1843" s="6">
        <v>24</v>
      </c>
    </row>
    <row r="1844" spans="1:8" ht="18.95" customHeight="1">
      <c r="A1844" s="4">
        <v>1840</v>
      </c>
      <c r="B1844" s="4">
        <v>57056</v>
      </c>
      <c r="C1844" s="4">
        <v>1</v>
      </c>
      <c r="D1844" s="6">
        <v>0</v>
      </c>
      <c r="E1844" s="6">
        <v>-116.19</v>
      </c>
      <c r="F1844" s="6">
        <v>-0.49</v>
      </c>
      <c r="G1844" s="6">
        <v>0.15</v>
      </c>
      <c r="H1844" s="6">
        <v>21</v>
      </c>
    </row>
    <row r="1845" spans="1:8" ht="18.95" customHeight="1">
      <c r="A1845" s="4">
        <v>1841</v>
      </c>
      <c r="B1845" s="4">
        <v>57076</v>
      </c>
      <c r="C1845" s="4">
        <v>1</v>
      </c>
      <c r="D1845" s="6">
        <v>0</v>
      </c>
      <c r="E1845" s="6">
        <v>-114.81</v>
      </c>
      <c r="F1845" s="6">
        <v>-0.47</v>
      </c>
      <c r="G1845" s="6">
        <v>0.06</v>
      </c>
      <c r="H1845" s="6">
        <v>21</v>
      </c>
    </row>
    <row r="1846" spans="1:8" ht="18.95" customHeight="1">
      <c r="A1846" s="4">
        <v>1842</v>
      </c>
      <c r="B1846" s="4">
        <v>57096</v>
      </c>
      <c r="C1846" s="4">
        <v>1</v>
      </c>
      <c r="D1846" s="6">
        <v>0</v>
      </c>
      <c r="E1846" s="6">
        <v>-113.5</v>
      </c>
      <c r="F1846" s="6">
        <v>-0.5</v>
      </c>
      <c r="G1846" s="6">
        <v>0.24</v>
      </c>
      <c r="H1846" s="6">
        <v>20</v>
      </c>
    </row>
    <row r="1847" spans="1:8" ht="18.95" customHeight="1">
      <c r="A1847" s="4">
        <v>1843</v>
      </c>
      <c r="B1847" s="4">
        <v>57116</v>
      </c>
      <c r="C1847" s="4">
        <v>1</v>
      </c>
      <c r="D1847" s="6">
        <v>0</v>
      </c>
      <c r="E1847" s="6">
        <v>-112.25</v>
      </c>
      <c r="F1847" s="6">
        <v>-0.5</v>
      </c>
      <c r="G1847" s="6">
        <v>-0.28999999999999998</v>
      </c>
      <c r="H1847" s="6">
        <v>20</v>
      </c>
    </row>
    <row r="1848" spans="1:8" ht="18.95" customHeight="1">
      <c r="A1848" s="4">
        <v>1844</v>
      </c>
      <c r="B1848" s="4">
        <v>57136</v>
      </c>
      <c r="C1848" s="4">
        <v>1</v>
      </c>
      <c r="D1848" s="6">
        <v>0</v>
      </c>
      <c r="E1848" s="6">
        <v>-111.12</v>
      </c>
      <c r="F1848" s="6">
        <v>-0.51</v>
      </c>
      <c r="G1848" s="6">
        <v>0.1</v>
      </c>
      <c r="H1848" s="6">
        <v>20</v>
      </c>
    </row>
    <row r="1849" spans="1:8" ht="18.95" customHeight="1">
      <c r="A1849" s="4">
        <v>1845</v>
      </c>
      <c r="B1849" s="4">
        <v>57156</v>
      </c>
      <c r="C1849" s="4">
        <v>1</v>
      </c>
      <c r="D1849" s="6">
        <v>0</v>
      </c>
      <c r="E1849" s="6">
        <v>-110.12</v>
      </c>
      <c r="F1849" s="6">
        <v>-0.51</v>
      </c>
      <c r="G1849" s="6">
        <v>0.02</v>
      </c>
      <c r="H1849" s="6">
        <v>17</v>
      </c>
    </row>
    <row r="1850" spans="1:8" ht="18.95" customHeight="1">
      <c r="A1850" s="4">
        <v>1846</v>
      </c>
      <c r="B1850" s="4">
        <v>57176</v>
      </c>
      <c r="C1850" s="4">
        <v>1</v>
      </c>
      <c r="D1850" s="6">
        <v>0</v>
      </c>
      <c r="E1850" s="6">
        <v>-109.19</v>
      </c>
      <c r="F1850" s="6">
        <v>-0.53</v>
      </c>
      <c r="G1850" s="6">
        <v>-0.02</v>
      </c>
      <c r="H1850" s="6">
        <v>17</v>
      </c>
    </row>
    <row r="1851" spans="1:8" ht="18.95" customHeight="1">
      <c r="A1851" s="4">
        <v>1847</v>
      </c>
      <c r="B1851" s="4">
        <v>57196</v>
      </c>
      <c r="C1851" s="4">
        <v>1</v>
      </c>
      <c r="D1851" s="6">
        <v>0</v>
      </c>
      <c r="E1851" s="6">
        <v>-108.31</v>
      </c>
      <c r="F1851" s="6">
        <v>-0.56000000000000005</v>
      </c>
      <c r="G1851" s="6">
        <v>-0.01</v>
      </c>
      <c r="H1851" s="6">
        <v>16</v>
      </c>
    </row>
    <row r="1852" spans="1:8" ht="18.95" customHeight="1">
      <c r="A1852" s="4">
        <v>1848</v>
      </c>
      <c r="B1852" s="4">
        <v>57216</v>
      </c>
      <c r="C1852" s="4">
        <v>1</v>
      </c>
      <c r="D1852" s="6">
        <v>0</v>
      </c>
      <c r="E1852" s="6">
        <v>-107.44</v>
      </c>
      <c r="F1852" s="6">
        <v>-0.57999999999999996</v>
      </c>
      <c r="G1852" s="6">
        <v>-7.0000000000000007E-2</v>
      </c>
      <c r="H1852" s="6">
        <v>16</v>
      </c>
    </row>
    <row r="1853" spans="1:8" ht="18.95" customHeight="1">
      <c r="A1853" s="4">
        <v>1849</v>
      </c>
      <c r="B1853" s="4">
        <v>57236</v>
      </c>
      <c r="C1853" s="4">
        <v>1</v>
      </c>
      <c r="D1853" s="6">
        <v>0</v>
      </c>
      <c r="E1853" s="6">
        <v>-106.69</v>
      </c>
      <c r="F1853" s="6">
        <v>-0.53</v>
      </c>
      <c r="G1853" s="6">
        <v>0.08</v>
      </c>
      <c r="H1853" s="6">
        <v>16</v>
      </c>
    </row>
    <row r="1854" spans="1:8" ht="18.95" customHeight="1">
      <c r="A1854" s="4">
        <v>1850</v>
      </c>
      <c r="B1854" s="4">
        <v>57256</v>
      </c>
      <c r="C1854" s="4">
        <v>1</v>
      </c>
      <c r="D1854" s="6">
        <v>0</v>
      </c>
      <c r="E1854" s="6">
        <v>-106</v>
      </c>
      <c r="F1854" s="6">
        <v>-0.53</v>
      </c>
      <c r="G1854" s="6">
        <v>0.09</v>
      </c>
      <c r="H1854" s="6">
        <v>16</v>
      </c>
    </row>
    <row r="1855" spans="1:8" ht="18.95" customHeight="1">
      <c r="A1855" s="4">
        <v>1851</v>
      </c>
      <c r="B1855" s="4">
        <v>57276</v>
      </c>
      <c r="C1855" s="4">
        <v>1</v>
      </c>
      <c r="D1855" s="6">
        <v>0</v>
      </c>
      <c r="E1855" s="6">
        <v>-105.37</v>
      </c>
      <c r="F1855" s="6">
        <v>-0.55000000000000004</v>
      </c>
      <c r="G1855" s="6">
        <v>0.12</v>
      </c>
      <c r="H1855" s="6">
        <v>16</v>
      </c>
    </row>
    <row r="1856" spans="1:8" ht="18.95" customHeight="1">
      <c r="A1856" s="4">
        <v>1852</v>
      </c>
      <c r="B1856" s="4">
        <v>57296</v>
      </c>
      <c r="C1856" s="4">
        <v>1</v>
      </c>
      <c r="D1856" s="6">
        <v>0</v>
      </c>
      <c r="E1856" s="6">
        <v>-104.75</v>
      </c>
      <c r="F1856" s="6">
        <v>-0.54</v>
      </c>
      <c r="G1856" s="6">
        <v>-0.14000000000000001</v>
      </c>
      <c r="H1856" s="6">
        <v>17</v>
      </c>
    </row>
    <row r="1857" spans="1:8" ht="18.95" customHeight="1">
      <c r="A1857" s="4">
        <v>1853</v>
      </c>
      <c r="B1857" s="4">
        <v>57316</v>
      </c>
      <c r="C1857" s="4">
        <v>1</v>
      </c>
      <c r="D1857" s="6">
        <v>0</v>
      </c>
      <c r="E1857" s="6">
        <v>-104.25</v>
      </c>
      <c r="F1857" s="6">
        <v>-0.54</v>
      </c>
      <c r="G1857" s="6">
        <v>0.06</v>
      </c>
      <c r="H1857" s="6">
        <v>17</v>
      </c>
    </row>
    <row r="1858" spans="1:8" ht="18.95" customHeight="1">
      <c r="A1858" s="4">
        <v>1854</v>
      </c>
      <c r="B1858" s="4">
        <v>57336</v>
      </c>
      <c r="C1858" s="4">
        <v>1</v>
      </c>
      <c r="D1858" s="6">
        <v>0</v>
      </c>
      <c r="E1858" s="6">
        <v>-103.75</v>
      </c>
      <c r="F1858" s="6">
        <v>-0.5</v>
      </c>
      <c r="G1858" s="6">
        <v>0.11</v>
      </c>
      <c r="H1858" s="6">
        <v>17</v>
      </c>
    </row>
    <row r="1859" spans="1:8" ht="18.95" customHeight="1">
      <c r="A1859" s="4">
        <v>1855</v>
      </c>
      <c r="B1859" s="4">
        <v>57356</v>
      </c>
      <c r="C1859" s="4">
        <v>1</v>
      </c>
      <c r="D1859" s="6">
        <v>0</v>
      </c>
      <c r="E1859" s="6">
        <v>-103.31</v>
      </c>
      <c r="F1859" s="6">
        <v>-0.52</v>
      </c>
      <c r="G1859" s="6">
        <v>0.06</v>
      </c>
      <c r="H1859" s="6">
        <v>18</v>
      </c>
    </row>
    <row r="1860" spans="1:8" ht="18.95" customHeight="1">
      <c r="A1860" s="4">
        <v>1856</v>
      </c>
      <c r="B1860" s="4">
        <v>57376</v>
      </c>
      <c r="C1860" s="4">
        <v>1</v>
      </c>
      <c r="D1860" s="6">
        <v>0</v>
      </c>
      <c r="E1860" s="6">
        <v>-102.94</v>
      </c>
      <c r="F1860" s="6">
        <v>-0.51</v>
      </c>
      <c r="G1860" s="6">
        <v>0.22</v>
      </c>
      <c r="H1860" s="6">
        <v>18</v>
      </c>
    </row>
    <row r="1861" spans="1:8" ht="18.95" customHeight="1">
      <c r="A1861" s="4">
        <v>1857</v>
      </c>
      <c r="B1861" s="4">
        <v>57397</v>
      </c>
      <c r="C1861" s="4">
        <v>1</v>
      </c>
      <c r="D1861" s="6">
        <v>0</v>
      </c>
      <c r="E1861" s="6">
        <v>-102.56</v>
      </c>
      <c r="F1861" s="6">
        <v>-0.53</v>
      </c>
      <c r="G1861" s="6">
        <v>0.11</v>
      </c>
      <c r="H1861" s="6">
        <v>18</v>
      </c>
    </row>
    <row r="1862" spans="1:8" ht="18.95" customHeight="1">
      <c r="A1862" s="4">
        <v>1858</v>
      </c>
      <c r="B1862" s="4">
        <v>57417</v>
      </c>
      <c r="C1862" s="4">
        <v>1</v>
      </c>
      <c r="D1862" s="6">
        <v>0</v>
      </c>
      <c r="E1862" s="6">
        <v>-102.19</v>
      </c>
      <c r="F1862" s="6">
        <v>-0.47</v>
      </c>
      <c r="G1862" s="6">
        <v>0.05</v>
      </c>
      <c r="H1862" s="6">
        <v>18</v>
      </c>
    </row>
    <row r="1863" spans="1:8" ht="18.95" customHeight="1">
      <c r="A1863" s="4">
        <v>1859</v>
      </c>
      <c r="B1863" s="4">
        <v>57437</v>
      </c>
      <c r="C1863" s="4">
        <v>1</v>
      </c>
      <c r="D1863" s="6">
        <v>0</v>
      </c>
      <c r="E1863" s="6">
        <v>-0.06</v>
      </c>
      <c r="F1863" s="6">
        <v>-0.48</v>
      </c>
      <c r="G1863" s="6">
        <v>0.05</v>
      </c>
      <c r="H1863" s="6">
        <v>18</v>
      </c>
    </row>
    <row r="1864" spans="1:8" ht="18.95" customHeight="1">
      <c r="A1864" s="4">
        <v>1860</v>
      </c>
      <c r="B1864" s="4">
        <v>57457</v>
      </c>
      <c r="C1864" s="4">
        <v>1</v>
      </c>
      <c r="D1864" s="6">
        <v>0</v>
      </c>
      <c r="E1864" s="6">
        <v>-101.56</v>
      </c>
      <c r="F1864" s="6">
        <v>-0.47</v>
      </c>
      <c r="G1864" s="6">
        <v>0.05</v>
      </c>
      <c r="H1864" s="6">
        <v>19</v>
      </c>
    </row>
    <row r="1865" spans="1:8" ht="18.95" customHeight="1">
      <c r="A1865" s="4">
        <v>1861</v>
      </c>
      <c r="B1865" s="4">
        <v>57477</v>
      </c>
      <c r="C1865" s="4">
        <v>1</v>
      </c>
      <c r="D1865" s="6">
        <v>0</v>
      </c>
      <c r="E1865" s="6">
        <v>-101.25</v>
      </c>
      <c r="F1865" s="6">
        <v>-0.46</v>
      </c>
      <c r="G1865" s="6">
        <v>7.0000000000000007E-2</v>
      </c>
      <c r="H1865" s="6">
        <v>19</v>
      </c>
    </row>
    <row r="1866" spans="1:8" ht="18.95" customHeight="1">
      <c r="A1866" s="4">
        <v>1862</v>
      </c>
      <c r="B1866" s="4">
        <v>57497</v>
      </c>
      <c r="C1866" s="4">
        <v>1</v>
      </c>
      <c r="D1866" s="6">
        <v>0</v>
      </c>
      <c r="E1866" s="6">
        <v>-101</v>
      </c>
      <c r="F1866" s="6">
        <v>-0.44</v>
      </c>
      <c r="G1866" s="6">
        <v>0.03</v>
      </c>
      <c r="H1866" s="6">
        <v>23</v>
      </c>
    </row>
    <row r="1867" spans="1:8" ht="18.95" customHeight="1">
      <c r="A1867" s="4">
        <v>1863</v>
      </c>
      <c r="B1867" s="4">
        <v>57517</v>
      </c>
      <c r="C1867" s="4">
        <v>1</v>
      </c>
      <c r="D1867" s="6">
        <v>0</v>
      </c>
      <c r="E1867" s="6">
        <v>-100.75</v>
      </c>
      <c r="F1867" s="6">
        <v>-0.44</v>
      </c>
      <c r="G1867" s="6">
        <v>0.08</v>
      </c>
      <c r="H1867" s="6">
        <v>23</v>
      </c>
    </row>
    <row r="1868" spans="1:8" ht="18.95" customHeight="1">
      <c r="A1868" s="4">
        <v>1864</v>
      </c>
      <c r="B1868" s="4">
        <v>57537</v>
      </c>
      <c r="C1868" s="4">
        <v>1</v>
      </c>
      <c r="D1868" s="6">
        <v>0</v>
      </c>
      <c r="E1868" s="6">
        <v>-100.5</v>
      </c>
      <c r="F1868" s="6">
        <v>-0.43</v>
      </c>
      <c r="G1868" s="6">
        <v>0.08</v>
      </c>
      <c r="H1868" s="6">
        <v>23</v>
      </c>
    </row>
    <row r="1869" spans="1:8" ht="18.95" customHeight="1">
      <c r="A1869" s="4">
        <v>1865</v>
      </c>
      <c r="B1869" s="4">
        <v>57558</v>
      </c>
      <c r="C1869" s="4">
        <v>1</v>
      </c>
      <c r="D1869" s="6">
        <v>0</v>
      </c>
      <c r="E1869" s="6">
        <v>-100.25</v>
      </c>
      <c r="F1869" s="6">
        <v>-0.45</v>
      </c>
      <c r="G1869" s="6">
        <v>-0.12</v>
      </c>
      <c r="H1869" s="6">
        <v>24</v>
      </c>
    </row>
    <row r="1870" spans="1:8" ht="18.95" customHeight="1">
      <c r="A1870" s="4">
        <v>1866</v>
      </c>
      <c r="B1870" s="4">
        <v>57578</v>
      </c>
      <c r="C1870" s="4">
        <v>1</v>
      </c>
      <c r="D1870" s="6">
        <v>0</v>
      </c>
      <c r="E1870" s="6">
        <v>-100</v>
      </c>
      <c r="F1870" s="6">
        <v>-0.43</v>
      </c>
      <c r="G1870" s="6">
        <v>-0.15</v>
      </c>
      <c r="H1870" s="6">
        <v>24</v>
      </c>
    </row>
    <row r="1871" spans="1:8" ht="18.95" customHeight="1">
      <c r="A1871" s="4">
        <v>1867</v>
      </c>
      <c r="B1871" s="4">
        <v>57598</v>
      </c>
      <c r="C1871" s="4">
        <v>1</v>
      </c>
      <c r="D1871" s="6">
        <v>0</v>
      </c>
      <c r="E1871" s="6">
        <v>-99.81</v>
      </c>
      <c r="F1871" s="6">
        <v>-0.37</v>
      </c>
      <c r="G1871" s="6">
        <v>0.02</v>
      </c>
      <c r="H1871" s="6">
        <v>29</v>
      </c>
    </row>
    <row r="1872" spans="1:8" ht="18.95" customHeight="1">
      <c r="A1872" s="4">
        <v>1868</v>
      </c>
      <c r="B1872" s="4">
        <v>57618</v>
      </c>
      <c r="C1872" s="4">
        <v>1</v>
      </c>
      <c r="D1872" s="6">
        <v>0</v>
      </c>
      <c r="E1872" s="6">
        <v>-99.62</v>
      </c>
      <c r="F1872" s="6">
        <v>-0.37</v>
      </c>
      <c r="G1872" s="6">
        <v>0.09</v>
      </c>
      <c r="H1872" s="6">
        <v>29</v>
      </c>
    </row>
    <row r="1873" spans="1:8" ht="18.95" customHeight="1">
      <c r="A1873" s="4">
        <v>1869</v>
      </c>
      <c r="B1873" s="4">
        <v>57638</v>
      </c>
      <c r="C1873" s="4">
        <v>1</v>
      </c>
      <c r="D1873" s="6">
        <v>0</v>
      </c>
      <c r="E1873" s="6">
        <v>-99.5</v>
      </c>
      <c r="F1873" s="6">
        <v>-0.36</v>
      </c>
      <c r="G1873" s="6">
        <v>0.18</v>
      </c>
      <c r="H1873" s="6">
        <v>29</v>
      </c>
    </row>
    <row r="1874" spans="1:8" ht="18.95" customHeight="1">
      <c r="A1874" s="4">
        <v>1870</v>
      </c>
      <c r="B1874" s="4">
        <v>57658</v>
      </c>
      <c r="C1874" s="4">
        <v>1</v>
      </c>
      <c r="D1874" s="6">
        <v>0</v>
      </c>
      <c r="E1874" s="6">
        <v>-99.31</v>
      </c>
      <c r="F1874" s="6">
        <v>-0.35</v>
      </c>
      <c r="G1874" s="6">
        <v>0.1</v>
      </c>
      <c r="H1874" s="6">
        <v>30</v>
      </c>
    </row>
    <row r="1875" spans="1:8" ht="18.95" customHeight="1">
      <c r="A1875" s="4">
        <v>1871</v>
      </c>
      <c r="B1875" s="4">
        <v>57678</v>
      </c>
      <c r="C1875" s="4">
        <v>1</v>
      </c>
      <c r="D1875" s="6">
        <v>0</v>
      </c>
      <c r="E1875" s="6">
        <v>-99.19</v>
      </c>
      <c r="F1875" s="6">
        <v>-0.32</v>
      </c>
      <c r="G1875" s="6">
        <v>0.08</v>
      </c>
      <c r="H1875" s="6">
        <v>30</v>
      </c>
    </row>
    <row r="1876" spans="1:8" ht="18.95" customHeight="1">
      <c r="A1876" s="4">
        <v>1872</v>
      </c>
      <c r="B1876" s="4">
        <v>57698</v>
      </c>
      <c r="C1876" s="4">
        <v>1</v>
      </c>
      <c r="D1876" s="6">
        <v>0</v>
      </c>
      <c r="E1876" s="6">
        <v>-99.06</v>
      </c>
      <c r="F1876" s="6">
        <v>-0.3</v>
      </c>
      <c r="G1876" s="6">
        <v>0.11</v>
      </c>
      <c r="H1876" s="6">
        <v>34</v>
      </c>
    </row>
    <row r="1877" spans="1:8" ht="18.95" customHeight="1">
      <c r="A1877" s="4">
        <v>1873</v>
      </c>
      <c r="B1877" s="4">
        <v>57718</v>
      </c>
      <c r="C1877" s="4">
        <v>1</v>
      </c>
      <c r="D1877" s="6">
        <v>0</v>
      </c>
      <c r="E1877" s="6">
        <v>-99</v>
      </c>
      <c r="F1877" s="6">
        <v>-0.28000000000000003</v>
      </c>
      <c r="G1877" s="6">
        <v>7.0000000000000007E-2</v>
      </c>
      <c r="H1877" s="6">
        <v>34</v>
      </c>
    </row>
    <row r="1878" spans="1:8" ht="18.95" customHeight="1">
      <c r="A1878" s="4">
        <v>1874</v>
      </c>
      <c r="B1878" s="4">
        <v>57738</v>
      </c>
      <c r="C1878" s="4">
        <v>1</v>
      </c>
      <c r="D1878" s="6">
        <v>0</v>
      </c>
      <c r="E1878" s="6">
        <v>-98.94</v>
      </c>
      <c r="F1878" s="6">
        <v>-0.27</v>
      </c>
      <c r="G1878" s="6">
        <v>-0.03</v>
      </c>
      <c r="H1878" s="6">
        <v>34</v>
      </c>
    </row>
    <row r="1879" spans="1:8" ht="18.95" customHeight="1">
      <c r="A1879" s="4">
        <v>1875</v>
      </c>
      <c r="B1879" s="4">
        <v>57758</v>
      </c>
      <c r="C1879" s="4">
        <v>1</v>
      </c>
      <c r="D1879" s="6">
        <v>0</v>
      </c>
      <c r="E1879" s="6">
        <v>-98.87</v>
      </c>
      <c r="F1879" s="6">
        <v>-0.26</v>
      </c>
      <c r="G1879" s="6">
        <v>0.17</v>
      </c>
      <c r="H1879" s="6">
        <v>39</v>
      </c>
    </row>
    <row r="1880" spans="1:8" ht="18.95" customHeight="1">
      <c r="A1880" s="4">
        <v>1876</v>
      </c>
      <c r="B1880" s="4">
        <v>57778</v>
      </c>
      <c r="C1880" s="4">
        <v>1</v>
      </c>
      <c r="D1880" s="6">
        <v>0</v>
      </c>
      <c r="E1880" s="6">
        <v>-98.87</v>
      </c>
      <c r="F1880" s="6">
        <v>-0.24</v>
      </c>
      <c r="G1880" s="6">
        <v>0.06</v>
      </c>
      <c r="H1880" s="6">
        <v>39</v>
      </c>
    </row>
    <row r="1881" spans="1:8" ht="18.95" customHeight="1">
      <c r="A1881" s="4">
        <v>1877</v>
      </c>
      <c r="B1881" s="4">
        <v>57798</v>
      </c>
      <c r="C1881" s="4">
        <v>1</v>
      </c>
      <c r="D1881" s="6">
        <v>0</v>
      </c>
      <c r="E1881" s="6">
        <v>-98.87</v>
      </c>
      <c r="F1881" s="6">
        <v>-0.21</v>
      </c>
      <c r="G1881" s="6">
        <v>-7.0000000000000007E-2</v>
      </c>
      <c r="H1881" s="6">
        <v>41</v>
      </c>
    </row>
    <row r="1882" spans="1:8" ht="18.95" customHeight="1">
      <c r="A1882" s="4">
        <v>1878</v>
      </c>
      <c r="B1882" s="4">
        <v>57818</v>
      </c>
      <c r="C1882" s="4">
        <v>1</v>
      </c>
      <c r="D1882" s="6">
        <v>0</v>
      </c>
      <c r="E1882" s="6">
        <v>-98.81</v>
      </c>
      <c r="F1882" s="6">
        <v>-0.21</v>
      </c>
      <c r="G1882" s="6">
        <v>0.08</v>
      </c>
      <c r="H1882" s="6">
        <v>41</v>
      </c>
    </row>
    <row r="1883" spans="1:8" ht="18.95" customHeight="1">
      <c r="A1883" s="4">
        <v>1879</v>
      </c>
      <c r="B1883" s="4">
        <v>57838</v>
      </c>
      <c r="C1883" s="4">
        <v>1</v>
      </c>
      <c r="D1883" s="6">
        <v>0</v>
      </c>
      <c r="E1883" s="6">
        <v>-98.75</v>
      </c>
      <c r="F1883" s="6">
        <v>-0.19</v>
      </c>
      <c r="G1883" s="6">
        <v>0</v>
      </c>
      <c r="H1883" s="6">
        <v>41</v>
      </c>
    </row>
    <row r="1884" spans="1:8" ht="18.95" customHeight="1">
      <c r="A1884" s="4">
        <v>1880</v>
      </c>
      <c r="B1884" s="4">
        <v>57858</v>
      </c>
      <c r="C1884" s="4">
        <v>1</v>
      </c>
      <c r="D1884" s="6">
        <v>0</v>
      </c>
      <c r="E1884" s="6">
        <v>-98.75</v>
      </c>
      <c r="F1884" s="6">
        <v>-0.17</v>
      </c>
      <c r="G1884" s="6">
        <v>0.04</v>
      </c>
      <c r="H1884" s="6">
        <v>44</v>
      </c>
    </row>
    <row r="1885" spans="1:8" ht="18.95" customHeight="1">
      <c r="A1885" s="4">
        <v>1881</v>
      </c>
      <c r="B1885" s="4">
        <v>57878</v>
      </c>
      <c r="C1885" s="4">
        <v>1</v>
      </c>
      <c r="D1885" s="6">
        <v>0</v>
      </c>
      <c r="E1885" s="6">
        <v>-98.75</v>
      </c>
      <c r="F1885" s="6">
        <v>-0.13</v>
      </c>
      <c r="G1885" s="6">
        <v>0.01</v>
      </c>
      <c r="H1885" s="6">
        <v>44</v>
      </c>
    </row>
    <row r="1886" spans="1:8" ht="18.95" customHeight="1">
      <c r="A1886" s="4">
        <v>1882</v>
      </c>
      <c r="B1886" s="4">
        <v>57899</v>
      </c>
      <c r="C1886" s="4">
        <v>1</v>
      </c>
      <c r="D1886" s="6">
        <v>0</v>
      </c>
      <c r="E1886" s="6">
        <v>-98.75</v>
      </c>
      <c r="F1886" s="6">
        <v>-0.12</v>
      </c>
      <c r="G1886" s="6">
        <v>0.04</v>
      </c>
      <c r="H1886" s="6">
        <v>49</v>
      </c>
    </row>
    <row r="1887" spans="1:8" ht="18.95" customHeight="1">
      <c r="A1887" s="4">
        <v>1883</v>
      </c>
      <c r="B1887" s="4">
        <v>57919</v>
      </c>
      <c r="C1887" s="4">
        <v>1</v>
      </c>
      <c r="D1887" s="6">
        <v>0</v>
      </c>
      <c r="E1887" s="6">
        <v>-98.75</v>
      </c>
      <c r="F1887" s="6">
        <v>-0.09</v>
      </c>
      <c r="G1887" s="6">
        <v>0.03</v>
      </c>
      <c r="H1887" s="6">
        <v>49</v>
      </c>
    </row>
    <row r="1888" spans="1:8" ht="18.95" customHeight="1">
      <c r="A1888" s="4">
        <v>1884</v>
      </c>
      <c r="B1888" s="4">
        <v>57939</v>
      </c>
      <c r="C1888" s="4">
        <v>1</v>
      </c>
      <c r="D1888" s="6">
        <v>0</v>
      </c>
      <c r="E1888" s="6">
        <v>-98.69</v>
      </c>
      <c r="F1888" s="6">
        <v>-0.06</v>
      </c>
      <c r="G1888" s="6">
        <v>-0.03</v>
      </c>
      <c r="H1888" s="6">
        <v>49</v>
      </c>
    </row>
    <row r="1889" spans="1:8" ht="18.95" customHeight="1">
      <c r="A1889" s="4">
        <v>1885</v>
      </c>
      <c r="B1889" s="4">
        <v>57959</v>
      </c>
      <c r="C1889" s="4">
        <v>1</v>
      </c>
      <c r="D1889" s="6">
        <v>0</v>
      </c>
      <c r="E1889" s="6">
        <v>-98.75</v>
      </c>
      <c r="F1889" s="6">
        <v>-0.04</v>
      </c>
      <c r="G1889" s="6">
        <v>0.11</v>
      </c>
      <c r="H1889" s="6">
        <v>52</v>
      </c>
    </row>
    <row r="1890" spans="1:8" ht="18.95" customHeight="1">
      <c r="A1890" s="4">
        <v>1886</v>
      </c>
      <c r="B1890" s="4">
        <v>57979</v>
      </c>
      <c r="C1890" s="4">
        <v>1</v>
      </c>
      <c r="D1890" s="6">
        <v>0</v>
      </c>
      <c r="E1890" s="6">
        <v>-98.75</v>
      </c>
      <c r="F1890" s="6">
        <v>-0.01</v>
      </c>
      <c r="G1890" s="6">
        <v>-0.21</v>
      </c>
      <c r="H1890" s="6">
        <v>52</v>
      </c>
    </row>
    <row r="1891" spans="1:8" ht="18.95" customHeight="1">
      <c r="A1891" s="4">
        <v>1887</v>
      </c>
      <c r="B1891" s="4">
        <v>57999</v>
      </c>
      <c r="C1891" s="4">
        <v>1</v>
      </c>
      <c r="D1891" s="6">
        <v>0</v>
      </c>
      <c r="E1891" s="6">
        <v>-98.81</v>
      </c>
      <c r="F1891" s="6">
        <v>0.01</v>
      </c>
      <c r="G1891" s="6">
        <v>-0.2</v>
      </c>
      <c r="H1891" s="6">
        <v>56</v>
      </c>
    </row>
    <row r="1892" spans="1:8" ht="18.95" customHeight="1">
      <c r="A1892" s="4">
        <v>1888</v>
      </c>
      <c r="B1892" s="4">
        <v>58019</v>
      </c>
      <c r="C1892" s="4">
        <v>1</v>
      </c>
      <c r="D1892" s="6">
        <v>0</v>
      </c>
      <c r="E1892" s="6">
        <v>-98.87</v>
      </c>
      <c r="F1892" s="6">
        <v>0.03</v>
      </c>
      <c r="G1892" s="6">
        <v>-0.06</v>
      </c>
      <c r="H1892" s="6">
        <v>56</v>
      </c>
    </row>
    <row r="1893" spans="1:8" ht="18.95" customHeight="1">
      <c r="A1893" s="4">
        <v>1889</v>
      </c>
      <c r="B1893" s="4">
        <v>58039</v>
      </c>
      <c r="C1893" s="4">
        <v>1</v>
      </c>
      <c r="D1893" s="6">
        <v>0</v>
      </c>
      <c r="E1893" s="6">
        <v>-98.94</v>
      </c>
      <c r="F1893" s="6">
        <v>0.06</v>
      </c>
      <c r="G1893" s="6">
        <v>-0.04</v>
      </c>
      <c r="H1893" s="6">
        <v>56</v>
      </c>
    </row>
    <row r="1894" spans="1:8" ht="18.95" customHeight="1">
      <c r="A1894" s="4">
        <v>1890</v>
      </c>
      <c r="B1894" s="4">
        <v>58059</v>
      </c>
      <c r="C1894" s="4">
        <v>1</v>
      </c>
      <c r="D1894" s="6">
        <v>0</v>
      </c>
      <c r="E1894" s="6">
        <v>-98.94</v>
      </c>
      <c r="F1894" s="6">
        <v>0.08</v>
      </c>
      <c r="G1894" s="6">
        <v>0.15</v>
      </c>
      <c r="H1894" s="6">
        <v>60</v>
      </c>
    </row>
    <row r="1895" spans="1:8" ht="18.95" customHeight="1">
      <c r="A1895" s="4">
        <v>1891</v>
      </c>
      <c r="B1895" s="4">
        <v>58079</v>
      </c>
      <c r="C1895" s="4">
        <v>1</v>
      </c>
      <c r="D1895" s="6">
        <v>0</v>
      </c>
      <c r="E1895" s="6">
        <v>-99</v>
      </c>
      <c r="F1895" s="6">
        <v>0.1</v>
      </c>
      <c r="G1895" s="6">
        <v>0</v>
      </c>
      <c r="H1895" s="6">
        <v>60</v>
      </c>
    </row>
    <row r="1896" spans="1:8" ht="18.95" customHeight="1">
      <c r="A1896" s="4">
        <v>1892</v>
      </c>
      <c r="B1896" s="4">
        <v>58099</v>
      </c>
      <c r="C1896" s="4">
        <v>1</v>
      </c>
      <c r="D1896" s="6">
        <v>0</v>
      </c>
      <c r="E1896" s="6">
        <v>-99</v>
      </c>
      <c r="F1896" s="6">
        <v>0.15</v>
      </c>
      <c r="G1896" s="6">
        <v>0.09</v>
      </c>
      <c r="H1896" s="6">
        <v>63</v>
      </c>
    </row>
    <row r="1897" spans="1:8" ht="18.95" customHeight="1">
      <c r="A1897" s="4">
        <v>1893</v>
      </c>
      <c r="B1897" s="4">
        <v>58119</v>
      </c>
      <c r="C1897" s="4">
        <v>1</v>
      </c>
      <c r="D1897" s="6">
        <v>0</v>
      </c>
      <c r="E1897" s="6">
        <v>-99.06</v>
      </c>
      <c r="F1897" s="6">
        <v>0.16</v>
      </c>
      <c r="G1897" s="6">
        <v>0.12</v>
      </c>
      <c r="H1897" s="6">
        <v>63</v>
      </c>
    </row>
    <row r="1898" spans="1:8" ht="18.95" customHeight="1">
      <c r="A1898" s="4">
        <v>1894</v>
      </c>
      <c r="B1898" s="4">
        <v>58139</v>
      </c>
      <c r="C1898" s="4">
        <v>1</v>
      </c>
      <c r="D1898" s="6">
        <v>0</v>
      </c>
      <c r="E1898" s="6">
        <v>-99.12</v>
      </c>
      <c r="F1898" s="6">
        <v>0.18</v>
      </c>
      <c r="G1898" s="6">
        <v>0</v>
      </c>
      <c r="H1898" s="6">
        <v>63</v>
      </c>
    </row>
    <row r="1899" spans="1:8" ht="18.95" customHeight="1">
      <c r="A1899" s="4">
        <v>1895</v>
      </c>
      <c r="B1899" s="4">
        <v>58159</v>
      </c>
      <c r="C1899" s="4">
        <v>1</v>
      </c>
      <c r="D1899" s="6">
        <v>0</v>
      </c>
      <c r="E1899" s="6">
        <v>-99.19</v>
      </c>
      <c r="F1899" s="6">
        <v>0.21</v>
      </c>
      <c r="G1899" s="6">
        <v>0.13</v>
      </c>
      <c r="H1899" s="6">
        <v>69</v>
      </c>
    </row>
    <row r="1900" spans="1:8" ht="18.95" customHeight="1">
      <c r="A1900" s="4">
        <v>1896</v>
      </c>
      <c r="B1900" s="4">
        <v>58179</v>
      </c>
      <c r="C1900" s="4">
        <v>1</v>
      </c>
      <c r="D1900" s="6">
        <v>0</v>
      </c>
      <c r="E1900" s="6">
        <v>-99.31</v>
      </c>
      <c r="F1900" s="6">
        <v>0.24</v>
      </c>
      <c r="G1900" s="6">
        <v>0.05</v>
      </c>
      <c r="H1900" s="6">
        <v>69</v>
      </c>
    </row>
    <row r="1901" spans="1:8" ht="18.95" customHeight="1">
      <c r="A1901" s="4">
        <v>1897</v>
      </c>
      <c r="B1901" s="4">
        <v>58200</v>
      </c>
      <c r="C1901" s="4">
        <v>1</v>
      </c>
      <c r="D1901" s="6">
        <v>0</v>
      </c>
      <c r="E1901" s="6">
        <v>-99.37</v>
      </c>
      <c r="F1901" s="6">
        <v>0.27</v>
      </c>
      <c r="G1901" s="6">
        <v>0.11</v>
      </c>
      <c r="H1901" s="6">
        <v>71</v>
      </c>
    </row>
    <row r="1902" spans="1:8" ht="18.95" customHeight="1">
      <c r="A1902" s="4">
        <v>1898</v>
      </c>
      <c r="B1902" s="4">
        <v>58220</v>
      </c>
      <c r="C1902" s="4">
        <v>1</v>
      </c>
      <c r="D1902" s="6">
        <v>0</v>
      </c>
      <c r="E1902" s="6">
        <v>-99.5</v>
      </c>
      <c r="F1902" s="6">
        <v>0.28000000000000003</v>
      </c>
      <c r="G1902" s="6">
        <v>0.02</v>
      </c>
      <c r="H1902" s="6">
        <v>71</v>
      </c>
    </row>
    <row r="1903" spans="1:8" ht="18.95" customHeight="1">
      <c r="A1903" s="4">
        <v>1899</v>
      </c>
      <c r="B1903" s="4">
        <v>58240</v>
      </c>
      <c r="C1903" s="4">
        <v>1</v>
      </c>
      <c r="D1903" s="6">
        <v>0</v>
      </c>
      <c r="E1903" s="6">
        <v>-99.62</v>
      </c>
      <c r="F1903" s="6">
        <v>0.3</v>
      </c>
      <c r="G1903" s="6">
        <v>-0.04</v>
      </c>
      <c r="H1903" s="6">
        <v>71</v>
      </c>
    </row>
    <row r="1904" spans="1:8" ht="18.95" customHeight="1">
      <c r="A1904" s="4">
        <v>1900</v>
      </c>
      <c r="B1904" s="4">
        <v>58260</v>
      </c>
      <c r="C1904" s="4">
        <v>1</v>
      </c>
      <c r="D1904" s="6">
        <v>0</v>
      </c>
      <c r="E1904" s="6">
        <v>-99.75</v>
      </c>
      <c r="F1904" s="6">
        <v>0.35</v>
      </c>
      <c r="G1904" s="6">
        <v>0.14000000000000001</v>
      </c>
      <c r="H1904" s="6">
        <v>70</v>
      </c>
    </row>
    <row r="1905" spans="1:8" ht="18.95" customHeight="1">
      <c r="A1905" s="4">
        <v>1901</v>
      </c>
      <c r="B1905" s="4">
        <v>58280</v>
      </c>
      <c r="C1905" s="4">
        <v>1</v>
      </c>
      <c r="D1905" s="6">
        <v>0</v>
      </c>
      <c r="E1905" s="6">
        <v>-99.94</v>
      </c>
      <c r="F1905" s="6">
        <v>0.36</v>
      </c>
      <c r="G1905" s="6">
        <v>0</v>
      </c>
      <c r="H1905" s="6">
        <v>70</v>
      </c>
    </row>
    <row r="1906" spans="1:8" ht="18.95" customHeight="1">
      <c r="A1906" s="4">
        <v>1902</v>
      </c>
      <c r="B1906" s="4">
        <v>58300</v>
      </c>
      <c r="C1906" s="4">
        <v>1</v>
      </c>
      <c r="D1906" s="6">
        <v>0</v>
      </c>
      <c r="E1906" s="6">
        <v>-100.06</v>
      </c>
      <c r="F1906" s="6">
        <v>0.38</v>
      </c>
      <c r="G1906" s="6">
        <v>0.04</v>
      </c>
      <c r="H1906" s="6">
        <v>76</v>
      </c>
    </row>
    <row r="1907" spans="1:8" ht="18.95" customHeight="1">
      <c r="A1907" s="4">
        <v>1903</v>
      </c>
      <c r="B1907" s="4">
        <v>58320</v>
      </c>
      <c r="C1907" s="4">
        <v>1</v>
      </c>
      <c r="D1907" s="6">
        <v>0</v>
      </c>
      <c r="E1907" s="6">
        <v>-100.25</v>
      </c>
      <c r="F1907" s="6">
        <v>0.39</v>
      </c>
      <c r="G1907" s="6">
        <v>-0.02</v>
      </c>
      <c r="H1907" s="6">
        <v>76</v>
      </c>
    </row>
    <row r="1908" spans="1:8" ht="18.95" customHeight="1">
      <c r="A1908" s="4">
        <v>1904</v>
      </c>
      <c r="B1908" s="4">
        <v>58340</v>
      </c>
      <c r="C1908" s="4">
        <v>1</v>
      </c>
      <c r="D1908" s="6">
        <v>0</v>
      </c>
      <c r="E1908" s="6">
        <v>-100.5</v>
      </c>
      <c r="F1908" s="6">
        <v>0.42</v>
      </c>
      <c r="G1908" s="6">
        <v>-7.0000000000000007E-2</v>
      </c>
      <c r="H1908" s="6">
        <v>76</v>
      </c>
    </row>
    <row r="1909" spans="1:8" ht="18.95" customHeight="1">
      <c r="A1909" s="4">
        <v>1905</v>
      </c>
      <c r="B1909" s="4">
        <v>58360</v>
      </c>
      <c r="C1909" s="4">
        <v>1</v>
      </c>
      <c r="D1909" s="6">
        <v>0</v>
      </c>
      <c r="E1909" s="6">
        <v>-100.69</v>
      </c>
      <c r="F1909" s="6">
        <v>0.46</v>
      </c>
      <c r="G1909" s="6">
        <v>0.08</v>
      </c>
      <c r="H1909" s="6">
        <v>75</v>
      </c>
    </row>
    <row r="1910" spans="1:8" ht="18.95" customHeight="1">
      <c r="A1910" s="4">
        <v>1906</v>
      </c>
      <c r="B1910" s="4">
        <v>58380</v>
      </c>
      <c r="C1910" s="4">
        <v>1</v>
      </c>
      <c r="D1910" s="6">
        <v>0</v>
      </c>
      <c r="E1910" s="6">
        <v>-100.94</v>
      </c>
      <c r="F1910" s="6">
        <v>0.46</v>
      </c>
      <c r="G1910" s="6">
        <v>-0.05</v>
      </c>
      <c r="H1910" s="6">
        <v>75</v>
      </c>
    </row>
    <row r="1911" spans="1:8" ht="18.95" customHeight="1">
      <c r="A1911" s="4">
        <v>1907</v>
      </c>
      <c r="B1911" s="4">
        <v>58400</v>
      </c>
      <c r="C1911" s="4">
        <v>1</v>
      </c>
      <c r="D1911" s="6">
        <v>0</v>
      </c>
      <c r="E1911" s="6">
        <v>-101.25</v>
      </c>
      <c r="F1911" s="6">
        <v>0.5</v>
      </c>
      <c r="G1911" s="6">
        <v>-0.01</v>
      </c>
      <c r="H1911" s="6">
        <v>80</v>
      </c>
    </row>
    <row r="1912" spans="1:8" ht="18.95" customHeight="1">
      <c r="A1912" s="4">
        <v>1908</v>
      </c>
      <c r="B1912" s="4">
        <v>58420</v>
      </c>
      <c r="C1912" s="4">
        <v>1</v>
      </c>
      <c r="D1912" s="6">
        <v>0</v>
      </c>
      <c r="E1912" s="6">
        <v>-101.5</v>
      </c>
      <c r="F1912" s="6">
        <v>0.51</v>
      </c>
      <c r="G1912" s="6">
        <v>0.04</v>
      </c>
      <c r="H1912" s="6">
        <v>80</v>
      </c>
    </row>
    <row r="1913" spans="1:8" ht="18.95" customHeight="1">
      <c r="A1913" s="4">
        <v>1909</v>
      </c>
      <c r="B1913" s="4">
        <v>58440</v>
      </c>
      <c r="C1913" s="4">
        <v>1</v>
      </c>
      <c r="D1913" s="6">
        <v>0</v>
      </c>
      <c r="E1913" s="6">
        <v>-101.87</v>
      </c>
      <c r="F1913" s="6">
        <v>0.51</v>
      </c>
      <c r="G1913" s="6">
        <v>0.17</v>
      </c>
      <c r="H1913" s="6">
        <v>80</v>
      </c>
    </row>
    <row r="1914" spans="1:8" ht="18.95" customHeight="1">
      <c r="A1914" s="4">
        <v>1910</v>
      </c>
      <c r="B1914" s="4">
        <v>58460</v>
      </c>
      <c r="C1914" s="4">
        <v>1</v>
      </c>
      <c r="D1914" s="6">
        <v>0</v>
      </c>
      <c r="E1914" s="6">
        <v>-102.19</v>
      </c>
      <c r="F1914" s="6">
        <v>0.5</v>
      </c>
      <c r="G1914" s="6">
        <v>0.13</v>
      </c>
      <c r="H1914" s="6">
        <v>77</v>
      </c>
    </row>
    <row r="1915" spans="1:8" ht="18.95" customHeight="1">
      <c r="A1915" s="4">
        <v>1911</v>
      </c>
      <c r="B1915" s="4">
        <v>58480</v>
      </c>
      <c r="C1915" s="4">
        <v>1</v>
      </c>
      <c r="D1915" s="6">
        <v>0</v>
      </c>
      <c r="E1915" s="6">
        <v>-102.56</v>
      </c>
      <c r="F1915" s="6">
        <v>0.52</v>
      </c>
      <c r="G1915" s="6">
        <v>-0.08</v>
      </c>
      <c r="H1915" s="6">
        <v>77</v>
      </c>
    </row>
    <row r="1916" spans="1:8" ht="18.95" customHeight="1">
      <c r="A1916" s="4">
        <v>1912</v>
      </c>
      <c r="B1916" s="4">
        <v>58500</v>
      </c>
      <c r="C1916" s="4">
        <v>1</v>
      </c>
      <c r="D1916" s="6">
        <v>0</v>
      </c>
      <c r="E1916" s="6">
        <v>-102.94</v>
      </c>
      <c r="F1916" s="6">
        <v>0.55000000000000004</v>
      </c>
      <c r="G1916" s="6">
        <v>0.25</v>
      </c>
      <c r="H1916" s="6">
        <v>80</v>
      </c>
    </row>
    <row r="1917" spans="1:8" ht="18.95" customHeight="1">
      <c r="A1917" s="4">
        <v>1913</v>
      </c>
      <c r="B1917" s="4">
        <v>58520</v>
      </c>
      <c r="C1917" s="4">
        <v>1</v>
      </c>
      <c r="D1917" s="6">
        <v>0</v>
      </c>
      <c r="E1917" s="6">
        <v>-103.37</v>
      </c>
      <c r="F1917" s="6">
        <v>0.54</v>
      </c>
      <c r="G1917" s="6">
        <v>0.2</v>
      </c>
      <c r="H1917" s="6">
        <v>80</v>
      </c>
    </row>
    <row r="1918" spans="1:8" ht="18.95" customHeight="1">
      <c r="A1918" s="4">
        <v>1914</v>
      </c>
      <c r="B1918" s="4">
        <v>58540</v>
      </c>
      <c r="C1918" s="4">
        <v>1</v>
      </c>
      <c r="D1918" s="6">
        <v>0</v>
      </c>
      <c r="E1918" s="6">
        <v>-103.81</v>
      </c>
      <c r="F1918" s="6">
        <v>0.53</v>
      </c>
      <c r="G1918" s="6">
        <v>-0.05</v>
      </c>
      <c r="H1918" s="6">
        <v>80</v>
      </c>
    </row>
    <row r="1919" spans="1:8" ht="18.95" customHeight="1">
      <c r="A1919" s="4">
        <v>1915</v>
      </c>
      <c r="B1919" s="4">
        <v>58560</v>
      </c>
      <c r="C1919" s="4">
        <v>1</v>
      </c>
      <c r="D1919" s="6">
        <v>0</v>
      </c>
      <c r="E1919" s="6">
        <v>-104.25</v>
      </c>
      <c r="F1919" s="6">
        <v>0.52</v>
      </c>
      <c r="G1919" s="6">
        <v>0.09</v>
      </c>
      <c r="H1919" s="6">
        <v>80</v>
      </c>
    </row>
    <row r="1920" spans="1:8" ht="18.95" customHeight="1">
      <c r="A1920" s="4">
        <v>1916</v>
      </c>
      <c r="B1920" s="4">
        <v>58580</v>
      </c>
      <c r="C1920" s="4">
        <v>1</v>
      </c>
      <c r="D1920" s="6">
        <v>0</v>
      </c>
      <c r="E1920" s="6">
        <v>-104.75</v>
      </c>
      <c r="F1920" s="6">
        <v>0.54</v>
      </c>
      <c r="G1920" s="6">
        <v>0.23</v>
      </c>
      <c r="H1920" s="6">
        <v>80</v>
      </c>
    </row>
    <row r="1921" spans="1:8" ht="18.95" customHeight="1">
      <c r="A1921" s="4">
        <v>1917</v>
      </c>
      <c r="B1921" s="4">
        <v>58600</v>
      </c>
      <c r="C1921" s="4">
        <v>1</v>
      </c>
      <c r="D1921" s="6">
        <v>0</v>
      </c>
      <c r="E1921" s="6">
        <v>-105.31</v>
      </c>
      <c r="F1921" s="6">
        <v>0.55000000000000004</v>
      </c>
      <c r="G1921" s="6">
        <v>0.04</v>
      </c>
      <c r="H1921" s="6">
        <v>84</v>
      </c>
    </row>
    <row r="1922" spans="1:8" ht="18.95" customHeight="1">
      <c r="A1922" s="4">
        <v>1918</v>
      </c>
      <c r="B1922" s="4">
        <v>58620</v>
      </c>
      <c r="C1922" s="4">
        <v>1</v>
      </c>
      <c r="D1922" s="6">
        <v>0</v>
      </c>
      <c r="E1922" s="6">
        <v>-105.94</v>
      </c>
      <c r="F1922" s="6">
        <v>0.55000000000000004</v>
      </c>
      <c r="G1922" s="6">
        <v>-0.17</v>
      </c>
      <c r="H1922" s="6">
        <v>84</v>
      </c>
    </row>
    <row r="1923" spans="1:8" ht="18.95" customHeight="1">
      <c r="A1923" s="4">
        <v>1919</v>
      </c>
      <c r="B1923" s="4">
        <v>58640</v>
      </c>
      <c r="C1923" s="4">
        <v>1</v>
      </c>
      <c r="D1923" s="6">
        <v>0</v>
      </c>
      <c r="E1923" s="6">
        <v>-106.56</v>
      </c>
      <c r="F1923" s="6">
        <v>0.56999999999999995</v>
      </c>
      <c r="G1923" s="6">
        <v>0.09</v>
      </c>
      <c r="H1923" s="6">
        <v>84</v>
      </c>
    </row>
    <row r="1924" spans="1:8" ht="18.95" customHeight="1">
      <c r="A1924" s="4">
        <v>1920</v>
      </c>
      <c r="B1924" s="4">
        <v>58660</v>
      </c>
      <c r="C1924" s="4">
        <v>1</v>
      </c>
      <c r="D1924" s="6">
        <v>0</v>
      </c>
      <c r="E1924" s="6">
        <v>-107.31</v>
      </c>
      <c r="F1924" s="6">
        <v>0.61</v>
      </c>
      <c r="G1924" s="6">
        <v>0</v>
      </c>
      <c r="H1924" s="6">
        <v>84</v>
      </c>
    </row>
    <row r="1925" spans="1:8" ht="18.95" customHeight="1">
      <c r="A1925" s="4">
        <v>1921</v>
      </c>
      <c r="B1925" s="4">
        <v>58680</v>
      </c>
      <c r="C1925" s="4">
        <v>1</v>
      </c>
      <c r="D1925" s="6">
        <v>0</v>
      </c>
      <c r="E1925" s="6">
        <v>-108.19</v>
      </c>
      <c r="F1925" s="6">
        <v>0.63</v>
      </c>
      <c r="G1925" s="6">
        <v>7.0000000000000007E-2</v>
      </c>
      <c r="H1925" s="6">
        <v>84</v>
      </c>
    </row>
    <row r="1926" spans="1:8" ht="18.95" customHeight="1">
      <c r="A1926" s="4">
        <v>1922</v>
      </c>
      <c r="B1926" s="4">
        <v>58700</v>
      </c>
      <c r="C1926" s="4">
        <v>1</v>
      </c>
      <c r="D1926" s="6">
        <v>0</v>
      </c>
      <c r="E1926" s="6">
        <v>-109</v>
      </c>
      <c r="F1926" s="6">
        <v>0.57999999999999996</v>
      </c>
      <c r="G1926" s="6">
        <v>0.09</v>
      </c>
      <c r="H1926" s="6">
        <v>83</v>
      </c>
    </row>
    <row r="1927" spans="1:8" ht="18.95" customHeight="1">
      <c r="A1927" s="4">
        <v>1923</v>
      </c>
      <c r="B1927" s="4">
        <v>58720</v>
      </c>
      <c r="C1927" s="4">
        <v>1</v>
      </c>
      <c r="D1927" s="6">
        <v>0</v>
      </c>
      <c r="E1927" s="6">
        <v>-109.87</v>
      </c>
      <c r="F1927" s="6">
        <v>0.6</v>
      </c>
      <c r="G1927" s="6">
        <v>-0.01</v>
      </c>
      <c r="H1927" s="6">
        <v>83</v>
      </c>
    </row>
    <row r="1928" spans="1:8" ht="18.95" customHeight="1">
      <c r="A1928" s="4">
        <v>1924</v>
      </c>
      <c r="B1928" s="4">
        <v>58740</v>
      </c>
      <c r="C1928" s="4">
        <v>1</v>
      </c>
      <c r="D1928" s="6">
        <v>0</v>
      </c>
      <c r="E1928" s="6">
        <v>-110.75</v>
      </c>
      <c r="F1928" s="6">
        <v>0.57999999999999996</v>
      </c>
      <c r="G1928" s="6">
        <v>0.09</v>
      </c>
      <c r="H1928" s="6">
        <v>83</v>
      </c>
    </row>
    <row r="1929" spans="1:8" ht="18.95" customHeight="1">
      <c r="A1929" s="4">
        <v>1925</v>
      </c>
      <c r="B1929" s="4">
        <v>58760</v>
      </c>
      <c r="C1929" s="4">
        <v>1</v>
      </c>
      <c r="D1929" s="6">
        <v>0</v>
      </c>
      <c r="E1929" s="6">
        <v>-111.81</v>
      </c>
      <c r="F1929" s="6">
        <v>0.59</v>
      </c>
      <c r="G1929" s="6">
        <v>0</v>
      </c>
      <c r="H1929" s="6">
        <v>87</v>
      </c>
    </row>
    <row r="1930" spans="1:8" ht="18.95" customHeight="1">
      <c r="A1930" s="4">
        <v>1926</v>
      </c>
      <c r="B1930" s="4">
        <v>58780</v>
      </c>
      <c r="C1930" s="4">
        <v>1</v>
      </c>
      <c r="D1930" s="6">
        <v>0</v>
      </c>
      <c r="E1930" s="6">
        <v>-112.94</v>
      </c>
      <c r="F1930" s="6">
        <v>0.56999999999999995</v>
      </c>
      <c r="G1930" s="6">
        <v>-0.09</v>
      </c>
      <c r="H1930" s="6">
        <v>87</v>
      </c>
    </row>
    <row r="1931" spans="1:8" ht="18.95" customHeight="1">
      <c r="A1931" s="4">
        <v>1927</v>
      </c>
      <c r="B1931" s="4">
        <v>58800</v>
      </c>
      <c r="C1931" s="4">
        <v>1</v>
      </c>
      <c r="D1931" s="6">
        <v>0</v>
      </c>
      <c r="E1931" s="6">
        <v>-114.12</v>
      </c>
      <c r="F1931" s="6">
        <v>0.54</v>
      </c>
      <c r="G1931" s="6">
        <v>-0.11</v>
      </c>
      <c r="H1931" s="6">
        <v>82</v>
      </c>
    </row>
    <row r="1932" spans="1:8" ht="18.95" customHeight="1">
      <c r="A1932" s="4">
        <v>1928</v>
      </c>
      <c r="B1932" s="4">
        <v>58820</v>
      </c>
      <c r="C1932" s="4">
        <v>1</v>
      </c>
      <c r="D1932" s="6">
        <v>0</v>
      </c>
      <c r="E1932" s="6">
        <v>-115.5</v>
      </c>
      <c r="F1932" s="6">
        <v>0.54</v>
      </c>
      <c r="G1932" s="6">
        <v>0.05</v>
      </c>
      <c r="H1932" s="6">
        <v>82</v>
      </c>
    </row>
    <row r="1933" spans="1:8" ht="18.95" customHeight="1">
      <c r="A1933" s="4">
        <v>1929</v>
      </c>
      <c r="B1933" s="4">
        <v>58840</v>
      </c>
      <c r="C1933" s="4">
        <v>1</v>
      </c>
      <c r="D1933" s="6">
        <v>0</v>
      </c>
      <c r="E1933" s="6">
        <v>-116.94</v>
      </c>
      <c r="F1933" s="6">
        <v>0.53</v>
      </c>
      <c r="G1933" s="6">
        <v>-0.05</v>
      </c>
      <c r="H1933" s="6">
        <v>82</v>
      </c>
    </row>
    <row r="1934" spans="1:8" ht="18.95" customHeight="1">
      <c r="A1934" s="4">
        <v>1930</v>
      </c>
      <c r="B1934" s="4">
        <v>58860</v>
      </c>
      <c r="C1934" s="4">
        <v>1</v>
      </c>
      <c r="D1934" s="6">
        <v>0</v>
      </c>
      <c r="E1934" s="6">
        <v>-118.56</v>
      </c>
      <c r="F1934" s="6">
        <v>0.51</v>
      </c>
      <c r="G1934" s="6">
        <v>0.31</v>
      </c>
      <c r="H1934" s="6">
        <v>83</v>
      </c>
    </row>
    <row r="1935" spans="1:8" ht="18.95" customHeight="1">
      <c r="A1935" s="4">
        <v>1931</v>
      </c>
      <c r="B1935" s="4">
        <v>58880</v>
      </c>
      <c r="C1935" s="4">
        <v>1</v>
      </c>
      <c r="D1935" s="6">
        <v>0</v>
      </c>
      <c r="E1935" s="6">
        <v>-120.25</v>
      </c>
      <c r="F1935" s="6">
        <v>0.5</v>
      </c>
      <c r="G1935" s="6">
        <v>-0.1</v>
      </c>
      <c r="H1935" s="6">
        <v>83</v>
      </c>
    </row>
    <row r="1936" spans="1:8" ht="18.95" customHeight="1">
      <c r="A1936" s="4">
        <v>1932</v>
      </c>
      <c r="B1936" s="4">
        <v>58900</v>
      </c>
      <c r="C1936" s="4">
        <v>1</v>
      </c>
      <c r="D1936" s="6">
        <v>0</v>
      </c>
      <c r="E1936" s="6">
        <v>-122.19</v>
      </c>
      <c r="F1936" s="6">
        <v>0.49</v>
      </c>
      <c r="G1936" s="6">
        <v>0</v>
      </c>
      <c r="H1936" s="6">
        <v>80</v>
      </c>
    </row>
    <row r="1937" spans="1:8" ht="18.95" customHeight="1">
      <c r="A1937" s="4">
        <v>1933</v>
      </c>
      <c r="B1937" s="4">
        <v>58920</v>
      </c>
      <c r="C1937" s="4">
        <v>1</v>
      </c>
      <c r="D1937" s="6">
        <v>0</v>
      </c>
      <c r="E1937" s="6">
        <v>-124.44</v>
      </c>
      <c r="F1937" s="6">
        <v>0.51</v>
      </c>
      <c r="G1937" s="6">
        <v>0.03</v>
      </c>
      <c r="H1937" s="6">
        <v>80</v>
      </c>
    </row>
    <row r="1938" spans="1:8" ht="18.95" customHeight="1">
      <c r="A1938" s="4">
        <v>1934</v>
      </c>
      <c r="B1938" s="4">
        <v>58940</v>
      </c>
      <c r="C1938" s="4">
        <v>1</v>
      </c>
      <c r="D1938" s="6">
        <v>0</v>
      </c>
      <c r="E1938" s="6">
        <v>-127</v>
      </c>
      <c r="F1938" s="6">
        <v>0.48</v>
      </c>
      <c r="G1938" s="6">
        <v>-0.08</v>
      </c>
      <c r="H1938" s="6">
        <v>80</v>
      </c>
    </row>
    <row r="1939" spans="1:8" ht="18.95" customHeight="1">
      <c r="A1939" s="4">
        <v>1935</v>
      </c>
      <c r="B1939" s="4">
        <v>58960</v>
      </c>
      <c r="C1939" s="4">
        <v>1</v>
      </c>
      <c r="D1939" s="6">
        <v>0</v>
      </c>
      <c r="E1939" s="6">
        <v>-175</v>
      </c>
      <c r="F1939" s="6">
        <v>0.44</v>
      </c>
      <c r="G1939" s="6">
        <v>0.01</v>
      </c>
      <c r="H1939" s="6">
        <v>81</v>
      </c>
    </row>
    <row r="1940" spans="1:8" ht="18.95" customHeight="1">
      <c r="A1940" s="4">
        <v>1936</v>
      </c>
      <c r="B1940" s="4">
        <v>58980</v>
      </c>
      <c r="C1940" s="4">
        <v>1</v>
      </c>
      <c r="D1940" s="6">
        <v>0</v>
      </c>
      <c r="E1940" s="6">
        <v>-175.44</v>
      </c>
      <c r="F1940" s="6">
        <v>0.42</v>
      </c>
      <c r="G1940" s="6">
        <v>0.13</v>
      </c>
      <c r="H1940" s="6">
        <v>81</v>
      </c>
    </row>
    <row r="1941" spans="1:8" ht="18.95" customHeight="1">
      <c r="A1941" s="4">
        <v>1937</v>
      </c>
      <c r="B1941" s="4">
        <v>59000</v>
      </c>
      <c r="C1941" s="4">
        <v>1</v>
      </c>
      <c r="D1941" s="6">
        <v>0</v>
      </c>
      <c r="E1941" s="6">
        <v>-175.94</v>
      </c>
      <c r="F1941" s="6">
        <v>0.42</v>
      </c>
      <c r="G1941" s="6">
        <v>0.11</v>
      </c>
      <c r="H1941" s="6">
        <v>77</v>
      </c>
    </row>
    <row r="1942" spans="1:8" ht="18.95" customHeight="1">
      <c r="A1942" s="4">
        <v>1938</v>
      </c>
      <c r="B1942" s="4">
        <v>59020</v>
      </c>
      <c r="C1942" s="4">
        <v>1</v>
      </c>
      <c r="D1942" s="6">
        <v>0</v>
      </c>
      <c r="E1942" s="6">
        <v>-176.38</v>
      </c>
      <c r="F1942" s="6">
        <v>0.4</v>
      </c>
      <c r="G1942" s="6">
        <v>0.01</v>
      </c>
      <c r="H1942" s="6">
        <v>77</v>
      </c>
    </row>
    <row r="1943" spans="1:8" ht="18.95" customHeight="1">
      <c r="A1943" s="4">
        <v>1939</v>
      </c>
      <c r="B1943" s="4">
        <v>59040</v>
      </c>
      <c r="C1943" s="4">
        <v>1</v>
      </c>
      <c r="D1943" s="6">
        <v>0</v>
      </c>
      <c r="E1943" s="6">
        <v>-176.81</v>
      </c>
      <c r="F1943" s="6">
        <v>0.38</v>
      </c>
      <c r="G1943" s="6">
        <v>7.0000000000000007E-2</v>
      </c>
      <c r="H1943" s="6">
        <v>77</v>
      </c>
    </row>
    <row r="1944" spans="1:8" ht="18.95" customHeight="1">
      <c r="A1944" s="4">
        <v>1940</v>
      </c>
      <c r="B1944" s="4">
        <v>59060</v>
      </c>
      <c r="C1944" s="4">
        <v>1</v>
      </c>
      <c r="D1944" s="6">
        <v>0</v>
      </c>
      <c r="E1944" s="6">
        <v>-177.19</v>
      </c>
      <c r="F1944" s="6">
        <v>0.35</v>
      </c>
      <c r="G1944" s="6">
        <v>-0.09</v>
      </c>
      <c r="H1944" s="6">
        <v>77</v>
      </c>
    </row>
    <row r="1945" spans="1:8" ht="18.95" customHeight="1">
      <c r="A1945" s="4">
        <v>1941</v>
      </c>
      <c r="B1945" s="4">
        <v>59080</v>
      </c>
      <c r="C1945" s="4">
        <v>1</v>
      </c>
      <c r="D1945" s="6">
        <v>0</v>
      </c>
      <c r="E1945" s="6">
        <v>-177.63</v>
      </c>
      <c r="F1945" s="6">
        <v>0.36</v>
      </c>
      <c r="G1945" s="6">
        <v>-0.13</v>
      </c>
      <c r="H1945" s="6">
        <v>77</v>
      </c>
    </row>
    <row r="1946" spans="1:8" ht="18.95" customHeight="1">
      <c r="A1946" s="4">
        <v>1942</v>
      </c>
      <c r="B1946" s="4">
        <v>59100</v>
      </c>
      <c r="C1946" s="4">
        <v>1</v>
      </c>
      <c r="D1946" s="6">
        <v>0</v>
      </c>
      <c r="E1946" s="6">
        <v>-177.94</v>
      </c>
      <c r="F1946" s="6">
        <v>0.33</v>
      </c>
      <c r="G1946" s="6">
        <v>0.06</v>
      </c>
      <c r="H1946" s="6">
        <v>75</v>
      </c>
    </row>
    <row r="1947" spans="1:8" ht="18.95" customHeight="1">
      <c r="A1947" s="4">
        <v>1943</v>
      </c>
      <c r="B1947" s="4">
        <v>59120</v>
      </c>
      <c r="C1947" s="4">
        <v>1</v>
      </c>
      <c r="D1947" s="6">
        <v>0</v>
      </c>
      <c r="E1947" s="6">
        <v>-178.31</v>
      </c>
      <c r="F1947" s="6">
        <v>0.33</v>
      </c>
      <c r="G1947" s="6">
        <v>-0.05</v>
      </c>
      <c r="H1947" s="6">
        <v>75</v>
      </c>
    </row>
    <row r="1948" spans="1:8" ht="18.95" customHeight="1">
      <c r="A1948" s="4">
        <v>1944</v>
      </c>
      <c r="B1948" s="4">
        <v>59140</v>
      </c>
      <c r="C1948" s="4">
        <v>1</v>
      </c>
      <c r="D1948" s="6">
        <v>0</v>
      </c>
      <c r="E1948" s="6">
        <v>-178.63</v>
      </c>
      <c r="F1948" s="6">
        <v>0.28999999999999998</v>
      </c>
      <c r="G1948" s="6">
        <v>0.04</v>
      </c>
      <c r="H1948" s="6">
        <v>75</v>
      </c>
    </row>
    <row r="1949" spans="1:8" ht="18.95" customHeight="1">
      <c r="A1949" s="4">
        <v>1945</v>
      </c>
      <c r="B1949" s="4">
        <v>59160</v>
      </c>
      <c r="C1949" s="4">
        <v>1</v>
      </c>
      <c r="D1949" s="6">
        <v>0</v>
      </c>
      <c r="E1949" s="6">
        <v>-178.94</v>
      </c>
      <c r="F1949" s="6">
        <v>0.27</v>
      </c>
      <c r="G1949" s="6">
        <v>0.14000000000000001</v>
      </c>
      <c r="H1949" s="6">
        <v>73</v>
      </c>
    </row>
    <row r="1950" spans="1:8" ht="18.95" customHeight="1">
      <c r="A1950" s="4">
        <v>1946</v>
      </c>
      <c r="B1950" s="4">
        <v>59180</v>
      </c>
      <c r="C1950" s="4">
        <v>1</v>
      </c>
      <c r="D1950" s="6">
        <v>0</v>
      </c>
      <c r="E1950" s="6">
        <v>-179.25</v>
      </c>
      <c r="F1950" s="6">
        <v>0.26</v>
      </c>
      <c r="G1950" s="6">
        <v>-0.04</v>
      </c>
      <c r="H1950" s="6">
        <v>73</v>
      </c>
    </row>
    <row r="1951" spans="1:8" ht="18.95" customHeight="1">
      <c r="A1951" s="4">
        <v>1947</v>
      </c>
      <c r="B1951" s="4">
        <v>59200</v>
      </c>
      <c r="C1951" s="4">
        <v>1</v>
      </c>
      <c r="D1951" s="6">
        <v>0</v>
      </c>
      <c r="E1951" s="6">
        <v>-179.56</v>
      </c>
      <c r="F1951" s="6">
        <v>0.24</v>
      </c>
      <c r="G1951" s="6">
        <v>-0.15</v>
      </c>
      <c r="H1951" s="6">
        <v>71</v>
      </c>
    </row>
    <row r="1952" spans="1:8" ht="18.95" customHeight="1">
      <c r="A1952" s="4">
        <v>1948</v>
      </c>
      <c r="B1952" s="4">
        <v>59220</v>
      </c>
      <c r="C1952" s="4">
        <v>1</v>
      </c>
      <c r="D1952" s="6">
        <v>0</v>
      </c>
      <c r="E1952" s="6">
        <v>-179.75</v>
      </c>
      <c r="F1952" s="6">
        <v>0.21</v>
      </c>
      <c r="G1952" s="6">
        <v>-0.11</v>
      </c>
      <c r="H1952" s="6">
        <v>71</v>
      </c>
    </row>
    <row r="1953" spans="1:8" ht="18.95" customHeight="1">
      <c r="A1953" s="4">
        <v>1949</v>
      </c>
      <c r="B1953" s="4">
        <v>59240</v>
      </c>
      <c r="C1953" s="4">
        <v>1</v>
      </c>
      <c r="D1953" s="6">
        <v>0</v>
      </c>
      <c r="E1953" s="6">
        <v>179.94</v>
      </c>
      <c r="F1953" s="6">
        <v>0.19</v>
      </c>
      <c r="G1953" s="6">
        <v>0.09</v>
      </c>
      <c r="H1953" s="6">
        <v>71</v>
      </c>
    </row>
    <row r="1954" spans="1:8" ht="18.95" customHeight="1">
      <c r="A1954" s="4">
        <v>1950</v>
      </c>
      <c r="B1954" s="4">
        <v>59260</v>
      </c>
      <c r="C1954" s="4">
        <v>1</v>
      </c>
      <c r="D1954" s="6">
        <v>0</v>
      </c>
      <c r="E1954" s="6">
        <v>179.75</v>
      </c>
      <c r="F1954" s="6">
        <v>0.18</v>
      </c>
      <c r="G1954" s="6">
        <v>0.05</v>
      </c>
      <c r="H1954" s="6">
        <v>65</v>
      </c>
    </row>
    <row r="1955" spans="1:8" ht="18.95" customHeight="1">
      <c r="A1955" s="4">
        <v>1951</v>
      </c>
      <c r="B1955" s="4">
        <v>59280</v>
      </c>
      <c r="C1955" s="4">
        <v>1</v>
      </c>
      <c r="D1955" s="6">
        <v>0</v>
      </c>
      <c r="E1955" s="6">
        <v>179.56</v>
      </c>
      <c r="F1955" s="6">
        <v>0.17</v>
      </c>
      <c r="G1955" s="6">
        <v>0.12</v>
      </c>
      <c r="H1955" s="6">
        <v>65</v>
      </c>
    </row>
    <row r="1956" spans="1:8" ht="18.95" customHeight="1">
      <c r="A1956" s="4">
        <v>1952</v>
      </c>
      <c r="B1956" s="4">
        <v>59300</v>
      </c>
      <c r="C1956" s="4">
        <v>1</v>
      </c>
      <c r="D1956" s="6">
        <v>0</v>
      </c>
      <c r="E1956" s="6">
        <v>179.38</v>
      </c>
      <c r="F1956" s="6">
        <v>0.14000000000000001</v>
      </c>
      <c r="G1956" s="6">
        <v>0</v>
      </c>
      <c r="H1956" s="6">
        <v>67</v>
      </c>
    </row>
    <row r="1957" spans="1:8" ht="18.95" customHeight="1">
      <c r="A1957" s="4">
        <v>1953</v>
      </c>
      <c r="B1957" s="4">
        <v>59320</v>
      </c>
      <c r="C1957" s="4">
        <v>1</v>
      </c>
      <c r="D1957" s="6">
        <v>0</v>
      </c>
      <c r="E1957" s="6">
        <v>179.25</v>
      </c>
      <c r="F1957" s="6">
        <v>0.11</v>
      </c>
      <c r="G1957" s="6">
        <v>7.0000000000000007E-2</v>
      </c>
      <c r="H1957" s="6">
        <v>67</v>
      </c>
    </row>
    <row r="1958" spans="1:8" ht="18.95" customHeight="1">
      <c r="A1958" s="4">
        <v>1954</v>
      </c>
      <c r="B1958" s="4">
        <v>59340</v>
      </c>
      <c r="C1958" s="4">
        <v>1</v>
      </c>
      <c r="D1958" s="6">
        <v>0</v>
      </c>
      <c r="E1958" s="6">
        <v>179.13</v>
      </c>
      <c r="F1958" s="6">
        <v>0.09</v>
      </c>
      <c r="G1958" s="6">
        <v>0.12</v>
      </c>
      <c r="H1958" s="6">
        <v>67</v>
      </c>
    </row>
    <row r="1959" spans="1:8" ht="18.95" customHeight="1">
      <c r="A1959" s="4">
        <v>1955</v>
      </c>
      <c r="B1959" s="4">
        <v>59360</v>
      </c>
      <c r="C1959" s="4">
        <v>1</v>
      </c>
      <c r="D1959" s="6">
        <v>0</v>
      </c>
      <c r="E1959" s="6">
        <v>179.06</v>
      </c>
      <c r="F1959" s="6">
        <v>7.0000000000000007E-2</v>
      </c>
      <c r="G1959" s="6">
        <v>0.06</v>
      </c>
      <c r="H1959" s="6">
        <v>63</v>
      </c>
    </row>
    <row r="1960" spans="1:8" ht="18.95" customHeight="1">
      <c r="A1960" s="4">
        <v>1956</v>
      </c>
      <c r="B1960" s="4">
        <v>59380</v>
      </c>
      <c r="C1960" s="4">
        <v>1</v>
      </c>
      <c r="D1960" s="6">
        <v>0</v>
      </c>
      <c r="E1960" s="6">
        <v>179</v>
      </c>
      <c r="F1960" s="6">
        <v>0.05</v>
      </c>
      <c r="G1960" s="6">
        <v>7.0000000000000007E-2</v>
      </c>
      <c r="H1960" s="6">
        <v>63</v>
      </c>
    </row>
    <row r="1961" spans="1:8" ht="18.95" customHeight="1">
      <c r="A1961" s="4">
        <v>1957</v>
      </c>
      <c r="B1961" s="4">
        <v>59400</v>
      </c>
      <c r="C1961" s="4">
        <v>0</v>
      </c>
      <c r="D1961" s="6">
        <v>0</v>
      </c>
      <c r="E1961" s="6">
        <v>178.94</v>
      </c>
      <c r="F1961" s="6">
        <v>0.03</v>
      </c>
      <c r="G1961" s="6">
        <v>-0.01</v>
      </c>
      <c r="H1961" s="6">
        <v>59</v>
      </c>
    </row>
    <row r="1962" spans="1:8" ht="18.95" customHeight="1">
      <c r="A1962" s="4">
        <v>1958</v>
      </c>
      <c r="B1962" s="4">
        <v>59420</v>
      </c>
      <c r="C1962" s="4">
        <v>0</v>
      </c>
      <c r="D1962" s="6">
        <v>0</v>
      </c>
      <c r="E1962" s="6">
        <v>178.94</v>
      </c>
      <c r="F1962" s="6">
        <v>0.01</v>
      </c>
      <c r="G1962" s="6">
        <v>0.03</v>
      </c>
      <c r="H1962" s="6">
        <v>59</v>
      </c>
    </row>
    <row r="1963" spans="1:8" ht="18.95" customHeight="1">
      <c r="A1963" s="4">
        <v>1959</v>
      </c>
      <c r="B1963" s="4">
        <v>59440</v>
      </c>
      <c r="C1963" s="4">
        <v>0</v>
      </c>
      <c r="D1963" s="6">
        <v>0</v>
      </c>
      <c r="E1963" s="6">
        <v>178.94</v>
      </c>
      <c r="F1963" s="6">
        <v>-0.01</v>
      </c>
      <c r="G1963" s="6">
        <v>-0.02</v>
      </c>
      <c r="H1963" s="6">
        <v>59</v>
      </c>
    </row>
    <row r="1964" spans="1:8" ht="18.95" customHeight="1">
      <c r="A1964" s="4">
        <v>1960</v>
      </c>
      <c r="B1964" s="4">
        <v>59460</v>
      </c>
      <c r="C1964" s="4">
        <v>0</v>
      </c>
      <c r="D1964" s="6">
        <v>0</v>
      </c>
      <c r="E1964" s="6">
        <v>179</v>
      </c>
      <c r="F1964" s="6">
        <v>-0.04</v>
      </c>
      <c r="G1964" s="6">
        <v>-0.02</v>
      </c>
      <c r="H1964" s="6">
        <v>56</v>
      </c>
    </row>
    <row r="1965" spans="1:8" ht="18.95" customHeight="1">
      <c r="A1965" s="4">
        <v>1961</v>
      </c>
      <c r="B1965" s="4">
        <v>59480</v>
      </c>
      <c r="C1965" s="4">
        <v>0</v>
      </c>
      <c r="D1965" s="6">
        <v>0</v>
      </c>
      <c r="E1965" s="6">
        <v>179.06</v>
      </c>
      <c r="F1965" s="6">
        <v>-0.06</v>
      </c>
      <c r="G1965" s="6">
        <v>-0.04</v>
      </c>
      <c r="H1965" s="6">
        <v>56</v>
      </c>
    </row>
    <row r="1966" spans="1:8" ht="18.95" customHeight="1">
      <c r="A1966" s="4">
        <v>1962</v>
      </c>
      <c r="B1966" s="4">
        <v>59500</v>
      </c>
      <c r="C1966" s="4">
        <v>1</v>
      </c>
      <c r="D1966" s="6">
        <v>0</v>
      </c>
      <c r="E1966" s="6">
        <v>179.13</v>
      </c>
      <c r="F1966" s="6">
        <v>-0.09</v>
      </c>
      <c r="G1966" s="6">
        <v>-0.15</v>
      </c>
      <c r="H1966" s="6">
        <v>53</v>
      </c>
    </row>
    <row r="1967" spans="1:8" ht="18.95" customHeight="1">
      <c r="A1967" s="4">
        <v>1963</v>
      </c>
      <c r="B1967" s="4">
        <v>59520</v>
      </c>
      <c r="C1967" s="4">
        <v>1</v>
      </c>
      <c r="D1967" s="6">
        <v>0</v>
      </c>
      <c r="E1967" s="6">
        <v>179.25</v>
      </c>
      <c r="F1967" s="6">
        <v>-0.1</v>
      </c>
      <c r="G1967" s="6">
        <v>0.15</v>
      </c>
      <c r="H1967" s="6">
        <v>53</v>
      </c>
    </row>
    <row r="1968" spans="1:8" ht="18.95" customHeight="1">
      <c r="A1968" s="4">
        <v>1964</v>
      </c>
      <c r="B1968" s="4">
        <v>59540</v>
      </c>
      <c r="C1968" s="4">
        <v>1</v>
      </c>
      <c r="D1968" s="6">
        <v>0</v>
      </c>
      <c r="E1968" s="6">
        <v>179.38</v>
      </c>
      <c r="F1968" s="6">
        <v>-0.14000000000000001</v>
      </c>
      <c r="G1968" s="6">
        <v>-0.03</v>
      </c>
      <c r="H1968" s="6">
        <v>53</v>
      </c>
    </row>
    <row r="1969" spans="1:8" ht="18.95" customHeight="1">
      <c r="A1969" s="4">
        <v>1965</v>
      </c>
      <c r="B1969" s="4">
        <v>59560</v>
      </c>
      <c r="C1969" s="4">
        <v>1</v>
      </c>
      <c r="D1969" s="6">
        <v>0</v>
      </c>
      <c r="E1969" s="6">
        <v>179.56</v>
      </c>
      <c r="F1969" s="6">
        <v>-0.17</v>
      </c>
      <c r="G1969" s="6">
        <v>-0.09</v>
      </c>
      <c r="H1969" s="6">
        <v>49</v>
      </c>
    </row>
    <row r="1970" spans="1:8" ht="18.95" customHeight="1">
      <c r="A1970" s="4">
        <v>1966</v>
      </c>
      <c r="B1970" s="4">
        <v>59580</v>
      </c>
      <c r="C1970" s="4">
        <v>1</v>
      </c>
      <c r="D1970" s="6">
        <v>0</v>
      </c>
      <c r="E1970" s="6">
        <v>179.75</v>
      </c>
      <c r="F1970" s="6">
        <v>-0.19</v>
      </c>
      <c r="G1970" s="6">
        <v>0.04</v>
      </c>
      <c r="H1970" s="6">
        <v>49</v>
      </c>
    </row>
    <row r="1971" spans="1:8" ht="18.95" customHeight="1">
      <c r="A1971" s="4">
        <v>1967</v>
      </c>
      <c r="B1971" s="4">
        <v>59600</v>
      </c>
      <c r="C1971" s="4">
        <v>1</v>
      </c>
      <c r="D1971" s="6">
        <v>600</v>
      </c>
      <c r="E1971" s="6">
        <v>-179.94</v>
      </c>
      <c r="F1971" s="6">
        <v>-0.21</v>
      </c>
      <c r="G1971" s="6">
        <v>0.24</v>
      </c>
      <c r="H1971" s="6">
        <v>44</v>
      </c>
    </row>
    <row r="1972" spans="1:8" ht="18.95" customHeight="1">
      <c r="A1972" s="4">
        <v>1968</v>
      </c>
      <c r="B1972" s="4">
        <v>59620</v>
      </c>
      <c r="C1972" s="4">
        <v>1</v>
      </c>
      <c r="D1972" s="6">
        <v>600</v>
      </c>
      <c r="E1972" s="6">
        <v>-179.69</v>
      </c>
      <c r="F1972" s="6">
        <v>-0.23</v>
      </c>
      <c r="G1972" s="6">
        <v>-0.04</v>
      </c>
      <c r="H1972" s="6">
        <v>44</v>
      </c>
    </row>
    <row r="1973" spans="1:8" ht="18.95" customHeight="1">
      <c r="A1973" s="4">
        <v>1969</v>
      </c>
      <c r="B1973" s="4">
        <v>59640</v>
      </c>
      <c r="C1973" s="4">
        <v>1</v>
      </c>
      <c r="D1973" s="6">
        <v>600</v>
      </c>
      <c r="E1973" s="6">
        <v>-179.44</v>
      </c>
      <c r="F1973" s="6">
        <v>-0.25</v>
      </c>
      <c r="G1973" s="6">
        <v>0.04</v>
      </c>
      <c r="H1973" s="6">
        <v>44</v>
      </c>
    </row>
    <row r="1974" spans="1:8" ht="18.95" customHeight="1">
      <c r="A1974" s="4">
        <v>1970</v>
      </c>
      <c r="B1974" s="4">
        <v>59660</v>
      </c>
      <c r="C1974" s="4">
        <v>1</v>
      </c>
      <c r="D1974" s="6">
        <v>600</v>
      </c>
      <c r="E1974" s="6">
        <v>-179.13</v>
      </c>
      <c r="F1974" s="6">
        <v>-0.27</v>
      </c>
      <c r="G1974" s="6">
        <v>0.18</v>
      </c>
      <c r="H1974" s="6">
        <v>40</v>
      </c>
    </row>
    <row r="1975" spans="1:8" ht="18.95" customHeight="1">
      <c r="A1975" s="4">
        <v>1971</v>
      </c>
      <c r="B1975" s="4">
        <v>59680</v>
      </c>
      <c r="C1975" s="4">
        <v>1</v>
      </c>
      <c r="D1975" s="6">
        <v>600</v>
      </c>
      <c r="E1975" s="6">
        <v>-178.88</v>
      </c>
      <c r="F1975" s="6">
        <v>-0.27</v>
      </c>
      <c r="G1975" s="6">
        <v>0.01</v>
      </c>
      <c r="H1975" s="6">
        <v>40</v>
      </c>
    </row>
    <row r="1976" spans="1:8" ht="18.95" customHeight="1">
      <c r="A1976" s="4">
        <v>1972</v>
      </c>
      <c r="B1976" s="4">
        <v>59701</v>
      </c>
      <c r="C1976" s="4">
        <v>1</v>
      </c>
      <c r="D1976" s="6">
        <v>0</v>
      </c>
      <c r="E1976" s="6">
        <v>-178.56</v>
      </c>
      <c r="F1976" s="6">
        <v>-0.28000000000000003</v>
      </c>
      <c r="G1976" s="6">
        <v>0.09</v>
      </c>
      <c r="H1976" s="6">
        <v>37</v>
      </c>
    </row>
    <row r="1977" spans="1:8" ht="18.95" customHeight="1">
      <c r="A1977" s="4">
        <v>1973</v>
      </c>
      <c r="B1977" s="4">
        <v>59721</v>
      </c>
      <c r="C1977" s="4">
        <v>1</v>
      </c>
      <c r="D1977" s="6">
        <v>0</v>
      </c>
      <c r="E1977" s="6">
        <v>-178.19</v>
      </c>
      <c r="F1977" s="6">
        <v>-0.31</v>
      </c>
      <c r="G1977" s="6">
        <v>0.2</v>
      </c>
      <c r="H1977" s="6">
        <v>37</v>
      </c>
    </row>
    <row r="1978" spans="1:8" ht="18.95" customHeight="1">
      <c r="A1978" s="4">
        <v>1974</v>
      </c>
      <c r="B1978" s="4">
        <v>59741</v>
      </c>
      <c r="C1978" s="4">
        <v>1</v>
      </c>
      <c r="D1978" s="6">
        <v>0</v>
      </c>
      <c r="E1978" s="6">
        <v>-177.81</v>
      </c>
      <c r="F1978" s="6">
        <v>-0.35</v>
      </c>
      <c r="G1978" s="6">
        <v>0.01</v>
      </c>
      <c r="H1978" s="6">
        <v>37</v>
      </c>
    </row>
    <row r="1979" spans="1:8" ht="18.95" customHeight="1">
      <c r="A1979" s="4">
        <v>1975</v>
      </c>
      <c r="B1979" s="4">
        <v>59761</v>
      </c>
      <c r="C1979" s="4">
        <v>1</v>
      </c>
      <c r="D1979" s="6">
        <v>0</v>
      </c>
      <c r="E1979" s="6">
        <v>-177.44</v>
      </c>
      <c r="F1979" s="6">
        <v>-0.36</v>
      </c>
      <c r="G1979" s="6">
        <v>0.01</v>
      </c>
      <c r="H1979" s="6">
        <v>33</v>
      </c>
    </row>
    <row r="1980" spans="1:8" ht="18.95" customHeight="1">
      <c r="A1980" s="4">
        <v>1976</v>
      </c>
      <c r="B1980" s="4">
        <v>59781</v>
      </c>
      <c r="C1980" s="4">
        <v>1</v>
      </c>
      <c r="D1980" s="6">
        <v>0</v>
      </c>
      <c r="E1980" s="6">
        <v>-177</v>
      </c>
      <c r="F1980" s="6">
        <v>-0.38</v>
      </c>
      <c r="G1980" s="6">
        <v>0.11</v>
      </c>
      <c r="H1980" s="6">
        <v>33</v>
      </c>
    </row>
    <row r="1981" spans="1:8" ht="18.95" customHeight="1">
      <c r="A1981" s="4">
        <v>1977</v>
      </c>
      <c r="B1981" s="4">
        <v>59801</v>
      </c>
      <c r="C1981" s="4">
        <v>1</v>
      </c>
      <c r="D1981" s="6">
        <v>0</v>
      </c>
      <c r="E1981" s="6">
        <v>-176.56</v>
      </c>
      <c r="F1981" s="6">
        <v>-0.4</v>
      </c>
      <c r="G1981" s="6">
        <v>0.09</v>
      </c>
      <c r="H1981" s="6">
        <v>30</v>
      </c>
    </row>
    <row r="1982" spans="1:8" ht="18.95" customHeight="1">
      <c r="A1982" s="4">
        <v>1978</v>
      </c>
      <c r="B1982" s="4">
        <v>59821</v>
      </c>
      <c r="C1982" s="4">
        <v>1</v>
      </c>
      <c r="D1982" s="6">
        <v>0</v>
      </c>
      <c r="E1982" s="6">
        <v>-176.13</v>
      </c>
      <c r="F1982" s="6">
        <v>-0.43</v>
      </c>
      <c r="G1982" s="6">
        <v>-0.1</v>
      </c>
      <c r="H1982" s="6">
        <v>30</v>
      </c>
    </row>
    <row r="1983" spans="1:8" ht="18.95" customHeight="1">
      <c r="A1983" s="4">
        <v>1979</v>
      </c>
      <c r="B1983" s="4">
        <v>59841</v>
      </c>
      <c r="C1983" s="4">
        <v>1</v>
      </c>
      <c r="D1983" s="6">
        <v>0</v>
      </c>
      <c r="E1983" s="6">
        <v>-175.63</v>
      </c>
      <c r="F1983" s="6">
        <v>-0.44</v>
      </c>
      <c r="G1983" s="6">
        <v>0.11</v>
      </c>
      <c r="H1983" s="6">
        <v>30</v>
      </c>
    </row>
    <row r="1984" spans="1:8" ht="18.95" customHeight="1">
      <c r="A1984" s="4">
        <v>1980</v>
      </c>
      <c r="B1984" s="4">
        <v>59862</v>
      </c>
      <c r="C1984" s="4">
        <v>1</v>
      </c>
      <c r="D1984" s="6">
        <v>0</v>
      </c>
      <c r="E1984" s="6">
        <v>-175.13</v>
      </c>
      <c r="F1984" s="6">
        <v>-0.45</v>
      </c>
      <c r="G1984" s="6">
        <v>0.21</v>
      </c>
      <c r="H1984" s="6">
        <v>27</v>
      </c>
    </row>
    <row r="1985" spans="1:8" ht="18.95" customHeight="1">
      <c r="A1985" s="4">
        <v>1981</v>
      </c>
      <c r="B1985" s="4">
        <v>59882</v>
      </c>
      <c r="C1985" s="4">
        <v>1</v>
      </c>
      <c r="D1985" s="6">
        <v>0</v>
      </c>
      <c r="E1985" s="6">
        <v>-174.63</v>
      </c>
      <c r="F1985" s="6">
        <v>-0.48</v>
      </c>
      <c r="G1985" s="6">
        <v>0.05</v>
      </c>
      <c r="H1985" s="6">
        <v>27</v>
      </c>
    </row>
    <row r="1986" spans="1:8" ht="18.95" customHeight="1">
      <c r="A1986" s="4">
        <v>1982</v>
      </c>
      <c r="B1986" s="4">
        <v>59902</v>
      </c>
      <c r="C1986" s="4">
        <v>1</v>
      </c>
      <c r="D1986" s="6">
        <v>0</v>
      </c>
      <c r="E1986" s="6">
        <v>-124.31</v>
      </c>
      <c r="F1986" s="6">
        <v>-0.52</v>
      </c>
      <c r="G1986" s="6">
        <v>0.1</v>
      </c>
      <c r="H1986" s="6">
        <v>24</v>
      </c>
    </row>
    <row r="1987" spans="1:8" ht="18.95" customHeight="1">
      <c r="A1987" s="4">
        <v>1983</v>
      </c>
      <c r="B1987" s="4">
        <v>59922</v>
      </c>
      <c r="C1987" s="4">
        <v>1</v>
      </c>
      <c r="D1987" s="6">
        <v>0</v>
      </c>
      <c r="E1987" s="6">
        <v>-121.87</v>
      </c>
      <c r="F1987" s="6">
        <v>-0.53</v>
      </c>
      <c r="G1987" s="6">
        <v>0.1</v>
      </c>
      <c r="H1987" s="6">
        <v>24</v>
      </c>
    </row>
    <row r="1988" spans="1:8" ht="18.95" customHeight="1">
      <c r="A1988" s="4">
        <v>1984</v>
      </c>
      <c r="B1988" s="4">
        <v>59942</v>
      </c>
      <c r="C1988" s="4">
        <v>1</v>
      </c>
      <c r="D1988" s="6">
        <v>0</v>
      </c>
      <c r="E1988" s="6">
        <v>-119.69</v>
      </c>
      <c r="F1988" s="6">
        <v>-0.53</v>
      </c>
      <c r="G1988" s="6">
        <v>0.05</v>
      </c>
      <c r="H1988" s="6">
        <v>24</v>
      </c>
    </row>
    <row r="1989" spans="1:8" ht="18.95" customHeight="1">
      <c r="A1989" s="4">
        <v>1985</v>
      </c>
      <c r="B1989" s="4">
        <v>59962</v>
      </c>
      <c r="C1989" s="4">
        <v>1</v>
      </c>
      <c r="D1989" s="6">
        <v>0</v>
      </c>
      <c r="E1989" s="6">
        <v>-117.69</v>
      </c>
      <c r="F1989" s="6">
        <v>-0.56000000000000005</v>
      </c>
      <c r="G1989" s="6">
        <v>0.22</v>
      </c>
      <c r="H1989" s="6">
        <v>22</v>
      </c>
    </row>
    <row r="1990" spans="1:8" ht="18.95" customHeight="1">
      <c r="A1990" s="4">
        <v>1986</v>
      </c>
      <c r="B1990" s="4">
        <v>59982</v>
      </c>
      <c r="C1990" s="4">
        <v>1</v>
      </c>
      <c r="D1990" s="6">
        <v>0</v>
      </c>
      <c r="E1990" s="6">
        <v>-115.87</v>
      </c>
      <c r="F1990" s="6">
        <v>-0.55000000000000004</v>
      </c>
      <c r="G1990" s="6">
        <v>0.06</v>
      </c>
      <c r="H1990" s="6">
        <v>22</v>
      </c>
    </row>
    <row r="1991" spans="1:8" ht="18.95" customHeight="1">
      <c r="A1991" s="4">
        <v>1987</v>
      </c>
      <c r="B1991" s="4">
        <v>60002</v>
      </c>
      <c r="C1991" s="4">
        <v>1</v>
      </c>
      <c r="D1991" s="6">
        <v>0</v>
      </c>
      <c r="E1991" s="6">
        <v>-114.25</v>
      </c>
      <c r="F1991" s="6">
        <v>-0.56999999999999995</v>
      </c>
      <c r="G1991" s="6">
        <v>0</v>
      </c>
      <c r="H1991" s="6">
        <v>21</v>
      </c>
    </row>
    <row r="1992" spans="1:8" ht="18.95" customHeight="1">
      <c r="A1992" s="4">
        <v>1988</v>
      </c>
      <c r="B1992" s="4">
        <v>60022</v>
      </c>
      <c r="C1992" s="4">
        <v>1</v>
      </c>
      <c r="D1992" s="6">
        <v>0</v>
      </c>
      <c r="E1992" s="6">
        <v>-112.87</v>
      </c>
      <c r="F1992" s="6">
        <v>-0.56000000000000005</v>
      </c>
      <c r="G1992" s="6">
        <v>0.16</v>
      </c>
      <c r="H1992" s="6">
        <v>21</v>
      </c>
    </row>
    <row r="1993" spans="1:8" ht="18.95" customHeight="1">
      <c r="A1993" s="4">
        <v>1989</v>
      </c>
      <c r="B1993" s="4">
        <v>60042</v>
      </c>
      <c r="C1993" s="4">
        <v>1</v>
      </c>
      <c r="D1993" s="6">
        <v>0</v>
      </c>
      <c r="E1993" s="6">
        <v>-111.56</v>
      </c>
      <c r="F1993" s="6">
        <v>-0.56999999999999995</v>
      </c>
      <c r="G1993" s="6">
        <v>-0.08</v>
      </c>
      <c r="H1993" s="6">
        <v>21</v>
      </c>
    </row>
    <row r="1994" spans="1:8" ht="18.95" customHeight="1">
      <c r="A1994" s="4">
        <v>1990</v>
      </c>
      <c r="B1994" s="4">
        <v>60062</v>
      </c>
      <c r="C1994" s="4">
        <v>1</v>
      </c>
      <c r="D1994" s="6">
        <v>0</v>
      </c>
      <c r="E1994" s="6">
        <v>-110.37</v>
      </c>
      <c r="F1994" s="6">
        <v>-0.6</v>
      </c>
      <c r="G1994" s="6">
        <v>-0.01</v>
      </c>
      <c r="H1994" s="6">
        <v>18</v>
      </c>
    </row>
    <row r="1995" spans="1:8" ht="18.95" customHeight="1">
      <c r="A1995" s="4">
        <v>1991</v>
      </c>
      <c r="B1995" s="4">
        <v>60082</v>
      </c>
      <c r="C1995" s="4">
        <v>1</v>
      </c>
      <c r="D1995" s="6">
        <v>0</v>
      </c>
      <c r="E1995" s="6">
        <v>-109.31</v>
      </c>
      <c r="F1995" s="6">
        <v>-0.6</v>
      </c>
      <c r="G1995" s="6">
        <v>0.08</v>
      </c>
      <c r="H1995" s="6">
        <v>18</v>
      </c>
    </row>
    <row r="1996" spans="1:8" ht="18.95" customHeight="1">
      <c r="A1996" s="4">
        <v>1992</v>
      </c>
      <c r="B1996" s="4">
        <v>60102</v>
      </c>
      <c r="C1996" s="4">
        <v>1</v>
      </c>
      <c r="D1996" s="6">
        <v>0</v>
      </c>
      <c r="E1996" s="6">
        <v>-108.31</v>
      </c>
      <c r="F1996" s="6">
        <v>-0.61</v>
      </c>
      <c r="G1996" s="6">
        <v>7.0000000000000007E-2</v>
      </c>
      <c r="H1996" s="6">
        <v>16</v>
      </c>
    </row>
    <row r="1997" spans="1:8" ht="18.95" customHeight="1">
      <c r="A1997" s="4">
        <v>1993</v>
      </c>
      <c r="B1997" s="4">
        <v>60122</v>
      </c>
      <c r="C1997" s="4">
        <v>1</v>
      </c>
      <c r="D1997" s="6">
        <v>0</v>
      </c>
      <c r="E1997" s="6">
        <v>-107.37</v>
      </c>
      <c r="F1997" s="6">
        <v>-0.6</v>
      </c>
      <c r="G1997" s="6">
        <v>0.13</v>
      </c>
      <c r="H1997" s="6">
        <v>16</v>
      </c>
    </row>
    <row r="1998" spans="1:8" ht="18.95" customHeight="1">
      <c r="A1998" s="4">
        <v>1994</v>
      </c>
      <c r="B1998" s="4">
        <v>60142</v>
      </c>
      <c r="C1998" s="4">
        <v>1</v>
      </c>
      <c r="D1998" s="6">
        <v>0</v>
      </c>
      <c r="E1998" s="6">
        <v>-106.56</v>
      </c>
      <c r="F1998" s="6">
        <v>-0.61</v>
      </c>
      <c r="G1998" s="6">
        <v>-0.24</v>
      </c>
      <c r="H1998" s="6">
        <v>16</v>
      </c>
    </row>
    <row r="1999" spans="1:8" ht="18.95" customHeight="1">
      <c r="A1999" s="4">
        <v>1995</v>
      </c>
      <c r="B1999" s="4">
        <v>60162</v>
      </c>
      <c r="C1999" s="4">
        <v>1</v>
      </c>
      <c r="D1999" s="6">
        <v>0</v>
      </c>
      <c r="E1999" s="6">
        <v>-105.81</v>
      </c>
      <c r="F1999" s="6">
        <v>-0.62</v>
      </c>
      <c r="G1999" s="6">
        <v>0.34</v>
      </c>
      <c r="H1999" s="6">
        <v>17</v>
      </c>
    </row>
    <row r="2000" spans="1:8" ht="18.95" customHeight="1">
      <c r="A2000" s="4">
        <v>1996</v>
      </c>
      <c r="B2000" s="4">
        <v>60182</v>
      </c>
      <c r="C2000" s="4">
        <v>1</v>
      </c>
      <c r="D2000" s="6">
        <v>0</v>
      </c>
      <c r="E2000" s="6">
        <v>-105.12</v>
      </c>
      <c r="F2000" s="6">
        <v>-0.56999999999999995</v>
      </c>
      <c r="G2000" s="6">
        <v>-0.1</v>
      </c>
      <c r="H2000" s="6">
        <v>17</v>
      </c>
    </row>
    <row r="2001" spans="1:8" ht="18.95" customHeight="1">
      <c r="A2001" s="4">
        <v>1997</v>
      </c>
      <c r="B2001" s="4">
        <v>60203</v>
      </c>
      <c r="C2001" s="4">
        <v>1</v>
      </c>
      <c r="D2001" s="6">
        <v>0</v>
      </c>
      <c r="E2001" s="6">
        <v>-104.5</v>
      </c>
      <c r="F2001" s="6">
        <v>-0.57999999999999996</v>
      </c>
      <c r="G2001" s="6">
        <v>0.1</v>
      </c>
      <c r="H2001" s="6">
        <v>17</v>
      </c>
    </row>
    <row r="2002" spans="1:8" ht="18.95" customHeight="1">
      <c r="A2002" s="4">
        <v>1998</v>
      </c>
      <c r="B2002" s="4">
        <v>60223</v>
      </c>
      <c r="C2002" s="4">
        <v>1</v>
      </c>
      <c r="D2002" s="6">
        <v>0</v>
      </c>
      <c r="E2002" s="6">
        <v>-103.94</v>
      </c>
      <c r="F2002" s="6">
        <v>-0.59</v>
      </c>
      <c r="G2002" s="6">
        <v>-7.0000000000000007E-2</v>
      </c>
      <c r="H2002" s="6">
        <v>17</v>
      </c>
    </row>
    <row r="2003" spans="1:8" ht="18.95" customHeight="1">
      <c r="A2003" s="4">
        <v>1999</v>
      </c>
      <c r="B2003" s="4">
        <v>60243</v>
      </c>
      <c r="C2003" s="4">
        <v>1</v>
      </c>
      <c r="D2003" s="6">
        <v>0</v>
      </c>
      <c r="E2003" s="6">
        <v>-103.44</v>
      </c>
      <c r="F2003" s="6">
        <v>-0.55000000000000004</v>
      </c>
      <c r="G2003" s="6">
        <v>0.06</v>
      </c>
      <c r="H2003" s="6">
        <v>17</v>
      </c>
    </row>
    <row r="2004" spans="1:8" ht="18.95" customHeight="1">
      <c r="A2004" s="4">
        <v>2000</v>
      </c>
      <c r="B2004" s="4">
        <v>60263</v>
      </c>
      <c r="C2004" s="4">
        <v>1</v>
      </c>
      <c r="D2004" s="6">
        <v>0</v>
      </c>
      <c r="E2004" s="6">
        <v>-103</v>
      </c>
      <c r="F2004" s="6">
        <v>-0.53</v>
      </c>
      <c r="G2004" s="6">
        <v>0.15</v>
      </c>
      <c r="H2004" s="6">
        <v>20</v>
      </c>
    </row>
    <row r="2005" spans="1:8" ht="18.95" customHeight="1">
      <c r="A2005" s="4">
        <v>2001</v>
      </c>
      <c r="B2005" s="4">
        <v>60283</v>
      </c>
      <c r="C2005" s="4">
        <v>1</v>
      </c>
      <c r="D2005" s="6">
        <v>0</v>
      </c>
      <c r="E2005" s="6">
        <v>-102.62</v>
      </c>
      <c r="F2005" s="6">
        <v>-0.51</v>
      </c>
      <c r="G2005" s="6">
        <v>0</v>
      </c>
      <c r="H2005" s="6">
        <v>20</v>
      </c>
    </row>
    <row r="2006" spans="1:8" ht="18.95" customHeight="1">
      <c r="A2006" s="4">
        <v>2002</v>
      </c>
      <c r="B2006" s="4">
        <v>60303</v>
      </c>
      <c r="C2006" s="4">
        <v>1</v>
      </c>
      <c r="D2006" s="6">
        <v>0</v>
      </c>
      <c r="E2006" s="6">
        <v>-102.25</v>
      </c>
      <c r="F2006" s="6">
        <v>-0.53</v>
      </c>
      <c r="G2006" s="6">
        <v>0</v>
      </c>
      <c r="H2006" s="6">
        <v>19</v>
      </c>
    </row>
    <row r="2007" spans="1:8" ht="18.95" customHeight="1">
      <c r="A2007" s="4">
        <v>2003</v>
      </c>
      <c r="B2007" s="4">
        <v>60323</v>
      </c>
      <c r="C2007" s="4">
        <v>1</v>
      </c>
      <c r="D2007" s="6">
        <v>0</v>
      </c>
      <c r="E2007" s="6">
        <v>-101.87</v>
      </c>
      <c r="F2007" s="6">
        <v>-0.53</v>
      </c>
      <c r="G2007" s="6">
        <v>-0.02</v>
      </c>
      <c r="H2007" s="6">
        <v>19</v>
      </c>
    </row>
    <row r="2008" spans="1:8" ht="18.95" customHeight="1">
      <c r="A2008" s="4">
        <v>2004</v>
      </c>
      <c r="B2008" s="4">
        <v>60343</v>
      </c>
      <c r="C2008" s="4">
        <v>1</v>
      </c>
      <c r="D2008" s="6">
        <v>0</v>
      </c>
      <c r="E2008" s="6">
        <v>-101.5</v>
      </c>
      <c r="F2008" s="6">
        <v>-0.51</v>
      </c>
      <c r="G2008" s="6">
        <v>-0.05</v>
      </c>
      <c r="H2008" s="6">
        <v>19</v>
      </c>
    </row>
    <row r="2009" spans="1:8" ht="18.95" customHeight="1">
      <c r="A2009" s="4">
        <v>2005</v>
      </c>
      <c r="B2009" s="4">
        <v>60363</v>
      </c>
      <c r="C2009" s="4">
        <v>1</v>
      </c>
      <c r="D2009" s="6">
        <v>0</v>
      </c>
      <c r="E2009" s="6">
        <v>-101.19</v>
      </c>
      <c r="F2009" s="6">
        <v>-0.51</v>
      </c>
      <c r="G2009" s="6">
        <v>0.06</v>
      </c>
      <c r="H2009" s="6">
        <v>21</v>
      </c>
    </row>
    <row r="2010" spans="1:8" ht="18.95" customHeight="1">
      <c r="A2010" s="4">
        <v>2006</v>
      </c>
      <c r="B2010" s="4">
        <v>60383</v>
      </c>
      <c r="C2010" s="4">
        <v>1</v>
      </c>
      <c r="D2010" s="6">
        <v>0</v>
      </c>
      <c r="E2010" s="6">
        <v>-100.87</v>
      </c>
      <c r="F2010" s="6">
        <v>-0.51</v>
      </c>
      <c r="G2010" s="6">
        <v>-0.13</v>
      </c>
      <c r="H2010" s="6">
        <v>21</v>
      </c>
    </row>
    <row r="2011" spans="1:8" ht="18.95" customHeight="1">
      <c r="A2011" s="4">
        <v>2007</v>
      </c>
      <c r="B2011" s="4">
        <v>60403</v>
      </c>
      <c r="C2011" s="4">
        <v>1</v>
      </c>
      <c r="D2011" s="6">
        <v>0</v>
      </c>
      <c r="E2011" s="6">
        <v>-100.62</v>
      </c>
      <c r="F2011" s="6">
        <v>-0.51</v>
      </c>
      <c r="G2011" s="6">
        <v>-0.06</v>
      </c>
      <c r="H2011" s="6">
        <v>24</v>
      </c>
    </row>
    <row r="2012" spans="1:8" ht="18.95" customHeight="1">
      <c r="A2012" s="4">
        <v>2008</v>
      </c>
      <c r="B2012" s="4">
        <v>60423</v>
      </c>
      <c r="C2012" s="4">
        <v>1</v>
      </c>
      <c r="D2012" s="6">
        <v>0</v>
      </c>
      <c r="E2012" s="6">
        <v>-100.37</v>
      </c>
      <c r="F2012" s="6">
        <v>-0.46</v>
      </c>
      <c r="G2012" s="6">
        <v>-0.02</v>
      </c>
      <c r="H2012" s="6">
        <v>24</v>
      </c>
    </row>
    <row r="2013" spans="1:8" ht="18.95" customHeight="1">
      <c r="A2013" s="4">
        <v>2009</v>
      </c>
      <c r="B2013" s="4">
        <v>60443</v>
      </c>
      <c r="C2013" s="4">
        <v>1</v>
      </c>
      <c r="D2013" s="6">
        <v>0</v>
      </c>
      <c r="E2013" s="6">
        <v>-100.12</v>
      </c>
      <c r="F2013" s="6">
        <v>-0.44</v>
      </c>
      <c r="G2013" s="6">
        <v>-0.02</v>
      </c>
      <c r="H2013" s="6">
        <v>24</v>
      </c>
    </row>
    <row r="2014" spans="1:8" ht="18.95" customHeight="1">
      <c r="A2014" s="4">
        <v>2010</v>
      </c>
      <c r="B2014" s="4">
        <v>60463</v>
      </c>
      <c r="C2014" s="4">
        <v>1</v>
      </c>
      <c r="D2014" s="6">
        <v>0</v>
      </c>
      <c r="E2014" s="6">
        <v>-99.94</v>
      </c>
      <c r="F2014" s="6">
        <v>-0.41</v>
      </c>
      <c r="G2014" s="6">
        <v>0.18</v>
      </c>
      <c r="H2014" s="6">
        <v>27</v>
      </c>
    </row>
    <row r="2015" spans="1:8" ht="18.95" customHeight="1">
      <c r="A2015" s="4">
        <v>2011</v>
      </c>
      <c r="B2015" s="4">
        <v>60483</v>
      </c>
      <c r="C2015" s="4">
        <v>1</v>
      </c>
      <c r="D2015" s="6">
        <v>0</v>
      </c>
      <c r="E2015" s="6">
        <v>-99.69</v>
      </c>
      <c r="F2015" s="6">
        <v>-0.42</v>
      </c>
      <c r="G2015" s="6">
        <v>0.02</v>
      </c>
      <c r="H2015" s="6">
        <v>27</v>
      </c>
    </row>
    <row r="2016" spans="1:8" ht="18.95" customHeight="1">
      <c r="A2016" s="4">
        <v>2012</v>
      </c>
      <c r="B2016" s="4">
        <v>60504</v>
      </c>
      <c r="C2016" s="4">
        <v>1</v>
      </c>
      <c r="D2016" s="6">
        <v>0</v>
      </c>
      <c r="E2016" s="6">
        <v>-99.56</v>
      </c>
      <c r="F2016" s="6">
        <v>-0.38</v>
      </c>
      <c r="G2016" s="6">
        <v>0.22</v>
      </c>
      <c r="H2016" s="6">
        <v>31</v>
      </c>
    </row>
    <row r="2017" spans="1:8" ht="18.95" customHeight="1">
      <c r="A2017" s="4">
        <v>2013</v>
      </c>
      <c r="B2017" s="4">
        <v>60524</v>
      </c>
      <c r="C2017" s="4">
        <v>1</v>
      </c>
      <c r="D2017" s="6">
        <v>0</v>
      </c>
      <c r="E2017" s="6">
        <v>-99.37</v>
      </c>
      <c r="F2017" s="6">
        <v>-0.35</v>
      </c>
      <c r="G2017" s="6">
        <v>-0.12</v>
      </c>
      <c r="H2017" s="6">
        <v>31</v>
      </c>
    </row>
    <row r="2018" spans="1:8" ht="18.95" customHeight="1">
      <c r="A2018" s="4">
        <v>2014</v>
      </c>
      <c r="B2018" s="4">
        <v>60544</v>
      </c>
      <c r="C2018" s="4">
        <v>1</v>
      </c>
      <c r="D2018" s="6">
        <v>0</v>
      </c>
      <c r="E2018" s="6">
        <v>-99.25</v>
      </c>
      <c r="F2018" s="6">
        <v>-0.34</v>
      </c>
      <c r="G2018" s="6">
        <v>0.15</v>
      </c>
      <c r="H2018" s="6">
        <v>31</v>
      </c>
    </row>
    <row r="2019" spans="1:8" ht="18.95" customHeight="1">
      <c r="A2019" s="4">
        <v>2015</v>
      </c>
      <c r="B2019" s="4">
        <v>60564</v>
      </c>
      <c r="C2019" s="4">
        <v>1</v>
      </c>
      <c r="D2019" s="6">
        <v>0</v>
      </c>
      <c r="E2019" s="6">
        <v>-99.12</v>
      </c>
      <c r="F2019" s="6">
        <v>-0.31</v>
      </c>
      <c r="G2019" s="6">
        <v>0.12</v>
      </c>
      <c r="H2019" s="6">
        <v>34</v>
      </c>
    </row>
    <row r="2020" spans="1:8" ht="18.95" customHeight="1">
      <c r="A2020" s="4">
        <v>2016</v>
      </c>
      <c r="B2020" s="4">
        <v>60584</v>
      </c>
      <c r="C2020" s="4">
        <v>1</v>
      </c>
      <c r="D2020" s="6">
        <v>0</v>
      </c>
      <c r="E2020" s="6">
        <v>-99</v>
      </c>
      <c r="F2020" s="6">
        <v>-0.3</v>
      </c>
      <c r="G2020" s="6">
        <v>0.3</v>
      </c>
      <c r="H2020" s="6">
        <v>34</v>
      </c>
    </row>
    <row r="2021" spans="1:8" ht="18.95" customHeight="1">
      <c r="A2021" s="4">
        <v>2017</v>
      </c>
      <c r="B2021" s="4">
        <v>60604</v>
      </c>
      <c r="C2021" s="4">
        <v>1</v>
      </c>
      <c r="D2021" s="6">
        <v>0</v>
      </c>
      <c r="E2021" s="6">
        <v>-98.94</v>
      </c>
      <c r="F2021" s="6">
        <v>-0.27</v>
      </c>
      <c r="G2021" s="6">
        <v>-0.04</v>
      </c>
      <c r="H2021" s="6">
        <v>35</v>
      </c>
    </row>
    <row r="2022" spans="1:8" ht="18.95" customHeight="1">
      <c r="A2022" s="4">
        <v>2018</v>
      </c>
      <c r="B2022" s="4">
        <v>60624</v>
      </c>
      <c r="C2022" s="4">
        <v>1</v>
      </c>
      <c r="D2022" s="6">
        <v>0</v>
      </c>
      <c r="E2022" s="6">
        <v>-98.87</v>
      </c>
      <c r="F2022" s="6">
        <v>-0.26</v>
      </c>
      <c r="G2022" s="6">
        <v>0.04</v>
      </c>
      <c r="H2022" s="6">
        <v>35</v>
      </c>
    </row>
    <row r="2023" spans="1:8" ht="18.95" customHeight="1">
      <c r="A2023" s="4">
        <v>2019</v>
      </c>
      <c r="B2023" s="4">
        <v>60644</v>
      </c>
      <c r="C2023" s="4">
        <v>1</v>
      </c>
      <c r="D2023" s="6">
        <v>0</v>
      </c>
      <c r="E2023" s="6">
        <v>-98.87</v>
      </c>
      <c r="F2023" s="6">
        <v>-0.24</v>
      </c>
      <c r="G2023" s="6">
        <v>-0.01</v>
      </c>
      <c r="H2023" s="6">
        <v>35</v>
      </c>
    </row>
    <row r="2024" spans="1:8" ht="18.95" customHeight="1">
      <c r="A2024" s="4">
        <v>2020</v>
      </c>
      <c r="B2024" s="4">
        <v>60664</v>
      </c>
      <c r="C2024" s="4">
        <v>1</v>
      </c>
      <c r="D2024" s="6">
        <v>0</v>
      </c>
      <c r="E2024" s="6">
        <v>-98.81</v>
      </c>
      <c r="F2024" s="6">
        <v>-0.22</v>
      </c>
      <c r="G2024" s="6">
        <v>0.17</v>
      </c>
      <c r="H2024" s="6">
        <v>38</v>
      </c>
    </row>
    <row r="2025" spans="1:8" ht="18.95" customHeight="1">
      <c r="A2025" s="4">
        <v>2021</v>
      </c>
      <c r="B2025" s="4">
        <v>60684</v>
      </c>
      <c r="C2025" s="4">
        <v>1</v>
      </c>
      <c r="D2025" s="6">
        <v>0</v>
      </c>
      <c r="E2025" s="6">
        <v>-98.81</v>
      </c>
      <c r="F2025" s="6">
        <v>-0.19</v>
      </c>
      <c r="G2025" s="6">
        <v>0</v>
      </c>
      <c r="H2025" s="6">
        <v>38</v>
      </c>
    </row>
    <row r="2026" spans="1:8" ht="18.95" customHeight="1">
      <c r="A2026" s="4">
        <v>2022</v>
      </c>
      <c r="B2026" s="4">
        <v>60704</v>
      </c>
      <c r="C2026" s="4">
        <v>1</v>
      </c>
      <c r="D2026" s="6">
        <v>0</v>
      </c>
      <c r="E2026" s="6">
        <v>-98.75</v>
      </c>
      <c r="F2026" s="6">
        <v>-0.17</v>
      </c>
      <c r="G2026" s="6">
        <v>0</v>
      </c>
      <c r="H2026" s="6">
        <v>44</v>
      </c>
    </row>
    <row r="2027" spans="1:8" ht="18.95" customHeight="1">
      <c r="A2027" s="4">
        <v>2023</v>
      </c>
      <c r="B2027" s="4">
        <v>60724</v>
      </c>
      <c r="C2027" s="4">
        <v>1</v>
      </c>
      <c r="D2027" s="6">
        <v>0</v>
      </c>
      <c r="E2027" s="6">
        <v>-98.75</v>
      </c>
      <c r="F2027" s="6">
        <v>-0.15</v>
      </c>
      <c r="G2027" s="6">
        <v>0.01</v>
      </c>
      <c r="H2027" s="6">
        <v>44</v>
      </c>
    </row>
    <row r="2028" spans="1:8" ht="18.95" customHeight="1">
      <c r="A2028" s="4">
        <v>2024</v>
      </c>
      <c r="B2028" s="4">
        <v>60744</v>
      </c>
      <c r="C2028" s="4">
        <v>1</v>
      </c>
      <c r="D2028" s="6">
        <v>0</v>
      </c>
      <c r="E2028" s="6">
        <v>-98.69</v>
      </c>
      <c r="F2028" s="6">
        <v>-0.14000000000000001</v>
      </c>
      <c r="G2028" s="6">
        <v>0.21</v>
      </c>
      <c r="H2028" s="6">
        <v>44</v>
      </c>
    </row>
    <row r="2029" spans="1:8" ht="18.95" customHeight="1">
      <c r="A2029" s="4">
        <v>2025</v>
      </c>
      <c r="B2029" s="4">
        <v>60764</v>
      </c>
      <c r="C2029" s="4">
        <v>1</v>
      </c>
      <c r="D2029" s="6">
        <v>0</v>
      </c>
      <c r="E2029" s="6">
        <v>-98.62</v>
      </c>
      <c r="F2029" s="6">
        <v>-0.12</v>
      </c>
      <c r="G2029" s="6">
        <v>0.06</v>
      </c>
      <c r="H2029" s="6">
        <v>48</v>
      </c>
    </row>
    <row r="2030" spans="1:8" ht="18.95" customHeight="1">
      <c r="A2030" s="4">
        <v>2026</v>
      </c>
      <c r="B2030" s="4">
        <v>60784</v>
      </c>
      <c r="C2030" s="4">
        <v>1</v>
      </c>
      <c r="D2030" s="6">
        <v>0</v>
      </c>
      <c r="E2030" s="6">
        <v>-98.62</v>
      </c>
      <c r="F2030" s="6">
        <v>-0.09</v>
      </c>
      <c r="G2030" s="6">
        <v>0.2</v>
      </c>
      <c r="H2030" s="6">
        <v>48</v>
      </c>
    </row>
    <row r="2031" spans="1:8" ht="18.95" customHeight="1">
      <c r="A2031" s="4">
        <v>2027</v>
      </c>
      <c r="B2031" s="4">
        <v>60804</v>
      </c>
      <c r="C2031" s="4">
        <v>1</v>
      </c>
      <c r="D2031" s="6">
        <v>0</v>
      </c>
      <c r="E2031" s="6">
        <v>-98.62</v>
      </c>
      <c r="F2031" s="6">
        <v>-0.06</v>
      </c>
      <c r="G2031" s="6">
        <v>0.06</v>
      </c>
      <c r="H2031" s="6">
        <v>52</v>
      </c>
    </row>
    <row r="2032" spans="1:8" ht="18.95" customHeight="1">
      <c r="A2032" s="4">
        <v>2028</v>
      </c>
      <c r="B2032" s="4">
        <v>60824</v>
      </c>
      <c r="C2032" s="4">
        <v>1</v>
      </c>
      <c r="D2032" s="6">
        <v>0</v>
      </c>
      <c r="E2032" s="6">
        <v>-98.69</v>
      </c>
      <c r="F2032" s="6">
        <v>-0.05</v>
      </c>
      <c r="G2032" s="6">
        <v>-0.03</v>
      </c>
      <c r="H2032" s="6">
        <v>52</v>
      </c>
    </row>
    <row r="2033" spans="1:8" ht="18.95" customHeight="1">
      <c r="A2033" s="4">
        <v>2029</v>
      </c>
      <c r="B2033" s="4">
        <v>60844</v>
      </c>
      <c r="C2033" s="4">
        <v>1</v>
      </c>
      <c r="D2033" s="6">
        <v>0</v>
      </c>
      <c r="E2033" s="6">
        <v>-98.62</v>
      </c>
      <c r="F2033" s="6">
        <v>-0.03</v>
      </c>
      <c r="G2033" s="6">
        <v>-0.04</v>
      </c>
      <c r="H2033" s="6">
        <v>52</v>
      </c>
    </row>
    <row r="2034" spans="1:8" ht="18.95" customHeight="1">
      <c r="A2034" s="4">
        <v>2030</v>
      </c>
      <c r="B2034" s="4">
        <v>60864</v>
      </c>
      <c r="C2034" s="4">
        <v>1</v>
      </c>
      <c r="D2034" s="6">
        <v>0</v>
      </c>
      <c r="E2034" s="6">
        <v>-98.69</v>
      </c>
      <c r="F2034" s="6">
        <v>-0.01</v>
      </c>
      <c r="G2034" s="6">
        <v>0.09</v>
      </c>
      <c r="H2034" s="6">
        <v>55</v>
      </c>
    </row>
    <row r="2035" spans="1:8" ht="18.95" customHeight="1">
      <c r="A2035" s="4">
        <v>2031</v>
      </c>
      <c r="B2035" s="4">
        <v>60884</v>
      </c>
      <c r="C2035" s="4">
        <v>1</v>
      </c>
      <c r="D2035" s="6">
        <v>0</v>
      </c>
      <c r="E2035" s="6">
        <v>-98.69</v>
      </c>
      <c r="F2035" s="6">
        <v>0.02</v>
      </c>
      <c r="G2035" s="6">
        <v>0.09</v>
      </c>
      <c r="H2035" s="6">
        <v>55</v>
      </c>
    </row>
    <row r="2036" spans="1:8" ht="18.95" customHeight="1">
      <c r="A2036" s="4">
        <v>2032</v>
      </c>
      <c r="B2036" s="4">
        <v>60904</v>
      </c>
      <c r="C2036" s="4">
        <v>1</v>
      </c>
      <c r="D2036" s="6">
        <v>0</v>
      </c>
      <c r="E2036" s="6">
        <v>-98.75</v>
      </c>
      <c r="F2036" s="6">
        <v>0.03</v>
      </c>
      <c r="G2036" s="6">
        <v>-0.08</v>
      </c>
      <c r="H2036" s="6">
        <v>59</v>
      </c>
    </row>
    <row r="2037" spans="1:8" ht="18.95" customHeight="1">
      <c r="A2037" s="4">
        <v>2033</v>
      </c>
      <c r="B2037" s="4">
        <v>60924</v>
      </c>
      <c r="C2037" s="4">
        <v>1</v>
      </c>
      <c r="D2037" s="6">
        <v>0</v>
      </c>
      <c r="E2037" s="6">
        <v>-98.81</v>
      </c>
      <c r="F2037" s="6">
        <v>0.05</v>
      </c>
      <c r="G2037" s="6">
        <v>0.02</v>
      </c>
      <c r="H2037" s="6">
        <v>59</v>
      </c>
    </row>
    <row r="2038" spans="1:8" ht="18.95" customHeight="1">
      <c r="A2038" s="4">
        <v>2034</v>
      </c>
      <c r="B2038" s="4">
        <v>60944</v>
      </c>
      <c r="C2038" s="4">
        <v>1</v>
      </c>
      <c r="D2038" s="6">
        <v>0</v>
      </c>
      <c r="E2038" s="6">
        <v>-98.81</v>
      </c>
      <c r="F2038" s="6">
        <v>7.0000000000000007E-2</v>
      </c>
      <c r="G2038" s="6">
        <v>-0.17</v>
      </c>
      <c r="H2038" s="6">
        <v>59</v>
      </c>
    </row>
    <row r="2039" spans="1:8" ht="18.95" customHeight="1">
      <c r="A2039" s="4">
        <v>2035</v>
      </c>
      <c r="B2039" s="4">
        <v>60964</v>
      </c>
      <c r="C2039" s="4">
        <v>1</v>
      </c>
      <c r="D2039" s="6">
        <v>0</v>
      </c>
      <c r="E2039" s="6">
        <v>-98.87</v>
      </c>
      <c r="F2039" s="6">
        <v>0.09</v>
      </c>
      <c r="G2039" s="6">
        <v>-7.0000000000000007E-2</v>
      </c>
      <c r="H2039" s="6">
        <v>61</v>
      </c>
    </row>
    <row r="2040" spans="1:8" ht="18.95" customHeight="1">
      <c r="A2040" s="4">
        <v>2036</v>
      </c>
      <c r="B2040" s="4">
        <v>60984</v>
      </c>
      <c r="C2040" s="4">
        <v>1</v>
      </c>
      <c r="D2040" s="6">
        <v>0</v>
      </c>
      <c r="E2040" s="6">
        <v>-98.87</v>
      </c>
      <c r="F2040" s="6">
        <v>0.12</v>
      </c>
      <c r="G2040" s="6">
        <v>7.0000000000000007E-2</v>
      </c>
      <c r="H2040" s="6">
        <v>61</v>
      </c>
    </row>
    <row r="2041" spans="1:8" ht="18.95" customHeight="1">
      <c r="A2041" s="4">
        <v>2037</v>
      </c>
      <c r="B2041" s="4">
        <v>61004</v>
      </c>
      <c r="C2041" s="4">
        <v>1</v>
      </c>
      <c r="D2041" s="6">
        <v>0</v>
      </c>
      <c r="E2041" s="6">
        <v>-98.94</v>
      </c>
      <c r="F2041" s="6">
        <v>0.12</v>
      </c>
      <c r="G2041" s="6">
        <v>0.05</v>
      </c>
      <c r="H2041" s="6">
        <v>66</v>
      </c>
    </row>
    <row r="2042" spans="1:8" ht="18.95" customHeight="1">
      <c r="A2042" s="4">
        <v>2038</v>
      </c>
      <c r="B2042" s="4">
        <v>61024</v>
      </c>
      <c r="C2042" s="4">
        <v>1</v>
      </c>
      <c r="D2042" s="6">
        <v>0</v>
      </c>
      <c r="E2042" s="6">
        <v>-99</v>
      </c>
      <c r="F2042" s="6">
        <v>0.16</v>
      </c>
      <c r="G2042" s="6">
        <v>0.2</v>
      </c>
      <c r="H2042" s="6">
        <v>66</v>
      </c>
    </row>
    <row r="2043" spans="1:8" ht="18.95" customHeight="1">
      <c r="A2043" s="4">
        <v>2039</v>
      </c>
      <c r="B2043" s="4">
        <v>61044</v>
      </c>
      <c r="C2043" s="4">
        <v>1</v>
      </c>
      <c r="D2043" s="6">
        <v>0</v>
      </c>
      <c r="E2043" s="6">
        <v>-99.06</v>
      </c>
      <c r="F2043" s="6">
        <v>0.18</v>
      </c>
      <c r="G2043" s="6">
        <v>-0.08</v>
      </c>
      <c r="H2043" s="6">
        <v>66</v>
      </c>
    </row>
    <row r="2044" spans="1:8" ht="18.95" customHeight="1">
      <c r="A2044" s="4">
        <v>2040</v>
      </c>
      <c r="B2044" s="4">
        <v>61064</v>
      </c>
      <c r="C2044" s="4">
        <v>1</v>
      </c>
      <c r="D2044" s="6">
        <v>0</v>
      </c>
      <c r="E2044" s="6">
        <v>-99.12</v>
      </c>
      <c r="F2044" s="6">
        <v>0.2</v>
      </c>
      <c r="G2044" s="6">
        <v>-0.16</v>
      </c>
      <c r="H2044" s="6">
        <v>68</v>
      </c>
    </row>
    <row r="2045" spans="1:8" ht="18.95" customHeight="1">
      <c r="A2045" s="4">
        <v>2041</v>
      </c>
      <c r="B2045" s="4">
        <v>61084</v>
      </c>
      <c r="C2045" s="4">
        <v>1</v>
      </c>
      <c r="D2045" s="6">
        <v>0</v>
      </c>
      <c r="E2045" s="6">
        <v>-99.25</v>
      </c>
      <c r="F2045" s="6">
        <v>0.22</v>
      </c>
      <c r="G2045" s="6">
        <v>0.01</v>
      </c>
      <c r="H2045" s="6">
        <v>68</v>
      </c>
    </row>
    <row r="2046" spans="1:8" ht="18.95" customHeight="1">
      <c r="A2046" s="4">
        <v>2042</v>
      </c>
      <c r="B2046" s="4">
        <v>61104</v>
      </c>
      <c r="C2046" s="4">
        <v>1</v>
      </c>
      <c r="D2046" s="6">
        <v>0</v>
      </c>
      <c r="E2046" s="6">
        <v>-99.31</v>
      </c>
      <c r="F2046" s="6">
        <v>0.23</v>
      </c>
      <c r="G2046" s="6">
        <v>0</v>
      </c>
      <c r="H2046" s="6">
        <v>71</v>
      </c>
    </row>
    <row r="2047" spans="1:8" ht="18.95" customHeight="1">
      <c r="A2047" s="4">
        <v>2043</v>
      </c>
      <c r="B2047" s="4">
        <v>61124</v>
      </c>
      <c r="C2047" s="4">
        <v>1</v>
      </c>
      <c r="D2047" s="6">
        <v>0</v>
      </c>
      <c r="E2047" s="6">
        <v>-99.37</v>
      </c>
      <c r="F2047" s="6">
        <v>0.26</v>
      </c>
      <c r="G2047" s="6">
        <v>-0.05</v>
      </c>
      <c r="H2047" s="6">
        <v>71</v>
      </c>
    </row>
    <row r="2048" spans="1:8" ht="18.95" customHeight="1">
      <c r="A2048" s="4">
        <v>2044</v>
      </c>
      <c r="B2048" s="4">
        <v>61144</v>
      </c>
      <c r="C2048" s="4">
        <v>1</v>
      </c>
      <c r="D2048" s="6">
        <v>0</v>
      </c>
      <c r="E2048" s="6">
        <v>-99.5</v>
      </c>
      <c r="F2048" s="6">
        <v>0.28000000000000003</v>
      </c>
      <c r="G2048" s="6">
        <v>0.01</v>
      </c>
      <c r="H2048" s="6">
        <v>71</v>
      </c>
    </row>
    <row r="2049" spans="1:8" ht="18.95" customHeight="1">
      <c r="A2049" s="4">
        <v>2045</v>
      </c>
      <c r="B2049" s="4">
        <v>61164</v>
      </c>
      <c r="C2049" s="4">
        <v>1</v>
      </c>
      <c r="D2049" s="6">
        <v>0</v>
      </c>
      <c r="E2049" s="6">
        <v>-99.62</v>
      </c>
      <c r="F2049" s="6">
        <v>0.28999999999999998</v>
      </c>
      <c r="G2049" s="6">
        <v>0.14000000000000001</v>
      </c>
      <c r="H2049" s="6">
        <v>73</v>
      </c>
    </row>
    <row r="2050" spans="1:8" ht="18.95" customHeight="1">
      <c r="A2050" s="4">
        <v>2046</v>
      </c>
      <c r="B2050" s="4">
        <v>61184</v>
      </c>
      <c r="C2050" s="4">
        <v>1</v>
      </c>
      <c r="D2050" s="6">
        <v>0</v>
      </c>
      <c r="E2050" s="6">
        <v>-99.75</v>
      </c>
      <c r="F2050" s="6">
        <v>0.31</v>
      </c>
      <c r="G2050" s="6">
        <v>0</v>
      </c>
      <c r="H2050" s="6">
        <v>73</v>
      </c>
    </row>
    <row r="2051" spans="1:8" ht="18.95" customHeight="1">
      <c r="A2051" s="4">
        <v>2047</v>
      </c>
      <c r="B2051" s="4">
        <v>61204</v>
      </c>
      <c r="C2051" s="4">
        <v>1</v>
      </c>
      <c r="D2051" s="6">
        <v>0</v>
      </c>
      <c r="E2051" s="6">
        <v>-99.94</v>
      </c>
      <c r="F2051" s="6">
        <v>0.32</v>
      </c>
      <c r="G2051" s="6">
        <v>0.02</v>
      </c>
      <c r="H2051" s="6">
        <v>72</v>
      </c>
    </row>
    <row r="2052" spans="1:8" ht="18.95" customHeight="1">
      <c r="A2052" s="4">
        <v>2048</v>
      </c>
      <c r="B2052" s="4">
        <v>61224</v>
      </c>
      <c r="C2052" s="4">
        <v>1</v>
      </c>
      <c r="D2052" s="6">
        <v>0</v>
      </c>
      <c r="E2052" s="6">
        <v>-100.06</v>
      </c>
      <c r="F2052" s="6">
        <v>0.35</v>
      </c>
      <c r="G2052" s="6">
        <v>0.04</v>
      </c>
      <c r="H2052" s="6">
        <v>72</v>
      </c>
    </row>
    <row r="2053" spans="1:8" ht="18.95" customHeight="1">
      <c r="A2053" s="4">
        <v>2049</v>
      </c>
      <c r="B2053" s="4">
        <v>61244</v>
      </c>
      <c r="C2053" s="4">
        <v>1</v>
      </c>
      <c r="D2053" s="6">
        <v>0</v>
      </c>
      <c r="E2053" s="6">
        <v>-100.25</v>
      </c>
      <c r="F2053" s="6">
        <v>0.38</v>
      </c>
      <c r="G2053" s="6">
        <v>0.2</v>
      </c>
      <c r="H2053" s="6">
        <v>72</v>
      </c>
    </row>
    <row r="2054" spans="1:8" ht="18.95" customHeight="1">
      <c r="A2054" s="4">
        <v>2050</v>
      </c>
      <c r="B2054" s="4">
        <v>61264</v>
      </c>
      <c r="C2054" s="4">
        <v>1</v>
      </c>
      <c r="D2054" s="6">
        <v>0</v>
      </c>
      <c r="E2054" s="6">
        <v>-100.44</v>
      </c>
      <c r="F2054" s="6">
        <v>0.37</v>
      </c>
      <c r="G2054" s="6">
        <v>-0.2</v>
      </c>
      <c r="H2054" s="6">
        <v>76</v>
      </c>
    </row>
    <row r="2055" spans="1:8" ht="18.95" customHeight="1">
      <c r="A2055" s="4">
        <v>2051</v>
      </c>
      <c r="B2055" s="4">
        <v>61284</v>
      </c>
      <c r="C2055" s="4">
        <v>1</v>
      </c>
      <c r="D2055" s="6">
        <v>0</v>
      </c>
      <c r="E2055" s="6">
        <v>-100.62</v>
      </c>
      <c r="F2055" s="6">
        <v>0.42</v>
      </c>
      <c r="G2055" s="6">
        <v>0.1</v>
      </c>
      <c r="H2055" s="6">
        <v>76</v>
      </c>
    </row>
    <row r="2056" spans="1:8" ht="18.95" customHeight="1">
      <c r="A2056" s="4">
        <v>2052</v>
      </c>
      <c r="B2056" s="4">
        <v>61304</v>
      </c>
      <c r="C2056" s="4">
        <v>1</v>
      </c>
      <c r="D2056" s="6">
        <v>0</v>
      </c>
      <c r="E2056" s="6">
        <v>-100.87</v>
      </c>
      <c r="F2056" s="6">
        <v>0.43</v>
      </c>
      <c r="G2056" s="6">
        <v>-0.05</v>
      </c>
      <c r="H2056" s="6">
        <v>79</v>
      </c>
    </row>
    <row r="2057" spans="1:8" ht="18.95" customHeight="1">
      <c r="A2057" s="4">
        <v>2053</v>
      </c>
      <c r="B2057" s="4">
        <v>61324</v>
      </c>
      <c r="C2057" s="4">
        <v>1</v>
      </c>
      <c r="D2057" s="6">
        <v>0</v>
      </c>
      <c r="E2057" s="6">
        <v>-101.12</v>
      </c>
      <c r="F2057" s="6">
        <v>0.45</v>
      </c>
      <c r="G2057" s="6">
        <v>0.19</v>
      </c>
      <c r="H2057" s="6">
        <v>79</v>
      </c>
    </row>
    <row r="2058" spans="1:8" ht="18.95" customHeight="1">
      <c r="A2058" s="4">
        <v>2054</v>
      </c>
      <c r="B2058" s="4">
        <v>61344</v>
      </c>
      <c r="C2058" s="4">
        <v>1</v>
      </c>
      <c r="D2058" s="6">
        <v>0</v>
      </c>
      <c r="E2058" s="6">
        <v>-101.37</v>
      </c>
      <c r="F2058" s="6">
        <v>0.43</v>
      </c>
      <c r="G2058" s="6">
        <v>0.19</v>
      </c>
      <c r="H2058" s="6">
        <v>79</v>
      </c>
    </row>
    <row r="2059" spans="1:8" ht="18.95" customHeight="1">
      <c r="A2059" s="4">
        <v>2055</v>
      </c>
      <c r="B2059" s="4">
        <v>61364</v>
      </c>
      <c r="C2059" s="4">
        <v>1</v>
      </c>
      <c r="D2059" s="6">
        <v>0</v>
      </c>
      <c r="E2059" s="6">
        <v>-101.62</v>
      </c>
      <c r="F2059" s="6">
        <v>0.44</v>
      </c>
      <c r="G2059" s="6">
        <v>0.11</v>
      </c>
      <c r="H2059" s="6">
        <v>78</v>
      </c>
    </row>
    <row r="2060" spans="1:8" ht="18.95" customHeight="1">
      <c r="A2060" s="4">
        <v>2056</v>
      </c>
      <c r="B2060" s="4">
        <v>61384</v>
      </c>
      <c r="C2060" s="4">
        <v>1</v>
      </c>
      <c r="D2060" s="6">
        <v>0</v>
      </c>
      <c r="E2060" s="6">
        <v>-101.94</v>
      </c>
      <c r="F2060" s="6">
        <v>0.46</v>
      </c>
      <c r="G2060" s="6">
        <v>7.0000000000000007E-2</v>
      </c>
      <c r="H2060" s="6">
        <v>78</v>
      </c>
    </row>
    <row r="2061" spans="1:8" ht="18.95" customHeight="1">
      <c r="A2061" s="4">
        <v>2057</v>
      </c>
      <c r="B2061" s="4">
        <v>61404</v>
      </c>
      <c r="C2061" s="4">
        <v>1</v>
      </c>
      <c r="D2061" s="6">
        <v>0</v>
      </c>
      <c r="E2061" s="6">
        <v>-102.25</v>
      </c>
      <c r="F2061" s="6">
        <v>0.46</v>
      </c>
      <c r="G2061" s="6">
        <v>0.15</v>
      </c>
      <c r="H2061" s="6">
        <v>80</v>
      </c>
    </row>
    <row r="2062" spans="1:8" ht="18.95" customHeight="1">
      <c r="A2062" s="4">
        <v>2058</v>
      </c>
      <c r="B2062" s="4">
        <v>61424</v>
      </c>
      <c r="C2062" s="4">
        <v>1</v>
      </c>
      <c r="D2062" s="6">
        <v>0</v>
      </c>
      <c r="E2062" s="6">
        <v>-102.5</v>
      </c>
      <c r="F2062" s="6">
        <v>0.45</v>
      </c>
      <c r="G2062" s="6">
        <v>0.08</v>
      </c>
      <c r="H2062" s="6">
        <v>80</v>
      </c>
    </row>
    <row r="2063" spans="1:8" ht="18.95" customHeight="1">
      <c r="A2063" s="4">
        <v>2059</v>
      </c>
      <c r="B2063" s="4">
        <v>61444</v>
      </c>
      <c r="C2063" s="4">
        <v>1</v>
      </c>
      <c r="D2063" s="6">
        <v>0</v>
      </c>
      <c r="E2063" s="6">
        <v>-102.87</v>
      </c>
      <c r="F2063" s="6">
        <v>0.46</v>
      </c>
      <c r="G2063" s="6">
        <v>-0.11</v>
      </c>
      <c r="H2063" s="6">
        <v>80</v>
      </c>
    </row>
    <row r="2064" spans="1:8" ht="18.95" customHeight="1">
      <c r="A2064" s="4">
        <v>2060</v>
      </c>
      <c r="B2064" s="4">
        <v>61464</v>
      </c>
      <c r="C2064" s="4">
        <v>1</v>
      </c>
      <c r="D2064" s="6">
        <v>0</v>
      </c>
      <c r="E2064" s="6">
        <v>-103.25</v>
      </c>
      <c r="F2064" s="6">
        <v>0.51</v>
      </c>
      <c r="G2064" s="6">
        <v>0.09</v>
      </c>
      <c r="H2064" s="6">
        <v>79</v>
      </c>
    </row>
    <row r="2065" spans="1:8" ht="18.95" customHeight="1">
      <c r="A2065" s="4">
        <v>2061</v>
      </c>
      <c r="B2065" s="4">
        <v>61484</v>
      </c>
      <c r="C2065" s="4">
        <v>1</v>
      </c>
      <c r="D2065" s="6">
        <v>0</v>
      </c>
      <c r="E2065" s="6">
        <v>-103.69</v>
      </c>
      <c r="F2065" s="6">
        <v>0.54</v>
      </c>
      <c r="G2065" s="6">
        <v>-7.0000000000000007E-2</v>
      </c>
      <c r="H2065" s="6">
        <v>79</v>
      </c>
    </row>
    <row r="2066" spans="1:8" ht="18.95" customHeight="1">
      <c r="A2066" s="4">
        <v>2062</v>
      </c>
      <c r="B2066" s="4">
        <v>61504</v>
      </c>
      <c r="C2066" s="4">
        <v>1</v>
      </c>
      <c r="D2066" s="6">
        <v>0</v>
      </c>
      <c r="E2066" s="6">
        <v>-104.19</v>
      </c>
      <c r="F2066" s="6">
        <v>0.53</v>
      </c>
      <c r="G2066" s="6">
        <v>-0.12</v>
      </c>
      <c r="H2066" s="6">
        <v>83</v>
      </c>
    </row>
    <row r="2067" spans="1:8" ht="18.95" customHeight="1">
      <c r="A2067" s="4">
        <v>2063</v>
      </c>
      <c r="B2067" s="4">
        <v>61524</v>
      </c>
      <c r="C2067" s="4">
        <v>1</v>
      </c>
      <c r="D2067" s="6">
        <v>0</v>
      </c>
      <c r="E2067" s="6">
        <v>-104.69</v>
      </c>
      <c r="F2067" s="6">
        <v>0.52</v>
      </c>
      <c r="G2067" s="6">
        <v>0.14000000000000001</v>
      </c>
      <c r="H2067" s="6">
        <v>83</v>
      </c>
    </row>
    <row r="2068" spans="1:8" ht="18.95" customHeight="1">
      <c r="A2068" s="4">
        <v>2064</v>
      </c>
      <c r="B2068" s="4">
        <v>61544</v>
      </c>
      <c r="C2068" s="4">
        <v>1</v>
      </c>
      <c r="D2068" s="6">
        <v>0</v>
      </c>
      <c r="E2068" s="6">
        <v>-105.19</v>
      </c>
      <c r="F2068" s="6">
        <v>0.53</v>
      </c>
      <c r="G2068" s="6">
        <v>-0.11</v>
      </c>
      <c r="H2068" s="6">
        <v>83</v>
      </c>
    </row>
    <row r="2069" spans="1:8" ht="18.95" customHeight="1">
      <c r="A2069" s="4">
        <v>2065</v>
      </c>
      <c r="B2069" s="4">
        <v>61564</v>
      </c>
      <c r="C2069" s="4">
        <v>1</v>
      </c>
      <c r="D2069" s="6">
        <v>0</v>
      </c>
      <c r="E2069" s="6">
        <v>-105.75</v>
      </c>
      <c r="F2069" s="6">
        <v>0.56000000000000005</v>
      </c>
      <c r="G2069" s="6">
        <v>-0.13</v>
      </c>
      <c r="H2069" s="6">
        <v>83</v>
      </c>
    </row>
    <row r="2070" spans="1:8" ht="18.95" customHeight="1">
      <c r="A2070" s="4">
        <v>2066</v>
      </c>
      <c r="B2070" s="4">
        <v>61584</v>
      </c>
      <c r="C2070" s="4">
        <v>1</v>
      </c>
      <c r="D2070" s="6">
        <v>0</v>
      </c>
      <c r="E2070" s="6">
        <v>-106.44</v>
      </c>
      <c r="F2070" s="6">
        <v>0.56999999999999995</v>
      </c>
      <c r="G2070" s="6">
        <v>0.04</v>
      </c>
      <c r="H2070" s="6">
        <v>83</v>
      </c>
    </row>
    <row r="2071" spans="1:8" ht="18.95" customHeight="1">
      <c r="A2071" s="4">
        <v>2067</v>
      </c>
      <c r="B2071" s="4">
        <v>61604</v>
      </c>
      <c r="C2071" s="4">
        <v>1</v>
      </c>
      <c r="D2071" s="6">
        <v>0</v>
      </c>
      <c r="E2071" s="6">
        <v>-107.12</v>
      </c>
      <c r="F2071" s="6">
        <v>0.56000000000000005</v>
      </c>
      <c r="G2071" s="6">
        <v>-0.14000000000000001</v>
      </c>
      <c r="H2071" s="6">
        <v>83</v>
      </c>
    </row>
    <row r="2072" spans="1:8" ht="18.95" customHeight="1">
      <c r="A2072" s="4">
        <v>2068</v>
      </c>
      <c r="B2072" s="4">
        <v>61624</v>
      </c>
      <c r="C2072" s="4">
        <v>1</v>
      </c>
      <c r="D2072" s="6">
        <v>0</v>
      </c>
      <c r="E2072" s="6">
        <v>-107.94</v>
      </c>
      <c r="F2072" s="6">
        <v>0.59</v>
      </c>
      <c r="G2072" s="6">
        <v>-0.16</v>
      </c>
      <c r="H2072" s="6">
        <v>83</v>
      </c>
    </row>
    <row r="2073" spans="1:8" ht="18.95" customHeight="1">
      <c r="A2073" s="4">
        <v>2069</v>
      </c>
      <c r="B2073" s="4">
        <v>61644</v>
      </c>
      <c r="C2073" s="4">
        <v>1</v>
      </c>
      <c r="D2073" s="6">
        <v>0</v>
      </c>
      <c r="E2073" s="6">
        <v>-108.81</v>
      </c>
      <c r="F2073" s="6">
        <v>0.6</v>
      </c>
      <c r="G2073" s="6">
        <v>0.2</v>
      </c>
      <c r="H2073" s="6">
        <v>83</v>
      </c>
    </row>
    <row r="2074" spans="1:8" ht="18.95" customHeight="1">
      <c r="A2074" s="4">
        <v>2070</v>
      </c>
      <c r="B2074" s="4">
        <v>61664</v>
      </c>
      <c r="C2074" s="4">
        <v>1</v>
      </c>
      <c r="D2074" s="6">
        <v>0</v>
      </c>
      <c r="E2074" s="6">
        <v>-109.69</v>
      </c>
      <c r="F2074" s="6">
        <v>0.61</v>
      </c>
      <c r="G2074" s="6">
        <v>0</v>
      </c>
      <c r="H2074" s="6">
        <v>82</v>
      </c>
    </row>
    <row r="2075" spans="1:8" ht="18.95" customHeight="1">
      <c r="A2075" s="4">
        <v>2071</v>
      </c>
      <c r="B2075" s="4">
        <v>61684</v>
      </c>
      <c r="C2075" s="4">
        <v>1</v>
      </c>
      <c r="D2075" s="6">
        <v>0</v>
      </c>
      <c r="E2075" s="6">
        <v>-110.62</v>
      </c>
      <c r="F2075" s="6">
        <v>0.59</v>
      </c>
      <c r="G2075" s="6">
        <v>-0.08</v>
      </c>
      <c r="H2075" s="6">
        <v>82</v>
      </c>
    </row>
    <row r="2076" spans="1:8" ht="18.95" customHeight="1">
      <c r="A2076" s="4">
        <v>2072</v>
      </c>
      <c r="B2076" s="4">
        <v>61704</v>
      </c>
      <c r="C2076" s="4">
        <v>1</v>
      </c>
      <c r="D2076" s="6">
        <v>0</v>
      </c>
      <c r="E2076" s="6">
        <v>-111.69</v>
      </c>
      <c r="F2076" s="6">
        <v>0.6</v>
      </c>
      <c r="G2076" s="6">
        <v>-0.06</v>
      </c>
      <c r="H2076" s="6">
        <v>86</v>
      </c>
    </row>
    <row r="2077" spans="1:8" ht="18.95" customHeight="1">
      <c r="A2077" s="4">
        <v>2073</v>
      </c>
      <c r="B2077" s="4">
        <v>61724</v>
      </c>
      <c r="C2077" s="4">
        <v>1</v>
      </c>
      <c r="D2077" s="6">
        <v>0</v>
      </c>
      <c r="E2077" s="6">
        <v>-112.94</v>
      </c>
      <c r="F2077" s="6">
        <v>0.6</v>
      </c>
      <c r="G2077" s="6">
        <v>-0.14000000000000001</v>
      </c>
      <c r="H2077" s="6">
        <v>86</v>
      </c>
    </row>
    <row r="2078" spans="1:8" ht="18.95" customHeight="1">
      <c r="A2078" s="4">
        <v>2074</v>
      </c>
      <c r="B2078" s="4">
        <v>61744</v>
      </c>
      <c r="C2078" s="4">
        <v>1</v>
      </c>
      <c r="D2078" s="6">
        <v>0</v>
      </c>
      <c r="E2078" s="6">
        <v>-114.25</v>
      </c>
      <c r="F2078" s="6">
        <v>0.62</v>
      </c>
      <c r="G2078" s="6">
        <v>0.14000000000000001</v>
      </c>
      <c r="H2078" s="6">
        <v>86</v>
      </c>
    </row>
    <row r="2079" spans="1:8" ht="18.95" customHeight="1">
      <c r="A2079" s="4">
        <v>2075</v>
      </c>
      <c r="B2079" s="4">
        <v>61764</v>
      </c>
      <c r="C2079" s="4">
        <v>1</v>
      </c>
      <c r="D2079" s="6">
        <v>0</v>
      </c>
      <c r="E2079" s="6">
        <v>-115.75</v>
      </c>
      <c r="F2079" s="6">
        <v>0.56999999999999995</v>
      </c>
      <c r="G2079" s="6">
        <v>0.16</v>
      </c>
      <c r="H2079" s="6">
        <v>85</v>
      </c>
    </row>
    <row r="2080" spans="1:8" ht="18.95" customHeight="1">
      <c r="A2080" s="4">
        <v>2076</v>
      </c>
      <c r="B2080" s="4">
        <v>61784</v>
      </c>
      <c r="C2080" s="4">
        <v>1</v>
      </c>
      <c r="D2080" s="6">
        <v>0</v>
      </c>
      <c r="E2080" s="6">
        <v>-117.37</v>
      </c>
      <c r="F2080" s="6">
        <v>0.56000000000000005</v>
      </c>
      <c r="G2080" s="6">
        <v>-0.02</v>
      </c>
      <c r="H2080" s="6">
        <v>85</v>
      </c>
    </row>
    <row r="2081" spans="1:8" ht="18.95" customHeight="1">
      <c r="A2081" s="4">
        <v>2077</v>
      </c>
      <c r="B2081" s="4">
        <v>61804</v>
      </c>
      <c r="C2081" s="4">
        <v>1</v>
      </c>
      <c r="D2081" s="6">
        <v>0</v>
      </c>
      <c r="E2081" s="6">
        <v>-119.19</v>
      </c>
      <c r="F2081" s="6">
        <v>0.57999999999999996</v>
      </c>
      <c r="G2081" s="6">
        <v>-0.04</v>
      </c>
      <c r="H2081" s="6">
        <v>81</v>
      </c>
    </row>
    <row r="2082" spans="1:8" ht="18.95" customHeight="1">
      <c r="A2082" s="4">
        <v>2078</v>
      </c>
      <c r="B2082" s="4">
        <v>61824</v>
      </c>
      <c r="C2082" s="4">
        <v>1</v>
      </c>
      <c r="D2082" s="6">
        <v>0</v>
      </c>
      <c r="E2082" s="6">
        <v>-121.31</v>
      </c>
      <c r="F2082" s="6">
        <v>0.55000000000000004</v>
      </c>
      <c r="G2082" s="6">
        <v>0.09</v>
      </c>
      <c r="H2082" s="6">
        <v>81</v>
      </c>
    </row>
    <row r="2083" spans="1:8" ht="18.95" customHeight="1">
      <c r="A2083" s="4">
        <v>2079</v>
      </c>
      <c r="B2083" s="4">
        <v>61844</v>
      </c>
      <c r="C2083" s="4">
        <v>1</v>
      </c>
      <c r="D2083" s="6">
        <v>0</v>
      </c>
      <c r="E2083" s="6">
        <v>-123.62</v>
      </c>
      <c r="F2083" s="6">
        <v>0.53</v>
      </c>
      <c r="G2083" s="6">
        <v>0.05</v>
      </c>
      <c r="H2083" s="6">
        <v>81</v>
      </c>
    </row>
    <row r="2084" spans="1:8" ht="18.95" customHeight="1">
      <c r="A2084" s="4">
        <v>2080</v>
      </c>
      <c r="B2084" s="4">
        <v>61864</v>
      </c>
      <c r="C2084" s="4">
        <v>1</v>
      </c>
      <c r="D2084" s="6">
        <v>0</v>
      </c>
      <c r="E2084" s="6">
        <v>-126.12</v>
      </c>
      <c r="F2084" s="6">
        <v>0.52</v>
      </c>
      <c r="G2084" s="6">
        <v>-0.05</v>
      </c>
      <c r="H2084" s="6">
        <v>82</v>
      </c>
    </row>
    <row r="2085" spans="1:8" ht="18.95" customHeight="1">
      <c r="A2085" s="4">
        <v>2081</v>
      </c>
      <c r="B2085" s="4">
        <v>61884</v>
      </c>
      <c r="C2085" s="4">
        <v>1</v>
      </c>
      <c r="D2085" s="6">
        <v>0</v>
      </c>
      <c r="E2085" s="6">
        <v>-174.88</v>
      </c>
      <c r="F2085" s="6">
        <v>0.51</v>
      </c>
      <c r="G2085" s="6">
        <v>0.06</v>
      </c>
      <c r="H2085" s="6">
        <v>82</v>
      </c>
    </row>
    <row r="2086" spans="1:8" ht="18.95" customHeight="1">
      <c r="A2086" s="4">
        <v>2082</v>
      </c>
      <c r="B2086" s="4">
        <v>61904</v>
      </c>
      <c r="C2086" s="4">
        <v>1</v>
      </c>
      <c r="D2086" s="6">
        <v>0</v>
      </c>
      <c r="E2086" s="6">
        <v>-175.44</v>
      </c>
      <c r="F2086" s="6">
        <v>0.49</v>
      </c>
      <c r="G2086" s="6">
        <v>-0.13</v>
      </c>
      <c r="H2086" s="6">
        <v>80</v>
      </c>
    </row>
    <row r="2087" spans="1:8" ht="18.95" customHeight="1">
      <c r="A2087" s="4">
        <v>2083</v>
      </c>
      <c r="B2087" s="4">
        <v>61924</v>
      </c>
      <c r="C2087" s="4">
        <v>1</v>
      </c>
      <c r="D2087" s="6">
        <v>0</v>
      </c>
      <c r="E2087" s="6">
        <v>-175.94</v>
      </c>
      <c r="F2087" s="6">
        <v>0.44</v>
      </c>
      <c r="G2087" s="6">
        <v>0.27</v>
      </c>
      <c r="H2087" s="6">
        <v>80</v>
      </c>
    </row>
    <row r="2088" spans="1:8" ht="18.95" customHeight="1">
      <c r="A2088" s="4">
        <v>2084</v>
      </c>
      <c r="B2088" s="4">
        <v>61944</v>
      </c>
      <c r="C2088" s="4">
        <v>1</v>
      </c>
      <c r="D2088" s="6">
        <v>0</v>
      </c>
      <c r="E2088" s="6">
        <v>-176.44</v>
      </c>
      <c r="F2088" s="6">
        <v>0.44</v>
      </c>
      <c r="G2088" s="6">
        <v>-0.1</v>
      </c>
      <c r="H2088" s="6">
        <v>80</v>
      </c>
    </row>
    <row r="2089" spans="1:8" ht="18.95" customHeight="1">
      <c r="A2089" s="4">
        <v>2085</v>
      </c>
      <c r="B2089" s="4">
        <v>61964</v>
      </c>
      <c r="C2089" s="4">
        <v>1</v>
      </c>
      <c r="D2089" s="6">
        <v>0</v>
      </c>
      <c r="E2089" s="6">
        <v>-176.94</v>
      </c>
      <c r="F2089" s="6">
        <v>0.42</v>
      </c>
      <c r="G2089" s="6">
        <v>0.17</v>
      </c>
      <c r="H2089" s="6">
        <v>78</v>
      </c>
    </row>
    <row r="2090" spans="1:8" ht="18.95" customHeight="1">
      <c r="A2090" s="4">
        <v>2086</v>
      </c>
      <c r="B2090" s="4">
        <v>61984</v>
      </c>
      <c r="C2090" s="4">
        <v>1</v>
      </c>
      <c r="D2090" s="6">
        <v>0</v>
      </c>
      <c r="E2090" s="6">
        <v>-177.31</v>
      </c>
      <c r="F2090" s="6">
        <v>0.37</v>
      </c>
      <c r="G2090" s="6">
        <v>-0.05</v>
      </c>
      <c r="H2090" s="6">
        <v>78</v>
      </c>
    </row>
    <row r="2091" spans="1:8" ht="18.95" customHeight="1">
      <c r="A2091" s="4">
        <v>2087</v>
      </c>
      <c r="B2091" s="4">
        <v>62005</v>
      </c>
      <c r="C2091" s="4">
        <v>1</v>
      </c>
      <c r="D2091" s="6">
        <v>0</v>
      </c>
      <c r="E2091" s="6">
        <v>-177.75</v>
      </c>
      <c r="F2091" s="6">
        <v>0.35</v>
      </c>
      <c r="G2091" s="6">
        <v>-7.0000000000000007E-2</v>
      </c>
      <c r="H2091" s="6">
        <v>74</v>
      </c>
    </row>
    <row r="2092" spans="1:8" ht="18.95" customHeight="1">
      <c r="A2092" s="4">
        <v>2088</v>
      </c>
      <c r="B2092" s="4">
        <v>62025</v>
      </c>
      <c r="C2092" s="4">
        <v>1</v>
      </c>
      <c r="D2092" s="6">
        <v>0</v>
      </c>
      <c r="E2092" s="6">
        <v>-178.13</v>
      </c>
      <c r="F2092" s="6">
        <v>0.33</v>
      </c>
      <c r="G2092" s="6">
        <v>0.21</v>
      </c>
      <c r="H2092" s="6">
        <v>74</v>
      </c>
    </row>
    <row r="2093" spans="1:8" ht="18.95" customHeight="1">
      <c r="A2093" s="4">
        <v>2089</v>
      </c>
      <c r="B2093" s="4">
        <v>62045</v>
      </c>
      <c r="C2093" s="4">
        <v>1</v>
      </c>
      <c r="D2093" s="6">
        <v>0</v>
      </c>
      <c r="E2093" s="6">
        <v>-178.44</v>
      </c>
      <c r="F2093" s="6">
        <v>0.32</v>
      </c>
      <c r="G2093" s="6">
        <v>0.21</v>
      </c>
      <c r="H2093" s="6">
        <v>74</v>
      </c>
    </row>
    <row r="2094" spans="1:8" ht="18.95" customHeight="1">
      <c r="A2094" s="4">
        <v>2090</v>
      </c>
      <c r="B2094" s="4">
        <v>62065</v>
      </c>
      <c r="C2094" s="4">
        <v>1</v>
      </c>
      <c r="D2094" s="6">
        <v>0</v>
      </c>
      <c r="E2094" s="6">
        <v>-178.81</v>
      </c>
      <c r="F2094" s="6">
        <v>0.3</v>
      </c>
      <c r="G2094" s="6">
        <v>-0.18</v>
      </c>
      <c r="H2094" s="6">
        <v>73</v>
      </c>
    </row>
    <row r="2095" spans="1:8" ht="18.95" customHeight="1">
      <c r="A2095" s="4">
        <v>2091</v>
      </c>
      <c r="B2095" s="4">
        <v>62085</v>
      </c>
      <c r="C2095" s="4">
        <v>1</v>
      </c>
      <c r="D2095" s="6">
        <v>0</v>
      </c>
      <c r="E2095" s="6">
        <v>-179.13</v>
      </c>
      <c r="F2095" s="6">
        <v>0.27</v>
      </c>
      <c r="G2095" s="6">
        <v>-7.0000000000000007E-2</v>
      </c>
      <c r="H2095" s="6">
        <v>73</v>
      </c>
    </row>
    <row r="2096" spans="1:8" ht="18.95" customHeight="1">
      <c r="A2096" s="4">
        <v>2092</v>
      </c>
      <c r="B2096" s="4">
        <v>62105</v>
      </c>
      <c r="C2096" s="4">
        <v>1</v>
      </c>
      <c r="D2096" s="6">
        <v>0</v>
      </c>
      <c r="E2096" s="6">
        <v>-179.38</v>
      </c>
      <c r="F2096" s="6">
        <v>0.25</v>
      </c>
      <c r="G2096" s="6">
        <v>0.13</v>
      </c>
      <c r="H2096" s="6">
        <v>72</v>
      </c>
    </row>
    <row r="2097" spans="1:8" ht="18.95" customHeight="1">
      <c r="A2097" s="4">
        <v>2093</v>
      </c>
      <c r="B2097" s="4">
        <v>62125</v>
      </c>
      <c r="C2097" s="4">
        <v>1</v>
      </c>
      <c r="D2097" s="6">
        <v>0</v>
      </c>
      <c r="E2097" s="6">
        <v>-179.69</v>
      </c>
      <c r="F2097" s="6">
        <v>0.23</v>
      </c>
      <c r="G2097" s="6">
        <v>-0.18</v>
      </c>
      <c r="H2097" s="6">
        <v>72</v>
      </c>
    </row>
    <row r="2098" spans="1:8" ht="18.95" customHeight="1">
      <c r="A2098" s="4">
        <v>2094</v>
      </c>
      <c r="B2098" s="4">
        <v>62145</v>
      </c>
      <c r="C2098" s="4">
        <v>1</v>
      </c>
      <c r="D2098" s="6">
        <v>0</v>
      </c>
      <c r="E2098" s="6">
        <v>-179.94</v>
      </c>
      <c r="F2098" s="6">
        <v>0.21</v>
      </c>
      <c r="G2098" s="6">
        <v>0.12</v>
      </c>
      <c r="H2098" s="6">
        <v>72</v>
      </c>
    </row>
    <row r="2099" spans="1:8" ht="18.95" customHeight="1">
      <c r="A2099" s="4">
        <v>2095</v>
      </c>
      <c r="B2099" s="4">
        <v>62166</v>
      </c>
      <c r="C2099" s="4">
        <v>1</v>
      </c>
      <c r="D2099" s="6">
        <v>0</v>
      </c>
      <c r="E2099" s="6">
        <v>179.81</v>
      </c>
      <c r="F2099" s="6">
        <v>0.17</v>
      </c>
      <c r="G2099" s="6">
        <v>0.17</v>
      </c>
      <c r="H2099" s="6">
        <v>68</v>
      </c>
    </row>
    <row r="2100" spans="1:8" ht="18.95" customHeight="1">
      <c r="A2100" s="4">
        <v>2096</v>
      </c>
      <c r="B2100" s="4">
        <v>62186</v>
      </c>
      <c r="C2100" s="4">
        <v>1</v>
      </c>
      <c r="D2100" s="6">
        <v>0</v>
      </c>
      <c r="E2100" s="6">
        <v>179.69</v>
      </c>
      <c r="F2100" s="6">
        <v>0.14000000000000001</v>
      </c>
      <c r="G2100" s="6">
        <v>0.11</v>
      </c>
      <c r="H2100" s="6">
        <v>68</v>
      </c>
    </row>
    <row r="2101" spans="1:8" ht="18.95" customHeight="1">
      <c r="A2101" s="4">
        <v>2097</v>
      </c>
      <c r="B2101" s="4">
        <v>62206</v>
      </c>
      <c r="C2101" s="4">
        <v>1</v>
      </c>
      <c r="D2101" s="6">
        <v>0</v>
      </c>
      <c r="E2101" s="6">
        <v>179.56</v>
      </c>
      <c r="F2101" s="6">
        <v>0.12</v>
      </c>
      <c r="G2101" s="6">
        <v>-0.26</v>
      </c>
      <c r="H2101" s="6">
        <v>65</v>
      </c>
    </row>
    <row r="2102" spans="1:8" ht="18.95" customHeight="1">
      <c r="A2102" s="4">
        <v>2098</v>
      </c>
      <c r="B2102" s="4">
        <v>62226</v>
      </c>
      <c r="C2102" s="4">
        <v>1</v>
      </c>
      <c r="D2102" s="6">
        <v>0</v>
      </c>
      <c r="E2102" s="6">
        <v>179.44</v>
      </c>
      <c r="F2102" s="6">
        <v>0.1</v>
      </c>
      <c r="G2102" s="6">
        <v>-0.16</v>
      </c>
      <c r="H2102" s="6">
        <v>65</v>
      </c>
    </row>
    <row r="2103" spans="1:8" ht="18.95" customHeight="1">
      <c r="A2103" s="4">
        <v>2099</v>
      </c>
      <c r="B2103" s="4">
        <v>62246</v>
      </c>
      <c r="C2103" s="4">
        <v>1</v>
      </c>
      <c r="D2103" s="6">
        <v>0</v>
      </c>
      <c r="E2103" s="6">
        <v>179.31</v>
      </c>
      <c r="F2103" s="6">
        <v>7.0000000000000007E-2</v>
      </c>
      <c r="G2103" s="6">
        <v>0.28000000000000003</v>
      </c>
      <c r="H2103" s="6">
        <v>65</v>
      </c>
    </row>
    <row r="2104" spans="1:8" ht="18.95" customHeight="1">
      <c r="A2104" s="4">
        <v>2100</v>
      </c>
      <c r="B2104" s="4">
        <v>62266</v>
      </c>
      <c r="C2104" s="4">
        <v>1</v>
      </c>
      <c r="D2104" s="6">
        <v>0</v>
      </c>
      <c r="E2104" s="6">
        <v>179.25</v>
      </c>
      <c r="F2104" s="6">
        <v>0.05</v>
      </c>
      <c r="G2104" s="6">
        <v>0.19</v>
      </c>
      <c r="H2104" s="6">
        <v>62</v>
      </c>
    </row>
    <row r="2105" spans="1:8" ht="18.95" customHeight="1">
      <c r="A2105" s="4">
        <v>2101</v>
      </c>
      <c r="B2105" s="4">
        <v>62286</v>
      </c>
      <c r="C2105" s="4">
        <v>0</v>
      </c>
      <c r="D2105" s="6">
        <v>0</v>
      </c>
      <c r="E2105" s="6">
        <v>179.25</v>
      </c>
      <c r="F2105" s="6">
        <v>0.03</v>
      </c>
      <c r="G2105" s="6">
        <v>-7.0000000000000007E-2</v>
      </c>
      <c r="H2105" s="6">
        <v>62</v>
      </c>
    </row>
    <row r="2106" spans="1:8" ht="18.95" customHeight="1">
      <c r="A2106" s="4">
        <v>2102</v>
      </c>
      <c r="B2106" s="4">
        <v>62306</v>
      </c>
      <c r="C2106" s="4">
        <v>0</v>
      </c>
      <c r="D2106" s="6">
        <v>0</v>
      </c>
      <c r="E2106" s="6">
        <v>179.19</v>
      </c>
      <c r="F2106" s="6">
        <v>0</v>
      </c>
      <c r="G2106" s="6">
        <v>-0.1</v>
      </c>
      <c r="H2106" s="6">
        <v>59</v>
      </c>
    </row>
    <row r="2107" spans="1:8" ht="18.95" customHeight="1">
      <c r="A2107" s="4">
        <v>2103</v>
      </c>
      <c r="B2107" s="4">
        <v>62326</v>
      </c>
      <c r="C2107" s="4">
        <v>0</v>
      </c>
      <c r="D2107" s="6">
        <v>0</v>
      </c>
      <c r="E2107" s="6">
        <v>179.19</v>
      </c>
      <c r="F2107" s="6">
        <v>-0.02</v>
      </c>
      <c r="G2107" s="6">
        <v>7.0000000000000007E-2</v>
      </c>
      <c r="H2107" s="6">
        <v>59</v>
      </c>
    </row>
    <row r="2108" spans="1:8" ht="18.95" customHeight="1">
      <c r="A2108" s="4">
        <v>2104</v>
      </c>
      <c r="B2108" s="4">
        <v>62346</v>
      </c>
      <c r="C2108" s="4">
        <v>0</v>
      </c>
      <c r="D2108" s="6">
        <v>0</v>
      </c>
      <c r="E2108" s="6">
        <v>179.25</v>
      </c>
      <c r="F2108" s="6">
        <v>-0.04</v>
      </c>
      <c r="G2108" s="6">
        <v>0.1</v>
      </c>
      <c r="H2108" s="6">
        <v>59</v>
      </c>
    </row>
    <row r="2109" spans="1:8" ht="18.95" customHeight="1">
      <c r="A2109" s="4">
        <v>2105</v>
      </c>
      <c r="B2109" s="4">
        <v>62366</v>
      </c>
      <c r="C2109" s="4">
        <v>0</v>
      </c>
      <c r="D2109" s="6">
        <v>0</v>
      </c>
      <c r="E2109" s="6">
        <v>179.31</v>
      </c>
      <c r="F2109" s="6">
        <v>-7.0000000000000007E-2</v>
      </c>
      <c r="G2109" s="6">
        <v>-7.0000000000000007E-2</v>
      </c>
      <c r="H2109" s="6">
        <v>55</v>
      </c>
    </row>
    <row r="2110" spans="1:8" ht="18.95" customHeight="1">
      <c r="A2110" s="4">
        <v>2106</v>
      </c>
      <c r="B2110" s="4">
        <v>62386</v>
      </c>
      <c r="C2110" s="4">
        <v>1</v>
      </c>
      <c r="D2110" s="6">
        <v>0</v>
      </c>
      <c r="E2110" s="6">
        <v>179.38</v>
      </c>
      <c r="F2110" s="6">
        <v>-0.09</v>
      </c>
      <c r="G2110" s="6">
        <v>0.24</v>
      </c>
      <c r="H2110" s="6">
        <v>55</v>
      </c>
    </row>
    <row r="2111" spans="1:8" ht="18.95" customHeight="1">
      <c r="A2111" s="4">
        <v>2107</v>
      </c>
      <c r="B2111" s="4">
        <v>62406</v>
      </c>
      <c r="C2111" s="4">
        <v>1</v>
      </c>
      <c r="D2111" s="6">
        <v>600</v>
      </c>
      <c r="E2111" s="6">
        <v>179.5</v>
      </c>
      <c r="F2111" s="6">
        <v>-0.12</v>
      </c>
      <c r="G2111" s="6">
        <v>0.03</v>
      </c>
      <c r="H2111" s="6">
        <v>51</v>
      </c>
    </row>
    <row r="2112" spans="1:8" ht="18.95" customHeight="1">
      <c r="A2112" s="4">
        <v>2108</v>
      </c>
      <c r="B2112" s="4">
        <v>62426</v>
      </c>
      <c r="C2112" s="4">
        <v>1</v>
      </c>
      <c r="D2112" s="6">
        <v>600</v>
      </c>
      <c r="E2112" s="6">
        <v>179.63</v>
      </c>
      <c r="F2112" s="6">
        <v>-0.14000000000000001</v>
      </c>
      <c r="G2112" s="6">
        <v>0.12</v>
      </c>
      <c r="H2112" s="6">
        <v>51</v>
      </c>
    </row>
    <row r="2113" spans="1:8" ht="18.95" customHeight="1">
      <c r="A2113" s="4">
        <v>2109</v>
      </c>
      <c r="B2113" s="4">
        <v>62446</v>
      </c>
      <c r="C2113" s="4">
        <v>1</v>
      </c>
      <c r="D2113" s="6">
        <v>600</v>
      </c>
      <c r="E2113" s="6">
        <v>179.81</v>
      </c>
      <c r="F2113" s="6">
        <v>-0.16</v>
      </c>
      <c r="G2113" s="6">
        <v>0.14000000000000001</v>
      </c>
      <c r="H2113" s="6">
        <v>51</v>
      </c>
    </row>
    <row r="2114" spans="1:8" ht="18.95" customHeight="1">
      <c r="A2114" s="4">
        <v>2110</v>
      </c>
      <c r="B2114" s="4">
        <v>62466</v>
      </c>
      <c r="C2114" s="4">
        <v>1</v>
      </c>
      <c r="D2114" s="6">
        <v>600</v>
      </c>
      <c r="E2114" s="6">
        <v>-179.94</v>
      </c>
      <c r="F2114" s="6">
        <v>-0.18</v>
      </c>
      <c r="G2114" s="6">
        <v>0.27</v>
      </c>
      <c r="H2114" s="6">
        <v>47</v>
      </c>
    </row>
    <row r="2115" spans="1:8" ht="18.95" customHeight="1">
      <c r="A2115" s="4">
        <v>2111</v>
      </c>
      <c r="B2115" s="4">
        <v>62486</v>
      </c>
      <c r="C2115" s="4">
        <v>1</v>
      </c>
      <c r="D2115" s="6">
        <v>600</v>
      </c>
      <c r="E2115" s="6">
        <v>-179.69</v>
      </c>
      <c r="F2115" s="6">
        <v>-0.2</v>
      </c>
      <c r="G2115" s="6">
        <v>-0.09</v>
      </c>
      <c r="H2115" s="6">
        <v>47</v>
      </c>
    </row>
    <row r="2116" spans="1:8" ht="18.95" customHeight="1">
      <c r="A2116" s="4">
        <v>2112</v>
      </c>
      <c r="B2116" s="4">
        <v>62507</v>
      </c>
      <c r="C2116" s="4">
        <v>1</v>
      </c>
      <c r="D2116" s="6">
        <v>0</v>
      </c>
      <c r="E2116" s="6">
        <v>-179.5</v>
      </c>
      <c r="F2116" s="6">
        <v>-0.22</v>
      </c>
      <c r="G2116" s="6">
        <v>0.13</v>
      </c>
      <c r="H2116" s="6">
        <v>44</v>
      </c>
    </row>
    <row r="2117" spans="1:8" ht="18.95" customHeight="1">
      <c r="A2117" s="4">
        <v>2113</v>
      </c>
      <c r="B2117" s="4">
        <v>62527</v>
      </c>
      <c r="C2117" s="4">
        <v>1</v>
      </c>
      <c r="D2117" s="6">
        <v>0</v>
      </c>
      <c r="E2117" s="6">
        <v>-179.25</v>
      </c>
      <c r="F2117" s="6">
        <v>-0.23</v>
      </c>
      <c r="G2117" s="6">
        <v>-0.06</v>
      </c>
      <c r="H2117" s="6">
        <v>44</v>
      </c>
    </row>
    <row r="2118" spans="1:8" ht="18.95" customHeight="1">
      <c r="A2118" s="4">
        <v>2114</v>
      </c>
      <c r="B2118" s="4">
        <v>62547</v>
      </c>
      <c r="C2118" s="4">
        <v>1</v>
      </c>
      <c r="D2118" s="6">
        <v>0</v>
      </c>
      <c r="E2118" s="6">
        <v>-179</v>
      </c>
      <c r="F2118" s="6">
        <v>-0.24</v>
      </c>
      <c r="G2118" s="6">
        <v>0.1</v>
      </c>
      <c r="H2118" s="6">
        <v>44</v>
      </c>
    </row>
    <row r="2119" spans="1:8" ht="18.95" customHeight="1">
      <c r="A2119" s="4">
        <v>2115</v>
      </c>
      <c r="B2119" s="4">
        <v>62567</v>
      </c>
      <c r="C2119" s="4">
        <v>1</v>
      </c>
      <c r="D2119" s="6">
        <v>0</v>
      </c>
      <c r="E2119" s="6">
        <v>-178.75</v>
      </c>
      <c r="F2119" s="6">
        <v>-0.25</v>
      </c>
      <c r="G2119" s="6">
        <v>0.11</v>
      </c>
      <c r="H2119" s="6">
        <v>38</v>
      </c>
    </row>
    <row r="2120" spans="1:8" ht="18.95" customHeight="1">
      <c r="A2120" s="4">
        <v>2116</v>
      </c>
      <c r="B2120" s="4">
        <v>62587</v>
      </c>
      <c r="C2120" s="4">
        <v>1</v>
      </c>
      <c r="D2120" s="6">
        <v>0</v>
      </c>
      <c r="E2120" s="6">
        <v>-178.44</v>
      </c>
      <c r="F2120" s="6">
        <v>-0.28000000000000003</v>
      </c>
      <c r="G2120" s="6">
        <v>-0.05</v>
      </c>
      <c r="H2120" s="6">
        <v>38</v>
      </c>
    </row>
    <row r="2121" spans="1:8" ht="18.95" customHeight="1">
      <c r="A2121" s="4">
        <v>2117</v>
      </c>
      <c r="B2121" s="4">
        <v>62607</v>
      </c>
      <c r="C2121" s="4">
        <v>1</v>
      </c>
      <c r="D2121" s="6">
        <v>0</v>
      </c>
      <c r="E2121" s="6">
        <v>-178.13</v>
      </c>
      <c r="F2121" s="6">
        <v>-0.28000000000000003</v>
      </c>
      <c r="G2121" s="6">
        <v>-0.12</v>
      </c>
      <c r="H2121" s="6">
        <v>39</v>
      </c>
    </row>
    <row r="2122" spans="1:8" ht="18.95" customHeight="1">
      <c r="A2122" s="4">
        <v>2118</v>
      </c>
      <c r="B2122" s="4">
        <v>62627</v>
      </c>
      <c r="C2122" s="4">
        <v>1</v>
      </c>
      <c r="D2122" s="6">
        <v>0</v>
      </c>
      <c r="E2122" s="6">
        <v>-177.81</v>
      </c>
      <c r="F2122" s="6">
        <v>-0.28999999999999998</v>
      </c>
      <c r="G2122" s="6">
        <v>0.06</v>
      </c>
      <c r="H2122" s="6">
        <v>39</v>
      </c>
    </row>
    <row r="2123" spans="1:8" ht="18.95" customHeight="1">
      <c r="A2123" s="4">
        <v>2119</v>
      </c>
      <c r="B2123" s="4">
        <v>62647</v>
      </c>
      <c r="C2123" s="4">
        <v>1</v>
      </c>
      <c r="D2123" s="6">
        <v>0</v>
      </c>
      <c r="E2123" s="6">
        <v>-177.5</v>
      </c>
      <c r="F2123" s="6">
        <v>-0.3</v>
      </c>
      <c r="G2123" s="6">
        <v>-0.06</v>
      </c>
      <c r="H2123" s="6">
        <v>39</v>
      </c>
    </row>
    <row r="2124" spans="1:8" ht="18.95" customHeight="1">
      <c r="A2124" s="4">
        <v>2120</v>
      </c>
      <c r="B2124" s="4">
        <v>62667</v>
      </c>
      <c r="C2124" s="4">
        <v>1</v>
      </c>
      <c r="D2124" s="6">
        <v>0</v>
      </c>
      <c r="E2124" s="6">
        <v>-177.19</v>
      </c>
      <c r="F2124" s="6">
        <v>-0.32</v>
      </c>
      <c r="G2124" s="6">
        <v>-0.05</v>
      </c>
      <c r="H2124" s="6">
        <v>33</v>
      </c>
    </row>
    <row r="2125" spans="1:8" ht="18.95" customHeight="1">
      <c r="A2125" s="4">
        <v>2121</v>
      </c>
      <c r="B2125" s="4">
        <v>62687</v>
      </c>
      <c r="C2125" s="4">
        <v>1</v>
      </c>
      <c r="D2125" s="6">
        <v>0</v>
      </c>
      <c r="E2125" s="6">
        <v>-176.81</v>
      </c>
      <c r="F2125" s="6">
        <v>-0.34</v>
      </c>
      <c r="G2125" s="6">
        <v>-0.03</v>
      </c>
      <c r="H2125" s="6">
        <v>33</v>
      </c>
    </row>
    <row r="2126" spans="1:8" ht="18.95" customHeight="1">
      <c r="A2126" s="4">
        <v>2122</v>
      </c>
      <c r="B2126" s="4">
        <v>62707</v>
      </c>
      <c r="C2126" s="4">
        <v>1</v>
      </c>
      <c r="D2126" s="6">
        <v>0</v>
      </c>
      <c r="E2126" s="6">
        <v>-176.44</v>
      </c>
      <c r="F2126" s="6">
        <v>-0.35</v>
      </c>
      <c r="G2126" s="6">
        <v>-0.1</v>
      </c>
      <c r="H2126" s="6">
        <v>33</v>
      </c>
    </row>
    <row r="2127" spans="1:8" ht="18.95" customHeight="1">
      <c r="A2127" s="4">
        <v>2123</v>
      </c>
      <c r="B2127" s="4">
        <v>62727</v>
      </c>
      <c r="C2127" s="4">
        <v>1</v>
      </c>
      <c r="D2127" s="6">
        <v>0</v>
      </c>
      <c r="E2127" s="6">
        <v>-176</v>
      </c>
      <c r="F2127" s="6">
        <v>-0.37</v>
      </c>
      <c r="G2127" s="6">
        <v>0.05</v>
      </c>
      <c r="H2127" s="6">
        <v>33</v>
      </c>
    </row>
    <row r="2128" spans="1:8" ht="18.95" customHeight="1">
      <c r="A2128" s="4">
        <v>2124</v>
      </c>
      <c r="B2128" s="4">
        <v>62747</v>
      </c>
      <c r="C2128" s="4">
        <v>1</v>
      </c>
      <c r="D2128" s="6">
        <v>0</v>
      </c>
      <c r="E2128" s="6">
        <v>-175.56</v>
      </c>
      <c r="F2128" s="6">
        <v>-0.39</v>
      </c>
      <c r="G2128" s="6">
        <v>0.06</v>
      </c>
      <c r="H2128" s="6">
        <v>33</v>
      </c>
    </row>
    <row r="2129" spans="1:8" ht="18.95" customHeight="1">
      <c r="A2129" s="4">
        <v>2125</v>
      </c>
      <c r="B2129" s="4">
        <v>62767</v>
      </c>
      <c r="C2129" s="4">
        <v>1</v>
      </c>
      <c r="D2129" s="6">
        <v>0</v>
      </c>
      <c r="E2129" s="6">
        <v>-175.13</v>
      </c>
      <c r="F2129" s="6">
        <v>-0.43</v>
      </c>
      <c r="G2129" s="6">
        <v>0.14000000000000001</v>
      </c>
      <c r="H2129" s="6">
        <v>29</v>
      </c>
    </row>
    <row r="2130" spans="1:8" ht="18.95" customHeight="1">
      <c r="A2130" s="4">
        <v>2126</v>
      </c>
      <c r="B2130" s="4">
        <v>62787</v>
      </c>
      <c r="C2130" s="4">
        <v>1</v>
      </c>
      <c r="D2130" s="6">
        <v>0</v>
      </c>
      <c r="E2130" s="6">
        <v>-174.63</v>
      </c>
      <c r="F2130" s="6">
        <v>-0.46</v>
      </c>
      <c r="G2130" s="6">
        <v>-0.03</v>
      </c>
      <c r="H2130" s="6">
        <v>29</v>
      </c>
    </row>
    <row r="2131" spans="1:8" ht="18.95" customHeight="1">
      <c r="A2131" s="4">
        <v>2127</v>
      </c>
      <c r="B2131" s="4">
        <v>62808</v>
      </c>
      <c r="C2131" s="4">
        <v>1</v>
      </c>
      <c r="D2131" s="6">
        <v>0</v>
      </c>
      <c r="E2131" s="6">
        <v>-124.31</v>
      </c>
      <c r="F2131" s="6">
        <v>-0.45</v>
      </c>
      <c r="G2131" s="6">
        <v>7.0000000000000007E-2</v>
      </c>
      <c r="H2131" s="6">
        <v>23</v>
      </c>
    </row>
    <row r="2132" spans="1:8" ht="18.95" customHeight="1">
      <c r="A2132" s="4">
        <v>2128</v>
      </c>
      <c r="B2132" s="4">
        <v>62828</v>
      </c>
      <c r="C2132" s="4">
        <v>1</v>
      </c>
      <c r="D2132" s="6">
        <v>0</v>
      </c>
      <c r="E2132" s="6">
        <v>-122.12</v>
      </c>
      <c r="F2132" s="6">
        <v>-0.46</v>
      </c>
      <c r="G2132" s="6">
        <v>-0.09</v>
      </c>
      <c r="H2132" s="6">
        <v>23</v>
      </c>
    </row>
    <row r="2133" spans="1:8" ht="18.95" customHeight="1">
      <c r="A2133" s="4">
        <v>2129</v>
      </c>
      <c r="B2133" s="4">
        <v>62848</v>
      </c>
      <c r="C2133" s="4">
        <v>1</v>
      </c>
      <c r="D2133" s="6">
        <v>0</v>
      </c>
      <c r="E2133" s="6">
        <v>-120.12</v>
      </c>
      <c r="F2133" s="6">
        <v>-0.47</v>
      </c>
      <c r="G2133" s="6">
        <v>-0.12</v>
      </c>
      <c r="H2133" s="6">
        <v>23</v>
      </c>
    </row>
    <row r="2134" spans="1:8" ht="18.95" customHeight="1">
      <c r="A2134" s="4">
        <v>2130</v>
      </c>
      <c r="B2134" s="4">
        <v>62868</v>
      </c>
      <c r="C2134" s="4">
        <v>1</v>
      </c>
      <c r="D2134" s="6">
        <v>0</v>
      </c>
      <c r="E2134" s="6">
        <v>-118.25</v>
      </c>
      <c r="F2134" s="6">
        <v>-0.5</v>
      </c>
      <c r="G2134" s="6">
        <v>0.22</v>
      </c>
      <c r="H2134" s="6">
        <v>23</v>
      </c>
    </row>
    <row r="2135" spans="1:8" ht="18.95" customHeight="1">
      <c r="A2135" s="4">
        <v>2131</v>
      </c>
      <c r="B2135" s="4">
        <v>62888</v>
      </c>
      <c r="C2135" s="4">
        <v>1</v>
      </c>
      <c r="D2135" s="6">
        <v>0</v>
      </c>
      <c r="E2135" s="6">
        <v>-116.56</v>
      </c>
      <c r="F2135" s="6">
        <v>-0.48</v>
      </c>
      <c r="G2135" s="6">
        <v>-0.04</v>
      </c>
      <c r="H2135" s="6">
        <v>23</v>
      </c>
    </row>
    <row r="2136" spans="1:8" ht="18.95" customHeight="1">
      <c r="A2136" s="4">
        <v>2132</v>
      </c>
      <c r="B2136" s="4">
        <v>62908</v>
      </c>
      <c r="C2136" s="4">
        <v>1</v>
      </c>
      <c r="D2136" s="6">
        <v>0</v>
      </c>
      <c r="E2136" s="6">
        <v>-115.12</v>
      </c>
      <c r="F2136" s="6">
        <v>-0.47</v>
      </c>
      <c r="G2136" s="6">
        <v>0.13</v>
      </c>
      <c r="H2136" s="6">
        <v>22</v>
      </c>
    </row>
    <row r="2137" spans="1:8" ht="18.95" customHeight="1">
      <c r="A2137" s="4">
        <v>2133</v>
      </c>
      <c r="B2137" s="4">
        <v>62928</v>
      </c>
      <c r="C2137" s="4">
        <v>1</v>
      </c>
      <c r="D2137" s="6">
        <v>0</v>
      </c>
      <c r="E2137" s="6">
        <v>-113.81</v>
      </c>
      <c r="F2137" s="6">
        <v>-0.49</v>
      </c>
      <c r="G2137" s="6">
        <v>0.12</v>
      </c>
      <c r="H2137" s="6">
        <v>22</v>
      </c>
    </row>
    <row r="2138" spans="1:8" ht="18.95" customHeight="1">
      <c r="A2138" s="4">
        <v>2134</v>
      </c>
      <c r="B2138" s="4">
        <v>62948</v>
      </c>
      <c r="C2138" s="4">
        <v>1</v>
      </c>
      <c r="D2138" s="6">
        <v>0</v>
      </c>
      <c r="E2138" s="6">
        <v>-112.56</v>
      </c>
      <c r="F2138" s="6">
        <v>-0.5</v>
      </c>
      <c r="G2138" s="6">
        <v>0.11</v>
      </c>
      <c r="H2138" s="6">
        <v>22</v>
      </c>
    </row>
    <row r="2139" spans="1:8" ht="18.95" customHeight="1">
      <c r="A2139" s="4">
        <v>2135</v>
      </c>
      <c r="B2139" s="4">
        <v>62968</v>
      </c>
      <c r="C2139" s="4">
        <v>1</v>
      </c>
      <c r="D2139" s="6">
        <v>0</v>
      </c>
      <c r="E2139" s="6">
        <v>-111.44</v>
      </c>
      <c r="F2139" s="6">
        <v>-0.53</v>
      </c>
      <c r="G2139" s="6">
        <v>0.05</v>
      </c>
      <c r="H2139" s="6">
        <v>20</v>
      </c>
    </row>
    <row r="2140" spans="1:8" ht="18.95" customHeight="1">
      <c r="A2140" s="4">
        <v>2136</v>
      </c>
      <c r="B2140" s="4">
        <v>62988</v>
      </c>
      <c r="C2140" s="4">
        <v>1</v>
      </c>
      <c r="D2140" s="6">
        <v>0</v>
      </c>
      <c r="E2140" s="6">
        <v>-110.31</v>
      </c>
      <c r="F2140" s="6">
        <v>-0.54</v>
      </c>
      <c r="G2140" s="6">
        <v>0.14000000000000001</v>
      </c>
      <c r="H2140" s="6">
        <v>20</v>
      </c>
    </row>
    <row r="2141" spans="1:8" ht="18.95" customHeight="1">
      <c r="A2141" s="4">
        <v>2137</v>
      </c>
      <c r="B2141" s="4">
        <v>63008</v>
      </c>
      <c r="C2141" s="4">
        <v>1</v>
      </c>
      <c r="D2141" s="6">
        <v>0</v>
      </c>
      <c r="E2141" s="6">
        <v>-109.37</v>
      </c>
      <c r="F2141" s="6">
        <v>-0.53</v>
      </c>
      <c r="G2141" s="6">
        <v>0.27</v>
      </c>
      <c r="H2141" s="6">
        <v>18</v>
      </c>
    </row>
    <row r="2142" spans="1:8" ht="18.95" customHeight="1">
      <c r="A2142" s="4">
        <v>2138</v>
      </c>
      <c r="B2142" s="4">
        <v>63028</v>
      </c>
      <c r="C2142" s="4">
        <v>1</v>
      </c>
      <c r="D2142" s="6">
        <v>0</v>
      </c>
      <c r="E2142" s="6">
        <v>-108.37</v>
      </c>
      <c r="F2142" s="6">
        <v>-0.56999999999999995</v>
      </c>
      <c r="G2142" s="6">
        <v>0.18</v>
      </c>
      <c r="H2142" s="6">
        <v>18</v>
      </c>
    </row>
    <row r="2143" spans="1:8" ht="18.95" customHeight="1">
      <c r="A2143" s="4">
        <v>2139</v>
      </c>
      <c r="B2143" s="4">
        <v>63048</v>
      </c>
      <c r="C2143" s="4">
        <v>1</v>
      </c>
      <c r="D2143" s="6">
        <v>0</v>
      </c>
      <c r="E2143" s="6">
        <v>-107.5</v>
      </c>
      <c r="F2143" s="6">
        <v>-0.57999999999999996</v>
      </c>
      <c r="G2143" s="6">
        <v>0.04</v>
      </c>
      <c r="H2143" s="6">
        <v>18</v>
      </c>
    </row>
    <row r="2144" spans="1:8" ht="18.95" customHeight="1">
      <c r="A2144" s="4">
        <v>2140</v>
      </c>
      <c r="B2144" s="4">
        <v>63068</v>
      </c>
      <c r="C2144" s="4">
        <v>1</v>
      </c>
      <c r="D2144" s="6">
        <v>0</v>
      </c>
      <c r="E2144" s="6">
        <v>-106.69</v>
      </c>
      <c r="F2144" s="6">
        <v>-0.56999999999999995</v>
      </c>
      <c r="G2144" s="6">
        <v>0.13</v>
      </c>
      <c r="H2144" s="6">
        <v>18</v>
      </c>
    </row>
    <row r="2145" spans="1:8" ht="18.95" customHeight="1">
      <c r="A2145" s="4">
        <v>2141</v>
      </c>
      <c r="B2145" s="4">
        <v>63088</v>
      </c>
      <c r="C2145" s="4">
        <v>1</v>
      </c>
      <c r="D2145" s="6">
        <v>0</v>
      </c>
      <c r="E2145" s="6">
        <v>-106</v>
      </c>
      <c r="F2145" s="6">
        <v>-0.56000000000000005</v>
      </c>
      <c r="G2145" s="6">
        <v>-0.09</v>
      </c>
      <c r="H2145" s="6">
        <v>18</v>
      </c>
    </row>
    <row r="2146" spans="1:8" ht="18.95" customHeight="1">
      <c r="A2146" s="4">
        <v>2142</v>
      </c>
      <c r="B2146" s="4">
        <v>63108</v>
      </c>
      <c r="C2146" s="4">
        <v>1</v>
      </c>
      <c r="D2146" s="6">
        <v>0</v>
      </c>
      <c r="E2146" s="6">
        <v>-105.31</v>
      </c>
      <c r="F2146" s="6">
        <v>-0.55000000000000004</v>
      </c>
      <c r="G2146" s="6">
        <v>0.39</v>
      </c>
      <c r="H2146" s="6">
        <v>16</v>
      </c>
    </row>
    <row r="2147" spans="1:8" ht="18.95" customHeight="1">
      <c r="A2147" s="4">
        <v>2143</v>
      </c>
      <c r="B2147" s="4">
        <v>63128</v>
      </c>
      <c r="C2147" s="4">
        <v>1</v>
      </c>
      <c r="D2147" s="6">
        <v>0</v>
      </c>
      <c r="E2147" s="6">
        <v>-104.69</v>
      </c>
      <c r="F2147" s="6">
        <v>-0.56999999999999995</v>
      </c>
      <c r="G2147" s="6">
        <v>0.17</v>
      </c>
      <c r="H2147" s="6">
        <v>16</v>
      </c>
    </row>
    <row r="2148" spans="1:8" ht="18.95" customHeight="1">
      <c r="A2148" s="4">
        <v>2144</v>
      </c>
      <c r="B2148" s="4">
        <v>63148</v>
      </c>
      <c r="C2148" s="4">
        <v>1</v>
      </c>
      <c r="D2148" s="6">
        <v>0</v>
      </c>
      <c r="E2148" s="6">
        <v>-104.12</v>
      </c>
      <c r="F2148" s="6">
        <v>-0.55000000000000004</v>
      </c>
      <c r="G2148" s="6">
        <v>0.06</v>
      </c>
      <c r="H2148" s="6">
        <v>16</v>
      </c>
    </row>
    <row r="2149" spans="1:8" ht="18.95" customHeight="1">
      <c r="A2149" s="4">
        <v>2145</v>
      </c>
      <c r="B2149" s="4">
        <v>63168</v>
      </c>
      <c r="C2149" s="4">
        <v>1</v>
      </c>
      <c r="D2149" s="6">
        <v>0</v>
      </c>
      <c r="E2149" s="6">
        <v>-103.62</v>
      </c>
      <c r="F2149" s="6">
        <v>-0.53</v>
      </c>
      <c r="G2149" s="6">
        <v>0.01</v>
      </c>
      <c r="H2149" s="6">
        <v>18</v>
      </c>
    </row>
    <row r="2150" spans="1:8" ht="18.95" customHeight="1">
      <c r="A2150" s="4">
        <v>2146</v>
      </c>
      <c r="B2150" s="4">
        <v>63188</v>
      </c>
      <c r="C2150" s="4">
        <v>1</v>
      </c>
      <c r="D2150" s="6">
        <v>0</v>
      </c>
      <c r="E2150" s="6">
        <v>-103.19</v>
      </c>
      <c r="F2150" s="6">
        <v>-0.52</v>
      </c>
      <c r="G2150" s="6">
        <v>0.1</v>
      </c>
      <c r="H2150" s="6">
        <v>18</v>
      </c>
    </row>
    <row r="2151" spans="1:8" ht="18.95" customHeight="1">
      <c r="A2151" s="4">
        <v>2147</v>
      </c>
      <c r="B2151" s="4">
        <v>63208</v>
      </c>
      <c r="C2151" s="4">
        <v>1</v>
      </c>
      <c r="D2151" s="6">
        <v>0</v>
      </c>
      <c r="E2151" s="6">
        <v>-102.75</v>
      </c>
      <c r="F2151" s="6">
        <v>-0.54</v>
      </c>
      <c r="G2151" s="6">
        <v>7.0000000000000007E-2</v>
      </c>
      <c r="H2151" s="6">
        <v>19</v>
      </c>
    </row>
    <row r="2152" spans="1:8" ht="18.95" customHeight="1">
      <c r="A2152" s="4">
        <v>2148</v>
      </c>
      <c r="B2152" s="4">
        <v>63228</v>
      </c>
      <c r="C2152" s="4">
        <v>1</v>
      </c>
      <c r="D2152" s="6">
        <v>0</v>
      </c>
      <c r="E2152" s="6">
        <v>-102.37</v>
      </c>
      <c r="F2152" s="6">
        <v>-0.56000000000000005</v>
      </c>
      <c r="G2152" s="6">
        <v>-0.04</v>
      </c>
      <c r="H2152" s="6">
        <v>19</v>
      </c>
    </row>
    <row r="2153" spans="1:8" ht="18.95" customHeight="1">
      <c r="A2153" s="4">
        <v>2149</v>
      </c>
      <c r="B2153" s="4">
        <v>63248</v>
      </c>
      <c r="C2153" s="4">
        <v>1</v>
      </c>
      <c r="D2153" s="6">
        <v>0</v>
      </c>
      <c r="E2153" s="6">
        <v>-102.06</v>
      </c>
      <c r="F2153" s="6">
        <v>-0.52</v>
      </c>
      <c r="G2153" s="6">
        <v>7.0000000000000007E-2</v>
      </c>
      <c r="H2153" s="6">
        <v>19</v>
      </c>
    </row>
    <row r="2154" spans="1:8" ht="18.95" customHeight="1">
      <c r="A2154" s="4">
        <v>2150</v>
      </c>
      <c r="B2154" s="4">
        <v>63268</v>
      </c>
      <c r="C2154" s="4">
        <v>1</v>
      </c>
      <c r="D2154" s="6">
        <v>0</v>
      </c>
      <c r="E2154" s="6">
        <v>-101.75</v>
      </c>
      <c r="F2154" s="6">
        <v>-0.52</v>
      </c>
      <c r="G2154" s="6">
        <v>-0.02</v>
      </c>
      <c r="H2154" s="6">
        <v>18</v>
      </c>
    </row>
    <row r="2155" spans="1:8" ht="18.95" customHeight="1">
      <c r="A2155" s="4">
        <v>2151</v>
      </c>
      <c r="B2155" s="4">
        <v>63288</v>
      </c>
      <c r="C2155" s="4">
        <v>1</v>
      </c>
      <c r="D2155" s="6">
        <v>0</v>
      </c>
      <c r="E2155" s="6">
        <v>-101.44</v>
      </c>
      <c r="F2155" s="6">
        <v>-0.51</v>
      </c>
      <c r="G2155" s="6">
        <v>0.08</v>
      </c>
      <c r="H2155" s="6">
        <v>18</v>
      </c>
    </row>
    <row r="2156" spans="1:8" ht="18.95" customHeight="1">
      <c r="A2156" s="4">
        <v>2152</v>
      </c>
      <c r="B2156" s="4">
        <v>63308</v>
      </c>
      <c r="C2156" s="4">
        <v>1</v>
      </c>
      <c r="D2156" s="6">
        <v>0</v>
      </c>
      <c r="E2156" s="6">
        <v>-101.12</v>
      </c>
      <c r="F2156" s="6">
        <v>-0.52</v>
      </c>
      <c r="G2156" s="6">
        <v>7.0000000000000007E-2</v>
      </c>
      <c r="H2156" s="6">
        <v>21</v>
      </c>
    </row>
    <row r="2157" spans="1:8" ht="18.95" customHeight="1">
      <c r="A2157" s="4">
        <v>2153</v>
      </c>
      <c r="B2157" s="4">
        <v>63328</v>
      </c>
      <c r="C2157" s="4">
        <v>1</v>
      </c>
      <c r="D2157" s="6">
        <v>0</v>
      </c>
      <c r="E2157" s="6">
        <v>-100.81</v>
      </c>
      <c r="F2157" s="6">
        <v>-0.49</v>
      </c>
      <c r="G2157" s="6">
        <v>0.1</v>
      </c>
      <c r="H2157" s="6">
        <v>21</v>
      </c>
    </row>
    <row r="2158" spans="1:8" ht="18.95" customHeight="1">
      <c r="A2158" s="4">
        <v>2154</v>
      </c>
      <c r="B2158" s="4">
        <v>63348</v>
      </c>
      <c r="C2158" s="4">
        <v>1</v>
      </c>
      <c r="D2158" s="6">
        <v>0</v>
      </c>
      <c r="E2158" s="6">
        <v>-100.56</v>
      </c>
      <c r="F2158" s="6">
        <v>-0.48</v>
      </c>
      <c r="G2158" s="6">
        <v>0.1</v>
      </c>
      <c r="H2158" s="6">
        <v>21</v>
      </c>
    </row>
    <row r="2159" spans="1:8" ht="18.95" customHeight="1">
      <c r="A2159" s="4">
        <v>2155</v>
      </c>
      <c r="B2159" s="4">
        <v>63368</v>
      </c>
      <c r="C2159" s="4">
        <v>1</v>
      </c>
      <c r="D2159" s="6">
        <v>0</v>
      </c>
      <c r="E2159" s="6">
        <v>-100.25</v>
      </c>
      <c r="F2159" s="6">
        <v>-0.48</v>
      </c>
      <c r="G2159" s="6">
        <v>0.06</v>
      </c>
      <c r="H2159" s="6">
        <v>23</v>
      </c>
    </row>
    <row r="2160" spans="1:8" ht="18.95" customHeight="1">
      <c r="A2160" s="4">
        <v>2156</v>
      </c>
      <c r="B2160" s="4">
        <v>63388</v>
      </c>
      <c r="C2160" s="4">
        <v>1</v>
      </c>
      <c r="D2160" s="6">
        <v>0</v>
      </c>
      <c r="E2160" s="6">
        <v>-100.06</v>
      </c>
      <c r="F2160" s="6">
        <v>-0.47</v>
      </c>
      <c r="G2160" s="6">
        <v>-0.02</v>
      </c>
      <c r="H2160" s="6">
        <v>23</v>
      </c>
    </row>
    <row r="2161" spans="1:8" ht="18.95" customHeight="1">
      <c r="A2161" s="4">
        <v>2157</v>
      </c>
      <c r="B2161" s="4">
        <v>63408</v>
      </c>
      <c r="C2161" s="4">
        <v>1</v>
      </c>
      <c r="D2161" s="6">
        <v>0</v>
      </c>
      <c r="E2161" s="6">
        <v>-99.81</v>
      </c>
      <c r="F2161" s="6">
        <v>-0.44</v>
      </c>
      <c r="G2161" s="6">
        <v>7.0000000000000007E-2</v>
      </c>
      <c r="H2161" s="6">
        <v>27</v>
      </c>
    </row>
    <row r="2162" spans="1:8" ht="18.95" customHeight="1">
      <c r="A2162" s="4">
        <v>2158</v>
      </c>
      <c r="B2162" s="4">
        <v>63428</v>
      </c>
      <c r="C2162" s="4">
        <v>1</v>
      </c>
      <c r="D2162" s="6">
        <v>0</v>
      </c>
      <c r="E2162" s="6">
        <v>-99.62</v>
      </c>
      <c r="F2162" s="6">
        <v>-0.42</v>
      </c>
      <c r="G2162" s="6">
        <v>-0.03</v>
      </c>
      <c r="H2162" s="6">
        <v>27</v>
      </c>
    </row>
    <row r="2163" spans="1:8" ht="18.95" customHeight="1">
      <c r="A2163" s="4">
        <v>2159</v>
      </c>
      <c r="B2163" s="4">
        <v>63448</v>
      </c>
      <c r="C2163" s="4">
        <v>1</v>
      </c>
      <c r="D2163" s="6">
        <v>0</v>
      </c>
      <c r="E2163" s="6">
        <v>-99.44</v>
      </c>
      <c r="F2163" s="6">
        <v>-0.4</v>
      </c>
      <c r="G2163" s="6">
        <v>0.06</v>
      </c>
      <c r="H2163" s="6">
        <v>27</v>
      </c>
    </row>
    <row r="2164" spans="1:8" ht="18.95" customHeight="1">
      <c r="A2164" s="4">
        <v>2160</v>
      </c>
      <c r="B2164" s="4">
        <v>63468</v>
      </c>
      <c r="C2164" s="4">
        <v>1</v>
      </c>
      <c r="D2164" s="6">
        <v>0</v>
      </c>
      <c r="E2164" s="6">
        <v>-99.25</v>
      </c>
      <c r="F2164" s="6">
        <v>-0.39</v>
      </c>
      <c r="G2164" s="6">
        <v>0.11</v>
      </c>
      <c r="H2164" s="6">
        <v>30</v>
      </c>
    </row>
    <row r="2165" spans="1:8" ht="18.95" customHeight="1">
      <c r="A2165" s="4">
        <v>2161</v>
      </c>
      <c r="B2165" s="4">
        <v>63488</v>
      </c>
      <c r="C2165" s="4">
        <v>1</v>
      </c>
      <c r="D2165" s="6">
        <v>0</v>
      </c>
      <c r="E2165" s="6">
        <v>-99.12</v>
      </c>
      <c r="F2165" s="6">
        <v>-0.37</v>
      </c>
      <c r="G2165" s="6">
        <v>0.26</v>
      </c>
      <c r="H2165" s="6">
        <v>30</v>
      </c>
    </row>
    <row r="2166" spans="1:8" ht="18.95" customHeight="1">
      <c r="A2166" s="4">
        <v>2162</v>
      </c>
      <c r="B2166" s="4">
        <v>63508</v>
      </c>
      <c r="C2166" s="4">
        <v>1</v>
      </c>
      <c r="D2166" s="6">
        <v>0</v>
      </c>
      <c r="E2166" s="6">
        <v>-99</v>
      </c>
      <c r="F2166" s="6">
        <v>-0.34</v>
      </c>
      <c r="G2166" s="6">
        <v>-0.06</v>
      </c>
      <c r="H2166" s="6">
        <v>34</v>
      </c>
    </row>
    <row r="2167" spans="1:8" ht="18.95" customHeight="1">
      <c r="A2167" s="4">
        <v>2163</v>
      </c>
      <c r="B2167" s="4">
        <v>63528</v>
      </c>
      <c r="C2167" s="4">
        <v>1</v>
      </c>
      <c r="D2167" s="6">
        <v>0</v>
      </c>
      <c r="E2167" s="6">
        <v>-98.87</v>
      </c>
      <c r="F2167" s="6">
        <v>-0.32</v>
      </c>
      <c r="G2167" s="6">
        <v>0.1</v>
      </c>
      <c r="H2167" s="6">
        <v>34</v>
      </c>
    </row>
    <row r="2168" spans="1:8" ht="18.95" customHeight="1">
      <c r="A2168" s="4">
        <v>2164</v>
      </c>
      <c r="B2168" s="4">
        <v>63548</v>
      </c>
      <c r="C2168" s="4">
        <v>1</v>
      </c>
      <c r="D2168" s="6">
        <v>0</v>
      </c>
      <c r="E2168" s="6">
        <v>-98.87</v>
      </c>
      <c r="F2168" s="6">
        <v>-0.31</v>
      </c>
      <c r="G2168" s="6">
        <v>-0.19</v>
      </c>
      <c r="H2168" s="6">
        <v>34</v>
      </c>
    </row>
    <row r="2169" spans="1:8" ht="18.95" customHeight="1">
      <c r="A2169" s="4">
        <v>2165</v>
      </c>
      <c r="B2169" s="4">
        <v>63568</v>
      </c>
      <c r="C2169" s="4">
        <v>1</v>
      </c>
      <c r="D2169" s="6">
        <v>0</v>
      </c>
      <c r="E2169" s="6">
        <v>-98.81</v>
      </c>
      <c r="F2169" s="6">
        <v>-0.28000000000000003</v>
      </c>
      <c r="G2169" s="6">
        <v>0</v>
      </c>
      <c r="H2169" s="6">
        <v>35</v>
      </c>
    </row>
    <row r="2170" spans="1:8" ht="18.95" customHeight="1">
      <c r="A2170" s="4">
        <v>2166</v>
      </c>
      <c r="B2170" s="4">
        <v>63588</v>
      </c>
      <c r="C2170" s="4">
        <v>1</v>
      </c>
      <c r="D2170" s="6">
        <v>0</v>
      </c>
      <c r="E2170" s="6">
        <v>-98.81</v>
      </c>
      <c r="F2170" s="6">
        <v>-0.25</v>
      </c>
      <c r="G2170" s="6">
        <v>0.2</v>
      </c>
      <c r="H2170" s="6">
        <v>35</v>
      </c>
    </row>
    <row r="2171" spans="1:8" ht="18.95" customHeight="1">
      <c r="A2171" s="4">
        <v>2167</v>
      </c>
      <c r="B2171" s="4">
        <v>63608</v>
      </c>
      <c r="C2171" s="4">
        <v>1</v>
      </c>
      <c r="D2171" s="6">
        <v>0</v>
      </c>
      <c r="E2171" s="6">
        <v>-98.81</v>
      </c>
      <c r="F2171" s="6">
        <v>-0.22</v>
      </c>
      <c r="G2171" s="6">
        <v>0.02</v>
      </c>
      <c r="H2171" s="6">
        <v>42</v>
      </c>
    </row>
    <row r="2172" spans="1:8" ht="18.95" customHeight="1">
      <c r="A2172" s="4">
        <v>2168</v>
      </c>
      <c r="B2172" s="4">
        <v>63628</v>
      </c>
      <c r="C2172" s="4">
        <v>1</v>
      </c>
      <c r="D2172" s="6">
        <v>0</v>
      </c>
      <c r="E2172" s="6">
        <v>-98.75</v>
      </c>
      <c r="F2172" s="6">
        <v>-0.2</v>
      </c>
      <c r="G2172" s="6">
        <v>0.04</v>
      </c>
      <c r="H2172" s="6">
        <v>42</v>
      </c>
    </row>
    <row r="2173" spans="1:8" ht="18.95" customHeight="1">
      <c r="A2173" s="4">
        <v>2169</v>
      </c>
      <c r="B2173" s="4">
        <v>63648</v>
      </c>
      <c r="C2173" s="4">
        <v>1</v>
      </c>
      <c r="D2173" s="6">
        <v>0</v>
      </c>
      <c r="E2173" s="6">
        <v>-98.75</v>
      </c>
      <c r="F2173" s="6">
        <v>-0.17</v>
      </c>
      <c r="G2173" s="6">
        <v>0.15</v>
      </c>
      <c r="H2173" s="6">
        <v>42</v>
      </c>
    </row>
    <row r="2174" spans="1:8" ht="18.95" customHeight="1">
      <c r="A2174" s="4">
        <v>2170</v>
      </c>
      <c r="B2174" s="4">
        <v>63668</v>
      </c>
      <c r="C2174" s="4">
        <v>1</v>
      </c>
      <c r="D2174" s="6">
        <v>0</v>
      </c>
      <c r="E2174" s="6">
        <v>-98.75</v>
      </c>
      <c r="F2174" s="6">
        <v>-0.14000000000000001</v>
      </c>
      <c r="G2174" s="6">
        <v>0.12</v>
      </c>
      <c r="H2174" s="6">
        <v>46</v>
      </c>
    </row>
    <row r="2175" spans="1:8" ht="18.95" customHeight="1">
      <c r="A2175" s="4">
        <v>2171</v>
      </c>
      <c r="B2175" s="4">
        <v>63688</v>
      </c>
      <c r="C2175" s="4">
        <v>1</v>
      </c>
      <c r="D2175" s="6">
        <v>0</v>
      </c>
      <c r="E2175" s="6">
        <v>-98.69</v>
      </c>
      <c r="F2175" s="6">
        <v>-0.12</v>
      </c>
      <c r="G2175" s="6">
        <v>0.09</v>
      </c>
      <c r="H2175" s="6">
        <v>46</v>
      </c>
    </row>
    <row r="2176" spans="1:8" ht="18.95" customHeight="1">
      <c r="A2176" s="4">
        <v>2172</v>
      </c>
      <c r="B2176" s="4">
        <v>63708</v>
      </c>
      <c r="C2176" s="4">
        <v>1</v>
      </c>
      <c r="D2176" s="6">
        <v>0</v>
      </c>
      <c r="E2176" s="6">
        <v>-98.75</v>
      </c>
      <c r="F2176" s="6">
        <v>-0.09</v>
      </c>
      <c r="G2176" s="6">
        <v>0</v>
      </c>
      <c r="H2176" s="6">
        <v>51</v>
      </c>
    </row>
    <row r="2177" spans="1:8" ht="18.95" customHeight="1">
      <c r="A2177" s="4">
        <v>2173</v>
      </c>
      <c r="B2177" s="4">
        <v>63728</v>
      </c>
      <c r="C2177" s="4">
        <v>1</v>
      </c>
      <c r="D2177" s="6">
        <v>0</v>
      </c>
      <c r="E2177" s="6">
        <v>-98.75</v>
      </c>
      <c r="F2177" s="6">
        <v>-0.06</v>
      </c>
      <c r="G2177" s="6">
        <v>-0.08</v>
      </c>
      <c r="H2177" s="6">
        <v>51</v>
      </c>
    </row>
    <row r="2178" spans="1:8" ht="18.95" customHeight="1">
      <c r="A2178" s="4">
        <v>2174</v>
      </c>
      <c r="B2178" s="4">
        <v>63748</v>
      </c>
      <c r="C2178" s="4">
        <v>1</v>
      </c>
      <c r="D2178" s="6">
        <v>0</v>
      </c>
      <c r="E2178" s="6">
        <v>-98.75</v>
      </c>
      <c r="F2178" s="6">
        <v>-0.04</v>
      </c>
      <c r="G2178" s="6">
        <v>0</v>
      </c>
      <c r="H2178" s="6">
        <v>51</v>
      </c>
    </row>
    <row r="2179" spans="1:8" ht="18.95" customHeight="1">
      <c r="A2179" s="4">
        <v>2175</v>
      </c>
      <c r="B2179" s="4">
        <v>63768</v>
      </c>
      <c r="C2179" s="4">
        <v>1</v>
      </c>
      <c r="D2179" s="6">
        <v>0</v>
      </c>
      <c r="E2179" s="6">
        <v>-98.75</v>
      </c>
      <c r="F2179" s="6">
        <v>-0.01</v>
      </c>
      <c r="G2179" s="6">
        <v>0.21</v>
      </c>
      <c r="H2179" s="6">
        <v>54</v>
      </c>
    </row>
    <row r="2180" spans="1:8" ht="18.95" customHeight="1">
      <c r="A2180" s="4">
        <v>2176</v>
      </c>
      <c r="B2180" s="4">
        <v>63788</v>
      </c>
      <c r="C2180" s="4">
        <v>1</v>
      </c>
      <c r="D2180" s="6">
        <v>0</v>
      </c>
      <c r="E2180" s="6">
        <v>-98.81</v>
      </c>
      <c r="F2180" s="6">
        <v>0.01</v>
      </c>
      <c r="G2180" s="6">
        <v>0.1</v>
      </c>
      <c r="H2180" s="6">
        <v>54</v>
      </c>
    </row>
    <row r="2181" spans="1:8" ht="18.95" customHeight="1">
      <c r="A2181" s="4">
        <v>2177</v>
      </c>
      <c r="B2181" s="4">
        <v>63808</v>
      </c>
      <c r="C2181" s="4">
        <v>1</v>
      </c>
      <c r="D2181" s="6">
        <v>0</v>
      </c>
      <c r="E2181" s="6">
        <v>-98.81</v>
      </c>
      <c r="F2181" s="6">
        <v>0.03</v>
      </c>
      <c r="G2181" s="6">
        <v>0.05</v>
      </c>
      <c r="H2181" s="6">
        <v>57</v>
      </c>
    </row>
    <row r="2182" spans="1:8" ht="18.95" customHeight="1">
      <c r="A2182" s="4">
        <v>2178</v>
      </c>
      <c r="B2182" s="4">
        <v>63828</v>
      </c>
      <c r="C2182" s="4">
        <v>1</v>
      </c>
      <c r="D2182" s="6">
        <v>0</v>
      </c>
      <c r="E2182" s="6">
        <v>-98.87</v>
      </c>
      <c r="F2182" s="6">
        <v>0.05</v>
      </c>
      <c r="G2182" s="6">
        <v>0</v>
      </c>
      <c r="H2182" s="6">
        <v>57</v>
      </c>
    </row>
    <row r="2183" spans="1:8" ht="18.95" customHeight="1">
      <c r="A2183" s="4">
        <v>2179</v>
      </c>
      <c r="B2183" s="4">
        <v>63848</v>
      </c>
      <c r="C2183" s="4">
        <v>1</v>
      </c>
      <c r="D2183" s="6">
        <v>0</v>
      </c>
      <c r="E2183" s="6">
        <v>-98.94</v>
      </c>
      <c r="F2183" s="6">
        <v>0.08</v>
      </c>
      <c r="G2183" s="6">
        <v>-0.03</v>
      </c>
      <c r="H2183" s="6">
        <v>57</v>
      </c>
    </row>
    <row r="2184" spans="1:8" ht="18.95" customHeight="1">
      <c r="A2184" s="4">
        <v>2180</v>
      </c>
      <c r="B2184" s="4">
        <v>63868</v>
      </c>
      <c r="C2184" s="4">
        <v>1</v>
      </c>
      <c r="D2184" s="6">
        <v>0</v>
      </c>
      <c r="E2184" s="6">
        <v>-98.94</v>
      </c>
      <c r="F2184" s="6">
        <v>0.11</v>
      </c>
      <c r="G2184" s="6">
        <v>0</v>
      </c>
      <c r="H2184" s="6">
        <v>59</v>
      </c>
    </row>
    <row r="2185" spans="1:8" ht="18.95" customHeight="1">
      <c r="A2185" s="4">
        <v>2181</v>
      </c>
      <c r="B2185" s="4">
        <v>63888</v>
      </c>
      <c r="C2185" s="4">
        <v>1</v>
      </c>
      <c r="D2185" s="6">
        <v>0</v>
      </c>
      <c r="E2185" s="6">
        <v>-99</v>
      </c>
      <c r="F2185" s="6">
        <v>0.14000000000000001</v>
      </c>
      <c r="G2185" s="6">
        <v>-0.24</v>
      </c>
      <c r="H2185" s="6">
        <v>59</v>
      </c>
    </row>
    <row r="2186" spans="1:8" ht="18.95" customHeight="1">
      <c r="A2186" s="4">
        <v>2182</v>
      </c>
      <c r="B2186" s="4">
        <v>63908</v>
      </c>
      <c r="C2186" s="4">
        <v>1</v>
      </c>
      <c r="D2186" s="6">
        <v>0</v>
      </c>
      <c r="E2186" s="6">
        <v>-99.06</v>
      </c>
      <c r="F2186" s="6">
        <v>0.16</v>
      </c>
      <c r="G2186" s="6">
        <v>-0.02</v>
      </c>
      <c r="H2186" s="6">
        <v>66</v>
      </c>
    </row>
    <row r="2187" spans="1:8" ht="18.95" customHeight="1">
      <c r="A2187" s="4">
        <v>2183</v>
      </c>
      <c r="B2187" s="4">
        <v>63928</v>
      </c>
      <c r="C2187" s="4">
        <v>1</v>
      </c>
      <c r="D2187" s="6">
        <v>0</v>
      </c>
      <c r="E2187" s="6">
        <v>-99.12</v>
      </c>
      <c r="F2187" s="6">
        <v>0.18</v>
      </c>
      <c r="G2187" s="6">
        <v>0.01</v>
      </c>
      <c r="H2187" s="6">
        <v>66</v>
      </c>
    </row>
    <row r="2188" spans="1:8" ht="18.95" customHeight="1">
      <c r="A2188" s="4">
        <v>2184</v>
      </c>
      <c r="B2188" s="4">
        <v>63948</v>
      </c>
      <c r="C2188" s="4">
        <v>1</v>
      </c>
      <c r="D2188" s="6">
        <v>0</v>
      </c>
      <c r="E2188" s="6">
        <v>-99.19</v>
      </c>
      <c r="F2188" s="6">
        <v>0.2</v>
      </c>
      <c r="G2188" s="6">
        <v>0.02</v>
      </c>
      <c r="H2188" s="6">
        <v>66</v>
      </c>
    </row>
    <row r="2189" spans="1:8" ht="18.95" customHeight="1">
      <c r="A2189" s="4">
        <v>2185</v>
      </c>
      <c r="B2189" s="4">
        <v>63968</v>
      </c>
      <c r="C2189" s="4">
        <v>1</v>
      </c>
      <c r="D2189" s="6">
        <v>0</v>
      </c>
      <c r="E2189" s="6">
        <v>-99.31</v>
      </c>
      <c r="F2189" s="6">
        <v>0.23</v>
      </c>
      <c r="G2189" s="6">
        <v>0.05</v>
      </c>
      <c r="H2189" s="6">
        <v>66</v>
      </c>
    </row>
    <row r="2190" spans="1:8" ht="18.95" customHeight="1">
      <c r="A2190" s="4">
        <v>2186</v>
      </c>
      <c r="B2190" s="4">
        <v>63988</v>
      </c>
      <c r="C2190" s="4">
        <v>1</v>
      </c>
      <c r="D2190" s="6">
        <v>0</v>
      </c>
      <c r="E2190" s="6">
        <v>-99.37</v>
      </c>
      <c r="F2190" s="6">
        <v>0.25</v>
      </c>
      <c r="G2190" s="6">
        <v>-0.05</v>
      </c>
      <c r="H2190" s="6">
        <v>66</v>
      </c>
    </row>
    <row r="2191" spans="1:8" ht="18.95" customHeight="1">
      <c r="A2191" s="4">
        <v>2187</v>
      </c>
      <c r="B2191" s="4">
        <v>64008</v>
      </c>
      <c r="C2191" s="4">
        <v>1</v>
      </c>
      <c r="D2191" s="6">
        <v>0</v>
      </c>
      <c r="E2191" s="6">
        <v>-99.44</v>
      </c>
      <c r="F2191" s="6">
        <v>0.26</v>
      </c>
      <c r="G2191" s="6">
        <v>0.15</v>
      </c>
      <c r="H2191" s="6">
        <v>69</v>
      </c>
    </row>
    <row r="2192" spans="1:8" ht="18.95" customHeight="1">
      <c r="A2192" s="4">
        <v>2188</v>
      </c>
      <c r="B2192" s="4">
        <v>64028</v>
      </c>
      <c r="C2192" s="4">
        <v>1</v>
      </c>
      <c r="D2192" s="6">
        <v>0</v>
      </c>
      <c r="E2192" s="6">
        <v>-99.56</v>
      </c>
      <c r="F2192" s="6">
        <v>0.28000000000000003</v>
      </c>
      <c r="G2192" s="6">
        <v>0.02</v>
      </c>
      <c r="H2192" s="6">
        <v>69</v>
      </c>
    </row>
    <row r="2193" spans="1:8" ht="18.95" customHeight="1">
      <c r="A2193" s="4">
        <v>2189</v>
      </c>
      <c r="B2193" s="4">
        <v>64048</v>
      </c>
      <c r="C2193" s="4">
        <v>1</v>
      </c>
      <c r="D2193" s="6">
        <v>0</v>
      </c>
      <c r="E2193" s="6">
        <v>-99.69</v>
      </c>
      <c r="F2193" s="6">
        <v>0.3</v>
      </c>
      <c r="G2193" s="6">
        <v>0.08</v>
      </c>
      <c r="H2193" s="6">
        <v>69</v>
      </c>
    </row>
    <row r="2194" spans="1:8" ht="18.95" customHeight="1">
      <c r="A2194" s="4">
        <v>2190</v>
      </c>
      <c r="B2194" s="4">
        <v>64068</v>
      </c>
      <c r="C2194" s="4">
        <v>1</v>
      </c>
      <c r="D2194" s="6">
        <v>0</v>
      </c>
      <c r="E2194" s="6">
        <v>-99.81</v>
      </c>
      <c r="F2194" s="6">
        <v>0.32</v>
      </c>
      <c r="G2194" s="6">
        <v>7.0000000000000007E-2</v>
      </c>
      <c r="H2194" s="6">
        <v>73</v>
      </c>
    </row>
    <row r="2195" spans="1:8" ht="18.95" customHeight="1">
      <c r="A2195" s="4">
        <v>2191</v>
      </c>
      <c r="B2195" s="4">
        <v>64088</v>
      </c>
      <c r="C2195" s="4">
        <v>1</v>
      </c>
      <c r="D2195" s="6">
        <v>0</v>
      </c>
      <c r="E2195" s="6">
        <v>-99.94</v>
      </c>
      <c r="F2195" s="6">
        <v>0.33</v>
      </c>
      <c r="G2195" s="6">
        <v>0.23</v>
      </c>
      <c r="H2195" s="6">
        <v>73</v>
      </c>
    </row>
    <row r="2196" spans="1:8" ht="18.95" customHeight="1">
      <c r="A2196" s="4">
        <v>2192</v>
      </c>
      <c r="B2196" s="4">
        <v>64108</v>
      </c>
      <c r="C2196" s="4">
        <v>1</v>
      </c>
      <c r="D2196" s="6">
        <v>0</v>
      </c>
      <c r="E2196" s="6">
        <v>-100.12</v>
      </c>
      <c r="F2196" s="6">
        <v>0.35</v>
      </c>
      <c r="G2196" s="6">
        <v>0.16</v>
      </c>
      <c r="H2196" s="6">
        <v>75</v>
      </c>
    </row>
    <row r="2197" spans="1:8" ht="18.95" customHeight="1">
      <c r="A2197" s="4">
        <v>2193</v>
      </c>
      <c r="B2197" s="4">
        <v>64128</v>
      </c>
      <c r="C2197" s="4">
        <v>1</v>
      </c>
      <c r="D2197" s="6">
        <v>0</v>
      </c>
      <c r="E2197" s="6">
        <v>-100.31</v>
      </c>
      <c r="F2197" s="6">
        <v>0.37</v>
      </c>
      <c r="G2197" s="6">
        <v>0.03</v>
      </c>
      <c r="H2197" s="6">
        <v>75</v>
      </c>
    </row>
    <row r="2198" spans="1:8" ht="18.95" customHeight="1">
      <c r="A2198" s="4">
        <v>2194</v>
      </c>
      <c r="B2198" s="4">
        <v>64148</v>
      </c>
      <c r="C2198" s="4">
        <v>1</v>
      </c>
      <c r="D2198" s="6">
        <v>0</v>
      </c>
      <c r="E2198" s="6">
        <v>-100.5</v>
      </c>
      <c r="F2198" s="6">
        <v>0.41</v>
      </c>
      <c r="G2198" s="6">
        <v>-0.01</v>
      </c>
      <c r="H2198" s="6">
        <v>75</v>
      </c>
    </row>
    <row r="2199" spans="1:8" ht="18.95" customHeight="1">
      <c r="A2199" s="4">
        <v>2195</v>
      </c>
      <c r="B2199" s="4">
        <v>64168</v>
      </c>
      <c r="C2199" s="4">
        <v>1</v>
      </c>
      <c r="D2199" s="6">
        <v>0</v>
      </c>
      <c r="E2199" s="6">
        <v>-100.69</v>
      </c>
      <c r="F2199" s="6">
        <v>0.41</v>
      </c>
      <c r="G2199" s="6">
        <v>-7.0000000000000007E-2</v>
      </c>
      <c r="H2199" s="6">
        <v>76</v>
      </c>
    </row>
    <row r="2200" spans="1:8" ht="18.95" customHeight="1">
      <c r="A2200" s="4">
        <v>2196</v>
      </c>
      <c r="B2200" s="4">
        <v>64188</v>
      </c>
      <c r="C2200" s="4">
        <v>1</v>
      </c>
      <c r="D2200" s="6">
        <v>0</v>
      </c>
      <c r="E2200" s="6">
        <v>-100.94</v>
      </c>
      <c r="F2200" s="6">
        <v>0.41</v>
      </c>
      <c r="G2200" s="6">
        <v>0.02</v>
      </c>
      <c r="H2200" s="6">
        <v>76</v>
      </c>
    </row>
    <row r="2201" spans="1:8" ht="18.95" customHeight="1">
      <c r="A2201" s="4">
        <v>2197</v>
      </c>
      <c r="B2201" s="4">
        <v>64208</v>
      </c>
      <c r="C2201" s="4">
        <v>1</v>
      </c>
      <c r="D2201" s="6">
        <v>0</v>
      </c>
      <c r="E2201" s="6">
        <v>-101.12</v>
      </c>
      <c r="F2201" s="6">
        <v>0.41</v>
      </c>
      <c r="G2201" s="6">
        <v>-0.03</v>
      </c>
      <c r="H2201" s="6">
        <v>78</v>
      </c>
    </row>
    <row r="2202" spans="1:8" ht="18.95" customHeight="1">
      <c r="A2202" s="4">
        <v>2198</v>
      </c>
      <c r="B2202" s="4">
        <v>64228</v>
      </c>
      <c r="C2202" s="4">
        <v>1</v>
      </c>
      <c r="D2202" s="6">
        <v>0</v>
      </c>
      <c r="E2202" s="6">
        <v>-101.37</v>
      </c>
      <c r="F2202" s="6">
        <v>0.42</v>
      </c>
      <c r="G2202" s="6">
        <v>0.05</v>
      </c>
      <c r="H2202" s="6">
        <v>78</v>
      </c>
    </row>
    <row r="2203" spans="1:8" ht="18.95" customHeight="1">
      <c r="A2203" s="4">
        <v>2199</v>
      </c>
      <c r="B2203" s="4">
        <v>64248</v>
      </c>
      <c r="C2203" s="4">
        <v>1</v>
      </c>
      <c r="D2203" s="6">
        <v>0</v>
      </c>
      <c r="E2203" s="6">
        <v>-101.62</v>
      </c>
      <c r="F2203" s="6">
        <v>0.42</v>
      </c>
      <c r="G2203" s="6">
        <v>0.19</v>
      </c>
      <c r="H2203" s="6">
        <v>78</v>
      </c>
    </row>
    <row r="2204" spans="1:8" ht="18.95" customHeight="1">
      <c r="A2204" s="4">
        <v>2200</v>
      </c>
      <c r="B2204" s="4">
        <v>64268</v>
      </c>
      <c r="C2204" s="4">
        <v>1</v>
      </c>
      <c r="D2204" s="6">
        <v>0</v>
      </c>
      <c r="E2204" s="6">
        <v>-101.94</v>
      </c>
      <c r="F2204" s="6">
        <v>0.4</v>
      </c>
      <c r="G2204" s="6">
        <v>0.08</v>
      </c>
      <c r="H2204" s="6">
        <v>81</v>
      </c>
    </row>
    <row r="2205" spans="1:8" ht="18.95" customHeight="1">
      <c r="A2205" s="4">
        <v>2201</v>
      </c>
      <c r="B2205" s="4">
        <v>64288</v>
      </c>
      <c r="C2205" s="4">
        <v>1</v>
      </c>
      <c r="D2205" s="6">
        <v>0</v>
      </c>
      <c r="E2205" s="6">
        <v>-102.19</v>
      </c>
      <c r="F2205" s="6">
        <v>0.37</v>
      </c>
      <c r="G2205" s="6">
        <v>0</v>
      </c>
      <c r="H2205" s="6">
        <v>81</v>
      </c>
    </row>
    <row r="2206" spans="1:8" ht="18.95" customHeight="1">
      <c r="A2206" s="4">
        <v>2202</v>
      </c>
      <c r="B2206" s="4">
        <v>64309</v>
      </c>
      <c r="C2206" s="4">
        <v>1</v>
      </c>
      <c r="D2206" s="6">
        <v>0</v>
      </c>
      <c r="E2206" s="6">
        <v>-102.44</v>
      </c>
      <c r="F2206" s="6">
        <v>0.39</v>
      </c>
      <c r="G2206" s="6">
        <v>0.06</v>
      </c>
      <c r="H2206" s="6">
        <v>80</v>
      </c>
    </row>
    <row r="2207" spans="1:8" ht="18.95" customHeight="1">
      <c r="A2207" s="4">
        <v>2203</v>
      </c>
      <c r="B2207" s="4">
        <v>64329</v>
      </c>
      <c r="C2207" s="4">
        <v>1</v>
      </c>
      <c r="D2207" s="6">
        <v>0</v>
      </c>
      <c r="E2207" s="6">
        <v>-102.75</v>
      </c>
      <c r="F2207" s="6">
        <v>0.4</v>
      </c>
      <c r="G2207" s="6">
        <v>-0.09</v>
      </c>
      <c r="H2207" s="6">
        <v>80</v>
      </c>
    </row>
    <row r="2208" spans="1:8" ht="18.95" customHeight="1">
      <c r="A2208" s="4">
        <v>2204</v>
      </c>
      <c r="B2208" s="4">
        <v>64349</v>
      </c>
      <c r="C2208" s="4">
        <v>1</v>
      </c>
      <c r="D2208" s="6">
        <v>0</v>
      </c>
      <c r="E2208" s="6">
        <v>-103.06</v>
      </c>
      <c r="F2208" s="6">
        <v>0.47</v>
      </c>
      <c r="G2208" s="6">
        <v>0.01</v>
      </c>
      <c r="H2208" s="6">
        <v>80</v>
      </c>
    </row>
    <row r="2209" spans="1:8" ht="18.95" customHeight="1">
      <c r="A2209" s="4">
        <v>2205</v>
      </c>
      <c r="B2209" s="4">
        <v>64369</v>
      </c>
      <c r="C2209" s="4">
        <v>1</v>
      </c>
      <c r="D2209" s="6">
        <v>0</v>
      </c>
      <c r="E2209" s="6">
        <v>-103.44</v>
      </c>
      <c r="F2209" s="6">
        <v>0.47</v>
      </c>
      <c r="G2209" s="6">
        <v>-0.2</v>
      </c>
      <c r="H2209" s="6">
        <v>82</v>
      </c>
    </row>
    <row r="2210" spans="1:8" ht="18.95" customHeight="1">
      <c r="A2210" s="4">
        <v>2206</v>
      </c>
      <c r="B2210" s="4">
        <v>64389</v>
      </c>
      <c r="C2210" s="4">
        <v>1</v>
      </c>
      <c r="D2210" s="6">
        <v>0</v>
      </c>
      <c r="E2210" s="6">
        <v>-103.87</v>
      </c>
      <c r="F2210" s="6">
        <v>0.48</v>
      </c>
      <c r="G2210" s="6">
        <v>0.24</v>
      </c>
      <c r="H2210" s="6">
        <v>82</v>
      </c>
    </row>
    <row r="2211" spans="1:8" ht="18.95" customHeight="1">
      <c r="A2211" s="4">
        <v>2207</v>
      </c>
      <c r="B2211" s="4">
        <v>64409</v>
      </c>
      <c r="C2211" s="4">
        <v>1</v>
      </c>
      <c r="D2211" s="6">
        <v>0</v>
      </c>
      <c r="E2211" s="6">
        <v>-104.25</v>
      </c>
      <c r="F2211" s="6">
        <v>0.47</v>
      </c>
      <c r="G2211" s="6">
        <v>0.01</v>
      </c>
      <c r="H2211" s="6">
        <v>81</v>
      </c>
    </row>
    <row r="2212" spans="1:8" ht="18.95" customHeight="1">
      <c r="A2212" s="4">
        <v>2208</v>
      </c>
      <c r="B2212" s="4">
        <v>64429</v>
      </c>
      <c r="C2212" s="4">
        <v>1</v>
      </c>
      <c r="D2212" s="6">
        <v>0</v>
      </c>
      <c r="E2212" s="6">
        <v>-104.75</v>
      </c>
      <c r="F2212" s="6">
        <v>0.5</v>
      </c>
      <c r="G2212" s="6">
        <v>0.04</v>
      </c>
      <c r="H2212" s="6">
        <v>81</v>
      </c>
    </row>
    <row r="2213" spans="1:8" ht="18.95" customHeight="1">
      <c r="A2213" s="4">
        <v>2209</v>
      </c>
      <c r="B2213" s="4">
        <v>64449</v>
      </c>
      <c r="C2213" s="4">
        <v>1</v>
      </c>
      <c r="D2213" s="6">
        <v>0</v>
      </c>
      <c r="E2213" s="6">
        <v>-105.19</v>
      </c>
      <c r="F2213" s="6">
        <v>0.48</v>
      </c>
      <c r="G2213" s="6">
        <v>-0.17</v>
      </c>
      <c r="H2213" s="6">
        <v>81</v>
      </c>
    </row>
    <row r="2214" spans="1:8" ht="18.95" customHeight="1">
      <c r="A2214" s="4">
        <v>2210</v>
      </c>
      <c r="B2214" s="4">
        <v>64470</v>
      </c>
      <c r="C2214" s="4">
        <v>1</v>
      </c>
      <c r="D2214" s="6">
        <v>0</v>
      </c>
      <c r="E2214" s="6">
        <v>-105.75</v>
      </c>
      <c r="F2214" s="6">
        <v>0.49</v>
      </c>
      <c r="G2214" s="6">
        <v>-0.13</v>
      </c>
      <c r="H2214" s="6">
        <v>84</v>
      </c>
    </row>
    <row r="2215" spans="1:8" ht="18.95" customHeight="1">
      <c r="A2215" s="4">
        <v>2211</v>
      </c>
      <c r="B2215" s="4">
        <v>64490</v>
      </c>
      <c r="C2215" s="4">
        <v>1</v>
      </c>
      <c r="D2215" s="6">
        <v>0</v>
      </c>
      <c r="E2215" s="6">
        <v>-106.25</v>
      </c>
      <c r="F2215" s="6">
        <v>0.48</v>
      </c>
      <c r="G2215" s="6">
        <v>-0.12</v>
      </c>
      <c r="H2215" s="6">
        <v>84</v>
      </c>
    </row>
    <row r="2216" spans="1:8" ht="18.95" customHeight="1">
      <c r="A2216" s="4">
        <v>2212</v>
      </c>
      <c r="B2216" s="4">
        <v>64510</v>
      </c>
      <c r="C2216" s="4">
        <v>1</v>
      </c>
      <c r="D2216" s="6">
        <v>0</v>
      </c>
      <c r="E2216" s="6">
        <v>-106.87</v>
      </c>
      <c r="F2216" s="6">
        <v>0.51</v>
      </c>
      <c r="G2216" s="6">
        <v>7.0000000000000007E-2</v>
      </c>
      <c r="H2216" s="6">
        <v>84</v>
      </c>
    </row>
    <row r="2217" spans="1:8" ht="18.95" customHeight="1">
      <c r="A2217" s="4">
        <v>2213</v>
      </c>
      <c r="B2217" s="4">
        <v>64530</v>
      </c>
      <c r="C2217" s="4">
        <v>1</v>
      </c>
      <c r="D2217" s="6">
        <v>0</v>
      </c>
      <c r="E2217" s="6">
        <v>-107.5</v>
      </c>
      <c r="F2217" s="6">
        <v>0.54</v>
      </c>
      <c r="G2217" s="6">
        <v>0.03</v>
      </c>
      <c r="H2217" s="6">
        <v>84</v>
      </c>
    </row>
    <row r="2218" spans="1:8" ht="18.95" customHeight="1">
      <c r="A2218" s="4">
        <v>2214</v>
      </c>
      <c r="B2218" s="4">
        <v>64550</v>
      </c>
      <c r="C2218" s="4">
        <v>1</v>
      </c>
      <c r="D2218" s="6">
        <v>0</v>
      </c>
      <c r="E2218" s="6">
        <v>-108.31</v>
      </c>
      <c r="F2218" s="6">
        <v>0.56000000000000005</v>
      </c>
      <c r="G2218" s="6">
        <v>-0.04</v>
      </c>
      <c r="H2218" s="6">
        <v>84</v>
      </c>
    </row>
    <row r="2219" spans="1:8" ht="18.95" customHeight="1">
      <c r="A2219" s="4">
        <v>2215</v>
      </c>
      <c r="B2219" s="4">
        <v>64570</v>
      </c>
      <c r="C2219" s="4">
        <v>1</v>
      </c>
      <c r="D2219" s="6">
        <v>0</v>
      </c>
      <c r="E2219" s="6">
        <v>-109</v>
      </c>
      <c r="F2219" s="6">
        <v>0.52</v>
      </c>
      <c r="G2219" s="6">
        <v>0.19</v>
      </c>
      <c r="H2219" s="6">
        <v>83</v>
      </c>
    </row>
    <row r="2220" spans="1:8" ht="18.95" customHeight="1">
      <c r="A2220" s="4">
        <v>2216</v>
      </c>
      <c r="B2220" s="4">
        <v>64590</v>
      </c>
      <c r="C2220" s="4">
        <v>1</v>
      </c>
      <c r="D2220" s="6">
        <v>0</v>
      </c>
      <c r="E2220" s="6">
        <v>-109.69</v>
      </c>
      <c r="F2220" s="6">
        <v>0.52</v>
      </c>
      <c r="G2220" s="6">
        <v>0.02</v>
      </c>
      <c r="H2220" s="6">
        <v>83</v>
      </c>
    </row>
    <row r="2221" spans="1:8" ht="18.95" customHeight="1">
      <c r="A2221" s="4">
        <v>2217</v>
      </c>
      <c r="B2221" s="4">
        <v>64610</v>
      </c>
      <c r="C2221" s="4">
        <v>1</v>
      </c>
      <c r="D2221" s="6">
        <v>0</v>
      </c>
      <c r="E2221" s="6">
        <v>-110.5</v>
      </c>
      <c r="F2221" s="6">
        <v>0.52</v>
      </c>
      <c r="G2221" s="6">
        <v>0.06</v>
      </c>
      <c r="H2221" s="6">
        <v>86</v>
      </c>
    </row>
    <row r="2222" spans="1:8" ht="18.95" customHeight="1">
      <c r="A2222" s="4">
        <v>2218</v>
      </c>
      <c r="B2222" s="4">
        <v>64630</v>
      </c>
      <c r="C2222" s="4">
        <v>1</v>
      </c>
      <c r="D2222" s="6">
        <v>0</v>
      </c>
      <c r="E2222" s="6">
        <v>-111.44</v>
      </c>
      <c r="F2222" s="6">
        <v>0.54</v>
      </c>
      <c r="G2222" s="6">
        <v>0.05</v>
      </c>
      <c r="H2222" s="6">
        <v>86</v>
      </c>
    </row>
    <row r="2223" spans="1:8" ht="18.95" customHeight="1">
      <c r="A2223" s="4">
        <v>2219</v>
      </c>
      <c r="B2223" s="4">
        <v>64650</v>
      </c>
      <c r="C2223" s="4">
        <v>1</v>
      </c>
      <c r="D2223" s="6">
        <v>0</v>
      </c>
      <c r="E2223" s="6">
        <v>-112.44</v>
      </c>
      <c r="F2223" s="6">
        <v>0.52</v>
      </c>
      <c r="G2223" s="6">
        <v>0.06</v>
      </c>
      <c r="H2223" s="6">
        <v>86</v>
      </c>
    </row>
    <row r="2224" spans="1:8" ht="18.95" customHeight="1">
      <c r="A2224" s="4">
        <v>2220</v>
      </c>
      <c r="B2224" s="4">
        <v>64670</v>
      </c>
      <c r="C2224" s="4">
        <v>1</v>
      </c>
      <c r="D2224" s="6">
        <v>0</v>
      </c>
      <c r="E2224" s="6">
        <v>-113.5</v>
      </c>
      <c r="F2224" s="6">
        <v>0.5</v>
      </c>
      <c r="G2224" s="6">
        <v>-0.01</v>
      </c>
      <c r="H2224" s="6">
        <v>84</v>
      </c>
    </row>
    <row r="2225" spans="1:8" ht="18.95" customHeight="1">
      <c r="A2225" s="4">
        <v>2221</v>
      </c>
      <c r="B2225" s="4">
        <v>64690</v>
      </c>
      <c r="C2225" s="4">
        <v>1</v>
      </c>
      <c r="D2225" s="6">
        <v>0</v>
      </c>
      <c r="E2225" s="6">
        <v>-114.62</v>
      </c>
      <c r="F2225" s="6">
        <v>0.5</v>
      </c>
      <c r="G2225" s="6">
        <v>-0.03</v>
      </c>
      <c r="H2225" s="6">
        <v>84</v>
      </c>
    </row>
    <row r="2226" spans="1:8" ht="18.95" customHeight="1">
      <c r="A2226" s="4">
        <v>2222</v>
      </c>
      <c r="B2226" s="4">
        <v>64710</v>
      </c>
      <c r="C2226" s="4">
        <v>1</v>
      </c>
      <c r="D2226" s="6">
        <v>0</v>
      </c>
      <c r="E2226" s="6">
        <v>-115.94</v>
      </c>
      <c r="F2226" s="6">
        <v>0.52</v>
      </c>
      <c r="G2226" s="6">
        <v>0.14000000000000001</v>
      </c>
      <c r="H2226" s="6">
        <v>83</v>
      </c>
    </row>
    <row r="2227" spans="1:8" ht="18.95" customHeight="1">
      <c r="A2227" s="4">
        <v>2223</v>
      </c>
      <c r="B2227" s="4">
        <v>64730</v>
      </c>
      <c r="C2227" s="4">
        <v>1</v>
      </c>
      <c r="D2227" s="6">
        <v>0</v>
      </c>
      <c r="E2227" s="6">
        <v>-117.37</v>
      </c>
      <c r="F2227" s="6">
        <v>0.51</v>
      </c>
      <c r="G2227" s="6">
        <v>0.03</v>
      </c>
      <c r="H2227" s="6">
        <v>83</v>
      </c>
    </row>
    <row r="2228" spans="1:8" ht="18.95" customHeight="1">
      <c r="A2228" s="4">
        <v>2224</v>
      </c>
      <c r="B2228" s="4">
        <v>64750</v>
      </c>
      <c r="C2228" s="4">
        <v>1</v>
      </c>
      <c r="D2228" s="6">
        <v>0</v>
      </c>
      <c r="E2228" s="6">
        <v>-119</v>
      </c>
      <c r="F2228" s="6">
        <v>0.51</v>
      </c>
      <c r="G2228" s="6">
        <v>0.08</v>
      </c>
      <c r="H2228" s="6">
        <v>83</v>
      </c>
    </row>
    <row r="2229" spans="1:8" ht="18.95" customHeight="1">
      <c r="A2229" s="4">
        <v>2225</v>
      </c>
      <c r="B2229" s="4">
        <v>64770</v>
      </c>
      <c r="C2229" s="4">
        <v>1</v>
      </c>
      <c r="D2229" s="6">
        <v>0</v>
      </c>
      <c r="E2229" s="6">
        <v>-120.75</v>
      </c>
      <c r="F2229" s="6">
        <v>0.49</v>
      </c>
      <c r="G2229" s="6">
        <v>-0.04</v>
      </c>
      <c r="H2229" s="6">
        <v>82</v>
      </c>
    </row>
    <row r="2230" spans="1:8" ht="18.95" customHeight="1">
      <c r="A2230" s="4">
        <v>2226</v>
      </c>
      <c r="B2230" s="4">
        <v>64790</v>
      </c>
      <c r="C2230" s="4">
        <v>1</v>
      </c>
      <c r="D2230" s="6">
        <v>0</v>
      </c>
      <c r="E2230" s="6">
        <v>-122.81</v>
      </c>
      <c r="F2230" s="6">
        <v>0.52</v>
      </c>
      <c r="G2230" s="6">
        <v>0.13</v>
      </c>
      <c r="H2230" s="6">
        <v>82</v>
      </c>
    </row>
    <row r="2231" spans="1:8" ht="18.95" customHeight="1">
      <c r="A2231" s="4">
        <v>2227</v>
      </c>
      <c r="B2231" s="4">
        <v>64811</v>
      </c>
      <c r="C2231" s="4">
        <v>1</v>
      </c>
      <c r="D2231" s="6">
        <v>0</v>
      </c>
      <c r="E2231" s="6">
        <v>-125.12</v>
      </c>
      <c r="F2231" s="6">
        <v>0.51</v>
      </c>
      <c r="G2231" s="6">
        <v>-0.03</v>
      </c>
      <c r="H2231" s="6">
        <v>82</v>
      </c>
    </row>
    <row r="2232" spans="1:8" ht="18.95" customHeight="1">
      <c r="A2232" s="4">
        <v>2228</v>
      </c>
      <c r="B2232" s="4">
        <v>64831</v>
      </c>
      <c r="C2232" s="4">
        <v>1</v>
      </c>
      <c r="D2232" s="6">
        <v>0</v>
      </c>
      <c r="E2232" s="6">
        <v>-174.63</v>
      </c>
      <c r="F2232" s="6">
        <v>0.47</v>
      </c>
      <c r="G2232" s="6">
        <v>0.15</v>
      </c>
      <c r="H2232" s="6">
        <v>82</v>
      </c>
    </row>
    <row r="2233" spans="1:8" ht="18.95" customHeight="1">
      <c r="A2233" s="4">
        <v>2229</v>
      </c>
      <c r="B2233" s="4">
        <v>64851</v>
      </c>
      <c r="C2233" s="4">
        <v>1</v>
      </c>
      <c r="D2233" s="6">
        <v>0</v>
      </c>
      <c r="E2233" s="6">
        <v>-175.13</v>
      </c>
      <c r="F2233" s="6">
        <v>0.46</v>
      </c>
      <c r="G2233" s="6">
        <v>7.0000000000000007E-2</v>
      </c>
      <c r="H2233" s="6">
        <v>82</v>
      </c>
    </row>
    <row r="2234" spans="1:8" ht="18.95" customHeight="1">
      <c r="A2234" s="4">
        <v>2230</v>
      </c>
      <c r="B2234" s="4">
        <v>64871</v>
      </c>
      <c r="C2234" s="4">
        <v>1</v>
      </c>
      <c r="D2234" s="6">
        <v>0</v>
      </c>
      <c r="E2234" s="6">
        <v>-175.63</v>
      </c>
      <c r="F2234" s="6">
        <v>0.44</v>
      </c>
      <c r="G2234" s="6">
        <v>0.16</v>
      </c>
      <c r="H2234" s="6">
        <v>80</v>
      </c>
    </row>
    <row r="2235" spans="1:8" ht="18.95" customHeight="1">
      <c r="A2235" s="4">
        <v>2231</v>
      </c>
      <c r="B2235" s="4">
        <v>64891</v>
      </c>
      <c r="C2235" s="4">
        <v>1</v>
      </c>
      <c r="D2235" s="6">
        <v>0</v>
      </c>
      <c r="E2235" s="6">
        <v>-176.13</v>
      </c>
      <c r="F2235" s="6">
        <v>0.44</v>
      </c>
      <c r="G2235" s="6">
        <v>0</v>
      </c>
      <c r="H2235" s="6">
        <v>80</v>
      </c>
    </row>
    <row r="2236" spans="1:8" ht="18.95" customHeight="1">
      <c r="A2236" s="4">
        <v>2232</v>
      </c>
      <c r="B2236" s="4">
        <v>64911</v>
      </c>
      <c r="C2236" s="4">
        <v>1</v>
      </c>
      <c r="D2236" s="6">
        <v>0</v>
      </c>
      <c r="E2236" s="6">
        <v>-176.56</v>
      </c>
      <c r="F2236" s="6">
        <v>0.39</v>
      </c>
      <c r="G2236" s="6">
        <v>0</v>
      </c>
      <c r="H2236" s="6">
        <v>80</v>
      </c>
    </row>
    <row r="2237" spans="1:8" ht="18.95" customHeight="1">
      <c r="A2237" s="4">
        <v>2233</v>
      </c>
      <c r="B2237" s="4">
        <v>64931</v>
      </c>
      <c r="C2237" s="4">
        <v>1</v>
      </c>
      <c r="D2237" s="6">
        <v>0</v>
      </c>
      <c r="E2237" s="6">
        <v>-177</v>
      </c>
      <c r="F2237" s="6">
        <v>0.37</v>
      </c>
      <c r="G2237" s="6">
        <v>0.18</v>
      </c>
      <c r="H2237" s="6">
        <v>80</v>
      </c>
    </row>
    <row r="2238" spans="1:8" ht="18.95" customHeight="1">
      <c r="A2238" s="4">
        <v>2234</v>
      </c>
      <c r="B2238" s="4">
        <v>64951</v>
      </c>
      <c r="C2238" s="4">
        <v>1</v>
      </c>
      <c r="D2238" s="6">
        <v>0</v>
      </c>
      <c r="E2238" s="6">
        <v>-177.38</v>
      </c>
      <c r="F2238" s="6">
        <v>0.36</v>
      </c>
      <c r="G2238" s="6">
        <v>-0.27</v>
      </c>
      <c r="H2238" s="6">
        <v>80</v>
      </c>
    </row>
    <row r="2239" spans="1:8" ht="18.95" customHeight="1">
      <c r="A2239" s="4">
        <v>2235</v>
      </c>
      <c r="B2239" s="4">
        <v>64971</v>
      </c>
      <c r="C2239" s="4">
        <v>1</v>
      </c>
      <c r="D2239" s="6">
        <v>0</v>
      </c>
      <c r="E2239" s="6">
        <v>-177.81</v>
      </c>
      <c r="F2239" s="6">
        <v>0.35</v>
      </c>
      <c r="G2239" s="6">
        <v>7.0000000000000007E-2</v>
      </c>
      <c r="H2239" s="6">
        <v>76</v>
      </c>
    </row>
    <row r="2240" spans="1:8" ht="18.95" customHeight="1">
      <c r="A2240" s="4">
        <v>2236</v>
      </c>
      <c r="B2240" s="4">
        <v>64991</v>
      </c>
      <c r="C2240" s="4">
        <v>1</v>
      </c>
      <c r="D2240" s="6">
        <v>0</v>
      </c>
      <c r="E2240" s="6">
        <v>-178.19</v>
      </c>
      <c r="F2240" s="6">
        <v>0.34</v>
      </c>
      <c r="G2240" s="6">
        <v>0</v>
      </c>
      <c r="H2240" s="6">
        <v>76</v>
      </c>
    </row>
    <row r="2241" spans="1:8" ht="18.95" customHeight="1">
      <c r="A2241" s="4">
        <v>2237</v>
      </c>
      <c r="B2241" s="4">
        <v>65011</v>
      </c>
      <c r="C2241" s="4">
        <v>1</v>
      </c>
      <c r="D2241" s="6">
        <v>0</v>
      </c>
      <c r="E2241" s="6">
        <v>-178.5</v>
      </c>
      <c r="F2241" s="6">
        <v>0.31</v>
      </c>
      <c r="G2241" s="6">
        <v>0.15</v>
      </c>
      <c r="H2241" s="6">
        <v>74</v>
      </c>
    </row>
    <row r="2242" spans="1:8" ht="18.95" customHeight="1">
      <c r="A2242" s="4">
        <v>2238</v>
      </c>
      <c r="B2242" s="4">
        <v>65031</v>
      </c>
      <c r="C2242" s="4">
        <v>1</v>
      </c>
      <c r="D2242" s="6">
        <v>0</v>
      </c>
      <c r="E2242" s="6">
        <v>-178.88</v>
      </c>
      <c r="F2242" s="6">
        <v>0.3</v>
      </c>
      <c r="G2242" s="6">
        <v>0.09</v>
      </c>
      <c r="H2242" s="6">
        <v>74</v>
      </c>
    </row>
    <row r="2243" spans="1:8" ht="18.95" customHeight="1">
      <c r="A2243" s="4">
        <v>2239</v>
      </c>
      <c r="B2243" s="4">
        <v>65051</v>
      </c>
      <c r="C2243" s="4">
        <v>1</v>
      </c>
      <c r="D2243" s="6">
        <v>0</v>
      </c>
      <c r="E2243" s="6">
        <v>-179.19</v>
      </c>
      <c r="F2243" s="6">
        <v>0.28000000000000003</v>
      </c>
      <c r="G2243" s="6">
        <v>0.17</v>
      </c>
      <c r="H2243" s="6">
        <v>74</v>
      </c>
    </row>
    <row r="2244" spans="1:8" ht="18.95" customHeight="1">
      <c r="A2244" s="4">
        <v>2240</v>
      </c>
      <c r="B2244" s="4">
        <v>65071</v>
      </c>
      <c r="C2244" s="4">
        <v>1</v>
      </c>
      <c r="D2244" s="6">
        <v>0</v>
      </c>
      <c r="E2244" s="6">
        <v>-179.44</v>
      </c>
      <c r="F2244" s="6">
        <v>0.26</v>
      </c>
      <c r="G2244" s="6">
        <v>0.05</v>
      </c>
      <c r="H2244" s="6">
        <v>70</v>
      </c>
    </row>
    <row r="2245" spans="1:8" ht="18.95" customHeight="1">
      <c r="A2245" s="4">
        <v>2241</v>
      </c>
      <c r="B2245" s="4">
        <v>65091</v>
      </c>
      <c r="C2245" s="4">
        <v>1</v>
      </c>
      <c r="D2245" s="6">
        <v>0</v>
      </c>
      <c r="E2245" s="6">
        <v>-179.75</v>
      </c>
      <c r="F2245" s="6">
        <v>0.23</v>
      </c>
      <c r="G2245" s="6">
        <v>0</v>
      </c>
      <c r="H2245" s="6">
        <v>70</v>
      </c>
    </row>
    <row r="2246" spans="1:8" ht="18.95" customHeight="1">
      <c r="A2246" s="4">
        <v>2242</v>
      </c>
      <c r="B2246" s="4">
        <v>65112</v>
      </c>
      <c r="C2246" s="4">
        <v>1</v>
      </c>
      <c r="D2246" s="6">
        <v>0</v>
      </c>
      <c r="E2246" s="6">
        <v>-179.94</v>
      </c>
      <c r="F2246" s="6">
        <v>0.21</v>
      </c>
      <c r="G2246" s="6">
        <v>0.04</v>
      </c>
      <c r="H2246" s="6">
        <v>69</v>
      </c>
    </row>
    <row r="2247" spans="1:8" ht="18.95" customHeight="1">
      <c r="A2247" s="4">
        <v>2243</v>
      </c>
      <c r="B2247" s="4">
        <v>65132</v>
      </c>
      <c r="C2247" s="4">
        <v>1</v>
      </c>
      <c r="D2247" s="6">
        <v>0</v>
      </c>
      <c r="E2247" s="6">
        <v>179.75</v>
      </c>
      <c r="F2247" s="6">
        <v>0.19</v>
      </c>
      <c r="G2247" s="6">
        <v>7.0000000000000007E-2</v>
      </c>
      <c r="H2247" s="6">
        <v>69</v>
      </c>
    </row>
    <row r="2248" spans="1:8" ht="18.95" customHeight="1">
      <c r="A2248" s="4">
        <v>2244</v>
      </c>
      <c r="B2248" s="4">
        <v>65152</v>
      </c>
      <c r="C2248" s="4">
        <v>1</v>
      </c>
      <c r="D2248" s="6">
        <v>0</v>
      </c>
      <c r="E2248" s="6">
        <v>179.56</v>
      </c>
      <c r="F2248" s="6">
        <v>0.15</v>
      </c>
      <c r="G2248" s="6">
        <v>-0.1</v>
      </c>
      <c r="H2248" s="6">
        <v>69</v>
      </c>
    </row>
    <row r="2249" spans="1:8" ht="18.95" customHeight="1">
      <c r="A2249" s="4">
        <v>2245</v>
      </c>
      <c r="B2249" s="4">
        <v>65172</v>
      </c>
      <c r="C2249" s="4">
        <v>1</v>
      </c>
      <c r="D2249" s="6">
        <v>0</v>
      </c>
      <c r="E2249" s="6">
        <v>179.44</v>
      </c>
      <c r="F2249" s="6">
        <v>0.13</v>
      </c>
      <c r="G2249" s="6">
        <v>-0.08</v>
      </c>
      <c r="H2249" s="6">
        <v>65</v>
      </c>
    </row>
    <row r="2250" spans="1:8" ht="18.95" customHeight="1">
      <c r="A2250" s="4">
        <v>2246</v>
      </c>
      <c r="B2250" s="4">
        <v>65192</v>
      </c>
      <c r="C2250" s="4">
        <v>1</v>
      </c>
      <c r="D2250" s="6">
        <v>0</v>
      </c>
      <c r="E2250" s="6">
        <v>179.31</v>
      </c>
      <c r="F2250" s="6">
        <v>0.1</v>
      </c>
      <c r="G2250" s="6">
        <v>0.06</v>
      </c>
      <c r="H2250" s="6">
        <v>65</v>
      </c>
    </row>
    <row r="2251" spans="1:8" ht="18.95" customHeight="1">
      <c r="A2251" s="4">
        <v>2247</v>
      </c>
      <c r="B2251" s="4">
        <v>65212</v>
      </c>
      <c r="C2251" s="4">
        <v>1</v>
      </c>
      <c r="D2251" s="6">
        <v>0</v>
      </c>
      <c r="E2251" s="6">
        <v>179.19</v>
      </c>
      <c r="F2251" s="6">
        <v>7.0000000000000007E-2</v>
      </c>
      <c r="G2251" s="6">
        <v>7.0000000000000007E-2</v>
      </c>
      <c r="H2251" s="6">
        <v>65</v>
      </c>
    </row>
    <row r="2252" spans="1:8" ht="18.95" customHeight="1">
      <c r="A2252" s="4">
        <v>2248</v>
      </c>
      <c r="B2252" s="4">
        <v>65232</v>
      </c>
      <c r="C2252" s="4">
        <v>0</v>
      </c>
      <c r="D2252" s="6">
        <v>0</v>
      </c>
      <c r="E2252" s="6">
        <v>179.13</v>
      </c>
      <c r="F2252" s="6">
        <v>0.04</v>
      </c>
      <c r="G2252" s="6">
        <v>0.15</v>
      </c>
      <c r="H2252" s="6">
        <v>65</v>
      </c>
    </row>
    <row r="2253" spans="1:8" ht="18.95" customHeight="1">
      <c r="A2253" s="4">
        <v>2249</v>
      </c>
      <c r="B2253" s="4">
        <v>65252</v>
      </c>
      <c r="C2253" s="4">
        <v>0</v>
      </c>
      <c r="D2253" s="6">
        <v>0</v>
      </c>
      <c r="E2253" s="6">
        <v>179.13</v>
      </c>
      <c r="F2253" s="6">
        <v>0.02</v>
      </c>
      <c r="G2253" s="6">
        <v>0.01</v>
      </c>
      <c r="H2253" s="6">
        <v>65</v>
      </c>
    </row>
    <row r="2254" spans="1:8" ht="18.95" customHeight="1">
      <c r="A2254" s="4">
        <v>2250</v>
      </c>
      <c r="B2254" s="4">
        <v>65272</v>
      </c>
      <c r="C2254" s="4">
        <v>0</v>
      </c>
      <c r="D2254" s="6">
        <v>0</v>
      </c>
      <c r="E2254" s="6">
        <v>179.13</v>
      </c>
      <c r="F2254" s="6">
        <v>-0.03</v>
      </c>
      <c r="G2254" s="6">
        <v>0.17</v>
      </c>
      <c r="H2254" s="6">
        <v>59</v>
      </c>
    </row>
    <row r="2255" spans="1:8" ht="18.95" customHeight="1">
      <c r="A2255" s="4">
        <v>2251</v>
      </c>
      <c r="B2255" s="4">
        <v>65292</v>
      </c>
      <c r="C2255" s="4">
        <v>0</v>
      </c>
      <c r="D2255" s="6">
        <v>0</v>
      </c>
      <c r="E2255" s="6">
        <v>179.13</v>
      </c>
      <c r="F2255" s="6">
        <v>-0.04</v>
      </c>
      <c r="G2255" s="6">
        <v>-0.01</v>
      </c>
      <c r="H2255" s="6">
        <v>59</v>
      </c>
    </row>
    <row r="2256" spans="1:8" ht="18.95" customHeight="1">
      <c r="A2256" s="4">
        <v>2252</v>
      </c>
      <c r="B2256" s="4">
        <v>65312</v>
      </c>
      <c r="C2256" s="4">
        <v>0</v>
      </c>
      <c r="D2256" s="6">
        <v>0</v>
      </c>
      <c r="E2256" s="6">
        <v>179.19</v>
      </c>
      <c r="F2256" s="6">
        <v>-7.0000000000000007E-2</v>
      </c>
      <c r="G2256" s="6">
        <v>0.11</v>
      </c>
      <c r="H2256" s="6">
        <v>56</v>
      </c>
    </row>
    <row r="2257" spans="1:8" ht="18.95" customHeight="1">
      <c r="A2257" s="4">
        <v>2253</v>
      </c>
      <c r="B2257" s="4">
        <v>65332</v>
      </c>
      <c r="C2257" s="4">
        <v>1</v>
      </c>
      <c r="D2257" s="6">
        <v>0</v>
      </c>
      <c r="E2257" s="6">
        <v>179.31</v>
      </c>
      <c r="F2257" s="6">
        <v>-0.1</v>
      </c>
      <c r="G2257" s="6">
        <v>0.12</v>
      </c>
      <c r="H2257" s="6">
        <v>56</v>
      </c>
    </row>
    <row r="2258" spans="1:8" ht="18.95" customHeight="1">
      <c r="A2258" s="4">
        <v>2254</v>
      </c>
      <c r="B2258" s="4">
        <v>65352</v>
      </c>
      <c r="C2258" s="4">
        <v>1</v>
      </c>
      <c r="D2258" s="6">
        <v>0</v>
      </c>
      <c r="E2258" s="6">
        <v>179.44</v>
      </c>
      <c r="F2258" s="6">
        <v>-0.13</v>
      </c>
      <c r="G2258" s="6">
        <v>-0.06</v>
      </c>
      <c r="H2258" s="6">
        <v>56</v>
      </c>
    </row>
    <row r="2259" spans="1:8" ht="18.95" customHeight="1">
      <c r="A2259" s="4">
        <v>2255</v>
      </c>
      <c r="B2259" s="4">
        <v>65372</v>
      </c>
      <c r="C2259" s="4">
        <v>1</v>
      </c>
      <c r="D2259" s="6">
        <v>0</v>
      </c>
      <c r="E2259" s="6">
        <v>179.56</v>
      </c>
      <c r="F2259" s="6">
        <v>-0.16</v>
      </c>
      <c r="G2259" s="6">
        <v>0.11</v>
      </c>
      <c r="H2259" s="6">
        <v>50</v>
      </c>
    </row>
    <row r="2260" spans="1:8" ht="18.95" customHeight="1">
      <c r="A2260" s="4">
        <v>2256</v>
      </c>
      <c r="B2260" s="4">
        <v>65392</v>
      </c>
      <c r="C2260" s="4">
        <v>1</v>
      </c>
      <c r="D2260" s="6">
        <v>0</v>
      </c>
      <c r="E2260" s="6">
        <v>179.81</v>
      </c>
      <c r="F2260" s="6">
        <v>-0.19</v>
      </c>
      <c r="G2260" s="6">
        <v>0.13</v>
      </c>
      <c r="H2260" s="6">
        <v>50</v>
      </c>
    </row>
    <row r="2261" spans="1:8" ht="18.95" customHeight="1">
      <c r="A2261" s="4">
        <v>2257</v>
      </c>
      <c r="B2261" s="4">
        <v>65412</v>
      </c>
      <c r="C2261" s="4">
        <v>1</v>
      </c>
      <c r="D2261" s="6">
        <v>600</v>
      </c>
      <c r="E2261" s="6">
        <v>-179.94</v>
      </c>
      <c r="F2261" s="6">
        <v>-0.21</v>
      </c>
      <c r="G2261" s="6">
        <v>0.17</v>
      </c>
      <c r="H2261" s="6">
        <v>45</v>
      </c>
    </row>
    <row r="2262" spans="1:8" ht="18.95" customHeight="1">
      <c r="A2262" s="4">
        <v>2258</v>
      </c>
      <c r="B2262" s="4">
        <v>65432</v>
      </c>
      <c r="C2262" s="4">
        <v>1</v>
      </c>
      <c r="D2262" s="6">
        <v>600</v>
      </c>
      <c r="E2262" s="6">
        <v>-179.69</v>
      </c>
      <c r="F2262" s="6">
        <v>-0.23</v>
      </c>
      <c r="G2262" s="6">
        <v>-0.05</v>
      </c>
      <c r="H2262" s="6">
        <v>45</v>
      </c>
    </row>
    <row r="2263" spans="1:8" ht="18.95" customHeight="1">
      <c r="A2263" s="4">
        <v>2259</v>
      </c>
      <c r="B2263" s="4">
        <v>65452</v>
      </c>
      <c r="C2263" s="4">
        <v>1</v>
      </c>
      <c r="D2263" s="6">
        <v>600</v>
      </c>
      <c r="E2263" s="6">
        <v>-179.44</v>
      </c>
      <c r="F2263" s="6">
        <v>-0.27</v>
      </c>
      <c r="G2263" s="6">
        <v>-0.03</v>
      </c>
      <c r="H2263" s="6">
        <v>45</v>
      </c>
    </row>
    <row r="2264" spans="1:8" ht="18.95" customHeight="1">
      <c r="A2264" s="4">
        <v>2260</v>
      </c>
      <c r="B2264" s="4">
        <v>65472</v>
      </c>
      <c r="C2264" s="4">
        <v>1</v>
      </c>
      <c r="D2264" s="6">
        <v>600</v>
      </c>
      <c r="E2264" s="6">
        <v>-179.13</v>
      </c>
      <c r="F2264" s="6">
        <v>-0.27</v>
      </c>
      <c r="G2264" s="6">
        <v>-0.13</v>
      </c>
      <c r="H2264" s="6">
        <v>42</v>
      </c>
    </row>
    <row r="2265" spans="1:8" ht="18.95" customHeight="1">
      <c r="A2265" s="4">
        <v>2261</v>
      </c>
      <c r="B2265" s="4">
        <v>65492</v>
      </c>
      <c r="C2265" s="4">
        <v>1</v>
      </c>
      <c r="D2265" s="6">
        <v>600</v>
      </c>
      <c r="E2265" s="6">
        <v>-178.88</v>
      </c>
      <c r="F2265" s="6">
        <v>-0.28000000000000003</v>
      </c>
      <c r="G2265" s="6">
        <v>0.12</v>
      </c>
      <c r="H2265" s="6">
        <v>42</v>
      </c>
    </row>
    <row r="2266" spans="1:8" ht="18.95" customHeight="1">
      <c r="A2266" s="4">
        <v>2262</v>
      </c>
      <c r="B2266" s="4">
        <v>65512</v>
      </c>
      <c r="C2266" s="4">
        <v>1</v>
      </c>
      <c r="D2266" s="6">
        <v>0</v>
      </c>
      <c r="E2266" s="6">
        <v>-178.56</v>
      </c>
      <c r="F2266" s="6">
        <v>-0.28000000000000003</v>
      </c>
      <c r="G2266" s="6">
        <v>0.2</v>
      </c>
      <c r="H2266" s="6">
        <v>39</v>
      </c>
    </row>
    <row r="2267" spans="1:8" ht="18.95" customHeight="1">
      <c r="A2267" s="4">
        <v>2263</v>
      </c>
      <c r="B2267" s="4">
        <v>65532</v>
      </c>
      <c r="C2267" s="4">
        <v>1</v>
      </c>
      <c r="D2267" s="6">
        <v>0</v>
      </c>
      <c r="E2267" s="6">
        <v>-178.25</v>
      </c>
      <c r="F2267" s="6">
        <v>-0.3</v>
      </c>
      <c r="G2267" s="6">
        <v>-0.01</v>
      </c>
      <c r="H2267" s="6">
        <v>39</v>
      </c>
    </row>
    <row r="2268" spans="1:8" ht="18.95" customHeight="1">
      <c r="A2268" s="4">
        <v>2264</v>
      </c>
      <c r="B2268" s="4">
        <v>65552</v>
      </c>
      <c r="C2268" s="4">
        <v>1</v>
      </c>
      <c r="D2268" s="6">
        <v>0</v>
      </c>
      <c r="E2268" s="6">
        <v>-177.88</v>
      </c>
      <c r="F2268" s="6">
        <v>-0.34</v>
      </c>
      <c r="G2268" s="6">
        <v>0.23</v>
      </c>
      <c r="H2268" s="6">
        <v>39</v>
      </c>
    </row>
    <row r="2269" spans="1:8" ht="18.95" customHeight="1">
      <c r="A2269" s="4">
        <v>2265</v>
      </c>
      <c r="B2269" s="4">
        <v>65572</v>
      </c>
      <c r="C2269" s="4">
        <v>1</v>
      </c>
      <c r="D2269" s="6">
        <v>0</v>
      </c>
      <c r="E2269" s="6">
        <v>-177.44</v>
      </c>
      <c r="F2269" s="6">
        <v>-0.37</v>
      </c>
      <c r="G2269" s="6">
        <v>0.23</v>
      </c>
      <c r="H2269" s="6">
        <v>35</v>
      </c>
    </row>
    <row r="2270" spans="1:8" ht="18.95" customHeight="1">
      <c r="A2270" s="4">
        <v>2266</v>
      </c>
      <c r="B2270" s="4">
        <v>65592</v>
      </c>
      <c r="C2270" s="4">
        <v>1</v>
      </c>
      <c r="D2270" s="6">
        <v>0</v>
      </c>
      <c r="E2270" s="6">
        <v>-177.06</v>
      </c>
      <c r="F2270" s="6">
        <v>-0.37</v>
      </c>
      <c r="G2270" s="6">
        <v>0.12</v>
      </c>
      <c r="H2270" s="6">
        <v>35</v>
      </c>
    </row>
    <row r="2271" spans="1:8" ht="18.95" customHeight="1">
      <c r="A2271" s="4">
        <v>2267</v>
      </c>
      <c r="B2271" s="4">
        <v>65612</v>
      </c>
      <c r="C2271" s="4">
        <v>1</v>
      </c>
      <c r="D2271" s="6">
        <v>0</v>
      </c>
      <c r="E2271" s="6">
        <v>-176.63</v>
      </c>
      <c r="F2271" s="6">
        <v>-0.41</v>
      </c>
      <c r="G2271" s="6">
        <v>-0.26</v>
      </c>
      <c r="H2271" s="6">
        <v>31</v>
      </c>
    </row>
    <row r="2272" spans="1:8" ht="18.95" customHeight="1">
      <c r="A2272" s="4">
        <v>2268</v>
      </c>
      <c r="B2272" s="4">
        <v>65632</v>
      </c>
      <c r="C2272" s="4">
        <v>1</v>
      </c>
      <c r="D2272" s="6">
        <v>0</v>
      </c>
      <c r="E2272" s="6">
        <v>-176.13</v>
      </c>
      <c r="F2272" s="6">
        <v>-0.44</v>
      </c>
      <c r="G2272" s="6">
        <v>0.11</v>
      </c>
      <c r="H2272" s="6">
        <v>31</v>
      </c>
    </row>
    <row r="2273" spans="1:8" ht="18.95" customHeight="1">
      <c r="A2273" s="4">
        <v>2269</v>
      </c>
      <c r="B2273" s="4">
        <v>65652</v>
      </c>
      <c r="C2273" s="4">
        <v>1</v>
      </c>
      <c r="D2273" s="6">
        <v>0</v>
      </c>
      <c r="E2273" s="6">
        <v>-175.63</v>
      </c>
      <c r="F2273" s="6">
        <v>-0.46</v>
      </c>
      <c r="G2273" s="6">
        <v>-0.21</v>
      </c>
      <c r="H2273" s="6">
        <v>31</v>
      </c>
    </row>
    <row r="2274" spans="1:8" ht="18.95" customHeight="1">
      <c r="A2274" s="4">
        <v>2270</v>
      </c>
      <c r="B2274" s="4">
        <v>65672</v>
      </c>
      <c r="C2274" s="4">
        <v>1</v>
      </c>
      <c r="D2274" s="6">
        <v>0</v>
      </c>
      <c r="E2274" s="6">
        <v>-175.13</v>
      </c>
      <c r="F2274" s="6">
        <v>-0.45</v>
      </c>
      <c r="G2274" s="6">
        <v>-0.17</v>
      </c>
      <c r="H2274" s="6">
        <v>29</v>
      </c>
    </row>
    <row r="2275" spans="1:8" ht="18.95" customHeight="1">
      <c r="A2275" s="4">
        <v>2271</v>
      </c>
      <c r="B2275" s="4">
        <v>65692</v>
      </c>
      <c r="C2275" s="4">
        <v>1</v>
      </c>
      <c r="D2275" s="6">
        <v>0</v>
      </c>
      <c r="E2275" s="6">
        <v>-174.63</v>
      </c>
      <c r="F2275" s="6">
        <v>-0.45</v>
      </c>
      <c r="G2275" s="6">
        <v>-0.16</v>
      </c>
      <c r="H2275" s="6">
        <v>29</v>
      </c>
    </row>
    <row r="2276" spans="1:8" ht="18.95" customHeight="1">
      <c r="A2276" s="4">
        <v>2272</v>
      </c>
      <c r="B2276" s="4">
        <v>65712</v>
      </c>
      <c r="C2276" s="4">
        <v>1</v>
      </c>
      <c r="D2276" s="6">
        <v>0</v>
      </c>
      <c r="E2276" s="6">
        <v>-124.75</v>
      </c>
      <c r="F2276" s="6">
        <v>-0.47</v>
      </c>
      <c r="G2276" s="6">
        <v>0.24</v>
      </c>
      <c r="H2276" s="6">
        <v>24</v>
      </c>
    </row>
    <row r="2277" spans="1:8" ht="18.95" customHeight="1">
      <c r="A2277" s="4">
        <v>2273</v>
      </c>
      <c r="B2277" s="4">
        <v>65732</v>
      </c>
      <c r="C2277" s="4">
        <v>1</v>
      </c>
      <c r="D2277" s="6">
        <v>0</v>
      </c>
      <c r="E2277" s="6">
        <v>-122.37</v>
      </c>
      <c r="F2277" s="6">
        <v>-0.48</v>
      </c>
      <c r="G2277" s="6">
        <v>-0.03</v>
      </c>
      <c r="H2277" s="6">
        <v>24</v>
      </c>
    </row>
    <row r="2278" spans="1:8" ht="18.95" customHeight="1">
      <c r="A2278" s="4">
        <v>2274</v>
      </c>
      <c r="B2278" s="4">
        <v>65752</v>
      </c>
      <c r="C2278" s="4">
        <v>1</v>
      </c>
      <c r="D2278" s="6">
        <v>0</v>
      </c>
      <c r="E2278" s="6">
        <v>-120.37</v>
      </c>
      <c r="F2278" s="6">
        <v>-0.48</v>
      </c>
      <c r="G2278" s="6">
        <v>0.04</v>
      </c>
      <c r="H2278" s="6">
        <v>24</v>
      </c>
    </row>
    <row r="2279" spans="1:8" ht="18.95" customHeight="1">
      <c r="A2279" s="4">
        <v>2275</v>
      </c>
      <c r="B2279" s="4">
        <v>65772</v>
      </c>
      <c r="C2279" s="4">
        <v>1</v>
      </c>
      <c r="D2279" s="6">
        <v>0</v>
      </c>
      <c r="E2279" s="6">
        <v>-118.56</v>
      </c>
      <c r="F2279" s="6">
        <v>-0.47</v>
      </c>
      <c r="G2279" s="6">
        <v>0.04</v>
      </c>
      <c r="H2279" s="6">
        <v>23</v>
      </c>
    </row>
    <row r="2280" spans="1:8" ht="18.95" customHeight="1">
      <c r="A2280" s="4">
        <v>2276</v>
      </c>
      <c r="B2280" s="4">
        <v>65792</v>
      </c>
      <c r="C2280" s="4">
        <v>1</v>
      </c>
      <c r="D2280" s="6">
        <v>0</v>
      </c>
      <c r="E2280" s="6">
        <v>-116.87</v>
      </c>
      <c r="F2280" s="6">
        <v>-0.49</v>
      </c>
      <c r="G2280" s="6">
        <v>0.12</v>
      </c>
      <c r="H2280" s="6">
        <v>23</v>
      </c>
    </row>
    <row r="2281" spans="1:8" ht="18.95" customHeight="1">
      <c r="A2281" s="4">
        <v>2277</v>
      </c>
      <c r="B2281" s="4">
        <v>65812</v>
      </c>
      <c r="C2281" s="4">
        <v>1</v>
      </c>
      <c r="D2281" s="6">
        <v>0</v>
      </c>
      <c r="E2281" s="6">
        <v>-115.37</v>
      </c>
      <c r="F2281" s="6">
        <v>-0.47</v>
      </c>
      <c r="G2281" s="6">
        <v>0</v>
      </c>
      <c r="H2281" s="6">
        <v>21</v>
      </c>
    </row>
    <row r="2282" spans="1:8" ht="18.95" customHeight="1">
      <c r="A2282" s="4">
        <v>2278</v>
      </c>
      <c r="B2282" s="4">
        <v>65832</v>
      </c>
      <c r="C2282" s="4">
        <v>1</v>
      </c>
      <c r="D2282" s="6">
        <v>0</v>
      </c>
      <c r="E2282" s="6">
        <v>-114.12</v>
      </c>
      <c r="F2282" s="6">
        <v>-0.47</v>
      </c>
      <c r="G2282" s="6">
        <v>0.03</v>
      </c>
      <c r="H2282" s="6">
        <v>21</v>
      </c>
    </row>
    <row r="2283" spans="1:8" ht="18.95" customHeight="1">
      <c r="A2283" s="4">
        <v>2279</v>
      </c>
      <c r="B2283" s="4">
        <v>65852</v>
      </c>
      <c r="C2283" s="4">
        <v>1</v>
      </c>
      <c r="D2283" s="6">
        <v>0</v>
      </c>
      <c r="E2283" s="6">
        <v>-112.94</v>
      </c>
      <c r="F2283" s="6">
        <v>-0.47</v>
      </c>
      <c r="G2283" s="6">
        <v>-0.19</v>
      </c>
      <c r="H2283" s="6">
        <v>21</v>
      </c>
    </row>
    <row r="2284" spans="1:8" ht="18.95" customHeight="1">
      <c r="A2284" s="4">
        <v>2280</v>
      </c>
      <c r="B2284" s="4">
        <v>65872</v>
      </c>
      <c r="C2284" s="4">
        <v>1</v>
      </c>
      <c r="D2284" s="6">
        <v>0</v>
      </c>
      <c r="E2284" s="6">
        <v>-111.81</v>
      </c>
      <c r="F2284" s="6">
        <v>-0.5</v>
      </c>
      <c r="G2284" s="6">
        <v>-0.09</v>
      </c>
      <c r="H2284" s="6">
        <v>19</v>
      </c>
    </row>
    <row r="2285" spans="1:8" ht="18.95" customHeight="1">
      <c r="A2285" s="4">
        <v>2281</v>
      </c>
      <c r="B2285" s="4">
        <v>65892</v>
      </c>
      <c r="C2285" s="4">
        <v>1</v>
      </c>
      <c r="D2285" s="6">
        <v>0</v>
      </c>
      <c r="E2285" s="6">
        <v>-110.75</v>
      </c>
      <c r="F2285" s="6">
        <v>-0.53</v>
      </c>
      <c r="G2285" s="6">
        <v>0.17</v>
      </c>
      <c r="H2285" s="6">
        <v>19</v>
      </c>
    </row>
    <row r="2286" spans="1:8" ht="18.95" customHeight="1">
      <c r="A2286" s="4">
        <v>2282</v>
      </c>
      <c r="B2286" s="4">
        <v>65912</v>
      </c>
      <c r="C2286" s="4">
        <v>1</v>
      </c>
      <c r="D2286" s="6">
        <v>0</v>
      </c>
      <c r="E2286" s="6">
        <v>-109.69</v>
      </c>
      <c r="F2286" s="6">
        <v>-0.56000000000000005</v>
      </c>
      <c r="G2286" s="6">
        <v>-0.01</v>
      </c>
      <c r="H2286" s="6">
        <v>17</v>
      </c>
    </row>
    <row r="2287" spans="1:8" ht="18.95" customHeight="1">
      <c r="A2287" s="4">
        <v>2283</v>
      </c>
      <c r="B2287" s="4">
        <v>65932</v>
      </c>
      <c r="C2287" s="4">
        <v>1</v>
      </c>
      <c r="D2287" s="6">
        <v>0</v>
      </c>
      <c r="E2287" s="6">
        <v>-108.75</v>
      </c>
      <c r="F2287" s="6">
        <v>-0.53</v>
      </c>
      <c r="G2287" s="6">
        <v>0.03</v>
      </c>
      <c r="H2287" s="6">
        <v>17</v>
      </c>
    </row>
    <row r="2288" spans="1:8" ht="18.95" customHeight="1">
      <c r="A2288" s="4">
        <v>2284</v>
      </c>
      <c r="B2288" s="4">
        <v>65952</v>
      </c>
      <c r="C2288" s="4">
        <v>1</v>
      </c>
      <c r="D2288" s="6">
        <v>0</v>
      </c>
      <c r="E2288" s="6">
        <v>-107.94</v>
      </c>
      <c r="F2288" s="6">
        <v>-0.53</v>
      </c>
      <c r="G2288" s="6">
        <v>0.04</v>
      </c>
      <c r="H2288" s="6">
        <v>17</v>
      </c>
    </row>
    <row r="2289" spans="1:8" ht="18.95" customHeight="1">
      <c r="A2289" s="4">
        <v>2285</v>
      </c>
      <c r="B2289" s="4">
        <v>65972</v>
      </c>
      <c r="C2289" s="4">
        <v>1</v>
      </c>
      <c r="D2289" s="6">
        <v>0</v>
      </c>
      <c r="E2289" s="6">
        <v>-107.19</v>
      </c>
      <c r="F2289" s="6">
        <v>-0.53</v>
      </c>
      <c r="G2289" s="6">
        <v>-0.14000000000000001</v>
      </c>
      <c r="H2289" s="6">
        <v>16</v>
      </c>
    </row>
    <row r="2290" spans="1:8" ht="18.95" customHeight="1">
      <c r="A2290" s="4">
        <v>2286</v>
      </c>
      <c r="B2290" s="4">
        <v>65992</v>
      </c>
      <c r="C2290" s="4">
        <v>1</v>
      </c>
      <c r="D2290" s="6">
        <v>0</v>
      </c>
      <c r="E2290" s="6">
        <v>-106.44</v>
      </c>
      <c r="F2290" s="6">
        <v>-0.55000000000000004</v>
      </c>
      <c r="G2290" s="6">
        <v>0.38</v>
      </c>
      <c r="H2290" s="6">
        <v>16</v>
      </c>
    </row>
    <row r="2291" spans="1:8" ht="18.95" customHeight="1">
      <c r="A2291" s="4">
        <v>2287</v>
      </c>
      <c r="B2291" s="4">
        <v>66012</v>
      </c>
      <c r="C2291" s="4">
        <v>1</v>
      </c>
      <c r="D2291" s="6">
        <v>0</v>
      </c>
      <c r="E2291" s="6">
        <v>-105.81</v>
      </c>
      <c r="F2291" s="6">
        <v>-0.52</v>
      </c>
      <c r="G2291" s="6">
        <v>0.68</v>
      </c>
      <c r="H2291" s="6">
        <v>17</v>
      </c>
    </row>
    <row r="2292" spans="1:8" ht="18.95" customHeight="1">
      <c r="A2292" s="4">
        <v>2288</v>
      </c>
      <c r="B2292" s="4">
        <v>66032</v>
      </c>
      <c r="C2292" s="4">
        <v>1</v>
      </c>
      <c r="D2292" s="6">
        <v>0</v>
      </c>
      <c r="E2292" s="6">
        <v>-105.25</v>
      </c>
      <c r="F2292" s="6">
        <v>-0.51</v>
      </c>
      <c r="G2292" s="6">
        <v>-0.28000000000000003</v>
      </c>
      <c r="H2292" s="6">
        <v>17</v>
      </c>
    </row>
    <row r="2293" spans="1:8" ht="18.95" customHeight="1">
      <c r="A2293" s="4">
        <v>2289</v>
      </c>
      <c r="B2293" s="4">
        <v>66052</v>
      </c>
      <c r="C2293" s="4">
        <v>1</v>
      </c>
      <c r="D2293" s="6">
        <v>0</v>
      </c>
      <c r="E2293" s="6">
        <v>-104.69</v>
      </c>
      <c r="F2293" s="6">
        <v>-0.51</v>
      </c>
      <c r="G2293" s="6">
        <v>0.05</v>
      </c>
      <c r="H2293" s="6">
        <v>17</v>
      </c>
    </row>
    <row r="2294" spans="1:8" ht="18.95" customHeight="1">
      <c r="A2294" s="4">
        <v>2290</v>
      </c>
      <c r="B2294" s="4">
        <v>66072</v>
      </c>
      <c r="C2294" s="4">
        <v>1</v>
      </c>
      <c r="D2294" s="6">
        <v>0</v>
      </c>
      <c r="E2294" s="6">
        <v>-104.19</v>
      </c>
      <c r="F2294" s="6">
        <v>-0.5</v>
      </c>
      <c r="G2294" s="6">
        <v>0.16</v>
      </c>
      <c r="H2294" s="6">
        <v>19</v>
      </c>
    </row>
    <row r="2295" spans="1:8" ht="18.95" customHeight="1">
      <c r="A2295" s="4">
        <v>2291</v>
      </c>
      <c r="B2295" s="4">
        <v>66092</v>
      </c>
      <c r="C2295" s="4">
        <v>1</v>
      </c>
      <c r="D2295" s="6">
        <v>0</v>
      </c>
      <c r="E2295" s="6">
        <v>-103.75</v>
      </c>
      <c r="F2295" s="6">
        <v>-0.54</v>
      </c>
      <c r="G2295" s="6">
        <v>-0.08</v>
      </c>
      <c r="H2295" s="6">
        <v>19</v>
      </c>
    </row>
    <row r="2296" spans="1:8" ht="18.95" customHeight="1">
      <c r="A2296" s="4">
        <v>2292</v>
      </c>
      <c r="B2296" s="4">
        <v>66112</v>
      </c>
      <c r="C2296" s="4">
        <v>1</v>
      </c>
      <c r="D2296" s="6">
        <v>0</v>
      </c>
      <c r="E2296" s="6">
        <v>-103.31</v>
      </c>
      <c r="F2296" s="6">
        <v>-0.51</v>
      </c>
      <c r="G2296" s="6">
        <v>0</v>
      </c>
      <c r="H2296" s="6">
        <v>16</v>
      </c>
    </row>
    <row r="2297" spans="1:8" ht="18.95" customHeight="1">
      <c r="A2297" s="4">
        <v>2293</v>
      </c>
      <c r="B2297" s="4">
        <v>66132</v>
      </c>
      <c r="C2297" s="4">
        <v>1</v>
      </c>
      <c r="D2297" s="6">
        <v>0</v>
      </c>
      <c r="E2297" s="6">
        <v>-102.94</v>
      </c>
      <c r="F2297" s="6">
        <v>-0.5</v>
      </c>
      <c r="G2297" s="6">
        <v>0.1</v>
      </c>
      <c r="H2297" s="6">
        <v>16</v>
      </c>
    </row>
    <row r="2298" spans="1:8" ht="18.95" customHeight="1">
      <c r="A2298" s="4">
        <v>2294</v>
      </c>
      <c r="B2298" s="4">
        <v>66152</v>
      </c>
      <c r="C2298" s="4">
        <v>1</v>
      </c>
      <c r="D2298" s="6">
        <v>0</v>
      </c>
      <c r="E2298" s="6">
        <v>-102.5</v>
      </c>
      <c r="F2298" s="6">
        <v>-0.49</v>
      </c>
      <c r="G2298" s="6">
        <v>0.11</v>
      </c>
      <c r="H2298" s="6">
        <v>16</v>
      </c>
    </row>
    <row r="2299" spans="1:8" ht="18.95" customHeight="1">
      <c r="A2299" s="4">
        <v>2295</v>
      </c>
      <c r="B2299" s="4">
        <v>66172</v>
      </c>
      <c r="C2299" s="4">
        <v>1</v>
      </c>
      <c r="D2299" s="6">
        <v>0</v>
      </c>
      <c r="E2299" s="6">
        <v>-102.19</v>
      </c>
      <c r="F2299" s="6">
        <v>-0.49</v>
      </c>
      <c r="G2299" s="6">
        <v>0.03</v>
      </c>
      <c r="H2299" s="6">
        <v>20</v>
      </c>
    </row>
    <row r="2300" spans="1:8" ht="18.95" customHeight="1">
      <c r="A2300" s="4">
        <v>2296</v>
      </c>
      <c r="B2300" s="4">
        <v>66192</v>
      </c>
      <c r="C2300" s="4">
        <v>1</v>
      </c>
      <c r="D2300" s="6">
        <v>0</v>
      </c>
      <c r="E2300" s="6">
        <v>-101.81</v>
      </c>
      <c r="F2300" s="6">
        <v>-0.47</v>
      </c>
      <c r="G2300" s="6">
        <v>0.06</v>
      </c>
      <c r="H2300" s="6">
        <v>20</v>
      </c>
    </row>
    <row r="2301" spans="1:8" ht="18.95" customHeight="1">
      <c r="A2301" s="4">
        <v>2297</v>
      </c>
      <c r="B2301" s="4">
        <v>66212</v>
      </c>
      <c r="C2301" s="4">
        <v>1</v>
      </c>
      <c r="D2301" s="6">
        <v>0</v>
      </c>
      <c r="E2301" s="6">
        <v>-101.56</v>
      </c>
      <c r="F2301" s="6">
        <v>-0.46</v>
      </c>
      <c r="G2301" s="6">
        <v>0.04</v>
      </c>
      <c r="H2301" s="6">
        <v>21</v>
      </c>
    </row>
    <row r="2302" spans="1:8" ht="18.95" customHeight="1">
      <c r="A2302" s="4">
        <v>2298</v>
      </c>
      <c r="B2302" s="4">
        <v>66232</v>
      </c>
      <c r="C2302" s="4">
        <v>1</v>
      </c>
      <c r="D2302" s="6">
        <v>0</v>
      </c>
      <c r="E2302" s="6">
        <v>-101.25</v>
      </c>
      <c r="F2302" s="6">
        <v>-0.44</v>
      </c>
      <c r="G2302" s="6">
        <v>0</v>
      </c>
      <c r="H2302" s="6">
        <v>21</v>
      </c>
    </row>
    <row r="2303" spans="1:8" ht="18.95" customHeight="1">
      <c r="A2303" s="4">
        <v>2299</v>
      </c>
      <c r="B2303" s="4">
        <v>66252</v>
      </c>
      <c r="C2303" s="4">
        <v>1</v>
      </c>
      <c r="D2303" s="6">
        <v>0</v>
      </c>
      <c r="E2303" s="6">
        <v>-101</v>
      </c>
      <c r="F2303" s="6">
        <v>-0.47</v>
      </c>
      <c r="G2303" s="6">
        <v>7.0000000000000007E-2</v>
      </c>
      <c r="H2303" s="6">
        <v>21</v>
      </c>
    </row>
    <row r="2304" spans="1:8" ht="18.95" customHeight="1">
      <c r="A2304" s="4">
        <v>2300</v>
      </c>
      <c r="B2304" s="4">
        <v>66272</v>
      </c>
      <c r="C2304" s="4">
        <v>1</v>
      </c>
      <c r="D2304" s="6">
        <v>0</v>
      </c>
      <c r="E2304" s="6">
        <v>-100.75</v>
      </c>
      <c r="F2304" s="6">
        <v>-0.46</v>
      </c>
      <c r="G2304" s="6">
        <v>7.0000000000000007E-2</v>
      </c>
      <c r="H2304" s="6">
        <v>23</v>
      </c>
    </row>
    <row r="2305" spans="1:8" ht="18.95" customHeight="1">
      <c r="A2305" s="4">
        <v>2301</v>
      </c>
      <c r="B2305" s="4">
        <v>66292</v>
      </c>
      <c r="C2305" s="4">
        <v>1</v>
      </c>
      <c r="D2305" s="6">
        <v>0</v>
      </c>
      <c r="E2305" s="6">
        <v>-100.44</v>
      </c>
      <c r="F2305" s="6">
        <v>-0.46</v>
      </c>
      <c r="G2305" s="6">
        <v>0.1</v>
      </c>
      <c r="H2305" s="6">
        <v>23</v>
      </c>
    </row>
    <row r="2306" spans="1:8" ht="18.95" customHeight="1">
      <c r="A2306" s="4">
        <v>2302</v>
      </c>
      <c r="B2306" s="4">
        <v>66312</v>
      </c>
      <c r="C2306" s="4">
        <v>1</v>
      </c>
      <c r="D2306" s="6">
        <v>0</v>
      </c>
      <c r="E2306" s="6">
        <v>-100.25</v>
      </c>
      <c r="F2306" s="6">
        <v>-0.41</v>
      </c>
      <c r="G2306" s="6">
        <v>-0.02</v>
      </c>
      <c r="H2306" s="6">
        <v>25</v>
      </c>
    </row>
    <row r="2307" spans="1:8" ht="18.95" customHeight="1">
      <c r="A2307" s="4">
        <v>2303</v>
      </c>
      <c r="B2307" s="4">
        <v>66332</v>
      </c>
      <c r="C2307" s="4">
        <v>1</v>
      </c>
      <c r="D2307" s="6">
        <v>0</v>
      </c>
      <c r="E2307" s="6">
        <v>-100.06</v>
      </c>
      <c r="F2307" s="6">
        <v>-0.41</v>
      </c>
      <c r="G2307" s="6">
        <v>7.0000000000000007E-2</v>
      </c>
      <c r="H2307" s="6">
        <v>25</v>
      </c>
    </row>
    <row r="2308" spans="1:8" ht="18.95" customHeight="1">
      <c r="A2308" s="4">
        <v>2304</v>
      </c>
      <c r="B2308" s="4">
        <v>66352</v>
      </c>
      <c r="C2308" s="4">
        <v>1</v>
      </c>
      <c r="D2308" s="6">
        <v>0</v>
      </c>
      <c r="E2308" s="6">
        <v>-99.87</v>
      </c>
      <c r="F2308" s="6">
        <v>-0.39</v>
      </c>
      <c r="G2308" s="6">
        <v>0.04</v>
      </c>
      <c r="H2308" s="6">
        <v>25</v>
      </c>
    </row>
    <row r="2309" spans="1:8" ht="18.95" customHeight="1">
      <c r="A2309" s="4">
        <v>2305</v>
      </c>
      <c r="B2309" s="4">
        <v>66372</v>
      </c>
      <c r="C2309" s="4">
        <v>1</v>
      </c>
      <c r="D2309" s="6">
        <v>0</v>
      </c>
      <c r="E2309" s="6">
        <v>-99.69</v>
      </c>
      <c r="F2309" s="6">
        <v>-0.39</v>
      </c>
      <c r="G2309" s="6">
        <v>0.11</v>
      </c>
      <c r="H2309" s="6">
        <v>29</v>
      </c>
    </row>
    <row r="2310" spans="1:8" ht="18.95" customHeight="1">
      <c r="A2310" s="4">
        <v>2306</v>
      </c>
      <c r="B2310" s="4">
        <v>66392</v>
      </c>
      <c r="C2310" s="4">
        <v>1</v>
      </c>
      <c r="D2310" s="6">
        <v>0</v>
      </c>
      <c r="E2310" s="6">
        <v>-99.5</v>
      </c>
      <c r="F2310" s="6">
        <v>-0.35</v>
      </c>
      <c r="G2310" s="6">
        <v>0.15</v>
      </c>
      <c r="H2310" s="6">
        <v>29</v>
      </c>
    </row>
    <row r="2311" spans="1:8" ht="18.95" customHeight="1">
      <c r="A2311" s="4">
        <v>2307</v>
      </c>
      <c r="B2311" s="4">
        <v>66412</v>
      </c>
      <c r="C2311" s="4">
        <v>1</v>
      </c>
      <c r="D2311" s="6">
        <v>0</v>
      </c>
      <c r="E2311" s="6">
        <v>-99.31</v>
      </c>
      <c r="F2311" s="6">
        <v>-0.34</v>
      </c>
      <c r="G2311" s="6">
        <v>0.01</v>
      </c>
      <c r="H2311" s="6">
        <v>32</v>
      </c>
    </row>
    <row r="2312" spans="1:8" ht="18.95" customHeight="1">
      <c r="A2312" s="4">
        <v>2308</v>
      </c>
      <c r="B2312" s="4">
        <v>66432</v>
      </c>
      <c r="C2312" s="4">
        <v>1</v>
      </c>
      <c r="D2312" s="6">
        <v>0</v>
      </c>
      <c r="E2312" s="6">
        <v>-99.19</v>
      </c>
      <c r="F2312" s="6">
        <v>-0.32</v>
      </c>
      <c r="G2312" s="6">
        <v>0.09</v>
      </c>
      <c r="H2312" s="6">
        <v>32</v>
      </c>
    </row>
    <row r="2313" spans="1:8" ht="18.95" customHeight="1">
      <c r="A2313" s="4">
        <v>2309</v>
      </c>
      <c r="B2313" s="4">
        <v>66452</v>
      </c>
      <c r="C2313" s="4">
        <v>1</v>
      </c>
      <c r="D2313" s="6">
        <v>0</v>
      </c>
      <c r="E2313" s="6">
        <v>-99.06</v>
      </c>
      <c r="F2313" s="6">
        <v>-0.3</v>
      </c>
      <c r="G2313" s="6">
        <v>0.17</v>
      </c>
      <c r="H2313" s="6">
        <v>32</v>
      </c>
    </row>
    <row r="2314" spans="1:8" ht="18.95" customHeight="1">
      <c r="A2314" s="4">
        <v>2310</v>
      </c>
      <c r="B2314" s="4">
        <v>66472</v>
      </c>
      <c r="C2314" s="4">
        <v>1</v>
      </c>
      <c r="D2314" s="6">
        <v>0</v>
      </c>
      <c r="E2314" s="6">
        <v>-99</v>
      </c>
      <c r="F2314" s="6">
        <v>-0.3</v>
      </c>
      <c r="G2314" s="6">
        <v>0.06</v>
      </c>
      <c r="H2314" s="6">
        <v>35</v>
      </c>
    </row>
    <row r="2315" spans="1:8" ht="18.95" customHeight="1">
      <c r="A2315" s="4">
        <v>2311</v>
      </c>
      <c r="B2315" s="4">
        <v>66492</v>
      </c>
      <c r="C2315" s="4">
        <v>1</v>
      </c>
      <c r="D2315" s="6">
        <v>0</v>
      </c>
      <c r="E2315" s="6">
        <v>-99</v>
      </c>
      <c r="F2315" s="6">
        <v>-0.26</v>
      </c>
      <c r="G2315" s="6">
        <v>0.04</v>
      </c>
      <c r="H2315" s="6">
        <v>35</v>
      </c>
    </row>
    <row r="2316" spans="1:8" ht="18.95" customHeight="1">
      <c r="A2316" s="4">
        <v>2312</v>
      </c>
      <c r="B2316" s="4">
        <v>66512</v>
      </c>
      <c r="C2316" s="4">
        <v>1</v>
      </c>
      <c r="D2316" s="6">
        <v>0</v>
      </c>
      <c r="E2316" s="6">
        <v>-98.94</v>
      </c>
      <c r="F2316" s="6">
        <v>-0.26</v>
      </c>
      <c r="G2316" s="6">
        <v>-7.0000000000000007E-2</v>
      </c>
      <c r="H2316" s="6">
        <v>38</v>
      </c>
    </row>
    <row r="2317" spans="1:8" ht="18.95" customHeight="1">
      <c r="A2317" s="4">
        <v>2313</v>
      </c>
      <c r="B2317" s="4">
        <v>66532</v>
      </c>
      <c r="C2317" s="4">
        <v>1</v>
      </c>
      <c r="D2317" s="6">
        <v>0</v>
      </c>
      <c r="E2317" s="6">
        <v>-98.87</v>
      </c>
      <c r="F2317" s="6">
        <v>-0.24</v>
      </c>
      <c r="G2317" s="6">
        <v>-0.05</v>
      </c>
      <c r="H2317" s="6">
        <v>38</v>
      </c>
    </row>
    <row r="2318" spans="1:8" ht="18.95" customHeight="1">
      <c r="A2318" s="4">
        <v>2314</v>
      </c>
      <c r="B2318" s="4">
        <v>66552</v>
      </c>
      <c r="C2318" s="4">
        <v>1</v>
      </c>
      <c r="D2318" s="6">
        <v>0</v>
      </c>
      <c r="E2318" s="6">
        <v>-98.87</v>
      </c>
      <c r="F2318" s="6">
        <v>-0.22</v>
      </c>
      <c r="G2318" s="6">
        <v>-7.0000000000000007E-2</v>
      </c>
      <c r="H2318" s="6">
        <v>38</v>
      </c>
    </row>
    <row r="2319" spans="1:8" ht="18.95" customHeight="1">
      <c r="A2319" s="4">
        <v>2315</v>
      </c>
      <c r="B2319" s="4">
        <v>66572</v>
      </c>
      <c r="C2319" s="4">
        <v>1</v>
      </c>
      <c r="D2319" s="6">
        <v>0</v>
      </c>
      <c r="E2319" s="6">
        <v>-98.81</v>
      </c>
      <c r="F2319" s="6">
        <v>-0.19</v>
      </c>
      <c r="G2319" s="6">
        <v>-0.04</v>
      </c>
      <c r="H2319" s="6">
        <v>41</v>
      </c>
    </row>
    <row r="2320" spans="1:8" ht="18.95" customHeight="1">
      <c r="A2320" s="4">
        <v>2316</v>
      </c>
      <c r="B2320" s="4">
        <v>66592</v>
      </c>
      <c r="C2320" s="4">
        <v>1</v>
      </c>
      <c r="D2320" s="6">
        <v>0</v>
      </c>
      <c r="E2320" s="6">
        <v>-98.81</v>
      </c>
      <c r="F2320" s="6">
        <v>-0.18</v>
      </c>
      <c r="G2320" s="6">
        <v>-0.01</v>
      </c>
      <c r="H2320" s="6">
        <v>41</v>
      </c>
    </row>
    <row r="2321" spans="1:8" ht="18.95" customHeight="1">
      <c r="A2321" s="4">
        <v>2317</v>
      </c>
      <c r="B2321" s="4">
        <v>66613</v>
      </c>
      <c r="C2321" s="4">
        <v>1</v>
      </c>
      <c r="D2321" s="6">
        <v>0</v>
      </c>
      <c r="E2321" s="6">
        <v>-98.81</v>
      </c>
      <c r="F2321" s="6">
        <v>-0.15</v>
      </c>
      <c r="G2321" s="6">
        <v>0.2</v>
      </c>
      <c r="H2321" s="6">
        <v>44</v>
      </c>
    </row>
    <row r="2322" spans="1:8" ht="18.95" customHeight="1">
      <c r="A2322" s="4">
        <v>2318</v>
      </c>
      <c r="B2322" s="4">
        <v>66633</v>
      </c>
      <c r="C2322" s="4">
        <v>1</v>
      </c>
      <c r="D2322" s="6">
        <v>0</v>
      </c>
      <c r="E2322" s="6">
        <v>-98.81</v>
      </c>
      <c r="F2322" s="6">
        <v>-0.13</v>
      </c>
      <c r="G2322" s="6">
        <v>-0.13</v>
      </c>
      <c r="H2322" s="6">
        <v>44</v>
      </c>
    </row>
    <row r="2323" spans="1:8" ht="18.95" customHeight="1">
      <c r="A2323" s="4">
        <v>2319</v>
      </c>
      <c r="B2323" s="4">
        <v>66653</v>
      </c>
      <c r="C2323" s="4">
        <v>1</v>
      </c>
      <c r="D2323" s="6">
        <v>0</v>
      </c>
      <c r="E2323" s="6">
        <v>-98.75</v>
      </c>
      <c r="F2323" s="6">
        <v>-0.11</v>
      </c>
      <c r="G2323" s="6">
        <v>0.16</v>
      </c>
      <c r="H2323" s="6">
        <v>44</v>
      </c>
    </row>
    <row r="2324" spans="1:8" ht="18.95" customHeight="1">
      <c r="A2324" s="4">
        <v>2320</v>
      </c>
      <c r="B2324" s="4">
        <v>66673</v>
      </c>
      <c r="C2324" s="4">
        <v>1</v>
      </c>
      <c r="D2324" s="6">
        <v>0</v>
      </c>
      <c r="E2324" s="6">
        <v>-98.75</v>
      </c>
      <c r="F2324" s="6">
        <v>-0.08</v>
      </c>
      <c r="G2324" s="6">
        <v>7.0000000000000007E-2</v>
      </c>
      <c r="H2324" s="6">
        <v>50</v>
      </c>
    </row>
    <row r="2325" spans="1:8" ht="18.95" customHeight="1">
      <c r="A2325" s="4">
        <v>2321</v>
      </c>
      <c r="B2325" s="4">
        <v>66693</v>
      </c>
      <c r="C2325" s="4">
        <v>1</v>
      </c>
      <c r="D2325" s="6">
        <v>0</v>
      </c>
      <c r="E2325" s="6">
        <v>-98.75</v>
      </c>
      <c r="F2325" s="6">
        <v>-0.05</v>
      </c>
      <c r="G2325" s="6">
        <v>0.13</v>
      </c>
      <c r="H2325" s="6">
        <v>50</v>
      </c>
    </row>
    <row r="2326" spans="1:8" ht="18.95" customHeight="1">
      <c r="A2326" s="4">
        <v>2322</v>
      </c>
      <c r="B2326" s="4">
        <v>66713</v>
      </c>
      <c r="C2326" s="4">
        <v>1</v>
      </c>
      <c r="D2326" s="6">
        <v>0</v>
      </c>
      <c r="E2326" s="6">
        <v>-98.81</v>
      </c>
      <c r="F2326" s="6">
        <v>-0.03</v>
      </c>
      <c r="G2326" s="6">
        <v>-0.1</v>
      </c>
      <c r="H2326" s="6">
        <v>53</v>
      </c>
    </row>
    <row r="2327" spans="1:8" ht="18.95" customHeight="1">
      <c r="A2327" s="4">
        <v>2323</v>
      </c>
      <c r="B2327" s="4">
        <v>66733</v>
      </c>
      <c r="C2327" s="4">
        <v>1</v>
      </c>
      <c r="D2327" s="6">
        <v>0</v>
      </c>
      <c r="E2327" s="6">
        <v>-98.81</v>
      </c>
      <c r="F2327" s="6">
        <v>-0.01</v>
      </c>
      <c r="G2327" s="6">
        <v>0.01</v>
      </c>
      <c r="H2327" s="6">
        <v>53</v>
      </c>
    </row>
    <row r="2328" spans="1:8" ht="18.95" customHeight="1">
      <c r="A2328" s="4">
        <v>2324</v>
      </c>
      <c r="B2328" s="4">
        <v>66753</v>
      </c>
      <c r="C2328" s="4">
        <v>1</v>
      </c>
      <c r="D2328" s="6">
        <v>0</v>
      </c>
      <c r="E2328" s="6">
        <v>-98.87</v>
      </c>
      <c r="F2328" s="6">
        <v>0.01</v>
      </c>
      <c r="G2328" s="6">
        <v>0.09</v>
      </c>
      <c r="H2328" s="6">
        <v>53</v>
      </c>
    </row>
    <row r="2329" spans="1:8" ht="18.95" customHeight="1">
      <c r="A2329" s="4">
        <v>2325</v>
      </c>
      <c r="B2329" s="4">
        <v>66774</v>
      </c>
      <c r="C2329" s="4">
        <v>1</v>
      </c>
      <c r="D2329" s="6">
        <v>0</v>
      </c>
      <c r="E2329" s="6">
        <v>-98.94</v>
      </c>
      <c r="F2329" s="6">
        <v>0.04</v>
      </c>
      <c r="G2329" s="6">
        <v>0.09</v>
      </c>
      <c r="H2329" s="6">
        <v>59</v>
      </c>
    </row>
    <row r="2330" spans="1:8" ht="18.95" customHeight="1">
      <c r="A2330" s="4">
        <v>2326</v>
      </c>
      <c r="B2330" s="4">
        <v>66794</v>
      </c>
      <c r="C2330" s="4">
        <v>1</v>
      </c>
      <c r="D2330" s="6">
        <v>0</v>
      </c>
      <c r="E2330" s="6">
        <v>-98.94</v>
      </c>
      <c r="F2330" s="6">
        <v>0.06</v>
      </c>
      <c r="G2330" s="6">
        <v>-7.0000000000000007E-2</v>
      </c>
      <c r="H2330" s="6">
        <v>59</v>
      </c>
    </row>
    <row r="2331" spans="1:8" ht="18.95" customHeight="1">
      <c r="A2331" s="4">
        <v>2327</v>
      </c>
      <c r="B2331" s="4">
        <v>66814</v>
      </c>
      <c r="C2331" s="4">
        <v>1</v>
      </c>
      <c r="D2331" s="6">
        <v>0</v>
      </c>
      <c r="E2331" s="6">
        <v>-99</v>
      </c>
      <c r="F2331" s="6">
        <v>0.09</v>
      </c>
      <c r="G2331" s="6">
        <v>0.08</v>
      </c>
      <c r="H2331" s="6">
        <v>58</v>
      </c>
    </row>
    <row r="2332" spans="1:8" ht="18.95" customHeight="1">
      <c r="A2332" s="4">
        <v>2328</v>
      </c>
      <c r="B2332" s="4">
        <v>66834</v>
      </c>
      <c r="C2332" s="4">
        <v>1</v>
      </c>
      <c r="D2332" s="6">
        <v>0</v>
      </c>
      <c r="E2332" s="6">
        <v>-99</v>
      </c>
      <c r="F2332" s="6">
        <v>0.11</v>
      </c>
      <c r="G2332" s="6">
        <v>-0.04</v>
      </c>
      <c r="H2332" s="6">
        <v>58</v>
      </c>
    </row>
    <row r="2333" spans="1:8" ht="18.95" customHeight="1">
      <c r="A2333" s="4">
        <v>2329</v>
      </c>
      <c r="B2333" s="4">
        <v>66854</v>
      </c>
      <c r="C2333" s="4">
        <v>1</v>
      </c>
      <c r="D2333" s="6">
        <v>0</v>
      </c>
      <c r="E2333" s="6">
        <v>-99.06</v>
      </c>
      <c r="F2333" s="6">
        <v>0.15</v>
      </c>
      <c r="G2333" s="6">
        <v>-0.03</v>
      </c>
      <c r="H2333" s="6">
        <v>58</v>
      </c>
    </row>
    <row r="2334" spans="1:8" ht="18.95" customHeight="1">
      <c r="A2334" s="4">
        <v>2330</v>
      </c>
      <c r="B2334" s="4">
        <v>66874</v>
      </c>
      <c r="C2334" s="4">
        <v>1</v>
      </c>
      <c r="D2334" s="6">
        <v>0</v>
      </c>
      <c r="E2334" s="6">
        <v>-99.12</v>
      </c>
      <c r="F2334" s="6">
        <v>0.18</v>
      </c>
      <c r="G2334" s="6">
        <v>0.02</v>
      </c>
      <c r="H2334" s="6">
        <v>65</v>
      </c>
    </row>
    <row r="2335" spans="1:8" ht="18.95" customHeight="1">
      <c r="A2335" s="4">
        <v>2331</v>
      </c>
      <c r="B2335" s="4">
        <v>66894</v>
      </c>
      <c r="C2335" s="4">
        <v>1</v>
      </c>
      <c r="D2335" s="6">
        <v>0</v>
      </c>
      <c r="E2335" s="6">
        <v>-99.19</v>
      </c>
      <c r="F2335" s="6">
        <v>0.21</v>
      </c>
      <c r="G2335" s="6">
        <v>0.1</v>
      </c>
      <c r="H2335" s="6">
        <v>65</v>
      </c>
    </row>
    <row r="2336" spans="1:8" ht="18.95" customHeight="1">
      <c r="A2336" s="4">
        <v>2332</v>
      </c>
      <c r="B2336" s="4">
        <v>66914</v>
      </c>
      <c r="C2336" s="4">
        <v>1</v>
      </c>
      <c r="D2336" s="6">
        <v>0</v>
      </c>
      <c r="E2336" s="6">
        <v>-99.31</v>
      </c>
      <c r="F2336" s="6">
        <v>0.23</v>
      </c>
      <c r="G2336" s="6">
        <v>-7.0000000000000007E-2</v>
      </c>
      <c r="H2336" s="6">
        <v>66</v>
      </c>
    </row>
    <row r="2337" spans="1:8" ht="18.95" customHeight="1">
      <c r="A2337" s="4">
        <v>2333</v>
      </c>
      <c r="B2337" s="4">
        <v>66934</v>
      </c>
      <c r="C2337" s="4">
        <v>1</v>
      </c>
      <c r="D2337" s="6">
        <v>0</v>
      </c>
      <c r="E2337" s="6">
        <v>-99.37</v>
      </c>
      <c r="F2337" s="6">
        <v>0.26</v>
      </c>
      <c r="G2337" s="6">
        <v>0.06</v>
      </c>
      <c r="H2337" s="6">
        <v>66</v>
      </c>
    </row>
    <row r="2338" spans="1:8" ht="18.95" customHeight="1">
      <c r="A2338" s="4">
        <v>2334</v>
      </c>
      <c r="B2338" s="4">
        <v>66954</v>
      </c>
      <c r="C2338" s="4">
        <v>1</v>
      </c>
      <c r="D2338" s="6">
        <v>0</v>
      </c>
      <c r="E2338" s="6">
        <v>-99.5</v>
      </c>
      <c r="F2338" s="6">
        <v>0.28000000000000003</v>
      </c>
      <c r="G2338" s="6">
        <v>0.04</v>
      </c>
      <c r="H2338" s="6">
        <v>66</v>
      </c>
    </row>
    <row r="2339" spans="1:8" ht="18.95" customHeight="1">
      <c r="A2339" s="4">
        <v>2335</v>
      </c>
      <c r="B2339" s="4">
        <v>66974</v>
      </c>
      <c r="C2339" s="4">
        <v>1</v>
      </c>
      <c r="D2339" s="6">
        <v>0</v>
      </c>
      <c r="E2339" s="6">
        <v>-99.62</v>
      </c>
      <c r="F2339" s="6">
        <v>0.32</v>
      </c>
      <c r="G2339" s="6">
        <v>0.1</v>
      </c>
      <c r="H2339" s="6">
        <v>70</v>
      </c>
    </row>
    <row r="2340" spans="1:8" ht="18.95" customHeight="1">
      <c r="A2340" s="4">
        <v>2336</v>
      </c>
      <c r="B2340" s="4">
        <v>66994</v>
      </c>
      <c r="C2340" s="4">
        <v>1</v>
      </c>
      <c r="D2340" s="6">
        <v>0</v>
      </c>
      <c r="E2340" s="6">
        <v>-99.81</v>
      </c>
      <c r="F2340" s="6">
        <v>0.33</v>
      </c>
      <c r="G2340" s="6">
        <v>-0.06</v>
      </c>
      <c r="H2340" s="6">
        <v>70</v>
      </c>
    </row>
    <row r="2341" spans="1:8" ht="18.95" customHeight="1">
      <c r="A2341" s="4">
        <v>2337</v>
      </c>
      <c r="B2341" s="4">
        <v>67014</v>
      </c>
      <c r="C2341" s="4">
        <v>1</v>
      </c>
      <c r="D2341" s="6">
        <v>0</v>
      </c>
      <c r="E2341" s="6">
        <v>-99.94</v>
      </c>
      <c r="F2341" s="6">
        <v>0.36</v>
      </c>
      <c r="G2341" s="6">
        <v>-0.04</v>
      </c>
      <c r="H2341" s="6">
        <v>72</v>
      </c>
    </row>
    <row r="2342" spans="1:8" ht="18.95" customHeight="1">
      <c r="A2342" s="4">
        <v>2338</v>
      </c>
      <c r="B2342" s="4">
        <v>67034</v>
      </c>
      <c r="C2342" s="4">
        <v>1</v>
      </c>
      <c r="D2342" s="6">
        <v>0</v>
      </c>
      <c r="E2342" s="6">
        <v>-100.12</v>
      </c>
      <c r="F2342" s="6">
        <v>0.39</v>
      </c>
      <c r="G2342" s="6">
        <v>-0.01</v>
      </c>
      <c r="H2342" s="6">
        <v>72</v>
      </c>
    </row>
    <row r="2343" spans="1:8" ht="18.95" customHeight="1">
      <c r="A2343" s="4">
        <v>2339</v>
      </c>
      <c r="B2343" s="4">
        <v>67054</v>
      </c>
      <c r="C2343" s="4">
        <v>1</v>
      </c>
      <c r="D2343" s="6">
        <v>0</v>
      </c>
      <c r="E2343" s="6">
        <v>-100.31</v>
      </c>
      <c r="F2343" s="6">
        <v>0.42</v>
      </c>
      <c r="G2343" s="6">
        <v>-0.02</v>
      </c>
      <c r="H2343" s="6">
        <v>72</v>
      </c>
    </row>
    <row r="2344" spans="1:8" ht="18.95" customHeight="1">
      <c r="A2344" s="4">
        <v>2340</v>
      </c>
      <c r="B2344" s="4">
        <v>67074</v>
      </c>
      <c r="C2344" s="4">
        <v>1</v>
      </c>
      <c r="D2344" s="6">
        <v>0</v>
      </c>
      <c r="E2344" s="6">
        <v>-100.5</v>
      </c>
      <c r="F2344" s="6">
        <v>0.43</v>
      </c>
      <c r="G2344" s="6">
        <v>-0.08</v>
      </c>
      <c r="H2344" s="6">
        <v>73</v>
      </c>
    </row>
    <row r="2345" spans="1:8" ht="18.95" customHeight="1">
      <c r="A2345" s="4">
        <v>2341</v>
      </c>
      <c r="B2345" s="4">
        <v>67094</v>
      </c>
      <c r="C2345" s="4">
        <v>1</v>
      </c>
      <c r="D2345" s="6">
        <v>0</v>
      </c>
      <c r="E2345" s="6">
        <v>-100.75</v>
      </c>
      <c r="F2345" s="6">
        <v>0.46</v>
      </c>
      <c r="G2345" s="6">
        <v>0.14000000000000001</v>
      </c>
      <c r="H2345" s="6">
        <v>73</v>
      </c>
    </row>
    <row r="2346" spans="1:8" ht="18.95" customHeight="1">
      <c r="A2346" s="4">
        <v>2342</v>
      </c>
      <c r="B2346" s="4">
        <v>67115</v>
      </c>
      <c r="C2346" s="4">
        <v>1</v>
      </c>
      <c r="D2346" s="6">
        <v>0</v>
      </c>
      <c r="E2346" s="6">
        <v>-101</v>
      </c>
      <c r="F2346" s="6">
        <v>0.47</v>
      </c>
      <c r="G2346" s="6">
        <v>7.0000000000000007E-2</v>
      </c>
      <c r="H2346" s="6">
        <v>77</v>
      </c>
    </row>
    <row r="2347" spans="1:8" ht="18.95" customHeight="1">
      <c r="A2347" s="4">
        <v>2343</v>
      </c>
      <c r="B2347" s="4">
        <v>67135</v>
      </c>
      <c r="C2347" s="4">
        <v>1</v>
      </c>
      <c r="D2347" s="6">
        <v>0</v>
      </c>
      <c r="E2347" s="6">
        <v>-101.31</v>
      </c>
      <c r="F2347" s="6">
        <v>0.51</v>
      </c>
      <c r="G2347" s="6">
        <v>-0.02</v>
      </c>
      <c r="H2347" s="6">
        <v>77</v>
      </c>
    </row>
    <row r="2348" spans="1:8" ht="18.95" customHeight="1">
      <c r="A2348" s="4">
        <v>2344</v>
      </c>
      <c r="B2348" s="4">
        <v>67155</v>
      </c>
      <c r="C2348" s="4">
        <v>1</v>
      </c>
      <c r="D2348" s="6">
        <v>0</v>
      </c>
      <c r="E2348" s="6">
        <v>-101.56</v>
      </c>
      <c r="F2348" s="6">
        <v>0.47</v>
      </c>
      <c r="G2348" s="6">
        <v>-7.0000000000000007E-2</v>
      </c>
      <c r="H2348" s="6">
        <v>77</v>
      </c>
    </row>
    <row r="2349" spans="1:8" ht="18.95" customHeight="1">
      <c r="A2349" s="4">
        <v>2345</v>
      </c>
      <c r="B2349" s="4">
        <v>67175</v>
      </c>
      <c r="C2349" s="4">
        <v>1</v>
      </c>
      <c r="D2349" s="6">
        <v>0</v>
      </c>
      <c r="E2349" s="6">
        <v>-101.87</v>
      </c>
      <c r="F2349" s="6">
        <v>0.5</v>
      </c>
      <c r="G2349" s="6">
        <v>-0.11</v>
      </c>
      <c r="H2349" s="6">
        <v>78</v>
      </c>
    </row>
    <row r="2350" spans="1:8" ht="18.95" customHeight="1">
      <c r="A2350" s="4">
        <v>2346</v>
      </c>
      <c r="B2350" s="4">
        <v>67195</v>
      </c>
      <c r="C2350" s="4">
        <v>1</v>
      </c>
      <c r="D2350" s="6">
        <v>0</v>
      </c>
      <c r="E2350" s="6">
        <v>-102.25</v>
      </c>
      <c r="F2350" s="6">
        <v>0.52</v>
      </c>
      <c r="G2350" s="6">
        <v>7.0000000000000007E-2</v>
      </c>
      <c r="H2350" s="6">
        <v>78</v>
      </c>
    </row>
    <row r="2351" spans="1:8" ht="18.95" customHeight="1">
      <c r="A2351" s="4">
        <v>2347</v>
      </c>
      <c r="B2351" s="4">
        <v>67215</v>
      </c>
      <c r="C2351" s="4">
        <v>1</v>
      </c>
      <c r="D2351" s="6">
        <v>0</v>
      </c>
      <c r="E2351" s="6">
        <v>-102.56</v>
      </c>
      <c r="F2351" s="6">
        <v>0.5</v>
      </c>
      <c r="G2351" s="6">
        <v>0.24</v>
      </c>
      <c r="H2351" s="6">
        <v>80</v>
      </c>
    </row>
    <row r="2352" spans="1:8" ht="18.95" customHeight="1">
      <c r="A2352" s="4">
        <v>2348</v>
      </c>
      <c r="B2352" s="4">
        <v>67235</v>
      </c>
      <c r="C2352" s="4">
        <v>1</v>
      </c>
      <c r="D2352" s="6">
        <v>0</v>
      </c>
      <c r="E2352" s="6">
        <v>-102.94</v>
      </c>
      <c r="F2352" s="6">
        <v>0.5</v>
      </c>
      <c r="G2352" s="6">
        <v>0</v>
      </c>
      <c r="H2352" s="6">
        <v>80</v>
      </c>
    </row>
    <row r="2353" spans="1:8" ht="18.95" customHeight="1">
      <c r="A2353" s="4">
        <v>2349</v>
      </c>
      <c r="B2353" s="4">
        <v>67255</v>
      </c>
      <c r="C2353" s="4">
        <v>1</v>
      </c>
      <c r="D2353" s="6">
        <v>0</v>
      </c>
      <c r="E2353" s="6">
        <v>-103.31</v>
      </c>
      <c r="F2353" s="6">
        <v>0.5</v>
      </c>
      <c r="G2353" s="6">
        <v>0.14000000000000001</v>
      </c>
      <c r="H2353" s="6">
        <v>80</v>
      </c>
    </row>
    <row r="2354" spans="1:8" ht="18.95" customHeight="1">
      <c r="A2354" s="4">
        <v>2350</v>
      </c>
      <c r="B2354" s="4">
        <v>67275</v>
      </c>
      <c r="C2354" s="4">
        <v>1</v>
      </c>
      <c r="D2354" s="6">
        <v>0</v>
      </c>
      <c r="E2354" s="6">
        <v>-103.75</v>
      </c>
      <c r="F2354" s="6">
        <v>0.54</v>
      </c>
      <c r="G2354" s="6">
        <v>0.23</v>
      </c>
      <c r="H2354" s="6">
        <v>81</v>
      </c>
    </row>
    <row r="2355" spans="1:8" ht="18.95" customHeight="1">
      <c r="A2355" s="4">
        <v>2351</v>
      </c>
      <c r="B2355" s="4">
        <v>67295</v>
      </c>
      <c r="C2355" s="4">
        <v>1</v>
      </c>
      <c r="D2355" s="6">
        <v>0</v>
      </c>
      <c r="E2355" s="6">
        <v>-104.25</v>
      </c>
      <c r="F2355" s="6">
        <v>0.56000000000000005</v>
      </c>
      <c r="G2355" s="6">
        <v>0.01</v>
      </c>
      <c r="H2355" s="6">
        <v>81</v>
      </c>
    </row>
    <row r="2356" spans="1:8" ht="18.95" customHeight="1">
      <c r="A2356" s="4">
        <v>2352</v>
      </c>
      <c r="B2356" s="4">
        <v>67315</v>
      </c>
      <c r="C2356" s="4">
        <v>1</v>
      </c>
      <c r="D2356" s="6">
        <v>0</v>
      </c>
      <c r="E2356" s="6">
        <v>-104.75</v>
      </c>
      <c r="F2356" s="6">
        <v>0.56999999999999995</v>
      </c>
      <c r="G2356" s="6">
        <v>-0.04</v>
      </c>
      <c r="H2356" s="6">
        <v>83</v>
      </c>
    </row>
    <row r="2357" spans="1:8" ht="18.95" customHeight="1">
      <c r="A2357" s="4">
        <v>2353</v>
      </c>
      <c r="B2357" s="4">
        <v>67335</v>
      </c>
      <c r="C2357" s="4">
        <v>1</v>
      </c>
      <c r="D2357" s="6">
        <v>0</v>
      </c>
      <c r="E2357" s="6">
        <v>-105.31</v>
      </c>
      <c r="F2357" s="6">
        <v>0.56000000000000005</v>
      </c>
      <c r="G2357" s="6">
        <v>0.04</v>
      </c>
      <c r="H2357" s="6">
        <v>83</v>
      </c>
    </row>
    <row r="2358" spans="1:8" ht="18.95" customHeight="1">
      <c r="A2358" s="4">
        <v>2354</v>
      </c>
      <c r="B2358" s="4">
        <v>67355</v>
      </c>
      <c r="C2358" s="4">
        <v>1</v>
      </c>
      <c r="D2358" s="6">
        <v>0</v>
      </c>
      <c r="E2358" s="6">
        <v>-105.94</v>
      </c>
      <c r="F2358" s="6">
        <v>0.57999999999999996</v>
      </c>
      <c r="G2358" s="6">
        <v>7.0000000000000007E-2</v>
      </c>
      <c r="H2358" s="6">
        <v>83</v>
      </c>
    </row>
    <row r="2359" spans="1:8" ht="18.95" customHeight="1">
      <c r="A2359" s="4">
        <v>2355</v>
      </c>
      <c r="B2359" s="4">
        <v>67375</v>
      </c>
      <c r="C2359" s="4">
        <v>1</v>
      </c>
      <c r="D2359" s="6">
        <v>0</v>
      </c>
      <c r="E2359" s="6">
        <v>-106.62</v>
      </c>
      <c r="F2359" s="6">
        <v>0.61</v>
      </c>
      <c r="G2359" s="6">
        <v>0.18</v>
      </c>
      <c r="H2359" s="6">
        <v>85</v>
      </c>
    </row>
    <row r="2360" spans="1:8" ht="18.95" customHeight="1">
      <c r="A2360" s="4">
        <v>2356</v>
      </c>
      <c r="B2360" s="4">
        <v>67395</v>
      </c>
      <c r="C2360" s="4">
        <v>1</v>
      </c>
      <c r="D2360" s="6">
        <v>0</v>
      </c>
      <c r="E2360" s="6">
        <v>-107.37</v>
      </c>
      <c r="F2360" s="6">
        <v>0.57999999999999996</v>
      </c>
      <c r="G2360" s="6">
        <v>-0.25</v>
      </c>
      <c r="H2360" s="6">
        <v>85</v>
      </c>
    </row>
    <row r="2361" spans="1:8" ht="18.95" customHeight="1">
      <c r="A2361" s="4">
        <v>2357</v>
      </c>
      <c r="B2361" s="4">
        <v>67416</v>
      </c>
      <c r="C2361" s="4">
        <v>1</v>
      </c>
      <c r="D2361" s="6">
        <v>0</v>
      </c>
      <c r="E2361" s="6">
        <v>-108.12</v>
      </c>
      <c r="F2361" s="6">
        <v>0.59</v>
      </c>
      <c r="G2361" s="6">
        <v>0.04</v>
      </c>
      <c r="H2361" s="6">
        <v>84</v>
      </c>
    </row>
    <row r="2362" spans="1:8" ht="18.95" customHeight="1">
      <c r="A2362" s="4">
        <v>2358</v>
      </c>
      <c r="B2362" s="4">
        <v>67436</v>
      </c>
      <c r="C2362" s="4">
        <v>1</v>
      </c>
      <c r="D2362" s="6">
        <v>0</v>
      </c>
      <c r="E2362" s="6">
        <v>-108.94</v>
      </c>
      <c r="F2362" s="6">
        <v>0.59</v>
      </c>
      <c r="G2362" s="6">
        <v>0</v>
      </c>
      <c r="H2362" s="6">
        <v>84</v>
      </c>
    </row>
    <row r="2363" spans="1:8" ht="18.95" customHeight="1">
      <c r="A2363" s="4">
        <v>2359</v>
      </c>
      <c r="B2363" s="4">
        <v>67456</v>
      </c>
      <c r="C2363" s="4">
        <v>1</v>
      </c>
      <c r="D2363" s="6">
        <v>0</v>
      </c>
      <c r="E2363" s="6">
        <v>-109.87</v>
      </c>
      <c r="F2363" s="6">
        <v>0.62</v>
      </c>
      <c r="G2363" s="6">
        <v>-0.05</v>
      </c>
      <c r="H2363" s="6">
        <v>84</v>
      </c>
    </row>
    <row r="2364" spans="1:8" ht="18.95" customHeight="1">
      <c r="A2364" s="4">
        <v>2360</v>
      </c>
      <c r="B2364" s="4">
        <v>67476</v>
      </c>
      <c r="C2364" s="4">
        <v>1</v>
      </c>
      <c r="D2364" s="6">
        <v>0</v>
      </c>
      <c r="E2364" s="6">
        <v>-110.81</v>
      </c>
      <c r="F2364" s="6">
        <v>0.6</v>
      </c>
      <c r="G2364" s="6">
        <v>0.17</v>
      </c>
      <c r="H2364" s="6">
        <v>84</v>
      </c>
    </row>
    <row r="2365" spans="1:8" ht="18.95" customHeight="1">
      <c r="A2365" s="4">
        <v>2361</v>
      </c>
      <c r="B2365" s="4">
        <v>67496</v>
      </c>
      <c r="C2365" s="4">
        <v>1</v>
      </c>
      <c r="D2365" s="6">
        <v>0</v>
      </c>
      <c r="E2365" s="6">
        <v>-111.87</v>
      </c>
      <c r="F2365" s="6">
        <v>0.56999999999999995</v>
      </c>
      <c r="G2365" s="6">
        <v>0.39</v>
      </c>
      <c r="H2365" s="6">
        <v>84</v>
      </c>
    </row>
    <row r="2366" spans="1:8" ht="18.95" customHeight="1">
      <c r="A2366" s="4">
        <v>2362</v>
      </c>
      <c r="B2366" s="4">
        <v>67516</v>
      </c>
      <c r="C2366" s="4">
        <v>1</v>
      </c>
      <c r="D2366" s="6">
        <v>0</v>
      </c>
      <c r="E2366" s="6">
        <v>-113.06</v>
      </c>
      <c r="F2366" s="6">
        <v>0.57999999999999996</v>
      </c>
      <c r="G2366" s="6">
        <v>-0.05</v>
      </c>
      <c r="H2366" s="6">
        <v>82</v>
      </c>
    </row>
    <row r="2367" spans="1:8" ht="18.95" customHeight="1">
      <c r="A2367" s="4">
        <v>2363</v>
      </c>
      <c r="B2367" s="4">
        <v>67536</v>
      </c>
      <c r="C2367" s="4">
        <v>1</v>
      </c>
      <c r="D2367" s="6">
        <v>0</v>
      </c>
      <c r="E2367" s="6">
        <v>-114.31</v>
      </c>
      <c r="F2367" s="6">
        <v>0.56999999999999995</v>
      </c>
      <c r="G2367" s="6">
        <v>0.17</v>
      </c>
      <c r="H2367" s="6">
        <v>82</v>
      </c>
    </row>
    <row r="2368" spans="1:8" ht="18.95" customHeight="1">
      <c r="A2368" s="4">
        <v>2364</v>
      </c>
      <c r="B2368" s="4">
        <v>67556</v>
      </c>
      <c r="C2368" s="4">
        <v>1</v>
      </c>
      <c r="D2368" s="6">
        <v>0</v>
      </c>
      <c r="E2368" s="6">
        <v>-115.75</v>
      </c>
      <c r="F2368" s="6">
        <v>0.55000000000000004</v>
      </c>
      <c r="G2368" s="6">
        <v>0.08</v>
      </c>
      <c r="H2368" s="6">
        <v>82</v>
      </c>
    </row>
    <row r="2369" spans="1:8" ht="18.95" customHeight="1">
      <c r="A2369" s="4">
        <v>2365</v>
      </c>
      <c r="B2369" s="4">
        <v>67576</v>
      </c>
      <c r="C2369" s="4">
        <v>1</v>
      </c>
      <c r="D2369" s="6">
        <v>0</v>
      </c>
      <c r="E2369" s="6">
        <v>-117.25</v>
      </c>
      <c r="F2369" s="6">
        <v>0.54</v>
      </c>
      <c r="G2369" s="6">
        <v>0.03</v>
      </c>
      <c r="H2369" s="6">
        <v>84</v>
      </c>
    </row>
    <row r="2370" spans="1:8" ht="18.95" customHeight="1">
      <c r="A2370" s="4">
        <v>2366</v>
      </c>
      <c r="B2370" s="4">
        <v>67596</v>
      </c>
      <c r="C2370" s="4">
        <v>1</v>
      </c>
      <c r="D2370" s="6">
        <v>0</v>
      </c>
      <c r="E2370" s="6">
        <v>-118.94</v>
      </c>
      <c r="F2370" s="6">
        <v>0.53</v>
      </c>
      <c r="G2370" s="6">
        <v>0.06</v>
      </c>
      <c r="H2370" s="6">
        <v>84</v>
      </c>
    </row>
    <row r="2371" spans="1:8" ht="18.95" customHeight="1">
      <c r="A2371" s="4">
        <v>2367</v>
      </c>
      <c r="B2371" s="4">
        <v>67616</v>
      </c>
      <c r="C2371" s="4">
        <v>1</v>
      </c>
      <c r="D2371" s="6">
        <v>0</v>
      </c>
      <c r="E2371" s="6">
        <v>-120.81</v>
      </c>
      <c r="F2371" s="6">
        <v>0.55000000000000004</v>
      </c>
      <c r="G2371" s="6">
        <v>0.06</v>
      </c>
      <c r="H2371" s="6">
        <v>79</v>
      </c>
    </row>
    <row r="2372" spans="1:8" ht="18.95" customHeight="1">
      <c r="A2372" s="4">
        <v>2368</v>
      </c>
      <c r="B2372" s="4">
        <v>67636</v>
      </c>
      <c r="C2372" s="4">
        <v>1</v>
      </c>
      <c r="D2372" s="6">
        <v>0</v>
      </c>
      <c r="E2372" s="6">
        <v>-122.94</v>
      </c>
      <c r="F2372" s="6">
        <v>0.51</v>
      </c>
      <c r="G2372" s="6">
        <v>0.09</v>
      </c>
      <c r="H2372" s="6">
        <v>79</v>
      </c>
    </row>
    <row r="2373" spans="1:8" ht="18.95" customHeight="1">
      <c r="A2373" s="4">
        <v>2369</v>
      </c>
      <c r="B2373" s="4">
        <v>67656</v>
      </c>
      <c r="C2373" s="4">
        <v>1</v>
      </c>
      <c r="D2373" s="6">
        <v>0</v>
      </c>
      <c r="E2373" s="6">
        <v>-125.19</v>
      </c>
      <c r="F2373" s="6">
        <v>0.48</v>
      </c>
      <c r="G2373" s="6">
        <v>0.01</v>
      </c>
      <c r="H2373" s="6">
        <v>79</v>
      </c>
    </row>
    <row r="2374" spans="1:8" ht="18.95" customHeight="1">
      <c r="A2374" s="4">
        <v>2370</v>
      </c>
      <c r="B2374" s="4">
        <v>67676</v>
      </c>
      <c r="C2374" s="4">
        <v>1</v>
      </c>
      <c r="D2374" s="6">
        <v>0</v>
      </c>
      <c r="E2374" s="6">
        <v>-127.56</v>
      </c>
      <c r="F2374" s="6">
        <v>0.47</v>
      </c>
      <c r="G2374" s="6">
        <v>-0.11</v>
      </c>
      <c r="H2374" s="6">
        <v>81</v>
      </c>
    </row>
    <row r="2375" spans="1:8" ht="18.95" customHeight="1">
      <c r="A2375" s="4">
        <v>2371</v>
      </c>
      <c r="B2375" s="4">
        <v>67696</v>
      </c>
      <c r="C2375" s="4">
        <v>1</v>
      </c>
      <c r="D2375" s="6">
        <v>0</v>
      </c>
      <c r="E2375" s="6">
        <v>-175</v>
      </c>
      <c r="F2375" s="6">
        <v>0.46</v>
      </c>
      <c r="G2375" s="6">
        <v>0.01</v>
      </c>
      <c r="H2375" s="6">
        <v>81</v>
      </c>
    </row>
    <row r="2376" spans="1:8" ht="18.95" customHeight="1">
      <c r="A2376" s="4">
        <v>2372</v>
      </c>
      <c r="B2376" s="4">
        <v>67716</v>
      </c>
      <c r="C2376" s="4">
        <v>1</v>
      </c>
      <c r="D2376" s="6">
        <v>0</v>
      </c>
      <c r="E2376" s="6">
        <v>-175.5</v>
      </c>
      <c r="F2376" s="6">
        <v>0.44</v>
      </c>
      <c r="G2376" s="6">
        <v>-0.05</v>
      </c>
      <c r="H2376" s="6">
        <v>79</v>
      </c>
    </row>
    <row r="2377" spans="1:8" ht="18.95" customHeight="1">
      <c r="A2377" s="4">
        <v>2373</v>
      </c>
      <c r="B2377" s="4">
        <v>67736</v>
      </c>
      <c r="C2377" s="4">
        <v>1</v>
      </c>
      <c r="D2377" s="6">
        <v>0</v>
      </c>
      <c r="E2377" s="6">
        <v>-176</v>
      </c>
      <c r="F2377" s="6">
        <v>0.41</v>
      </c>
      <c r="G2377" s="6">
        <v>-0.16</v>
      </c>
      <c r="H2377" s="6">
        <v>79</v>
      </c>
    </row>
    <row r="2378" spans="1:8" ht="18.95" customHeight="1">
      <c r="A2378" s="4">
        <v>2374</v>
      </c>
      <c r="B2378" s="4">
        <v>67756</v>
      </c>
      <c r="C2378" s="4">
        <v>1</v>
      </c>
      <c r="D2378" s="6">
        <v>0</v>
      </c>
      <c r="E2378" s="6">
        <v>-176.44</v>
      </c>
      <c r="F2378" s="6">
        <v>0.4</v>
      </c>
      <c r="G2378" s="6">
        <v>-0.11</v>
      </c>
      <c r="H2378" s="6">
        <v>79</v>
      </c>
    </row>
    <row r="2379" spans="1:8" ht="18.95" customHeight="1">
      <c r="A2379" s="4">
        <v>2375</v>
      </c>
      <c r="B2379" s="4">
        <v>67776</v>
      </c>
      <c r="C2379" s="4">
        <v>1</v>
      </c>
      <c r="D2379" s="6">
        <v>0</v>
      </c>
      <c r="E2379" s="6">
        <v>-176.88</v>
      </c>
      <c r="F2379" s="6">
        <v>0.38</v>
      </c>
      <c r="G2379" s="6">
        <v>0.22</v>
      </c>
      <c r="H2379" s="6">
        <v>79</v>
      </c>
    </row>
    <row r="2380" spans="1:8" ht="18.95" customHeight="1">
      <c r="A2380" s="4">
        <v>2376</v>
      </c>
      <c r="B2380" s="4">
        <v>67796</v>
      </c>
      <c r="C2380" s="4">
        <v>1</v>
      </c>
      <c r="D2380" s="6">
        <v>0</v>
      </c>
      <c r="E2380" s="6">
        <v>-177.25</v>
      </c>
      <c r="F2380" s="6">
        <v>0.39</v>
      </c>
      <c r="G2380" s="6">
        <v>0</v>
      </c>
      <c r="H2380" s="6">
        <v>79</v>
      </c>
    </row>
    <row r="2381" spans="1:8" ht="18.95" customHeight="1">
      <c r="A2381" s="4">
        <v>2377</v>
      </c>
      <c r="B2381" s="4">
        <v>67816</v>
      </c>
      <c r="C2381" s="4">
        <v>1</v>
      </c>
      <c r="D2381" s="6">
        <v>0</v>
      </c>
      <c r="E2381" s="6">
        <v>-177.63</v>
      </c>
      <c r="F2381" s="6">
        <v>0.35</v>
      </c>
      <c r="G2381" s="6">
        <v>0.11</v>
      </c>
      <c r="H2381" s="6">
        <v>76</v>
      </c>
    </row>
    <row r="2382" spans="1:8" ht="18.95" customHeight="1">
      <c r="A2382" s="4">
        <v>2378</v>
      </c>
      <c r="B2382" s="4">
        <v>67836</v>
      </c>
      <c r="C2382" s="4">
        <v>1</v>
      </c>
      <c r="D2382" s="6">
        <v>0</v>
      </c>
      <c r="E2382" s="6">
        <v>-178</v>
      </c>
      <c r="F2382" s="6">
        <v>0.33</v>
      </c>
      <c r="G2382" s="6">
        <v>0.28999999999999998</v>
      </c>
      <c r="H2382" s="6">
        <v>76</v>
      </c>
    </row>
    <row r="2383" spans="1:8" ht="18.95" customHeight="1">
      <c r="A2383" s="4">
        <v>2379</v>
      </c>
      <c r="B2383" s="4">
        <v>67856</v>
      </c>
      <c r="C2383" s="4">
        <v>1</v>
      </c>
      <c r="D2383" s="6">
        <v>0</v>
      </c>
      <c r="E2383" s="6">
        <v>-178.38</v>
      </c>
      <c r="F2383" s="6">
        <v>0.31</v>
      </c>
      <c r="G2383" s="6">
        <v>0.3</v>
      </c>
      <c r="H2383" s="6">
        <v>76</v>
      </c>
    </row>
    <row r="2384" spans="1:8" ht="18.95" customHeight="1">
      <c r="A2384" s="4">
        <v>2380</v>
      </c>
      <c r="B2384" s="4">
        <v>67876</v>
      </c>
      <c r="C2384" s="4">
        <v>1</v>
      </c>
      <c r="D2384" s="6">
        <v>0</v>
      </c>
      <c r="E2384" s="6">
        <v>-178.69</v>
      </c>
      <c r="F2384" s="6">
        <v>0.3</v>
      </c>
      <c r="G2384" s="6">
        <v>-7.0000000000000007E-2</v>
      </c>
      <c r="H2384" s="6">
        <v>73</v>
      </c>
    </row>
    <row r="2385" spans="1:8" ht="18.95" customHeight="1">
      <c r="A2385" s="4">
        <v>2381</v>
      </c>
      <c r="B2385" s="4">
        <v>67896</v>
      </c>
      <c r="C2385" s="4">
        <v>1</v>
      </c>
      <c r="D2385" s="6">
        <v>0</v>
      </c>
      <c r="E2385" s="6">
        <v>-179</v>
      </c>
      <c r="F2385" s="6">
        <v>0.27</v>
      </c>
      <c r="G2385" s="6">
        <v>0.26</v>
      </c>
      <c r="H2385" s="6">
        <v>73</v>
      </c>
    </row>
    <row r="2386" spans="1:8" ht="18.95" customHeight="1">
      <c r="A2386" s="4">
        <v>2382</v>
      </c>
      <c r="B2386" s="4">
        <v>67916</v>
      </c>
      <c r="C2386" s="4">
        <v>1</v>
      </c>
      <c r="D2386" s="6">
        <v>0</v>
      </c>
      <c r="E2386" s="6">
        <v>-179.31</v>
      </c>
      <c r="F2386" s="6">
        <v>0.26</v>
      </c>
      <c r="G2386" s="6">
        <v>0.33</v>
      </c>
      <c r="H2386" s="6">
        <v>73</v>
      </c>
    </row>
    <row r="2387" spans="1:8" ht="18.95" customHeight="1">
      <c r="A2387" s="4">
        <v>2383</v>
      </c>
      <c r="B2387" s="4">
        <v>67936</v>
      </c>
      <c r="C2387" s="4">
        <v>1</v>
      </c>
      <c r="D2387" s="6">
        <v>0</v>
      </c>
      <c r="E2387" s="6">
        <v>-179.56</v>
      </c>
      <c r="F2387" s="6">
        <v>0.23</v>
      </c>
      <c r="G2387" s="6">
        <v>-0.04</v>
      </c>
      <c r="H2387" s="6">
        <v>73</v>
      </c>
    </row>
    <row r="2388" spans="1:8" ht="18.95" customHeight="1">
      <c r="A2388" s="4">
        <v>2384</v>
      </c>
      <c r="B2388" s="4">
        <v>67956</v>
      </c>
      <c r="C2388" s="4">
        <v>1</v>
      </c>
      <c r="D2388" s="6">
        <v>0</v>
      </c>
      <c r="E2388" s="6">
        <v>-179.81</v>
      </c>
      <c r="F2388" s="6">
        <v>0.23</v>
      </c>
      <c r="G2388" s="6">
        <v>-0.02</v>
      </c>
      <c r="H2388" s="6">
        <v>73</v>
      </c>
    </row>
    <row r="2389" spans="1:8" ht="18.95" customHeight="1">
      <c r="A2389" s="4">
        <v>2385</v>
      </c>
      <c r="B2389" s="4">
        <v>67976</v>
      </c>
      <c r="C2389" s="4">
        <v>1</v>
      </c>
      <c r="D2389" s="6">
        <v>0</v>
      </c>
      <c r="E2389" s="6">
        <v>179.88</v>
      </c>
      <c r="F2389" s="6">
        <v>0.21</v>
      </c>
      <c r="G2389" s="6">
        <v>0.14000000000000001</v>
      </c>
      <c r="H2389" s="6">
        <v>68</v>
      </c>
    </row>
    <row r="2390" spans="1:8" ht="18.95" customHeight="1">
      <c r="A2390" s="4">
        <v>2386</v>
      </c>
      <c r="B2390" s="4">
        <v>67996</v>
      </c>
      <c r="C2390" s="4">
        <v>1</v>
      </c>
      <c r="D2390" s="6">
        <v>0</v>
      </c>
      <c r="E2390" s="6">
        <v>179.69</v>
      </c>
      <c r="F2390" s="6">
        <v>0.18</v>
      </c>
      <c r="G2390" s="6">
        <v>0.28000000000000003</v>
      </c>
      <c r="H2390" s="6">
        <v>68</v>
      </c>
    </row>
    <row r="2391" spans="1:8" ht="18.95" customHeight="1">
      <c r="A2391" s="4">
        <v>2387</v>
      </c>
      <c r="B2391" s="4">
        <v>68016</v>
      </c>
      <c r="C2391" s="4">
        <v>1</v>
      </c>
      <c r="D2391" s="6">
        <v>0</v>
      </c>
      <c r="E2391" s="6">
        <v>179.5</v>
      </c>
      <c r="F2391" s="6">
        <v>0.15</v>
      </c>
      <c r="G2391" s="6">
        <v>-7.0000000000000007E-2</v>
      </c>
      <c r="H2391" s="6">
        <v>64</v>
      </c>
    </row>
    <row r="2392" spans="1:8" ht="18.95" customHeight="1">
      <c r="A2392" s="4">
        <v>2388</v>
      </c>
      <c r="B2392" s="4">
        <v>68036</v>
      </c>
      <c r="C2392" s="4">
        <v>1</v>
      </c>
      <c r="D2392" s="6">
        <v>0</v>
      </c>
      <c r="E2392" s="6">
        <v>179.31</v>
      </c>
      <c r="F2392" s="6">
        <v>0.13</v>
      </c>
      <c r="G2392" s="6">
        <v>7.0000000000000007E-2</v>
      </c>
      <c r="H2392" s="6">
        <v>64</v>
      </c>
    </row>
    <row r="2393" spans="1:8" ht="18.95" customHeight="1">
      <c r="A2393" s="4">
        <v>2389</v>
      </c>
      <c r="B2393" s="4">
        <v>68056</v>
      </c>
      <c r="C2393" s="4">
        <v>1</v>
      </c>
      <c r="D2393" s="6">
        <v>0</v>
      </c>
      <c r="E2393" s="6">
        <v>179.19</v>
      </c>
      <c r="F2393" s="6">
        <v>0.11</v>
      </c>
      <c r="G2393" s="6">
        <v>0</v>
      </c>
      <c r="H2393" s="6">
        <v>64</v>
      </c>
    </row>
    <row r="2394" spans="1:8" ht="18.95" customHeight="1">
      <c r="A2394" s="4">
        <v>2390</v>
      </c>
      <c r="B2394" s="4">
        <v>68076</v>
      </c>
      <c r="C2394" s="4">
        <v>1</v>
      </c>
      <c r="D2394" s="6">
        <v>0</v>
      </c>
      <c r="E2394" s="6">
        <v>179.13</v>
      </c>
      <c r="F2394" s="6">
        <v>0.08</v>
      </c>
      <c r="G2394" s="6">
        <v>0.04</v>
      </c>
      <c r="H2394" s="6">
        <v>63</v>
      </c>
    </row>
    <row r="2395" spans="1:8" ht="18.95" customHeight="1">
      <c r="A2395" s="4">
        <v>2391</v>
      </c>
      <c r="B2395" s="4">
        <v>68096</v>
      </c>
      <c r="C2395" s="4">
        <v>1</v>
      </c>
      <c r="D2395" s="6">
        <v>0</v>
      </c>
      <c r="E2395" s="6">
        <v>179</v>
      </c>
      <c r="F2395" s="6">
        <v>0.06</v>
      </c>
      <c r="G2395" s="6">
        <v>0.08</v>
      </c>
      <c r="H2395" s="6">
        <v>63</v>
      </c>
    </row>
    <row r="2396" spans="1:8" ht="18.95" customHeight="1">
      <c r="A2396" s="4">
        <v>2392</v>
      </c>
      <c r="B2396" s="4">
        <v>68116</v>
      </c>
      <c r="C2396" s="4">
        <v>1</v>
      </c>
      <c r="D2396" s="6">
        <v>0</v>
      </c>
      <c r="E2396" s="6">
        <v>179</v>
      </c>
      <c r="F2396" s="6">
        <v>0.04</v>
      </c>
      <c r="G2396" s="6">
        <v>0.1</v>
      </c>
      <c r="H2396" s="6">
        <v>59</v>
      </c>
    </row>
    <row r="2397" spans="1:8" ht="18.95" customHeight="1">
      <c r="A2397" s="4">
        <v>2393</v>
      </c>
      <c r="B2397" s="4">
        <v>68136</v>
      </c>
      <c r="C2397" s="4">
        <v>0</v>
      </c>
      <c r="D2397" s="6">
        <v>0</v>
      </c>
      <c r="E2397" s="6">
        <v>178.94</v>
      </c>
      <c r="F2397" s="6">
        <v>0.02</v>
      </c>
      <c r="G2397" s="6">
        <v>0.18</v>
      </c>
      <c r="H2397" s="6">
        <v>59</v>
      </c>
    </row>
    <row r="2398" spans="1:8" ht="18.95" customHeight="1">
      <c r="A2398" s="4">
        <v>2394</v>
      </c>
      <c r="B2398" s="4">
        <v>68156</v>
      </c>
      <c r="C2398" s="4">
        <v>0</v>
      </c>
      <c r="D2398" s="6">
        <v>0</v>
      </c>
      <c r="E2398" s="6">
        <v>178.94</v>
      </c>
      <c r="F2398" s="6">
        <v>-0.01</v>
      </c>
      <c r="G2398" s="6">
        <v>0.12</v>
      </c>
      <c r="H2398" s="6">
        <v>59</v>
      </c>
    </row>
    <row r="2399" spans="1:8" ht="18.95" customHeight="1">
      <c r="A2399" s="4">
        <v>2395</v>
      </c>
      <c r="B2399" s="4">
        <v>68176</v>
      </c>
      <c r="C2399" s="4">
        <v>0</v>
      </c>
      <c r="D2399" s="6">
        <v>0</v>
      </c>
      <c r="E2399" s="6">
        <v>179</v>
      </c>
      <c r="F2399" s="6">
        <v>-0.03</v>
      </c>
      <c r="G2399" s="6">
        <v>0.06</v>
      </c>
      <c r="H2399" s="6">
        <v>56</v>
      </c>
    </row>
    <row r="2400" spans="1:8" ht="18.95" customHeight="1">
      <c r="A2400" s="4">
        <v>2396</v>
      </c>
      <c r="B2400" s="4">
        <v>68196</v>
      </c>
      <c r="C2400" s="4">
        <v>0</v>
      </c>
      <c r="D2400" s="6">
        <v>0</v>
      </c>
      <c r="E2400" s="6">
        <v>179.06</v>
      </c>
      <c r="F2400" s="6">
        <v>-0.06</v>
      </c>
      <c r="G2400" s="6">
        <v>-0.01</v>
      </c>
      <c r="H2400" s="6">
        <v>56</v>
      </c>
    </row>
    <row r="2401" spans="1:8" ht="18.95" customHeight="1">
      <c r="A2401" s="4">
        <v>2397</v>
      </c>
      <c r="B2401" s="4">
        <v>68216</v>
      </c>
      <c r="C2401" s="4">
        <v>1</v>
      </c>
      <c r="D2401" s="6">
        <v>0</v>
      </c>
      <c r="E2401" s="6">
        <v>179.13</v>
      </c>
      <c r="F2401" s="6">
        <v>-0.09</v>
      </c>
      <c r="G2401" s="6">
        <v>0.11</v>
      </c>
      <c r="H2401" s="6">
        <v>55</v>
      </c>
    </row>
    <row r="2402" spans="1:8" ht="18.95" customHeight="1">
      <c r="A2402" s="4">
        <v>2398</v>
      </c>
      <c r="B2402" s="4">
        <v>68236</v>
      </c>
      <c r="C2402" s="4">
        <v>1</v>
      </c>
      <c r="D2402" s="6">
        <v>0</v>
      </c>
      <c r="E2402" s="6">
        <v>179.25</v>
      </c>
      <c r="F2402" s="6">
        <v>-0.11</v>
      </c>
      <c r="G2402" s="6">
        <v>0.05</v>
      </c>
      <c r="H2402" s="6">
        <v>55</v>
      </c>
    </row>
    <row r="2403" spans="1:8" ht="18.95" customHeight="1">
      <c r="A2403" s="4">
        <v>2399</v>
      </c>
      <c r="B2403" s="4">
        <v>68256</v>
      </c>
      <c r="C2403" s="4">
        <v>1</v>
      </c>
      <c r="D2403" s="6">
        <v>0</v>
      </c>
      <c r="E2403" s="6">
        <v>179.38</v>
      </c>
      <c r="F2403" s="6">
        <v>-0.14000000000000001</v>
      </c>
      <c r="G2403" s="6">
        <v>-0.04</v>
      </c>
      <c r="H2403" s="6">
        <v>55</v>
      </c>
    </row>
    <row r="2404" spans="1:8" ht="18.95" customHeight="1">
      <c r="A2404" s="4">
        <v>2400</v>
      </c>
      <c r="B2404" s="4">
        <v>68276</v>
      </c>
      <c r="C2404" s="4">
        <v>1</v>
      </c>
      <c r="D2404" s="6">
        <v>0</v>
      </c>
      <c r="E2404" s="6">
        <v>179.5</v>
      </c>
      <c r="F2404" s="6">
        <v>-0.16</v>
      </c>
      <c r="G2404" s="6">
        <v>0.19</v>
      </c>
      <c r="H2404" s="6">
        <v>50</v>
      </c>
    </row>
    <row r="2405" spans="1:8" ht="18.95" customHeight="1">
      <c r="A2405" s="4">
        <v>2401</v>
      </c>
      <c r="B2405" s="4">
        <v>68296</v>
      </c>
      <c r="C2405" s="4">
        <v>1</v>
      </c>
      <c r="D2405" s="6">
        <v>0</v>
      </c>
      <c r="E2405" s="6">
        <v>179.75</v>
      </c>
      <c r="F2405" s="6">
        <v>-0.18</v>
      </c>
      <c r="G2405" s="6">
        <v>0.21</v>
      </c>
      <c r="H2405" s="6">
        <v>50</v>
      </c>
    </row>
    <row r="2406" spans="1:8" ht="18.95" customHeight="1">
      <c r="A2406" s="4">
        <v>2402</v>
      </c>
      <c r="B2406" s="4">
        <v>68316</v>
      </c>
      <c r="C2406" s="4">
        <v>1</v>
      </c>
      <c r="D2406" s="6">
        <v>600</v>
      </c>
      <c r="E2406" s="6">
        <v>179.94</v>
      </c>
      <c r="F2406" s="6">
        <v>-0.21</v>
      </c>
      <c r="G2406" s="6">
        <v>-0.1</v>
      </c>
      <c r="H2406" s="6">
        <v>47</v>
      </c>
    </row>
    <row r="2407" spans="1:8" ht="18.95" customHeight="1">
      <c r="A2407" s="4">
        <v>2403</v>
      </c>
      <c r="B2407" s="4">
        <v>68336</v>
      </c>
      <c r="C2407" s="4">
        <v>1</v>
      </c>
      <c r="D2407" s="6">
        <v>600</v>
      </c>
      <c r="E2407" s="6">
        <v>-179.75</v>
      </c>
      <c r="F2407" s="6">
        <v>-0.23</v>
      </c>
      <c r="G2407" s="6">
        <v>0.18</v>
      </c>
      <c r="H2407" s="6">
        <v>47</v>
      </c>
    </row>
    <row r="2408" spans="1:8" ht="18.95" customHeight="1">
      <c r="A2408" s="4">
        <v>2404</v>
      </c>
      <c r="B2408" s="4">
        <v>68356</v>
      </c>
      <c r="C2408" s="4">
        <v>1</v>
      </c>
      <c r="D2408" s="6">
        <v>600</v>
      </c>
      <c r="E2408" s="6">
        <v>-179.5</v>
      </c>
      <c r="F2408" s="6">
        <v>-0.24</v>
      </c>
      <c r="G2408" s="6">
        <v>0.08</v>
      </c>
      <c r="H2408" s="6">
        <v>47</v>
      </c>
    </row>
    <row r="2409" spans="1:8" ht="18.95" customHeight="1">
      <c r="A2409" s="4">
        <v>2405</v>
      </c>
      <c r="B2409" s="4">
        <v>68376</v>
      </c>
      <c r="C2409" s="4">
        <v>1</v>
      </c>
      <c r="D2409" s="6">
        <v>600</v>
      </c>
      <c r="E2409" s="6">
        <v>-179.25</v>
      </c>
      <c r="F2409" s="6">
        <v>-0.26</v>
      </c>
      <c r="G2409" s="6">
        <v>0.12</v>
      </c>
      <c r="H2409" s="6">
        <v>41</v>
      </c>
    </row>
    <row r="2410" spans="1:8" ht="18.95" customHeight="1">
      <c r="A2410" s="4">
        <v>2406</v>
      </c>
      <c r="B2410" s="4">
        <v>68396</v>
      </c>
      <c r="C2410" s="4">
        <v>1</v>
      </c>
      <c r="D2410" s="6">
        <v>600</v>
      </c>
      <c r="E2410" s="6">
        <v>-178.94</v>
      </c>
      <c r="F2410" s="6">
        <v>-0.28000000000000003</v>
      </c>
      <c r="G2410" s="6">
        <v>0.01</v>
      </c>
      <c r="H2410" s="6">
        <v>41</v>
      </c>
    </row>
    <row r="2411" spans="1:8" ht="18.95" customHeight="1">
      <c r="A2411" s="4">
        <v>2407</v>
      </c>
      <c r="B2411" s="4">
        <v>68416</v>
      </c>
      <c r="C2411" s="4">
        <v>1</v>
      </c>
      <c r="D2411" s="6">
        <v>0</v>
      </c>
      <c r="E2411" s="6">
        <v>-178.56</v>
      </c>
      <c r="F2411" s="6">
        <v>-0.33</v>
      </c>
      <c r="G2411" s="6">
        <v>0.18</v>
      </c>
      <c r="H2411" s="6">
        <v>37</v>
      </c>
    </row>
    <row r="2412" spans="1:8" ht="18.95" customHeight="1">
      <c r="A2412" s="4">
        <v>2408</v>
      </c>
      <c r="B2412" s="4">
        <v>68436</v>
      </c>
      <c r="C2412" s="4">
        <v>1</v>
      </c>
      <c r="D2412" s="6">
        <v>0</v>
      </c>
      <c r="E2412" s="6">
        <v>-178.25</v>
      </c>
      <c r="F2412" s="6">
        <v>-0.32</v>
      </c>
      <c r="G2412" s="6">
        <v>-0.08</v>
      </c>
      <c r="H2412" s="6">
        <v>37</v>
      </c>
    </row>
    <row r="2413" spans="1:8" ht="18.95" customHeight="1">
      <c r="A2413" s="4">
        <v>2409</v>
      </c>
      <c r="B2413" s="4">
        <v>68456</v>
      </c>
      <c r="C2413" s="4">
        <v>1</v>
      </c>
      <c r="D2413" s="6">
        <v>0</v>
      </c>
      <c r="E2413" s="6">
        <v>-177.88</v>
      </c>
      <c r="F2413" s="6">
        <v>-0.35</v>
      </c>
      <c r="G2413" s="6">
        <v>-0.15</v>
      </c>
      <c r="H2413" s="6">
        <v>37</v>
      </c>
    </row>
    <row r="2414" spans="1:8" ht="18.95" customHeight="1">
      <c r="A2414" s="4">
        <v>2410</v>
      </c>
      <c r="B2414" s="4">
        <v>68476</v>
      </c>
      <c r="C2414" s="4">
        <v>1</v>
      </c>
      <c r="D2414" s="6">
        <v>0</v>
      </c>
      <c r="E2414" s="6">
        <v>-177.44</v>
      </c>
      <c r="F2414" s="6">
        <v>-0.36</v>
      </c>
      <c r="G2414" s="6">
        <v>0.11</v>
      </c>
      <c r="H2414" s="6">
        <v>34</v>
      </c>
    </row>
    <row r="2415" spans="1:8" ht="18.95" customHeight="1">
      <c r="A2415" s="4">
        <v>2411</v>
      </c>
      <c r="B2415" s="4">
        <v>68496</v>
      </c>
      <c r="C2415" s="4">
        <v>1</v>
      </c>
      <c r="D2415" s="6">
        <v>0</v>
      </c>
      <c r="E2415" s="6">
        <v>-177</v>
      </c>
      <c r="F2415" s="6">
        <v>-0.4</v>
      </c>
      <c r="G2415" s="6">
        <v>0.03</v>
      </c>
      <c r="H2415" s="6">
        <v>34</v>
      </c>
    </row>
    <row r="2416" spans="1:8" ht="18.95" customHeight="1">
      <c r="A2416" s="4">
        <v>2412</v>
      </c>
      <c r="B2416" s="4">
        <v>68516</v>
      </c>
      <c r="C2416" s="4">
        <v>1</v>
      </c>
      <c r="D2416" s="6">
        <v>0</v>
      </c>
      <c r="E2416" s="6">
        <v>-176.56</v>
      </c>
      <c r="F2416" s="6">
        <v>-0.41</v>
      </c>
      <c r="G2416" s="6">
        <v>0.08</v>
      </c>
      <c r="H2416" s="6">
        <v>33</v>
      </c>
    </row>
    <row r="2417" spans="1:8" ht="18.95" customHeight="1">
      <c r="A2417" s="4">
        <v>2413</v>
      </c>
      <c r="B2417" s="4">
        <v>68536</v>
      </c>
      <c r="C2417" s="4">
        <v>1</v>
      </c>
      <c r="D2417" s="6">
        <v>0</v>
      </c>
      <c r="E2417" s="6">
        <v>-176.06</v>
      </c>
      <c r="F2417" s="6">
        <v>-0.44</v>
      </c>
      <c r="G2417" s="6">
        <v>0.02</v>
      </c>
      <c r="H2417" s="6">
        <v>33</v>
      </c>
    </row>
    <row r="2418" spans="1:8" ht="18.95" customHeight="1">
      <c r="A2418" s="4">
        <v>2414</v>
      </c>
      <c r="B2418" s="4">
        <v>68556</v>
      </c>
      <c r="C2418" s="4">
        <v>1</v>
      </c>
      <c r="D2418" s="6">
        <v>0</v>
      </c>
      <c r="E2418" s="6">
        <v>-175.56</v>
      </c>
      <c r="F2418" s="6">
        <v>-0.46</v>
      </c>
      <c r="G2418" s="6">
        <v>0.01</v>
      </c>
      <c r="H2418" s="6">
        <v>33</v>
      </c>
    </row>
    <row r="2419" spans="1:8" ht="18.95" customHeight="1">
      <c r="A2419" s="4">
        <v>2415</v>
      </c>
      <c r="B2419" s="4">
        <v>68576</v>
      </c>
      <c r="C2419" s="4">
        <v>1</v>
      </c>
      <c r="D2419" s="6">
        <v>0</v>
      </c>
      <c r="E2419" s="6">
        <v>-175.06</v>
      </c>
      <c r="F2419" s="6">
        <v>-0.49</v>
      </c>
      <c r="G2419" s="6">
        <v>0.24</v>
      </c>
      <c r="H2419" s="6">
        <v>28</v>
      </c>
    </row>
    <row r="2420" spans="1:8" ht="18.95" customHeight="1">
      <c r="A2420" s="4">
        <v>2416</v>
      </c>
      <c r="B2420" s="4">
        <v>68596</v>
      </c>
      <c r="C2420" s="4">
        <v>1</v>
      </c>
      <c r="D2420" s="6">
        <v>0</v>
      </c>
      <c r="E2420" s="6">
        <v>-127.06</v>
      </c>
      <c r="F2420" s="6">
        <v>-0.49</v>
      </c>
      <c r="G2420" s="6">
        <v>0.26</v>
      </c>
      <c r="H2420" s="6">
        <v>28</v>
      </c>
    </row>
    <row r="2421" spans="1:8" ht="18.95" customHeight="1">
      <c r="A2421" s="4">
        <v>2417</v>
      </c>
      <c r="B2421" s="4">
        <v>68616</v>
      </c>
      <c r="C2421" s="4">
        <v>1</v>
      </c>
      <c r="D2421" s="6">
        <v>0</v>
      </c>
      <c r="E2421" s="6">
        <v>-124.37</v>
      </c>
      <c r="F2421" s="6">
        <v>-0.51</v>
      </c>
      <c r="G2421" s="6">
        <v>0.26</v>
      </c>
      <c r="H2421" s="6">
        <v>27</v>
      </c>
    </row>
    <row r="2422" spans="1:8" ht="18.95" customHeight="1">
      <c r="A2422" s="4">
        <v>2418</v>
      </c>
      <c r="B2422" s="4">
        <v>68636</v>
      </c>
      <c r="C2422" s="4">
        <v>1</v>
      </c>
      <c r="D2422" s="6">
        <v>0</v>
      </c>
      <c r="E2422" s="6">
        <v>-122</v>
      </c>
      <c r="F2422" s="6">
        <v>-0.53</v>
      </c>
      <c r="G2422" s="6">
        <v>0.06</v>
      </c>
      <c r="H2422" s="6">
        <v>27</v>
      </c>
    </row>
    <row r="2423" spans="1:8" ht="18.95" customHeight="1">
      <c r="A2423" s="4">
        <v>2419</v>
      </c>
      <c r="B2423" s="4">
        <v>68656</v>
      </c>
      <c r="C2423" s="4">
        <v>1</v>
      </c>
      <c r="D2423" s="6">
        <v>0</v>
      </c>
      <c r="E2423" s="6">
        <v>-119.75</v>
      </c>
      <c r="F2423" s="6">
        <v>-0.56000000000000005</v>
      </c>
      <c r="G2423" s="6">
        <v>0.02</v>
      </c>
      <c r="H2423" s="6">
        <v>27</v>
      </c>
    </row>
    <row r="2424" spans="1:8" ht="18.95" customHeight="1">
      <c r="A2424" s="4">
        <v>2420</v>
      </c>
      <c r="B2424" s="4">
        <v>68676</v>
      </c>
      <c r="C2424" s="4">
        <v>1</v>
      </c>
      <c r="D2424" s="6">
        <v>0</v>
      </c>
      <c r="E2424" s="6">
        <v>-117.75</v>
      </c>
      <c r="F2424" s="6">
        <v>-0.56000000000000005</v>
      </c>
      <c r="G2424" s="6">
        <v>7.0000000000000007E-2</v>
      </c>
      <c r="H2424" s="6">
        <v>22</v>
      </c>
    </row>
    <row r="2425" spans="1:8" ht="18.95" customHeight="1">
      <c r="A2425" s="4">
        <v>2421</v>
      </c>
      <c r="B2425" s="4">
        <v>68696</v>
      </c>
      <c r="C2425" s="4">
        <v>1</v>
      </c>
      <c r="D2425" s="6">
        <v>0</v>
      </c>
      <c r="E2425" s="6">
        <v>-116.06</v>
      </c>
      <c r="F2425" s="6">
        <v>-0.54</v>
      </c>
      <c r="G2425" s="6">
        <v>0.24</v>
      </c>
      <c r="H2425" s="6">
        <v>22</v>
      </c>
    </row>
    <row r="2426" spans="1:8" ht="18.95" customHeight="1">
      <c r="A2426" s="4">
        <v>2422</v>
      </c>
      <c r="B2426" s="4">
        <v>68716</v>
      </c>
      <c r="C2426" s="4">
        <v>1</v>
      </c>
      <c r="D2426" s="6">
        <v>0</v>
      </c>
      <c r="E2426" s="6">
        <v>-114.5</v>
      </c>
      <c r="F2426" s="6">
        <v>-0.55000000000000004</v>
      </c>
      <c r="G2426" s="6">
        <v>0.14000000000000001</v>
      </c>
      <c r="H2426" s="6">
        <v>21</v>
      </c>
    </row>
    <row r="2427" spans="1:8" ht="18.95" customHeight="1">
      <c r="A2427" s="4">
        <v>2423</v>
      </c>
      <c r="B2427" s="4">
        <v>68736</v>
      </c>
      <c r="C2427" s="4">
        <v>1</v>
      </c>
      <c r="D2427" s="6">
        <v>0</v>
      </c>
      <c r="E2427" s="6">
        <v>-113.06</v>
      </c>
      <c r="F2427" s="6">
        <v>-0.6</v>
      </c>
      <c r="G2427" s="6">
        <v>0.28999999999999998</v>
      </c>
      <c r="H2427" s="6">
        <v>21</v>
      </c>
    </row>
    <row r="2428" spans="1:8" ht="18.95" customHeight="1">
      <c r="A2428" s="4">
        <v>2424</v>
      </c>
      <c r="B2428" s="4">
        <v>68756</v>
      </c>
      <c r="C2428" s="4">
        <v>1</v>
      </c>
      <c r="D2428" s="6">
        <v>0</v>
      </c>
      <c r="E2428" s="6">
        <v>-111.69</v>
      </c>
      <c r="F2428" s="6">
        <v>-0.59</v>
      </c>
      <c r="G2428" s="6">
        <v>0.18</v>
      </c>
      <c r="H2428" s="6">
        <v>21</v>
      </c>
    </row>
    <row r="2429" spans="1:8" ht="18.95" customHeight="1">
      <c r="A2429" s="4">
        <v>2425</v>
      </c>
      <c r="B2429" s="4">
        <v>68776</v>
      </c>
      <c r="C2429" s="4">
        <v>1</v>
      </c>
      <c r="D2429" s="6">
        <v>0</v>
      </c>
      <c r="E2429" s="6">
        <v>-110.5</v>
      </c>
      <c r="F2429" s="6">
        <v>-0.6</v>
      </c>
      <c r="G2429" s="6">
        <v>0.13</v>
      </c>
      <c r="H2429" s="6">
        <v>20</v>
      </c>
    </row>
    <row r="2430" spans="1:8" ht="18.95" customHeight="1">
      <c r="A2430" s="4">
        <v>2426</v>
      </c>
      <c r="B2430" s="4">
        <v>68796</v>
      </c>
      <c r="C2430" s="4">
        <v>1</v>
      </c>
      <c r="D2430" s="6">
        <v>0</v>
      </c>
      <c r="E2430" s="6">
        <v>-109.44</v>
      </c>
      <c r="F2430" s="6">
        <v>-0.6</v>
      </c>
      <c r="G2430" s="6">
        <v>0.05</v>
      </c>
      <c r="H2430" s="6">
        <v>20</v>
      </c>
    </row>
    <row r="2431" spans="1:8" ht="18.95" customHeight="1">
      <c r="A2431" s="4">
        <v>2427</v>
      </c>
      <c r="B2431" s="4">
        <v>68816</v>
      </c>
      <c r="C2431" s="4">
        <v>1</v>
      </c>
      <c r="D2431" s="6">
        <v>0</v>
      </c>
      <c r="E2431" s="6">
        <v>-108.44</v>
      </c>
      <c r="F2431" s="6">
        <v>-0.63</v>
      </c>
      <c r="G2431" s="6">
        <v>0.02</v>
      </c>
      <c r="H2431" s="6">
        <v>18</v>
      </c>
    </row>
    <row r="2432" spans="1:8" ht="18.95" customHeight="1">
      <c r="A2432" s="4">
        <v>2428</v>
      </c>
      <c r="B2432" s="4">
        <v>68836</v>
      </c>
      <c r="C2432" s="4">
        <v>1</v>
      </c>
      <c r="D2432" s="6">
        <v>0</v>
      </c>
      <c r="E2432" s="6">
        <v>-107.5</v>
      </c>
      <c r="F2432" s="6">
        <v>-0.62</v>
      </c>
      <c r="G2432" s="6">
        <v>0.12</v>
      </c>
      <c r="H2432" s="6">
        <v>18</v>
      </c>
    </row>
    <row r="2433" spans="1:8" ht="18.95" customHeight="1">
      <c r="A2433" s="4">
        <v>2429</v>
      </c>
      <c r="B2433" s="4">
        <v>68856</v>
      </c>
      <c r="C2433" s="4">
        <v>1</v>
      </c>
      <c r="D2433" s="6">
        <v>0</v>
      </c>
      <c r="E2433" s="6">
        <v>-106.69</v>
      </c>
      <c r="F2433" s="6">
        <v>-0.6</v>
      </c>
      <c r="G2433" s="6">
        <v>7.0000000000000007E-2</v>
      </c>
      <c r="H2433" s="6">
        <v>18</v>
      </c>
    </row>
    <row r="2434" spans="1:8" ht="18.95" customHeight="1">
      <c r="A2434" s="4">
        <v>2430</v>
      </c>
      <c r="B2434" s="4">
        <v>68876</v>
      </c>
      <c r="C2434" s="4">
        <v>1</v>
      </c>
      <c r="D2434" s="6">
        <v>0</v>
      </c>
      <c r="E2434" s="6">
        <v>-105.94</v>
      </c>
      <c r="F2434" s="6">
        <v>-0.6</v>
      </c>
      <c r="G2434" s="6">
        <v>0.35</v>
      </c>
      <c r="H2434" s="6">
        <v>17</v>
      </c>
    </row>
    <row r="2435" spans="1:8" ht="18.95" customHeight="1">
      <c r="A2435" s="4">
        <v>2431</v>
      </c>
      <c r="B2435" s="4">
        <v>68896</v>
      </c>
      <c r="C2435" s="4">
        <v>1</v>
      </c>
      <c r="D2435" s="6">
        <v>0</v>
      </c>
      <c r="E2435" s="6">
        <v>-105.19</v>
      </c>
      <c r="F2435" s="6">
        <v>-0.61</v>
      </c>
      <c r="G2435" s="6">
        <v>0.1</v>
      </c>
      <c r="H2435" s="6">
        <v>17</v>
      </c>
    </row>
    <row r="2436" spans="1:8" ht="18.95" customHeight="1">
      <c r="A2436" s="4">
        <v>2432</v>
      </c>
      <c r="B2436" s="4">
        <v>68917</v>
      </c>
      <c r="C2436" s="4">
        <v>1</v>
      </c>
      <c r="D2436" s="6">
        <v>0</v>
      </c>
      <c r="E2436" s="6">
        <v>-104.62</v>
      </c>
      <c r="F2436" s="6">
        <v>-0.56000000000000005</v>
      </c>
      <c r="G2436" s="6">
        <v>0</v>
      </c>
      <c r="H2436" s="6">
        <v>18</v>
      </c>
    </row>
    <row r="2437" spans="1:8" ht="18.95" customHeight="1">
      <c r="A2437" s="4">
        <v>2433</v>
      </c>
      <c r="B2437" s="4">
        <v>68937</v>
      </c>
      <c r="C2437" s="4">
        <v>1</v>
      </c>
      <c r="D2437" s="6">
        <v>0</v>
      </c>
      <c r="E2437" s="6">
        <v>-104.06</v>
      </c>
      <c r="F2437" s="6">
        <v>-0.55000000000000004</v>
      </c>
      <c r="G2437" s="6">
        <v>0</v>
      </c>
      <c r="H2437" s="6">
        <v>18</v>
      </c>
    </row>
    <row r="2438" spans="1:8" ht="18.95" customHeight="1">
      <c r="A2438" s="4">
        <v>2434</v>
      </c>
      <c r="B2438" s="4">
        <v>68957</v>
      </c>
      <c r="C2438" s="4">
        <v>1</v>
      </c>
      <c r="D2438" s="6">
        <v>0</v>
      </c>
      <c r="E2438" s="6">
        <v>-103.62</v>
      </c>
      <c r="F2438" s="6">
        <v>-0.54</v>
      </c>
      <c r="G2438" s="6">
        <v>0</v>
      </c>
      <c r="H2438" s="6">
        <v>18</v>
      </c>
    </row>
    <row r="2439" spans="1:8" ht="18.95" customHeight="1">
      <c r="A2439" s="4">
        <v>2435</v>
      </c>
      <c r="B2439" s="4">
        <v>68977</v>
      </c>
      <c r="C2439" s="4">
        <v>1</v>
      </c>
      <c r="D2439" s="6">
        <v>0</v>
      </c>
      <c r="E2439" s="6">
        <v>-103.25</v>
      </c>
      <c r="F2439" s="6">
        <v>-0.55000000000000004</v>
      </c>
      <c r="G2439" s="6">
        <v>0.14000000000000001</v>
      </c>
      <c r="H2439" s="6">
        <v>17</v>
      </c>
    </row>
    <row r="2440" spans="1:8" ht="18.95" customHeight="1">
      <c r="A2440" s="4">
        <v>2436</v>
      </c>
      <c r="B2440" s="4">
        <v>68997</v>
      </c>
      <c r="C2440" s="4">
        <v>1</v>
      </c>
      <c r="D2440" s="6">
        <v>0</v>
      </c>
      <c r="E2440" s="6">
        <v>-102.81</v>
      </c>
      <c r="F2440" s="6">
        <v>-0.55000000000000004</v>
      </c>
      <c r="G2440" s="6">
        <v>0.03</v>
      </c>
      <c r="H2440" s="6">
        <v>17</v>
      </c>
    </row>
    <row r="2441" spans="1:8" ht="18.95" customHeight="1">
      <c r="A2441" s="4">
        <v>2437</v>
      </c>
      <c r="B2441" s="4">
        <v>69017</v>
      </c>
      <c r="C2441" s="4">
        <v>1</v>
      </c>
      <c r="D2441" s="6">
        <v>0</v>
      </c>
      <c r="E2441" s="6">
        <v>-102.44</v>
      </c>
      <c r="F2441" s="6">
        <v>-0.52</v>
      </c>
      <c r="G2441" s="6">
        <v>0.05</v>
      </c>
      <c r="H2441" s="6">
        <v>20</v>
      </c>
    </row>
    <row r="2442" spans="1:8" ht="18.95" customHeight="1">
      <c r="A2442" s="4">
        <v>2438</v>
      </c>
      <c r="B2442" s="4">
        <v>69037</v>
      </c>
      <c r="C2442" s="4">
        <v>1</v>
      </c>
      <c r="D2442" s="6">
        <v>0</v>
      </c>
      <c r="E2442" s="6">
        <v>-102.06</v>
      </c>
      <c r="F2442" s="6">
        <v>-0.54</v>
      </c>
      <c r="G2442" s="6">
        <v>0.16</v>
      </c>
      <c r="H2442" s="6">
        <v>20</v>
      </c>
    </row>
    <row r="2443" spans="1:8" ht="18.95" customHeight="1">
      <c r="A2443" s="4">
        <v>2439</v>
      </c>
      <c r="B2443" s="4">
        <v>69057</v>
      </c>
      <c r="C2443" s="4">
        <v>1</v>
      </c>
      <c r="D2443" s="6">
        <v>0</v>
      </c>
      <c r="E2443" s="6">
        <v>-101.75</v>
      </c>
      <c r="F2443" s="6">
        <v>-0.53</v>
      </c>
      <c r="G2443" s="6">
        <v>0.11</v>
      </c>
      <c r="H2443" s="6">
        <v>20</v>
      </c>
    </row>
    <row r="2444" spans="1:8" ht="18.95" customHeight="1">
      <c r="A2444" s="4">
        <v>2440</v>
      </c>
      <c r="B2444" s="4">
        <v>69078</v>
      </c>
      <c r="C2444" s="4">
        <v>1</v>
      </c>
      <c r="D2444" s="6">
        <v>0</v>
      </c>
      <c r="E2444" s="6">
        <v>-101.37</v>
      </c>
      <c r="F2444" s="6">
        <v>-0.52</v>
      </c>
      <c r="G2444" s="6">
        <v>0.02</v>
      </c>
      <c r="H2444" s="6">
        <v>22</v>
      </c>
    </row>
    <row r="2445" spans="1:8" ht="18.95" customHeight="1">
      <c r="A2445" s="4">
        <v>2441</v>
      </c>
      <c r="B2445" s="4">
        <v>69098</v>
      </c>
      <c r="C2445" s="4">
        <v>1</v>
      </c>
      <c r="D2445" s="6">
        <v>0</v>
      </c>
      <c r="E2445" s="6">
        <v>-101.12</v>
      </c>
      <c r="F2445" s="6">
        <v>-0.48</v>
      </c>
      <c r="G2445" s="6">
        <v>0.11</v>
      </c>
      <c r="H2445" s="6">
        <v>22</v>
      </c>
    </row>
    <row r="2446" spans="1:8" ht="18.95" customHeight="1">
      <c r="A2446" s="4">
        <v>2442</v>
      </c>
      <c r="B2446" s="4">
        <v>69118</v>
      </c>
      <c r="C2446" s="4">
        <v>1</v>
      </c>
      <c r="D2446" s="6">
        <v>0</v>
      </c>
      <c r="E2446" s="6">
        <v>-100.81</v>
      </c>
      <c r="F2446" s="6">
        <v>-0.45</v>
      </c>
      <c r="G2446" s="6">
        <v>0.21</v>
      </c>
      <c r="H2446" s="6">
        <v>25</v>
      </c>
    </row>
    <row r="2447" spans="1:8" ht="18.95" customHeight="1">
      <c r="A2447" s="4">
        <v>2443</v>
      </c>
      <c r="B2447" s="4">
        <v>69138</v>
      </c>
      <c r="C2447" s="4">
        <v>1</v>
      </c>
      <c r="D2447" s="6">
        <v>0</v>
      </c>
      <c r="E2447" s="6">
        <v>-100.56</v>
      </c>
      <c r="F2447" s="6">
        <v>-0.44</v>
      </c>
      <c r="G2447" s="6">
        <v>0</v>
      </c>
      <c r="H2447" s="6">
        <v>25</v>
      </c>
    </row>
    <row r="2448" spans="1:8" ht="18.95" customHeight="1">
      <c r="A2448" s="4">
        <v>2444</v>
      </c>
      <c r="B2448" s="4">
        <v>69158</v>
      </c>
      <c r="C2448" s="4">
        <v>1</v>
      </c>
      <c r="D2448" s="6">
        <v>0</v>
      </c>
      <c r="E2448" s="6">
        <v>-100.37</v>
      </c>
      <c r="F2448" s="6">
        <v>-0.43</v>
      </c>
      <c r="G2448" s="6">
        <v>-0.05</v>
      </c>
      <c r="H2448" s="6">
        <v>25</v>
      </c>
    </row>
    <row r="2449" spans="1:8" ht="18.95" customHeight="1">
      <c r="A2449" s="4">
        <v>2445</v>
      </c>
      <c r="B2449" s="4">
        <v>69178</v>
      </c>
      <c r="C2449" s="4">
        <v>1</v>
      </c>
      <c r="D2449" s="6">
        <v>0</v>
      </c>
      <c r="E2449" s="6">
        <v>-100.12</v>
      </c>
      <c r="F2449" s="6">
        <v>-0.41</v>
      </c>
      <c r="G2449" s="6">
        <v>-0.13</v>
      </c>
      <c r="H2449" s="6">
        <v>28</v>
      </c>
    </row>
    <row r="2450" spans="1:8" ht="18.95" customHeight="1">
      <c r="A2450" s="4">
        <v>2446</v>
      </c>
      <c r="B2450" s="4">
        <v>69198</v>
      </c>
      <c r="C2450" s="4">
        <v>1</v>
      </c>
      <c r="D2450" s="6">
        <v>0</v>
      </c>
      <c r="E2450" s="6">
        <v>-99.94</v>
      </c>
      <c r="F2450" s="6">
        <v>-0.37</v>
      </c>
      <c r="G2450" s="6">
        <v>0.22</v>
      </c>
      <c r="H2450" s="6">
        <v>28</v>
      </c>
    </row>
    <row r="2451" spans="1:8" ht="18.95" customHeight="1">
      <c r="A2451" s="4">
        <v>2447</v>
      </c>
      <c r="B2451" s="4">
        <v>69218</v>
      </c>
      <c r="C2451" s="4">
        <v>1</v>
      </c>
      <c r="D2451" s="6">
        <v>0</v>
      </c>
      <c r="E2451" s="6">
        <v>-99.81</v>
      </c>
      <c r="F2451" s="6">
        <v>-0.37</v>
      </c>
      <c r="G2451" s="6">
        <v>7.0000000000000007E-2</v>
      </c>
      <c r="H2451" s="6">
        <v>31</v>
      </c>
    </row>
    <row r="2452" spans="1:8" ht="18.95" customHeight="1">
      <c r="A2452" s="4">
        <v>2448</v>
      </c>
      <c r="B2452" s="4">
        <v>69238</v>
      </c>
      <c r="C2452" s="4">
        <v>1</v>
      </c>
      <c r="D2452" s="6">
        <v>0</v>
      </c>
      <c r="E2452" s="6">
        <v>-99.62</v>
      </c>
      <c r="F2452" s="6">
        <v>-0.35</v>
      </c>
      <c r="G2452" s="6">
        <v>0.06</v>
      </c>
      <c r="H2452" s="6">
        <v>31</v>
      </c>
    </row>
    <row r="2453" spans="1:8" ht="18.95" customHeight="1">
      <c r="A2453" s="4">
        <v>2449</v>
      </c>
      <c r="B2453" s="4">
        <v>69258</v>
      </c>
      <c r="C2453" s="4">
        <v>1</v>
      </c>
      <c r="D2453" s="6">
        <v>0</v>
      </c>
      <c r="E2453" s="6">
        <v>-99.5</v>
      </c>
      <c r="F2453" s="6">
        <v>-0.33</v>
      </c>
      <c r="G2453" s="6">
        <v>-0.11</v>
      </c>
      <c r="H2453" s="6">
        <v>31</v>
      </c>
    </row>
    <row r="2454" spans="1:8" ht="18.95" customHeight="1">
      <c r="A2454" s="4">
        <v>2450</v>
      </c>
      <c r="B2454" s="4">
        <v>69278</v>
      </c>
      <c r="C2454" s="4">
        <v>1</v>
      </c>
      <c r="D2454" s="6">
        <v>0</v>
      </c>
      <c r="E2454" s="6">
        <v>-99.37</v>
      </c>
      <c r="F2454" s="6">
        <v>-0.32</v>
      </c>
      <c r="G2454" s="6">
        <v>0.18</v>
      </c>
      <c r="H2454" s="6">
        <v>33</v>
      </c>
    </row>
    <row r="2455" spans="1:8" ht="18.95" customHeight="1">
      <c r="A2455" s="4">
        <v>2451</v>
      </c>
      <c r="B2455" s="4">
        <v>69298</v>
      </c>
      <c r="C2455" s="4">
        <v>1</v>
      </c>
      <c r="D2455" s="6">
        <v>0</v>
      </c>
      <c r="E2455" s="6">
        <v>-99.25</v>
      </c>
      <c r="F2455" s="6">
        <v>-0.28999999999999998</v>
      </c>
      <c r="G2455" s="6">
        <v>0.06</v>
      </c>
      <c r="H2455" s="6">
        <v>33</v>
      </c>
    </row>
    <row r="2456" spans="1:8" ht="18.95" customHeight="1">
      <c r="A2456" s="4">
        <v>2452</v>
      </c>
      <c r="B2456" s="4">
        <v>69318</v>
      </c>
      <c r="C2456" s="4">
        <v>1</v>
      </c>
      <c r="D2456" s="6">
        <v>0</v>
      </c>
      <c r="E2456" s="6">
        <v>-99.19</v>
      </c>
      <c r="F2456" s="6">
        <v>-0.28999999999999998</v>
      </c>
      <c r="G2456" s="6">
        <v>-0.03</v>
      </c>
      <c r="H2456" s="6">
        <v>39</v>
      </c>
    </row>
    <row r="2457" spans="1:8" ht="18.95" customHeight="1">
      <c r="A2457" s="4">
        <v>2453</v>
      </c>
      <c r="B2457" s="4">
        <v>69338</v>
      </c>
      <c r="C2457" s="4">
        <v>1</v>
      </c>
      <c r="D2457" s="6">
        <v>0</v>
      </c>
      <c r="E2457" s="6">
        <v>-99.12</v>
      </c>
      <c r="F2457" s="6">
        <v>-0.27</v>
      </c>
      <c r="G2457" s="6">
        <v>-0.09</v>
      </c>
      <c r="H2457" s="6">
        <v>39</v>
      </c>
    </row>
    <row r="2458" spans="1:8" ht="18.95" customHeight="1">
      <c r="A2458" s="4">
        <v>2454</v>
      </c>
      <c r="B2458" s="4">
        <v>69358</v>
      </c>
      <c r="C2458" s="4">
        <v>1</v>
      </c>
      <c r="D2458" s="6">
        <v>0</v>
      </c>
      <c r="E2458" s="6">
        <v>-99.12</v>
      </c>
      <c r="F2458" s="6">
        <v>-0.23</v>
      </c>
      <c r="G2458" s="6">
        <v>0.04</v>
      </c>
      <c r="H2458" s="6">
        <v>39</v>
      </c>
    </row>
    <row r="2459" spans="1:8" ht="18.95" customHeight="1">
      <c r="A2459" s="4">
        <v>2455</v>
      </c>
      <c r="B2459" s="4">
        <v>69378</v>
      </c>
      <c r="C2459" s="4">
        <v>1</v>
      </c>
      <c r="D2459" s="6">
        <v>0</v>
      </c>
      <c r="E2459" s="6">
        <v>-99.06</v>
      </c>
      <c r="F2459" s="6">
        <v>-0.21</v>
      </c>
      <c r="G2459" s="6">
        <v>0.03</v>
      </c>
      <c r="H2459" s="6">
        <v>38</v>
      </c>
    </row>
    <row r="2460" spans="1:8" ht="18.95" customHeight="1">
      <c r="A2460" s="4">
        <v>2456</v>
      </c>
      <c r="B2460" s="4">
        <v>69398</v>
      </c>
      <c r="C2460" s="4">
        <v>1</v>
      </c>
      <c r="D2460" s="6">
        <v>0</v>
      </c>
      <c r="E2460" s="6">
        <v>-99</v>
      </c>
      <c r="F2460" s="6">
        <v>-0.19</v>
      </c>
      <c r="G2460" s="6">
        <v>-0.06</v>
      </c>
      <c r="H2460" s="6">
        <v>38</v>
      </c>
    </row>
    <row r="2461" spans="1:8" ht="18.95" customHeight="1">
      <c r="A2461" s="4">
        <v>2457</v>
      </c>
      <c r="B2461" s="4">
        <v>69419</v>
      </c>
      <c r="C2461" s="4">
        <v>1</v>
      </c>
      <c r="D2461" s="6">
        <v>0</v>
      </c>
      <c r="E2461" s="6">
        <v>-99</v>
      </c>
      <c r="F2461" s="6">
        <v>-0.17</v>
      </c>
      <c r="G2461" s="6">
        <v>0</v>
      </c>
      <c r="H2461" s="6">
        <v>42</v>
      </c>
    </row>
    <row r="2462" spans="1:8" ht="18.95" customHeight="1">
      <c r="A2462" s="4">
        <v>2458</v>
      </c>
      <c r="B2462" s="4">
        <v>69439</v>
      </c>
      <c r="C2462" s="4">
        <v>1</v>
      </c>
      <c r="D2462" s="6">
        <v>0</v>
      </c>
      <c r="E2462" s="6">
        <v>-99</v>
      </c>
      <c r="F2462" s="6">
        <v>-0.15</v>
      </c>
      <c r="G2462" s="6">
        <v>0.1</v>
      </c>
      <c r="H2462" s="6">
        <v>42</v>
      </c>
    </row>
    <row r="2463" spans="1:8" ht="18.95" customHeight="1">
      <c r="A2463" s="4">
        <v>2459</v>
      </c>
      <c r="B2463" s="4">
        <v>69459</v>
      </c>
      <c r="C2463" s="4">
        <v>1</v>
      </c>
      <c r="D2463" s="6">
        <v>0</v>
      </c>
      <c r="E2463" s="6">
        <v>-98.94</v>
      </c>
      <c r="F2463" s="6">
        <v>-0.13</v>
      </c>
      <c r="G2463" s="6">
        <v>-7.0000000000000007E-2</v>
      </c>
      <c r="H2463" s="6">
        <v>42</v>
      </c>
    </row>
    <row r="2464" spans="1:8" ht="18.95" customHeight="1">
      <c r="A2464" s="4">
        <v>2460</v>
      </c>
      <c r="B2464" s="4">
        <v>69479</v>
      </c>
      <c r="C2464" s="4">
        <v>1</v>
      </c>
      <c r="D2464" s="6">
        <v>0</v>
      </c>
      <c r="E2464" s="6">
        <v>-98.94</v>
      </c>
      <c r="F2464" s="6">
        <v>-0.11</v>
      </c>
      <c r="G2464" s="6">
        <v>0.13</v>
      </c>
      <c r="H2464" s="6">
        <v>47</v>
      </c>
    </row>
    <row r="2465" spans="1:8" ht="18.95" customHeight="1">
      <c r="A2465" s="4">
        <v>2461</v>
      </c>
      <c r="B2465" s="4">
        <v>69499</v>
      </c>
      <c r="C2465" s="4">
        <v>1</v>
      </c>
      <c r="D2465" s="6">
        <v>0</v>
      </c>
      <c r="E2465" s="6">
        <v>-98.94</v>
      </c>
      <c r="F2465" s="6">
        <v>-0.09</v>
      </c>
      <c r="G2465" s="6">
        <v>0.17</v>
      </c>
      <c r="H2465" s="6">
        <v>47</v>
      </c>
    </row>
    <row r="2466" spans="1:8" ht="18.95" customHeight="1">
      <c r="A2466" s="4">
        <v>2462</v>
      </c>
      <c r="B2466" s="4">
        <v>69519</v>
      </c>
      <c r="C2466" s="4">
        <v>1</v>
      </c>
      <c r="D2466" s="6">
        <v>0</v>
      </c>
      <c r="E2466" s="6">
        <v>-98.94</v>
      </c>
      <c r="F2466" s="6">
        <v>-0.08</v>
      </c>
      <c r="G2466" s="6">
        <v>0.22</v>
      </c>
      <c r="H2466" s="6">
        <v>50</v>
      </c>
    </row>
    <row r="2467" spans="1:8" ht="18.95" customHeight="1">
      <c r="A2467" s="4">
        <v>2463</v>
      </c>
      <c r="B2467" s="4">
        <v>69539</v>
      </c>
      <c r="C2467" s="4">
        <v>1</v>
      </c>
      <c r="D2467" s="6">
        <v>0</v>
      </c>
      <c r="E2467" s="6">
        <v>-99</v>
      </c>
      <c r="F2467" s="6">
        <v>-0.05</v>
      </c>
      <c r="G2467" s="6">
        <v>0.19</v>
      </c>
      <c r="H2467" s="6">
        <v>50</v>
      </c>
    </row>
    <row r="2468" spans="1:8" ht="18.95" customHeight="1">
      <c r="A2468" s="4">
        <v>2464</v>
      </c>
      <c r="B2468" s="4">
        <v>69559</v>
      </c>
      <c r="C2468" s="4">
        <v>1</v>
      </c>
      <c r="D2468" s="6">
        <v>0</v>
      </c>
      <c r="E2468" s="6">
        <v>-99</v>
      </c>
      <c r="F2468" s="6">
        <v>-0.03</v>
      </c>
      <c r="G2468" s="6">
        <v>0.13</v>
      </c>
      <c r="H2468" s="6">
        <v>50</v>
      </c>
    </row>
    <row r="2469" spans="1:8" ht="18.95" customHeight="1">
      <c r="A2469" s="4">
        <v>2465</v>
      </c>
      <c r="B2469" s="4">
        <v>69579</v>
      </c>
      <c r="C2469" s="4">
        <v>1</v>
      </c>
      <c r="D2469" s="6">
        <v>0</v>
      </c>
      <c r="E2469" s="6">
        <v>-99</v>
      </c>
      <c r="F2469" s="6">
        <v>-0.01</v>
      </c>
      <c r="G2469" s="6">
        <v>0</v>
      </c>
      <c r="H2469" s="6">
        <v>54</v>
      </c>
    </row>
    <row r="2470" spans="1:8" ht="18.95" customHeight="1">
      <c r="A2470" s="4">
        <v>2466</v>
      </c>
      <c r="B2470" s="4">
        <v>69599</v>
      </c>
      <c r="C2470" s="4">
        <v>1</v>
      </c>
      <c r="D2470" s="6">
        <v>0</v>
      </c>
      <c r="E2470" s="6">
        <v>-99.06</v>
      </c>
      <c r="F2470" s="6">
        <v>0.01</v>
      </c>
      <c r="G2470" s="6">
        <v>0.02</v>
      </c>
      <c r="H2470" s="6">
        <v>54</v>
      </c>
    </row>
    <row r="2471" spans="1:8" ht="18.95" customHeight="1">
      <c r="A2471" s="4">
        <v>2467</v>
      </c>
      <c r="B2471" s="4">
        <v>69619</v>
      </c>
      <c r="C2471" s="4">
        <v>1</v>
      </c>
      <c r="D2471" s="6">
        <v>0</v>
      </c>
      <c r="E2471" s="6">
        <v>-99.06</v>
      </c>
      <c r="F2471" s="6">
        <v>0.04</v>
      </c>
      <c r="G2471" s="6">
        <v>-0.12</v>
      </c>
      <c r="H2471" s="6">
        <v>57</v>
      </c>
    </row>
    <row r="2472" spans="1:8" ht="18.95" customHeight="1">
      <c r="A2472" s="4">
        <v>2468</v>
      </c>
      <c r="B2472" s="4">
        <v>69639</v>
      </c>
      <c r="C2472" s="4">
        <v>1</v>
      </c>
      <c r="D2472" s="6">
        <v>0</v>
      </c>
      <c r="E2472" s="6">
        <v>-99.12</v>
      </c>
      <c r="F2472" s="6">
        <v>0.05</v>
      </c>
      <c r="G2472" s="6">
        <v>0.03</v>
      </c>
      <c r="H2472" s="6">
        <v>57</v>
      </c>
    </row>
    <row r="2473" spans="1:8" ht="18.95" customHeight="1">
      <c r="A2473" s="4">
        <v>2469</v>
      </c>
      <c r="B2473" s="4">
        <v>69659</v>
      </c>
      <c r="C2473" s="4">
        <v>1</v>
      </c>
      <c r="D2473" s="6">
        <v>0</v>
      </c>
      <c r="E2473" s="6">
        <v>-99.19</v>
      </c>
      <c r="F2473" s="6">
        <v>7.0000000000000007E-2</v>
      </c>
      <c r="G2473" s="6">
        <v>0.06</v>
      </c>
      <c r="H2473" s="6">
        <v>57</v>
      </c>
    </row>
    <row r="2474" spans="1:8" ht="18.95" customHeight="1">
      <c r="A2474" s="4">
        <v>2470</v>
      </c>
      <c r="B2474" s="4">
        <v>69679</v>
      </c>
      <c r="C2474" s="4">
        <v>1</v>
      </c>
      <c r="D2474" s="6">
        <v>0</v>
      </c>
      <c r="E2474" s="6">
        <v>-99.19</v>
      </c>
      <c r="F2474" s="6">
        <v>0.1</v>
      </c>
      <c r="G2474" s="6">
        <v>-0.05</v>
      </c>
      <c r="H2474" s="6">
        <v>61</v>
      </c>
    </row>
    <row r="2475" spans="1:8" ht="18.95" customHeight="1">
      <c r="A2475" s="4">
        <v>2471</v>
      </c>
      <c r="B2475" s="4">
        <v>69699</v>
      </c>
      <c r="C2475" s="4">
        <v>1</v>
      </c>
      <c r="D2475" s="6">
        <v>0</v>
      </c>
      <c r="E2475" s="6">
        <v>-99.25</v>
      </c>
      <c r="F2475" s="6">
        <v>0.13</v>
      </c>
      <c r="G2475" s="6">
        <v>0.09</v>
      </c>
      <c r="H2475" s="6">
        <v>61</v>
      </c>
    </row>
    <row r="2476" spans="1:8" ht="18.95" customHeight="1">
      <c r="A2476" s="4">
        <v>2472</v>
      </c>
      <c r="B2476" s="4">
        <v>69720</v>
      </c>
      <c r="C2476" s="4">
        <v>1</v>
      </c>
      <c r="D2476" s="6">
        <v>0</v>
      </c>
      <c r="E2476" s="6">
        <v>-99.31</v>
      </c>
      <c r="F2476" s="6">
        <v>0.15</v>
      </c>
      <c r="G2476" s="6">
        <v>0.09</v>
      </c>
      <c r="H2476" s="6">
        <v>64</v>
      </c>
    </row>
    <row r="2477" spans="1:8" ht="18.95" customHeight="1">
      <c r="A2477" s="4">
        <v>2473</v>
      </c>
      <c r="B2477" s="4">
        <v>69740</v>
      </c>
      <c r="C2477" s="4">
        <v>1</v>
      </c>
      <c r="D2477" s="6">
        <v>0</v>
      </c>
      <c r="E2477" s="6">
        <v>-99.37</v>
      </c>
      <c r="F2477" s="6">
        <v>0.17</v>
      </c>
      <c r="G2477" s="6">
        <v>-0.05</v>
      </c>
      <c r="H2477" s="6">
        <v>64</v>
      </c>
    </row>
    <row r="2478" spans="1:8" ht="18.95" customHeight="1">
      <c r="A2478" s="4">
        <v>2474</v>
      </c>
      <c r="B2478" s="4">
        <v>69760</v>
      </c>
      <c r="C2478" s="4">
        <v>1</v>
      </c>
      <c r="D2478" s="6">
        <v>0</v>
      </c>
      <c r="E2478" s="6">
        <v>-99.44</v>
      </c>
      <c r="F2478" s="6">
        <v>0.19</v>
      </c>
      <c r="G2478" s="6">
        <v>0.14000000000000001</v>
      </c>
      <c r="H2478" s="6">
        <v>64</v>
      </c>
    </row>
    <row r="2479" spans="1:8" ht="18.95" customHeight="1">
      <c r="A2479" s="4">
        <v>2475</v>
      </c>
      <c r="B2479" s="4">
        <v>69780</v>
      </c>
      <c r="C2479" s="4">
        <v>1</v>
      </c>
      <c r="D2479" s="6">
        <v>0</v>
      </c>
      <c r="E2479" s="6">
        <v>-99.5</v>
      </c>
      <c r="F2479" s="6">
        <v>0.21</v>
      </c>
      <c r="G2479" s="6">
        <v>0.13</v>
      </c>
      <c r="H2479" s="6">
        <v>66</v>
      </c>
    </row>
    <row r="2480" spans="1:8" ht="18.95" customHeight="1">
      <c r="A2480" s="4">
        <v>2476</v>
      </c>
      <c r="B2480" s="4">
        <v>69800</v>
      </c>
      <c r="C2480" s="4">
        <v>1</v>
      </c>
      <c r="D2480" s="6">
        <v>0</v>
      </c>
      <c r="E2480" s="6">
        <v>-99.62</v>
      </c>
      <c r="F2480" s="6">
        <v>0.23</v>
      </c>
      <c r="G2480" s="6">
        <v>0.27</v>
      </c>
      <c r="H2480" s="6">
        <v>66</v>
      </c>
    </row>
    <row r="2481" spans="1:8" ht="18.95" customHeight="1">
      <c r="A2481" s="4">
        <v>2477</v>
      </c>
      <c r="B2481" s="4">
        <v>69820</v>
      </c>
      <c r="C2481" s="4">
        <v>1</v>
      </c>
      <c r="D2481" s="6">
        <v>0</v>
      </c>
      <c r="E2481" s="6">
        <v>-99.69</v>
      </c>
      <c r="F2481" s="6">
        <v>0.25</v>
      </c>
      <c r="G2481" s="6">
        <v>0.03</v>
      </c>
      <c r="H2481" s="6">
        <v>73</v>
      </c>
    </row>
    <row r="2482" spans="1:8" ht="18.95" customHeight="1">
      <c r="A2482" s="4">
        <v>2478</v>
      </c>
      <c r="B2482" s="4">
        <v>69840</v>
      </c>
      <c r="C2482" s="4">
        <v>1</v>
      </c>
      <c r="D2482" s="6">
        <v>0</v>
      </c>
      <c r="E2482" s="6">
        <v>-99.75</v>
      </c>
      <c r="F2482" s="6">
        <v>0.26</v>
      </c>
      <c r="G2482" s="6">
        <v>0.06</v>
      </c>
      <c r="H2482" s="6">
        <v>73</v>
      </c>
    </row>
    <row r="2483" spans="1:8" ht="18.95" customHeight="1">
      <c r="A2483" s="4">
        <v>2479</v>
      </c>
      <c r="B2483" s="4">
        <v>69860</v>
      </c>
      <c r="C2483" s="4">
        <v>1</v>
      </c>
      <c r="D2483" s="6">
        <v>0</v>
      </c>
      <c r="E2483" s="6">
        <v>-99.87</v>
      </c>
      <c r="F2483" s="6">
        <v>0.28999999999999998</v>
      </c>
      <c r="G2483" s="6">
        <v>-0.02</v>
      </c>
      <c r="H2483" s="6">
        <v>73</v>
      </c>
    </row>
    <row r="2484" spans="1:8" ht="18.95" customHeight="1">
      <c r="A2484" s="4">
        <v>2480</v>
      </c>
      <c r="B2484" s="4">
        <v>69880</v>
      </c>
      <c r="C2484" s="4">
        <v>1</v>
      </c>
      <c r="D2484" s="6">
        <v>0</v>
      </c>
      <c r="E2484" s="6">
        <v>-100</v>
      </c>
      <c r="F2484" s="6">
        <v>0.31</v>
      </c>
      <c r="G2484" s="6">
        <v>-0.11</v>
      </c>
      <c r="H2484" s="6">
        <v>73</v>
      </c>
    </row>
    <row r="2485" spans="1:8" ht="18.95" customHeight="1">
      <c r="A2485" s="4">
        <v>2481</v>
      </c>
      <c r="B2485" s="4">
        <v>69900</v>
      </c>
      <c r="C2485" s="4">
        <v>1</v>
      </c>
      <c r="D2485" s="6">
        <v>0</v>
      </c>
      <c r="E2485" s="6">
        <v>-100.19</v>
      </c>
      <c r="F2485" s="6">
        <v>0.33</v>
      </c>
      <c r="G2485" s="6">
        <v>0.14000000000000001</v>
      </c>
      <c r="H2485" s="6">
        <v>73</v>
      </c>
    </row>
    <row r="2486" spans="1:8" ht="18.95" customHeight="1">
      <c r="A2486" s="4">
        <v>2482</v>
      </c>
      <c r="B2486" s="4">
        <v>69920</v>
      </c>
      <c r="C2486" s="4">
        <v>1</v>
      </c>
      <c r="D2486" s="6">
        <v>0</v>
      </c>
      <c r="E2486" s="6">
        <v>-100.31</v>
      </c>
      <c r="F2486" s="6">
        <v>0.34</v>
      </c>
      <c r="G2486" s="6">
        <v>-0.02</v>
      </c>
      <c r="H2486" s="6">
        <v>75</v>
      </c>
    </row>
    <row r="2487" spans="1:8" ht="18.95" customHeight="1">
      <c r="A2487" s="4">
        <v>2483</v>
      </c>
      <c r="B2487" s="4">
        <v>69940</v>
      </c>
      <c r="C2487" s="4">
        <v>1</v>
      </c>
      <c r="D2487" s="6">
        <v>0</v>
      </c>
      <c r="E2487" s="6">
        <v>-100.5</v>
      </c>
      <c r="F2487" s="6">
        <v>0.37</v>
      </c>
      <c r="G2487" s="6">
        <v>0.05</v>
      </c>
      <c r="H2487" s="6">
        <v>75</v>
      </c>
    </row>
    <row r="2488" spans="1:8" ht="18.95" customHeight="1">
      <c r="A2488" s="4">
        <v>2484</v>
      </c>
      <c r="B2488" s="4">
        <v>69960</v>
      </c>
      <c r="C2488" s="4">
        <v>1</v>
      </c>
      <c r="D2488" s="6">
        <v>0</v>
      </c>
      <c r="E2488" s="6">
        <v>-100.69</v>
      </c>
      <c r="F2488" s="6">
        <v>0.4</v>
      </c>
      <c r="G2488" s="6">
        <v>7.0000000000000007E-2</v>
      </c>
      <c r="H2488" s="6">
        <v>75</v>
      </c>
    </row>
    <row r="2489" spans="1:8" ht="18.95" customHeight="1">
      <c r="A2489" s="4">
        <v>2485</v>
      </c>
      <c r="B2489" s="4">
        <v>69980</v>
      </c>
      <c r="C2489" s="4">
        <v>1</v>
      </c>
      <c r="D2489" s="6">
        <v>0</v>
      </c>
      <c r="E2489" s="6">
        <v>-100.94</v>
      </c>
      <c r="F2489" s="6">
        <v>0.42</v>
      </c>
      <c r="G2489" s="6">
        <v>0.01</v>
      </c>
      <c r="H2489" s="6">
        <v>75</v>
      </c>
    </row>
    <row r="2490" spans="1:8" ht="18.95" customHeight="1">
      <c r="A2490" s="4">
        <v>2486</v>
      </c>
      <c r="B2490" s="4">
        <v>70000</v>
      </c>
      <c r="C2490" s="4">
        <v>1</v>
      </c>
      <c r="D2490" s="6">
        <v>0</v>
      </c>
      <c r="E2490" s="6">
        <v>-101.12</v>
      </c>
      <c r="F2490" s="6">
        <v>0.43</v>
      </c>
      <c r="G2490" s="6">
        <v>-7.0000000000000007E-2</v>
      </c>
      <c r="H2490" s="6">
        <v>75</v>
      </c>
    </row>
    <row r="2491" spans="1:8" ht="18.95" customHeight="1">
      <c r="A2491" s="4">
        <v>2487</v>
      </c>
      <c r="B2491" s="4">
        <v>70020</v>
      </c>
      <c r="C2491" s="4">
        <v>1</v>
      </c>
      <c r="D2491" s="6">
        <v>0</v>
      </c>
      <c r="E2491" s="6">
        <v>-101.37</v>
      </c>
      <c r="F2491" s="6">
        <v>0.44</v>
      </c>
      <c r="G2491" s="6">
        <v>0</v>
      </c>
      <c r="H2491" s="6">
        <v>77</v>
      </c>
    </row>
    <row r="2492" spans="1:8" ht="18.95" customHeight="1">
      <c r="A2492" s="4">
        <v>2488</v>
      </c>
      <c r="B2492" s="4">
        <v>70040</v>
      </c>
      <c r="C2492" s="4">
        <v>1</v>
      </c>
      <c r="D2492" s="6">
        <v>0</v>
      </c>
      <c r="E2492" s="6">
        <v>-101.62</v>
      </c>
      <c r="F2492" s="6">
        <v>0.46</v>
      </c>
      <c r="G2492" s="6">
        <v>0.16</v>
      </c>
      <c r="H2492" s="6">
        <v>77</v>
      </c>
    </row>
    <row r="2493" spans="1:8" ht="18.95" customHeight="1">
      <c r="A2493" s="4">
        <v>2489</v>
      </c>
      <c r="B2493" s="4">
        <v>70060</v>
      </c>
      <c r="C2493" s="4">
        <v>1</v>
      </c>
      <c r="D2493" s="6">
        <v>0</v>
      </c>
      <c r="E2493" s="6">
        <v>-101.94</v>
      </c>
      <c r="F2493" s="6">
        <v>0.46</v>
      </c>
      <c r="G2493" s="6">
        <v>0.06</v>
      </c>
      <c r="H2493" s="6">
        <v>77</v>
      </c>
    </row>
    <row r="2494" spans="1:8" ht="18.95" customHeight="1">
      <c r="A2494" s="4">
        <v>2490</v>
      </c>
      <c r="B2494" s="4">
        <v>70080</v>
      </c>
      <c r="C2494" s="4">
        <v>1</v>
      </c>
      <c r="D2494" s="6">
        <v>0</v>
      </c>
      <c r="E2494" s="6">
        <v>-102.19</v>
      </c>
      <c r="F2494" s="6">
        <v>0.44</v>
      </c>
      <c r="G2494" s="6">
        <v>-0.25</v>
      </c>
      <c r="H2494" s="6">
        <v>79</v>
      </c>
    </row>
    <row r="2495" spans="1:8" ht="18.95" customHeight="1">
      <c r="A2495" s="4">
        <v>2491</v>
      </c>
      <c r="B2495" s="4">
        <v>70100</v>
      </c>
      <c r="C2495" s="4">
        <v>1</v>
      </c>
      <c r="D2495" s="6">
        <v>0</v>
      </c>
      <c r="E2495" s="6">
        <v>-102.5</v>
      </c>
      <c r="F2495" s="6">
        <v>0.43</v>
      </c>
      <c r="G2495" s="6">
        <v>-0.05</v>
      </c>
      <c r="H2495" s="6">
        <v>79</v>
      </c>
    </row>
    <row r="2496" spans="1:8" ht="18.95" customHeight="1">
      <c r="A2496" s="4">
        <v>2492</v>
      </c>
      <c r="B2496" s="4">
        <v>70120</v>
      </c>
      <c r="C2496" s="4">
        <v>1</v>
      </c>
      <c r="D2496" s="6">
        <v>0</v>
      </c>
      <c r="E2496" s="6">
        <v>-102.81</v>
      </c>
      <c r="F2496" s="6">
        <v>0.47</v>
      </c>
      <c r="G2496" s="6">
        <v>-0.24</v>
      </c>
      <c r="H2496" s="6">
        <v>81</v>
      </c>
    </row>
    <row r="2497" spans="1:8" ht="18.95" customHeight="1">
      <c r="A2497" s="4">
        <v>2493</v>
      </c>
      <c r="B2497" s="4">
        <v>70140</v>
      </c>
      <c r="C2497" s="4">
        <v>1</v>
      </c>
      <c r="D2497" s="6">
        <v>0</v>
      </c>
      <c r="E2497" s="6">
        <v>-103.25</v>
      </c>
      <c r="F2497" s="6">
        <v>0.51</v>
      </c>
      <c r="G2497" s="6">
        <v>-0.03</v>
      </c>
      <c r="H2497" s="6">
        <v>81</v>
      </c>
    </row>
    <row r="2498" spans="1:8" ht="18.95" customHeight="1">
      <c r="A2498" s="4">
        <v>2494</v>
      </c>
      <c r="B2498" s="4">
        <v>70160</v>
      </c>
      <c r="C2498" s="4">
        <v>1</v>
      </c>
      <c r="D2498" s="6">
        <v>0</v>
      </c>
      <c r="E2498" s="6">
        <v>-103.62</v>
      </c>
      <c r="F2498" s="6">
        <v>0.54</v>
      </c>
      <c r="G2498" s="6">
        <v>0.03</v>
      </c>
      <c r="H2498" s="6">
        <v>81</v>
      </c>
    </row>
    <row r="2499" spans="1:8" ht="18.95" customHeight="1">
      <c r="A2499" s="4">
        <v>2495</v>
      </c>
      <c r="B2499" s="4">
        <v>70180</v>
      </c>
      <c r="C2499" s="4">
        <v>1</v>
      </c>
      <c r="D2499" s="6">
        <v>0</v>
      </c>
      <c r="E2499" s="6">
        <v>-104.12</v>
      </c>
      <c r="F2499" s="6">
        <v>0.54</v>
      </c>
      <c r="G2499" s="6">
        <v>0.06</v>
      </c>
      <c r="H2499" s="6">
        <v>80</v>
      </c>
    </row>
    <row r="2500" spans="1:8" ht="18.95" customHeight="1">
      <c r="A2500" s="4">
        <v>2496</v>
      </c>
      <c r="B2500" s="4">
        <v>70200</v>
      </c>
      <c r="C2500" s="4">
        <v>1</v>
      </c>
      <c r="D2500" s="6">
        <v>0</v>
      </c>
      <c r="E2500" s="6">
        <v>-104.62</v>
      </c>
      <c r="F2500" s="6">
        <v>0.55000000000000004</v>
      </c>
      <c r="G2500" s="6">
        <v>0.1</v>
      </c>
      <c r="H2500" s="6">
        <v>80</v>
      </c>
    </row>
    <row r="2501" spans="1:8" ht="18.95" customHeight="1">
      <c r="A2501" s="4">
        <v>2497</v>
      </c>
      <c r="B2501" s="4">
        <v>70220</v>
      </c>
      <c r="C2501" s="4">
        <v>1</v>
      </c>
      <c r="D2501" s="6">
        <v>0</v>
      </c>
      <c r="E2501" s="6">
        <v>-105.12</v>
      </c>
      <c r="F2501" s="6">
        <v>0.56999999999999995</v>
      </c>
      <c r="G2501" s="6">
        <v>0.06</v>
      </c>
      <c r="H2501" s="6">
        <v>83</v>
      </c>
    </row>
    <row r="2502" spans="1:8" ht="18.95" customHeight="1">
      <c r="A2502" s="4">
        <v>2498</v>
      </c>
      <c r="B2502" s="4">
        <v>70240</v>
      </c>
      <c r="C2502" s="4">
        <v>1</v>
      </c>
      <c r="D2502" s="6">
        <v>0</v>
      </c>
      <c r="E2502" s="6">
        <v>-105.69</v>
      </c>
      <c r="F2502" s="6">
        <v>0.56999999999999995</v>
      </c>
      <c r="G2502" s="6">
        <v>0.06</v>
      </c>
      <c r="H2502" s="6">
        <v>83</v>
      </c>
    </row>
    <row r="2503" spans="1:8" ht="18.95" customHeight="1">
      <c r="A2503" s="4">
        <v>2499</v>
      </c>
      <c r="B2503" s="4">
        <v>70260</v>
      </c>
      <c r="C2503" s="4">
        <v>1</v>
      </c>
      <c r="D2503" s="6">
        <v>0</v>
      </c>
      <c r="E2503" s="6">
        <v>-106.31</v>
      </c>
      <c r="F2503" s="6">
        <v>0.56999999999999995</v>
      </c>
      <c r="G2503" s="6">
        <v>0.04</v>
      </c>
      <c r="H2503" s="6">
        <v>83</v>
      </c>
    </row>
    <row r="2504" spans="1:8" ht="18.95" customHeight="1">
      <c r="A2504" s="4">
        <v>2500</v>
      </c>
      <c r="B2504" s="4">
        <v>70280</v>
      </c>
      <c r="C2504" s="4">
        <v>1</v>
      </c>
      <c r="D2504" s="6">
        <v>0</v>
      </c>
      <c r="E2504" s="6">
        <v>-107</v>
      </c>
      <c r="F2504" s="6">
        <v>0.59</v>
      </c>
      <c r="G2504" s="6">
        <v>-0.12</v>
      </c>
      <c r="H2504" s="6">
        <v>85</v>
      </c>
    </row>
    <row r="2505" spans="1:8" ht="18.95" customHeight="1">
      <c r="A2505" s="4">
        <v>2501</v>
      </c>
      <c r="B2505" s="4">
        <v>70300</v>
      </c>
      <c r="C2505" s="4">
        <v>1</v>
      </c>
      <c r="D2505" s="6">
        <v>0</v>
      </c>
      <c r="E2505" s="6">
        <v>-107.81</v>
      </c>
      <c r="F2505" s="6">
        <v>0.64</v>
      </c>
      <c r="G2505" s="6">
        <v>0.12</v>
      </c>
      <c r="H2505" s="6">
        <v>85</v>
      </c>
    </row>
    <row r="2506" spans="1:8" ht="18.95" customHeight="1">
      <c r="A2506" s="4">
        <v>2502</v>
      </c>
      <c r="B2506" s="4">
        <v>70320</v>
      </c>
      <c r="C2506" s="4">
        <v>1</v>
      </c>
      <c r="D2506" s="6">
        <v>0</v>
      </c>
      <c r="E2506" s="6">
        <v>-108.69</v>
      </c>
      <c r="F2506" s="6">
        <v>0.63</v>
      </c>
      <c r="G2506" s="6">
        <v>0.09</v>
      </c>
      <c r="H2506" s="6">
        <v>83</v>
      </c>
    </row>
    <row r="2507" spans="1:8" ht="18.95" customHeight="1">
      <c r="A2507" s="4">
        <v>2503</v>
      </c>
      <c r="B2507" s="4">
        <v>70340</v>
      </c>
      <c r="C2507" s="4">
        <v>1</v>
      </c>
      <c r="D2507" s="6">
        <v>0</v>
      </c>
      <c r="E2507" s="6">
        <v>-109.62</v>
      </c>
      <c r="F2507" s="6">
        <v>0.63</v>
      </c>
      <c r="G2507" s="6">
        <v>0.11</v>
      </c>
      <c r="H2507" s="6">
        <v>83</v>
      </c>
    </row>
    <row r="2508" spans="1:8" ht="18.95" customHeight="1">
      <c r="A2508" s="4">
        <v>2504</v>
      </c>
      <c r="B2508" s="4">
        <v>70360</v>
      </c>
      <c r="C2508" s="4">
        <v>1</v>
      </c>
      <c r="D2508" s="6">
        <v>0</v>
      </c>
      <c r="E2508" s="6">
        <v>-110.62</v>
      </c>
      <c r="F2508" s="6">
        <v>0.64</v>
      </c>
      <c r="G2508" s="6">
        <v>0</v>
      </c>
      <c r="H2508" s="6">
        <v>83</v>
      </c>
    </row>
    <row r="2509" spans="1:8" ht="18.95" customHeight="1">
      <c r="A2509" s="4">
        <v>2505</v>
      </c>
      <c r="B2509" s="4">
        <v>70380</v>
      </c>
      <c r="C2509" s="4">
        <v>1</v>
      </c>
      <c r="D2509" s="6">
        <v>0</v>
      </c>
      <c r="E2509" s="6">
        <v>-111.69</v>
      </c>
      <c r="F2509" s="6">
        <v>0.63</v>
      </c>
      <c r="G2509" s="6">
        <v>0.15</v>
      </c>
      <c r="H2509" s="6">
        <v>85</v>
      </c>
    </row>
    <row r="2510" spans="1:8" ht="18.95" customHeight="1">
      <c r="A2510" s="4">
        <v>2506</v>
      </c>
      <c r="B2510" s="4">
        <v>70400</v>
      </c>
      <c r="C2510" s="4">
        <v>1</v>
      </c>
      <c r="D2510" s="6">
        <v>0</v>
      </c>
      <c r="E2510" s="6">
        <v>-112.94</v>
      </c>
      <c r="F2510" s="6">
        <v>0.64</v>
      </c>
      <c r="G2510" s="6">
        <v>0.16</v>
      </c>
      <c r="H2510" s="6">
        <v>85</v>
      </c>
    </row>
    <row r="2511" spans="1:8" ht="18.95" customHeight="1">
      <c r="A2511" s="4">
        <v>2507</v>
      </c>
      <c r="B2511" s="4">
        <v>70420</v>
      </c>
      <c r="C2511" s="4">
        <v>1</v>
      </c>
      <c r="D2511" s="6">
        <v>0</v>
      </c>
      <c r="E2511" s="6">
        <v>-114.25</v>
      </c>
      <c r="F2511" s="6">
        <v>0.61</v>
      </c>
      <c r="G2511" s="6">
        <v>0.15</v>
      </c>
      <c r="H2511" s="6">
        <v>84</v>
      </c>
    </row>
    <row r="2512" spans="1:8" ht="18.95" customHeight="1">
      <c r="A2512" s="4">
        <v>2508</v>
      </c>
      <c r="B2512" s="4">
        <v>70440</v>
      </c>
      <c r="C2512" s="4">
        <v>1</v>
      </c>
      <c r="D2512" s="6">
        <v>0</v>
      </c>
      <c r="E2512" s="6">
        <v>-115.69</v>
      </c>
      <c r="F2512" s="6">
        <v>0.57999999999999996</v>
      </c>
      <c r="G2512" s="6">
        <v>0.08</v>
      </c>
      <c r="H2512" s="6">
        <v>84</v>
      </c>
    </row>
    <row r="2513" spans="1:8" ht="18.95" customHeight="1">
      <c r="A2513" s="4">
        <v>2509</v>
      </c>
      <c r="B2513" s="4">
        <v>70460</v>
      </c>
      <c r="C2513" s="4">
        <v>1</v>
      </c>
      <c r="D2513" s="6">
        <v>0</v>
      </c>
      <c r="E2513" s="6">
        <v>-117.37</v>
      </c>
      <c r="F2513" s="6">
        <v>0.61</v>
      </c>
      <c r="G2513" s="6">
        <v>-0.05</v>
      </c>
      <c r="H2513" s="6">
        <v>84</v>
      </c>
    </row>
    <row r="2514" spans="1:8" ht="18.95" customHeight="1">
      <c r="A2514" s="4">
        <v>2510</v>
      </c>
      <c r="B2514" s="4">
        <v>70480</v>
      </c>
      <c r="C2514" s="4">
        <v>1</v>
      </c>
      <c r="D2514" s="6">
        <v>0</v>
      </c>
      <c r="E2514" s="6">
        <v>-119.19</v>
      </c>
      <c r="F2514" s="6">
        <v>0.57999999999999996</v>
      </c>
      <c r="G2514" s="6">
        <v>0.06</v>
      </c>
      <c r="H2514" s="6">
        <v>83</v>
      </c>
    </row>
    <row r="2515" spans="1:8" ht="18.95" customHeight="1">
      <c r="A2515" s="4">
        <v>2511</v>
      </c>
      <c r="B2515" s="4">
        <v>70500</v>
      </c>
      <c r="C2515" s="4">
        <v>1</v>
      </c>
      <c r="D2515" s="6">
        <v>0</v>
      </c>
      <c r="E2515" s="6">
        <v>-121.25</v>
      </c>
      <c r="F2515" s="6">
        <v>0.56999999999999995</v>
      </c>
      <c r="G2515" s="6">
        <v>0.09</v>
      </c>
      <c r="H2515" s="6">
        <v>83</v>
      </c>
    </row>
    <row r="2516" spans="1:8" ht="18.95" customHeight="1">
      <c r="A2516" s="4">
        <v>2512</v>
      </c>
      <c r="B2516" s="4">
        <v>70520</v>
      </c>
      <c r="C2516" s="4">
        <v>1</v>
      </c>
      <c r="D2516" s="6">
        <v>0</v>
      </c>
      <c r="E2516" s="6">
        <v>-123.44</v>
      </c>
      <c r="F2516" s="6">
        <v>0.54</v>
      </c>
      <c r="G2516" s="6">
        <v>0.01</v>
      </c>
      <c r="H2516" s="6">
        <v>79</v>
      </c>
    </row>
    <row r="2517" spans="1:8" ht="18.95" customHeight="1">
      <c r="A2517" s="4">
        <v>2513</v>
      </c>
      <c r="B2517" s="4">
        <v>70540</v>
      </c>
      <c r="C2517" s="4">
        <v>1</v>
      </c>
      <c r="D2517" s="6">
        <v>0</v>
      </c>
      <c r="E2517" s="6">
        <v>-126</v>
      </c>
      <c r="F2517" s="6">
        <v>0.54</v>
      </c>
      <c r="G2517" s="6">
        <v>0.13</v>
      </c>
      <c r="H2517" s="6">
        <v>79</v>
      </c>
    </row>
    <row r="2518" spans="1:8" ht="18.95" customHeight="1">
      <c r="A2518" s="4">
        <v>2514</v>
      </c>
      <c r="B2518" s="4">
        <v>70560</v>
      </c>
      <c r="C2518" s="4">
        <v>1</v>
      </c>
      <c r="D2518" s="6">
        <v>0</v>
      </c>
      <c r="E2518" s="6">
        <v>-174.69</v>
      </c>
      <c r="F2518" s="6">
        <v>0.52</v>
      </c>
      <c r="G2518" s="6">
        <v>0.08</v>
      </c>
      <c r="H2518" s="6">
        <v>79</v>
      </c>
    </row>
    <row r="2519" spans="1:8" ht="18.95" customHeight="1">
      <c r="A2519" s="4">
        <v>2515</v>
      </c>
      <c r="B2519" s="4">
        <v>70580</v>
      </c>
      <c r="C2519" s="4">
        <v>1</v>
      </c>
      <c r="D2519" s="6">
        <v>0</v>
      </c>
      <c r="E2519" s="6">
        <v>-175.25</v>
      </c>
      <c r="F2519" s="6">
        <v>0.49</v>
      </c>
      <c r="G2519" s="6">
        <v>0.17</v>
      </c>
      <c r="H2519" s="6">
        <v>80</v>
      </c>
    </row>
    <row r="2520" spans="1:8" ht="18.95" customHeight="1">
      <c r="A2520" s="4">
        <v>2516</v>
      </c>
      <c r="B2520" s="4">
        <v>70600</v>
      </c>
      <c r="C2520" s="4">
        <v>1</v>
      </c>
      <c r="D2520" s="6">
        <v>0</v>
      </c>
      <c r="E2520" s="6">
        <v>-175.81</v>
      </c>
      <c r="F2520" s="6">
        <v>0.47</v>
      </c>
      <c r="G2520" s="6">
        <v>-0.08</v>
      </c>
      <c r="H2520" s="6">
        <v>80</v>
      </c>
    </row>
    <row r="2521" spans="1:8" ht="18.95" customHeight="1">
      <c r="A2521" s="4">
        <v>2517</v>
      </c>
      <c r="B2521" s="4">
        <v>70620</v>
      </c>
      <c r="C2521" s="4">
        <v>1</v>
      </c>
      <c r="D2521" s="6">
        <v>0</v>
      </c>
      <c r="E2521" s="6">
        <v>-176.31</v>
      </c>
      <c r="F2521" s="6">
        <v>0.46</v>
      </c>
      <c r="G2521" s="6">
        <v>-0.09</v>
      </c>
      <c r="H2521" s="6">
        <v>78</v>
      </c>
    </row>
    <row r="2522" spans="1:8" ht="18.95" customHeight="1">
      <c r="A2522" s="4">
        <v>2518</v>
      </c>
      <c r="B2522" s="4">
        <v>70640</v>
      </c>
      <c r="C2522" s="4">
        <v>1</v>
      </c>
      <c r="D2522" s="6">
        <v>0</v>
      </c>
      <c r="E2522" s="6">
        <v>-176.75</v>
      </c>
      <c r="F2522" s="6">
        <v>0.42</v>
      </c>
      <c r="G2522" s="6">
        <v>0.18</v>
      </c>
      <c r="H2522" s="6">
        <v>78</v>
      </c>
    </row>
    <row r="2523" spans="1:8" ht="18.95" customHeight="1">
      <c r="A2523" s="4">
        <v>2519</v>
      </c>
      <c r="B2523" s="4">
        <v>70660</v>
      </c>
      <c r="C2523" s="4">
        <v>1</v>
      </c>
      <c r="D2523" s="6">
        <v>0</v>
      </c>
      <c r="E2523" s="6">
        <v>-177.25</v>
      </c>
      <c r="F2523" s="6">
        <v>0.39</v>
      </c>
      <c r="G2523" s="6">
        <v>0.08</v>
      </c>
      <c r="H2523" s="6">
        <v>78</v>
      </c>
    </row>
    <row r="2524" spans="1:8" ht="18.95" customHeight="1">
      <c r="A2524" s="4">
        <v>2520</v>
      </c>
      <c r="B2524" s="4">
        <v>70680</v>
      </c>
      <c r="C2524" s="4">
        <v>1</v>
      </c>
      <c r="D2524" s="6">
        <v>0</v>
      </c>
      <c r="E2524" s="6">
        <v>-177.63</v>
      </c>
      <c r="F2524" s="6">
        <v>0.37</v>
      </c>
      <c r="G2524" s="6">
        <v>-0.02</v>
      </c>
      <c r="H2524" s="6">
        <v>76</v>
      </c>
    </row>
    <row r="2525" spans="1:8" ht="18.95" customHeight="1">
      <c r="A2525" s="4">
        <v>2521</v>
      </c>
      <c r="B2525" s="4">
        <v>70700</v>
      </c>
      <c r="C2525" s="4">
        <v>1</v>
      </c>
      <c r="D2525" s="6">
        <v>0</v>
      </c>
      <c r="E2525" s="6">
        <v>-178.06</v>
      </c>
      <c r="F2525" s="6">
        <v>0.36</v>
      </c>
      <c r="G2525" s="6">
        <v>-0.1</v>
      </c>
      <c r="H2525" s="6">
        <v>76</v>
      </c>
    </row>
    <row r="2526" spans="1:8" ht="18.95" customHeight="1">
      <c r="A2526" s="4">
        <v>2522</v>
      </c>
      <c r="B2526" s="4">
        <v>70720</v>
      </c>
      <c r="C2526" s="4">
        <v>1</v>
      </c>
      <c r="D2526" s="6">
        <v>0</v>
      </c>
      <c r="E2526" s="6">
        <v>-178.44</v>
      </c>
      <c r="F2526" s="6">
        <v>0.35</v>
      </c>
      <c r="G2526" s="6">
        <v>0.09</v>
      </c>
      <c r="H2526" s="6">
        <v>76</v>
      </c>
    </row>
    <row r="2527" spans="1:8" ht="18.95" customHeight="1">
      <c r="A2527" s="4">
        <v>2523</v>
      </c>
      <c r="B2527" s="4">
        <v>70740</v>
      </c>
      <c r="C2527" s="4">
        <v>1</v>
      </c>
      <c r="D2527" s="6">
        <v>0</v>
      </c>
      <c r="E2527" s="6">
        <v>-178.81</v>
      </c>
      <c r="F2527" s="6">
        <v>0.31</v>
      </c>
      <c r="G2527" s="6">
        <v>0.11</v>
      </c>
      <c r="H2527" s="6">
        <v>76</v>
      </c>
    </row>
    <row r="2528" spans="1:8" ht="18.95" customHeight="1">
      <c r="A2528" s="4">
        <v>2524</v>
      </c>
      <c r="B2528" s="4">
        <v>70760</v>
      </c>
      <c r="C2528" s="4">
        <v>1</v>
      </c>
      <c r="D2528" s="6">
        <v>0</v>
      </c>
      <c r="E2528" s="6">
        <v>-179.13</v>
      </c>
      <c r="F2528" s="6">
        <v>0.31</v>
      </c>
      <c r="G2528" s="6">
        <v>0.24</v>
      </c>
      <c r="H2528" s="6">
        <v>76</v>
      </c>
    </row>
    <row r="2529" spans="1:8" ht="18.95" customHeight="1">
      <c r="A2529" s="4">
        <v>2525</v>
      </c>
      <c r="B2529" s="4">
        <v>70780</v>
      </c>
      <c r="C2529" s="4">
        <v>1</v>
      </c>
      <c r="D2529" s="6">
        <v>0</v>
      </c>
      <c r="E2529" s="6">
        <v>-179.44</v>
      </c>
      <c r="F2529" s="6">
        <v>0.28999999999999998</v>
      </c>
      <c r="G2529" s="6">
        <v>-0.04</v>
      </c>
      <c r="H2529" s="6">
        <v>72</v>
      </c>
    </row>
    <row r="2530" spans="1:8" ht="18.95" customHeight="1">
      <c r="A2530" s="4">
        <v>2526</v>
      </c>
      <c r="B2530" s="4">
        <v>70800</v>
      </c>
      <c r="C2530" s="4">
        <v>1</v>
      </c>
      <c r="D2530" s="6">
        <v>0</v>
      </c>
      <c r="E2530" s="6">
        <v>-179.75</v>
      </c>
      <c r="F2530" s="6">
        <v>0.25</v>
      </c>
      <c r="G2530" s="6">
        <v>0.19</v>
      </c>
      <c r="H2530" s="6">
        <v>72</v>
      </c>
    </row>
    <row r="2531" spans="1:8" ht="18.95" customHeight="1">
      <c r="A2531" s="4">
        <v>2527</v>
      </c>
      <c r="B2531" s="4">
        <v>70820</v>
      </c>
      <c r="C2531" s="4">
        <v>1</v>
      </c>
      <c r="D2531" s="6">
        <v>0</v>
      </c>
      <c r="E2531" s="6">
        <v>179.94</v>
      </c>
      <c r="F2531" s="6">
        <v>0.22</v>
      </c>
      <c r="G2531" s="6">
        <v>0.2</v>
      </c>
      <c r="H2531" s="6">
        <v>70</v>
      </c>
    </row>
    <row r="2532" spans="1:8" ht="18.95" customHeight="1">
      <c r="A2532" s="4">
        <v>2528</v>
      </c>
      <c r="B2532" s="4">
        <v>70840</v>
      </c>
      <c r="C2532" s="4">
        <v>1</v>
      </c>
      <c r="D2532" s="6">
        <v>0</v>
      </c>
      <c r="E2532" s="6">
        <v>179.75</v>
      </c>
      <c r="F2532" s="6">
        <v>0.18</v>
      </c>
      <c r="G2532" s="6">
        <v>-0.04</v>
      </c>
      <c r="H2532" s="6">
        <v>70</v>
      </c>
    </row>
    <row r="2533" spans="1:8" ht="18.95" customHeight="1">
      <c r="A2533" s="4">
        <v>2529</v>
      </c>
      <c r="B2533" s="4">
        <v>70860</v>
      </c>
      <c r="C2533" s="4">
        <v>1</v>
      </c>
      <c r="D2533" s="6">
        <v>0</v>
      </c>
      <c r="E2533" s="6">
        <v>179.56</v>
      </c>
      <c r="F2533" s="6">
        <v>0.16</v>
      </c>
      <c r="G2533" s="6">
        <v>0.31</v>
      </c>
      <c r="H2533" s="6">
        <v>70</v>
      </c>
    </row>
    <row r="2534" spans="1:8" ht="18.95" customHeight="1">
      <c r="A2534" s="4">
        <v>2530</v>
      </c>
      <c r="B2534" s="4">
        <v>70880</v>
      </c>
      <c r="C2534" s="4">
        <v>1</v>
      </c>
      <c r="D2534" s="6">
        <v>0</v>
      </c>
      <c r="E2534" s="6">
        <v>179.38</v>
      </c>
      <c r="F2534" s="6">
        <v>0.13</v>
      </c>
      <c r="G2534" s="6">
        <v>-0.08</v>
      </c>
      <c r="H2534" s="6">
        <v>65</v>
      </c>
    </row>
    <row r="2535" spans="1:8" ht="18.95" customHeight="1">
      <c r="A2535" s="4">
        <v>2531</v>
      </c>
      <c r="B2535" s="4">
        <v>70900</v>
      </c>
      <c r="C2535" s="4">
        <v>1</v>
      </c>
      <c r="D2535" s="6">
        <v>0</v>
      </c>
      <c r="E2535" s="6">
        <v>179.25</v>
      </c>
      <c r="F2535" s="6">
        <v>0.11</v>
      </c>
      <c r="G2535" s="6">
        <v>0.15</v>
      </c>
      <c r="H2535" s="6">
        <v>65</v>
      </c>
    </row>
    <row r="2536" spans="1:8" ht="18.95" customHeight="1">
      <c r="A2536" s="4">
        <v>2532</v>
      </c>
      <c r="B2536" s="4">
        <v>70920</v>
      </c>
      <c r="C2536" s="4">
        <v>1</v>
      </c>
      <c r="D2536" s="6">
        <v>0</v>
      </c>
      <c r="E2536" s="6">
        <v>179.13</v>
      </c>
      <c r="F2536" s="6">
        <v>0.08</v>
      </c>
      <c r="G2536" s="6">
        <v>-0.03</v>
      </c>
      <c r="H2536" s="6">
        <v>64</v>
      </c>
    </row>
    <row r="2537" spans="1:8" ht="18.95" customHeight="1">
      <c r="A2537" s="4">
        <v>2533</v>
      </c>
      <c r="B2537" s="4">
        <v>70940</v>
      </c>
      <c r="C2537" s="4">
        <v>1</v>
      </c>
      <c r="D2537" s="6">
        <v>0</v>
      </c>
      <c r="E2537" s="6">
        <v>179.06</v>
      </c>
      <c r="F2537" s="6">
        <v>0.06</v>
      </c>
      <c r="G2537" s="6">
        <v>-0.08</v>
      </c>
      <c r="H2537" s="6">
        <v>64</v>
      </c>
    </row>
    <row r="2538" spans="1:8" ht="18.95" customHeight="1">
      <c r="A2538" s="4">
        <v>2534</v>
      </c>
      <c r="B2538" s="4">
        <v>70960</v>
      </c>
      <c r="C2538" s="4">
        <v>0</v>
      </c>
      <c r="D2538" s="6">
        <v>0</v>
      </c>
      <c r="E2538" s="6">
        <v>179</v>
      </c>
      <c r="F2538" s="6">
        <v>0.04</v>
      </c>
      <c r="G2538" s="6">
        <v>0.04</v>
      </c>
      <c r="H2538" s="6">
        <v>64</v>
      </c>
    </row>
    <row r="2539" spans="1:8" ht="18.95" customHeight="1">
      <c r="A2539" s="4">
        <v>2535</v>
      </c>
      <c r="B2539" s="4">
        <v>70980</v>
      </c>
      <c r="C2539" s="4">
        <v>0</v>
      </c>
      <c r="D2539" s="6">
        <v>0</v>
      </c>
      <c r="E2539" s="6">
        <v>179</v>
      </c>
      <c r="F2539" s="6">
        <v>0.01</v>
      </c>
      <c r="G2539" s="6">
        <v>0.21</v>
      </c>
      <c r="H2539" s="6">
        <v>58</v>
      </c>
    </row>
    <row r="2540" spans="1:8" ht="18.95" customHeight="1">
      <c r="A2540" s="4">
        <v>2536</v>
      </c>
      <c r="B2540" s="4">
        <v>71000</v>
      </c>
      <c r="C2540" s="4">
        <v>0</v>
      </c>
      <c r="D2540" s="6">
        <v>0</v>
      </c>
      <c r="E2540" s="6">
        <v>179</v>
      </c>
      <c r="F2540" s="6">
        <v>-0.01</v>
      </c>
      <c r="G2540" s="6">
        <v>0.33</v>
      </c>
      <c r="H2540" s="6">
        <v>58</v>
      </c>
    </row>
    <row r="2541" spans="1:8" ht="18.95" customHeight="1">
      <c r="A2541" s="4">
        <v>2537</v>
      </c>
      <c r="B2541" s="4">
        <v>71020</v>
      </c>
      <c r="C2541" s="4">
        <v>0</v>
      </c>
      <c r="D2541" s="6">
        <v>0</v>
      </c>
      <c r="E2541" s="6">
        <v>179</v>
      </c>
      <c r="F2541" s="6">
        <v>-0.04</v>
      </c>
      <c r="G2541" s="6">
        <v>0.14000000000000001</v>
      </c>
      <c r="H2541" s="6">
        <v>56</v>
      </c>
    </row>
    <row r="2542" spans="1:8" ht="18.95" customHeight="1">
      <c r="A2542" s="4">
        <v>2538</v>
      </c>
      <c r="B2542" s="4">
        <v>71040</v>
      </c>
      <c r="C2542" s="4">
        <v>0</v>
      </c>
      <c r="D2542" s="6">
        <v>0</v>
      </c>
      <c r="E2542" s="6">
        <v>179.06</v>
      </c>
      <c r="F2542" s="6">
        <v>-7.0000000000000007E-2</v>
      </c>
      <c r="G2542" s="6">
        <v>0.11</v>
      </c>
      <c r="H2542" s="6">
        <v>56</v>
      </c>
    </row>
    <row r="2543" spans="1:8" ht="18.95" customHeight="1">
      <c r="A2543" s="4">
        <v>2539</v>
      </c>
      <c r="B2543" s="4">
        <v>71060</v>
      </c>
      <c r="C2543" s="4">
        <v>1</v>
      </c>
      <c r="D2543" s="6">
        <v>0</v>
      </c>
      <c r="E2543" s="6">
        <v>179.19</v>
      </c>
      <c r="F2543" s="6">
        <v>-0.09</v>
      </c>
      <c r="G2543" s="6">
        <v>0.02</v>
      </c>
      <c r="H2543" s="6">
        <v>56</v>
      </c>
    </row>
    <row r="2544" spans="1:8" ht="18.95" customHeight="1">
      <c r="A2544" s="4">
        <v>2540</v>
      </c>
      <c r="B2544" s="4">
        <v>71080</v>
      </c>
      <c r="C2544" s="4">
        <v>1</v>
      </c>
      <c r="D2544" s="6">
        <v>0</v>
      </c>
      <c r="E2544" s="6">
        <v>179.31</v>
      </c>
      <c r="F2544" s="6">
        <v>-0.11</v>
      </c>
      <c r="G2544" s="6">
        <v>0.26</v>
      </c>
      <c r="H2544" s="6">
        <v>54</v>
      </c>
    </row>
    <row r="2545" spans="1:8" ht="18.95" customHeight="1">
      <c r="A2545" s="4">
        <v>2541</v>
      </c>
      <c r="B2545" s="4">
        <v>71100</v>
      </c>
      <c r="C2545" s="4">
        <v>1</v>
      </c>
      <c r="D2545" s="6">
        <v>0</v>
      </c>
      <c r="E2545" s="6">
        <v>179.44</v>
      </c>
      <c r="F2545" s="6">
        <v>-0.14000000000000001</v>
      </c>
      <c r="G2545" s="6">
        <v>0</v>
      </c>
      <c r="H2545" s="6">
        <v>54</v>
      </c>
    </row>
    <row r="2546" spans="1:8" ht="18.95" customHeight="1">
      <c r="A2546" s="4">
        <v>2542</v>
      </c>
      <c r="B2546" s="4">
        <v>71120</v>
      </c>
      <c r="C2546" s="4">
        <v>1</v>
      </c>
      <c r="D2546" s="6">
        <v>600</v>
      </c>
      <c r="E2546" s="6">
        <v>179.63</v>
      </c>
      <c r="F2546" s="6">
        <v>-0.16</v>
      </c>
      <c r="G2546" s="6">
        <v>0.12</v>
      </c>
      <c r="H2546" s="6">
        <v>50</v>
      </c>
    </row>
    <row r="2547" spans="1:8" ht="18.95" customHeight="1">
      <c r="A2547" s="4">
        <v>2543</v>
      </c>
      <c r="B2547" s="4">
        <v>71140</v>
      </c>
      <c r="C2547" s="4">
        <v>1</v>
      </c>
      <c r="D2547" s="6">
        <v>600</v>
      </c>
      <c r="E2547" s="6">
        <v>179.81</v>
      </c>
      <c r="F2547" s="6">
        <v>-0.18</v>
      </c>
      <c r="G2547" s="6">
        <v>0.03</v>
      </c>
      <c r="H2547" s="6">
        <v>50</v>
      </c>
    </row>
    <row r="2548" spans="1:8" ht="18.95" customHeight="1">
      <c r="A2548" s="4">
        <v>2544</v>
      </c>
      <c r="B2548" s="4">
        <v>71160</v>
      </c>
      <c r="C2548" s="4">
        <v>1</v>
      </c>
      <c r="D2548" s="6">
        <v>600</v>
      </c>
      <c r="E2548" s="6">
        <v>-179.94</v>
      </c>
      <c r="F2548" s="6">
        <v>-0.19</v>
      </c>
      <c r="G2548" s="6">
        <v>0.17</v>
      </c>
      <c r="H2548" s="6">
        <v>50</v>
      </c>
    </row>
    <row r="2549" spans="1:8" ht="18.95" customHeight="1">
      <c r="A2549" s="4">
        <v>2545</v>
      </c>
      <c r="B2549" s="4">
        <v>71180</v>
      </c>
      <c r="C2549" s="4">
        <v>1</v>
      </c>
      <c r="D2549" s="6">
        <v>600</v>
      </c>
      <c r="E2549" s="6">
        <v>-179.75</v>
      </c>
      <c r="F2549" s="6">
        <v>-0.21</v>
      </c>
      <c r="G2549" s="6">
        <v>-0.12</v>
      </c>
      <c r="H2549" s="6">
        <v>44</v>
      </c>
    </row>
    <row r="2550" spans="1:8" ht="18.95" customHeight="1">
      <c r="A2550" s="4">
        <v>2546</v>
      </c>
      <c r="B2550" s="4">
        <v>71200</v>
      </c>
      <c r="C2550" s="4">
        <v>1</v>
      </c>
      <c r="D2550" s="6">
        <v>600</v>
      </c>
      <c r="E2550" s="6">
        <v>-179.5</v>
      </c>
      <c r="F2550" s="6">
        <v>-0.22</v>
      </c>
      <c r="G2550" s="6">
        <v>0.23</v>
      </c>
      <c r="H2550" s="6">
        <v>44</v>
      </c>
    </row>
    <row r="2551" spans="1:8" ht="18.95" customHeight="1">
      <c r="A2551" s="4">
        <v>2547</v>
      </c>
      <c r="B2551" s="4">
        <v>71221</v>
      </c>
      <c r="C2551" s="4">
        <v>1</v>
      </c>
      <c r="D2551" s="6">
        <v>0</v>
      </c>
      <c r="E2551" s="6">
        <v>-179.19</v>
      </c>
      <c r="F2551" s="6">
        <v>-0.26</v>
      </c>
      <c r="G2551" s="6">
        <v>-7.0000000000000007E-2</v>
      </c>
      <c r="H2551" s="6">
        <v>41</v>
      </c>
    </row>
    <row r="2552" spans="1:8" ht="18.95" customHeight="1">
      <c r="A2552" s="4">
        <v>2548</v>
      </c>
      <c r="B2552" s="4">
        <v>71241</v>
      </c>
      <c r="C2552" s="4">
        <v>1</v>
      </c>
      <c r="D2552" s="6">
        <v>0</v>
      </c>
      <c r="E2552" s="6">
        <v>-178.94</v>
      </c>
      <c r="F2552" s="6">
        <v>-0.25</v>
      </c>
      <c r="G2552" s="6">
        <v>0.25</v>
      </c>
      <c r="H2552" s="6">
        <v>41</v>
      </c>
    </row>
    <row r="2553" spans="1:8" ht="18.95" customHeight="1">
      <c r="A2553" s="4">
        <v>2549</v>
      </c>
      <c r="B2553" s="4">
        <v>71261</v>
      </c>
      <c r="C2553" s="4">
        <v>1</v>
      </c>
      <c r="D2553" s="6">
        <v>0</v>
      </c>
      <c r="E2553" s="6">
        <v>-178.63</v>
      </c>
      <c r="F2553" s="6">
        <v>-0.27</v>
      </c>
      <c r="G2553" s="6">
        <v>0.18</v>
      </c>
      <c r="H2553" s="6">
        <v>41</v>
      </c>
    </row>
    <row r="2554" spans="1:8" ht="18.95" customHeight="1">
      <c r="A2554" s="4">
        <v>2550</v>
      </c>
      <c r="B2554" s="4">
        <v>71281</v>
      </c>
      <c r="C2554" s="4">
        <v>1</v>
      </c>
      <c r="D2554" s="6">
        <v>0</v>
      </c>
      <c r="E2554" s="6">
        <v>-178.38</v>
      </c>
      <c r="F2554" s="6">
        <v>-0.27</v>
      </c>
      <c r="G2554" s="6">
        <v>0.13</v>
      </c>
      <c r="H2554" s="6">
        <v>39</v>
      </c>
    </row>
    <row r="2555" spans="1:8" ht="18.95" customHeight="1">
      <c r="A2555" s="4">
        <v>2551</v>
      </c>
      <c r="B2555" s="4">
        <v>71301</v>
      </c>
      <c r="C2555" s="4">
        <v>1</v>
      </c>
      <c r="D2555" s="6">
        <v>0</v>
      </c>
      <c r="E2555" s="6">
        <v>-178.06</v>
      </c>
      <c r="F2555" s="6">
        <v>-0.3</v>
      </c>
      <c r="G2555" s="6">
        <v>0.28000000000000003</v>
      </c>
      <c r="H2555" s="6">
        <v>39</v>
      </c>
    </row>
    <row r="2556" spans="1:8" ht="18.95" customHeight="1">
      <c r="A2556" s="4">
        <v>2552</v>
      </c>
      <c r="B2556" s="4">
        <v>71321</v>
      </c>
      <c r="C2556" s="4">
        <v>1</v>
      </c>
      <c r="D2556" s="6">
        <v>0</v>
      </c>
      <c r="E2556" s="6">
        <v>-177.69</v>
      </c>
      <c r="F2556" s="6">
        <v>-0.31</v>
      </c>
      <c r="G2556" s="6">
        <v>-0.14000000000000001</v>
      </c>
      <c r="H2556" s="6">
        <v>36</v>
      </c>
    </row>
    <row r="2557" spans="1:8" ht="18.95" customHeight="1">
      <c r="A2557" s="4">
        <v>2553</v>
      </c>
      <c r="B2557" s="4">
        <v>71341</v>
      </c>
      <c r="C2557" s="4">
        <v>1</v>
      </c>
      <c r="D2557" s="6">
        <v>0</v>
      </c>
      <c r="E2557" s="6">
        <v>-177.31</v>
      </c>
      <c r="F2557" s="6">
        <v>-0.34</v>
      </c>
      <c r="G2557" s="6">
        <v>-0.04</v>
      </c>
      <c r="H2557" s="6">
        <v>36</v>
      </c>
    </row>
    <row r="2558" spans="1:8" ht="18.95" customHeight="1">
      <c r="A2558" s="4">
        <v>2554</v>
      </c>
      <c r="B2558" s="4">
        <v>71361</v>
      </c>
      <c r="C2558" s="4">
        <v>1</v>
      </c>
      <c r="D2558" s="6">
        <v>0</v>
      </c>
      <c r="E2558" s="6">
        <v>-176.94</v>
      </c>
      <c r="F2558" s="6">
        <v>-0.34</v>
      </c>
      <c r="G2558" s="6">
        <v>0.1</v>
      </c>
      <c r="H2558" s="6">
        <v>36</v>
      </c>
    </row>
    <row r="2559" spans="1:8" ht="18.95" customHeight="1">
      <c r="A2559" s="4">
        <v>2555</v>
      </c>
      <c r="B2559" s="4">
        <v>71382</v>
      </c>
      <c r="C2559" s="4">
        <v>1</v>
      </c>
      <c r="D2559" s="6">
        <v>0</v>
      </c>
      <c r="E2559" s="6">
        <v>-176.5</v>
      </c>
      <c r="F2559" s="6">
        <v>-0.39</v>
      </c>
      <c r="G2559" s="6">
        <v>-0.04</v>
      </c>
      <c r="H2559" s="6">
        <v>31</v>
      </c>
    </row>
    <row r="2560" spans="1:8" ht="18.95" customHeight="1">
      <c r="A2560" s="4">
        <v>2556</v>
      </c>
      <c r="B2560" s="4">
        <v>71402</v>
      </c>
      <c r="C2560" s="4">
        <v>1</v>
      </c>
      <c r="D2560" s="6">
        <v>0</v>
      </c>
      <c r="E2560" s="6">
        <v>-176.06</v>
      </c>
      <c r="F2560" s="6">
        <v>-0.42</v>
      </c>
      <c r="G2560" s="6">
        <v>0.34</v>
      </c>
      <c r="H2560" s="6">
        <v>31</v>
      </c>
    </row>
    <row r="2561" spans="1:8" ht="18.95" customHeight="1">
      <c r="A2561" s="4">
        <v>2557</v>
      </c>
      <c r="B2561" s="4">
        <v>71422</v>
      </c>
      <c r="C2561" s="4">
        <v>1</v>
      </c>
      <c r="D2561" s="6">
        <v>0</v>
      </c>
      <c r="E2561" s="6">
        <v>-175.56</v>
      </c>
      <c r="F2561" s="6">
        <v>-0.45</v>
      </c>
      <c r="G2561" s="6">
        <v>-0.12</v>
      </c>
      <c r="H2561" s="6">
        <v>29</v>
      </c>
    </row>
    <row r="2562" spans="1:8" ht="18.95" customHeight="1">
      <c r="A2562" s="4">
        <v>2558</v>
      </c>
      <c r="B2562" s="4">
        <v>71442</v>
      </c>
      <c r="C2562" s="4">
        <v>1</v>
      </c>
      <c r="D2562" s="6">
        <v>0</v>
      </c>
      <c r="E2562" s="6">
        <v>-175.06</v>
      </c>
      <c r="F2562" s="6">
        <v>-0.44</v>
      </c>
      <c r="G2562" s="6">
        <v>0</v>
      </c>
      <c r="H2562" s="6">
        <v>29</v>
      </c>
    </row>
    <row r="2563" spans="1:8" ht="18.95" customHeight="1">
      <c r="A2563" s="4">
        <v>2559</v>
      </c>
      <c r="B2563" s="4">
        <v>71462</v>
      </c>
      <c r="C2563" s="4">
        <v>1</v>
      </c>
      <c r="D2563" s="6">
        <v>0</v>
      </c>
      <c r="E2563" s="6">
        <v>-174.56</v>
      </c>
      <c r="F2563" s="6">
        <v>-0.45</v>
      </c>
      <c r="G2563" s="6">
        <v>0.21</v>
      </c>
      <c r="H2563" s="6">
        <v>29</v>
      </c>
    </row>
    <row r="2564" spans="1:8" ht="18.95" customHeight="1">
      <c r="A2564" s="4">
        <v>2560</v>
      </c>
      <c r="B2564" s="4">
        <v>71482</v>
      </c>
      <c r="C2564" s="4">
        <v>1</v>
      </c>
      <c r="D2564" s="6">
        <v>0</v>
      </c>
      <c r="E2564" s="6">
        <v>-124.5</v>
      </c>
      <c r="F2564" s="6">
        <v>-0.48</v>
      </c>
      <c r="G2564" s="6">
        <v>0.12</v>
      </c>
      <c r="H2564" s="6">
        <v>25</v>
      </c>
    </row>
    <row r="2565" spans="1:8" ht="18.95" customHeight="1">
      <c r="A2565" s="4">
        <v>2561</v>
      </c>
      <c r="B2565" s="4">
        <v>71502</v>
      </c>
      <c r="C2565" s="4">
        <v>1</v>
      </c>
      <c r="D2565" s="6">
        <v>0</v>
      </c>
      <c r="E2565" s="6">
        <v>-122.12</v>
      </c>
      <c r="F2565" s="6">
        <v>-0.5</v>
      </c>
      <c r="G2565" s="6">
        <v>0.12</v>
      </c>
      <c r="H2565" s="6">
        <v>25</v>
      </c>
    </row>
    <row r="2566" spans="1:8" ht="18.95" customHeight="1">
      <c r="A2566" s="4">
        <v>2562</v>
      </c>
      <c r="B2566" s="4">
        <v>71522</v>
      </c>
      <c r="C2566" s="4">
        <v>1</v>
      </c>
      <c r="D2566" s="6">
        <v>0</v>
      </c>
      <c r="E2566" s="6">
        <v>-120.06</v>
      </c>
      <c r="F2566" s="6">
        <v>-0.5</v>
      </c>
      <c r="G2566" s="6">
        <v>0.09</v>
      </c>
      <c r="H2566" s="6">
        <v>23</v>
      </c>
    </row>
    <row r="2567" spans="1:8" ht="18.95" customHeight="1">
      <c r="A2567" s="4">
        <v>2563</v>
      </c>
      <c r="B2567" s="4">
        <v>71542</v>
      </c>
      <c r="C2567" s="4">
        <v>1</v>
      </c>
      <c r="D2567" s="6">
        <v>0</v>
      </c>
      <c r="E2567" s="6">
        <v>-118.19</v>
      </c>
      <c r="F2567" s="6">
        <v>-0.5</v>
      </c>
      <c r="G2567" s="6">
        <v>0.15</v>
      </c>
      <c r="H2567" s="6">
        <v>23</v>
      </c>
    </row>
    <row r="2568" spans="1:8" ht="18.95" customHeight="1">
      <c r="A2568" s="4">
        <v>2564</v>
      </c>
      <c r="B2568" s="4">
        <v>71562</v>
      </c>
      <c r="C2568" s="4">
        <v>1</v>
      </c>
      <c r="D2568" s="6">
        <v>0</v>
      </c>
      <c r="E2568" s="6">
        <v>-116.5</v>
      </c>
      <c r="F2568" s="6">
        <v>-0.5</v>
      </c>
      <c r="G2568" s="6">
        <v>0.24</v>
      </c>
      <c r="H2568" s="6">
        <v>23</v>
      </c>
    </row>
    <row r="2569" spans="1:8" ht="18.95" customHeight="1">
      <c r="A2569" s="4">
        <v>2565</v>
      </c>
      <c r="B2569" s="4">
        <v>71582</v>
      </c>
      <c r="C2569" s="4">
        <v>1</v>
      </c>
      <c r="D2569" s="6">
        <v>0</v>
      </c>
      <c r="E2569" s="6">
        <v>-115.06</v>
      </c>
      <c r="F2569" s="6">
        <v>-0.5</v>
      </c>
      <c r="G2569" s="6">
        <v>0.11</v>
      </c>
      <c r="H2569" s="6">
        <v>20</v>
      </c>
    </row>
    <row r="2570" spans="1:8" ht="18.95" customHeight="1">
      <c r="A2570" s="4">
        <v>2566</v>
      </c>
      <c r="B2570" s="4">
        <v>71602</v>
      </c>
      <c r="C2570" s="4">
        <v>1</v>
      </c>
      <c r="D2570" s="6">
        <v>0</v>
      </c>
      <c r="E2570" s="6">
        <v>-113.62</v>
      </c>
      <c r="F2570" s="6">
        <v>-0.53</v>
      </c>
      <c r="G2570" s="6">
        <v>0.27</v>
      </c>
      <c r="H2570" s="6">
        <v>20</v>
      </c>
    </row>
    <row r="2571" spans="1:8" ht="18.95" customHeight="1">
      <c r="A2571" s="4">
        <v>2567</v>
      </c>
      <c r="B2571" s="4">
        <v>71622</v>
      </c>
      <c r="C2571" s="4">
        <v>1</v>
      </c>
      <c r="D2571" s="6">
        <v>0</v>
      </c>
      <c r="E2571" s="6">
        <v>-112.44</v>
      </c>
      <c r="F2571" s="6">
        <v>-0.51</v>
      </c>
      <c r="G2571" s="6">
        <v>0.13</v>
      </c>
      <c r="H2571" s="6">
        <v>17</v>
      </c>
    </row>
    <row r="2572" spans="1:8" ht="18.95" customHeight="1">
      <c r="A2572" s="4">
        <v>2568</v>
      </c>
      <c r="B2572" s="4">
        <v>71642</v>
      </c>
      <c r="C2572" s="4">
        <v>1</v>
      </c>
      <c r="D2572" s="6">
        <v>0</v>
      </c>
      <c r="E2572" s="6">
        <v>-111.25</v>
      </c>
      <c r="F2572" s="6">
        <v>-0.54</v>
      </c>
      <c r="G2572" s="6">
        <v>0.01</v>
      </c>
      <c r="H2572" s="6">
        <v>17</v>
      </c>
    </row>
    <row r="2573" spans="1:8" ht="18.95" customHeight="1">
      <c r="A2573" s="4">
        <v>2569</v>
      </c>
      <c r="B2573" s="4">
        <v>71662</v>
      </c>
      <c r="C2573" s="4">
        <v>1</v>
      </c>
      <c r="D2573" s="6">
        <v>0</v>
      </c>
      <c r="E2573" s="6">
        <v>-110.12</v>
      </c>
      <c r="F2573" s="6">
        <v>-0.56000000000000005</v>
      </c>
      <c r="G2573" s="6">
        <v>0.15</v>
      </c>
      <c r="H2573" s="6">
        <v>17</v>
      </c>
    </row>
    <row r="2574" spans="1:8" ht="18.95" customHeight="1">
      <c r="A2574" s="4">
        <v>2570</v>
      </c>
      <c r="B2574" s="4">
        <v>71682</v>
      </c>
      <c r="C2574" s="4">
        <v>1</v>
      </c>
      <c r="D2574" s="6">
        <v>0</v>
      </c>
      <c r="E2574" s="6">
        <v>-109.12</v>
      </c>
      <c r="F2574" s="6">
        <v>-0.56000000000000005</v>
      </c>
      <c r="G2574" s="6">
        <v>0.04</v>
      </c>
      <c r="H2574" s="6">
        <v>16</v>
      </c>
    </row>
    <row r="2575" spans="1:8" ht="18.95" customHeight="1">
      <c r="A2575" s="4">
        <v>2571</v>
      </c>
      <c r="B2575" s="4">
        <v>71702</v>
      </c>
      <c r="C2575" s="4">
        <v>1</v>
      </c>
      <c r="D2575" s="6">
        <v>0</v>
      </c>
      <c r="E2575" s="6">
        <v>-108.25</v>
      </c>
      <c r="F2575" s="6">
        <v>-0.56999999999999995</v>
      </c>
      <c r="G2575" s="6">
        <v>0.06</v>
      </c>
      <c r="H2575" s="6">
        <v>16</v>
      </c>
    </row>
    <row r="2576" spans="1:8" ht="18.95" customHeight="1">
      <c r="A2576" s="4">
        <v>2572</v>
      </c>
      <c r="B2576" s="4">
        <v>71723</v>
      </c>
      <c r="C2576" s="4">
        <v>1</v>
      </c>
      <c r="D2576" s="6">
        <v>0</v>
      </c>
      <c r="E2576" s="6">
        <v>-107.44</v>
      </c>
      <c r="F2576" s="6">
        <v>-0.56999999999999995</v>
      </c>
      <c r="G2576" s="6">
        <v>-0.04</v>
      </c>
      <c r="H2576" s="6">
        <v>18</v>
      </c>
    </row>
    <row r="2577" spans="1:8" ht="18.95" customHeight="1">
      <c r="A2577" s="4">
        <v>2573</v>
      </c>
      <c r="B2577" s="4">
        <v>71743</v>
      </c>
      <c r="C2577" s="4">
        <v>1</v>
      </c>
      <c r="D2577" s="6">
        <v>0</v>
      </c>
      <c r="E2577" s="6">
        <v>-106.62</v>
      </c>
      <c r="F2577" s="6">
        <v>-0.57999999999999996</v>
      </c>
      <c r="G2577" s="6">
        <v>0.12</v>
      </c>
      <c r="H2577" s="6">
        <v>18</v>
      </c>
    </row>
    <row r="2578" spans="1:8" ht="18.95" customHeight="1">
      <c r="A2578" s="4">
        <v>2574</v>
      </c>
      <c r="B2578" s="4">
        <v>71763</v>
      </c>
      <c r="C2578" s="4">
        <v>1</v>
      </c>
      <c r="D2578" s="6">
        <v>0</v>
      </c>
      <c r="E2578" s="6">
        <v>-105.94</v>
      </c>
      <c r="F2578" s="6">
        <v>-0.56999999999999995</v>
      </c>
      <c r="G2578" s="6">
        <v>0.59</v>
      </c>
      <c r="H2578" s="6">
        <v>18</v>
      </c>
    </row>
    <row r="2579" spans="1:8" ht="18.95" customHeight="1">
      <c r="A2579" s="4">
        <v>2575</v>
      </c>
      <c r="B2579" s="4">
        <v>71783</v>
      </c>
      <c r="C2579" s="4">
        <v>1</v>
      </c>
      <c r="D2579" s="6">
        <v>0</v>
      </c>
      <c r="E2579" s="6">
        <v>-105.25</v>
      </c>
      <c r="F2579" s="6">
        <v>-0.56000000000000005</v>
      </c>
      <c r="G2579" s="6">
        <v>-0.03</v>
      </c>
      <c r="H2579" s="6">
        <v>16</v>
      </c>
    </row>
    <row r="2580" spans="1:8" ht="18.95" customHeight="1">
      <c r="A2580" s="4">
        <v>2576</v>
      </c>
      <c r="B2580" s="4">
        <v>71803</v>
      </c>
      <c r="C2580" s="4">
        <v>1</v>
      </c>
      <c r="D2580" s="6">
        <v>0</v>
      </c>
      <c r="E2580" s="6">
        <v>-104.69</v>
      </c>
      <c r="F2580" s="6">
        <v>-0.53</v>
      </c>
      <c r="G2580" s="6">
        <v>0.03</v>
      </c>
      <c r="H2580" s="6">
        <v>16</v>
      </c>
    </row>
    <row r="2581" spans="1:8" ht="18.95" customHeight="1">
      <c r="A2581" s="4">
        <v>2577</v>
      </c>
      <c r="B2581" s="4">
        <v>71823</v>
      </c>
      <c r="C2581" s="4">
        <v>1</v>
      </c>
      <c r="D2581" s="6">
        <v>0</v>
      </c>
      <c r="E2581" s="6">
        <v>-104.25</v>
      </c>
      <c r="F2581" s="6">
        <v>-0.4</v>
      </c>
      <c r="G2581" s="6">
        <v>0.01</v>
      </c>
      <c r="H2581" s="6">
        <v>17</v>
      </c>
    </row>
    <row r="2582" spans="1:8" ht="18.95" customHeight="1">
      <c r="A2582" s="4">
        <v>2578</v>
      </c>
      <c r="B2582" s="4">
        <v>71843</v>
      </c>
      <c r="C2582" s="4">
        <v>1</v>
      </c>
      <c r="D2582" s="6">
        <v>0</v>
      </c>
      <c r="E2582" s="6">
        <v>-104</v>
      </c>
      <c r="F2582" s="6">
        <v>-0.26</v>
      </c>
      <c r="G2582" s="6">
        <v>-0.12</v>
      </c>
      <c r="H2582" s="6">
        <v>17</v>
      </c>
    </row>
    <row r="2583" spans="1:8" ht="18.95" customHeight="1">
      <c r="A2583" s="4">
        <v>2579</v>
      </c>
      <c r="B2583" s="4">
        <v>71863</v>
      </c>
      <c r="C2583" s="4">
        <v>1</v>
      </c>
      <c r="D2583" s="6">
        <v>0</v>
      </c>
      <c r="E2583" s="6">
        <v>-103.81</v>
      </c>
      <c r="F2583" s="6">
        <v>-0.14000000000000001</v>
      </c>
      <c r="G2583" s="6">
        <v>-0.05</v>
      </c>
      <c r="H2583" s="6">
        <v>17</v>
      </c>
    </row>
    <row r="2584" spans="1:8" ht="18.95" customHeight="1">
      <c r="A2584" s="4">
        <v>2580</v>
      </c>
      <c r="B2584" s="4">
        <v>71883</v>
      </c>
      <c r="C2584" s="4">
        <v>1</v>
      </c>
      <c r="D2584" s="6">
        <v>0</v>
      </c>
      <c r="E2584" s="6">
        <v>-103.81</v>
      </c>
      <c r="F2584" s="6">
        <v>-0.01</v>
      </c>
      <c r="G2584" s="6">
        <v>0.11</v>
      </c>
      <c r="H2584" s="6">
        <v>16</v>
      </c>
    </row>
    <row r="2585" spans="1:8" ht="18.95" customHeight="1">
      <c r="A2585" s="4">
        <v>2581</v>
      </c>
      <c r="B2585" s="4">
        <v>71903</v>
      </c>
      <c r="C2585" s="4">
        <v>1</v>
      </c>
      <c r="D2585" s="6">
        <v>0</v>
      </c>
      <c r="E2585" s="6">
        <v>-103.81</v>
      </c>
      <c r="F2585" s="6">
        <v>0</v>
      </c>
      <c r="G2585" s="6">
        <v>0</v>
      </c>
      <c r="H2585" s="6">
        <v>16</v>
      </c>
    </row>
    <row r="2586" spans="1:8" ht="18.95" customHeight="1">
      <c r="A2586" s="4">
        <v>2582</v>
      </c>
      <c r="B2586" s="4">
        <v>71923</v>
      </c>
      <c r="C2586" s="4">
        <v>1</v>
      </c>
      <c r="D2586" s="6">
        <v>0</v>
      </c>
      <c r="E2586" s="6">
        <v>-103.81</v>
      </c>
      <c r="F2586" s="6">
        <v>0</v>
      </c>
      <c r="G2586" s="6">
        <v>0.09</v>
      </c>
      <c r="H2586" s="6">
        <v>17</v>
      </c>
    </row>
    <row r="2587" spans="1:8" ht="18.95" customHeight="1">
      <c r="A2587" s="4">
        <v>2583</v>
      </c>
      <c r="B2587" s="4">
        <v>71943</v>
      </c>
      <c r="C2587" s="4">
        <v>1</v>
      </c>
      <c r="D2587" s="6">
        <v>0</v>
      </c>
      <c r="E2587" s="6">
        <v>-103.81</v>
      </c>
      <c r="F2587" s="6">
        <v>0</v>
      </c>
      <c r="G2587" s="6">
        <v>0.06</v>
      </c>
      <c r="H2587" s="6">
        <v>17</v>
      </c>
    </row>
    <row r="2588" spans="1:8" ht="18.95" customHeight="1">
      <c r="A2588" s="4">
        <v>2584</v>
      </c>
      <c r="B2588" s="4">
        <v>71963</v>
      </c>
      <c r="C2588" s="4">
        <v>1</v>
      </c>
      <c r="D2588" s="6">
        <v>0</v>
      </c>
      <c r="E2588" s="6">
        <v>-103.81</v>
      </c>
      <c r="F2588" s="6">
        <v>0</v>
      </c>
      <c r="G2588" s="6">
        <v>0.05</v>
      </c>
      <c r="H2588" s="6">
        <v>17</v>
      </c>
    </row>
    <row r="2589" spans="1:8" ht="18.95" customHeight="1">
      <c r="A2589" s="4">
        <v>2585</v>
      </c>
      <c r="B2589" s="4">
        <v>71983</v>
      </c>
      <c r="C2589" s="4">
        <v>1</v>
      </c>
      <c r="D2589" s="6">
        <v>0</v>
      </c>
      <c r="E2589" s="6">
        <v>-103.81</v>
      </c>
      <c r="F2589" s="6">
        <v>0</v>
      </c>
      <c r="G2589" s="6">
        <v>7.0000000000000007E-2</v>
      </c>
      <c r="H2589" s="6">
        <v>17</v>
      </c>
    </row>
    <row r="2590" spans="1:8" ht="18.95" customHeight="1">
      <c r="A2590" s="4">
        <v>2586</v>
      </c>
      <c r="B2590" s="4">
        <v>72003</v>
      </c>
      <c r="C2590" s="4">
        <v>1</v>
      </c>
      <c r="D2590" s="6">
        <v>0</v>
      </c>
      <c r="E2590" s="6">
        <v>-103.81</v>
      </c>
      <c r="F2590" s="6">
        <v>0</v>
      </c>
      <c r="G2590" s="6">
        <v>0.02</v>
      </c>
      <c r="H2590" s="6">
        <v>17</v>
      </c>
    </row>
    <row r="2591" spans="1:8" ht="18.95" customHeight="1">
      <c r="A2591" s="4">
        <v>2587</v>
      </c>
      <c r="B2591" s="4">
        <v>72024</v>
      </c>
      <c r="C2591" s="4">
        <v>1</v>
      </c>
      <c r="D2591" s="6">
        <v>0</v>
      </c>
      <c r="E2591" s="6">
        <v>-103.81</v>
      </c>
      <c r="F2591" s="6">
        <v>0</v>
      </c>
      <c r="G2591" s="6">
        <v>0.09</v>
      </c>
      <c r="H2591" s="6">
        <v>20</v>
      </c>
    </row>
    <row r="2592" spans="1:8" ht="18.95" customHeight="1">
      <c r="A2592" s="4">
        <v>2588</v>
      </c>
      <c r="B2592" s="4">
        <v>72044</v>
      </c>
      <c r="C2592" s="4">
        <v>1</v>
      </c>
      <c r="D2592" s="6">
        <v>0</v>
      </c>
      <c r="E2592" s="6">
        <v>-103.75</v>
      </c>
      <c r="F2592" s="6">
        <v>0</v>
      </c>
      <c r="G2592" s="6">
        <v>0.06</v>
      </c>
      <c r="H2592" s="6">
        <v>20</v>
      </c>
    </row>
    <row r="2593" spans="1:8" ht="18.95" customHeight="1">
      <c r="A2593" s="4">
        <v>2589</v>
      </c>
      <c r="B2593" s="4">
        <v>72064</v>
      </c>
      <c r="C2593" s="4">
        <v>1</v>
      </c>
      <c r="D2593" s="6">
        <v>0</v>
      </c>
      <c r="E2593" s="6">
        <v>-103.75</v>
      </c>
      <c r="F2593" s="6">
        <v>0</v>
      </c>
      <c r="G2593" s="6">
        <v>0.04</v>
      </c>
      <c r="H2593" s="6">
        <v>20</v>
      </c>
    </row>
    <row r="2594" spans="1:8" ht="18.95" customHeight="1">
      <c r="A2594" s="4">
        <v>2590</v>
      </c>
      <c r="B2594" s="4">
        <v>72084</v>
      </c>
      <c r="C2594" s="4">
        <v>1</v>
      </c>
      <c r="D2594" s="6">
        <v>0</v>
      </c>
      <c r="E2594" s="6">
        <v>-103.75</v>
      </c>
      <c r="F2594" s="6">
        <v>0</v>
      </c>
      <c r="G2594" s="6">
        <v>0.03</v>
      </c>
      <c r="H2594" s="6">
        <v>16</v>
      </c>
    </row>
    <row r="2595" spans="1:8" ht="18.95" customHeight="1">
      <c r="A2595" s="4">
        <v>2591</v>
      </c>
      <c r="B2595" s="4">
        <v>72104</v>
      </c>
      <c r="C2595" s="4">
        <v>1</v>
      </c>
      <c r="D2595" s="6">
        <v>0</v>
      </c>
      <c r="E2595" s="6">
        <v>-103.75</v>
      </c>
      <c r="F2595" s="6">
        <v>0</v>
      </c>
      <c r="G2595" s="6">
        <v>0.04</v>
      </c>
      <c r="H2595" s="6">
        <v>16</v>
      </c>
    </row>
    <row r="2596" spans="1:8" ht="18.95" customHeight="1">
      <c r="A2596" s="4">
        <v>2592</v>
      </c>
      <c r="B2596" s="4">
        <v>72124</v>
      </c>
      <c r="C2596" s="4">
        <v>1</v>
      </c>
      <c r="D2596" s="6">
        <v>0</v>
      </c>
      <c r="E2596" s="6">
        <v>-103.75</v>
      </c>
      <c r="F2596" s="6">
        <v>0</v>
      </c>
      <c r="G2596" s="6">
        <v>0.06</v>
      </c>
      <c r="H2596" s="6">
        <v>18</v>
      </c>
    </row>
    <row r="2597" spans="1:8" ht="18.95" customHeight="1">
      <c r="A2597" s="4">
        <v>2593</v>
      </c>
      <c r="B2597" s="4">
        <v>72144</v>
      </c>
      <c r="C2597" s="4">
        <v>1</v>
      </c>
      <c r="D2597" s="6">
        <v>0</v>
      </c>
      <c r="E2597" s="6">
        <v>-103.75</v>
      </c>
      <c r="F2597" s="6">
        <v>0</v>
      </c>
      <c r="G2597" s="6">
        <v>0.03</v>
      </c>
      <c r="H2597" s="6">
        <v>18</v>
      </c>
    </row>
    <row r="2598" spans="1:8" ht="18.95" customHeight="1">
      <c r="A2598" s="4">
        <v>2594</v>
      </c>
      <c r="B2598" s="4">
        <v>72164</v>
      </c>
      <c r="C2598" s="4">
        <v>1</v>
      </c>
      <c r="D2598" s="6">
        <v>0</v>
      </c>
      <c r="E2598" s="6">
        <v>-103.75</v>
      </c>
      <c r="F2598" s="6">
        <v>0</v>
      </c>
      <c r="G2598" s="6">
        <v>-0.03</v>
      </c>
      <c r="H2598" s="6">
        <v>18</v>
      </c>
    </row>
    <row r="2599" spans="1:8" ht="18.95" customHeight="1">
      <c r="A2599" s="4">
        <v>2595</v>
      </c>
      <c r="B2599" s="4">
        <v>72184</v>
      </c>
      <c r="C2599" s="4">
        <v>1</v>
      </c>
      <c r="D2599" s="6">
        <v>0</v>
      </c>
      <c r="E2599" s="6">
        <v>-103.75</v>
      </c>
      <c r="F2599" s="6">
        <v>0</v>
      </c>
      <c r="G2599" s="6">
        <v>0.09</v>
      </c>
      <c r="H2599" s="6">
        <v>17</v>
      </c>
    </row>
    <row r="2600" spans="1:8" ht="18.95" customHeight="1">
      <c r="A2600" s="4">
        <v>2596</v>
      </c>
      <c r="B2600" s="4">
        <v>72204</v>
      </c>
      <c r="C2600" s="4">
        <v>1</v>
      </c>
      <c r="D2600" s="6">
        <v>0</v>
      </c>
      <c r="E2600" s="6">
        <v>-103.75</v>
      </c>
      <c r="F2600" s="6">
        <v>0</v>
      </c>
      <c r="G2600" s="6">
        <v>0.05</v>
      </c>
      <c r="H2600" s="6">
        <v>17</v>
      </c>
    </row>
    <row r="2601" spans="1:8" ht="18.95" customHeight="1">
      <c r="A2601" s="4">
        <v>2597</v>
      </c>
      <c r="B2601" s="4">
        <v>72224</v>
      </c>
      <c r="C2601" s="4">
        <v>1</v>
      </c>
      <c r="D2601" s="6">
        <v>0</v>
      </c>
      <c r="E2601" s="6">
        <v>-103.75</v>
      </c>
      <c r="F2601" s="6">
        <v>0</v>
      </c>
      <c r="G2601" s="6">
        <v>0.05</v>
      </c>
      <c r="H2601" s="6">
        <v>19</v>
      </c>
    </row>
    <row r="2602" spans="1:8" ht="18.95" customHeight="1">
      <c r="A2602" s="4">
        <v>2598</v>
      </c>
      <c r="B2602" s="4">
        <v>72244</v>
      </c>
      <c r="C2602" s="4">
        <v>1</v>
      </c>
      <c r="D2602" s="6">
        <v>0</v>
      </c>
      <c r="E2602" s="6">
        <v>-103.75</v>
      </c>
      <c r="F2602" s="6">
        <v>0</v>
      </c>
      <c r="G2602" s="6">
        <v>0.04</v>
      </c>
      <c r="H2602" s="6">
        <v>19</v>
      </c>
    </row>
    <row r="2603" spans="1:8" ht="18.95" customHeight="1">
      <c r="A2603" s="4">
        <v>2599</v>
      </c>
      <c r="B2603" s="4">
        <v>72264</v>
      </c>
      <c r="C2603" s="4">
        <v>1</v>
      </c>
      <c r="D2603" s="6">
        <v>0</v>
      </c>
      <c r="E2603" s="6">
        <v>-103.75</v>
      </c>
      <c r="F2603" s="6">
        <v>0</v>
      </c>
      <c r="G2603" s="6">
        <v>0.05</v>
      </c>
      <c r="H2603" s="6">
        <v>19</v>
      </c>
    </row>
    <row r="2604" spans="1:8" ht="18.95" customHeight="1">
      <c r="A2604" s="4">
        <v>2600</v>
      </c>
      <c r="B2604" s="4">
        <v>72284</v>
      </c>
      <c r="C2604" s="4">
        <v>1</v>
      </c>
      <c r="D2604" s="6">
        <v>0</v>
      </c>
      <c r="E2604" s="6">
        <v>-103.75</v>
      </c>
      <c r="F2604" s="6">
        <v>0</v>
      </c>
      <c r="G2604" s="6">
        <v>0.08</v>
      </c>
      <c r="H2604" s="6">
        <v>18</v>
      </c>
    </row>
    <row r="2605" spans="1:8" ht="18.95" customHeight="1">
      <c r="A2605" s="4">
        <v>2601</v>
      </c>
      <c r="B2605" s="4">
        <v>72304</v>
      </c>
      <c r="C2605" s="4">
        <v>1</v>
      </c>
      <c r="D2605" s="6">
        <v>0</v>
      </c>
      <c r="E2605" s="6">
        <v>-103.75</v>
      </c>
      <c r="F2605" s="6">
        <v>0</v>
      </c>
      <c r="G2605" s="6">
        <v>0.04</v>
      </c>
      <c r="H2605" s="6">
        <v>18</v>
      </c>
    </row>
    <row r="2606" spans="1:8" ht="18.95" customHeight="1">
      <c r="A2606" s="4">
        <v>2602</v>
      </c>
      <c r="B2606" s="4">
        <v>72324</v>
      </c>
      <c r="C2606" s="4">
        <v>1</v>
      </c>
      <c r="D2606" s="6">
        <v>0</v>
      </c>
      <c r="E2606" s="6">
        <v>-103.75</v>
      </c>
      <c r="F2606" s="6">
        <v>0</v>
      </c>
      <c r="G2606" s="6">
        <v>0.03</v>
      </c>
      <c r="H2606" s="6">
        <v>19</v>
      </c>
    </row>
    <row r="2607" spans="1:8" ht="18.95" customHeight="1">
      <c r="A2607" s="4">
        <v>2603</v>
      </c>
      <c r="B2607" s="4">
        <v>72344</v>
      </c>
      <c r="C2607" s="4">
        <v>1</v>
      </c>
      <c r="D2607" s="6">
        <v>0</v>
      </c>
      <c r="E2607" s="6">
        <v>-103.75</v>
      </c>
      <c r="F2607" s="6">
        <v>0</v>
      </c>
      <c r="G2607" s="6">
        <v>0</v>
      </c>
      <c r="H2607" s="6">
        <v>19</v>
      </c>
    </row>
    <row r="2608" spans="1:8" ht="18.95" customHeight="1">
      <c r="A2608" s="4">
        <v>2604</v>
      </c>
      <c r="B2608" s="4">
        <v>72364</v>
      </c>
      <c r="C2608" s="4">
        <v>1</v>
      </c>
      <c r="D2608" s="6">
        <v>0</v>
      </c>
      <c r="E2608" s="6">
        <v>-103.75</v>
      </c>
      <c r="F2608" s="6">
        <v>0</v>
      </c>
      <c r="G2608" s="6">
        <v>-0.02</v>
      </c>
      <c r="H2608" s="6">
        <v>19</v>
      </c>
    </row>
    <row r="2609" spans="1:8" ht="18.95" customHeight="1">
      <c r="A2609" s="4">
        <v>2605</v>
      </c>
      <c r="B2609" s="4">
        <v>72384</v>
      </c>
      <c r="C2609" s="4">
        <v>1</v>
      </c>
      <c r="D2609" s="6">
        <v>0</v>
      </c>
      <c r="E2609" s="6">
        <v>-103.75</v>
      </c>
      <c r="F2609" s="6">
        <v>0</v>
      </c>
      <c r="G2609" s="6">
        <v>0.05</v>
      </c>
      <c r="H2609" s="6">
        <v>17</v>
      </c>
    </row>
    <row r="2610" spans="1:8" ht="18.95" customHeight="1">
      <c r="A2610" s="4">
        <v>2606</v>
      </c>
      <c r="B2610" s="4">
        <v>72404</v>
      </c>
      <c r="C2610" s="4">
        <v>1</v>
      </c>
      <c r="D2610" s="6">
        <v>0</v>
      </c>
      <c r="E2610" s="6">
        <v>-103.75</v>
      </c>
      <c r="F2610" s="6">
        <v>0</v>
      </c>
      <c r="G2610" s="6">
        <v>-0.01</v>
      </c>
      <c r="H2610" s="6">
        <v>17</v>
      </c>
    </row>
    <row r="2611" spans="1:8" ht="18.95" customHeight="1">
      <c r="A2611" s="4">
        <v>2607</v>
      </c>
      <c r="B2611" s="4">
        <v>72424</v>
      </c>
      <c r="C2611" s="4">
        <v>1</v>
      </c>
      <c r="D2611" s="6">
        <v>0</v>
      </c>
      <c r="E2611" s="6">
        <v>-103.69</v>
      </c>
      <c r="F2611" s="6">
        <v>0</v>
      </c>
      <c r="G2611" s="6">
        <v>0.06</v>
      </c>
      <c r="H2611" s="6">
        <v>19</v>
      </c>
    </row>
    <row r="2612" spans="1:8" ht="18.95" customHeight="1">
      <c r="A2612" s="4">
        <v>2608</v>
      </c>
      <c r="B2612" s="4">
        <v>72444</v>
      </c>
      <c r="C2612" s="4">
        <v>1</v>
      </c>
      <c r="D2612" s="6">
        <v>0</v>
      </c>
      <c r="E2612" s="6">
        <v>-103.69</v>
      </c>
      <c r="F2612" s="6">
        <v>0</v>
      </c>
      <c r="G2612" s="6">
        <v>0.04</v>
      </c>
      <c r="H2612" s="6">
        <v>19</v>
      </c>
    </row>
    <row r="2613" spans="1:8" ht="18.95" customHeight="1">
      <c r="A2613" s="4">
        <v>2609</v>
      </c>
      <c r="B2613" s="4">
        <v>72464</v>
      </c>
      <c r="C2613" s="4">
        <v>1</v>
      </c>
      <c r="D2613" s="6">
        <v>0</v>
      </c>
      <c r="E2613" s="6">
        <v>-103.69</v>
      </c>
      <c r="F2613" s="6">
        <v>0</v>
      </c>
      <c r="G2613" s="6">
        <v>-0.02</v>
      </c>
      <c r="H2613" s="6">
        <v>19</v>
      </c>
    </row>
    <row r="2614" spans="1:8" ht="18.95" customHeight="1">
      <c r="A2614" s="4">
        <v>2610</v>
      </c>
      <c r="B2614" s="4">
        <v>72484</v>
      </c>
      <c r="C2614" s="4">
        <v>1</v>
      </c>
      <c r="D2614" s="6">
        <v>0</v>
      </c>
      <c r="E2614" s="6">
        <v>-103.69</v>
      </c>
      <c r="F2614" s="6">
        <v>0</v>
      </c>
      <c r="G2614" s="6">
        <v>0.03</v>
      </c>
      <c r="H2614" s="6">
        <v>18</v>
      </c>
    </row>
    <row r="2615" spans="1:8" ht="18.95" customHeight="1">
      <c r="A2615" s="4">
        <v>2611</v>
      </c>
      <c r="B2615" s="4">
        <v>72504</v>
      </c>
      <c r="C2615" s="4">
        <v>1</v>
      </c>
      <c r="D2615" s="6">
        <v>0</v>
      </c>
      <c r="E2615" s="6">
        <v>-103.69</v>
      </c>
      <c r="F2615" s="6">
        <v>0</v>
      </c>
      <c r="G2615" s="6">
        <v>0.06</v>
      </c>
      <c r="H2615" s="6">
        <v>18</v>
      </c>
    </row>
    <row r="2616" spans="1:8" ht="18.95" customHeight="1">
      <c r="A2616" s="4">
        <v>2612</v>
      </c>
      <c r="B2616" s="4">
        <v>72524</v>
      </c>
      <c r="C2616" s="4">
        <v>1</v>
      </c>
      <c r="D2616" s="6">
        <v>0</v>
      </c>
      <c r="E2616" s="6">
        <v>-103.69</v>
      </c>
      <c r="F2616" s="6">
        <v>0</v>
      </c>
      <c r="G2616" s="6">
        <v>0.03</v>
      </c>
      <c r="H2616" s="6">
        <v>18</v>
      </c>
    </row>
    <row r="2617" spans="1:8" ht="18.95" customHeight="1">
      <c r="A2617" s="4">
        <v>2613</v>
      </c>
      <c r="B2617" s="4">
        <v>72544</v>
      </c>
      <c r="C2617" s="4">
        <v>1</v>
      </c>
      <c r="D2617" s="6">
        <v>0</v>
      </c>
      <c r="E2617" s="6">
        <v>-103.69</v>
      </c>
      <c r="F2617" s="6">
        <v>0</v>
      </c>
      <c r="G2617" s="6">
        <v>0.04</v>
      </c>
      <c r="H2617" s="6">
        <v>18</v>
      </c>
    </row>
    <row r="2618" spans="1:8" ht="18.95" customHeight="1">
      <c r="A2618" s="4">
        <v>2614</v>
      </c>
      <c r="B2618" s="4">
        <v>72564</v>
      </c>
      <c r="C2618" s="4">
        <v>1</v>
      </c>
      <c r="D2618" s="6">
        <v>0</v>
      </c>
      <c r="E2618" s="6">
        <v>-103.69</v>
      </c>
      <c r="F2618" s="6">
        <v>0</v>
      </c>
      <c r="G2618" s="6">
        <v>0.05</v>
      </c>
      <c r="H2618" s="6">
        <v>18</v>
      </c>
    </row>
    <row r="2619" spans="1:8" ht="18.95" customHeight="1">
      <c r="A2619" s="4">
        <v>2615</v>
      </c>
      <c r="B2619" s="4">
        <v>72584</v>
      </c>
      <c r="C2619" s="4">
        <v>1</v>
      </c>
      <c r="D2619" s="6">
        <v>0</v>
      </c>
      <c r="E2619" s="6">
        <v>-103.69</v>
      </c>
      <c r="F2619" s="6">
        <v>0</v>
      </c>
      <c r="G2619" s="6">
        <v>0.08</v>
      </c>
      <c r="H2619" s="6">
        <v>18</v>
      </c>
    </row>
    <row r="2620" spans="1:8" ht="18.95" customHeight="1">
      <c r="A2620" s="4">
        <v>2616</v>
      </c>
      <c r="B2620" s="4">
        <v>72604</v>
      </c>
      <c r="C2620" s="4">
        <v>1</v>
      </c>
      <c r="D2620" s="6">
        <v>0</v>
      </c>
      <c r="E2620" s="6">
        <v>-103.69</v>
      </c>
      <c r="F2620" s="6">
        <v>0</v>
      </c>
      <c r="G2620" s="6">
        <v>0.04</v>
      </c>
      <c r="H2620" s="6">
        <v>18</v>
      </c>
    </row>
    <row r="2621" spans="1:8" ht="18.95" customHeight="1">
      <c r="A2621" s="4">
        <v>2617</v>
      </c>
      <c r="B2621" s="4">
        <v>72624</v>
      </c>
      <c r="C2621" s="4">
        <v>1</v>
      </c>
      <c r="D2621" s="6">
        <v>0</v>
      </c>
      <c r="E2621" s="6">
        <v>-103.69</v>
      </c>
      <c r="F2621" s="6">
        <v>0</v>
      </c>
      <c r="G2621" s="6">
        <v>0.03</v>
      </c>
      <c r="H2621" s="6">
        <v>18</v>
      </c>
    </row>
    <row r="2622" spans="1:8" ht="18.95" customHeight="1">
      <c r="A2622" s="4">
        <v>2618</v>
      </c>
      <c r="B2622" s="4">
        <v>72644</v>
      </c>
      <c r="C2622" s="4">
        <v>1</v>
      </c>
      <c r="D2622" s="6">
        <v>0</v>
      </c>
      <c r="E2622" s="6">
        <v>-103.69</v>
      </c>
      <c r="F2622" s="6">
        <v>0</v>
      </c>
      <c r="G2622" s="6">
        <v>0.01</v>
      </c>
      <c r="H2622" s="6">
        <v>18</v>
      </c>
    </row>
    <row r="2623" spans="1:8" ht="18.95" customHeight="1">
      <c r="A2623" s="4">
        <v>2619</v>
      </c>
      <c r="B2623" s="4">
        <v>72664</v>
      </c>
      <c r="C2623" s="4">
        <v>1</v>
      </c>
      <c r="D2623" s="6">
        <v>0</v>
      </c>
      <c r="E2623" s="6">
        <v>-103.69</v>
      </c>
      <c r="F2623" s="6">
        <v>0</v>
      </c>
      <c r="G2623" s="6">
        <v>0.05</v>
      </c>
      <c r="H2623" s="6">
        <v>18</v>
      </c>
    </row>
    <row r="2624" spans="1:8" ht="18.95" customHeight="1">
      <c r="A2624" s="4">
        <v>2620</v>
      </c>
      <c r="B2624" s="4">
        <v>72684</v>
      </c>
      <c r="C2624" s="4">
        <v>1</v>
      </c>
      <c r="D2624" s="6">
        <v>0</v>
      </c>
      <c r="E2624" s="6">
        <v>-103.69</v>
      </c>
      <c r="F2624" s="6">
        <v>0</v>
      </c>
      <c r="G2624" s="6">
        <v>0.04</v>
      </c>
      <c r="H2624" s="6">
        <v>16</v>
      </c>
    </row>
    <row r="2625" spans="1:8" ht="18.95" customHeight="1">
      <c r="A2625" s="4">
        <v>2621</v>
      </c>
      <c r="B2625" s="4">
        <v>72704</v>
      </c>
      <c r="C2625" s="4">
        <v>1</v>
      </c>
      <c r="D2625" s="6">
        <v>0</v>
      </c>
      <c r="E2625" s="6">
        <v>-103.69</v>
      </c>
      <c r="F2625" s="6">
        <v>0</v>
      </c>
      <c r="G2625" s="6">
        <v>0.02</v>
      </c>
      <c r="H2625" s="6">
        <v>16</v>
      </c>
    </row>
    <row r="2626" spans="1:8" ht="18.95" customHeight="1">
      <c r="A2626" s="4">
        <v>2622</v>
      </c>
      <c r="B2626" s="4">
        <v>72724</v>
      </c>
      <c r="C2626" s="4">
        <v>1</v>
      </c>
      <c r="D2626" s="6">
        <v>0</v>
      </c>
      <c r="E2626" s="6">
        <v>-103.69</v>
      </c>
      <c r="F2626" s="6">
        <v>0</v>
      </c>
      <c r="G2626" s="6">
        <v>0.05</v>
      </c>
      <c r="H2626" s="6">
        <v>19</v>
      </c>
    </row>
    <row r="2627" spans="1:8" ht="18.95" customHeight="1">
      <c r="A2627" s="4">
        <v>2623</v>
      </c>
      <c r="B2627" s="4">
        <v>72744</v>
      </c>
      <c r="C2627" s="4">
        <v>1</v>
      </c>
      <c r="D2627" s="6">
        <v>0</v>
      </c>
      <c r="E2627" s="6">
        <v>-103.69</v>
      </c>
      <c r="F2627" s="6">
        <v>0</v>
      </c>
      <c r="G2627" s="6">
        <v>0.04</v>
      </c>
      <c r="H2627" s="6">
        <v>19</v>
      </c>
    </row>
    <row r="2628" spans="1:8" ht="18.95" customHeight="1">
      <c r="A2628" s="4">
        <v>2624</v>
      </c>
      <c r="B2628" s="4">
        <v>72764</v>
      </c>
      <c r="C2628" s="4">
        <v>1</v>
      </c>
      <c r="D2628" s="6">
        <v>0</v>
      </c>
      <c r="E2628" s="6">
        <v>-103.69</v>
      </c>
      <c r="F2628" s="6">
        <v>0</v>
      </c>
      <c r="G2628" s="6">
        <v>0.02</v>
      </c>
      <c r="H2628" s="6">
        <v>19</v>
      </c>
    </row>
    <row r="2629" spans="1:8" ht="18.95" customHeight="1">
      <c r="A2629" s="4">
        <v>2625</v>
      </c>
      <c r="B2629" s="4">
        <v>72784</v>
      </c>
      <c r="C2629" s="4">
        <v>1</v>
      </c>
      <c r="D2629" s="6">
        <v>0</v>
      </c>
      <c r="E2629" s="6">
        <v>-103.69</v>
      </c>
      <c r="F2629" s="6">
        <v>0</v>
      </c>
      <c r="G2629" s="6">
        <v>0</v>
      </c>
      <c r="H2629" s="6">
        <v>17</v>
      </c>
    </row>
    <row r="2630" spans="1:8" ht="18.95" customHeight="1">
      <c r="A2630" s="4">
        <v>2626</v>
      </c>
      <c r="B2630" s="4">
        <v>72804</v>
      </c>
      <c r="C2630" s="4">
        <v>1</v>
      </c>
      <c r="D2630" s="6">
        <v>0</v>
      </c>
      <c r="E2630" s="6">
        <v>-103.69</v>
      </c>
      <c r="F2630" s="6">
        <v>0</v>
      </c>
      <c r="G2630" s="6">
        <v>0.04</v>
      </c>
      <c r="H2630" s="6">
        <v>17</v>
      </c>
    </row>
    <row r="2631" spans="1:8" ht="18.95" customHeight="1">
      <c r="A2631" s="4">
        <v>2627</v>
      </c>
      <c r="B2631" s="4">
        <v>72824</v>
      </c>
      <c r="C2631" s="4">
        <v>1</v>
      </c>
      <c r="D2631" s="6">
        <v>0</v>
      </c>
      <c r="E2631" s="6">
        <v>-103.69</v>
      </c>
      <c r="F2631" s="6">
        <v>0</v>
      </c>
      <c r="G2631" s="6">
        <v>7.0000000000000007E-2</v>
      </c>
      <c r="H2631" s="6">
        <v>19</v>
      </c>
    </row>
    <row r="2632" spans="1:8" ht="18.95" customHeight="1">
      <c r="A2632" s="4">
        <v>2628</v>
      </c>
      <c r="B2632" s="4">
        <v>72844</v>
      </c>
      <c r="C2632" s="4">
        <v>1</v>
      </c>
      <c r="D2632" s="6">
        <v>0</v>
      </c>
      <c r="E2632" s="6">
        <v>-103.69</v>
      </c>
      <c r="F2632" s="6">
        <v>0</v>
      </c>
      <c r="G2632" s="6">
        <v>0.06</v>
      </c>
      <c r="H2632" s="6">
        <v>19</v>
      </c>
    </row>
    <row r="2633" spans="1:8" ht="18.95" customHeight="1">
      <c r="A2633" s="4">
        <v>2629</v>
      </c>
      <c r="B2633" s="4">
        <v>72864</v>
      </c>
      <c r="C2633" s="4">
        <v>1</v>
      </c>
      <c r="D2633" s="6">
        <v>0</v>
      </c>
      <c r="E2633" s="6">
        <v>-103.69</v>
      </c>
      <c r="F2633" s="6">
        <v>0</v>
      </c>
      <c r="G2633" s="6">
        <v>0.04</v>
      </c>
      <c r="H2633" s="6">
        <v>19</v>
      </c>
    </row>
    <row r="2634" spans="1:8" ht="18.95" customHeight="1">
      <c r="A2634" s="4">
        <v>2630</v>
      </c>
      <c r="B2634" s="4">
        <v>72884</v>
      </c>
      <c r="C2634" s="4">
        <v>1</v>
      </c>
      <c r="D2634" s="6">
        <v>0</v>
      </c>
      <c r="E2634" s="6">
        <v>-103.69</v>
      </c>
      <c r="F2634" s="6">
        <v>0</v>
      </c>
      <c r="G2634" s="6">
        <v>0.01</v>
      </c>
      <c r="H2634" s="6">
        <v>19</v>
      </c>
    </row>
    <row r="2635" spans="1:8" ht="18.95" customHeight="1">
      <c r="A2635" s="4">
        <v>2631</v>
      </c>
      <c r="B2635" s="4">
        <v>72904</v>
      </c>
      <c r="C2635" s="4">
        <v>1</v>
      </c>
      <c r="D2635" s="6">
        <v>0</v>
      </c>
      <c r="E2635" s="6">
        <v>-103.69</v>
      </c>
      <c r="F2635" s="6">
        <v>0</v>
      </c>
      <c r="G2635" s="6">
        <v>0.02</v>
      </c>
      <c r="H2635" s="6">
        <v>19</v>
      </c>
    </row>
    <row r="2636" spans="1:8" ht="18.95" customHeight="1">
      <c r="A2636" s="4">
        <v>2632</v>
      </c>
      <c r="B2636" s="4">
        <v>72924</v>
      </c>
      <c r="C2636" s="4">
        <v>1</v>
      </c>
      <c r="D2636" s="6">
        <v>0</v>
      </c>
      <c r="E2636" s="6">
        <v>-103.69</v>
      </c>
      <c r="F2636" s="6">
        <v>0</v>
      </c>
      <c r="G2636" s="6">
        <v>0.02</v>
      </c>
      <c r="H2636" s="6">
        <v>17</v>
      </c>
    </row>
    <row r="2637" spans="1:8" ht="18.95" customHeight="1">
      <c r="A2637" s="4">
        <v>2633</v>
      </c>
      <c r="B2637" s="4">
        <v>72944</v>
      </c>
      <c r="C2637" s="4">
        <v>1</v>
      </c>
      <c r="D2637" s="6">
        <v>0</v>
      </c>
      <c r="E2637" s="6">
        <v>-103.69</v>
      </c>
      <c r="F2637" s="6">
        <v>0</v>
      </c>
      <c r="G2637" s="6">
        <v>0.02</v>
      </c>
      <c r="H2637" s="6">
        <v>17</v>
      </c>
    </row>
    <row r="2638" spans="1:8" ht="18.95" customHeight="1">
      <c r="A2638" s="4">
        <v>2634</v>
      </c>
      <c r="B2638" s="4">
        <v>72964</v>
      </c>
      <c r="C2638" s="4">
        <v>1</v>
      </c>
      <c r="D2638" s="6">
        <v>0</v>
      </c>
      <c r="E2638" s="6">
        <v>-103.69</v>
      </c>
      <c r="F2638" s="6">
        <v>0</v>
      </c>
      <c r="G2638" s="6">
        <v>0.01</v>
      </c>
      <c r="H2638" s="6">
        <v>17</v>
      </c>
    </row>
    <row r="2639" spans="1:8" ht="18.95" customHeight="1">
      <c r="A2639" s="4">
        <v>2635</v>
      </c>
      <c r="B2639" s="4">
        <v>72984</v>
      </c>
      <c r="C2639" s="4">
        <v>1</v>
      </c>
      <c r="D2639" s="6">
        <v>0</v>
      </c>
      <c r="E2639" s="6">
        <v>-103.69</v>
      </c>
      <c r="F2639" s="6">
        <v>0</v>
      </c>
      <c r="G2639" s="6">
        <v>0.02</v>
      </c>
      <c r="H2639" s="6">
        <v>17</v>
      </c>
    </row>
    <row r="2640" spans="1:8" ht="18.95" customHeight="1">
      <c r="A2640" s="4">
        <v>2636</v>
      </c>
      <c r="B2640" s="4">
        <v>73004</v>
      </c>
      <c r="C2640" s="4">
        <v>1</v>
      </c>
      <c r="D2640" s="6">
        <v>0</v>
      </c>
      <c r="E2640" s="6">
        <v>-103.69</v>
      </c>
      <c r="F2640" s="6">
        <v>0</v>
      </c>
      <c r="G2640" s="6">
        <v>0.02</v>
      </c>
      <c r="H2640" s="6">
        <v>17</v>
      </c>
    </row>
    <row r="2641" spans="1:8" ht="18.95" customHeight="1">
      <c r="A2641" s="4">
        <v>2637</v>
      </c>
      <c r="B2641" s="4">
        <v>73024</v>
      </c>
      <c r="C2641" s="4">
        <v>1</v>
      </c>
      <c r="D2641" s="6">
        <v>0</v>
      </c>
      <c r="E2641" s="6">
        <v>-103.69</v>
      </c>
      <c r="F2641" s="6">
        <v>0</v>
      </c>
      <c r="G2641" s="6">
        <v>0.01</v>
      </c>
      <c r="H2641" s="6">
        <v>19</v>
      </c>
    </row>
    <row r="2642" spans="1:8" ht="18.95" customHeight="1">
      <c r="A2642" s="4">
        <v>2638</v>
      </c>
      <c r="B2642" s="4">
        <v>73044</v>
      </c>
      <c r="C2642" s="4">
        <v>1</v>
      </c>
      <c r="D2642" s="6">
        <v>0</v>
      </c>
      <c r="E2642" s="6">
        <v>-103.69</v>
      </c>
      <c r="F2642" s="6">
        <v>0</v>
      </c>
      <c r="G2642" s="6">
        <v>0</v>
      </c>
      <c r="H2642" s="6">
        <v>19</v>
      </c>
    </row>
    <row r="2643" spans="1:8" ht="18.95" customHeight="1">
      <c r="A2643" s="4">
        <v>2639</v>
      </c>
      <c r="B2643" s="4">
        <v>73064</v>
      </c>
      <c r="C2643" s="4">
        <v>1</v>
      </c>
      <c r="D2643" s="6">
        <v>0</v>
      </c>
      <c r="E2643" s="6">
        <v>-103.69</v>
      </c>
      <c r="F2643" s="6">
        <v>0</v>
      </c>
      <c r="G2643" s="6">
        <v>0.01</v>
      </c>
      <c r="H2643" s="6">
        <v>19</v>
      </c>
    </row>
    <row r="2644" spans="1:8" ht="18.95" customHeight="1">
      <c r="A2644" s="4">
        <v>2640</v>
      </c>
      <c r="B2644" s="4">
        <v>73084</v>
      </c>
      <c r="C2644" s="4">
        <v>1</v>
      </c>
      <c r="D2644" s="6">
        <v>0</v>
      </c>
      <c r="E2644" s="6">
        <v>-103.69</v>
      </c>
      <c r="F2644" s="6">
        <v>0</v>
      </c>
      <c r="G2644" s="6">
        <v>-0.05</v>
      </c>
      <c r="H2644" s="6">
        <v>18</v>
      </c>
    </row>
    <row r="2645" spans="1:8" ht="18.95" customHeight="1">
      <c r="A2645" s="4">
        <v>2641</v>
      </c>
      <c r="B2645" s="4">
        <v>73104</v>
      </c>
      <c r="C2645" s="4">
        <v>1</v>
      </c>
      <c r="D2645" s="6">
        <v>0</v>
      </c>
      <c r="E2645" s="6">
        <v>-103.69</v>
      </c>
      <c r="F2645" s="6">
        <v>0</v>
      </c>
      <c r="G2645" s="6">
        <v>0.02</v>
      </c>
      <c r="H2645" s="6">
        <v>18</v>
      </c>
    </row>
    <row r="2646" spans="1:8" ht="18.95" customHeight="1">
      <c r="A2646" s="4">
        <v>2642</v>
      </c>
      <c r="B2646" s="4">
        <v>73124</v>
      </c>
      <c r="C2646" s="4">
        <v>1</v>
      </c>
      <c r="D2646" s="6">
        <v>0</v>
      </c>
      <c r="E2646" s="6">
        <v>-103.69</v>
      </c>
      <c r="F2646" s="6">
        <v>0</v>
      </c>
      <c r="G2646" s="6">
        <v>-0.01</v>
      </c>
      <c r="H2646" s="6">
        <v>19</v>
      </c>
    </row>
    <row r="2647" spans="1:8" ht="18.95" customHeight="1">
      <c r="A2647" s="4">
        <v>2643</v>
      </c>
      <c r="B2647" s="4">
        <v>73144</v>
      </c>
      <c r="C2647" s="4">
        <v>1</v>
      </c>
      <c r="D2647" s="6">
        <v>0</v>
      </c>
      <c r="E2647" s="6">
        <v>-103.69</v>
      </c>
      <c r="F2647" s="6">
        <v>0</v>
      </c>
      <c r="G2647" s="6">
        <v>0.02</v>
      </c>
      <c r="H2647" s="6">
        <v>19</v>
      </c>
    </row>
    <row r="2648" spans="1:8" ht="18.95" customHeight="1">
      <c r="A2648" s="4">
        <v>2644</v>
      </c>
      <c r="B2648" s="4">
        <v>73164</v>
      </c>
      <c r="C2648" s="4">
        <v>1</v>
      </c>
      <c r="D2648" s="6">
        <v>0</v>
      </c>
      <c r="E2648" s="6">
        <v>-103.69</v>
      </c>
      <c r="F2648" s="6">
        <v>0</v>
      </c>
      <c r="G2648" s="6">
        <v>0</v>
      </c>
      <c r="H2648" s="6">
        <v>19</v>
      </c>
    </row>
    <row r="2649" spans="1:8" ht="18.95" customHeight="1">
      <c r="A2649" s="4">
        <v>2645</v>
      </c>
      <c r="B2649" s="4">
        <v>73184</v>
      </c>
      <c r="C2649" s="4">
        <v>1</v>
      </c>
      <c r="D2649" s="6">
        <v>0</v>
      </c>
      <c r="E2649" s="6">
        <v>-103.69</v>
      </c>
      <c r="F2649" s="6">
        <v>0</v>
      </c>
      <c r="G2649" s="6">
        <v>0</v>
      </c>
      <c r="H2649" s="6">
        <v>18</v>
      </c>
    </row>
    <row r="2650" spans="1:8" ht="18.95" customHeight="1">
      <c r="A2650" s="4">
        <v>2646</v>
      </c>
      <c r="B2650" s="4">
        <v>73204</v>
      </c>
      <c r="C2650" s="4">
        <v>1</v>
      </c>
      <c r="D2650" s="6">
        <v>0</v>
      </c>
      <c r="E2650" s="6">
        <v>-103.69</v>
      </c>
      <c r="F2650" s="6">
        <v>0</v>
      </c>
      <c r="G2650" s="6">
        <v>0.03</v>
      </c>
      <c r="H2650" s="6">
        <v>18</v>
      </c>
    </row>
    <row r="2651" spans="1:8" ht="18.95" customHeight="1">
      <c r="A2651" s="4">
        <v>2647</v>
      </c>
      <c r="B2651" s="4">
        <v>73224</v>
      </c>
      <c r="C2651" s="4">
        <v>1</v>
      </c>
      <c r="D2651" s="6">
        <v>0</v>
      </c>
      <c r="E2651" s="6">
        <v>-103.69</v>
      </c>
      <c r="F2651" s="6">
        <v>0</v>
      </c>
      <c r="G2651" s="6">
        <v>0</v>
      </c>
      <c r="H2651" s="6">
        <v>17</v>
      </c>
    </row>
    <row r="2652" spans="1:8" ht="18.95" customHeight="1">
      <c r="A2652" s="4">
        <v>2648</v>
      </c>
      <c r="B2652" s="4">
        <v>73244</v>
      </c>
      <c r="C2652" s="4">
        <v>1</v>
      </c>
      <c r="D2652" s="6">
        <v>0</v>
      </c>
      <c r="E2652" s="6">
        <v>-103.69</v>
      </c>
      <c r="F2652" s="6">
        <v>0</v>
      </c>
      <c r="G2652" s="6">
        <v>-0.04</v>
      </c>
      <c r="H2652" s="6">
        <v>17</v>
      </c>
    </row>
    <row r="2653" spans="1:8" ht="18.95" customHeight="1">
      <c r="A2653" s="4">
        <v>2649</v>
      </c>
      <c r="B2653" s="4">
        <v>73264</v>
      </c>
      <c r="C2653" s="4">
        <v>1</v>
      </c>
      <c r="D2653" s="6">
        <v>0</v>
      </c>
      <c r="E2653" s="6">
        <v>-103.69</v>
      </c>
      <c r="F2653" s="6">
        <v>0</v>
      </c>
      <c r="G2653" s="6">
        <v>0.03</v>
      </c>
      <c r="H2653" s="6">
        <v>17</v>
      </c>
    </row>
    <row r="2654" spans="1:8" ht="18.95" customHeight="1">
      <c r="A2654" s="4">
        <v>2650</v>
      </c>
      <c r="B2654" s="4">
        <v>73284</v>
      </c>
      <c r="C2654" s="4">
        <v>1</v>
      </c>
      <c r="D2654" s="6">
        <v>0</v>
      </c>
      <c r="E2654" s="6">
        <v>-103.69</v>
      </c>
      <c r="F2654" s="6">
        <v>0</v>
      </c>
      <c r="G2654" s="6">
        <v>-0.03</v>
      </c>
      <c r="H2654" s="6">
        <v>17</v>
      </c>
    </row>
    <row r="2655" spans="1:8" ht="18.95" customHeight="1">
      <c r="A2655" s="4">
        <v>2651</v>
      </c>
      <c r="B2655" s="4">
        <v>73304</v>
      </c>
      <c r="C2655" s="4">
        <v>1</v>
      </c>
      <c r="D2655" s="6">
        <v>0</v>
      </c>
      <c r="E2655" s="6">
        <v>-103.69</v>
      </c>
      <c r="F2655" s="6">
        <v>0</v>
      </c>
      <c r="G2655" s="6">
        <v>0</v>
      </c>
      <c r="H2655" s="6">
        <v>17</v>
      </c>
    </row>
    <row r="2656" spans="1:8" ht="18.95" customHeight="1">
      <c r="A2656" s="4">
        <v>2652</v>
      </c>
      <c r="B2656" s="4">
        <v>73324</v>
      </c>
      <c r="C2656" s="4">
        <v>1</v>
      </c>
      <c r="D2656" s="6">
        <v>0</v>
      </c>
      <c r="E2656" s="6">
        <v>-103.69</v>
      </c>
      <c r="F2656" s="6">
        <v>0</v>
      </c>
      <c r="G2656" s="6">
        <v>-0.02</v>
      </c>
      <c r="H2656" s="6">
        <v>16</v>
      </c>
    </row>
    <row r="2657" spans="1:8" ht="18.95" customHeight="1">
      <c r="A2657" s="4">
        <v>2653</v>
      </c>
      <c r="B2657" s="4">
        <v>73344</v>
      </c>
      <c r="C2657" s="4">
        <v>1</v>
      </c>
      <c r="D2657" s="6">
        <v>0</v>
      </c>
      <c r="E2657" s="6">
        <v>-103.69</v>
      </c>
      <c r="F2657" s="6">
        <v>0</v>
      </c>
      <c r="G2657" s="6">
        <v>0</v>
      </c>
      <c r="H2657" s="6">
        <v>16</v>
      </c>
    </row>
    <row r="2658" spans="1:8" ht="18.95" customHeight="1">
      <c r="A2658" s="4">
        <v>2654</v>
      </c>
      <c r="B2658" s="4">
        <v>73364</v>
      </c>
      <c r="C2658" s="4">
        <v>1</v>
      </c>
      <c r="D2658" s="6">
        <v>0</v>
      </c>
      <c r="E2658" s="6">
        <v>-103.69</v>
      </c>
      <c r="F2658" s="6">
        <v>0</v>
      </c>
      <c r="G2658" s="6">
        <v>0.02</v>
      </c>
      <c r="H2658" s="6">
        <v>16</v>
      </c>
    </row>
    <row r="2659" spans="1:8" ht="18.95" customHeight="1">
      <c r="A2659" s="4">
        <v>2655</v>
      </c>
      <c r="B2659" s="4">
        <v>73384</v>
      </c>
      <c r="C2659" s="4">
        <v>1</v>
      </c>
      <c r="D2659" s="6">
        <v>0</v>
      </c>
      <c r="E2659" s="6">
        <v>-103.69</v>
      </c>
      <c r="F2659" s="6">
        <v>0</v>
      </c>
      <c r="G2659" s="6">
        <v>0.02</v>
      </c>
      <c r="H2659" s="6">
        <v>18</v>
      </c>
    </row>
    <row r="2660" spans="1:8" ht="18.95" customHeight="1">
      <c r="A2660" s="4">
        <v>2656</v>
      </c>
      <c r="B2660" s="4">
        <v>73404</v>
      </c>
      <c r="C2660" s="4">
        <v>1</v>
      </c>
      <c r="D2660" s="6">
        <v>0</v>
      </c>
      <c r="E2660" s="6">
        <v>-103.69</v>
      </c>
      <c r="F2660" s="6">
        <v>0</v>
      </c>
      <c r="G2660" s="6">
        <v>0</v>
      </c>
      <c r="H2660" s="6">
        <v>18</v>
      </c>
    </row>
    <row r="2661" spans="1:8" ht="18.95" customHeight="1">
      <c r="A2661" s="4">
        <v>2657</v>
      </c>
      <c r="B2661" s="4">
        <v>73424</v>
      </c>
      <c r="C2661" s="4">
        <v>1</v>
      </c>
      <c r="D2661" s="6">
        <v>0</v>
      </c>
      <c r="E2661" s="6">
        <v>-103.69</v>
      </c>
      <c r="F2661" s="6">
        <v>0</v>
      </c>
      <c r="G2661" s="6">
        <v>0.01</v>
      </c>
      <c r="H2661" s="6">
        <v>18</v>
      </c>
    </row>
    <row r="2662" spans="1:8" ht="18.95" customHeight="1">
      <c r="A2662" s="4">
        <v>2658</v>
      </c>
      <c r="B2662" s="4">
        <v>73444</v>
      </c>
      <c r="C2662" s="4">
        <v>1</v>
      </c>
      <c r="D2662" s="6">
        <v>0</v>
      </c>
      <c r="E2662" s="6">
        <v>-103.69</v>
      </c>
      <c r="F2662" s="6">
        <v>0</v>
      </c>
      <c r="G2662" s="6">
        <v>-0.03</v>
      </c>
      <c r="H2662" s="6">
        <v>18</v>
      </c>
    </row>
    <row r="2663" spans="1:8" ht="18.95" customHeight="1">
      <c r="A2663" s="4">
        <v>2659</v>
      </c>
      <c r="B2663" s="4">
        <v>73464</v>
      </c>
      <c r="C2663" s="4">
        <v>1</v>
      </c>
      <c r="D2663" s="6">
        <v>0</v>
      </c>
      <c r="E2663" s="6">
        <v>-103.69</v>
      </c>
      <c r="F2663" s="6">
        <v>0</v>
      </c>
      <c r="G2663" s="6">
        <v>0.02</v>
      </c>
      <c r="H2663" s="6">
        <v>18</v>
      </c>
    </row>
    <row r="2664" spans="1:8" ht="18.95" customHeight="1">
      <c r="A2664" s="4">
        <v>2660</v>
      </c>
      <c r="B2664" s="4">
        <v>73484</v>
      </c>
      <c r="C2664" s="4">
        <v>1</v>
      </c>
      <c r="D2664" s="6">
        <v>0</v>
      </c>
      <c r="E2664" s="6">
        <v>-103.69</v>
      </c>
      <c r="F2664" s="6">
        <v>0</v>
      </c>
      <c r="G2664" s="6">
        <v>-0.01</v>
      </c>
      <c r="H2664" s="6">
        <v>19</v>
      </c>
    </row>
    <row r="2665" spans="1:8" ht="18.95" customHeight="1">
      <c r="A2665" s="4">
        <v>2661</v>
      </c>
      <c r="B2665" s="4">
        <v>73504</v>
      </c>
      <c r="C2665" s="4">
        <v>1</v>
      </c>
      <c r="D2665" s="6">
        <v>0</v>
      </c>
      <c r="E2665" s="6">
        <v>-103.69</v>
      </c>
      <c r="F2665" s="6">
        <v>0</v>
      </c>
      <c r="G2665" s="6">
        <v>0.03</v>
      </c>
      <c r="H2665" s="6">
        <v>19</v>
      </c>
    </row>
    <row r="2666" spans="1:8" ht="18.95" customHeight="1">
      <c r="A2666" s="4">
        <v>2662</v>
      </c>
      <c r="B2666" s="4">
        <v>73525</v>
      </c>
      <c r="C2666" s="4">
        <v>1</v>
      </c>
      <c r="D2666" s="6">
        <v>0</v>
      </c>
      <c r="E2666" s="6">
        <v>-103.69</v>
      </c>
      <c r="F2666" s="6">
        <v>0</v>
      </c>
      <c r="G2666" s="6">
        <v>0.01</v>
      </c>
      <c r="H2666" s="6">
        <v>18</v>
      </c>
    </row>
    <row r="2667" spans="1:8" ht="18.95" customHeight="1">
      <c r="A2667" s="4">
        <v>2663</v>
      </c>
      <c r="B2667" s="4">
        <v>73545</v>
      </c>
      <c r="C2667" s="4">
        <v>1</v>
      </c>
      <c r="D2667" s="6">
        <v>0</v>
      </c>
      <c r="E2667" s="6">
        <v>-103.69</v>
      </c>
      <c r="F2667" s="6">
        <v>0</v>
      </c>
      <c r="G2667" s="6">
        <v>0.02</v>
      </c>
      <c r="H2667" s="6">
        <v>18</v>
      </c>
    </row>
    <row r="2668" spans="1:8" ht="18.95" customHeight="1">
      <c r="A2668" s="4">
        <v>2664</v>
      </c>
      <c r="B2668" s="4">
        <v>73565</v>
      </c>
      <c r="C2668" s="4">
        <v>1</v>
      </c>
      <c r="D2668" s="6">
        <v>0</v>
      </c>
      <c r="E2668" s="6">
        <v>-103.69</v>
      </c>
      <c r="F2668" s="6">
        <v>0</v>
      </c>
      <c r="G2668" s="6">
        <v>0</v>
      </c>
      <c r="H2668" s="6">
        <v>18</v>
      </c>
    </row>
    <row r="2669" spans="1:8" ht="18.95" customHeight="1">
      <c r="A2669" s="4">
        <v>2665</v>
      </c>
      <c r="B2669" s="4">
        <v>73585</v>
      </c>
      <c r="C2669" s="4">
        <v>1</v>
      </c>
      <c r="D2669" s="6">
        <v>0</v>
      </c>
      <c r="E2669" s="6">
        <v>-103.69</v>
      </c>
      <c r="F2669" s="6">
        <v>0</v>
      </c>
      <c r="G2669" s="6">
        <v>0.03</v>
      </c>
      <c r="H2669" s="6">
        <v>16</v>
      </c>
    </row>
    <row r="2670" spans="1:8" ht="18.95" customHeight="1">
      <c r="A2670" s="4">
        <v>2666</v>
      </c>
      <c r="B2670" s="4">
        <v>73605</v>
      </c>
      <c r="C2670" s="4">
        <v>1</v>
      </c>
      <c r="D2670" s="6">
        <v>0</v>
      </c>
      <c r="E2670" s="6">
        <v>-103.69</v>
      </c>
      <c r="F2670" s="6">
        <v>0</v>
      </c>
      <c r="G2670" s="6">
        <v>0</v>
      </c>
      <c r="H2670" s="6">
        <v>16</v>
      </c>
    </row>
    <row r="2671" spans="1:8" ht="18.95" customHeight="1">
      <c r="A2671" s="4">
        <v>2667</v>
      </c>
      <c r="B2671" s="4">
        <v>73625</v>
      </c>
      <c r="C2671" s="4">
        <v>1</v>
      </c>
      <c r="D2671" s="6">
        <v>0</v>
      </c>
      <c r="E2671" s="6">
        <v>-103.69</v>
      </c>
      <c r="F2671" s="6">
        <v>0</v>
      </c>
      <c r="G2671" s="6">
        <v>0</v>
      </c>
      <c r="H2671" s="6">
        <v>18</v>
      </c>
    </row>
    <row r="2672" spans="1:8" ht="18.95" customHeight="1">
      <c r="A2672" s="4">
        <v>2668</v>
      </c>
      <c r="B2672" s="4">
        <v>73645</v>
      </c>
      <c r="C2672" s="4">
        <v>1</v>
      </c>
      <c r="D2672" s="6">
        <v>0</v>
      </c>
      <c r="E2672" s="6">
        <v>-103.69</v>
      </c>
      <c r="F2672" s="6">
        <v>0</v>
      </c>
      <c r="G2672" s="6">
        <v>0.02</v>
      </c>
      <c r="H2672" s="6">
        <v>18</v>
      </c>
    </row>
    <row r="2673" spans="1:8" ht="18.95" customHeight="1">
      <c r="A2673" s="4">
        <v>2669</v>
      </c>
      <c r="B2673" s="4">
        <v>73665</v>
      </c>
      <c r="C2673" s="4">
        <v>1</v>
      </c>
      <c r="D2673" s="6">
        <v>0</v>
      </c>
      <c r="E2673" s="6">
        <v>-103.69</v>
      </c>
      <c r="F2673" s="6">
        <v>0</v>
      </c>
      <c r="G2673" s="6">
        <v>0</v>
      </c>
      <c r="H2673" s="6">
        <v>18</v>
      </c>
    </row>
    <row r="2674" spans="1:8" ht="18.95" customHeight="1">
      <c r="A2674" s="4">
        <v>2670</v>
      </c>
      <c r="B2674" s="4">
        <v>73686</v>
      </c>
      <c r="C2674" s="4">
        <v>1</v>
      </c>
      <c r="D2674" s="6">
        <v>0</v>
      </c>
      <c r="E2674" s="6">
        <v>-103.69</v>
      </c>
      <c r="F2674" s="6">
        <v>0</v>
      </c>
      <c r="G2674" s="6">
        <v>0</v>
      </c>
      <c r="H2674" s="6">
        <v>17</v>
      </c>
    </row>
    <row r="2675" spans="1:8" ht="18.95" customHeight="1">
      <c r="A2675" s="4">
        <v>2671</v>
      </c>
      <c r="B2675" s="4">
        <v>73706</v>
      </c>
      <c r="C2675" s="4">
        <v>1</v>
      </c>
      <c r="D2675" s="6">
        <v>0</v>
      </c>
      <c r="E2675" s="6">
        <v>-103.69</v>
      </c>
      <c r="F2675" s="6">
        <v>0</v>
      </c>
      <c r="G2675" s="6">
        <v>0.03</v>
      </c>
      <c r="H2675" s="6">
        <v>17</v>
      </c>
    </row>
    <row r="2676" spans="1:8" ht="18.95" customHeight="1">
      <c r="A2676" s="4">
        <v>2672</v>
      </c>
      <c r="B2676" s="4">
        <v>73726</v>
      </c>
      <c r="C2676" s="4">
        <v>1</v>
      </c>
      <c r="D2676" s="6">
        <v>0</v>
      </c>
      <c r="E2676" s="6">
        <v>-103.69</v>
      </c>
      <c r="F2676" s="6">
        <v>0</v>
      </c>
      <c r="G2676" s="6">
        <v>0</v>
      </c>
      <c r="H2676" s="6">
        <v>17</v>
      </c>
    </row>
    <row r="2677" spans="1:8" ht="18.95" customHeight="1">
      <c r="A2677" s="4">
        <v>2673</v>
      </c>
      <c r="B2677" s="4">
        <v>73746</v>
      </c>
      <c r="C2677" s="4">
        <v>1</v>
      </c>
      <c r="D2677" s="6">
        <v>0</v>
      </c>
      <c r="E2677" s="6">
        <v>-103.69</v>
      </c>
      <c r="F2677" s="6">
        <v>0</v>
      </c>
      <c r="G2677" s="6">
        <v>0</v>
      </c>
      <c r="H2677" s="6">
        <v>17</v>
      </c>
    </row>
    <row r="2678" spans="1:8" ht="18.95" customHeight="1">
      <c r="A2678" s="4">
        <v>2674</v>
      </c>
      <c r="B2678" s="4">
        <v>73766</v>
      </c>
      <c r="C2678" s="4">
        <v>1</v>
      </c>
      <c r="D2678" s="6">
        <v>0</v>
      </c>
      <c r="E2678" s="6">
        <v>-103.69</v>
      </c>
      <c r="F2678" s="6">
        <v>0</v>
      </c>
      <c r="G2678" s="6">
        <v>0</v>
      </c>
      <c r="H2678" s="6">
        <v>17</v>
      </c>
    </row>
    <row r="2679" spans="1:8" ht="18.95" customHeight="1">
      <c r="A2679" s="4">
        <v>2675</v>
      </c>
      <c r="B2679" s="4">
        <v>73786</v>
      </c>
      <c r="C2679" s="4">
        <v>1</v>
      </c>
      <c r="D2679" s="6">
        <v>0</v>
      </c>
      <c r="E2679" s="6">
        <v>-103.69</v>
      </c>
      <c r="F2679" s="6">
        <v>0</v>
      </c>
      <c r="G2679" s="6">
        <v>0.03</v>
      </c>
      <c r="H2679" s="6">
        <v>17</v>
      </c>
    </row>
    <row r="2680" spans="1:8" ht="18.95" customHeight="1">
      <c r="A2680" s="4">
        <v>2676</v>
      </c>
      <c r="B2680" s="4">
        <v>73806</v>
      </c>
      <c r="C2680" s="4">
        <v>1</v>
      </c>
      <c r="D2680" s="6">
        <v>0</v>
      </c>
      <c r="E2680" s="6">
        <v>-103.69</v>
      </c>
      <c r="F2680" s="6">
        <v>0</v>
      </c>
      <c r="G2680" s="6">
        <v>0.01</v>
      </c>
      <c r="H2680" s="6">
        <v>17</v>
      </c>
    </row>
    <row r="2681" spans="1:8" ht="18.95" customHeight="1">
      <c r="A2681" s="4">
        <v>2677</v>
      </c>
      <c r="B2681" s="4">
        <v>73826</v>
      </c>
      <c r="C2681" s="4">
        <v>1</v>
      </c>
      <c r="D2681" s="6">
        <v>0</v>
      </c>
      <c r="E2681" s="6">
        <v>-103.69</v>
      </c>
      <c r="F2681" s="6">
        <v>0</v>
      </c>
      <c r="G2681" s="6">
        <v>0</v>
      </c>
      <c r="H2681" s="6">
        <v>17</v>
      </c>
    </row>
    <row r="2682" spans="1:8" ht="18.95" customHeight="1">
      <c r="A2682" s="4">
        <v>2678</v>
      </c>
      <c r="B2682" s="4">
        <v>73846</v>
      </c>
      <c r="C2682" s="4">
        <v>1</v>
      </c>
      <c r="D2682" s="6">
        <v>0</v>
      </c>
      <c r="E2682" s="6">
        <v>-103.69</v>
      </c>
      <c r="F2682" s="6">
        <v>0</v>
      </c>
      <c r="G2682" s="6">
        <v>0.02</v>
      </c>
      <c r="H2682" s="6">
        <v>17</v>
      </c>
    </row>
    <row r="2683" spans="1:8" ht="18.95" customHeight="1">
      <c r="A2683" s="4">
        <v>2679</v>
      </c>
      <c r="B2683" s="4">
        <v>73866</v>
      </c>
      <c r="C2683" s="4">
        <v>1</v>
      </c>
      <c r="D2683" s="6">
        <v>0</v>
      </c>
      <c r="E2683" s="6">
        <v>-103.69</v>
      </c>
      <c r="F2683" s="6">
        <v>0</v>
      </c>
      <c r="G2683" s="6">
        <v>0</v>
      </c>
      <c r="H2683" s="6">
        <v>17</v>
      </c>
    </row>
    <row r="2684" spans="1:8" ht="18.95" customHeight="1">
      <c r="A2684" s="4">
        <v>2680</v>
      </c>
      <c r="B2684" s="4">
        <v>73886</v>
      </c>
      <c r="C2684" s="4">
        <v>1</v>
      </c>
      <c r="D2684" s="6">
        <v>0</v>
      </c>
      <c r="E2684" s="6">
        <v>-103.69</v>
      </c>
      <c r="F2684" s="6">
        <v>0</v>
      </c>
      <c r="G2684" s="6">
        <v>0.06</v>
      </c>
      <c r="H2684" s="6">
        <v>16</v>
      </c>
    </row>
    <row r="2685" spans="1:8" ht="18.95" customHeight="1">
      <c r="A2685" s="4">
        <v>2681</v>
      </c>
      <c r="B2685" s="4">
        <v>73906</v>
      </c>
      <c r="C2685" s="4">
        <v>1</v>
      </c>
      <c r="D2685" s="6">
        <v>0</v>
      </c>
      <c r="E2685" s="6">
        <v>-103.69</v>
      </c>
      <c r="F2685" s="6">
        <v>0</v>
      </c>
      <c r="G2685" s="6">
        <v>0.02</v>
      </c>
      <c r="H2685" s="6">
        <v>16</v>
      </c>
    </row>
    <row r="2686" spans="1:8" ht="18.95" customHeight="1">
      <c r="A2686" s="4">
        <v>2682</v>
      </c>
      <c r="B2686" s="4">
        <v>73926</v>
      </c>
      <c r="C2686" s="4">
        <v>1</v>
      </c>
      <c r="D2686" s="6">
        <v>0</v>
      </c>
      <c r="E2686" s="6">
        <v>-103.69</v>
      </c>
      <c r="F2686" s="6">
        <v>0</v>
      </c>
      <c r="G2686" s="6">
        <v>0.02</v>
      </c>
      <c r="H2686" s="6">
        <v>19</v>
      </c>
    </row>
    <row r="2687" spans="1:8" ht="18.95" customHeight="1">
      <c r="A2687" s="4">
        <v>2683</v>
      </c>
      <c r="B2687" s="4">
        <v>73946</v>
      </c>
      <c r="C2687" s="4">
        <v>1</v>
      </c>
      <c r="D2687" s="6">
        <v>0</v>
      </c>
      <c r="E2687" s="6">
        <v>-103.69</v>
      </c>
      <c r="F2687" s="6">
        <v>0</v>
      </c>
      <c r="G2687" s="6">
        <v>0.05</v>
      </c>
      <c r="H2687" s="6">
        <v>19</v>
      </c>
    </row>
    <row r="2688" spans="1:8" ht="18.95" customHeight="1">
      <c r="A2688" s="4">
        <v>2684</v>
      </c>
      <c r="B2688" s="4">
        <v>73966</v>
      </c>
      <c r="C2688" s="4">
        <v>1</v>
      </c>
      <c r="D2688" s="6">
        <v>0</v>
      </c>
      <c r="E2688" s="6">
        <v>-103.69</v>
      </c>
      <c r="F2688" s="6">
        <v>0</v>
      </c>
      <c r="G2688" s="6">
        <v>-0.03</v>
      </c>
      <c r="H2688" s="6">
        <v>19</v>
      </c>
    </row>
    <row r="2689" spans="1:8" ht="18.95" customHeight="1">
      <c r="A2689" s="4">
        <v>2685</v>
      </c>
      <c r="B2689" s="4">
        <v>73986</v>
      </c>
      <c r="C2689" s="4">
        <v>1</v>
      </c>
      <c r="D2689" s="6">
        <v>0</v>
      </c>
      <c r="E2689" s="6">
        <v>-103.69</v>
      </c>
      <c r="F2689" s="6">
        <v>0</v>
      </c>
      <c r="G2689" s="6">
        <v>0.03</v>
      </c>
      <c r="H2689" s="6">
        <v>18</v>
      </c>
    </row>
    <row r="2690" spans="1:8" ht="18.95" customHeight="1">
      <c r="A2690" s="4">
        <v>2686</v>
      </c>
      <c r="B2690" s="4">
        <v>74006</v>
      </c>
      <c r="C2690" s="4">
        <v>1</v>
      </c>
      <c r="D2690" s="6">
        <v>0</v>
      </c>
      <c r="E2690" s="6">
        <v>-103.69</v>
      </c>
      <c r="F2690" s="6">
        <v>0</v>
      </c>
      <c r="G2690" s="6">
        <v>0</v>
      </c>
      <c r="H2690" s="6">
        <v>18</v>
      </c>
    </row>
    <row r="2691" spans="1:8" ht="18.95" customHeight="1">
      <c r="A2691" s="4">
        <v>2687</v>
      </c>
      <c r="B2691" s="4">
        <v>74027</v>
      </c>
      <c r="C2691" s="4">
        <v>1</v>
      </c>
      <c r="D2691" s="6">
        <v>0</v>
      </c>
      <c r="E2691" s="6">
        <v>-103.69</v>
      </c>
      <c r="F2691" s="6">
        <v>0</v>
      </c>
      <c r="G2691" s="6">
        <v>0.04</v>
      </c>
      <c r="H2691" s="6">
        <v>17</v>
      </c>
    </row>
    <row r="2692" spans="1:8" ht="18.95" customHeight="1">
      <c r="A2692" s="4">
        <v>2688</v>
      </c>
      <c r="B2692" s="4">
        <v>74047</v>
      </c>
      <c r="C2692" s="4">
        <v>1</v>
      </c>
      <c r="D2692" s="6">
        <v>0</v>
      </c>
      <c r="E2692" s="6">
        <v>-103.69</v>
      </c>
      <c r="F2692" s="6">
        <v>0</v>
      </c>
      <c r="G2692" s="6">
        <v>0.01</v>
      </c>
      <c r="H2692" s="6">
        <v>17</v>
      </c>
    </row>
    <row r="2693" spans="1:8" ht="18.95" customHeight="1">
      <c r="A2693" s="4">
        <v>2689</v>
      </c>
      <c r="B2693" s="4">
        <v>74067</v>
      </c>
      <c r="C2693" s="4">
        <v>1</v>
      </c>
      <c r="D2693" s="6">
        <v>0</v>
      </c>
      <c r="E2693" s="6">
        <v>-103.69</v>
      </c>
      <c r="F2693" s="6">
        <v>0</v>
      </c>
      <c r="G2693" s="6">
        <v>0.02</v>
      </c>
      <c r="H2693" s="6">
        <v>17</v>
      </c>
    </row>
    <row r="2694" spans="1:8" ht="18.95" customHeight="1">
      <c r="A2694" s="4">
        <v>2690</v>
      </c>
      <c r="B2694" s="4">
        <v>74087</v>
      </c>
      <c r="C2694" s="4">
        <v>1</v>
      </c>
      <c r="D2694" s="6">
        <v>0</v>
      </c>
      <c r="E2694" s="6">
        <v>-103.69</v>
      </c>
      <c r="F2694" s="6">
        <v>0</v>
      </c>
      <c r="G2694" s="6">
        <v>0.08</v>
      </c>
      <c r="H2694" s="6">
        <v>17</v>
      </c>
    </row>
    <row r="2695" spans="1:8" ht="18.95" customHeight="1">
      <c r="A2695" s="4">
        <v>2691</v>
      </c>
      <c r="B2695" s="4">
        <v>74107</v>
      </c>
      <c r="C2695" s="4">
        <v>1</v>
      </c>
      <c r="D2695" s="6">
        <v>0</v>
      </c>
      <c r="E2695" s="6">
        <v>-103.69</v>
      </c>
      <c r="F2695" s="6">
        <v>0</v>
      </c>
      <c r="G2695" s="6">
        <v>0.03</v>
      </c>
      <c r="H2695" s="6">
        <v>17</v>
      </c>
    </row>
    <row r="2696" spans="1:8" ht="18.95" customHeight="1">
      <c r="A2696" s="4">
        <v>2692</v>
      </c>
      <c r="B2696" s="4">
        <v>74127</v>
      </c>
      <c r="C2696" s="4">
        <v>1</v>
      </c>
      <c r="D2696" s="6">
        <v>0</v>
      </c>
      <c r="E2696" s="6">
        <v>-103.69</v>
      </c>
      <c r="F2696" s="6">
        <v>0</v>
      </c>
      <c r="G2696" s="6">
        <v>0.02</v>
      </c>
      <c r="H2696" s="6">
        <v>17</v>
      </c>
    </row>
    <row r="2697" spans="1:8" ht="18.95" customHeight="1">
      <c r="A2697" s="4">
        <v>2693</v>
      </c>
      <c r="B2697" s="4">
        <v>74147</v>
      </c>
      <c r="C2697" s="4">
        <v>1</v>
      </c>
      <c r="D2697" s="6">
        <v>0</v>
      </c>
      <c r="E2697" s="6">
        <v>-103.69</v>
      </c>
      <c r="F2697" s="6">
        <v>0</v>
      </c>
      <c r="G2697" s="6">
        <v>0.04</v>
      </c>
      <c r="H2697" s="6">
        <v>17</v>
      </c>
    </row>
    <row r="2698" spans="1:8" ht="18.95" customHeight="1">
      <c r="A2698" s="4">
        <v>2694</v>
      </c>
      <c r="B2698" s="4">
        <v>74167</v>
      </c>
      <c r="C2698" s="4">
        <v>1</v>
      </c>
      <c r="D2698" s="6">
        <v>0</v>
      </c>
      <c r="E2698" s="6">
        <v>-103.69</v>
      </c>
      <c r="F2698" s="6">
        <v>0</v>
      </c>
      <c r="G2698" s="6">
        <v>-0.03</v>
      </c>
      <c r="H2698" s="6">
        <v>17</v>
      </c>
    </row>
    <row r="2699" spans="1:8" ht="18.95" customHeight="1">
      <c r="A2699" s="4">
        <v>2695</v>
      </c>
      <c r="B2699" s="4">
        <v>74187</v>
      </c>
      <c r="C2699" s="4">
        <v>1</v>
      </c>
      <c r="D2699" s="6">
        <v>0</v>
      </c>
      <c r="E2699" s="6">
        <v>-103.69</v>
      </c>
      <c r="F2699" s="6">
        <v>0</v>
      </c>
      <c r="G2699" s="6">
        <v>0</v>
      </c>
      <c r="H2699" s="6">
        <v>17</v>
      </c>
    </row>
    <row r="2700" spans="1:8" ht="18.95" customHeight="1">
      <c r="A2700" s="4">
        <v>2696</v>
      </c>
      <c r="B2700" s="4">
        <v>74207</v>
      </c>
      <c r="C2700" s="4">
        <v>1</v>
      </c>
      <c r="D2700" s="6">
        <v>0</v>
      </c>
      <c r="E2700" s="6">
        <v>-103.69</v>
      </c>
      <c r="F2700" s="6">
        <v>0</v>
      </c>
      <c r="G2700" s="6">
        <v>0</v>
      </c>
      <c r="H2700" s="6">
        <v>17</v>
      </c>
    </row>
    <row r="2701" spans="1:8" ht="18.95" customHeight="1">
      <c r="A2701" s="4">
        <v>2697</v>
      </c>
      <c r="B2701" s="4">
        <v>74227</v>
      </c>
      <c r="C2701" s="4">
        <v>1</v>
      </c>
      <c r="D2701" s="6">
        <v>0</v>
      </c>
      <c r="E2701" s="6">
        <v>-103.69</v>
      </c>
      <c r="F2701" s="6">
        <v>0</v>
      </c>
      <c r="G2701" s="6">
        <v>0.01</v>
      </c>
      <c r="H2701" s="6">
        <v>17</v>
      </c>
    </row>
    <row r="2702" spans="1:8" ht="18.95" customHeight="1">
      <c r="A2702" s="4">
        <v>2698</v>
      </c>
      <c r="B2702" s="4">
        <v>74247</v>
      </c>
      <c r="C2702" s="4">
        <v>1</v>
      </c>
      <c r="D2702" s="6">
        <v>0</v>
      </c>
      <c r="E2702" s="6">
        <v>-103.69</v>
      </c>
      <c r="F2702" s="6">
        <v>0</v>
      </c>
      <c r="G2702" s="6">
        <v>0</v>
      </c>
      <c r="H2702" s="6">
        <v>17</v>
      </c>
    </row>
    <row r="2703" spans="1:8" ht="18.95" customHeight="1">
      <c r="A2703" s="4">
        <v>2699</v>
      </c>
      <c r="B2703" s="4">
        <v>74267</v>
      </c>
      <c r="C2703" s="4">
        <v>1</v>
      </c>
      <c r="D2703" s="6">
        <v>0</v>
      </c>
      <c r="E2703" s="6">
        <v>-103.69</v>
      </c>
      <c r="F2703" s="6">
        <v>0</v>
      </c>
      <c r="G2703" s="6">
        <v>-0.01</v>
      </c>
      <c r="H2703" s="6">
        <v>17</v>
      </c>
    </row>
    <row r="2704" spans="1:8" ht="18.95" customHeight="1">
      <c r="A2704" s="4">
        <v>2700</v>
      </c>
      <c r="B2704" s="4">
        <v>74287</v>
      </c>
      <c r="C2704" s="4">
        <v>1</v>
      </c>
      <c r="D2704" s="6">
        <v>0</v>
      </c>
      <c r="E2704" s="6">
        <v>-103.69</v>
      </c>
      <c r="F2704" s="6">
        <v>0</v>
      </c>
      <c r="G2704" s="6">
        <v>-0.06</v>
      </c>
      <c r="H2704" s="6">
        <v>16</v>
      </c>
    </row>
    <row r="2705" spans="1:8" ht="18.95" customHeight="1">
      <c r="A2705" s="4">
        <v>2701</v>
      </c>
      <c r="B2705" s="4">
        <v>74307</v>
      </c>
      <c r="C2705" s="4">
        <v>1</v>
      </c>
      <c r="D2705" s="6">
        <v>0</v>
      </c>
      <c r="E2705" s="6">
        <v>-103.69</v>
      </c>
      <c r="F2705" s="6">
        <v>0</v>
      </c>
      <c r="G2705" s="6">
        <v>0.03</v>
      </c>
      <c r="H2705" s="6">
        <v>16</v>
      </c>
    </row>
    <row r="2706" spans="1:8" ht="18.95" customHeight="1">
      <c r="A2706" s="4">
        <v>2702</v>
      </c>
      <c r="B2706" s="4">
        <v>74328</v>
      </c>
      <c r="C2706" s="4">
        <v>1</v>
      </c>
      <c r="D2706" s="6">
        <v>0</v>
      </c>
      <c r="E2706" s="6">
        <v>-103.69</v>
      </c>
      <c r="F2706" s="6">
        <v>0</v>
      </c>
      <c r="G2706" s="6">
        <v>0</v>
      </c>
      <c r="H2706" s="6">
        <v>18</v>
      </c>
    </row>
    <row r="2707" spans="1:8" ht="18.95" customHeight="1">
      <c r="A2707" s="4">
        <v>2703</v>
      </c>
      <c r="B2707" s="4">
        <v>74348</v>
      </c>
      <c r="C2707" s="4">
        <v>1</v>
      </c>
      <c r="D2707" s="6">
        <v>0</v>
      </c>
      <c r="E2707" s="6">
        <v>-103.69</v>
      </c>
      <c r="F2707" s="6">
        <v>0</v>
      </c>
      <c r="G2707" s="6">
        <v>7.0000000000000007E-2</v>
      </c>
      <c r="H2707" s="6">
        <v>18</v>
      </c>
    </row>
    <row r="2708" spans="1:8" ht="18.95" customHeight="1">
      <c r="A2708" s="4">
        <v>2704</v>
      </c>
      <c r="B2708" s="4">
        <v>74368</v>
      </c>
      <c r="C2708" s="4">
        <v>1</v>
      </c>
      <c r="D2708" s="6">
        <v>0</v>
      </c>
      <c r="E2708" s="6">
        <v>-103.69</v>
      </c>
      <c r="F2708" s="6">
        <v>0</v>
      </c>
      <c r="G2708" s="6">
        <v>0</v>
      </c>
      <c r="H2708" s="6">
        <v>18</v>
      </c>
    </row>
    <row r="2709" spans="1:8" ht="18.95" customHeight="1">
      <c r="A2709" s="4">
        <v>2705</v>
      </c>
      <c r="B2709" s="4">
        <v>74388</v>
      </c>
      <c r="C2709" s="4">
        <v>1</v>
      </c>
      <c r="D2709" s="6">
        <v>0</v>
      </c>
      <c r="E2709" s="6">
        <v>-103.69</v>
      </c>
      <c r="F2709" s="6">
        <v>0</v>
      </c>
      <c r="G2709" s="6">
        <v>0.04</v>
      </c>
      <c r="H2709" s="6">
        <v>18</v>
      </c>
    </row>
    <row r="2710" spans="1:8" ht="18.95" customHeight="1">
      <c r="A2710" s="4">
        <v>2706</v>
      </c>
      <c r="B2710" s="4">
        <v>74408</v>
      </c>
      <c r="C2710" s="4">
        <v>1</v>
      </c>
      <c r="D2710" s="6">
        <v>0</v>
      </c>
      <c r="E2710" s="6">
        <v>-103.69</v>
      </c>
      <c r="F2710" s="6">
        <v>0</v>
      </c>
      <c r="G2710" s="6">
        <v>-0.03</v>
      </c>
      <c r="H2710" s="6">
        <v>18</v>
      </c>
    </row>
    <row r="2711" spans="1:8" ht="18.95" customHeight="1">
      <c r="A2711" s="4">
        <v>2707</v>
      </c>
      <c r="B2711" s="4">
        <v>74428</v>
      </c>
      <c r="C2711" s="4">
        <v>1</v>
      </c>
      <c r="D2711" s="6">
        <v>0</v>
      </c>
      <c r="E2711" s="6">
        <v>-103.69</v>
      </c>
      <c r="F2711" s="6">
        <v>0</v>
      </c>
      <c r="G2711" s="6">
        <v>0</v>
      </c>
      <c r="H2711" s="6">
        <v>18</v>
      </c>
    </row>
    <row r="2712" spans="1:8" ht="18.95" customHeight="1">
      <c r="A2712" s="4">
        <v>2708</v>
      </c>
      <c r="B2712" s="4">
        <v>74448</v>
      </c>
      <c r="C2712" s="4">
        <v>1</v>
      </c>
      <c r="D2712" s="6">
        <v>0</v>
      </c>
      <c r="E2712" s="6">
        <v>-103.69</v>
      </c>
      <c r="F2712" s="6">
        <v>0</v>
      </c>
      <c r="G2712" s="6">
        <v>-0.01</v>
      </c>
      <c r="H2712" s="6">
        <v>18</v>
      </c>
    </row>
    <row r="2713" spans="1:8" ht="18.95" customHeight="1">
      <c r="A2713" s="4">
        <v>2709</v>
      </c>
      <c r="B2713" s="4">
        <v>74468</v>
      </c>
      <c r="C2713" s="4">
        <v>1</v>
      </c>
      <c r="D2713" s="6">
        <v>0</v>
      </c>
      <c r="E2713" s="6">
        <v>-103.69</v>
      </c>
      <c r="F2713" s="6">
        <v>0</v>
      </c>
      <c r="G2713" s="6">
        <v>0</v>
      </c>
      <c r="H2713" s="6">
        <v>18</v>
      </c>
    </row>
    <row r="2714" spans="1:8" ht="18.95" customHeight="1">
      <c r="A2714" s="4">
        <v>2710</v>
      </c>
      <c r="B2714" s="4">
        <v>74488</v>
      </c>
      <c r="C2714" s="4">
        <v>1</v>
      </c>
      <c r="D2714" s="6">
        <v>0</v>
      </c>
      <c r="E2714" s="6">
        <v>-103.69</v>
      </c>
      <c r="F2714" s="6">
        <v>0</v>
      </c>
      <c r="G2714" s="6">
        <v>-0.05</v>
      </c>
      <c r="H2714" s="6">
        <v>18</v>
      </c>
    </row>
    <row r="2715" spans="1:8" ht="18.95" customHeight="1">
      <c r="A2715" s="4">
        <v>2711</v>
      </c>
      <c r="B2715" s="4">
        <v>74508</v>
      </c>
      <c r="C2715" s="4">
        <v>1</v>
      </c>
      <c r="D2715" s="6">
        <v>0</v>
      </c>
      <c r="E2715" s="6">
        <v>-103.69</v>
      </c>
      <c r="F2715" s="6">
        <v>0</v>
      </c>
      <c r="G2715" s="6">
        <v>0.02</v>
      </c>
      <c r="H2715" s="6">
        <v>18</v>
      </c>
    </row>
    <row r="2716" spans="1:8" ht="18.95" customHeight="1">
      <c r="A2716" s="4">
        <v>2712</v>
      </c>
      <c r="B2716" s="4">
        <v>74528</v>
      </c>
      <c r="C2716" s="4">
        <v>1</v>
      </c>
      <c r="D2716" s="6">
        <v>0</v>
      </c>
      <c r="E2716" s="6">
        <v>-103.69</v>
      </c>
      <c r="F2716" s="6">
        <v>0</v>
      </c>
      <c r="G2716" s="6">
        <v>-0.08</v>
      </c>
      <c r="H2716" s="6">
        <v>19</v>
      </c>
    </row>
    <row r="2717" spans="1:8" ht="18.95" customHeight="1">
      <c r="A2717" s="4">
        <v>2713</v>
      </c>
      <c r="B2717" s="4">
        <v>74548</v>
      </c>
      <c r="C2717" s="4">
        <v>1</v>
      </c>
      <c r="D2717" s="6">
        <v>0</v>
      </c>
      <c r="E2717" s="6">
        <v>-103.69</v>
      </c>
      <c r="F2717" s="6">
        <v>0</v>
      </c>
      <c r="G2717" s="6">
        <v>0.01</v>
      </c>
      <c r="H2717" s="6">
        <v>19</v>
      </c>
    </row>
    <row r="2718" spans="1:8" ht="18.95" customHeight="1">
      <c r="A2718" s="4">
        <v>2714</v>
      </c>
      <c r="B2718" s="4">
        <v>74568</v>
      </c>
      <c r="C2718" s="4">
        <v>1</v>
      </c>
      <c r="D2718" s="6">
        <v>0</v>
      </c>
      <c r="E2718" s="6">
        <v>-103.69</v>
      </c>
      <c r="F2718" s="6">
        <v>0</v>
      </c>
      <c r="G2718" s="6">
        <v>0.02</v>
      </c>
      <c r="H2718" s="6">
        <v>19</v>
      </c>
    </row>
    <row r="2719" spans="1:8" ht="18.95" customHeight="1">
      <c r="A2719" s="4">
        <v>2715</v>
      </c>
      <c r="B2719" s="4">
        <v>74588</v>
      </c>
      <c r="C2719" s="4">
        <v>1</v>
      </c>
      <c r="D2719" s="6">
        <v>0</v>
      </c>
      <c r="E2719" s="6">
        <v>-103.69</v>
      </c>
      <c r="F2719" s="6">
        <v>0</v>
      </c>
      <c r="G2719" s="6">
        <v>-0.02</v>
      </c>
      <c r="H2719" s="6">
        <v>18</v>
      </c>
    </row>
    <row r="2720" spans="1:8" ht="18.95" customHeight="1">
      <c r="A2720" s="4">
        <v>2716</v>
      </c>
      <c r="B2720" s="4">
        <v>74608</v>
      </c>
      <c r="C2720" s="4">
        <v>1</v>
      </c>
      <c r="D2720" s="6">
        <v>0</v>
      </c>
      <c r="E2720" s="6">
        <v>-103.69</v>
      </c>
      <c r="F2720" s="6">
        <v>0</v>
      </c>
      <c r="G2720" s="6">
        <v>0.02</v>
      </c>
      <c r="H2720" s="6">
        <v>18</v>
      </c>
    </row>
    <row r="2721" spans="1:8" ht="18.95" customHeight="1">
      <c r="A2721" s="4">
        <v>2717</v>
      </c>
      <c r="B2721" s="4">
        <v>74628</v>
      </c>
      <c r="C2721" s="4">
        <v>1</v>
      </c>
      <c r="D2721" s="6">
        <v>0</v>
      </c>
      <c r="E2721" s="6">
        <v>-103.69</v>
      </c>
      <c r="F2721" s="6">
        <v>0</v>
      </c>
      <c r="G2721" s="6">
        <v>0</v>
      </c>
      <c r="H2721" s="6">
        <v>17</v>
      </c>
    </row>
    <row r="2722" spans="1:8" ht="18.95" customHeight="1">
      <c r="A2722" s="4">
        <v>2718</v>
      </c>
      <c r="B2722" s="4">
        <v>74648</v>
      </c>
      <c r="C2722" s="4">
        <v>1</v>
      </c>
      <c r="D2722" s="6">
        <v>0</v>
      </c>
      <c r="E2722" s="6">
        <v>-103.69</v>
      </c>
      <c r="F2722" s="6">
        <v>0</v>
      </c>
      <c r="G2722" s="6">
        <v>0.01</v>
      </c>
      <c r="H2722" s="6">
        <v>17</v>
      </c>
    </row>
    <row r="2723" spans="1:8" ht="18.95" customHeight="1">
      <c r="A2723" s="4">
        <v>2719</v>
      </c>
      <c r="B2723" s="4">
        <v>74668</v>
      </c>
      <c r="C2723" s="4">
        <v>1</v>
      </c>
      <c r="D2723" s="6">
        <v>0</v>
      </c>
      <c r="E2723" s="6">
        <v>-103.69</v>
      </c>
      <c r="F2723" s="6">
        <v>0</v>
      </c>
      <c r="G2723" s="6">
        <v>-0.01</v>
      </c>
      <c r="H2723" s="6">
        <v>17</v>
      </c>
    </row>
    <row r="2724" spans="1:8" ht="18.95" customHeight="1">
      <c r="A2724" s="4">
        <v>2720</v>
      </c>
      <c r="B2724" s="4">
        <v>74688</v>
      </c>
      <c r="C2724" s="4">
        <v>1</v>
      </c>
      <c r="D2724" s="6">
        <v>0</v>
      </c>
      <c r="E2724" s="6">
        <v>-103.69</v>
      </c>
      <c r="F2724" s="6">
        <v>0</v>
      </c>
      <c r="G2724" s="6">
        <v>-0.02</v>
      </c>
      <c r="H2724" s="6">
        <v>18</v>
      </c>
    </row>
    <row r="2725" spans="1:8" ht="18.95" customHeight="1">
      <c r="A2725" s="4">
        <v>2721</v>
      </c>
      <c r="B2725" s="4">
        <v>74708</v>
      </c>
      <c r="C2725" s="4">
        <v>1</v>
      </c>
      <c r="D2725" s="6">
        <v>0</v>
      </c>
      <c r="E2725" s="6">
        <v>-103.69</v>
      </c>
      <c r="F2725" s="6">
        <v>0</v>
      </c>
      <c r="G2725" s="6">
        <v>0.06</v>
      </c>
      <c r="H2725" s="6">
        <v>18</v>
      </c>
    </row>
    <row r="2726" spans="1:8" ht="18.95" customHeight="1">
      <c r="A2726" s="4">
        <v>2722</v>
      </c>
      <c r="B2726" s="4">
        <v>74728</v>
      </c>
      <c r="C2726" s="4">
        <v>1</v>
      </c>
      <c r="D2726" s="6">
        <v>0</v>
      </c>
      <c r="E2726" s="6">
        <v>-103.69</v>
      </c>
      <c r="F2726" s="6">
        <v>0</v>
      </c>
      <c r="G2726" s="6">
        <v>-0.03</v>
      </c>
      <c r="H2726" s="6">
        <v>18</v>
      </c>
    </row>
    <row r="2727" spans="1:8" ht="18.95" customHeight="1">
      <c r="A2727" s="4">
        <v>2723</v>
      </c>
      <c r="B2727" s="4">
        <v>74748</v>
      </c>
      <c r="C2727" s="4">
        <v>1</v>
      </c>
      <c r="D2727" s="6">
        <v>0</v>
      </c>
      <c r="E2727" s="6">
        <v>-103.69</v>
      </c>
      <c r="F2727" s="6">
        <v>0</v>
      </c>
      <c r="G2727" s="6">
        <v>0.03</v>
      </c>
      <c r="H2727" s="6">
        <v>18</v>
      </c>
    </row>
    <row r="2728" spans="1:8" ht="18.95" customHeight="1">
      <c r="A2728" s="4">
        <v>2724</v>
      </c>
      <c r="B2728" s="4">
        <v>74768</v>
      </c>
      <c r="C2728" s="4">
        <v>1</v>
      </c>
      <c r="D2728" s="6">
        <v>0</v>
      </c>
      <c r="E2728" s="6">
        <v>-103.69</v>
      </c>
      <c r="F2728" s="6">
        <v>0</v>
      </c>
      <c r="G2728" s="6">
        <v>0.03</v>
      </c>
      <c r="H2728" s="6">
        <v>18</v>
      </c>
    </row>
    <row r="2729" spans="1:8" ht="18.95" customHeight="1">
      <c r="A2729" s="4">
        <v>2725</v>
      </c>
      <c r="B2729" s="4">
        <v>74788</v>
      </c>
      <c r="C2729" s="4">
        <v>1</v>
      </c>
      <c r="D2729" s="6">
        <v>0</v>
      </c>
      <c r="E2729" s="6">
        <v>-103.69</v>
      </c>
      <c r="F2729" s="6">
        <v>0</v>
      </c>
      <c r="G2729" s="6">
        <v>0</v>
      </c>
      <c r="H2729" s="6">
        <v>19</v>
      </c>
    </row>
    <row r="2730" spans="1:8" ht="18.95" customHeight="1">
      <c r="A2730" s="4">
        <v>2726</v>
      </c>
      <c r="B2730" s="4">
        <v>74808</v>
      </c>
      <c r="C2730" s="4">
        <v>1</v>
      </c>
      <c r="D2730" s="6">
        <v>0</v>
      </c>
      <c r="E2730" s="6">
        <v>-103.69</v>
      </c>
      <c r="F2730" s="6">
        <v>0</v>
      </c>
      <c r="G2730" s="6">
        <v>-0.01</v>
      </c>
      <c r="H2730" s="6">
        <v>19</v>
      </c>
    </row>
    <row r="2731" spans="1:8" ht="18.95" customHeight="1">
      <c r="A2731" s="4">
        <v>2727</v>
      </c>
      <c r="B2731" s="4">
        <v>74828</v>
      </c>
      <c r="C2731" s="4">
        <v>1</v>
      </c>
      <c r="D2731" s="6">
        <v>0</v>
      </c>
      <c r="E2731" s="6">
        <v>-103.69</v>
      </c>
      <c r="F2731" s="6">
        <v>0</v>
      </c>
      <c r="G2731" s="6">
        <v>0.03</v>
      </c>
      <c r="H2731" s="6">
        <v>17</v>
      </c>
    </row>
    <row r="2732" spans="1:8" ht="18.95" customHeight="1">
      <c r="A2732" s="4">
        <v>2728</v>
      </c>
      <c r="B2732" s="4">
        <v>74848</v>
      </c>
      <c r="C2732" s="4">
        <v>1</v>
      </c>
      <c r="D2732" s="6">
        <v>0</v>
      </c>
      <c r="E2732" s="6">
        <v>-103.69</v>
      </c>
      <c r="F2732" s="6">
        <v>0</v>
      </c>
      <c r="G2732" s="6">
        <v>0</v>
      </c>
      <c r="H2732" s="6">
        <v>17</v>
      </c>
    </row>
    <row r="2733" spans="1:8" ht="18.95" customHeight="1">
      <c r="A2733" s="4">
        <v>2729</v>
      </c>
      <c r="B2733" s="4">
        <v>74868</v>
      </c>
      <c r="C2733" s="4">
        <v>1</v>
      </c>
      <c r="D2733" s="6">
        <v>0</v>
      </c>
      <c r="E2733" s="6">
        <v>-103.69</v>
      </c>
      <c r="F2733" s="6">
        <v>0</v>
      </c>
      <c r="G2733" s="6">
        <v>0</v>
      </c>
      <c r="H2733" s="6">
        <v>17</v>
      </c>
    </row>
    <row r="2734" spans="1:8" ht="18.95" customHeight="1">
      <c r="A2734" s="4">
        <v>2730</v>
      </c>
      <c r="B2734" s="4">
        <v>74888</v>
      </c>
      <c r="C2734" s="4">
        <v>1</v>
      </c>
      <c r="D2734" s="6">
        <v>0</v>
      </c>
      <c r="E2734" s="6">
        <v>-103.69</v>
      </c>
      <c r="F2734" s="6">
        <v>0</v>
      </c>
      <c r="G2734" s="6">
        <v>-0.01</v>
      </c>
      <c r="H2734" s="6">
        <v>19</v>
      </c>
    </row>
    <row r="2735" spans="1:8" ht="18.95" customHeight="1">
      <c r="A2735" s="4">
        <v>2731</v>
      </c>
      <c r="B2735" s="4">
        <v>74908</v>
      </c>
      <c r="C2735" s="4">
        <v>1</v>
      </c>
      <c r="D2735" s="6">
        <v>0</v>
      </c>
      <c r="E2735" s="6">
        <v>-103.69</v>
      </c>
      <c r="F2735" s="6">
        <v>0</v>
      </c>
      <c r="G2735" s="6">
        <v>0.02</v>
      </c>
      <c r="H2735" s="6">
        <v>19</v>
      </c>
    </row>
    <row r="2736" spans="1:8" ht="18.95" customHeight="1">
      <c r="A2736" s="4">
        <v>2732</v>
      </c>
      <c r="B2736" s="4">
        <v>74928</v>
      </c>
      <c r="C2736" s="4">
        <v>1</v>
      </c>
      <c r="D2736" s="6">
        <v>0</v>
      </c>
      <c r="E2736" s="6">
        <v>-103.69</v>
      </c>
      <c r="F2736" s="6">
        <v>0</v>
      </c>
      <c r="G2736" s="6">
        <v>0</v>
      </c>
      <c r="H2736" s="6">
        <v>19</v>
      </c>
    </row>
    <row r="2737" spans="1:8" ht="18.95" customHeight="1">
      <c r="A2737" s="4">
        <v>2733</v>
      </c>
      <c r="B2737" s="4">
        <v>74948</v>
      </c>
      <c r="C2737" s="4">
        <v>1</v>
      </c>
      <c r="D2737" s="6">
        <v>0</v>
      </c>
      <c r="E2737" s="6">
        <v>-103.69</v>
      </c>
      <c r="F2737" s="6">
        <v>0</v>
      </c>
      <c r="G2737" s="6">
        <v>0.02</v>
      </c>
      <c r="H2737" s="6">
        <v>19</v>
      </c>
    </row>
    <row r="2738" spans="1:8" ht="18.95" customHeight="1">
      <c r="A2738" s="4">
        <v>2734</v>
      </c>
      <c r="B2738" s="4">
        <v>74968</v>
      </c>
      <c r="C2738" s="4">
        <v>1</v>
      </c>
      <c r="D2738" s="6">
        <v>0</v>
      </c>
      <c r="E2738" s="6">
        <v>-103.69</v>
      </c>
      <c r="F2738" s="6">
        <v>0</v>
      </c>
      <c r="G2738" s="6">
        <v>-0.01</v>
      </c>
      <c r="H2738" s="6">
        <v>19</v>
      </c>
    </row>
    <row r="2739" spans="1:8" ht="18.95" customHeight="1">
      <c r="A2739" s="4">
        <v>2735</v>
      </c>
      <c r="B2739" s="4">
        <v>74988</v>
      </c>
      <c r="C2739" s="4">
        <v>1</v>
      </c>
      <c r="D2739" s="6">
        <v>0</v>
      </c>
      <c r="E2739" s="6">
        <v>-103.69</v>
      </c>
      <c r="F2739" s="6">
        <v>0</v>
      </c>
      <c r="G2739" s="6">
        <v>0.06</v>
      </c>
      <c r="H2739" s="6">
        <v>17</v>
      </c>
    </row>
    <row r="2740" spans="1:8" ht="18.95" customHeight="1">
      <c r="A2740" s="4">
        <v>2736</v>
      </c>
      <c r="B2740" s="4">
        <v>75008</v>
      </c>
      <c r="C2740" s="4">
        <v>1</v>
      </c>
      <c r="D2740" s="6">
        <v>0</v>
      </c>
      <c r="E2740" s="6">
        <v>-103.69</v>
      </c>
      <c r="F2740" s="6">
        <v>0</v>
      </c>
      <c r="G2740" s="6">
        <v>0.03</v>
      </c>
      <c r="H2740" s="6">
        <v>17</v>
      </c>
    </row>
    <row r="2741" spans="1:8" ht="18.95" customHeight="1">
      <c r="A2741" s="4">
        <v>2737</v>
      </c>
      <c r="B2741" s="4">
        <v>75028</v>
      </c>
      <c r="C2741" s="4">
        <v>1</v>
      </c>
      <c r="D2741" s="6">
        <v>0</v>
      </c>
      <c r="E2741" s="6">
        <v>-103.69</v>
      </c>
      <c r="F2741" s="6">
        <v>0</v>
      </c>
      <c r="G2741" s="6">
        <v>0.04</v>
      </c>
      <c r="H2741" s="6">
        <v>18</v>
      </c>
    </row>
    <row r="2742" spans="1:8" ht="18.95" customHeight="1">
      <c r="A2742" s="4">
        <v>2738</v>
      </c>
      <c r="B2742" s="4">
        <v>75048</v>
      </c>
      <c r="C2742" s="4">
        <v>1</v>
      </c>
      <c r="D2742" s="6">
        <v>0</v>
      </c>
      <c r="E2742" s="6">
        <v>-103.69</v>
      </c>
      <c r="F2742" s="6">
        <v>0</v>
      </c>
      <c r="G2742" s="6">
        <v>0.01</v>
      </c>
      <c r="H2742" s="6">
        <v>18</v>
      </c>
    </row>
    <row r="2743" spans="1:8" ht="18.95" customHeight="1">
      <c r="A2743" s="4">
        <v>2739</v>
      </c>
      <c r="B2743" s="4">
        <v>75068</v>
      </c>
      <c r="C2743" s="4">
        <v>1</v>
      </c>
      <c r="D2743" s="6">
        <v>0</v>
      </c>
      <c r="E2743" s="6">
        <v>-103.69</v>
      </c>
      <c r="F2743" s="6">
        <v>0</v>
      </c>
      <c r="G2743" s="6">
        <v>0.02</v>
      </c>
      <c r="H2743" s="6">
        <v>18</v>
      </c>
    </row>
    <row r="2744" spans="1:8" ht="18.95" customHeight="1">
      <c r="A2744" s="4">
        <v>2740</v>
      </c>
      <c r="B2744" s="4">
        <v>75088</v>
      </c>
      <c r="C2744" s="4">
        <v>1</v>
      </c>
      <c r="D2744" s="6">
        <v>0</v>
      </c>
      <c r="E2744" s="6">
        <v>-103.69</v>
      </c>
      <c r="F2744" s="6">
        <v>0</v>
      </c>
      <c r="G2744" s="6">
        <v>0.01</v>
      </c>
      <c r="H2744" s="6">
        <v>17</v>
      </c>
    </row>
    <row r="2745" spans="1:8" ht="18.95" customHeight="1">
      <c r="A2745" s="4">
        <v>2741</v>
      </c>
      <c r="B2745" s="4">
        <v>75108</v>
      </c>
      <c r="C2745" s="4">
        <v>1</v>
      </c>
      <c r="D2745" s="6">
        <v>0</v>
      </c>
      <c r="E2745" s="6">
        <v>-103.69</v>
      </c>
      <c r="F2745" s="6">
        <v>0</v>
      </c>
      <c r="G2745" s="6">
        <v>0</v>
      </c>
      <c r="H2745" s="6">
        <v>17</v>
      </c>
    </row>
    <row r="2746" spans="1:8" ht="18.95" customHeight="1">
      <c r="A2746" s="4">
        <v>2742</v>
      </c>
      <c r="B2746" s="4">
        <v>75128</v>
      </c>
      <c r="C2746" s="4">
        <v>1</v>
      </c>
      <c r="D2746" s="6">
        <v>0</v>
      </c>
      <c r="E2746" s="6">
        <v>-103.69</v>
      </c>
      <c r="F2746" s="6">
        <v>0</v>
      </c>
      <c r="G2746" s="6">
        <v>0.03</v>
      </c>
      <c r="H2746" s="6">
        <v>18</v>
      </c>
    </row>
    <row r="2747" spans="1:8" ht="18.95" customHeight="1">
      <c r="A2747" s="4">
        <v>2743</v>
      </c>
      <c r="B2747" s="4">
        <v>75148</v>
      </c>
      <c r="C2747" s="4">
        <v>1</v>
      </c>
      <c r="D2747" s="6">
        <v>0</v>
      </c>
      <c r="E2747" s="6">
        <v>-103.69</v>
      </c>
      <c r="F2747" s="6">
        <v>0</v>
      </c>
      <c r="G2747" s="6">
        <v>0</v>
      </c>
      <c r="H2747" s="6">
        <v>18</v>
      </c>
    </row>
    <row r="2748" spans="1:8" ht="18.95" customHeight="1">
      <c r="A2748" s="4">
        <v>2744</v>
      </c>
      <c r="B2748" s="4">
        <v>75168</v>
      </c>
      <c r="C2748" s="4">
        <v>1</v>
      </c>
      <c r="D2748" s="6">
        <v>0</v>
      </c>
      <c r="E2748" s="6">
        <v>-103.69</v>
      </c>
      <c r="F2748" s="6">
        <v>0</v>
      </c>
      <c r="G2748" s="6">
        <v>-0.03</v>
      </c>
      <c r="H2748" s="6">
        <v>18</v>
      </c>
    </row>
    <row r="2749" spans="1:8" ht="18.95" customHeight="1">
      <c r="A2749" s="4">
        <v>2745</v>
      </c>
      <c r="B2749" s="4">
        <v>75188</v>
      </c>
      <c r="C2749" s="4">
        <v>1</v>
      </c>
      <c r="D2749" s="6">
        <v>0</v>
      </c>
      <c r="E2749" s="6">
        <v>-103.69</v>
      </c>
      <c r="F2749" s="6">
        <v>0</v>
      </c>
      <c r="G2749" s="6">
        <v>0.02</v>
      </c>
      <c r="H2749" s="6">
        <v>17</v>
      </c>
    </row>
    <row r="2750" spans="1:8" ht="18.95" customHeight="1">
      <c r="A2750" s="4">
        <v>2746</v>
      </c>
      <c r="B2750" s="4">
        <v>75208</v>
      </c>
      <c r="C2750" s="4">
        <v>1</v>
      </c>
      <c r="D2750" s="6">
        <v>0</v>
      </c>
      <c r="E2750" s="6">
        <v>-103.69</v>
      </c>
      <c r="F2750" s="6">
        <v>0</v>
      </c>
      <c r="G2750" s="6">
        <v>0</v>
      </c>
      <c r="H2750" s="6">
        <v>17</v>
      </c>
    </row>
    <row r="2751" spans="1:8" ht="18.95" customHeight="1">
      <c r="A2751" s="4">
        <v>2747</v>
      </c>
      <c r="B2751" s="4">
        <v>75228</v>
      </c>
      <c r="C2751" s="4">
        <v>1</v>
      </c>
      <c r="D2751" s="6">
        <v>0</v>
      </c>
      <c r="E2751" s="6">
        <v>-103.69</v>
      </c>
      <c r="F2751" s="6">
        <v>0</v>
      </c>
      <c r="G2751" s="6">
        <v>-0.03</v>
      </c>
      <c r="H2751" s="6">
        <v>16</v>
      </c>
    </row>
    <row r="2752" spans="1:8" ht="18.95" customHeight="1">
      <c r="A2752" s="4">
        <v>2748</v>
      </c>
      <c r="B2752" s="4">
        <v>75248</v>
      </c>
      <c r="C2752" s="4">
        <v>1</v>
      </c>
      <c r="D2752" s="6">
        <v>0</v>
      </c>
      <c r="E2752" s="6">
        <v>-103.69</v>
      </c>
      <c r="F2752" s="6">
        <v>0</v>
      </c>
      <c r="G2752" s="6">
        <v>0.03</v>
      </c>
      <c r="H2752" s="6">
        <v>16</v>
      </c>
    </row>
    <row r="2753" spans="1:8" ht="18.95" customHeight="1">
      <c r="A2753" s="4">
        <v>2749</v>
      </c>
      <c r="B2753" s="4">
        <v>75268</v>
      </c>
      <c r="C2753" s="4">
        <v>1</v>
      </c>
      <c r="D2753" s="6">
        <v>0</v>
      </c>
      <c r="E2753" s="6">
        <v>-103.69</v>
      </c>
      <c r="F2753" s="6">
        <v>0</v>
      </c>
      <c r="G2753" s="6">
        <v>-0.01</v>
      </c>
      <c r="H2753" s="6">
        <v>16</v>
      </c>
    </row>
    <row r="2754" spans="1:8" ht="18.95" customHeight="1">
      <c r="A2754" s="4">
        <v>2750</v>
      </c>
      <c r="B2754" s="4">
        <v>75288</v>
      </c>
      <c r="C2754" s="4">
        <v>1</v>
      </c>
      <c r="D2754" s="6">
        <v>0</v>
      </c>
      <c r="E2754" s="6">
        <v>-103.69</v>
      </c>
      <c r="F2754" s="6">
        <v>0</v>
      </c>
      <c r="G2754" s="6">
        <v>0.01</v>
      </c>
      <c r="H2754" s="6">
        <v>17</v>
      </c>
    </row>
    <row r="2755" spans="1:8" ht="18.95" customHeight="1">
      <c r="A2755" s="4">
        <v>2751</v>
      </c>
      <c r="B2755" s="4">
        <v>75308</v>
      </c>
      <c r="C2755" s="4">
        <v>1</v>
      </c>
      <c r="D2755" s="6">
        <v>0</v>
      </c>
      <c r="E2755" s="6">
        <v>-103.69</v>
      </c>
      <c r="F2755" s="6">
        <v>0</v>
      </c>
      <c r="G2755" s="6">
        <v>0.04</v>
      </c>
      <c r="H2755" s="6">
        <v>17</v>
      </c>
    </row>
    <row r="2756" spans="1:8" ht="18.95" customHeight="1">
      <c r="A2756" s="4">
        <v>2752</v>
      </c>
      <c r="B2756" s="4">
        <v>75328</v>
      </c>
      <c r="C2756" s="4">
        <v>1</v>
      </c>
      <c r="D2756" s="6">
        <v>0</v>
      </c>
      <c r="E2756" s="6">
        <v>-103.69</v>
      </c>
      <c r="F2756" s="6">
        <v>0</v>
      </c>
      <c r="G2756" s="6">
        <v>0.01</v>
      </c>
      <c r="H2756" s="6">
        <v>18</v>
      </c>
    </row>
    <row r="2757" spans="1:8" ht="18.95" customHeight="1">
      <c r="A2757" s="4">
        <v>2753</v>
      </c>
      <c r="B2757" s="4">
        <v>75348</v>
      </c>
      <c r="C2757" s="4">
        <v>1</v>
      </c>
      <c r="D2757" s="6">
        <v>0</v>
      </c>
      <c r="E2757" s="6">
        <v>-103.69</v>
      </c>
      <c r="F2757" s="6">
        <v>0</v>
      </c>
      <c r="G2757" s="6">
        <v>0.04</v>
      </c>
      <c r="H2757" s="6">
        <v>18</v>
      </c>
    </row>
    <row r="2758" spans="1:8" ht="18.95" customHeight="1">
      <c r="A2758" s="4">
        <v>2754</v>
      </c>
      <c r="B2758" s="4">
        <v>75368</v>
      </c>
      <c r="C2758" s="4">
        <v>1</v>
      </c>
      <c r="D2758" s="6">
        <v>0</v>
      </c>
      <c r="E2758" s="6">
        <v>-103.69</v>
      </c>
      <c r="F2758" s="6">
        <v>0</v>
      </c>
      <c r="G2758" s="6">
        <v>-0.01</v>
      </c>
      <c r="H2758" s="6">
        <v>18</v>
      </c>
    </row>
    <row r="2759" spans="1:8" ht="18.95" customHeight="1">
      <c r="A2759" s="4">
        <v>2755</v>
      </c>
      <c r="B2759" s="4">
        <v>75388</v>
      </c>
      <c r="C2759" s="4">
        <v>1</v>
      </c>
      <c r="D2759" s="6">
        <v>0</v>
      </c>
      <c r="E2759" s="6">
        <v>-103.69</v>
      </c>
      <c r="F2759" s="6">
        <v>0</v>
      </c>
      <c r="G2759" s="6">
        <v>-0.01</v>
      </c>
      <c r="H2759" s="6">
        <v>18</v>
      </c>
    </row>
    <row r="2760" spans="1:8" ht="18.95" customHeight="1">
      <c r="A2760" s="4">
        <v>2756</v>
      </c>
      <c r="B2760" s="4">
        <v>75408</v>
      </c>
      <c r="C2760" s="4">
        <v>1</v>
      </c>
      <c r="D2760" s="6">
        <v>0</v>
      </c>
      <c r="E2760" s="6">
        <v>-103.69</v>
      </c>
      <c r="F2760" s="6">
        <v>0</v>
      </c>
      <c r="G2760" s="6">
        <v>0</v>
      </c>
      <c r="H2760" s="6">
        <v>18</v>
      </c>
    </row>
    <row r="2761" spans="1:8" ht="18.95" customHeight="1">
      <c r="A2761" s="4">
        <v>2757</v>
      </c>
      <c r="B2761" s="4">
        <v>75428</v>
      </c>
      <c r="C2761" s="4">
        <v>1</v>
      </c>
      <c r="D2761" s="6">
        <v>0</v>
      </c>
      <c r="E2761" s="6">
        <v>-103.69</v>
      </c>
      <c r="F2761" s="6">
        <v>0</v>
      </c>
      <c r="G2761" s="6">
        <v>0</v>
      </c>
      <c r="H2761" s="6">
        <v>19</v>
      </c>
    </row>
    <row r="2762" spans="1:8" ht="18.95" customHeight="1">
      <c r="A2762" s="4">
        <v>2758</v>
      </c>
      <c r="B2762" s="4">
        <v>75448</v>
      </c>
      <c r="C2762" s="4">
        <v>1</v>
      </c>
      <c r="D2762" s="6">
        <v>0</v>
      </c>
      <c r="E2762" s="6">
        <v>-103.69</v>
      </c>
      <c r="F2762" s="6">
        <v>0</v>
      </c>
      <c r="G2762" s="6">
        <v>0.02</v>
      </c>
      <c r="H2762" s="6">
        <v>19</v>
      </c>
    </row>
    <row r="2763" spans="1:8" ht="18.95" customHeight="1">
      <c r="A2763" s="4">
        <v>2759</v>
      </c>
      <c r="B2763" s="4">
        <v>75468</v>
      </c>
      <c r="C2763" s="4">
        <v>1</v>
      </c>
      <c r="D2763" s="6">
        <v>0</v>
      </c>
      <c r="E2763" s="6">
        <v>-103.69</v>
      </c>
      <c r="F2763" s="6">
        <v>0</v>
      </c>
      <c r="G2763" s="6">
        <v>-0.01</v>
      </c>
      <c r="H2763" s="6">
        <v>19</v>
      </c>
    </row>
    <row r="2764" spans="1:8" ht="18.95" customHeight="1">
      <c r="A2764" s="4">
        <v>2760</v>
      </c>
      <c r="B2764" s="4">
        <v>75488</v>
      </c>
      <c r="C2764" s="4">
        <v>1</v>
      </c>
      <c r="D2764" s="6">
        <v>0</v>
      </c>
      <c r="E2764" s="6">
        <v>-103.69</v>
      </c>
      <c r="F2764" s="6">
        <v>0</v>
      </c>
      <c r="G2764" s="6">
        <v>0</v>
      </c>
      <c r="H2764" s="6">
        <v>17</v>
      </c>
    </row>
    <row r="2765" spans="1:8" ht="18.95" customHeight="1">
      <c r="A2765" s="4">
        <v>2761</v>
      </c>
      <c r="B2765" s="4">
        <v>75508</v>
      </c>
      <c r="C2765" s="4">
        <v>1</v>
      </c>
      <c r="D2765" s="6">
        <v>0</v>
      </c>
      <c r="E2765" s="6">
        <v>-103.69</v>
      </c>
      <c r="F2765" s="6">
        <v>0</v>
      </c>
      <c r="G2765" s="6">
        <v>0</v>
      </c>
      <c r="H2765" s="6">
        <v>17</v>
      </c>
    </row>
    <row r="2766" spans="1:8" ht="18.95" customHeight="1">
      <c r="A2766" s="4">
        <v>2762</v>
      </c>
      <c r="B2766" s="4">
        <v>75528</v>
      </c>
      <c r="C2766" s="4">
        <v>1</v>
      </c>
      <c r="D2766" s="6">
        <v>0</v>
      </c>
      <c r="E2766" s="6">
        <v>-103.69</v>
      </c>
      <c r="F2766" s="6">
        <v>0</v>
      </c>
      <c r="G2766" s="6">
        <v>0</v>
      </c>
      <c r="H2766" s="6">
        <v>16</v>
      </c>
    </row>
    <row r="2767" spans="1:8" ht="18.95" customHeight="1">
      <c r="A2767" s="4">
        <v>2763</v>
      </c>
      <c r="B2767" s="4">
        <v>75548</v>
      </c>
      <c r="C2767" s="4">
        <v>1</v>
      </c>
      <c r="D2767" s="6">
        <v>0</v>
      </c>
      <c r="E2767" s="6">
        <v>-103.69</v>
      </c>
      <c r="F2767" s="6">
        <v>0</v>
      </c>
      <c r="G2767" s="6">
        <v>0.06</v>
      </c>
      <c r="H2767" s="6">
        <v>16</v>
      </c>
    </row>
    <row r="2768" spans="1:8" ht="18.95" customHeight="1">
      <c r="A2768" s="4">
        <v>2764</v>
      </c>
      <c r="B2768" s="4">
        <v>75568</v>
      </c>
      <c r="C2768" s="4">
        <v>1</v>
      </c>
      <c r="D2768" s="6">
        <v>0</v>
      </c>
      <c r="E2768" s="6">
        <v>-103.69</v>
      </c>
      <c r="F2768" s="6">
        <v>0</v>
      </c>
      <c r="G2768" s="6">
        <v>-0.02</v>
      </c>
      <c r="H2768" s="6">
        <v>16</v>
      </c>
    </row>
    <row r="2769" spans="1:8" ht="18.95" customHeight="1">
      <c r="A2769" s="4">
        <v>2765</v>
      </c>
      <c r="B2769" s="4">
        <v>75588</v>
      </c>
      <c r="C2769" s="4">
        <v>1</v>
      </c>
      <c r="D2769" s="6">
        <v>0</v>
      </c>
      <c r="E2769" s="6">
        <v>-103.69</v>
      </c>
      <c r="F2769" s="6">
        <v>0</v>
      </c>
      <c r="G2769" s="6">
        <v>-0.02</v>
      </c>
      <c r="H2769" s="6">
        <v>17</v>
      </c>
    </row>
    <row r="2770" spans="1:8" ht="18.95" customHeight="1">
      <c r="A2770" s="4">
        <v>2766</v>
      </c>
      <c r="B2770" s="4">
        <v>75608</v>
      </c>
      <c r="C2770" s="4">
        <v>1</v>
      </c>
      <c r="D2770" s="6">
        <v>0</v>
      </c>
      <c r="E2770" s="6">
        <v>-103.69</v>
      </c>
      <c r="F2770" s="6">
        <v>0</v>
      </c>
      <c r="G2770" s="6">
        <v>-0.03</v>
      </c>
      <c r="H2770" s="6">
        <v>17</v>
      </c>
    </row>
    <row r="2771" spans="1:8" ht="18.95" customHeight="1">
      <c r="A2771" s="4">
        <v>2767</v>
      </c>
      <c r="B2771" s="4">
        <v>75628</v>
      </c>
      <c r="C2771" s="4">
        <v>1</v>
      </c>
      <c r="D2771" s="6">
        <v>0</v>
      </c>
      <c r="E2771" s="6">
        <v>-103.69</v>
      </c>
      <c r="F2771" s="6">
        <v>0</v>
      </c>
      <c r="G2771" s="6">
        <v>0</v>
      </c>
      <c r="H2771" s="6">
        <v>17</v>
      </c>
    </row>
    <row r="2772" spans="1:8" ht="18.95" customHeight="1">
      <c r="A2772" s="4">
        <v>2768</v>
      </c>
      <c r="B2772" s="4">
        <v>75648</v>
      </c>
      <c r="C2772" s="4">
        <v>1</v>
      </c>
      <c r="D2772" s="6">
        <v>0</v>
      </c>
      <c r="E2772" s="6">
        <v>-103.69</v>
      </c>
      <c r="F2772" s="6">
        <v>0</v>
      </c>
      <c r="G2772" s="6">
        <v>0.05</v>
      </c>
      <c r="H2772" s="6">
        <v>17</v>
      </c>
    </row>
    <row r="2773" spans="1:8" ht="18.95" customHeight="1">
      <c r="A2773" s="4">
        <v>2769</v>
      </c>
      <c r="B2773" s="4">
        <v>75668</v>
      </c>
      <c r="C2773" s="4">
        <v>1</v>
      </c>
      <c r="D2773" s="6">
        <v>0</v>
      </c>
      <c r="E2773" s="6">
        <v>-103.69</v>
      </c>
      <c r="F2773" s="6">
        <v>0</v>
      </c>
      <c r="G2773" s="6">
        <v>0</v>
      </c>
      <c r="H2773" s="6">
        <v>17</v>
      </c>
    </row>
    <row r="2774" spans="1:8" ht="18.95" customHeight="1">
      <c r="A2774" s="4">
        <v>2770</v>
      </c>
      <c r="B2774" s="4">
        <v>75688</v>
      </c>
      <c r="C2774" s="4">
        <v>1</v>
      </c>
      <c r="D2774" s="6">
        <v>0</v>
      </c>
      <c r="E2774" s="6">
        <v>-103.69</v>
      </c>
      <c r="F2774" s="6">
        <v>0</v>
      </c>
      <c r="G2774" s="6">
        <v>0</v>
      </c>
      <c r="H2774" s="6">
        <v>18</v>
      </c>
    </row>
    <row r="2775" spans="1:8" ht="18.95" customHeight="1">
      <c r="A2775" s="4">
        <v>2771</v>
      </c>
      <c r="B2775" s="4">
        <v>75708</v>
      </c>
      <c r="C2775" s="4">
        <v>1</v>
      </c>
      <c r="D2775" s="6">
        <v>0</v>
      </c>
      <c r="E2775" s="6">
        <v>-103.69</v>
      </c>
      <c r="F2775" s="6">
        <v>0</v>
      </c>
      <c r="G2775" s="6">
        <v>0.03</v>
      </c>
      <c r="H2775" s="6">
        <v>18</v>
      </c>
    </row>
    <row r="2776" spans="1:8" ht="18.95" customHeight="1">
      <c r="A2776" s="4">
        <v>2772</v>
      </c>
      <c r="B2776" s="4">
        <v>75728</v>
      </c>
      <c r="C2776" s="4">
        <v>1</v>
      </c>
      <c r="D2776" s="6">
        <v>0</v>
      </c>
      <c r="E2776" s="6">
        <v>-103.69</v>
      </c>
      <c r="F2776" s="6">
        <v>0</v>
      </c>
      <c r="G2776" s="6">
        <v>0</v>
      </c>
      <c r="H2776" s="6">
        <v>18</v>
      </c>
    </row>
    <row r="2777" spans="1:8" ht="18.95" customHeight="1">
      <c r="A2777" s="4">
        <v>2773</v>
      </c>
      <c r="B2777" s="4">
        <v>75748</v>
      </c>
      <c r="C2777" s="4">
        <v>1</v>
      </c>
      <c r="D2777" s="6">
        <v>0</v>
      </c>
      <c r="E2777" s="6">
        <v>-103.69</v>
      </c>
      <c r="F2777" s="6">
        <v>0</v>
      </c>
      <c r="G2777" s="6">
        <v>0.02</v>
      </c>
      <c r="H2777" s="6">
        <v>18</v>
      </c>
    </row>
    <row r="2778" spans="1:8" ht="18.95" customHeight="1">
      <c r="A2778" s="4">
        <v>2774</v>
      </c>
      <c r="B2778" s="4">
        <v>75768</v>
      </c>
      <c r="C2778" s="4">
        <v>1</v>
      </c>
      <c r="D2778" s="6">
        <v>0</v>
      </c>
      <c r="E2778" s="6">
        <v>-103.69</v>
      </c>
      <c r="F2778" s="6">
        <v>0</v>
      </c>
      <c r="G2778" s="6">
        <v>0</v>
      </c>
      <c r="H2778" s="6">
        <v>18</v>
      </c>
    </row>
    <row r="2779" spans="1:8" ht="18.95" customHeight="1">
      <c r="A2779" s="4">
        <v>2775</v>
      </c>
      <c r="B2779" s="4">
        <v>75788</v>
      </c>
      <c r="C2779" s="4">
        <v>1</v>
      </c>
      <c r="D2779" s="6">
        <v>0</v>
      </c>
      <c r="E2779" s="6">
        <v>-103.69</v>
      </c>
      <c r="F2779" s="6">
        <v>0</v>
      </c>
      <c r="G2779" s="6">
        <v>0.01</v>
      </c>
      <c r="H2779" s="6">
        <v>18</v>
      </c>
    </row>
    <row r="2780" spans="1:8" ht="18.95" customHeight="1">
      <c r="A2780" s="4">
        <v>2776</v>
      </c>
      <c r="B2780" s="4">
        <v>75808</v>
      </c>
      <c r="C2780" s="4">
        <v>1</v>
      </c>
      <c r="D2780" s="6">
        <v>0</v>
      </c>
      <c r="E2780" s="6">
        <v>-103.69</v>
      </c>
      <c r="F2780" s="6">
        <v>0</v>
      </c>
      <c r="G2780" s="6">
        <v>0.01</v>
      </c>
      <c r="H2780" s="6">
        <v>18</v>
      </c>
    </row>
    <row r="2781" spans="1:8" ht="18.95" customHeight="1">
      <c r="A2781" s="4">
        <v>2777</v>
      </c>
      <c r="B2781" s="4">
        <v>75829</v>
      </c>
      <c r="C2781" s="4">
        <v>1</v>
      </c>
      <c r="D2781" s="6">
        <v>0</v>
      </c>
      <c r="E2781" s="6">
        <v>-103.69</v>
      </c>
      <c r="F2781" s="6">
        <v>0</v>
      </c>
      <c r="G2781" s="6">
        <v>0.02</v>
      </c>
      <c r="H2781" s="6">
        <v>17</v>
      </c>
    </row>
    <row r="2782" spans="1:8" ht="18.95" customHeight="1">
      <c r="A2782" s="4">
        <v>2778</v>
      </c>
      <c r="B2782" s="4">
        <v>75849</v>
      </c>
      <c r="C2782" s="4">
        <v>1</v>
      </c>
      <c r="D2782" s="6">
        <v>0</v>
      </c>
      <c r="E2782" s="6">
        <v>-103.69</v>
      </c>
      <c r="F2782" s="6">
        <v>0</v>
      </c>
      <c r="G2782" s="6">
        <v>0.01</v>
      </c>
      <c r="H2782" s="6">
        <v>17</v>
      </c>
    </row>
    <row r="2783" spans="1:8" ht="18.95" customHeight="1">
      <c r="A2783" s="4">
        <v>2779</v>
      </c>
      <c r="B2783" s="4">
        <v>75869</v>
      </c>
      <c r="C2783" s="4">
        <v>1</v>
      </c>
      <c r="D2783" s="6">
        <v>0</v>
      </c>
      <c r="E2783" s="6">
        <v>-103.69</v>
      </c>
      <c r="F2783" s="6">
        <v>0</v>
      </c>
      <c r="G2783" s="6">
        <v>0.02</v>
      </c>
      <c r="H2783" s="6">
        <v>17</v>
      </c>
    </row>
    <row r="2784" spans="1:8" ht="18.95" customHeight="1">
      <c r="A2784" s="4">
        <v>2780</v>
      </c>
      <c r="B2784" s="4">
        <v>75889</v>
      </c>
      <c r="C2784" s="4">
        <v>1</v>
      </c>
      <c r="D2784" s="6">
        <v>0</v>
      </c>
      <c r="E2784" s="6">
        <v>-103.69</v>
      </c>
      <c r="F2784" s="6">
        <v>0</v>
      </c>
      <c r="G2784" s="6">
        <v>0</v>
      </c>
      <c r="H2784" s="6">
        <v>18</v>
      </c>
    </row>
    <row r="2785" spans="1:8" ht="18.95" customHeight="1">
      <c r="A2785" s="4">
        <v>2781</v>
      </c>
      <c r="B2785" s="4">
        <v>75909</v>
      </c>
      <c r="C2785" s="4">
        <v>1</v>
      </c>
      <c r="D2785" s="6">
        <v>0</v>
      </c>
      <c r="E2785" s="6">
        <v>-103.69</v>
      </c>
      <c r="F2785" s="6">
        <v>0</v>
      </c>
      <c r="G2785" s="6">
        <v>0.01</v>
      </c>
      <c r="H2785" s="6">
        <v>18</v>
      </c>
    </row>
    <row r="2786" spans="1:8" ht="18.95" customHeight="1">
      <c r="A2786" s="4">
        <v>2782</v>
      </c>
      <c r="B2786" s="4">
        <v>75929</v>
      </c>
      <c r="C2786" s="4">
        <v>1</v>
      </c>
      <c r="D2786" s="6">
        <v>0</v>
      </c>
      <c r="E2786" s="6">
        <v>-103.69</v>
      </c>
      <c r="F2786" s="6">
        <v>0</v>
      </c>
      <c r="G2786" s="6">
        <v>0.01</v>
      </c>
      <c r="H2786" s="6">
        <v>18</v>
      </c>
    </row>
    <row r="2787" spans="1:8" ht="18.95" customHeight="1">
      <c r="A2787" s="4">
        <v>2783</v>
      </c>
      <c r="B2787" s="4">
        <v>75949</v>
      </c>
      <c r="C2787" s="4">
        <v>1</v>
      </c>
      <c r="D2787" s="6">
        <v>0</v>
      </c>
      <c r="E2787" s="6">
        <v>-103.69</v>
      </c>
      <c r="F2787" s="6">
        <v>0</v>
      </c>
      <c r="G2787" s="6">
        <v>0.04</v>
      </c>
      <c r="H2787" s="6">
        <v>18</v>
      </c>
    </row>
    <row r="2788" spans="1:8" ht="18.95" customHeight="1">
      <c r="A2788" s="4">
        <v>2784</v>
      </c>
      <c r="B2788" s="4">
        <v>75969</v>
      </c>
      <c r="C2788" s="4">
        <v>1</v>
      </c>
      <c r="D2788" s="6">
        <v>0</v>
      </c>
      <c r="E2788" s="6">
        <v>-103.69</v>
      </c>
      <c r="F2788" s="6">
        <v>0</v>
      </c>
      <c r="G2788" s="6">
        <v>-0.01</v>
      </c>
      <c r="H2788" s="6">
        <v>18</v>
      </c>
    </row>
    <row r="2789" spans="1:8" ht="18.95" customHeight="1">
      <c r="A2789" s="4">
        <v>2785</v>
      </c>
      <c r="B2789" s="4">
        <v>75990</v>
      </c>
      <c r="C2789" s="4">
        <v>1</v>
      </c>
      <c r="D2789" s="6">
        <v>0</v>
      </c>
      <c r="E2789" s="6">
        <v>-103.69</v>
      </c>
      <c r="F2789" s="6">
        <v>0</v>
      </c>
      <c r="G2789" s="6">
        <v>0.05</v>
      </c>
      <c r="H2789" s="6">
        <v>18</v>
      </c>
    </row>
    <row r="2790" spans="1:8" ht="18.95" customHeight="1">
      <c r="A2790" s="4">
        <v>2786</v>
      </c>
      <c r="B2790" s="4">
        <v>76010</v>
      </c>
      <c r="C2790" s="4">
        <v>1</v>
      </c>
      <c r="D2790" s="6">
        <v>0</v>
      </c>
      <c r="E2790" s="6">
        <v>-103.69</v>
      </c>
      <c r="F2790" s="6">
        <v>0</v>
      </c>
      <c r="G2790" s="6">
        <v>-0.01</v>
      </c>
      <c r="H2790" s="6">
        <v>18</v>
      </c>
    </row>
    <row r="2791" spans="1:8" ht="18.95" customHeight="1">
      <c r="A2791" s="4">
        <v>2787</v>
      </c>
      <c r="B2791" s="4">
        <v>76030</v>
      </c>
      <c r="C2791" s="4">
        <v>1</v>
      </c>
      <c r="D2791" s="6">
        <v>0</v>
      </c>
      <c r="E2791" s="6">
        <v>-103.69</v>
      </c>
      <c r="F2791" s="6">
        <v>0</v>
      </c>
      <c r="G2791" s="6">
        <v>0.02</v>
      </c>
      <c r="H2791" s="6">
        <v>16</v>
      </c>
    </row>
    <row r="2792" spans="1:8" ht="18.95" customHeight="1">
      <c r="A2792" s="4">
        <v>2788</v>
      </c>
      <c r="B2792" s="4">
        <v>76050</v>
      </c>
      <c r="C2792" s="4">
        <v>1</v>
      </c>
      <c r="D2792" s="6">
        <v>0</v>
      </c>
      <c r="E2792" s="6">
        <v>-103.69</v>
      </c>
      <c r="F2792" s="6">
        <v>0</v>
      </c>
      <c r="G2792" s="6">
        <v>0.01</v>
      </c>
      <c r="H2792" s="6">
        <v>16</v>
      </c>
    </row>
    <row r="2793" spans="1:8" ht="18.95" customHeight="1">
      <c r="A2793" s="4">
        <v>2789</v>
      </c>
      <c r="B2793" s="4">
        <v>76070</v>
      </c>
      <c r="C2793" s="4">
        <v>1</v>
      </c>
      <c r="D2793" s="6">
        <v>0</v>
      </c>
      <c r="E2793" s="6">
        <v>-103.69</v>
      </c>
      <c r="F2793" s="6">
        <v>0</v>
      </c>
      <c r="G2793" s="6">
        <v>0.04</v>
      </c>
      <c r="H2793" s="6">
        <v>16</v>
      </c>
    </row>
    <row r="2794" spans="1:8" ht="18.95" customHeight="1">
      <c r="A2794" s="4">
        <v>2790</v>
      </c>
      <c r="B2794" s="4">
        <v>76090</v>
      </c>
      <c r="C2794" s="4">
        <v>1</v>
      </c>
      <c r="D2794" s="6">
        <v>0</v>
      </c>
      <c r="E2794" s="6">
        <v>-103.69</v>
      </c>
      <c r="F2794" s="6">
        <v>0</v>
      </c>
      <c r="G2794" s="6">
        <v>0.04</v>
      </c>
      <c r="H2794" s="6">
        <v>18</v>
      </c>
    </row>
    <row r="2795" spans="1:8" ht="18.95" customHeight="1">
      <c r="A2795" s="4">
        <v>2791</v>
      </c>
      <c r="B2795" s="4">
        <v>76110</v>
      </c>
      <c r="C2795" s="4">
        <v>1</v>
      </c>
      <c r="D2795" s="6">
        <v>0</v>
      </c>
      <c r="E2795" s="6">
        <v>-103.69</v>
      </c>
      <c r="F2795" s="6">
        <v>0</v>
      </c>
      <c r="G2795" s="6">
        <v>0.06</v>
      </c>
      <c r="H2795" s="6">
        <v>18</v>
      </c>
    </row>
    <row r="2796" spans="1:8" ht="18.95" customHeight="1">
      <c r="A2796" s="4">
        <v>2792</v>
      </c>
      <c r="B2796" s="4">
        <v>76130</v>
      </c>
      <c r="C2796" s="4">
        <v>1</v>
      </c>
      <c r="D2796" s="6">
        <v>0</v>
      </c>
      <c r="E2796" s="6">
        <v>-103.69</v>
      </c>
      <c r="F2796" s="6">
        <v>0</v>
      </c>
      <c r="G2796" s="6">
        <v>-0.01</v>
      </c>
      <c r="H2796" s="6">
        <v>17</v>
      </c>
    </row>
    <row r="2797" spans="1:8" ht="18.95" customHeight="1">
      <c r="A2797" s="4">
        <v>2793</v>
      </c>
      <c r="B2797" s="4">
        <v>76150</v>
      </c>
      <c r="C2797" s="4">
        <v>1</v>
      </c>
      <c r="D2797" s="6">
        <v>0</v>
      </c>
      <c r="E2797" s="6">
        <v>-103.69</v>
      </c>
      <c r="F2797" s="6">
        <v>0</v>
      </c>
      <c r="G2797" s="6">
        <v>0</v>
      </c>
      <c r="H2797" s="6">
        <v>17</v>
      </c>
    </row>
    <row r="2798" spans="1:8" ht="18.95" customHeight="1">
      <c r="A2798" s="4">
        <v>2794</v>
      </c>
      <c r="B2798" s="4">
        <v>76170</v>
      </c>
      <c r="C2798" s="4">
        <v>1</v>
      </c>
      <c r="D2798" s="6">
        <v>0</v>
      </c>
      <c r="E2798" s="6">
        <v>-103.69</v>
      </c>
      <c r="F2798" s="6">
        <v>0</v>
      </c>
      <c r="G2798" s="6">
        <v>0</v>
      </c>
      <c r="H2798" s="6">
        <v>17</v>
      </c>
    </row>
    <row r="2799" spans="1:8" ht="18.95" customHeight="1">
      <c r="A2799" s="4">
        <v>2795</v>
      </c>
      <c r="B2799" s="4">
        <v>76190</v>
      </c>
      <c r="C2799" s="4">
        <v>1</v>
      </c>
      <c r="D2799" s="6">
        <v>0</v>
      </c>
      <c r="E2799" s="6">
        <v>-103.69</v>
      </c>
      <c r="F2799" s="6">
        <v>0</v>
      </c>
      <c r="G2799" s="6">
        <v>0.01</v>
      </c>
      <c r="H2799" s="6">
        <v>18</v>
      </c>
    </row>
    <row r="2800" spans="1:8" ht="18.95" customHeight="1">
      <c r="A2800" s="4">
        <v>2796</v>
      </c>
      <c r="B2800" s="4">
        <v>76210</v>
      </c>
      <c r="C2800" s="4">
        <v>1</v>
      </c>
      <c r="D2800" s="6">
        <v>0</v>
      </c>
      <c r="E2800" s="6">
        <v>-103.69</v>
      </c>
      <c r="F2800" s="6">
        <v>0</v>
      </c>
      <c r="G2800" s="6">
        <v>-0.01</v>
      </c>
      <c r="H2800" s="6">
        <v>18</v>
      </c>
    </row>
    <row r="2801" spans="1:8" ht="18.95" customHeight="1">
      <c r="A2801" s="4">
        <v>2797</v>
      </c>
      <c r="B2801" s="4">
        <v>76230</v>
      </c>
      <c r="C2801" s="4">
        <v>1</v>
      </c>
      <c r="D2801" s="6">
        <v>0</v>
      </c>
      <c r="E2801" s="6">
        <v>-103.69</v>
      </c>
      <c r="F2801" s="6">
        <v>0</v>
      </c>
      <c r="G2801" s="6">
        <v>0.08</v>
      </c>
      <c r="H2801" s="6">
        <v>19</v>
      </c>
    </row>
    <row r="2802" spans="1:8" ht="18.95" customHeight="1">
      <c r="A2802" s="4">
        <v>2798</v>
      </c>
      <c r="B2802" s="4">
        <v>76250</v>
      </c>
      <c r="C2802" s="4">
        <v>1</v>
      </c>
      <c r="D2802" s="6">
        <v>0</v>
      </c>
      <c r="E2802" s="6">
        <v>-103.69</v>
      </c>
      <c r="F2802" s="6">
        <v>0</v>
      </c>
      <c r="G2802" s="6">
        <v>0.06</v>
      </c>
      <c r="H2802" s="6">
        <v>19</v>
      </c>
    </row>
    <row r="2803" spans="1:8" ht="18.95" customHeight="1">
      <c r="A2803" s="4">
        <v>2799</v>
      </c>
      <c r="B2803" s="4">
        <v>76270</v>
      </c>
      <c r="C2803" s="4">
        <v>1</v>
      </c>
      <c r="D2803" s="6">
        <v>0</v>
      </c>
      <c r="E2803" s="6">
        <v>-103.69</v>
      </c>
      <c r="F2803" s="6">
        <v>0</v>
      </c>
      <c r="G2803" s="6">
        <v>0</v>
      </c>
      <c r="H2803" s="6">
        <v>19</v>
      </c>
    </row>
    <row r="2804" spans="1:8" ht="18.95" customHeight="1">
      <c r="A2804" s="4">
        <v>2800</v>
      </c>
      <c r="B2804" s="4">
        <v>76290</v>
      </c>
      <c r="C2804" s="4">
        <v>1</v>
      </c>
      <c r="D2804" s="6">
        <v>0</v>
      </c>
      <c r="E2804" s="6">
        <v>-103.69</v>
      </c>
      <c r="F2804" s="6">
        <v>0</v>
      </c>
      <c r="G2804" s="6">
        <v>0</v>
      </c>
      <c r="H2804" s="6">
        <v>17</v>
      </c>
    </row>
    <row r="2805" spans="1:8" ht="18.95" customHeight="1">
      <c r="A2805" s="4">
        <v>2801</v>
      </c>
      <c r="B2805" s="4">
        <v>76310</v>
      </c>
      <c r="C2805" s="4">
        <v>1</v>
      </c>
      <c r="D2805" s="6">
        <v>0</v>
      </c>
      <c r="E2805" s="6">
        <v>-103.69</v>
      </c>
      <c r="F2805" s="6">
        <v>0</v>
      </c>
      <c r="G2805" s="6">
        <v>-0.02</v>
      </c>
      <c r="H2805" s="6">
        <v>17</v>
      </c>
    </row>
    <row r="2806" spans="1:8" ht="18.95" customHeight="1">
      <c r="A2806" s="4">
        <v>2802</v>
      </c>
      <c r="B2806" s="4">
        <v>76331</v>
      </c>
      <c r="C2806" s="4">
        <v>1</v>
      </c>
      <c r="D2806" s="6">
        <v>0</v>
      </c>
      <c r="E2806" s="6">
        <v>-103.69</v>
      </c>
      <c r="F2806" s="6">
        <v>0</v>
      </c>
      <c r="G2806" s="6">
        <v>0.05</v>
      </c>
      <c r="H2806" s="6">
        <v>17</v>
      </c>
    </row>
    <row r="2807" spans="1:8" ht="18.95" customHeight="1">
      <c r="A2807" s="4">
        <v>2803</v>
      </c>
      <c r="B2807" s="4">
        <v>76351</v>
      </c>
      <c r="C2807" s="4">
        <v>1</v>
      </c>
      <c r="D2807" s="6">
        <v>0</v>
      </c>
      <c r="E2807" s="6">
        <v>-103.69</v>
      </c>
      <c r="F2807" s="6">
        <v>0</v>
      </c>
      <c r="G2807" s="6">
        <v>0</v>
      </c>
      <c r="H2807" s="6">
        <v>17</v>
      </c>
    </row>
    <row r="2808" spans="1:8" ht="18.95" customHeight="1">
      <c r="A2808" s="4">
        <v>2804</v>
      </c>
      <c r="B2808" s="4">
        <v>76371</v>
      </c>
      <c r="C2808" s="4">
        <v>1</v>
      </c>
      <c r="D2808" s="6">
        <v>0</v>
      </c>
      <c r="E2808" s="6">
        <v>-103.69</v>
      </c>
      <c r="F2808" s="6">
        <v>0</v>
      </c>
      <c r="G2808" s="6">
        <v>0.02</v>
      </c>
      <c r="H2808" s="6">
        <v>17</v>
      </c>
    </row>
    <row r="2809" spans="1:8" ht="18.95" customHeight="1">
      <c r="A2809" s="4">
        <v>2805</v>
      </c>
      <c r="B2809" s="4">
        <v>76391</v>
      </c>
      <c r="C2809" s="4">
        <v>1</v>
      </c>
      <c r="D2809" s="6">
        <v>0</v>
      </c>
      <c r="E2809" s="6">
        <v>-103.69</v>
      </c>
      <c r="F2809" s="6">
        <v>0</v>
      </c>
      <c r="G2809" s="6">
        <v>-0.03</v>
      </c>
      <c r="H2809" s="6">
        <v>18</v>
      </c>
    </row>
    <row r="2810" spans="1:8" ht="18.95" customHeight="1">
      <c r="A2810" s="4">
        <v>2806</v>
      </c>
      <c r="B2810" s="4">
        <v>76411</v>
      </c>
      <c r="C2810" s="4">
        <v>1</v>
      </c>
      <c r="D2810" s="6">
        <v>0</v>
      </c>
      <c r="E2810" s="6">
        <v>-103.69</v>
      </c>
      <c r="F2810" s="6">
        <v>0</v>
      </c>
      <c r="G2810" s="6">
        <v>0</v>
      </c>
      <c r="H2810" s="6">
        <v>18</v>
      </c>
    </row>
    <row r="2811" spans="1:8" ht="18.95" customHeight="1">
      <c r="A2811" s="4">
        <v>2807</v>
      </c>
      <c r="B2811" s="4">
        <v>76431</v>
      </c>
      <c r="C2811" s="4">
        <v>1</v>
      </c>
      <c r="D2811" s="6">
        <v>0</v>
      </c>
      <c r="E2811" s="6">
        <v>-103.69</v>
      </c>
      <c r="F2811" s="6">
        <v>0</v>
      </c>
      <c r="G2811" s="6">
        <v>-0.02</v>
      </c>
      <c r="H2811" s="6">
        <v>17</v>
      </c>
    </row>
    <row r="2812" spans="1:8" ht="18.95" customHeight="1">
      <c r="A2812" s="4">
        <v>2808</v>
      </c>
      <c r="B2812" s="4">
        <v>76451</v>
      </c>
      <c r="C2812" s="4">
        <v>1</v>
      </c>
      <c r="D2812" s="6">
        <v>0</v>
      </c>
      <c r="E2812" s="6">
        <v>-103.69</v>
      </c>
      <c r="F2812" s="6">
        <v>0</v>
      </c>
      <c r="G2812" s="6">
        <v>0.01</v>
      </c>
      <c r="H2812" s="6">
        <v>17</v>
      </c>
    </row>
    <row r="2813" spans="1:8" ht="18.95" customHeight="1">
      <c r="A2813" s="4">
        <v>2809</v>
      </c>
      <c r="B2813" s="4">
        <v>76471</v>
      </c>
      <c r="C2813" s="4">
        <v>1</v>
      </c>
      <c r="D2813" s="6">
        <v>0</v>
      </c>
      <c r="E2813" s="6">
        <v>-103.69</v>
      </c>
      <c r="F2813" s="6">
        <v>0</v>
      </c>
      <c r="G2813" s="6">
        <v>0.06</v>
      </c>
      <c r="H2813" s="6">
        <v>17</v>
      </c>
    </row>
    <row r="2814" spans="1:8" ht="18.95" customHeight="1">
      <c r="A2814" s="4">
        <v>2810</v>
      </c>
      <c r="B2814" s="4">
        <v>76491</v>
      </c>
      <c r="C2814" s="4">
        <v>1</v>
      </c>
      <c r="D2814" s="6">
        <v>0</v>
      </c>
      <c r="E2814" s="6">
        <v>-103.69</v>
      </c>
      <c r="F2814" s="6">
        <v>0</v>
      </c>
      <c r="G2814" s="6">
        <v>0.01</v>
      </c>
      <c r="H2814" s="6">
        <v>18</v>
      </c>
    </row>
    <row r="2815" spans="1:8" ht="18.95" customHeight="1">
      <c r="A2815" s="4">
        <v>2811</v>
      </c>
      <c r="B2815" s="4">
        <v>76511</v>
      </c>
      <c r="C2815" s="4">
        <v>1</v>
      </c>
      <c r="D2815" s="6">
        <v>0</v>
      </c>
      <c r="E2815" s="6">
        <v>-103.69</v>
      </c>
      <c r="F2815" s="6">
        <v>0</v>
      </c>
      <c r="G2815" s="6">
        <v>-0.02</v>
      </c>
      <c r="H2815" s="6">
        <v>18</v>
      </c>
    </row>
    <row r="2816" spans="1:8" ht="18.95" customHeight="1">
      <c r="A2816" s="4">
        <v>2812</v>
      </c>
      <c r="B2816" s="4">
        <v>76531</v>
      </c>
      <c r="C2816" s="4">
        <v>1</v>
      </c>
      <c r="D2816" s="6">
        <v>0</v>
      </c>
      <c r="E2816" s="6">
        <v>-103.69</v>
      </c>
      <c r="F2816" s="6">
        <v>0</v>
      </c>
      <c r="G2816" s="6">
        <v>0</v>
      </c>
      <c r="H2816" s="6">
        <v>18</v>
      </c>
    </row>
    <row r="2817" spans="1:8" ht="18.95" customHeight="1">
      <c r="A2817" s="4">
        <v>2813</v>
      </c>
      <c r="B2817" s="4">
        <v>76551</v>
      </c>
      <c r="C2817" s="4">
        <v>1</v>
      </c>
      <c r="D2817" s="6">
        <v>0</v>
      </c>
      <c r="E2817" s="6">
        <v>-103.69</v>
      </c>
      <c r="F2817" s="6">
        <v>0</v>
      </c>
      <c r="G2817" s="6">
        <v>0.01</v>
      </c>
      <c r="H2817" s="6">
        <v>18</v>
      </c>
    </row>
    <row r="2818" spans="1:8" ht="18.95" customHeight="1">
      <c r="A2818" s="4">
        <v>2814</v>
      </c>
      <c r="B2818" s="4">
        <v>76571</v>
      </c>
      <c r="C2818" s="4">
        <v>1</v>
      </c>
      <c r="D2818" s="6">
        <v>0</v>
      </c>
      <c r="E2818" s="6">
        <v>-103.69</v>
      </c>
      <c r="F2818" s="6">
        <v>0</v>
      </c>
      <c r="G2818" s="6">
        <v>-0.05</v>
      </c>
      <c r="H2818" s="6">
        <v>18</v>
      </c>
    </row>
    <row r="2819" spans="1:8" ht="18.95" customHeight="1">
      <c r="A2819" s="4">
        <v>2815</v>
      </c>
      <c r="B2819" s="4">
        <v>76591</v>
      </c>
      <c r="C2819" s="4">
        <v>1</v>
      </c>
      <c r="D2819" s="6">
        <v>0</v>
      </c>
      <c r="E2819" s="6">
        <v>-103.69</v>
      </c>
      <c r="F2819" s="6">
        <v>0</v>
      </c>
      <c r="G2819" s="6">
        <v>0.01</v>
      </c>
      <c r="H2819" s="6">
        <v>17</v>
      </c>
    </row>
    <row r="2820" spans="1:8" ht="18.95" customHeight="1">
      <c r="A2820" s="4">
        <v>2816</v>
      </c>
      <c r="B2820" s="4">
        <v>76611</v>
      </c>
      <c r="C2820" s="4">
        <v>1</v>
      </c>
      <c r="D2820" s="6">
        <v>0</v>
      </c>
      <c r="E2820" s="6">
        <v>-103.69</v>
      </c>
      <c r="F2820" s="6">
        <v>0</v>
      </c>
      <c r="G2820" s="6">
        <v>0</v>
      </c>
      <c r="H2820" s="6">
        <v>17</v>
      </c>
    </row>
    <row r="2821" spans="1:8" ht="18.95" customHeight="1">
      <c r="A2821" s="4">
        <v>2817</v>
      </c>
      <c r="B2821" s="4">
        <v>76632</v>
      </c>
      <c r="C2821" s="4">
        <v>1</v>
      </c>
      <c r="D2821" s="6">
        <v>0</v>
      </c>
      <c r="E2821" s="6">
        <v>-103.69</v>
      </c>
      <c r="F2821" s="6">
        <v>0</v>
      </c>
      <c r="G2821" s="6">
        <v>0.04</v>
      </c>
      <c r="H2821" s="6">
        <v>18</v>
      </c>
    </row>
    <row r="2822" spans="1:8" ht="18.95" customHeight="1">
      <c r="A2822" s="4">
        <v>2818</v>
      </c>
      <c r="B2822" s="4">
        <v>76652</v>
      </c>
      <c r="C2822" s="4">
        <v>1</v>
      </c>
      <c r="D2822" s="6">
        <v>0</v>
      </c>
      <c r="E2822" s="6">
        <v>-103.69</v>
      </c>
      <c r="F2822" s="6">
        <v>0</v>
      </c>
      <c r="G2822" s="6">
        <v>0</v>
      </c>
      <c r="H2822" s="6">
        <v>18</v>
      </c>
    </row>
    <row r="2823" spans="1:8" ht="18.95" customHeight="1">
      <c r="A2823" s="4">
        <v>2819</v>
      </c>
      <c r="B2823" s="4">
        <v>76672</v>
      </c>
      <c r="C2823" s="4">
        <v>1</v>
      </c>
      <c r="D2823" s="6">
        <v>0</v>
      </c>
      <c r="E2823" s="6">
        <v>-103.69</v>
      </c>
      <c r="F2823" s="6">
        <v>0</v>
      </c>
      <c r="G2823" s="6">
        <v>0.02</v>
      </c>
      <c r="H2823" s="6">
        <v>18</v>
      </c>
    </row>
    <row r="2824" spans="1:8" ht="18.95" customHeight="1">
      <c r="A2824" s="4">
        <v>2820</v>
      </c>
      <c r="B2824" s="4">
        <v>76692</v>
      </c>
      <c r="C2824" s="4">
        <v>1</v>
      </c>
      <c r="D2824" s="6">
        <v>0</v>
      </c>
      <c r="E2824" s="6">
        <v>-103.69</v>
      </c>
      <c r="F2824" s="6">
        <v>0</v>
      </c>
      <c r="G2824" s="6">
        <v>0</v>
      </c>
      <c r="H2824" s="6">
        <v>18</v>
      </c>
    </row>
    <row r="2825" spans="1:8" ht="18.95" customHeight="1">
      <c r="A2825" s="4">
        <v>2821</v>
      </c>
      <c r="B2825" s="4">
        <v>76712</v>
      </c>
      <c r="C2825" s="4">
        <v>1</v>
      </c>
      <c r="D2825" s="6">
        <v>0</v>
      </c>
      <c r="E2825" s="6">
        <v>-103.69</v>
      </c>
      <c r="F2825" s="6">
        <v>0</v>
      </c>
      <c r="G2825" s="6">
        <v>-0.02</v>
      </c>
      <c r="H2825" s="6">
        <v>18</v>
      </c>
    </row>
    <row r="2826" spans="1:8" ht="18.95" customHeight="1">
      <c r="A2826" s="4">
        <v>2822</v>
      </c>
      <c r="B2826" s="4">
        <v>76732</v>
      </c>
      <c r="C2826" s="4">
        <v>1</v>
      </c>
      <c r="D2826" s="6">
        <v>0</v>
      </c>
      <c r="E2826" s="6">
        <v>-103.69</v>
      </c>
      <c r="F2826" s="6">
        <v>0</v>
      </c>
      <c r="G2826" s="6">
        <v>0</v>
      </c>
      <c r="H2826" s="6">
        <v>17</v>
      </c>
    </row>
    <row r="2827" spans="1:8" ht="18.95" customHeight="1">
      <c r="A2827" s="4">
        <v>2823</v>
      </c>
      <c r="B2827" s="4">
        <v>76752</v>
      </c>
      <c r="C2827" s="4">
        <v>1</v>
      </c>
      <c r="D2827" s="6">
        <v>0</v>
      </c>
      <c r="E2827" s="6">
        <v>-103.69</v>
      </c>
      <c r="F2827" s="6">
        <v>0</v>
      </c>
      <c r="G2827" s="6">
        <v>0.01</v>
      </c>
      <c r="H2827" s="6">
        <v>17</v>
      </c>
    </row>
    <row r="2828" spans="1:8" ht="18.95" customHeight="1">
      <c r="A2828" s="4">
        <v>2824</v>
      </c>
      <c r="B2828" s="4">
        <v>76772</v>
      </c>
      <c r="C2828" s="4">
        <v>1</v>
      </c>
      <c r="D2828" s="6">
        <v>0</v>
      </c>
      <c r="E2828" s="6">
        <v>-103.69</v>
      </c>
      <c r="F2828" s="6">
        <v>0</v>
      </c>
      <c r="G2828" s="6">
        <v>-0.01</v>
      </c>
      <c r="H2828" s="6">
        <v>17</v>
      </c>
    </row>
    <row r="2829" spans="1:8" ht="18.95" customHeight="1">
      <c r="A2829" s="4">
        <v>2825</v>
      </c>
      <c r="B2829" s="4">
        <v>76792</v>
      </c>
      <c r="C2829" s="4">
        <v>1</v>
      </c>
      <c r="D2829" s="6">
        <v>0</v>
      </c>
      <c r="E2829" s="6">
        <v>-103.69</v>
      </c>
      <c r="F2829" s="6">
        <v>0</v>
      </c>
      <c r="G2829" s="6">
        <v>0.03</v>
      </c>
      <c r="H2829" s="6">
        <v>18</v>
      </c>
    </row>
    <row r="2830" spans="1:8" ht="18.95" customHeight="1">
      <c r="A2830" s="4">
        <v>2826</v>
      </c>
      <c r="B2830" s="4">
        <v>76812</v>
      </c>
      <c r="C2830" s="4">
        <v>1</v>
      </c>
      <c r="D2830" s="6">
        <v>0</v>
      </c>
      <c r="E2830" s="6">
        <v>-103.69</v>
      </c>
      <c r="F2830" s="6">
        <v>0</v>
      </c>
      <c r="G2830" s="6">
        <v>-0.03</v>
      </c>
      <c r="H2830" s="6">
        <v>18</v>
      </c>
    </row>
    <row r="2831" spans="1:8" ht="18.95" customHeight="1">
      <c r="A2831" s="4">
        <v>2827</v>
      </c>
      <c r="B2831" s="4">
        <v>76832</v>
      </c>
      <c r="C2831" s="4">
        <v>1</v>
      </c>
      <c r="D2831" s="6">
        <v>0</v>
      </c>
      <c r="E2831" s="6">
        <v>-103.69</v>
      </c>
      <c r="F2831" s="6">
        <v>0</v>
      </c>
      <c r="G2831" s="6">
        <v>0.01</v>
      </c>
      <c r="H2831" s="6">
        <v>18</v>
      </c>
    </row>
    <row r="2832" spans="1:8" ht="18.95" customHeight="1">
      <c r="A2832" s="4">
        <v>2828</v>
      </c>
      <c r="B2832" s="4">
        <v>76852</v>
      </c>
      <c r="C2832" s="4">
        <v>1</v>
      </c>
      <c r="D2832" s="6">
        <v>0</v>
      </c>
      <c r="E2832" s="6">
        <v>-103.69</v>
      </c>
      <c r="F2832" s="6">
        <v>0</v>
      </c>
      <c r="G2832" s="6">
        <v>0.01</v>
      </c>
      <c r="H2832" s="6">
        <v>18</v>
      </c>
    </row>
    <row r="2833" spans="1:8" ht="18.95" customHeight="1">
      <c r="A2833" s="4">
        <v>2829</v>
      </c>
      <c r="B2833" s="4">
        <v>76872</v>
      </c>
      <c r="C2833" s="4">
        <v>1</v>
      </c>
      <c r="D2833" s="6">
        <v>0</v>
      </c>
      <c r="E2833" s="6">
        <v>-103.69</v>
      </c>
      <c r="F2833" s="6">
        <v>0</v>
      </c>
      <c r="G2833" s="6">
        <v>0</v>
      </c>
      <c r="H2833" s="6">
        <v>18</v>
      </c>
    </row>
    <row r="2834" spans="1:8" ht="18.95" customHeight="1">
      <c r="A2834" s="4">
        <v>2830</v>
      </c>
      <c r="B2834" s="4">
        <v>76892</v>
      </c>
      <c r="C2834" s="4">
        <v>1</v>
      </c>
      <c r="D2834" s="6">
        <v>0</v>
      </c>
      <c r="E2834" s="6">
        <v>-103.69</v>
      </c>
      <c r="F2834" s="6">
        <v>0</v>
      </c>
      <c r="G2834" s="6">
        <v>0.13</v>
      </c>
      <c r="H2834" s="6">
        <v>16</v>
      </c>
    </row>
    <row r="2835" spans="1:8" ht="18.95" customHeight="1">
      <c r="A2835" s="4">
        <v>2831</v>
      </c>
      <c r="B2835" s="4">
        <v>76912</v>
      </c>
      <c r="C2835" s="4">
        <v>1</v>
      </c>
      <c r="D2835" s="6">
        <v>0</v>
      </c>
      <c r="E2835" s="6">
        <v>-103.69</v>
      </c>
      <c r="F2835" s="6">
        <v>0</v>
      </c>
      <c r="G2835" s="6">
        <v>-0.02</v>
      </c>
      <c r="H2835" s="6">
        <v>16</v>
      </c>
    </row>
    <row r="2836" spans="1:8" ht="18.95" customHeight="1">
      <c r="A2836" s="4">
        <v>2832</v>
      </c>
      <c r="B2836" s="4">
        <v>76932</v>
      </c>
      <c r="C2836" s="4">
        <v>1</v>
      </c>
      <c r="D2836" s="6">
        <v>0</v>
      </c>
      <c r="E2836" s="6">
        <v>-103.69</v>
      </c>
      <c r="F2836" s="6">
        <v>0</v>
      </c>
      <c r="G2836" s="6">
        <v>0.03</v>
      </c>
      <c r="H2836" s="6">
        <v>18</v>
      </c>
    </row>
    <row r="2837" spans="1:8" ht="18.95" customHeight="1">
      <c r="A2837" s="4">
        <v>2833</v>
      </c>
      <c r="B2837" s="4">
        <v>76952</v>
      </c>
      <c r="C2837" s="4">
        <v>1</v>
      </c>
      <c r="D2837" s="6">
        <v>0</v>
      </c>
      <c r="E2837" s="6">
        <v>-103.69</v>
      </c>
      <c r="F2837" s="6">
        <v>0</v>
      </c>
      <c r="G2837" s="6">
        <v>0.03</v>
      </c>
      <c r="H2837" s="6">
        <v>18</v>
      </c>
    </row>
    <row r="2838" spans="1:8" ht="18.95" customHeight="1">
      <c r="A2838" s="4">
        <v>2834</v>
      </c>
      <c r="B2838" s="4">
        <v>76972</v>
      </c>
      <c r="C2838" s="4">
        <v>1</v>
      </c>
      <c r="D2838" s="6">
        <v>0</v>
      </c>
      <c r="E2838" s="6">
        <v>-103.69</v>
      </c>
      <c r="F2838" s="6">
        <v>0</v>
      </c>
      <c r="G2838" s="6">
        <v>0</v>
      </c>
      <c r="H2838" s="6">
        <v>18</v>
      </c>
    </row>
    <row r="2839" spans="1:8" ht="18.95" customHeight="1">
      <c r="A2839" s="4">
        <v>2835</v>
      </c>
      <c r="B2839" s="4">
        <v>76992</v>
      </c>
      <c r="C2839" s="4">
        <v>1</v>
      </c>
      <c r="D2839" s="6">
        <v>0</v>
      </c>
      <c r="E2839" s="6">
        <v>-103.69</v>
      </c>
      <c r="F2839" s="6">
        <v>0</v>
      </c>
      <c r="G2839" s="6">
        <v>-0.01</v>
      </c>
      <c r="H2839" s="6">
        <v>18</v>
      </c>
    </row>
    <row r="2840" spans="1:8" ht="18.95" customHeight="1">
      <c r="A2840" s="4">
        <v>2836</v>
      </c>
      <c r="B2840" s="4">
        <v>77012</v>
      </c>
      <c r="C2840" s="4">
        <v>1</v>
      </c>
      <c r="D2840" s="6">
        <v>0</v>
      </c>
      <c r="E2840" s="6">
        <v>-103.69</v>
      </c>
      <c r="F2840" s="6">
        <v>0</v>
      </c>
      <c r="G2840" s="6">
        <v>0</v>
      </c>
      <c r="H2840" s="6">
        <v>18</v>
      </c>
    </row>
    <row r="2841" spans="1:8" ht="18.95" customHeight="1">
      <c r="A2841" s="4">
        <v>2837</v>
      </c>
      <c r="B2841" s="4">
        <v>77032</v>
      </c>
      <c r="C2841" s="4">
        <v>1</v>
      </c>
      <c r="D2841" s="6">
        <v>0</v>
      </c>
      <c r="E2841" s="6">
        <v>-103.69</v>
      </c>
      <c r="F2841" s="6">
        <v>0</v>
      </c>
      <c r="G2841" s="6">
        <v>0</v>
      </c>
      <c r="H2841" s="6">
        <v>17</v>
      </c>
    </row>
    <row r="2842" spans="1:8" ht="18.95" customHeight="1">
      <c r="A2842" s="4">
        <v>2838</v>
      </c>
      <c r="B2842" s="4">
        <v>77052</v>
      </c>
      <c r="C2842" s="4">
        <v>1</v>
      </c>
      <c r="D2842" s="6">
        <v>0</v>
      </c>
      <c r="E2842" s="6">
        <v>-103.69</v>
      </c>
      <c r="F2842" s="6">
        <v>0</v>
      </c>
      <c r="G2842" s="6">
        <v>0.04</v>
      </c>
      <c r="H2842" s="6">
        <v>17</v>
      </c>
    </row>
    <row r="2843" spans="1:8" ht="18.95" customHeight="1">
      <c r="A2843" s="4">
        <v>2839</v>
      </c>
      <c r="B2843" s="4">
        <v>77072</v>
      </c>
      <c r="C2843" s="4">
        <v>1</v>
      </c>
      <c r="D2843" s="6">
        <v>0</v>
      </c>
      <c r="E2843" s="6">
        <v>-103.69</v>
      </c>
      <c r="F2843" s="6">
        <v>0</v>
      </c>
      <c r="G2843" s="6">
        <v>0</v>
      </c>
      <c r="H2843" s="6">
        <v>17</v>
      </c>
    </row>
    <row r="2844" spans="1:8" ht="18.95" customHeight="1">
      <c r="A2844" s="4">
        <v>2840</v>
      </c>
      <c r="B2844" s="4">
        <v>77092</v>
      </c>
      <c r="C2844" s="4">
        <v>1</v>
      </c>
      <c r="D2844" s="6">
        <v>0</v>
      </c>
      <c r="E2844" s="6">
        <v>-103.69</v>
      </c>
      <c r="F2844" s="6">
        <v>0</v>
      </c>
      <c r="G2844" s="6">
        <v>-0.02</v>
      </c>
      <c r="H2844" s="6">
        <v>18</v>
      </c>
    </row>
    <row r="2845" spans="1:8" ht="18.95" customHeight="1">
      <c r="A2845" s="4">
        <v>2841</v>
      </c>
      <c r="B2845" s="4">
        <v>77112</v>
      </c>
      <c r="C2845" s="4">
        <v>1</v>
      </c>
      <c r="D2845" s="6">
        <v>0</v>
      </c>
      <c r="E2845" s="6">
        <v>-103.69</v>
      </c>
      <c r="F2845" s="6">
        <v>0</v>
      </c>
      <c r="G2845" s="6">
        <v>0.06</v>
      </c>
      <c r="H2845" s="6">
        <v>18</v>
      </c>
    </row>
    <row r="2846" spans="1:8" ht="18.95" customHeight="1">
      <c r="A2846" s="4">
        <v>2842</v>
      </c>
      <c r="B2846" s="4">
        <v>77132</v>
      </c>
      <c r="C2846" s="4">
        <v>1</v>
      </c>
      <c r="D2846" s="6">
        <v>0</v>
      </c>
      <c r="E2846" s="6">
        <v>-103.69</v>
      </c>
      <c r="F2846" s="6">
        <v>0</v>
      </c>
      <c r="G2846" s="6">
        <v>0</v>
      </c>
      <c r="H2846" s="6">
        <v>18</v>
      </c>
    </row>
    <row r="2847" spans="1:8" ht="18.95" customHeight="1">
      <c r="A2847" s="4">
        <v>2843</v>
      </c>
      <c r="B2847" s="4">
        <v>77152</v>
      </c>
      <c r="C2847" s="4">
        <v>1</v>
      </c>
      <c r="D2847" s="6">
        <v>0</v>
      </c>
      <c r="E2847" s="6">
        <v>-103.69</v>
      </c>
      <c r="F2847" s="6">
        <v>0</v>
      </c>
      <c r="G2847" s="6">
        <v>0.01</v>
      </c>
      <c r="H2847" s="6">
        <v>18</v>
      </c>
    </row>
    <row r="2848" spans="1:8" ht="18.95" customHeight="1">
      <c r="A2848" s="4">
        <v>2844</v>
      </c>
      <c r="B2848" s="4">
        <v>77172</v>
      </c>
      <c r="C2848" s="4">
        <v>1</v>
      </c>
      <c r="D2848" s="6">
        <v>0</v>
      </c>
      <c r="E2848" s="6">
        <v>-103.69</v>
      </c>
      <c r="F2848" s="6">
        <v>0</v>
      </c>
      <c r="G2848" s="6">
        <v>0</v>
      </c>
      <c r="H2848" s="6">
        <v>18</v>
      </c>
    </row>
    <row r="2849" spans="1:8" ht="18.95" customHeight="1">
      <c r="A2849" s="4">
        <v>2845</v>
      </c>
      <c r="B2849" s="4">
        <v>77192</v>
      </c>
      <c r="C2849" s="4">
        <v>1</v>
      </c>
      <c r="D2849" s="6">
        <v>0</v>
      </c>
      <c r="E2849" s="6">
        <v>-103.69</v>
      </c>
      <c r="F2849" s="6">
        <v>0</v>
      </c>
      <c r="G2849" s="6">
        <v>-0.03</v>
      </c>
      <c r="H2849" s="6">
        <v>19</v>
      </c>
    </row>
    <row r="2850" spans="1:8" ht="18.95" customHeight="1">
      <c r="A2850" s="4">
        <v>2846</v>
      </c>
      <c r="B2850" s="4">
        <v>77212</v>
      </c>
      <c r="C2850" s="4">
        <v>1</v>
      </c>
      <c r="D2850" s="6">
        <v>0</v>
      </c>
      <c r="E2850" s="6">
        <v>-103.69</v>
      </c>
      <c r="F2850" s="6">
        <v>0</v>
      </c>
      <c r="G2850" s="6">
        <v>-0.01</v>
      </c>
      <c r="H2850" s="6">
        <v>19</v>
      </c>
    </row>
    <row r="2851" spans="1:8" ht="18.95" customHeight="1">
      <c r="A2851" s="4">
        <v>2847</v>
      </c>
      <c r="B2851" s="4">
        <v>77232</v>
      </c>
      <c r="C2851" s="4">
        <v>1</v>
      </c>
      <c r="D2851" s="6">
        <v>0</v>
      </c>
      <c r="E2851" s="6">
        <v>-103.69</v>
      </c>
      <c r="F2851" s="6">
        <v>0</v>
      </c>
      <c r="G2851" s="6">
        <v>0.03</v>
      </c>
      <c r="H2851" s="6">
        <v>18</v>
      </c>
    </row>
    <row r="2852" spans="1:8" ht="18.95" customHeight="1">
      <c r="A2852" s="4">
        <v>2848</v>
      </c>
      <c r="B2852" s="4">
        <v>77252</v>
      </c>
      <c r="C2852" s="4">
        <v>1</v>
      </c>
      <c r="D2852" s="6">
        <v>0</v>
      </c>
      <c r="E2852" s="6">
        <v>-103.69</v>
      </c>
      <c r="F2852" s="6">
        <v>0</v>
      </c>
      <c r="G2852" s="6">
        <v>-0.01</v>
      </c>
      <c r="H2852" s="6">
        <v>18</v>
      </c>
    </row>
    <row r="2853" spans="1:8" ht="18.95" customHeight="1">
      <c r="A2853" s="4">
        <v>2849</v>
      </c>
      <c r="B2853" s="4">
        <v>77272</v>
      </c>
      <c r="C2853" s="4">
        <v>1</v>
      </c>
      <c r="D2853" s="6">
        <v>0</v>
      </c>
      <c r="E2853" s="6">
        <v>-103.69</v>
      </c>
      <c r="F2853" s="6">
        <v>0</v>
      </c>
      <c r="G2853" s="6">
        <v>-0.03</v>
      </c>
      <c r="H2853" s="6">
        <v>18</v>
      </c>
    </row>
    <row r="2854" spans="1:8" ht="18.95" customHeight="1">
      <c r="A2854" s="4">
        <v>2850</v>
      </c>
      <c r="B2854" s="4">
        <v>77292</v>
      </c>
      <c r="C2854" s="4">
        <v>1</v>
      </c>
      <c r="D2854" s="6">
        <v>0</v>
      </c>
      <c r="E2854" s="6">
        <v>-103.69</v>
      </c>
      <c r="F2854" s="6">
        <v>0</v>
      </c>
      <c r="G2854" s="6">
        <v>0.01</v>
      </c>
      <c r="H2854" s="6">
        <v>17</v>
      </c>
    </row>
    <row r="2855" spans="1:8" ht="18.95" customHeight="1">
      <c r="A2855" s="4">
        <v>2851</v>
      </c>
      <c r="B2855" s="4">
        <v>77312</v>
      </c>
      <c r="C2855" s="4">
        <v>1</v>
      </c>
      <c r="D2855" s="6">
        <v>0</v>
      </c>
      <c r="E2855" s="6">
        <v>-103.69</v>
      </c>
      <c r="F2855" s="6">
        <v>0</v>
      </c>
      <c r="G2855" s="6">
        <v>0.01</v>
      </c>
      <c r="H2855" s="6">
        <v>17</v>
      </c>
    </row>
    <row r="2856" spans="1:8" ht="18.95" customHeight="1">
      <c r="A2856" s="4">
        <v>2852</v>
      </c>
      <c r="B2856" s="4">
        <v>77332</v>
      </c>
      <c r="C2856" s="4">
        <v>1</v>
      </c>
      <c r="D2856" s="6">
        <v>0</v>
      </c>
      <c r="E2856" s="6">
        <v>-103.69</v>
      </c>
      <c r="F2856" s="6">
        <v>0</v>
      </c>
      <c r="G2856" s="6">
        <v>0.04</v>
      </c>
      <c r="H2856" s="6">
        <v>16</v>
      </c>
    </row>
    <row r="2857" spans="1:8" ht="18.95" customHeight="1">
      <c r="A2857" s="4">
        <v>2853</v>
      </c>
      <c r="B2857" s="4">
        <v>77352</v>
      </c>
      <c r="C2857" s="4">
        <v>1</v>
      </c>
      <c r="D2857" s="6">
        <v>0</v>
      </c>
      <c r="E2857" s="6">
        <v>-103.69</v>
      </c>
      <c r="F2857" s="6">
        <v>0</v>
      </c>
      <c r="G2857" s="6">
        <v>0</v>
      </c>
      <c r="H2857" s="6">
        <v>16</v>
      </c>
    </row>
    <row r="2858" spans="1:8" ht="18.95" customHeight="1">
      <c r="A2858" s="4">
        <v>2854</v>
      </c>
      <c r="B2858" s="4">
        <v>77372</v>
      </c>
      <c r="C2858" s="4">
        <v>1</v>
      </c>
      <c r="D2858" s="6">
        <v>0</v>
      </c>
      <c r="E2858" s="6">
        <v>-103.69</v>
      </c>
      <c r="F2858" s="6">
        <v>0</v>
      </c>
      <c r="G2858" s="6">
        <v>0</v>
      </c>
      <c r="H2858" s="6">
        <v>16</v>
      </c>
    </row>
    <row r="2859" spans="1:8" ht="18.95" customHeight="1">
      <c r="A2859" s="4">
        <v>2855</v>
      </c>
      <c r="B2859" s="4">
        <v>77392</v>
      </c>
      <c r="C2859" s="4">
        <v>1</v>
      </c>
      <c r="D2859" s="6">
        <v>0</v>
      </c>
      <c r="E2859" s="6">
        <v>-103.69</v>
      </c>
      <c r="F2859" s="6">
        <v>0</v>
      </c>
      <c r="G2859" s="6">
        <v>0</v>
      </c>
      <c r="H2859" s="6">
        <v>18</v>
      </c>
    </row>
    <row r="2860" spans="1:8" ht="18.95" customHeight="1">
      <c r="A2860" s="4">
        <v>2856</v>
      </c>
      <c r="B2860" s="4">
        <v>77412</v>
      </c>
      <c r="C2860" s="4">
        <v>1</v>
      </c>
      <c r="D2860" s="6">
        <v>0</v>
      </c>
      <c r="E2860" s="6">
        <v>-103.69</v>
      </c>
      <c r="F2860" s="6">
        <v>0</v>
      </c>
      <c r="G2860" s="6">
        <v>-0.04</v>
      </c>
      <c r="H2860" s="6">
        <v>18</v>
      </c>
    </row>
    <row r="2861" spans="1:8" ht="18.95" customHeight="1">
      <c r="A2861" s="4">
        <v>2857</v>
      </c>
      <c r="B2861" s="4">
        <v>77432</v>
      </c>
      <c r="C2861" s="4">
        <v>1</v>
      </c>
      <c r="D2861" s="6">
        <v>0</v>
      </c>
      <c r="E2861" s="6">
        <v>-103.69</v>
      </c>
      <c r="F2861" s="6">
        <v>0</v>
      </c>
      <c r="G2861" s="6">
        <v>0.03</v>
      </c>
      <c r="H2861" s="6">
        <v>19</v>
      </c>
    </row>
    <row r="2862" spans="1:8" ht="18.95" customHeight="1">
      <c r="A2862" s="4">
        <v>2858</v>
      </c>
      <c r="B2862" s="4">
        <v>77452</v>
      </c>
      <c r="C2862" s="4">
        <v>1</v>
      </c>
      <c r="D2862" s="6">
        <v>0</v>
      </c>
      <c r="E2862" s="6">
        <v>-103.69</v>
      </c>
      <c r="F2862" s="6">
        <v>0</v>
      </c>
      <c r="G2862" s="6">
        <v>0.03</v>
      </c>
      <c r="H2862" s="6">
        <v>19</v>
      </c>
    </row>
    <row r="2863" spans="1:8" ht="18.95" customHeight="1">
      <c r="A2863" s="4">
        <v>2859</v>
      </c>
      <c r="B2863" s="4">
        <v>77472</v>
      </c>
      <c r="C2863" s="4">
        <v>1</v>
      </c>
      <c r="D2863" s="6">
        <v>0</v>
      </c>
      <c r="E2863" s="6">
        <v>-103.69</v>
      </c>
      <c r="F2863" s="6">
        <v>0</v>
      </c>
      <c r="G2863" s="6">
        <v>-0.03</v>
      </c>
      <c r="H2863" s="6">
        <v>19</v>
      </c>
    </row>
    <row r="2864" spans="1:8" ht="18.95" customHeight="1">
      <c r="A2864" s="4">
        <v>2860</v>
      </c>
      <c r="B2864" s="4">
        <v>77492</v>
      </c>
      <c r="C2864" s="4">
        <v>1</v>
      </c>
      <c r="D2864" s="6">
        <v>0</v>
      </c>
      <c r="E2864" s="6">
        <v>-103.69</v>
      </c>
      <c r="F2864" s="6">
        <v>0</v>
      </c>
      <c r="G2864" s="6">
        <v>0</v>
      </c>
      <c r="H2864" s="6">
        <v>19</v>
      </c>
    </row>
    <row r="2865" spans="1:8" ht="18.95" customHeight="1">
      <c r="A2865" s="4">
        <v>2861</v>
      </c>
      <c r="B2865" s="4">
        <v>77512</v>
      </c>
      <c r="C2865" s="4">
        <v>1</v>
      </c>
      <c r="D2865" s="6">
        <v>0</v>
      </c>
      <c r="E2865" s="6">
        <v>-103.69</v>
      </c>
      <c r="F2865" s="6">
        <v>0</v>
      </c>
      <c r="G2865" s="6">
        <v>0.02</v>
      </c>
      <c r="H2865" s="6">
        <v>19</v>
      </c>
    </row>
    <row r="2866" spans="1:8" ht="18.95" customHeight="1">
      <c r="A2866" s="4">
        <v>2862</v>
      </c>
      <c r="B2866" s="4">
        <v>77532</v>
      </c>
      <c r="C2866" s="4">
        <v>1</v>
      </c>
      <c r="D2866" s="6">
        <v>0</v>
      </c>
      <c r="E2866" s="6">
        <v>-103.69</v>
      </c>
      <c r="F2866" s="6">
        <v>0</v>
      </c>
      <c r="G2866" s="6">
        <v>0.03</v>
      </c>
      <c r="H2866" s="6">
        <v>18</v>
      </c>
    </row>
    <row r="2867" spans="1:8" ht="18.95" customHeight="1">
      <c r="A2867" s="4">
        <v>2863</v>
      </c>
      <c r="B2867" s="4">
        <v>77552</v>
      </c>
      <c r="C2867" s="4">
        <v>1</v>
      </c>
      <c r="D2867" s="6">
        <v>0</v>
      </c>
      <c r="E2867" s="6">
        <v>-103.69</v>
      </c>
      <c r="F2867" s="6">
        <v>0</v>
      </c>
      <c r="G2867" s="6">
        <v>-0.03</v>
      </c>
      <c r="H2867" s="6">
        <v>18</v>
      </c>
    </row>
    <row r="2868" spans="1:8" ht="18.95" customHeight="1">
      <c r="A2868" s="4">
        <v>2864</v>
      </c>
      <c r="B2868" s="4">
        <v>77572</v>
      </c>
      <c r="C2868" s="4">
        <v>1</v>
      </c>
      <c r="D2868" s="6">
        <v>0</v>
      </c>
      <c r="E2868" s="6">
        <v>-103.69</v>
      </c>
      <c r="F2868" s="6">
        <v>0</v>
      </c>
      <c r="G2868" s="6">
        <v>0</v>
      </c>
      <c r="H2868" s="6">
        <v>18</v>
      </c>
    </row>
    <row r="2869" spans="1:8" ht="18.95" customHeight="1">
      <c r="A2869" s="4">
        <v>2865</v>
      </c>
      <c r="B2869" s="4">
        <v>77592</v>
      </c>
      <c r="C2869" s="4">
        <v>1</v>
      </c>
      <c r="D2869" s="6">
        <v>0</v>
      </c>
      <c r="E2869" s="6">
        <v>-103.69</v>
      </c>
      <c r="F2869" s="6">
        <v>0</v>
      </c>
      <c r="G2869" s="6">
        <v>0</v>
      </c>
      <c r="H2869" s="6">
        <v>16</v>
      </c>
    </row>
    <row r="2870" spans="1:8" ht="18.95" customHeight="1">
      <c r="A2870" s="4">
        <v>2866</v>
      </c>
      <c r="B2870" s="4">
        <v>77612</v>
      </c>
      <c r="C2870" s="4">
        <v>1</v>
      </c>
      <c r="D2870" s="6">
        <v>0</v>
      </c>
      <c r="E2870" s="6">
        <v>-103.69</v>
      </c>
      <c r="F2870" s="6">
        <v>0</v>
      </c>
      <c r="G2870" s="6">
        <v>0.03</v>
      </c>
      <c r="H2870" s="6">
        <v>16</v>
      </c>
    </row>
    <row r="2871" spans="1:8" ht="18.95" customHeight="1">
      <c r="A2871" s="4">
        <v>2867</v>
      </c>
      <c r="B2871" s="4">
        <v>77632</v>
      </c>
      <c r="C2871" s="4">
        <v>1</v>
      </c>
      <c r="D2871" s="6">
        <v>0</v>
      </c>
      <c r="E2871" s="6">
        <v>-103.69</v>
      </c>
      <c r="F2871" s="6">
        <v>0</v>
      </c>
      <c r="G2871" s="6">
        <v>0.06</v>
      </c>
      <c r="H2871" s="6">
        <v>18</v>
      </c>
    </row>
    <row r="2872" spans="1:8" ht="18.95" customHeight="1">
      <c r="A2872" s="4">
        <v>2868</v>
      </c>
      <c r="B2872" s="4">
        <v>77652</v>
      </c>
      <c r="C2872" s="4">
        <v>1</v>
      </c>
      <c r="D2872" s="6">
        <v>0</v>
      </c>
      <c r="E2872" s="6">
        <v>-103.69</v>
      </c>
      <c r="F2872" s="6">
        <v>0</v>
      </c>
      <c r="G2872" s="6">
        <v>0.02</v>
      </c>
      <c r="H2872" s="6">
        <v>18</v>
      </c>
    </row>
    <row r="2873" spans="1:8" ht="18.95" customHeight="1">
      <c r="A2873" s="4">
        <v>2869</v>
      </c>
      <c r="B2873" s="4">
        <v>77672</v>
      </c>
      <c r="C2873" s="4">
        <v>1</v>
      </c>
      <c r="D2873" s="6">
        <v>0</v>
      </c>
      <c r="E2873" s="6">
        <v>-103.69</v>
      </c>
      <c r="F2873" s="6">
        <v>0</v>
      </c>
      <c r="G2873" s="6">
        <v>-0.02</v>
      </c>
      <c r="H2873" s="6">
        <v>18</v>
      </c>
    </row>
    <row r="2874" spans="1:8" ht="18.95" customHeight="1">
      <c r="A2874" s="4">
        <v>2870</v>
      </c>
      <c r="B2874" s="4">
        <v>77692</v>
      </c>
      <c r="C2874" s="4">
        <v>1</v>
      </c>
      <c r="D2874" s="6">
        <v>0</v>
      </c>
      <c r="E2874" s="6">
        <v>-103.69</v>
      </c>
      <c r="F2874" s="6">
        <v>0</v>
      </c>
      <c r="G2874" s="6">
        <v>0.05</v>
      </c>
      <c r="H2874" s="6">
        <v>19</v>
      </c>
    </row>
    <row r="2875" spans="1:8" ht="18.95" customHeight="1">
      <c r="A2875" s="4">
        <v>2871</v>
      </c>
      <c r="B2875" s="4">
        <v>77712</v>
      </c>
      <c r="C2875" s="4">
        <v>1</v>
      </c>
      <c r="D2875" s="6">
        <v>0</v>
      </c>
      <c r="E2875" s="6">
        <v>-103.69</v>
      </c>
      <c r="F2875" s="6">
        <v>0</v>
      </c>
      <c r="G2875" s="6">
        <v>-0.01</v>
      </c>
      <c r="H2875" s="6">
        <v>19</v>
      </c>
    </row>
    <row r="2876" spans="1:8" ht="18.95" customHeight="1">
      <c r="A2876" s="4">
        <v>2872</v>
      </c>
      <c r="B2876" s="4">
        <v>77732</v>
      </c>
      <c r="C2876" s="4">
        <v>1</v>
      </c>
      <c r="D2876" s="6">
        <v>0</v>
      </c>
      <c r="E2876" s="6">
        <v>-103.69</v>
      </c>
      <c r="F2876" s="6">
        <v>0</v>
      </c>
      <c r="G2876" s="6">
        <v>0.01</v>
      </c>
      <c r="H2876" s="6">
        <v>17</v>
      </c>
    </row>
    <row r="2877" spans="1:8" ht="18.95" customHeight="1">
      <c r="A2877" s="4">
        <v>2873</v>
      </c>
      <c r="B2877" s="4">
        <v>77752</v>
      </c>
      <c r="C2877" s="4">
        <v>1</v>
      </c>
      <c r="D2877" s="6">
        <v>0</v>
      </c>
      <c r="E2877" s="6">
        <v>-103.69</v>
      </c>
      <c r="F2877" s="6">
        <v>0</v>
      </c>
      <c r="G2877" s="6">
        <v>0</v>
      </c>
      <c r="H2877" s="6">
        <v>17</v>
      </c>
    </row>
    <row r="2878" spans="1:8" ht="18.95" customHeight="1">
      <c r="A2878" s="4">
        <v>2874</v>
      </c>
      <c r="B2878" s="4">
        <v>77772</v>
      </c>
      <c r="C2878" s="4">
        <v>1</v>
      </c>
      <c r="D2878" s="6">
        <v>0</v>
      </c>
      <c r="E2878" s="6">
        <v>-103.69</v>
      </c>
      <c r="F2878" s="6">
        <v>0</v>
      </c>
      <c r="G2878" s="6">
        <v>0.01</v>
      </c>
      <c r="H2878" s="6">
        <v>17</v>
      </c>
    </row>
    <row r="2879" spans="1:8" ht="18.95" customHeight="1">
      <c r="A2879" s="4">
        <v>2875</v>
      </c>
      <c r="B2879" s="4">
        <v>77792</v>
      </c>
      <c r="C2879" s="4">
        <v>1</v>
      </c>
      <c r="D2879" s="6">
        <v>0</v>
      </c>
      <c r="E2879" s="6">
        <v>-103.69</v>
      </c>
      <c r="F2879" s="6">
        <v>0</v>
      </c>
      <c r="G2879" s="6">
        <v>-0.03</v>
      </c>
      <c r="H2879" s="6">
        <v>16</v>
      </c>
    </row>
    <row r="2880" spans="1:8" ht="18.95" customHeight="1">
      <c r="A2880" s="4">
        <v>2876</v>
      </c>
      <c r="B2880" s="4">
        <v>77812</v>
      </c>
      <c r="C2880" s="4">
        <v>1</v>
      </c>
      <c r="D2880" s="6">
        <v>0</v>
      </c>
      <c r="E2880" s="6">
        <v>-103.69</v>
      </c>
      <c r="F2880" s="6">
        <v>0</v>
      </c>
      <c r="G2880" s="6">
        <v>0.02</v>
      </c>
      <c r="H2880" s="6">
        <v>16</v>
      </c>
    </row>
    <row r="2881" spans="1:8" ht="18.95" customHeight="1">
      <c r="A2881" s="4">
        <v>2877</v>
      </c>
      <c r="B2881" s="4">
        <v>77832</v>
      </c>
      <c r="C2881" s="4">
        <v>1</v>
      </c>
      <c r="D2881" s="6">
        <v>0</v>
      </c>
      <c r="E2881" s="6">
        <v>-103.69</v>
      </c>
      <c r="F2881" s="6">
        <v>0</v>
      </c>
      <c r="G2881" s="6">
        <v>-0.01</v>
      </c>
      <c r="H2881" s="6">
        <v>17</v>
      </c>
    </row>
    <row r="2882" spans="1:8" ht="18.95" customHeight="1">
      <c r="A2882" s="4">
        <v>2878</v>
      </c>
      <c r="B2882" s="4">
        <v>77852</v>
      </c>
      <c r="C2882" s="4">
        <v>1</v>
      </c>
      <c r="D2882" s="6">
        <v>0</v>
      </c>
      <c r="E2882" s="6">
        <v>-103.69</v>
      </c>
      <c r="F2882" s="6">
        <v>0</v>
      </c>
      <c r="G2882" s="6">
        <v>0.01</v>
      </c>
      <c r="H2882" s="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7" width="16" customWidth="1"/>
  </cols>
  <sheetData>
    <row r="1" spans="1:7" ht="18.95" customHeight="1">
      <c r="A1" s="2" t="s">
        <v>40</v>
      </c>
      <c r="B1" s="1"/>
      <c r="C1" s="1"/>
      <c r="D1" s="1"/>
      <c r="E1" s="1"/>
      <c r="F1" s="1"/>
      <c r="G1" s="1"/>
    </row>
    <row r="2" spans="1:7" ht="6" customHeight="1">
      <c r="A2" s="1"/>
      <c r="B2" s="1"/>
      <c r="C2" s="1"/>
      <c r="D2" s="1"/>
      <c r="E2" s="1"/>
      <c r="F2" s="1"/>
      <c r="G2" s="1"/>
    </row>
    <row r="3" spans="1:7" ht="6" customHeight="1">
      <c r="A3" s="1"/>
      <c r="B3" s="1"/>
      <c r="C3" s="1"/>
      <c r="D3" s="1"/>
      <c r="E3" s="1"/>
      <c r="F3" s="1"/>
      <c r="G3" s="1"/>
    </row>
    <row r="4" spans="1:7" ht="18.95" customHeight="1">
      <c r="A4" s="1"/>
      <c r="B4" s="1"/>
      <c r="C4" s="1"/>
      <c r="D4" s="1"/>
      <c r="E4" s="1"/>
      <c r="F4" s="1"/>
      <c r="G4" s="1"/>
    </row>
    <row r="5" spans="1:7" ht="33.950000000000003" customHeight="1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</row>
    <row r="6" spans="1:7" ht="18.95" customHeight="1">
      <c r="A6" s="1">
        <v>0</v>
      </c>
      <c r="B6" s="6">
        <v>0</v>
      </c>
      <c r="C6" s="6">
        <f>TimeStep!B6</f>
        <v>0</v>
      </c>
      <c r="D6" s="6">
        <v>0</v>
      </c>
      <c r="E6" s="6">
        <v>-2E-3</v>
      </c>
      <c r="F6" s="6">
        <v>3.81</v>
      </c>
      <c r="G6" s="6">
        <f t="shared" ref="G6:G69" si="0">C6-B6*1000</f>
        <v>0</v>
      </c>
    </row>
    <row r="7" spans="1:7" ht="18.95" customHeight="1">
      <c r="A7" s="1">
        <v>1</v>
      </c>
      <c r="B7" s="6">
        <v>8.333333333333335E-3</v>
      </c>
      <c r="C7" s="6">
        <f>TimeStep!B7</f>
        <v>8.3333333333333339</v>
      </c>
      <c r="D7" s="6">
        <v>-0.57299999999999995</v>
      </c>
      <c r="E7" s="6">
        <v>-6.8000000000000005E-2</v>
      </c>
      <c r="F7" s="6">
        <v>3.8090000000000002</v>
      </c>
      <c r="G7" s="6">
        <f t="shared" si="0"/>
        <v>0</v>
      </c>
    </row>
    <row r="8" spans="1:7" ht="18.95" customHeight="1">
      <c r="A8" s="1">
        <v>2</v>
      </c>
      <c r="B8" s="6">
        <v>1.666666666666667E-2</v>
      </c>
      <c r="C8" s="6">
        <f>TimeStep!B8</f>
        <v>16.666666666666668</v>
      </c>
      <c r="D8" s="6">
        <v>-1.0886</v>
      </c>
      <c r="E8" s="6">
        <v>-0.13500000000000001</v>
      </c>
      <c r="F8" s="6">
        <v>3.8079999999999998</v>
      </c>
      <c r="G8" s="6">
        <f t="shared" si="0"/>
        <v>0</v>
      </c>
    </row>
    <row r="9" spans="1:7" ht="18.95" customHeight="1">
      <c r="A9" s="1">
        <v>3</v>
      </c>
      <c r="B9" s="6">
        <v>2.5000000000000005E-2</v>
      </c>
      <c r="C9" s="6">
        <f>TimeStep!B9</f>
        <v>25</v>
      </c>
      <c r="D9" s="6">
        <v>-1.6616</v>
      </c>
      <c r="E9" s="6">
        <v>-0.20100000000000001</v>
      </c>
      <c r="F9" s="6">
        <v>3.8050000000000002</v>
      </c>
      <c r="G9" s="6">
        <f t="shared" si="0"/>
        <v>0</v>
      </c>
    </row>
    <row r="10" spans="1:7" ht="18.95" customHeight="1">
      <c r="A10" s="1">
        <v>4</v>
      </c>
      <c r="B10" s="6">
        <v>3.333333333333334E-2</v>
      </c>
      <c r="C10" s="6">
        <f>TimeStep!B10</f>
        <v>33.333333333333336</v>
      </c>
      <c r="D10" s="6">
        <v>-2.1772</v>
      </c>
      <c r="E10" s="6">
        <v>-0.26800000000000002</v>
      </c>
      <c r="F10" s="6">
        <v>3.8010000000000002</v>
      </c>
      <c r="G10" s="6">
        <f t="shared" si="0"/>
        <v>0</v>
      </c>
    </row>
    <row r="11" spans="1:7" ht="18.95" customHeight="1">
      <c r="A11" s="1">
        <v>5</v>
      </c>
      <c r="B11" s="6">
        <v>4.1666666666666671E-2</v>
      </c>
      <c r="C11" s="6">
        <f>TimeStep!B11</f>
        <v>41.666666666666671</v>
      </c>
      <c r="D11" s="6">
        <v>-2.6928999999999998</v>
      </c>
      <c r="E11" s="6">
        <v>-0.33400000000000002</v>
      </c>
      <c r="F11" s="6">
        <v>3.7949999999999999</v>
      </c>
      <c r="G11" s="6">
        <f t="shared" si="0"/>
        <v>0</v>
      </c>
    </row>
    <row r="12" spans="1:7" ht="18.95" customHeight="1">
      <c r="A12" s="1">
        <v>6</v>
      </c>
      <c r="B12" s="6">
        <v>0.05</v>
      </c>
      <c r="C12" s="6">
        <f>TimeStep!B12</f>
        <v>50</v>
      </c>
      <c r="D12" s="6">
        <v>-3.2658999999999998</v>
      </c>
      <c r="E12" s="6">
        <v>-0.4</v>
      </c>
      <c r="F12" s="6">
        <v>3.7890000000000001</v>
      </c>
      <c r="G12" s="6">
        <f t="shared" si="0"/>
        <v>0</v>
      </c>
    </row>
    <row r="13" spans="1:7" ht="18.95" customHeight="1">
      <c r="A13" s="1">
        <v>7</v>
      </c>
      <c r="B13" s="6">
        <v>5.8333333333333334E-2</v>
      </c>
      <c r="C13" s="6">
        <f>TimeStep!B13</f>
        <v>58.333333333333336</v>
      </c>
      <c r="D13" s="6">
        <v>-3.7814999999999999</v>
      </c>
      <c r="E13" s="6">
        <v>-0.46600000000000003</v>
      </c>
      <c r="F13" s="6">
        <v>3.7810000000000001</v>
      </c>
      <c r="G13" s="6">
        <f t="shared" si="0"/>
        <v>0</v>
      </c>
    </row>
    <row r="14" spans="1:7" ht="18.95" customHeight="1">
      <c r="A14" s="1">
        <v>8</v>
      </c>
      <c r="B14" s="6">
        <v>6.6666666666666666E-2</v>
      </c>
      <c r="C14" s="6">
        <f>TimeStep!B14</f>
        <v>66.666666666666671</v>
      </c>
      <c r="D14" s="6">
        <v>-4.3544999999999998</v>
      </c>
      <c r="E14" s="6">
        <v>-0.53200000000000003</v>
      </c>
      <c r="F14" s="6">
        <v>3.7730000000000001</v>
      </c>
      <c r="G14" s="6">
        <f t="shared" si="0"/>
        <v>0</v>
      </c>
    </row>
    <row r="15" spans="1:7" ht="18.95" customHeight="1">
      <c r="A15" s="1">
        <v>9</v>
      </c>
      <c r="B15" s="6">
        <v>7.4999999999999997E-2</v>
      </c>
      <c r="C15" s="6">
        <f>TimeStep!B15</f>
        <v>75</v>
      </c>
      <c r="D15" s="6">
        <v>-4.8700999999999999</v>
      </c>
      <c r="E15" s="6">
        <v>-0.59799999999999998</v>
      </c>
      <c r="F15" s="6">
        <v>3.7629999999999999</v>
      </c>
      <c r="G15" s="6">
        <f t="shared" si="0"/>
        <v>0</v>
      </c>
    </row>
    <row r="16" spans="1:7" ht="18.95" customHeight="1">
      <c r="A16" s="1">
        <v>10</v>
      </c>
      <c r="B16" s="6">
        <v>8.3333333333333329E-2</v>
      </c>
      <c r="C16" s="6">
        <f>TimeStep!B16</f>
        <v>83.333333333333343</v>
      </c>
      <c r="D16" s="6">
        <v>-5.3857999999999997</v>
      </c>
      <c r="E16" s="6">
        <v>-0.66400000000000003</v>
      </c>
      <c r="F16" s="6">
        <v>3.7519999999999998</v>
      </c>
      <c r="G16" s="6">
        <f t="shared" si="0"/>
        <v>0</v>
      </c>
    </row>
    <row r="17" spans="1:7" ht="18.95" customHeight="1">
      <c r="A17" s="1">
        <v>11</v>
      </c>
      <c r="B17" s="6">
        <v>9.166666666666666E-2</v>
      </c>
      <c r="C17" s="6">
        <f>TimeStep!B17</f>
        <v>91.666666666666671</v>
      </c>
      <c r="D17" s="6">
        <v>-5.9015000000000004</v>
      </c>
      <c r="E17" s="6">
        <v>-0.72899999999999998</v>
      </c>
      <c r="F17" s="6">
        <v>3.74</v>
      </c>
      <c r="G17" s="6">
        <f t="shared" si="0"/>
        <v>0</v>
      </c>
    </row>
    <row r="18" spans="1:7" ht="18.95" customHeight="1">
      <c r="A18" s="1">
        <v>12</v>
      </c>
      <c r="B18" s="6">
        <v>9.9999999999999992E-2</v>
      </c>
      <c r="C18" s="6">
        <f>TimeStep!B18</f>
        <v>100</v>
      </c>
      <c r="D18" s="6">
        <v>-6.4744000000000002</v>
      </c>
      <c r="E18" s="6">
        <v>-0.79400000000000004</v>
      </c>
      <c r="F18" s="6">
        <v>3.726</v>
      </c>
      <c r="G18" s="6">
        <f t="shared" si="0"/>
        <v>0</v>
      </c>
    </row>
    <row r="19" spans="1:7" ht="18.95" customHeight="1">
      <c r="A19" s="1">
        <v>13</v>
      </c>
      <c r="B19" s="6">
        <v>0.10833333333333332</v>
      </c>
      <c r="C19" s="6">
        <f>TimeStep!B19</f>
        <v>108.33333333333334</v>
      </c>
      <c r="D19" s="6">
        <v>-6.9901</v>
      </c>
      <c r="E19" s="6">
        <v>-0.85899999999999999</v>
      </c>
      <c r="F19" s="6">
        <v>3.7120000000000002</v>
      </c>
      <c r="G19" s="6">
        <f t="shared" si="0"/>
        <v>0</v>
      </c>
    </row>
    <row r="20" spans="1:7" ht="18.95" customHeight="1">
      <c r="A20" s="1">
        <v>14</v>
      </c>
      <c r="B20" s="6">
        <v>0.11666666666666665</v>
      </c>
      <c r="C20" s="6">
        <f>TimeStep!B20</f>
        <v>116.66666666666667</v>
      </c>
      <c r="D20" s="6">
        <v>-7.5057</v>
      </c>
      <c r="E20" s="6">
        <v>-0.92400000000000004</v>
      </c>
      <c r="F20" s="6">
        <v>3.6960000000000002</v>
      </c>
      <c r="G20" s="6">
        <f t="shared" si="0"/>
        <v>0</v>
      </c>
    </row>
    <row r="21" spans="1:7" ht="18.95" customHeight="1">
      <c r="A21" s="1">
        <v>15</v>
      </c>
      <c r="B21" s="6">
        <v>0.12499999999999999</v>
      </c>
      <c r="C21" s="6">
        <f>TimeStep!B21</f>
        <v>125.00000000000001</v>
      </c>
      <c r="D21" s="6">
        <v>-8.0213999999999999</v>
      </c>
      <c r="E21" s="6">
        <v>-0.98799999999999999</v>
      </c>
      <c r="F21" s="6">
        <v>3.68</v>
      </c>
      <c r="G21" s="6">
        <f t="shared" si="0"/>
        <v>0</v>
      </c>
    </row>
    <row r="22" spans="1:7" ht="18.95" customHeight="1">
      <c r="A22" s="1">
        <v>16</v>
      </c>
      <c r="B22" s="6">
        <v>0.13333333333333333</v>
      </c>
      <c r="C22" s="6">
        <f>TimeStep!B22</f>
        <v>133.33333333333334</v>
      </c>
      <c r="D22" s="6">
        <v>-8.5371000000000006</v>
      </c>
      <c r="E22" s="6">
        <v>-1.052</v>
      </c>
      <c r="F22" s="6">
        <v>3.6619999999999999</v>
      </c>
      <c r="G22" s="6">
        <f t="shared" si="0"/>
        <v>0</v>
      </c>
    </row>
    <row r="23" spans="1:7" ht="18.95" customHeight="1">
      <c r="A23" s="1">
        <v>17</v>
      </c>
      <c r="B23" s="6">
        <v>0.14166666666666666</v>
      </c>
      <c r="C23" s="6">
        <f>TimeStep!B23</f>
        <v>141.66666666666669</v>
      </c>
      <c r="D23" s="6">
        <v>-9.0526999999999997</v>
      </c>
      <c r="E23" s="6">
        <v>-1.1160000000000001</v>
      </c>
      <c r="F23" s="6">
        <v>3.6429999999999998</v>
      </c>
      <c r="G23" s="6">
        <f t="shared" si="0"/>
        <v>0</v>
      </c>
    </row>
    <row r="24" spans="1:7" ht="18.95" customHeight="1">
      <c r="A24" s="1">
        <v>18</v>
      </c>
      <c r="B24" s="6">
        <v>0.15</v>
      </c>
      <c r="C24" s="6">
        <f>TimeStep!B24</f>
        <v>150</v>
      </c>
      <c r="D24" s="6">
        <v>-9.5684000000000005</v>
      </c>
      <c r="E24" s="6">
        <v>-1.179</v>
      </c>
      <c r="F24" s="6">
        <v>3.6230000000000002</v>
      </c>
      <c r="G24" s="6">
        <f t="shared" si="0"/>
        <v>0</v>
      </c>
    </row>
    <row r="25" spans="1:7" ht="18.95" customHeight="1">
      <c r="A25" s="1">
        <v>19</v>
      </c>
      <c r="B25" s="6">
        <v>0.15833333333333333</v>
      </c>
      <c r="C25" s="6">
        <f>TimeStep!B25</f>
        <v>158.33333333333334</v>
      </c>
      <c r="D25" s="6">
        <v>-10.084099999999999</v>
      </c>
      <c r="E25" s="6">
        <v>-1.242</v>
      </c>
      <c r="F25" s="6">
        <v>3.6019999999999999</v>
      </c>
      <c r="G25" s="6">
        <f t="shared" si="0"/>
        <v>0</v>
      </c>
    </row>
    <row r="26" spans="1:7" ht="18.95" customHeight="1">
      <c r="A26" s="1">
        <v>20</v>
      </c>
      <c r="B26" s="6">
        <v>0.16666666666666666</v>
      </c>
      <c r="C26" s="6">
        <f>TimeStep!B26</f>
        <v>166.66666666666669</v>
      </c>
      <c r="D26" s="6">
        <v>-10.5997</v>
      </c>
      <c r="E26" s="6">
        <v>-1.3049999999999999</v>
      </c>
      <c r="F26" s="6">
        <v>3.58</v>
      </c>
      <c r="G26" s="6">
        <f t="shared" si="0"/>
        <v>0</v>
      </c>
    </row>
    <row r="27" spans="1:7" ht="18.95" customHeight="1">
      <c r="A27" s="1">
        <v>21</v>
      </c>
      <c r="B27" s="6">
        <v>0.17499999999999999</v>
      </c>
      <c r="C27" s="6">
        <f>TimeStep!B27</f>
        <v>175</v>
      </c>
      <c r="D27" s="6">
        <v>-11.0581</v>
      </c>
      <c r="E27" s="6">
        <v>-1.367</v>
      </c>
      <c r="F27" s="6">
        <v>3.556</v>
      </c>
      <c r="G27" s="6">
        <f t="shared" si="0"/>
        <v>0</v>
      </c>
    </row>
    <row r="28" spans="1:7" ht="18.95" customHeight="1">
      <c r="A28" s="1">
        <v>22</v>
      </c>
      <c r="B28" s="6">
        <v>0.18333333333333332</v>
      </c>
      <c r="C28" s="6">
        <f>TimeStep!B28</f>
        <v>183.33333333333334</v>
      </c>
      <c r="D28" s="6">
        <v>-11.573700000000001</v>
      </c>
      <c r="E28" s="6">
        <v>-1.429</v>
      </c>
      <c r="F28" s="6">
        <v>3.532</v>
      </c>
      <c r="G28" s="6">
        <f t="shared" si="0"/>
        <v>0</v>
      </c>
    </row>
    <row r="29" spans="1:7" ht="18.95" customHeight="1">
      <c r="A29" s="1">
        <v>23</v>
      </c>
      <c r="B29" s="6">
        <v>0.19166666666666665</v>
      </c>
      <c r="C29" s="6">
        <f>TimeStep!B29</f>
        <v>191.66666666666669</v>
      </c>
      <c r="D29" s="6">
        <v>-12.0321</v>
      </c>
      <c r="E29" s="6">
        <v>-1.4910000000000001</v>
      </c>
      <c r="F29" s="6">
        <v>3.5059999999999998</v>
      </c>
      <c r="G29" s="6">
        <f t="shared" si="0"/>
        <v>0</v>
      </c>
    </row>
    <row r="30" spans="1:7" ht="18.95" customHeight="1">
      <c r="A30" s="1">
        <v>24</v>
      </c>
      <c r="B30" s="6">
        <v>0.19999999999999998</v>
      </c>
      <c r="C30" s="6">
        <f>TimeStep!B30</f>
        <v>200</v>
      </c>
      <c r="D30" s="6">
        <v>-12.547800000000001</v>
      </c>
      <c r="E30" s="6">
        <v>-1.552</v>
      </c>
      <c r="F30" s="6">
        <v>3.48</v>
      </c>
      <c r="G30" s="6">
        <f t="shared" si="0"/>
        <v>0</v>
      </c>
    </row>
    <row r="31" spans="1:7" ht="18.95" customHeight="1">
      <c r="A31" s="1">
        <v>25</v>
      </c>
      <c r="B31" s="6">
        <v>0.20833333333333331</v>
      </c>
      <c r="C31" s="6">
        <f>TimeStep!B31</f>
        <v>208.33333333333334</v>
      </c>
      <c r="D31" s="6">
        <v>-13.0061</v>
      </c>
      <c r="E31" s="6">
        <v>-1.6120000000000001</v>
      </c>
      <c r="F31" s="6">
        <v>3.452</v>
      </c>
      <c r="G31" s="6">
        <f t="shared" si="0"/>
        <v>0</v>
      </c>
    </row>
    <row r="32" spans="1:7" ht="18.95" customHeight="1">
      <c r="A32" s="1">
        <v>26</v>
      </c>
      <c r="B32" s="6">
        <v>0.21666666666666665</v>
      </c>
      <c r="C32" s="6">
        <f>TimeStep!B32</f>
        <v>216.66666666666669</v>
      </c>
      <c r="D32" s="6">
        <v>-13.521800000000001</v>
      </c>
      <c r="E32" s="6">
        <v>-1.6719999999999999</v>
      </c>
      <c r="F32" s="6">
        <v>3.4239999999999999</v>
      </c>
      <c r="G32" s="6">
        <f t="shared" si="0"/>
        <v>0</v>
      </c>
    </row>
    <row r="33" spans="1:7" ht="18.95" customHeight="1">
      <c r="A33" s="1">
        <v>27</v>
      </c>
      <c r="B33" s="6">
        <v>0.22499999999999998</v>
      </c>
      <c r="C33" s="6">
        <f>TimeStep!B33</f>
        <v>225.00000000000003</v>
      </c>
      <c r="D33" s="6">
        <v>-13.9802</v>
      </c>
      <c r="E33" s="6">
        <v>-1.732</v>
      </c>
      <c r="F33" s="6">
        <v>3.3940000000000001</v>
      </c>
      <c r="G33" s="6">
        <f t="shared" si="0"/>
        <v>0</v>
      </c>
    </row>
    <row r="34" spans="1:7" ht="18.95" customHeight="1">
      <c r="A34" s="1">
        <v>28</v>
      </c>
      <c r="B34" s="6">
        <v>0.23333333333333331</v>
      </c>
      <c r="C34" s="6">
        <f>TimeStep!B34</f>
        <v>233.33333333333334</v>
      </c>
      <c r="D34" s="6">
        <v>-14.438499999999999</v>
      </c>
      <c r="E34" s="6">
        <v>-1.7909999999999999</v>
      </c>
      <c r="F34" s="6">
        <v>3.363</v>
      </c>
      <c r="G34" s="6">
        <f t="shared" si="0"/>
        <v>0</v>
      </c>
    </row>
    <row r="35" spans="1:7" ht="18.95" customHeight="1">
      <c r="A35" s="1">
        <v>29</v>
      </c>
      <c r="B35" s="6">
        <v>0.24166666666666664</v>
      </c>
      <c r="C35" s="6">
        <f>TimeStep!B35</f>
        <v>241.66666666666669</v>
      </c>
      <c r="D35" s="6">
        <v>-14.8969</v>
      </c>
      <c r="E35" s="6">
        <v>-1.849</v>
      </c>
      <c r="F35" s="6">
        <v>3.331</v>
      </c>
      <c r="G35" s="6">
        <f t="shared" si="0"/>
        <v>0</v>
      </c>
    </row>
    <row r="36" spans="1:7" ht="18.95" customHeight="1">
      <c r="A36" s="1">
        <v>30</v>
      </c>
      <c r="B36" s="6">
        <v>0.24999999999999997</v>
      </c>
      <c r="C36" s="6">
        <f>TimeStep!B36</f>
        <v>250.00000000000003</v>
      </c>
      <c r="D36" s="6">
        <v>-15.3553</v>
      </c>
      <c r="E36" s="6">
        <v>-1.907</v>
      </c>
      <c r="F36" s="6">
        <v>3.2989999999999999</v>
      </c>
      <c r="G36" s="6">
        <f t="shared" si="0"/>
        <v>0</v>
      </c>
    </row>
    <row r="37" spans="1:7" ht="18.95" customHeight="1">
      <c r="A37" s="1">
        <v>31</v>
      </c>
      <c r="B37" s="6">
        <v>0.2583333333333333</v>
      </c>
      <c r="C37" s="6">
        <f>TimeStep!B37</f>
        <v>258.33333333333337</v>
      </c>
      <c r="D37" s="6">
        <v>-15.813599999999999</v>
      </c>
      <c r="E37" s="6">
        <v>-1.964</v>
      </c>
      <c r="F37" s="6">
        <v>3.2650000000000001</v>
      </c>
      <c r="G37" s="6">
        <f t="shared" si="0"/>
        <v>0</v>
      </c>
    </row>
    <row r="38" spans="1:7" ht="18.95" customHeight="1">
      <c r="A38" s="1">
        <v>32</v>
      </c>
      <c r="B38" s="6">
        <v>0.26666666666666666</v>
      </c>
      <c r="C38" s="6">
        <f>TimeStep!B38</f>
        <v>266.66666666666669</v>
      </c>
      <c r="D38" s="6">
        <v>-16.271999999999998</v>
      </c>
      <c r="E38" s="6">
        <v>-2.0209999999999999</v>
      </c>
      <c r="F38" s="6">
        <v>3.23</v>
      </c>
      <c r="G38" s="6">
        <f t="shared" si="0"/>
        <v>0</v>
      </c>
    </row>
    <row r="39" spans="1:7" ht="18.95" customHeight="1">
      <c r="A39" s="1">
        <v>33</v>
      </c>
      <c r="B39" s="6">
        <v>0.27500000000000002</v>
      </c>
      <c r="C39" s="6">
        <f>TimeStep!B39</f>
        <v>275</v>
      </c>
      <c r="D39" s="6">
        <v>-16.730399999999999</v>
      </c>
      <c r="E39" s="6">
        <v>-2.077</v>
      </c>
      <c r="F39" s="6">
        <v>3.194</v>
      </c>
      <c r="G39" s="6">
        <f t="shared" si="0"/>
        <v>0</v>
      </c>
    </row>
    <row r="40" spans="1:7" ht="18.95" customHeight="1">
      <c r="A40" s="1">
        <v>34</v>
      </c>
      <c r="B40" s="6">
        <v>0.28333333333333338</v>
      </c>
      <c r="C40" s="6">
        <f>TimeStep!B40</f>
        <v>283.33333333333337</v>
      </c>
      <c r="D40" s="6">
        <v>-17.188700000000001</v>
      </c>
      <c r="E40" s="6">
        <v>-2.1320000000000001</v>
      </c>
      <c r="F40" s="6">
        <v>3.157</v>
      </c>
      <c r="G40" s="6">
        <f t="shared" si="0"/>
        <v>0</v>
      </c>
    </row>
    <row r="41" spans="1:7" ht="18.95" customHeight="1">
      <c r="A41" s="1">
        <v>35</v>
      </c>
      <c r="B41" s="6">
        <v>0.29166666666666674</v>
      </c>
      <c r="C41" s="6">
        <f>TimeStep!B41</f>
        <v>291.66666666666669</v>
      </c>
      <c r="D41" s="6">
        <v>-17.5898</v>
      </c>
      <c r="E41" s="6">
        <v>-2.1869999999999998</v>
      </c>
      <c r="F41" s="6">
        <v>3.12</v>
      </c>
      <c r="G41" s="6">
        <f t="shared" si="0"/>
        <v>0</v>
      </c>
    </row>
    <row r="42" spans="1:7" ht="18.95" customHeight="1">
      <c r="A42" s="1">
        <v>36</v>
      </c>
      <c r="B42" s="6">
        <v>0.3000000000000001</v>
      </c>
      <c r="C42" s="6">
        <f>TimeStep!B42</f>
        <v>300</v>
      </c>
      <c r="D42" s="6">
        <v>-18.048200000000001</v>
      </c>
      <c r="E42" s="6">
        <v>-2.2410000000000001</v>
      </c>
      <c r="F42" s="6">
        <v>3.081</v>
      </c>
      <c r="G42" s="6">
        <f t="shared" si="0"/>
        <v>0</v>
      </c>
    </row>
    <row r="43" spans="1:7" ht="18.95" customHeight="1">
      <c r="A43" s="1">
        <v>37</v>
      </c>
      <c r="B43" s="6">
        <v>0.30833333333333346</v>
      </c>
      <c r="C43" s="6">
        <f>TimeStep!B43</f>
        <v>308.33333333333337</v>
      </c>
      <c r="D43" s="6">
        <v>-18.449200000000001</v>
      </c>
      <c r="E43" s="6">
        <v>-2.2949999999999999</v>
      </c>
      <c r="F43" s="6">
        <v>3.0409999999999999</v>
      </c>
      <c r="G43" s="6">
        <f t="shared" si="0"/>
        <v>0</v>
      </c>
    </row>
    <row r="44" spans="1:7" ht="18.95" customHeight="1">
      <c r="A44" s="1">
        <v>38</v>
      </c>
      <c r="B44" s="6">
        <v>0.31666666666666682</v>
      </c>
      <c r="C44" s="6">
        <f>TimeStep!B44</f>
        <v>316.66666666666669</v>
      </c>
      <c r="D44" s="6">
        <v>-18.850300000000001</v>
      </c>
      <c r="E44" s="6">
        <v>-2.347</v>
      </c>
      <c r="F44" s="6">
        <v>3.0009999999999999</v>
      </c>
      <c r="G44" s="6">
        <f t="shared" si="0"/>
        <v>0</v>
      </c>
    </row>
    <row r="45" spans="1:7" ht="18.95" customHeight="1">
      <c r="A45" s="1">
        <v>39</v>
      </c>
      <c r="B45" s="6">
        <v>0.32500000000000018</v>
      </c>
      <c r="C45" s="6">
        <f>TimeStep!B45</f>
        <v>325</v>
      </c>
      <c r="D45" s="6">
        <v>-19.2514</v>
      </c>
      <c r="E45" s="6">
        <v>-2.399</v>
      </c>
      <c r="F45" s="6">
        <v>2.96</v>
      </c>
      <c r="G45" s="6">
        <f t="shared" si="0"/>
        <v>0</v>
      </c>
    </row>
    <row r="46" spans="1:7" ht="18.95" customHeight="1">
      <c r="A46" s="1">
        <v>40</v>
      </c>
      <c r="B46" s="6">
        <v>0.33333333333333354</v>
      </c>
      <c r="C46" s="6">
        <f>TimeStep!B46</f>
        <v>333.33333333333337</v>
      </c>
      <c r="D46" s="6">
        <v>-19.6525</v>
      </c>
      <c r="E46" s="6">
        <v>-2.4510000000000001</v>
      </c>
      <c r="F46" s="6">
        <v>2.9169999999999998</v>
      </c>
      <c r="G46" s="6">
        <f t="shared" si="0"/>
        <v>0</v>
      </c>
    </row>
    <row r="47" spans="1:7" ht="18.95" customHeight="1">
      <c r="A47" s="1">
        <v>41</v>
      </c>
      <c r="B47" s="6">
        <v>0.3416666666666669</v>
      </c>
      <c r="C47" s="6">
        <f>TimeStep!B47</f>
        <v>341.66666666666669</v>
      </c>
      <c r="D47" s="6">
        <v>-20.0535</v>
      </c>
      <c r="E47" s="6">
        <v>-2.5009999999999999</v>
      </c>
      <c r="F47" s="6">
        <v>2.8740000000000001</v>
      </c>
      <c r="G47" s="6">
        <f t="shared" si="0"/>
        <v>0</v>
      </c>
    </row>
    <row r="48" spans="1:7" ht="18.95" customHeight="1">
      <c r="A48" s="1">
        <v>42</v>
      </c>
      <c r="B48" s="6">
        <v>0.35000000000000026</v>
      </c>
      <c r="C48" s="6">
        <f>TimeStep!B48</f>
        <v>350</v>
      </c>
      <c r="D48" s="6">
        <v>-20.454599999999999</v>
      </c>
      <c r="E48" s="6">
        <v>-2.5510000000000002</v>
      </c>
      <c r="F48" s="6">
        <v>2.83</v>
      </c>
      <c r="G48" s="6">
        <f t="shared" si="0"/>
        <v>0</v>
      </c>
    </row>
    <row r="49" spans="1:7" ht="18.95" customHeight="1">
      <c r="A49" s="1">
        <v>43</v>
      </c>
      <c r="B49" s="6">
        <v>0.35833333333333361</v>
      </c>
      <c r="C49" s="6">
        <f>TimeStep!B49</f>
        <v>358.33333333333337</v>
      </c>
      <c r="D49" s="6">
        <v>-20.798400000000001</v>
      </c>
      <c r="E49" s="6">
        <v>-2.6</v>
      </c>
      <c r="F49" s="6">
        <v>2.7850000000000001</v>
      </c>
      <c r="G49" s="6">
        <f t="shared" si="0"/>
        <v>0</v>
      </c>
    </row>
    <row r="50" spans="1:7" ht="18.95" customHeight="1">
      <c r="A50" s="1">
        <v>44</v>
      </c>
      <c r="B50" s="6">
        <v>0.36666666666666697</v>
      </c>
      <c r="C50" s="6">
        <f>TimeStep!B50</f>
        <v>366.66666666666669</v>
      </c>
      <c r="D50" s="6">
        <v>-21.199400000000001</v>
      </c>
      <c r="E50" s="6">
        <v>-2.6480000000000001</v>
      </c>
      <c r="F50" s="6">
        <v>2.7389999999999999</v>
      </c>
      <c r="G50" s="6">
        <f t="shared" si="0"/>
        <v>0</v>
      </c>
    </row>
    <row r="51" spans="1:7" ht="18.95" customHeight="1">
      <c r="A51" s="1">
        <v>45</v>
      </c>
      <c r="B51" s="6">
        <v>0.37500000000000033</v>
      </c>
      <c r="C51" s="6">
        <f>TimeStep!B51</f>
        <v>375</v>
      </c>
      <c r="D51" s="6">
        <v>-21.543199999999999</v>
      </c>
      <c r="E51" s="6">
        <v>-2.6960000000000002</v>
      </c>
      <c r="F51" s="6">
        <v>2.6930000000000001</v>
      </c>
      <c r="G51" s="6">
        <f t="shared" si="0"/>
        <v>0</v>
      </c>
    </row>
    <row r="52" spans="1:7" ht="18.95" customHeight="1">
      <c r="A52" s="1">
        <v>46</v>
      </c>
      <c r="B52" s="6">
        <v>0.38333333333333369</v>
      </c>
      <c r="C52" s="6">
        <f>TimeStep!B52</f>
        <v>383.33333333333337</v>
      </c>
      <c r="D52" s="6">
        <v>-21.944299999999998</v>
      </c>
      <c r="E52" s="6">
        <v>-2.742</v>
      </c>
      <c r="F52" s="6">
        <v>2.645</v>
      </c>
      <c r="G52" s="6">
        <f t="shared" si="0"/>
        <v>0</v>
      </c>
    </row>
    <row r="53" spans="1:7" ht="18.95" customHeight="1">
      <c r="A53" s="1">
        <v>47</v>
      </c>
      <c r="B53" s="6">
        <v>0.39166666666666705</v>
      </c>
      <c r="C53" s="6">
        <f>TimeStep!B53</f>
        <v>391.66666666666669</v>
      </c>
      <c r="D53" s="6">
        <v>-22.2881</v>
      </c>
      <c r="E53" s="6">
        <v>-2.7879999999999998</v>
      </c>
      <c r="F53" s="6">
        <v>2.597</v>
      </c>
      <c r="G53" s="6">
        <f t="shared" si="0"/>
        <v>0</v>
      </c>
    </row>
    <row r="54" spans="1:7" ht="18.95" customHeight="1">
      <c r="A54" s="1">
        <v>48</v>
      </c>
      <c r="B54" s="6">
        <v>0.40000000000000041</v>
      </c>
      <c r="C54" s="6">
        <f>TimeStep!B54</f>
        <v>400</v>
      </c>
      <c r="D54" s="6">
        <v>-22.631799999999998</v>
      </c>
      <c r="E54" s="6">
        <v>-2.8330000000000002</v>
      </c>
      <c r="F54" s="6">
        <v>2.548</v>
      </c>
      <c r="G54" s="6">
        <f t="shared" si="0"/>
        <v>0</v>
      </c>
    </row>
    <row r="55" spans="1:7" ht="18.95" customHeight="1">
      <c r="A55" s="1">
        <v>49</v>
      </c>
      <c r="B55" s="6">
        <v>0.40833333333333377</v>
      </c>
      <c r="C55" s="6">
        <f>TimeStep!B55</f>
        <v>408.33333333333337</v>
      </c>
      <c r="D55" s="6">
        <v>-22.9756</v>
      </c>
      <c r="E55" s="6">
        <v>-2.8769999999999998</v>
      </c>
      <c r="F55" s="6">
        <v>2.4980000000000002</v>
      </c>
      <c r="G55" s="6">
        <f t="shared" si="0"/>
        <v>0</v>
      </c>
    </row>
    <row r="56" spans="1:7" ht="18.95" customHeight="1">
      <c r="A56" s="1">
        <v>50</v>
      </c>
      <c r="B56" s="6">
        <v>0.41666666666666713</v>
      </c>
      <c r="C56" s="6">
        <f>TimeStep!B56</f>
        <v>416.66666666666669</v>
      </c>
      <c r="D56" s="6">
        <v>-23.319400000000002</v>
      </c>
      <c r="E56" s="6">
        <v>-2.92</v>
      </c>
      <c r="F56" s="6">
        <v>2.4470000000000001</v>
      </c>
      <c r="G56" s="6">
        <f t="shared" si="0"/>
        <v>-4.5474735088646412E-13</v>
      </c>
    </row>
    <row r="57" spans="1:7" ht="18.95" customHeight="1">
      <c r="A57" s="1">
        <v>51</v>
      </c>
      <c r="B57" s="6">
        <v>0.42500000000000049</v>
      </c>
      <c r="C57" s="6">
        <f>TimeStep!B57</f>
        <v>425.00000000000006</v>
      </c>
      <c r="D57" s="6">
        <v>-23.605899999999998</v>
      </c>
      <c r="E57" s="6">
        <v>-2.9620000000000002</v>
      </c>
      <c r="F57" s="6">
        <v>2.3959999999999999</v>
      </c>
      <c r="G57" s="6">
        <f t="shared" si="0"/>
        <v>-4.5474735088646412E-13</v>
      </c>
    </row>
    <row r="58" spans="1:7" ht="18.95" customHeight="1">
      <c r="A58" s="1">
        <v>52</v>
      </c>
      <c r="B58" s="6">
        <v>0.43333333333333385</v>
      </c>
      <c r="C58" s="6">
        <f>TimeStep!B58</f>
        <v>433.33333333333337</v>
      </c>
      <c r="D58" s="6">
        <v>-23.9496</v>
      </c>
      <c r="E58" s="6">
        <v>-3.004</v>
      </c>
      <c r="F58" s="6">
        <v>2.3439999999999999</v>
      </c>
      <c r="G58" s="6">
        <f t="shared" si="0"/>
        <v>-4.5474735088646412E-13</v>
      </c>
    </row>
    <row r="59" spans="1:7" ht="18.95" customHeight="1">
      <c r="A59" s="1">
        <v>53</v>
      </c>
      <c r="B59" s="6">
        <v>0.44166666666666721</v>
      </c>
      <c r="C59" s="6">
        <f>TimeStep!B59</f>
        <v>441.66666666666669</v>
      </c>
      <c r="D59" s="6">
        <v>-24.2361</v>
      </c>
      <c r="E59" s="6">
        <v>-3.044</v>
      </c>
      <c r="F59" s="6">
        <v>2.2909999999999999</v>
      </c>
      <c r="G59" s="6">
        <f t="shared" si="0"/>
        <v>-5.1159076974727213E-13</v>
      </c>
    </row>
    <row r="60" spans="1:7" ht="18.95" customHeight="1">
      <c r="A60" s="1">
        <v>54</v>
      </c>
      <c r="B60" s="6">
        <v>0.45000000000000057</v>
      </c>
      <c r="C60" s="6">
        <f>TimeStep!B60</f>
        <v>450.00000000000006</v>
      </c>
      <c r="D60" s="6">
        <v>-24.522600000000001</v>
      </c>
      <c r="E60" s="6">
        <v>-3.0840000000000001</v>
      </c>
      <c r="F60" s="6">
        <v>2.238</v>
      </c>
      <c r="G60" s="6">
        <f t="shared" si="0"/>
        <v>-5.1159076974727213E-13</v>
      </c>
    </row>
    <row r="61" spans="1:7" ht="18.95" customHeight="1">
      <c r="A61" s="1">
        <v>55</v>
      </c>
      <c r="B61" s="6">
        <v>0.45833333333333393</v>
      </c>
      <c r="C61" s="6">
        <f>TimeStep!B61</f>
        <v>458.33333333333337</v>
      </c>
      <c r="D61" s="6">
        <v>-24.866399999999999</v>
      </c>
      <c r="E61" s="6">
        <v>-3.1219999999999999</v>
      </c>
      <c r="F61" s="6">
        <v>2.1829999999999998</v>
      </c>
      <c r="G61" s="6">
        <f t="shared" si="0"/>
        <v>-5.6843418860808015E-13</v>
      </c>
    </row>
    <row r="62" spans="1:7" ht="18.95" customHeight="1">
      <c r="A62" s="1">
        <v>56</v>
      </c>
      <c r="B62" s="6">
        <v>0.46666666666666728</v>
      </c>
      <c r="C62" s="6">
        <f>TimeStep!B62</f>
        <v>466.66666666666669</v>
      </c>
      <c r="D62" s="6">
        <v>-25.152799999999999</v>
      </c>
      <c r="E62" s="6">
        <v>-3.16</v>
      </c>
      <c r="F62" s="6">
        <v>2.129</v>
      </c>
      <c r="G62" s="6">
        <f t="shared" si="0"/>
        <v>-6.2527760746888816E-13</v>
      </c>
    </row>
    <row r="63" spans="1:7" ht="18.95" customHeight="1">
      <c r="A63" s="1">
        <v>57</v>
      </c>
      <c r="B63" s="6">
        <v>0.47500000000000064</v>
      </c>
      <c r="C63" s="6">
        <f>TimeStep!B63</f>
        <v>475.00000000000006</v>
      </c>
      <c r="D63" s="6">
        <v>-25.382000000000001</v>
      </c>
      <c r="E63" s="6">
        <v>-3.1970000000000001</v>
      </c>
      <c r="F63" s="6">
        <v>2.073</v>
      </c>
      <c r="G63" s="6">
        <f t="shared" si="0"/>
        <v>-5.6843418860808015E-13</v>
      </c>
    </row>
    <row r="64" spans="1:7" ht="18.95" customHeight="1">
      <c r="A64" s="1">
        <v>58</v>
      </c>
      <c r="B64" s="6">
        <v>0.483333333333334</v>
      </c>
      <c r="C64" s="6">
        <f>TimeStep!B64</f>
        <v>483.33333333333337</v>
      </c>
      <c r="D64" s="6">
        <v>-25.668500000000002</v>
      </c>
      <c r="E64" s="6">
        <v>-3.2320000000000002</v>
      </c>
      <c r="F64" s="6">
        <v>2.0169999999999999</v>
      </c>
      <c r="G64" s="6">
        <f t="shared" si="0"/>
        <v>-6.2527760746888816E-13</v>
      </c>
    </row>
    <row r="65" spans="1:7" ht="18.95" customHeight="1">
      <c r="A65" s="1">
        <v>59</v>
      </c>
      <c r="B65" s="6">
        <v>0.49166666666666736</v>
      </c>
      <c r="C65" s="6">
        <f>TimeStep!B65</f>
        <v>491.66666666666669</v>
      </c>
      <c r="D65" s="6">
        <v>-25.954999999999998</v>
      </c>
      <c r="E65" s="6">
        <v>-3.2669999999999999</v>
      </c>
      <c r="F65" s="6">
        <v>1.96</v>
      </c>
      <c r="G65" s="6">
        <f t="shared" si="0"/>
        <v>-6.8212102632969618E-13</v>
      </c>
    </row>
    <row r="66" spans="1:7" ht="18.95" customHeight="1">
      <c r="A66" s="1">
        <v>60</v>
      </c>
      <c r="B66" s="6">
        <v>0.50000000000000067</v>
      </c>
      <c r="C66" s="6">
        <f>TimeStep!B66</f>
        <v>500.00000000000006</v>
      </c>
      <c r="D66" s="6">
        <v>-26.184200000000001</v>
      </c>
      <c r="E66" s="6">
        <v>-3.3010000000000002</v>
      </c>
      <c r="F66" s="6">
        <v>1.903</v>
      </c>
      <c r="G66" s="6">
        <f t="shared" si="0"/>
        <v>-6.2527760746888816E-13</v>
      </c>
    </row>
    <row r="67" spans="1:7" ht="18.95" customHeight="1">
      <c r="A67" s="1">
        <v>61</v>
      </c>
      <c r="B67" s="6">
        <v>0.50833333333333397</v>
      </c>
      <c r="C67" s="6">
        <f>TimeStep!B67</f>
        <v>508.33333333333337</v>
      </c>
      <c r="D67" s="6">
        <v>-26.413399999999999</v>
      </c>
      <c r="E67" s="6">
        <v>-3.3330000000000002</v>
      </c>
      <c r="F67" s="6">
        <v>1.845</v>
      </c>
      <c r="G67" s="6">
        <f t="shared" si="0"/>
        <v>-6.2527760746888816E-13</v>
      </c>
    </row>
    <row r="68" spans="1:7" ht="18.95" customHeight="1">
      <c r="A68" s="1">
        <v>62</v>
      </c>
      <c r="B68" s="6">
        <v>0.51666666666666727</v>
      </c>
      <c r="C68" s="6">
        <f>TimeStep!B68</f>
        <v>516.66666666666674</v>
      </c>
      <c r="D68" s="6">
        <v>-26.6998</v>
      </c>
      <c r="E68" s="6">
        <v>-3.3650000000000002</v>
      </c>
      <c r="F68" s="6">
        <v>1.7869999999999999</v>
      </c>
      <c r="G68" s="6">
        <f t="shared" si="0"/>
        <v>0</v>
      </c>
    </row>
    <row r="69" spans="1:7" ht="18.95" customHeight="1">
      <c r="A69" s="1">
        <v>63</v>
      </c>
      <c r="B69" s="6">
        <v>0.52500000000000058</v>
      </c>
      <c r="C69" s="6">
        <f>TimeStep!B69</f>
        <v>525</v>
      </c>
      <c r="D69" s="6">
        <v>-26.928999999999998</v>
      </c>
      <c r="E69" s="6">
        <v>-3.3959999999999999</v>
      </c>
      <c r="F69" s="6">
        <v>1.728</v>
      </c>
      <c r="G69" s="6">
        <f t="shared" si="0"/>
        <v>0</v>
      </c>
    </row>
    <row r="70" spans="1:7" ht="18.95" customHeight="1">
      <c r="A70" s="1">
        <v>64</v>
      </c>
      <c r="B70" s="6">
        <v>0.53333333333333388</v>
      </c>
      <c r="C70" s="6">
        <f>TimeStep!B70</f>
        <v>533.33333333333337</v>
      </c>
      <c r="D70" s="6">
        <v>-27.158200000000001</v>
      </c>
      <c r="E70" s="6">
        <v>-3.4249999999999998</v>
      </c>
      <c r="F70" s="6">
        <v>1.6679999999999999</v>
      </c>
      <c r="G70" s="6">
        <f t="shared" ref="G70:G133" si="1">C70-B70*1000</f>
        <v>0</v>
      </c>
    </row>
    <row r="71" spans="1:7" ht="18.95" customHeight="1">
      <c r="A71" s="1">
        <v>65</v>
      </c>
      <c r="B71" s="6">
        <v>0.54166666666666718</v>
      </c>
      <c r="C71" s="6">
        <f>TimeStep!B71</f>
        <v>541.66666666666674</v>
      </c>
      <c r="D71" s="6">
        <v>-27.330100000000002</v>
      </c>
      <c r="E71" s="6">
        <v>-3.4540000000000002</v>
      </c>
      <c r="F71" s="6">
        <v>1.6080000000000001</v>
      </c>
      <c r="G71" s="6">
        <f t="shared" si="1"/>
        <v>0</v>
      </c>
    </row>
    <row r="72" spans="1:7" ht="18.95" customHeight="1">
      <c r="A72" s="1">
        <v>66</v>
      </c>
      <c r="B72" s="6">
        <v>0.55000000000000049</v>
      </c>
      <c r="C72" s="6">
        <f>TimeStep!B72</f>
        <v>550</v>
      </c>
      <c r="D72" s="6">
        <v>-27.5593</v>
      </c>
      <c r="E72" s="6">
        <v>-3.4809999999999999</v>
      </c>
      <c r="F72" s="6">
        <v>1.548</v>
      </c>
      <c r="G72" s="6">
        <f t="shared" si="1"/>
        <v>0</v>
      </c>
    </row>
    <row r="73" spans="1:7" ht="18.95" customHeight="1">
      <c r="A73" s="1">
        <v>67</v>
      </c>
      <c r="B73" s="6">
        <v>0.55833333333333379</v>
      </c>
      <c r="C73" s="6">
        <f>TimeStep!B73</f>
        <v>558.33333333333337</v>
      </c>
      <c r="D73" s="6">
        <v>-27.731200000000001</v>
      </c>
      <c r="E73" s="6">
        <v>-3.508</v>
      </c>
      <c r="F73" s="6">
        <v>1.4870000000000001</v>
      </c>
      <c r="G73" s="6">
        <f t="shared" si="1"/>
        <v>0</v>
      </c>
    </row>
    <row r="74" spans="1:7" ht="18.95" customHeight="1">
      <c r="A74" s="1">
        <v>68</v>
      </c>
      <c r="B74" s="6">
        <v>0.5666666666666671</v>
      </c>
      <c r="C74" s="6">
        <f>TimeStep!B74</f>
        <v>566.66666666666674</v>
      </c>
      <c r="D74" s="6">
        <v>-27.9603</v>
      </c>
      <c r="E74" s="6">
        <v>-3.5329999999999999</v>
      </c>
      <c r="F74" s="6">
        <v>1.425</v>
      </c>
      <c r="G74" s="6">
        <f t="shared" si="1"/>
        <v>0</v>
      </c>
    </row>
    <row r="75" spans="1:7" ht="18.95" customHeight="1">
      <c r="A75" s="1">
        <v>69</v>
      </c>
      <c r="B75" s="6">
        <v>0.5750000000000004</v>
      </c>
      <c r="C75" s="6">
        <f>TimeStep!B75</f>
        <v>575</v>
      </c>
      <c r="D75" s="6">
        <v>-28.132200000000001</v>
      </c>
      <c r="E75" s="6">
        <v>-3.5579999999999998</v>
      </c>
      <c r="F75" s="6">
        <v>1.363</v>
      </c>
      <c r="G75" s="6">
        <f t="shared" si="1"/>
        <v>0</v>
      </c>
    </row>
    <row r="76" spans="1:7" ht="18.95" customHeight="1">
      <c r="A76" s="1">
        <v>70</v>
      </c>
      <c r="B76" s="6">
        <v>0.5833333333333337</v>
      </c>
      <c r="C76" s="6">
        <f>TimeStep!B76</f>
        <v>583.33333333333337</v>
      </c>
      <c r="D76" s="6">
        <v>-28.304099999999998</v>
      </c>
      <c r="E76" s="6">
        <v>-3.581</v>
      </c>
      <c r="F76" s="6">
        <v>1.3009999999999999</v>
      </c>
      <c r="G76" s="6">
        <f t="shared" si="1"/>
        <v>0</v>
      </c>
    </row>
    <row r="77" spans="1:7" ht="18.95" customHeight="1">
      <c r="A77" s="1">
        <v>71</v>
      </c>
      <c r="B77" s="6">
        <v>0.59166666666666701</v>
      </c>
      <c r="C77" s="6">
        <f>TimeStep!B77</f>
        <v>591.66666666666674</v>
      </c>
      <c r="D77" s="6">
        <v>-28.475999999999999</v>
      </c>
      <c r="E77" s="6">
        <v>-3.6030000000000002</v>
      </c>
      <c r="F77" s="6">
        <v>1.238</v>
      </c>
      <c r="G77" s="6">
        <f t="shared" si="1"/>
        <v>0</v>
      </c>
    </row>
    <row r="78" spans="1:7" ht="18.95" customHeight="1">
      <c r="A78" s="1">
        <v>72</v>
      </c>
      <c r="B78" s="6">
        <v>0.60000000000000031</v>
      </c>
      <c r="C78" s="6">
        <f>TimeStep!B78</f>
        <v>600</v>
      </c>
      <c r="D78" s="6">
        <v>-28.6479</v>
      </c>
      <c r="E78" s="6">
        <v>-3.6240000000000001</v>
      </c>
      <c r="F78" s="6">
        <v>1.175</v>
      </c>
      <c r="G78" s="6">
        <f t="shared" si="1"/>
        <v>0</v>
      </c>
    </row>
    <row r="79" spans="1:7" ht="18.95" customHeight="1">
      <c r="A79" s="1">
        <v>73</v>
      </c>
      <c r="B79" s="6">
        <v>0.60833333333333361</v>
      </c>
      <c r="C79" s="6">
        <f>TimeStep!B79</f>
        <v>608.33333333333337</v>
      </c>
      <c r="D79" s="6">
        <v>-28.762499999999999</v>
      </c>
      <c r="E79" s="6">
        <v>-3.6440000000000001</v>
      </c>
      <c r="F79" s="6">
        <v>1.1120000000000001</v>
      </c>
      <c r="G79" s="6">
        <f t="shared" si="1"/>
        <v>0</v>
      </c>
    </row>
    <row r="80" spans="1:7" ht="18.95" customHeight="1">
      <c r="A80" s="1">
        <v>74</v>
      </c>
      <c r="B80" s="6">
        <v>0.61666666666666692</v>
      </c>
      <c r="C80" s="6">
        <f>TimeStep!B80</f>
        <v>616.66666666666674</v>
      </c>
      <c r="D80" s="6">
        <v>-28.9344</v>
      </c>
      <c r="E80" s="6">
        <v>-3.6629999999999998</v>
      </c>
      <c r="F80" s="6">
        <v>1.048</v>
      </c>
      <c r="G80" s="6">
        <f t="shared" si="1"/>
        <v>0</v>
      </c>
    </row>
    <row r="81" spans="1:7" ht="18.95" customHeight="1">
      <c r="A81" s="1">
        <v>75</v>
      </c>
      <c r="B81" s="6">
        <v>0.62500000000000022</v>
      </c>
      <c r="C81" s="6">
        <f>TimeStep!B81</f>
        <v>625</v>
      </c>
      <c r="D81" s="6">
        <v>-29.048999999999999</v>
      </c>
      <c r="E81" s="6">
        <v>-3.681</v>
      </c>
      <c r="F81" s="6">
        <v>0.98399999999999999</v>
      </c>
      <c r="G81" s="6">
        <f t="shared" si="1"/>
        <v>0</v>
      </c>
    </row>
    <row r="82" spans="1:7" ht="18.95" customHeight="1">
      <c r="A82" s="1">
        <v>76</v>
      </c>
      <c r="B82" s="6">
        <v>0.63333333333333353</v>
      </c>
      <c r="C82" s="6">
        <f>TimeStep!B82</f>
        <v>633.33333333333337</v>
      </c>
      <c r="D82" s="6">
        <v>-29.163599999999999</v>
      </c>
      <c r="E82" s="6">
        <v>-3.6970000000000001</v>
      </c>
      <c r="F82" s="6">
        <v>0.92</v>
      </c>
      <c r="G82" s="6">
        <f t="shared" si="1"/>
        <v>0</v>
      </c>
    </row>
    <row r="83" spans="1:7" ht="18.95" customHeight="1">
      <c r="A83" s="1">
        <v>77</v>
      </c>
      <c r="B83" s="6">
        <v>0.64166666666666683</v>
      </c>
      <c r="C83" s="6">
        <f>TimeStep!B83</f>
        <v>641.66666666666674</v>
      </c>
      <c r="D83" s="6">
        <v>-29.278099999999998</v>
      </c>
      <c r="E83" s="6">
        <v>-3.7130000000000001</v>
      </c>
      <c r="F83" s="6">
        <v>0.85499999999999998</v>
      </c>
      <c r="G83" s="6">
        <f t="shared" si="1"/>
        <v>0</v>
      </c>
    </row>
    <row r="84" spans="1:7" ht="18.95" customHeight="1">
      <c r="A84" s="1">
        <v>78</v>
      </c>
      <c r="B84" s="6">
        <v>0.65000000000000013</v>
      </c>
      <c r="C84" s="6">
        <f>TimeStep!B84</f>
        <v>650</v>
      </c>
      <c r="D84" s="6">
        <v>-29.392700000000001</v>
      </c>
      <c r="E84" s="6">
        <v>-3.7269999999999999</v>
      </c>
      <c r="F84" s="6">
        <v>0.79</v>
      </c>
      <c r="G84" s="6">
        <f t="shared" si="1"/>
        <v>0</v>
      </c>
    </row>
    <row r="85" spans="1:7" ht="18.95" customHeight="1">
      <c r="A85" s="1">
        <v>79</v>
      </c>
      <c r="B85" s="6">
        <v>0.65833333333333344</v>
      </c>
      <c r="C85" s="6">
        <f>TimeStep!B85</f>
        <v>658.33333333333337</v>
      </c>
      <c r="D85" s="6">
        <v>-29.507300000000001</v>
      </c>
      <c r="E85" s="6">
        <v>-3.74</v>
      </c>
      <c r="F85" s="6">
        <v>0.72499999999999998</v>
      </c>
      <c r="G85" s="6">
        <f t="shared" si="1"/>
        <v>0</v>
      </c>
    </row>
    <row r="86" spans="1:7" ht="18.95" customHeight="1">
      <c r="A86" s="1">
        <v>80</v>
      </c>
      <c r="B86" s="6">
        <v>0.66666666666666674</v>
      </c>
      <c r="C86" s="6">
        <f>TimeStep!B86</f>
        <v>666.66666666666674</v>
      </c>
      <c r="D86" s="6">
        <v>-29.564599999999999</v>
      </c>
      <c r="E86" s="6">
        <v>-3.7519999999999998</v>
      </c>
      <c r="F86" s="6">
        <v>0.65900000000000003</v>
      </c>
      <c r="G86" s="6">
        <f t="shared" si="1"/>
        <v>0</v>
      </c>
    </row>
    <row r="87" spans="1:7" ht="18.95" customHeight="1">
      <c r="A87" s="1">
        <v>81</v>
      </c>
      <c r="B87" s="6">
        <v>0.67500000000000004</v>
      </c>
      <c r="C87" s="6">
        <f>TimeStep!B87</f>
        <v>675</v>
      </c>
      <c r="D87" s="6">
        <v>-29.679200000000002</v>
      </c>
      <c r="E87" s="6">
        <v>-3.7629999999999999</v>
      </c>
      <c r="F87" s="6">
        <v>0.59399999999999997</v>
      </c>
      <c r="G87" s="6">
        <f t="shared" si="1"/>
        <v>0</v>
      </c>
    </row>
    <row r="88" spans="1:7" ht="18.95" customHeight="1">
      <c r="A88" s="1">
        <v>82</v>
      </c>
      <c r="B88" s="6">
        <v>0.68333333333333335</v>
      </c>
      <c r="C88" s="6">
        <f>TimeStep!B88</f>
        <v>683.33333333333337</v>
      </c>
      <c r="D88" s="6">
        <v>-29.736499999999999</v>
      </c>
      <c r="E88" s="6">
        <v>-3.7730000000000001</v>
      </c>
      <c r="F88" s="6">
        <v>0.52800000000000002</v>
      </c>
      <c r="G88" s="6">
        <f t="shared" si="1"/>
        <v>0</v>
      </c>
    </row>
    <row r="89" spans="1:7" ht="18.95" customHeight="1">
      <c r="A89" s="1">
        <v>83</v>
      </c>
      <c r="B89" s="6">
        <v>0.69166666666666665</v>
      </c>
      <c r="C89" s="6">
        <f>TimeStep!B89</f>
        <v>691.66666666666674</v>
      </c>
      <c r="D89" s="6">
        <v>-29.793800000000001</v>
      </c>
      <c r="E89" s="6">
        <v>-3.782</v>
      </c>
      <c r="F89" s="6">
        <v>0.46200000000000002</v>
      </c>
      <c r="G89" s="6">
        <f t="shared" si="1"/>
        <v>0</v>
      </c>
    </row>
    <row r="90" spans="1:7" ht="18.95" customHeight="1">
      <c r="A90" s="1">
        <v>84</v>
      </c>
      <c r="B90" s="6">
        <v>0.7</v>
      </c>
      <c r="C90" s="6">
        <f>TimeStep!B90</f>
        <v>700</v>
      </c>
      <c r="D90" s="6">
        <v>-29.851099999999999</v>
      </c>
      <c r="E90" s="6">
        <v>-3.7890000000000001</v>
      </c>
      <c r="F90" s="6">
        <v>0.39600000000000002</v>
      </c>
      <c r="G90" s="6">
        <f t="shared" si="1"/>
        <v>0</v>
      </c>
    </row>
    <row r="91" spans="1:7" ht="18.95" customHeight="1">
      <c r="A91" s="1">
        <v>85</v>
      </c>
      <c r="B91" s="6">
        <v>0.70833333333333326</v>
      </c>
      <c r="C91" s="6">
        <f>TimeStep!B91</f>
        <v>708.33333333333337</v>
      </c>
      <c r="D91" s="6">
        <v>-29.9084</v>
      </c>
      <c r="E91" s="6">
        <v>-3.7959999999999998</v>
      </c>
      <c r="F91" s="6">
        <v>0.33</v>
      </c>
      <c r="G91" s="6">
        <f t="shared" si="1"/>
        <v>0</v>
      </c>
    </row>
    <row r="92" spans="1:7" ht="18.95" customHeight="1">
      <c r="A92" s="1">
        <v>86</v>
      </c>
      <c r="B92" s="6">
        <v>0.71666666666666656</v>
      </c>
      <c r="C92" s="6">
        <f>TimeStep!B92</f>
        <v>716.66666666666674</v>
      </c>
      <c r="D92" s="6">
        <v>-29.9084</v>
      </c>
      <c r="E92" s="6">
        <v>-3.8010000000000002</v>
      </c>
      <c r="F92" s="6">
        <v>0.26300000000000001</v>
      </c>
      <c r="G92" s="6">
        <f t="shared" si="1"/>
        <v>0</v>
      </c>
    </row>
    <row r="93" spans="1:7" ht="18.95" customHeight="1">
      <c r="A93" s="1">
        <v>87</v>
      </c>
      <c r="B93" s="6">
        <v>0.72499999999999987</v>
      </c>
      <c r="C93" s="6">
        <f>TimeStep!B93</f>
        <v>725</v>
      </c>
      <c r="D93" s="6">
        <v>-29.965699999999998</v>
      </c>
      <c r="E93" s="6">
        <v>-3.8050000000000002</v>
      </c>
      <c r="F93" s="6">
        <v>0.19700000000000001</v>
      </c>
      <c r="G93" s="6">
        <f t="shared" si="1"/>
        <v>0</v>
      </c>
    </row>
    <row r="94" spans="1:7" ht="18.95" customHeight="1">
      <c r="A94" s="1">
        <v>88</v>
      </c>
      <c r="B94" s="6">
        <v>0.73333333333333317</v>
      </c>
      <c r="C94" s="6">
        <f>TimeStep!B94</f>
        <v>733.33333333333337</v>
      </c>
      <c r="D94" s="6">
        <v>-29.965699999999998</v>
      </c>
      <c r="E94" s="6">
        <v>-3.8079999999999998</v>
      </c>
      <c r="F94" s="6">
        <v>0.13100000000000001</v>
      </c>
      <c r="G94" s="6">
        <f t="shared" si="1"/>
        <v>0</v>
      </c>
    </row>
    <row r="95" spans="1:7" ht="18.95" customHeight="1">
      <c r="A95" s="1">
        <v>89</v>
      </c>
      <c r="B95" s="6">
        <v>0.74166666666666647</v>
      </c>
      <c r="C95" s="6">
        <f>TimeStep!B95</f>
        <v>741.66666666666674</v>
      </c>
      <c r="D95" s="6">
        <v>-30.023</v>
      </c>
      <c r="E95" s="6">
        <v>-3.8090000000000002</v>
      </c>
      <c r="F95" s="6">
        <v>6.4000000000000001E-2</v>
      </c>
      <c r="G95" s="6">
        <f t="shared" si="1"/>
        <v>0</v>
      </c>
    </row>
    <row r="96" spans="1:7" ht="18.95" customHeight="1">
      <c r="A96" s="1">
        <v>90</v>
      </c>
      <c r="B96" s="6">
        <v>0.74999999999999978</v>
      </c>
      <c r="C96" s="6">
        <f>TimeStep!B96</f>
        <v>750</v>
      </c>
      <c r="D96" s="6">
        <v>-30.023</v>
      </c>
      <c r="E96" s="6">
        <v>-3.81</v>
      </c>
      <c r="F96" s="6">
        <v>-2E-3</v>
      </c>
      <c r="G96" s="6">
        <f t="shared" si="1"/>
        <v>0</v>
      </c>
    </row>
    <row r="97" spans="1:7" ht="18.95" customHeight="1">
      <c r="A97" s="1">
        <v>91</v>
      </c>
      <c r="B97" s="6">
        <v>0.75833333333333308</v>
      </c>
      <c r="C97" s="6">
        <f>TimeStep!B97</f>
        <v>758.33333333333337</v>
      </c>
      <c r="D97" s="6">
        <v>-30.023</v>
      </c>
      <c r="E97" s="6">
        <v>-3.8090000000000002</v>
      </c>
      <c r="F97" s="6">
        <v>-6.9000000000000006E-2</v>
      </c>
      <c r="G97" s="6">
        <f t="shared" si="1"/>
        <v>0</v>
      </c>
    </row>
    <row r="98" spans="1:7" ht="18.95" customHeight="1">
      <c r="A98" s="1">
        <v>92</v>
      </c>
      <c r="B98" s="6">
        <v>0.76666666666666639</v>
      </c>
      <c r="C98" s="6">
        <f>TimeStep!B98</f>
        <v>766.66666666666674</v>
      </c>
      <c r="D98" s="6">
        <v>-29.965699999999998</v>
      </c>
      <c r="E98" s="6">
        <v>-3.8079999999999998</v>
      </c>
      <c r="F98" s="6">
        <v>-0.13500000000000001</v>
      </c>
      <c r="G98" s="6">
        <f t="shared" si="1"/>
        <v>0</v>
      </c>
    </row>
    <row r="99" spans="1:7" ht="18.95" customHeight="1">
      <c r="A99" s="1">
        <v>93</v>
      </c>
      <c r="B99" s="6">
        <v>0.77499999999999969</v>
      </c>
      <c r="C99" s="6">
        <f>TimeStep!B99</f>
        <v>775</v>
      </c>
      <c r="D99" s="6">
        <v>-29.965699999999998</v>
      </c>
      <c r="E99" s="6">
        <v>-3.8050000000000002</v>
      </c>
      <c r="F99" s="6">
        <v>-0.20200000000000001</v>
      </c>
      <c r="G99" s="6">
        <f t="shared" si="1"/>
        <v>0</v>
      </c>
    </row>
    <row r="100" spans="1:7" ht="18.95" customHeight="1">
      <c r="A100" s="1">
        <v>94</v>
      </c>
      <c r="B100" s="6">
        <v>0.78333333333333299</v>
      </c>
      <c r="C100" s="6">
        <f>TimeStep!B100</f>
        <v>783.33333333333337</v>
      </c>
      <c r="D100" s="6">
        <v>-29.9084</v>
      </c>
      <c r="E100" s="6">
        <v>-3.8010000000000002</v>
      </c>
      <c r="F100" s="6">
        <v>-0.26800000000000002</v>
      </c>
      <c r="G100" s="6">
        <f t="shared" si="1"/>
        <v>0</v>
      </c>
    </row>
    <row r="101" spans="1:7" ht="18.95" customHeight="1">
      <c r="A101" s="1">
        <v>95</v>
      </c>
      <c r="B101" s="6">
        <v>0.7916666666666663</v>
      </c>
      <c r="C101" s="6">
        <f>TimeStep!B101</f>
        <v>791.66666666666674</v>
      </c>
      <c r="D101" s="6">
        <v>-29.9084</v>
      </c>
      <c r="E101" s="6">
        <v>-3.7949999999999999</v>
      </c>
      <c r="F101" s="6">
        <v>-0.33400000000000002</v>
      </c>
      <c r="G101" s="6">
        <f t="shared" si="1"/>
        <v>0</v>
      </c>
    </row>
    <row r="102" spans="1:7" ht="18.95" customHeight="1">
      <c r="A102" s="1">
        <v>96</v>
      </c>
      <c r="B102" s="6">
        <v>0.7999999999999996</v>
      </c>
      <c r="C102" s="6">
        <f>TimeStep!B102</f>
        <v>800</v>
      </c>
      <c r="D102" s="6">
        <v>-29.851099999999999</v>
      </c>
      <c r="E102" s="6">
        <v>-3.7890000000000001</v>
      </c>
      <c r="F102" s="6">
        <v>-0.40100000000000002</v>
      </c>
      <c r="G102" s="6">
        <f t="shared" si="1"/>
        <v>0</v>
      </c>
    </row>
    <row r="103" spans="1:7" ht="18.95" customHeight="1">
      <c r="A103" s="1">
        <v>97</v>
      </c>
      <c r="B103" s="6">
        <v>0.8083333333333329</v>
      </c>
      <c r="C103" s="6">
        <f>TimeStep!B103</f>
        <v>808.33333333333337</v>
      </c>
      <c r="D103" s="6">
        <v>-29.793800000000001</v>
      </c>
      <c r="E103" s="6">
        <v>-3.7810000000000001</v>
      </c>
      <c r="F103" s="6">
        <v>-0.46700000000000003</v>
      </c>
      <c r="G103" s="6">
        <f t="shared" si="1"/>
        <v>0</v>
      </c>
    </row>
    <row r="104" spans="1:7" ht="18.95" customHeight="1">
      <c r="A104" s="1">
        <v>98</v>
      </c>
      <c r="B104" s="6">
        <v>0.81666666666666621</v>
      </c>
      <c r="C104" s="6">
        <f>TimeStep!B104</f>
        <v>816.66666666666674</v>
      </c>
      <c r="D104" s="6">
        <v>-29.736499999999999</v>
      </c>
      <c r="E104" s="6">
        <v>-3.7730000000000001</v>
      </c>
      <c r="F104" s="6">
        <v>-0.53300000000000003</v>
      </c>
      <c r="G104" s="6">
        <f t="shared" si="1"/>
        <v>0</v>
      </c>
    </row>
    <row r="105" spans="1:7" ht="18.95" customHeight="1">
      <c r="A105" s="1">
        <v>99</v>
      </c>
      <c r="B105" s="6">
        <v>0.82499999999999951</v>
      </c>
      <c r="C105" s="6">
        <f>TimeStep!B105</f>
        <v>825.00000000000011</v>
      </c>
      <c r="D105" s="6">
        <v>-29.6219</v>
      </c>
      <c r="E105" s="6">
        <v>-3.7629999999999999</v>
      </c>
      <c r="F105" s="6">
        <v>-0.59799999999999998</v>
      </c>
      <c r="G105" s="6">
        <f t="shared" si="1"/>
        <v>0</v>
      </c>
    </row>
    <row r="106" spans="1:7" ht="18.95" customHeight="1">
      <c r="A106" s="1">
        <v>100</v>
      </c>
      <c r="B106" s="6">
        <v>0.83333333333333282</v>
      </c>
      <c r="C106" s="6">
        <f>TimeStep!B106</f>
        <v>833.33333333333337</v>
      </c>
      <c r="D106" s="6">
        <v>-29.564599999999999</v>
      </c>
      <c r="E106" s="6">
        <v>-3.7519999999999998</v>
      </c>
      <c r="F106" s="6">
        <v>-0.66400000000000003</v>
      </c>
      <c r="G106" s="6">
        <f t="shared" si="1"/>
        <v>0</v>
      </c>
    </row>
    <row r="107" spans="1:7" ht="18.95" customHeight="1">
      <c r="A107" s="1">
        <v>101</v>
      </c>
      <c r="B107" s="6">
        <v>0.84166666666666612</v>
      </c>
      <c r="C107" s="6">
        <f>TimeStep!B107</f>
        <v>841.66666666666674</v>
      </c>
      <c r="D107" s="6">
        <v>-29.507300000000001</v>
      </c>
      <c r="E107" s="6">
        <v>-3.7389999999999999</v>
      </c>
      <c r="F107" s="6">
        <v>-0.72899999999999998</v>
      </c>
      <c r="G107" s="6">
        <f t="shared" si="1"/>
        <v>0</v>
      </c>
    </row>
    <row r="108" spans="1:7" ht="18.95" customHeight="1">
      <c r="A108" s="1">
        <v>102</v>
      </c>
      <c r="B108" s="6">
        <v>0.84999999999999942</v>
      </c>
      <c r="C108" s="6">
        <f>TimeStep!B108</f>
        <v>850.00000000000011</v>
      </c>
      <c r="D108" s="6">
        <v>-29.392700000000001</v>
      </c>
      <c r="E108" s="6">
        <v>-3.726</v>
      </c>
      <c r="F108" s="6">
        <v>-0.79500000000000004</v>
      </c>
      <c r="G108" s="6">
        <f t="shared" si="1"/>
        <v>0</v>
      </c>
    </row>
    <row r="109" spans="1:7" ht="18.95" customHeight="1">
      <c r="A109" s="1">
        <v>103</v>
      </c>
      <c r="B109" s="6">
        <v>0.85833333333333273</v>
      </c>
      <c r="C109" s="6">
        <f>TimeStep!B109</f>
        <v>858.33333333333337</v>
      </c>
      <c r="D109" s="6">
        <v>-29.278099999999998</v>
      </c>
      <c r="E109" s="6">
        <v>-3.7120000000000002</v>
      </c>
      <c r="F109" s="6">
        <v>-0.86</v>
      </c>
      <c r="G109" s="6">
        <f t="shared" si="1"/>
        <v>0</v>
      </c>
    </row>
    <row r="110" spans="1:7" ht="18.95" customHeight="1">
      <c r="A110" s="1">
        <v>104</v>
      </c>
      <c r="B110" s="6">
        <v>0.86666666666666603</v>
      </c>
      <c r="C110" s="6">
        <f>TimeStep!B110</f>
        <v>866.66666666666674</v>
      </c>
      <c r="D110" s="6">
        <v>-29.163599999999999</v>
      </c>
      <c r="E110" s="6">
        <v>-3.6960000000000002</v>
      </c>
      <c r="F110" s="6">
        <v>-0.92400000000000004</v>
      </c>
      <c r="G110" s="6">
        <f t="shared" si="1"/>
        <v>0</v>
      </c>
    </row>
    <row r="111" spans="1:7" ht="18.95" customHeight="1">
      <c r="A111" s="1">
        <v>105</v>
      </c>
      <c r="B111" s="6">
        <v>0.87499999999999933</v>
      </c>
      <c r="C111" s="6">
        <f>TimeStep!B111</f>
        <v>875.00000000000011</v>
      </c>
      <c r="D111" s="6">
        <v>-29.048999999999999</v>
      </c>
      <c r="E111" s="6">
        <v>-3.6789999999999998</v>
      </c>
      <c r="F111" s="6">
        <v>-0.98899999999999999</v>
      </c>
      <c r="G111" s="6">
        <f t="shared" si="1"/>
        <v>0</v>
      </c>
    </row>
    <row r="112" spans="1:7" ht="18.95" customHeight="1">
      <c r="A112" s="1">
        <v>106</v>
      </c>
      <c r="B112" s="6">
        <v>0.88333333333333264</v>
      </c>
      <c r="C112" s="6">
        <f>TimeStep!B112</f>
        <v>883.33333333333337</v>
      </c>
      <c r="D112" s="6">
        <v>-28.877099999999999</v>
      </c>
      <c r="E112" s="6">
        <v>-3.6619999999999999</v>
      </c>
      <c r="F112" s="6">
        <v>-1.0529999999999999</v>
      </c>
      <c r="G112" s="6">
        <f t="shared" si="1"/>
        <v>0</v>
      </c>
    </row>
    <row r="113" spans="1:7" ht="18.95" customHeight="1">
      <c r="A113" s="1">
        <v>107</v>
      </c>
      <c r="B113" s="6">
        <v>0.89166666666666594</v>
      </c>
      <c r="C113" s="6">
        <f>TimeStep!B113</f>
        <v>891.66666666666674</v>
      </c>
      <c r="D113" s="6">
        <v>-28.762499999999999</v>
      </c>
      <c r="E113" s="6">
        <v>-3.6429999999999998</v>
      </c>
      <c r="F113" s="6">
        <v>-1.1160000000000001</v>
      </c>
      <c r="G113" s="6">
        <f t="shared" si="1"/>
        <v>0</v>
      </c>
    </row>
    <row r="114" spans="1:7" ht="18.95" customHeight="1">
      <c r="A114" s="1">
        <v>108</v>
      </c>
      <c r="B114" s="6">
        <v>0.89999999999999925</v>
      </c>
      <c r="C114" s="6">
        <f>TimeStep!B114</f>
        <v>900.00000000000011</v>
      </c>
      <c r="D114" s="6">
        <v>-28.590599999999998</v>
      </c>
      <c r="E114" s="6">
        <v>-3.6230000000000002</v>
      </c>
      <c r="F114" s="6">
        <v>-1.18</v>
      </c>
      <c r="G114" s="6">
        <f t="shared" si="1"/>
        <v>9.0949470177292824E-13</v>
      </c>
    </row>
    <row r="115" spans="1:7" ht="18.95" customHeight="1">
      <c r="A115" s="1">
        <v>109</v>
      </c>
      <c r="B115" s="6">
        <v>0.90833333333333255</v>
      </c>
      <c r="C115" s="6">
        <f>TimeStep!B115</f>
        <v>908.33333333333337</v>
      </c>
      <c r="D115" s="6">
        <v>-28.475999999999999</v>
      </c>
      <c r="E115" s="6">
        <v>-3.6019999999999999</v>
      </c>
      <c r="F115" s="6">
        <v>-1.2430000000000001</v>
      </c>
      <c r="G115" s="6">
        <f t="shared" si="1"/>
        <v>0</v>
      </c>
    </row>
    <row r="116" spans="1:7" ht="18.95" customHeight="1">
      <c r="A116" s="1">
        <v>110</v>
      </c>
      <c r="B116" s="6">
        <v>0.91666666666666585</v>
      </c>
      <c r="C116" s="6">
        <f>TimeStep!B116</f>
        <v>916.66666666666674</v>
      </c>
      <c r="D116" s="6">
        <v>-28.304099999999998</v>
      </c>
      <c r="E116" s="6">
        <v>-3.5790000000000002</v>
      </c>
      <c r="F116" s="6">
        <v>-1.306</v>
      </c>
      <c r="G116" s="6">
        <f t="shared" si="1"/>
        <v>9.0949470177292824E-13</v>
      </c>
    </row>
    <row r="117" spans="1:7" ht="18.95" customHeight="1">
      <c r="A117" s="1">
        <v>111</v>
      </c>
      <c r="B117" s="6">
        <v>0.92499999999999916</v>
      </c>
      <c r="C117" s="6">
        <f>TimeStep!B117</f>
        <v>925.00000000000011</v>
      </c>
      <c r="D117" s="6">
        <v>-28.132200000000001</v>
      </c>
      <c r="E117" s="6">
        <v>-3.556</v>
      </c>
      <c r="F117" s="6">
        <v>-1.3680000000000001</v>
      </c>
      <c r="G117" s="6">
        <f t="shared" si="1"/>
        <v>9.0949470177292824E-13</v>
      </c>
    </row>
    <row r="118" spans="1:7" ht="18.95" customHeight="1">
      <c r="A118" s="1">
        <v>112</v>
      </c>
      <c r="B118" s="6">
        <v>0.93333333333333246</v>
      </c>
      <c r="C118" s="6">
        <f>TimeStep!B118</f>
        <v>933.33333333333337</v>
      </c>
      <c r="D118" s="6">
        <v>-27.902999999999999</v>
      </c>
      <c r="E118" s="6">
        <v>-3.532</v>
      </c>
      <c r="F118" s="6">
        <v>-1.43</v>
      </c>
      <c r="G118" s="6">
        <f t="shared" si="1"/>
        <v>9.0949470177292824E-13</v>
      </c>
    </row>
    <row r="119" spans="1:7" ht="18.95" customHeight="1">
      <c r="A119" s="1">
        <v>113</v>
      </c>
      <c r="B119" s="6">
        <v>0.94166666666666576</v>
      </c>
      <c r="C119" s="6">
        <f>TimeStep!B119</f>
        <v>941.66666666666674</v>
      </c>
      <c r="D119" s="6">
        <v>-27.731200000000001</v>
      </c>
      <c r="E119" s="6">
        <v>-3.5059999999999998</v>
      </c>
      <c r="F119" s="6">
        <v>-1.4910000000000001</v>
      </c>
      <c r="G119" s="6">
        <f t="shared" si="1"/>
        <v>1.0231815394945443E-12</v>
      </c>
    </row>
    <row r="120" spans="1:7" ht="18.95" customHeight="1">
      <c r="A120" s="1">
        <v>114</v>
      </c>
      <c r="B120" s="6">
        <v>0.94999999999999907</v>
      </c>
      <c r="C120" s="6">
        <f>TimeStep!B120</f>
        <v>950.00000000000011</v>
      </c>
      <c r="D120" s="6">
        <v>-27.5593</v>
      </c>
      <c r="E120" s="6">
        <v>-3.4790000000000001</v>
      </c>
      <c r="F120" s="6">
        <v>-1.552</v>
      </c>
      <c r="G120" s="6">
        <f t="shared" si="1"/>
        <v>1.0231815394945443E-12</v>
      </c>
    </row>
    <row r="121" spans="1:7" ht="18.95" customHeight="1">
      <c r="A121" s="1">
        <v>115</v>
      </c>
      <c r="B121" s="6">
        <v>0.95833333333333237</v>
      </c>
      <c r="C121" s="6">
        <f>TimeStep!B121</f>
        <v>958.33333333333337</v>
      </c>
      <c r="D121" s="6">
        <v>-27.330100000000002</v>
      </c>
      <c r="E121" s="6">
        <v>-3.452</v>
      </c>
      <c r="F121" s="6">
        <v>-1.613</v>
      </c>
      <c r="G121" s="6">
        <f t="shared" si="1"/>
        <v>1.0231815394945443E-12</v>
      </c>
    </row>
    <row r="122" spans="1:7" ht="18.95" customHeight="1">
      <c r="A122" s="1">
        <v>116</v>
      </c>
      <c r="B122" s="6">
        <v>0.96666666666666567</v>
      </c>
      <c r="C122" s="6">
        <f>TimeStep!B122</f>
        <v>966.66666666666674</v>
      </c>
      <c r="D122" s="6">
        <v>-27.100899999999999</v>
      </c>
      <c r="E122" s="6">
        <v>-3.423</v>
      </c>
      <c r="F122" s="6">
        <v>-1.673</v>
      </c>
      <c r="G122" s="6">
        <f t="shared" si="1"/>
        <v>1.0231815394945443E-12</v>
      </c>
    </row>
    <row r="123" spans="1:7" ht="18.95" customHeight="1">
      <c r="A123" s="1">
        <v>117</v>
      </c>
      <c r="B123" s="6">
        <v>0.97499999999999898</v>
      </c>
      <c r="C123" s="6">
        <f>TimeStep!B123</f>
        <v>975.00000000000011</v>
      </c>
      <c r="D123" s="6">
        <v>-26.871700000000001</v>
      </c>
      <c r="E123" s="6">
        <v>-3.3929999999999998</v>
      </c>
      <c r="F123" s="6">
        <v>-1.732</v>
      </c>
      <c r="G123" s="6">
        <f t="shared" si="1"/>
        <v>1.1368683772161603E-12</v>
      </c>
    </row>
    <row r="124" spans="1:7" ht="18.95" customHeight="1">
      <c r="A124" s="1">
        <v>118</v>
      </c>
      <c r="B124" s="6">
        <v>0.98333333333333228</v>
      </c>
      <c r="C124" s="6">
        <f>TimeStep!B124</f>
        <v>983.33333333333337</v>
      </c>
      <c r="D124" s="6">
        <v>-26.642499999999998</v>
      </c>
      <c r="E124" s="6">
        <v>-3.363</v>
      </c>
      <c r="F124" s="6">
        <v>-1.7909999999999999</v>
      </c>
      <c r="G124" s="6">
        <f t="shared" si="1"/>
        <v>1.1368683772161603E-12</v>
      </c>
    </row>
    <row r="125" spans="1:7" ht="18.95" customHeight="1">
      <c r="A125" s="1">
        <v>119</v>
      </c>
      <c r="B125" s="6">
        <v>0.99166666666666559</v>
      </c>
      <c r="C125" s="6">
        <f>TimeStep!B125</f>
        <v>991.66666666666674</v>
      </c>
      <c r="D125" s="6">
        <v>-26.413399999999999</v>
      </c>
      <c r="E125" s="6">
        <v>-3.331</v>
      </c>
      <c r="F125" s="6">
        <v>-1.849</v>
      </c>
      <c r="G125" s="6">
        <f t="shared" si="1"/>
        <v>1.1368683772161603E-12</v>
      </c>
    </row>
    <row r="126" spans="1:7" ht="18.95" customHeight="1">
      <c r="A126" s="1">
        <v>120</v>
      </c>
      <c r="B126" s="6">
        <v>0.99999999999999889</v>
      </c>
      <c r="C126" s="6">
        <f>TimeStep!B126</f>
        <v>1000.0000000000001</v>
      </c>
      <c r="D126" s="6">
        <v>-26.184200000000001</v>
      </c>
      <c r="E126" s="6">
        <v>-3.298</v>
      </c>
      <c r="F126" s="6">
        <v>-1.907</v>
      </c>
      <c r="G126" s="6">
        <f t="shared" si="1"/>
        <v>1.2505552149377763E-12</v>
      </c>
    </row>
    <row r="127" spans="1:7" ht="18.95" customHeight="1">
      <c r="A127" s="1">
        <v>121</v>
      </c>
      <c r="B127" s="6">
        <v>1.0083333333333322</v>
      </c>
      <c r="C127" s="6">
        <f>TimeStep!B127</f>
        <v>1008.3333333333334</v>
      </c>
      <c r="D127" s="6">
        <v>-25.8977</v>
      </c>
      <c r="E127" s="6">
        <v>-3.2639999999999998</v>
      </c>
      <c r="F127" s="6">
        <v>-1.9650000000000001</v>
      </c>
      <c r="G127" s="6">
        <f t="shared" si="1"/>
        <v>1.1368683772161603E-12</v>
      </c>
    </row>
    <row r="128" spans="1:7" ht="18.95" customHeight="1">
      <c r="A128" s="1">
        <v>122</v>
      </c>
      <c r="B128" s="6">
        <v>1.0166666666666655</v>
      </c>
      <c r="C128" s="6">
        <f>TimeStep!B128</f>
        <v>1016.6666666666667</v>
      </c>
      <c r="D128" s="6">
        <v>-25.668500000000002</v>
      </c>
      <c r="E128" s="6">
        <v>-3.23</v>
      </c>
      <c r="F128" s="6">
        <v>-2.0209999999999999</v>
      </c>
      <c r="G128" s="6">
        <f t="shared" si="1"/>
        <v>1.2505552149377763E-12</v>
      </c>
    </row>
    <row r="129" spans="1:7" ht="18.95" customHeight="1">
      <c r="A129" s="1">
        <v>123</v>
      </c>
      <c r="B129" s="6">
        <v>1.0249999999999988</v>
      </c>
      <c r="C129" s="6">
        <f>TimeStep!B129</f>
        <v>1025</v>
      </c>
      <c r="D129" s="6">
        <v>-25.382000000000001</v>
      </c>
      <c r="E129" s="6">
        <v>-3.194</v>
      </c>
      <c r="F129" s="6">
        <v>-2.077</v>
      </c>
      <c r="G129" s="6">
        <f t="shared" si="1"/>
        <v>0</v>
      </c>
    </row>
    <row r="130" spans="1:7" ht="18.95" customHeight="1">
      <c r="A130" s="1">
        <v>124</v>
      </c>
      <c r="B130" s="6">
        <v>1.0333333333333321</v>
      </c>
      <c r="C130" s="6">
        <f>TimeStep!B130</f>
        <v>1033.3333333333335</v>
      </c>
      <c r="D130" s="6">
        <v>-25.095600000000001</v>
      </c>
      <c r="E130" s="6">
        <v>-3.157</v>
      </c>
      <c r="F130" s="6">
        <v>-2.133</v>
      </c>
      <c r="G130" s="6">
        <f t="shared" si="1"/>
        <v>0</v>
      </c>
    </row>
    <row r="131" spans="1:7" ht="18.95" customHeight="1">
      <c r="A131" s="1">
        <v>125</v>
      </c>
      <c r="B131" s="6">
        <v>1.0416666666666654</v>
      </c>
      <c r="C131" s="6">
        <f>TimeStep!B131</f>
        <v>1041.6666666666667</v>
      </c>
      <c r="D131" s="6">
        <v>-24.809100000000001</v>
      </c>
      <c r="E131" s="6">
        <v>-3.1190000000000002</v>
      </c>
      <c r="F131" s="6">
        <v>-2.1880000000000002</v>
      </c>
      <c r="G131" s="6">
        <f t="shared" si="1"/>
        <v>0</v>
      </c>
    </row>
    <row r="132" spans="1:7" ht="18.95" customHeight="1">
      <c r="A132" s="1">
        <v>126</v>
      </c>
      <c r="B132" s="6">
        <v>1.0499999999999987</v>
      </c>
      <c r="C132" s="6">
        <f>TimeStep!B132</f>
        <v>1050</v>
      </c>
      <c r="D132" s="6">
        <v>-24.522600000000001</v>
      </c>
      <c r="E132" s="6">
        <v>-3.081</v>
      </c>
      <c r="F132" s="6">
        <v>-2.242</v>
      </c>
      <c r="G132" s="6">
        <f t="shared" si="1"/>
        <v>0</v>
      </c>
    </row>
    <row r="133" spans="1:7" ht="18.95" customHeight="1">
      <c r="A133" s="1">
        <v>127</v>
      </c>
      <c r="B133" s="6">
        <v>1.058333333333332</v>
      </c>
      <c r="C133" s="6">
        <f>TimeStep!B133</f>
        <v>1058.3333333333335</v>
      </c>
      <c r="D133" s="6">
        <v>-24.2361</v>
      </c>
      <c r="E133" s="6">
        <v>-3.0409999999999999</v>
      </c>
      <c r="F133" s="6">
        <v>-2.2949999999999999</v>
      </c>
      <c r="G133" s="6">
        <f t="shared" si="1"/>
        <v>0</v>
      </c>
    </row>
    <row r="134" spans="1:7" ht="18.95" customHeight="1">
      <c r="A134" s="1">
        <v>128</v>
      </c>
      <c r="B134" s="6">
        <v>1.0666666666666653</v>
      </c>
      <c r="C134" s="6">
        <f>TimeStep!B134</f>
        <v>1066.6666666666667</v>
      </c>
      <c r="D134" s="6">
        <v>-23.892299999999999</v>
      </c>
      <c r="E134" s="6">
        <v>-3.0009999999999999</v>
      </c>
      <c r="F134" s="6">
        <v>-2.3479999999999999</v>
      </c>
      <c r="G134" s="6">
        <f t="shared" ref="G134:G197" si="2">C134-B134*1000</f>
        <v>0</v>
      </c>
    </row>
    <row r="135" spans="1:7" ht="18.95" customHeight="1">
      <c r="A135" s="1">
        <v>129</v>
      </c>
      <c r="B135" s="6">
        <v>1.0749999999999986</v>
      </c>
      <c r="C135" s="6">
        <f>TimeStep!B135</f>
        <v>1075</v>
      </c>
      <c r="D135" s="6">
        <v>-23.605899999999998</v>
      </c>
      <c r="E135" s="6">
        <v>-2.9590000000000001</v>
      </c>
      <c r="F135" s="6">
        <v>-2.4</v>
      </c>
      <c r="G135" s="6">
        <f t="shared" si="2"/>
        <v>0</v>
      </c>
    </row>
    <row r="136" spans="1:7" ht="18.95" customHeight="1">
      <c r="A136" s="1">
        <v>130</v>
      </c>
      <c r="B136" s="6">
        <v>1.0833333333333319</v>
      </c>
      <c r="C136" s="6">
        <f>TimeStep!B136</f>
        <v>1083.3333333333335</v>
      </c>
      <c r="D136" s="6">
        <v>-23.2621</v>
      </c>
      <c r="E136" s="6">
        <v>-2.9169999999999998</v>
      </c>
      <c r="F136" s="6">
        <v>-2.4510000000000001</v>
      </c>
      <c r="G136" s="6">
        <f t="shared" si="2"/>
        <v>0</v>
      </c>
    </row>
    <row r="137" spans="1:7" ht="18.95" customHeight="1">
      <c r="A137" s="1">
        <v>131</v>
      </c>
      <c r="B137" s="6">
        <v>1.0916666666666652</v>
      </c>
      <c r="C137" s="6">
        <f>TimeStep!B137</f>
        <v>1091.6666666666667</v>
      </c>
      <c r="D137" s="6">
        <v>-22.918299999999999</v>
      </c>
      <c r="E137" s="6">
        <v>-2.8740000000000001</v>
      </c>
      <c r="F137" s="6">
        <v>-2.5019999999999998</v>
      </c>
      <c r="G137" s="6">
        <f t="shared" si="2"/>
        <v>0</v>
      </c>
    </row>
    <row r="138" spans="1:7" ht="18.95" customHeight="1">
      <c r="A138" s="1">
        <v>132</v>
      </c>
      <c r="B138" s="6">
        <v>1.0999999999999985</v>
      </c>
      <c r="C138" s="6">
        <f>TimeStep!B138</f>
        <v>1100</v>
      </c>
      <c r="D138" s="6">
        <v>-22.5745</v>
      </c>
      <c r="E138" s="6">
        <v>-2.8290000000000002</v>
      </c>
      <c r="F138" s="6">
        <v>-2.5510000000000002</v>
      </c>
      <c r="G138" s="6">
        <f t="shared" si="2"/>
        <v>0</v>
      </c>
    </row>
    <row r="139" spans="1:7" ht="18.95" customHeight="1">
      <c r="A139" s="1">
        <v>133</v>
      </c>
      <c r="B139" s="6">
        <v>1.1083333333333318</v>
      </c>
      <c r="C139" s="6">
        <f>TimeStep!B139</f>
        <v>1108.3333333333335</v>
      </c>
      <c r="D139" s="6">
        <v>-22.230799999999999</v>
      </c>
      <c r="E139" s="6">
        <v>-2.7839999999999998</v>
      </c>
      <c r="F139" s="6">
        <v>-2.6</v>
      </c>
      <c r="G139" s="6">
        <f t="shared" si="2"/>
        <v>0</v>
      </c>
    </row>
    <row r="140" spans="1:7" ht="18.95" customHeight="1">
      <c r="A140" s="1">
        <v>134</v>
      </c>
      <c r="B140" s="6">
        <v>1.1166666666666651</v>
      </c>
      <c r="C140" s="6">
        <f>TimeStep!B140</f>
        <v>1116.6666666666667</v>
      </c>
      <c r="D140" s="6">
        <v>-21.887</v>
      </c>
      <c r="E140" s="6">
        <v>-2.7389999999999999</v>
      </c>
      <c r="F140" s="6">
        <v>-2.649</v>
      </c>
      <c r="G140" s="6">
        <f t="shared" si="2"/>
        <v>0</v>
      </c>
    </row>
    <row r="141" spans="1:7" ht="18.95" customHeight="1">
      <c r="A141" s="1">
        <v>135</v>
      </c>
      <c r="B141" s="6">
        <v>1.1249999999999984</v>
      </c>
      <c r="C141" s="6">
        <f>TimeStep!B141</f>
        <v>1125</v>
      </c>
      <c r="D141" s="6">
        <v>-21.543199999999999</v>
      </c>
      <c r="E141" s="6">
        <v>-2.6920000000000002</v>
      </c>
      <c r="F141" s="6">
        <v>-2.6960000000000002</v>
      </c>
      <c r="G141" s="6">
        <f t="shared" si="2"/>
        <v>0</v>
      </c>
    </row>
    <row r="142" spans="1:7" ht="18.95" customHeight="1">
      <c r="A142" s="1">
        <v>136</v>
      </c>
      <c r="B142" s="6">
        <v>1.1333333333333317</v>
      </c>
      <c r="C142" s="6">
        <f>TimeStep!B142</f>
        <v>1133.3333333333335</v>
      </c>
      <c r="D142" s="6">
        <v>-21.142099999999999</v>
      </c>
      <c r="E142" s="6">
        <v>-2.645</v>
      </c>
      <c r="F142" s="6">
        <v>-2.7429999999999999</v>
      </c>
      <c r="G142" s="6">
        <f t="shared" si="2"/>
        <v>1.8189894035458565E-12</v>
      </c>
    </row>
    <row r="143" spans="1:7" ht="18.95" customHeight="1">
      <c r="A143" s="1">
        <v>137</v>
      </c>
      <c r="B143" s="6">
        <v>1.1416666666666651</v>
      </c>
      <c r="C143" s="6">
        <f>TimeStep!B143</f>
        <v>1141.6666666666667</v>
      </c>
      <c r="D143" s="6">
        <v>-20.798400000000001</v>
      </c>
      <c r="E143" s="6">
        <v>-2.5960000000000001</v>
      </c>
      <c r="F143" s="6">
        <v>-2.7879999999999998</v>
      </c>
      <c r="G143" s="6">
        <f t="shared" si="2"/>
        <v>0</v>
      </c>
    </row>
    <row r="144" spans="1:7" ht="18.95" customHeight="1">
      <c r="A144" s="1">
        <v>138</v>
      </c>
      <c r="B144" s="6">
        <v>1.1499999999999984</v>
      </c>
      <c r="C144" s="6">
        <f>TimeStep!B144</f>
        <v>1150</v>
      </c>
      <c r="D144" s="6">
        <v>-20.397300000000001</v>
      </c>
      <c r="E144" s="6">
        <v>-2.5470000000000002</v>
      </c>
      <c r="F144" s="6">
        <v>-2.8330000000000002</v>
      </c>
      <c r="G144" s="6">
        <f t="shared" si="2"/>
        <v>0</v>
      </c>
    </row>
    <row r="145" spans="1:7" ht="18.95" customHeight="1">
      <c r="A145" s="1">
        <v>139</v>
      </c>
      <c r="B145" s="6">
        <v>1.1583333333333317</v>
      </c>
      <c r="C145" s="6">
        <f>TimeStep!B145</f>
        <v>1158.3333333333335</v>
      </c>
      <c r="D145" s="6">
        <v>-19.996200000000002</v>
      </c>
      <c r="E145" s="6">
        <v>-2.4969999999999999</v>
      </c>
      <c r="F145" s="6">
        <v>-2.8769999999999998</v>
      </c>
      <c r="G145" s="6">
        <f t="shared" si="2"/>
        <v>1.8189894035458565E-12</v>
      </c>
    </row>
    <row r="146" spans="1:7" ht="18.95" customHeight="1">
      <c r="A146" s="1">
        <v>140</v>
      </c>
      <c r="B146" s="6">
        <v>1.166666666666665</v>
      </c>
      <c r="C146" s="6">
        <f>TimeStep!B146</f>
        <v>1166.6666666666667</v>
      </c>
      <c r="D146" s="6">
        <v>-19.6525</v>
      </c>
      <c r="E146" s="6">
        <v>-2.4470000000000001</v>
      </c>
      <c r="F146" s="6">
        <v>-2.92</v>
      </c>
      <c r="G146" s="6">
        <f t="shared" si="2"/>
        <v>1.8189894035458565E-12</v>
      </c>
    </row>
    <row r="147" spans="1:7" ht="18.95" customHeight="1">
      <c r="A147" s="1">
        <v>141</v>
      </c>
      <c r="B147" s="6">
        <v>1.1749999999999983</v>
      </c>
      <c r="C147" s="6">
        <f>TimeStep!B147</f>
        <v>1175</v>
      </c>
      <c r="D147" s="6">
        <v>-19.2514</v>
      </c>
      <c r="E147" s="6">
        <v>-2.395</v>
      </c>
      <c r="F147" s="6">
        <v>-2.9630000000000001</v>
      </c>
      <c r="G147" s="6">
        <f t="shared" si="2"/>
        <v>1.8189894035458565E-12</v>
      </c>
    </row>
    <row r="148" spans="1:7" ht="18.95" customHeight="1">
      <c r="A148" s="1">
        <v>142</v>
      </c>
      <c r="B148" s="6">
        <v>1.1833333333333316</v>
      </c>
      <c r="C148" s="6">
        <f>TimeStep!B148</f>
        <v>1183.3333333333335</v>
      </c>
      <c r="D148" s="6">
        <v>-18.792999999999999</v>
      </c>
      <c r="E148" s="6">
        <v>-2.343</v>
      </c>
      <c r="F148" s="6">
        <v>-3.004</v>
      </c>
      <c r="G148" s="6">
        <f t="shared" si="2"/>
        <v>1.8189894035458565E-12</v>
      </c>
    </row>
    <row r="149" spans="1:7" ht="18.95" customHeight="1">
      <c r="A149" s="1">
        <v>143</v>
      </c>
      <c r="B149" s="6">
        <v>1.1916666666666649</v>
      </c>
      <c r="C149" s="6">
        <f>TimeStep!B149</f>
        <v>1191.6666666666667</v>
      </c>
      <c r="D149" s="6">
        <v>-18.3919</v>
      </c>
      <c r="E149" s="6">
        <v>-2.2909999999999999</v>
      </c>
      <c r="F149" s="6">
        <v>-3.044</v>
      </c>
      <c r="G149" s="6">
        <f t="shared" si="2"/>
        <v>1.8189894035458565E-12</v>
      </c>
    </row>
    <row r="150" spans="1:7" ht="18.95" customHeight="1">
      <c r="A150" s="1">
        <v>144</v>
      </c>
      <c r="B150" s="6">
        <v>1.1999999999999982</v>
      </c>
      <c r="C150" s="6">
        <f>TimeStep!B150</f>
        <v>1200</v>
      </c>
      <c r="D150" s="6">
        <v>-17.9909</v>
      </c>
      <c r="E150" s="6">
        <v>-2.2370000000000001</v>
      </c>
      <c r="F150" s="6">
        <v>-3.0840000000000001</v>
      </c>
      <c r="G150" s="6">
        <f t="shared" si="2"/>
        <v>1.8189894035458565E-12</v>
      </c>
    </row>
    <row r="151" spans="1:7" ht="18.95" customHeight="1">
      <c r="A151" s="1">
        <v>145</v>
      </c>
      <c r="B151" s="6">
        <v>1.2083333333333315</v>
      </c>
      <c r="C151" s="6">
        <f>TimeStep!B151</f>
        <v>1208.3333333333335</v>
      </c>
      <c r="D151" s="6">
        <v>-17.5898</v>
      </c>
      <c r="E151" s="6">
        <v>-2.1829999999999998</v>
      </c>
      <c r="F151" s="6">
        <v>-3.1230000000000002</v>
      </c>
      <c r="G151" s="6">
        <f t="shared" si="2"/>
        <v>2.0463630789890885E-12</v>
      </c>
    </row>
    <row r="152" spans="1:7" ht="18.95" customHeight="1">
      <c r="A152" s="1">
        <v>146</v>
      </c>
      <c r="B152" s="6">
        <v>1.2166666666666648</v>
      </c>
      <c r="C152" s="6">
        <f>TimeStep!B152</f>
        <v>1216.6666666666667</v>
      </c>
      <c r="D152" s="6">
        <v>-17.131399999999999</v>
      </c>
      <c r="E152" s="6">
        <v>-2.1280000000000001</v>
      </c>
      <c r="F152" s="6">
        <v>-3.16</v>
      </c>
      <c r="G152" s="6">
        <f t="shared" si="2"/>
        <v>2.0463630789890885E-12</v>
      </c>
    </row>
    <row r="153" spans="1:7" ht="18.95" customHeight="1">
      <c r="A153" s="1">
        <v>147</v>
      </c>
      <c r="B153" s="6">
        <v>1.2249999999999981</v>
      </c>
      <c r="C153" s="6">
        <f>TimeStep!B153</f>
        <v>1225</v>
      </c>
      <c r="D153" s="6">
        <v>-16.673100000000002</v>
      </c>
      <c r="E153" s="6">
        <v>-2.073</v>
      </c>
      <c r="F153" s="6">
        <v>-3.1970000000000001</v>
      </c>
      <c r="G153" s="6">
        <f t="shared" si="2"/>
        <v>1.8189894035458565E-12</v>
      </c>
    </row>
    <row r="154" spans="1:7" ht="18.95" customHeight="1">
      <c r="A154" s="1">
        <v>148</v>
      </c>
      <c r="B154" s="6">
        <v>1.2333333333333314</v>
      </c>
      <c r="C154" s="6">
        <f>TimeStep!B154</f>
        <v>1233.3333333333335</v>
      </c>
      <c r="D154" s="6">
        <v>-16.271999999999998</v>
      </c>
      <c r="E154" s="6">
        <v>-2.0169999999999999</v>
      </c>
      <c r="F154" s="6">
        <v>-3.2330000000000001</v>
      </c>
      <c r="G154" s="6">
        <f t="shared" si="2"/>
        <v>2.0463630789890885E-12</v>
      </c>
    </row>
    <row r="155" spans="1:7" ht="18.95" customHeight="1">
      <c r="A155" s="1">
        <v>149</v>
      </c>
      <c r="B155" s="6">
        <v>1.2416666666666647</v>
      </c>
      <c r="C155" s="6">
        <f>TimeStep!B155</f>
        <v>1241.6666666666667</v>
      </c>
      <c r="D155" s="6">
        <v>-15.813599999999999</v>
      </c>
      <c r="E155" s="6">
        <v>-1.96</v>
      </c>
      <c r="F155" s="6">
        <v>-3.2669999999999999</v>
      </c>
      <c r="G155" s="6">
        <f t="shared" si="2"/>
        <v>2.0463630789890885E-12</v>
      </c>
    </row>
    <row r="156" spans="1:7" ht="18.95" customHeight="1">
      <c r="A156" s="1">
        <v>150</v>
      </c>
      <c r="B156" s="6">
        <v>1.249999999999998</v>
      </c>
      <c r="C156" s="6">
        <f>TimeStep!B156</f>
        <v>1250</v>
      </c>
      <c r="D156" s="6">
        <v>-15.3553</v>
      </c>
      <c r="E156" s="6">
        <v>-1.903</v>
      </c>
      <c r="F156" s="6">
        <v>-3.3010000000000002</v>
      </c>
      <c r="G156" s="6">
        <f t="shared" si="2"/>
        <v>2.0463630789890885E-12</v>
      </c>
    </row>
    <row r="157" spans="1:7" ht="18.95" customHeight="1">
      <c r="A157" s="1">
        <v>151</v>
      </c>
      <c r="B157" s="6">
        <v>1.2583333333333313</v>
      </c>
      <c r="C157" s="6">
        <f>TimeStep!B157</f>
        <v>1258.3333333333335</v>
      </c>
      <c r="D157" s="6">
        <v>-14.8969</v>
      </c>
      <c r="E157" s="6">
        <v>-1.845</v>
      </c>
      <c r="F157" s="6">
        <v>-3.3340000000000001</v>
      </c>
      <c r="G157" s="6">
        <f t="shared" si="2"/>
        <v>2.2737367544323206E-12</v>
      </c>
    </row>
    <row r="158" spans="1:7" ht="18.95" customHeight="1">
      <c r="A158" s="1">
        <v>152</v>
      </c>
      <c r="B158" s="6">
        <v>1.2666666666666646</v>
      </c>
      <c r="C158" s="6">
        <f>TimeStep!B158</f>
        <v>1266.6666666666667</v>
      </c>
      <c r="D158" s="6">
        <v>-14.438499999999999</v>
      </c>
      <c r="E158" s="6">
        <v>-1.786</v>
      </c>
      <c r="F158" s="6">
        <v>-3.3650000000000002</v>
      </c>
      <c r="G158" s="6">
        <f t="shared" si="2"/>
        <v>2.0463630789890885E-12</v>
      </c>
    </row>
    <row r="159" spans="1:7" ht="18.95" customHeight="1">
      <c r="A159" s="1">
        <v>153</v>
      </c>
      <c r="B159" s="6">
        <v>1.2749999999999979</v>
      </c>
      <c r="C159" s="6">
        <f>TimeStep!B159</f>
        <v>1275</v>
      </c>
      <c r="D159" s="6">
        <v>-13.9229</v>
      </c>
      <c r="E159" s="6">
        <v>-1.7270000000000001</v>
      </c>
      <c r="F159" s="6">
        <v>-3.3959999999999999</v>
      </c>
      <c r="G159" s="6">
        <f t="shared" si="2"/>
        <v>2.0463630789890885E-12</v>
      </c>
    </row>
    <row r="160" spans="1:7" ht="18.95" customHeight="1">
      <c r="A160" s="1">
        <v>154</v>
      </c>
      <c r="B160" s="6">
        <v>1.2833333333333312</v>
      </c>
      <c r="C160" s="6">
        <f>TimeStep!B160</f>
        <v>1283.3333333333335</v>
      </c>
      <c r="D160" s="6">
        <v>-13.464499999999999</v>
      </c>
      <c r="E160" s="6">
        <v>-1.6679999999999999</v>
      </c>
      <c r="F160" s="6">
        <v>-3.4260000000000002</v>
      </c>
      <c r="G160" s="6">
        <f t="shared" si="2"/>
        <v>2.2737367544323206E-12</v>
      </c>
    </row>
    <row r="161" spans="1:7" ht="18.95" customHeight="1">
      <c r="A161" s="1">
        <v>155</v>
      </c>
      <c r="B161" s="6">
        <v>1.2916666666666645</v>
      </c>
      <c r="C161" s="6">
        <f>TimeStep!B161</f>
        <v>1291.6666666666667</v>
      </c>
      <c r="D161" s="6">
        <v>-13.0061</v>
      </c>
      <c r="E161" s="6">
        <v>-1.6080000000000001</v>
      </c>
      <c r="F161" s="6">
        <v>-3.4540000000000002</v>
      </c>
      <c r="G161" s="6">
        <f t="shared" si="2"/>
        <v>2.2737367544323206E-12</v>
      </c>
    </row>
    <row r="162" spans="1:7" ht="18.95" customHeight="1">
      <c r="A162" s="1">
        <v>156</v>
      </c>
      <c r="B162" s="6">
        <v>1.2999999999999978</v>
      </c>
      <c r="C162" s="6">
        <f>TimeStep!B162</f>
        <v>1300</v>
      </c>
      <c r="D162" s="6">
        <v>-12.490500000000001</v>
      </c>
      <c r="E162" s="6">
        <v>-1.5469999999999999</v>
      </c>
      <c r="F162" s="6">
        <v>-3.4820000000000002</v>
      </c>
      <c r="G162" s="6">
        <f t="shared" si="2"/>
        <v>2.2737367544323206E-12</v>
      </c>
    </row>
    <row r="163" spans="1:7" ht="18.95" customHeight="1">
      <c r="A163" s="1">
        <v>157</v>
      </c>
      <c r="B163" s="6">
        <v>1.3083333333333311</v>
      </c>
      <c r="C163" s="6">
        <f>TimeStep!B163</f>
        <v>1308.3333333333335</v>
      </c>
      <c r="D163" s="6">
        <v>-12.0321</v>
      </c>
      <c r="E163" s="6">
        <v>-1.486</v>
      </c>
      <c r="F163" s="6">
        <v>-3.508</v>
      </c>
      <c r="G163" s="6">
        <f t="shared" si="2"/>
        <v>2.2737367544323206E-12</v>
      </c>
    </row>
    <row r="164" spans="1:7" ht="18.95" customHeight="1">
      <c r="A164" s="1">
        <v>158</v>
      </c>
      <c r="B164" s="6">
        <v>1.3166666666666644</v>
      </c>
      <c r="C164" s="6">
        <f>TimeStep!B164</f>
        <v>1316.6666666666667</v>
      </c>
      <c r="D164" s="6">
        <v>-11.516500000000001</v>
      </c>
      <c r="E164" s="6">
        <v>-1.425</v>
      </c>
      <c r="F164" s="6">
        <v>-3.5339999999999998</v>
      </c>
      <c r="G164" s="6">
        <f t="shared" si="2"/>
        <v>2.2737367544323206E-12</v>
      </c>
    </row>
    <row r="165" spans="1:7" ht="18.95" customHeight="1">
      <c r="A165" s="1">
        <v>159</v>
      </c>
      <c r="B165" s="6">
        <v>1.3249999999999977</v>
      </c>
      <c r="C165" s="6">
        <f>TimeStep!B165</f>
        <v>1325</v>
      </c>
      <c r="D165" s="6">
        <v>-11.0581</v>
      </c>
      <c r="E165" s="6">
        <v>-1.363</v>
      </c>
      <c r="F165" s="6">
        <v>-3.5579999999999998</v>
      </c>
      <c r="G165" s="6">
        <f t="shared" si="2"/>
        <v>2.2737367544323206E-12</v>
      </c>
    </row>
    <row r="166" spans="1:7" ht="18.95" customHeight="1">
      <c r="A166" s="1">
        <v>160</v>
      </c>
      <c r="B166" s="6">
        <v>1.333333333333331</v>
      </c>
      <c r="C166" s="6">
        <f>TimeStep!B166</f>
        <v>1333.3333333333335</v>
      </c>
      <c r="D166" s="6">
        <v>-10.542400000000001</v>
      </c>
      <c r="E166" s="6">
        <v>-1.3</v>
      </c>
      <c r="F166" s="6">
        <v>-3.581</v>
      </c>
      <c r="G166" s="6">
        <f t="shared" si="2"/>
        <v>2.5011104298755527E-12</v>
      </c>
    </row>
    <row r="167" spans="1:7" ht="18.95" customHeight="1">
      <c r="A167" s="1">
        <v>161</v>
      </c>
      <c r="B167" s="6">
        <v>1.3416666666666643</v>
      </c>
      <c r="C167" s="6">
        <f>TimeStep!B167</f>
        <v>1341.6666666666667</v>
      </c>
      <c r="D167" s="6">
        <v>-10.0268</v>
      </c>
      <c r="E167" s="6">
        <v>-1.238</v>
      </c>
      <c r="F167" s="6">
        <v>-3.6030000000000002</v>
      </c>
      <c r="G167" s="6">
        <f t="shared" si="2"/>
        <v>2.5011104298755527E-12</v>
      </c>
    </row>
    <row r="168" spans="1:7" ht="18.95" customHeight="1">
      <c r="A168" s="1">
        <v>162</v>
      </c>
      <c r="B168" s="6">
        <v>1.3499999999999976</v>
      </c>
      <c r="C168" s="6">
        <f>TimeStep!B168</f>
        <v>1350</v>
      </c>
      <c r="D168" s="6">
        <v>-9.5111000000000008</v>
      </c>
      <c r="E168" s="6">
        <v>-1.175</v>
      </c>
      <c r="F168" s="6">
        <v>-3.6240000000000001</v>
      </c>
      <c r="G168" s="6">
        <f t="shared" si="2"/>
        <v>2.2737367544323206E-12</v>
      </c>
    </row>
    <row r="169" spans="1:7" ht="18.95" customHeight="1">
      <c r="A169" s="1">
        <v>163</v>
      </c>
      <c r="B169" s="6">
        <v>1.358333333333331</v>
      </c>
      <c r="C169" s="6">
        <f>TimeStep!B169</f>
        <v>1358.3333333333335</v>
      </c>
      <c r="D169" s="6">
        <v>-8.9954000000000001</v>
      </c>
      <c r="E169" s="6">
        <v>-1.111</v>
      </c>
      <c r="F169" s="6">
        <v>-3.6440000000000001</v>
      </c>
      <c r="G169" s="6">
        <f t="shared" si="2"/>
        <v>2.5011104298755527E-12</v>
      </c>
    </row>
    <row r="170" spans="1:7" ht="18.95" customHeight="1">
      <c r="A170" s="1">
        <v>164</v>
      </c>
      <c r="B170" s="6">
        <v>1.3666666666666643</v>
      </c>
      <c r="C170" s="6">
        <f>TimeStep!B170</f>
        <v>1366.6666666666667</v>
      </c>
      <c r="D170" s="6">
        <v>-8.4797999999999991</v>
      </c>
      <c r="E170" s="6">
        <v>-1.0469999999999999</v>
      </c>
      <c r="F170" s="6">
        <v>-3.6629999999999998</v>
      </c>
      <c r="G170" s="6">
        <f t="shared" si="2"/>
        <v>2.5011104298755527E-12</v>
      </c>
    </row>
    <row r="171" spans="1:7" ht="18.95" customHeight="1">
      <c r="A171" s="1">
        <v>165</v>
      </c>
      <c r="B171" s="6">
        <v>1.3749999999999976</v>
      </c>
      <c r="C171" s="6">
        <f>TimeStep!B171</f>
        <v>1375</v>
      </c>
      <c r="D171" s="6">
        <v>-7.9641000000000002</v>
      </c>
      <c r="E171" s="6">
        <v>-0.98299999999999998</v>
      </c>
      <c r="F171" s="6">
        <v>-3.681</v>
      </c>
      <c r="G171" s="6">
        <f t="shared" si="2"/>
        <v>2.5011104298755527E-12</v>
      </c>
    </row>
    <row r="172" spans="1:7" ht="18.95" customHeight="1">
      <c r="A172" s="1">
        <v>166</v>
      </c>
      <c r="B172" s="6">
        <v>1.3833333333333309</v>
      </c>
      <c r="C172" s="6">
        <f>TimeStep!B172</f>
        <v>1383.3333333333335</v>
      </c>
      <c r="D172" s="6">
        <v>-7.4485000000000001</v>
      </c>
      <c r="E172" s="6">
        <v>-0.91900000000000004</v>
      </c>
      <c r="F172" s="6">
        <v>-3.6970000000000001</v>
      </c>
      <c r="G172" s="6">
        <f t="shared" si="2"/>
        <v>2.7284841053187847E-12</v>
      </c>
    </row>
    <row r="173" spans="1:7" ht="18.95" customHeight="1">
      <c r="A173" s="1">
        <v>167</v>
      </c>
      <c r="B173" s="6">
        <v>1.3916666666666642</v>
      </c>
      <c r="C173" s="6">
        <f>TimeStep!B173</f>
        <v>1391.6666666666667</v>
      </c>
      <c r="D173" s="6">
        <v>-6.9328000000000003</v>
      </c>
      <c r="E173" s="6">
        <v>-0.85399999999999998</v>
      </c>
      <c r="F173" s="6">
        <v>-3.7130000000000001</v>
      </c>
      <c r="G173" s="6">
        <f t="shared" si="2"/>
        <v>2.5011104298755527E-12</v>
      </c>
    </row>
    <row r="174" spans="1:7" ht="18.95" customHeight="1">
      <c r="A174" s="1">
        <v>168</v>
      </c>
      <c r="B174" s="6">
        <v>1.3999999999999975</v>
      </c>
      <c r="C174" s="6">
        <f>TimeStep!B174</f>
        <v>1400</v>
      </c>
      <c r="D174" s="6">
        <v>-6.4170999999999996</v>
      </c>
      <c r="E174" s="6">
        <v>-0.78900000000000003</v>
      </c>
      <c r="F174" s="6">
        <v>-3.7269999999999999</v>
      </c>
      <c r="G174" s="6">
        <f t="shared" si="2"/>
        <v>2.5011104298755527E-12</v>
      </c>
    </row>
    <row r="175" spans="1:7" ht="18.95" customHeight="1">
      <c r="A175" s="1">
        <v>169</v>
      </c>
      <c r="B175" s="6">
        <v>1.4083333333333308</v>
      </c>
      <c r="C175" s="6">
        <f>TimeStep!B175</f>
        <v>1408.3333333333335</v>
      </c>
      <c r="D175" s="6">
        <v>-5.9015000000000004</v>
      </c>
      <c r="E175" s="6">
        <v>-0.72399999999999998</v>
      </c>
      <c r="F175" s="6">
        <v>-3.74</v>
      </c>
      <c r="G175" s="6">
        <f t="shared" si="2"/>
        <v>2.7284841053187847E-12</v>
      </c>
    </row>
    <row r="176" spans="1:7" ht="18.95" customHeight="1">
      <c r="A176" s="1">
        <v>170</v>
      </c>
      <c r="B176" s="6">
        <v>1.4166666666666641</v>
      </c>
      <c r="C176" s="6">
        <f>TimeStep!B176</f>
        <v>1416.6666666666667</v>
      </c>
      <c r="D176" s="6">
        <v>-5.3285</v>
      </c>
      <c r="E176" s="6">
        <v>-0.65900000000000003</v>
      </c>
      <c r="F176" s="6">
        <v>-3.7530000000000001</v>
      </c>
      <c r="G176" s="6">
        <f t="shared" si="2"/>
        <v>2.7284841053187847E-12</v>
      </c>
    </row>
    <row r="177" spans="1:7" ht="18.95" customHeight="1">
      <c r="A177" s="1">
        <v>171</v>
      </c>
      <c r="B177" s="6">
        <v>1.4249999999999974</v>
      </c>
      <c r="C177" s="6">
        <f>TimeStep!B177</f>
        <v>1425</v>
      </c>
      <c r="D177" s="6">
        <v>-4.8128000000000002</v>
      </c>
      <c r="E177" s="6">
        <v>-0.59299999999999997</v>
      </c>
      <c r="F177" s="6">
        <v>-3.7629999999999999</v>
      </c>
      <c r="G177" s="6">
        <f t="shared" si="2"/>
        <v>2.7284841053187847E-12</v>
      </c>
    </row>
    <row r="178" spans="1:7" ht="18.95" customHeight="1">
      <c r="A178" s="1">
        <v>172</v>
      </c>
      <c r="B178" s="6">
        <v>1.4333333333333307</v>
      </c>
      <c r="C178" s="6">
        <f>TimeStep!B178</f>
        <v>1433.3333333333335</v>
      </c>
      <c r="D178" s="6">
        <v>-4.2972000000000001</v>
      </c>
      <c r="E178" s="6">
        <v>-0.52700000000000002</v>
      </c>
      <c r="F178" s="6">
        <v>-3.7730000000000001</v>
      </c>
      <c r="G178" s="6">
        <f t="shared" si="2"/>
        <v>2.7284841053187847E-12</v>
      </c>
    </row>
    <row r="179" spans="1:7" ht="18.95" customHeight="1">
      <c r="A179" s="1">
        <v>173</v>
      </c>
      <c r="B179" s="6">
        <v>1.441666666666664</v>
      </c>
      <c r="C179" s="6">
        <f>TimeStep!B179</f>
        <v>1441.6666666666667</v>
      </c>
      <c r="D179" s="6">
        <v>-3.7242000000000002</v>
      </c>
      <c r="E179" s="6">
        <v>-0.46100000000000002</v>
      </c>
      <c r="F179" s="6">
        <v>-3.782</v>
      </c>
      <c r="G179" s="6">
        <f t="shared" si="2"/>
        <v>2.7284841053187847E-12</v>
      </c>
    </row>
    <row r="180" spans="1:7" ht="18.95" customHeight="1">
      <c r="A180" s="1">
        <v>174</v>
      </c>
      <c r="B180" s="6">
        <v>1.4499999999999973</v>
      </c>
      <c r="C180" s="6">
        <f>TimeStep!B180</f>
        <v>1450</v>
      </c>
      <c r="D180" s="6">
        <v>-3.2086000000000001</v>
      </c>
      <c r="E180" s="6">
        <v>-0.39500000000000002</v>
      </c>
      <c r="F180" s="6">
        <v>-3.7890000000000001</v>
      </c>
      <c r="G180" s="6">
        <f t="shared" si="2"/>
        <v>2.7284841053187847E-12</v>
      </c>
    </row>
    <row r="181" spans="1:7" ht="18.95" customHeight="1">
      <c r="A181" s="1">
        <v>175</v>
      </c>
      <c r="B181" s="6">
        <v>1.4583333333333306</v>
      </c>
      <c r="C181" s="6">
        <f>TimeStep!B181</f>
        <v>1458.3333333333335</v>
      </c>
      <c r="D181" s="6">
        <v>-2.6928999999999998</v>
      </c>
      <c r="E181" s="6">
        <v>-0.32900000000000001</v>
      </c>
      <c r="F181" s="6">
        <v>-3.7959999999999998</v>
      </c>
      <c r="G181" s="6">
        <f t="shared" si="2"/>
        <v>2.9558577807620168E-12</v>
      </c>
    </row>
    <row r="182" spans="1:7" ht="18.95" customHeight="1">
      <c r="A182" s="1">
        <v>176</v>
      </c>
      <c r="B182" s="6">
        <v>1.4666666666666639</v>
      </c>
      <c r="C182" s="6">
        <f>TimeStep!B182</f>
        <v>1466.6666666666667</v>
      </c>
      <c r="D182" s="6">
        <v>-2.1198999999999999</v>
      </c>
      <c r="E182" s="6">
        <v>-0.26300000000000001</v>
      </c>
      <c r="F182" s="6">
        <v>-3.8010000000000002</v>
      </c>
      <c r="G182" s="6">
        <f t="shared" si="2"/>
        <v>2.9558577807620168E-12</v>
      </c>
    </row>
    <row r="183" spans="1:7" ht="18.95" customHeight="1">
      <c r="A183" s="1">
        <v>177</v>
      </c>
      <c r="B183" s="6">
        <v>1.4749999999999972</v>
      </c>
      <c r="C183" s="6">
        <f>TimeStep!B183</f>
        <v>1475</v>
      </c>
      <c r="D183" s="6">
        <v>-1.6043000000000001</v>
      </c>
      <c r="E183" s="6">
        <v>-0.19600000000000001</v>
      </c>
      <c r="F183" s="6">
        <v>-3.8050000000000002</v>
      </c>
      <c r="G183" s="6">
        <f t="shared" si="2"/>
        <v>2.7284841053187847E-12</v>
      </c>
    </row>
    <row r="184" spans="1:7" ht="18.95" customHeight="1">
      <c r="A184" s="1">
        <v>178</v>
      </c>
      <c r="B184" s="6">
        <v>1.4833333333333305</v>
      </c>
      <c r="C184" s="6">
        <f>TimeStep!B184</f>
        <v>1483.3333333333335</v>
      </c>
      <c r="D184" s="6">
        <v>-1.0313000000000001</v>
      </c>
      <c r="E184" s="6">
        <v>-0.13</v>
      </c>
      <c r="F184" s="6">
        <v>-3.8079999999999998</v>
      </c>
      <c r="G184" s="6">
        <f t="shared" si="2"/>
        <v>2.9558577807620168E-12</v>
      </c>
    </row>
    <row r="185" spans="1:7" ht="18.95" customHeight="1">
      <c r="A185" s="1">
        <v>179</v>
      </c>
      <c r="B185" s="6">
        <v>1.4916666666666638</v>
      </c>
      <c r="C185" s="6">
        <f>TimeStep!B185</f>
        <v>1491.6666666666667</v>
      </c>
      <c r="D185" s="6">
        <v>-0.51570000000000005</v>
      </c>
      <c r="E185" s="6">
        <v>-6.4000000000000001E-2</v>
      </c>
      <c r="F185" s="6">
        <v>-3.8090000000000002</v>
      </c>
      <c r="G185" s="6">
        <f t="shared" si="2"/>
        <v>2.9558577807620168E-12</v>
      </c>
    </row>
    <row r="186" spans="1:7" ht="18.95" customHeight="1">
      <c r="A186" s="1">
        <v>180</v>
      </c>
      <c r="B186" s="6">
        <v>1.4999999999999971</v>
      </c>
      <c r="C186" s="6">
        <f>TimeStep!B186</f>
        <v>1500</v>
      </c>
      <c r="D186" s="6">
        <v>0</v>
      </c>
      <c r="E186" s="6">
        <v>3.0000000000000001E-3</v>
      </c>
      <c r="F186" s="6">
        <v>-3.81</v>
      </c>
      <c r="G186" s="6">
        <f t="shared" si="2"/>
        <v>2.9558577807620168E-12</v>
      </c>
    </row>
    <row r="187" spans="1:7" ht="18.95" customHeight="1">
      <c r="A187" s="1">
        <v>181</v>
      </c>
      <c r="B187" s="6">
        <v>1.5083333333333304</v>
      </c>
      <c r="C187" s="6">
        <f>TimeStep!B187</f>
        <v>1508.3333333333335</v>
      </c>
      <c r="D187" s="6">
        <v>0.57299999999999995</v>
      </c>
      <c r="E187" s="6">
        <v>6.9000000000000006E-2</v>
      </c>
      <c r="F187" s="6">
        <v>-3.8090000000000002</v>
      </c>
      <c r="G187" s="6">
        <f t="shared" si="2"/>
        <v>2.9558577807620168E-12</v>
      </c>
    </row>
    <row r="188" spans="1:7" ht="18.95" customHeight="1">
      <c r="A188" s="1">
        <v>182</v>
      </c>
      <c r="B188" s="6">
        <v>1.5166666666666637</v>
      </c>
      <c r="C188" s="6">
        <f>TimeStep!B188</f>
        <v>1516.6666666666667</v>
      </c>
      <c r="D188" s="6">
        <v>1.0886</v>
      </c>
      <c r="E188" s="6">
        <v>0.13600000000000001</v>
      </c>
      <c r="F188" s="6">
        <v>-3.8079999999999998</v>
      </c>
      <c r="G188" s="6">
        <f t="shared" si="2"/>
        <v>2.9558577807620168E-12</v>
      </c>
    </row>
    <row r="189" spans="1:7" ht="18.95" customHeight="1">
      <c r="A189" s="1">
        <v>183</v>
      </c>
      <c r="B189" s="6">
        <v>1.524999999999997</v>
      </c>
      <c r="C189" s="6">
        <f>TimeStep!B189</f>
        <v>1525</v>
      </c>
      <c r="D189" s="6">
        <v>1.6616</v>
      </c>
      <c r="E189" s="6">
        <v>0.20200000000000001</v>
      </c>
      <c r="F189" s="6">
        <v>-3.8050000000000002</v>
      </c>
      <c r="G189" s="6">
        <f t="shared" si="2"/>
        <v>2.9558577807620168E-12</v>
      </c>
    </row>
    <row r="190" spans="1:7" ht="18.95" customHeight="1">
      <c r="A190" s="1">
        <v>184</v>
      </c>
      <c r="B190" s="6">
        <v>1.5333333333333303</v>
      </c>
      <c r="C190" s="6">
        <f>TimeStep!B190</f>
        <v>1533.3333333333335</v>
      </c>
      <c r="D190" s="6">
        <v>2.1772</v>
      </c>
      <c r="E190" s="6">
        <v>0.26900000000000002</v>
      </c>
      <c r="F190" s="6">
        <v>-3.8</v>
      </c>
      <c r="G190" s="6">
        <f t="shared" si="2"/>
        <v>3.1832314562052488E-12</v>
      </c>
    </row>
    <row r="191" spans="1:7" ht="18.95" customHeight="1">
      <c r="A191" s="1">
        <v>185</v>
      </c>
      <c r="B191" s="6">
        <v>1.5416666666666636</v>
      </c>
      <c r="C191" s="6">
        <f>TimeStep!B191</f>
        <v>1541.6666666666667</v>
      </c>
      <c r="D191" s="6">
        <v>2.7502</v>
      </c>
      <c r="E191" s="6">
        <v>0.33500000000000002</v>
      </c>
      <c r="F191" s="6">
        <v>-3.7949999999999999</v>
      </c>
      <c r="G191" s="6">
        <f t="shared" si="2"/>
        <v>3.1832314562052488E-12</v>
      </c>
    </row>
    <row r="192" spans="1:7" ht="18.95" customHeight="1">
      <c r="A192" s="1">
        <v>186</v>
      </c>
      <c r="B192" s="6">
        <v>1.5499999999999969</v>
      </c>
      <c r="C192" s="6">
        <f>TimeStep!B192</f>
        <v>1550</v>
      </c>
      <c r="D192" s="6">
        <v>3.2658999999999998</v>
      </c>
      <c r="E192" s="6">
        <v>0.40100000000000002</v>
      </c>
      <c r="F192" s="6">
        <v>-3.7890000000000001</v>
      </c>
      <c r="G192" s="6">
        <f t="shared" si="2"/>
        <v>2.9558577807620168E-12</v>
      </c>
    </row>
    <row r="193" spans="1:7" ht="18.95" customHeight="1">
      <c r="A193" s="1">
        <v>187</v>
      </c>
      <c r="B193" s="6">
        <v>1.5583333333333302</v>
      </c>
      <c r="C193" s="6">
        <f>TimeStep!B193</f>
        <v>1558.3333333333335</v>
      </c>
      <c r="D193" s="6">
        <v>3.7814999999999999</v>
      </c>
      <c r="E193" s="6">
        <v>0.46700000000000003</v>
      </c>
      <c r="F193" s="6">
        <v>-3.7810000000000001</v>
      </c>
      <c r="G193" s="6">
        <f t="shared" si="2"/>
        <v>3.1832314562052488E-12</v>
      </c>
    </row>
    <row r="194" spans="1:7" ht="18.95" customHeight="1">
      <c r="A194" s="1">
        <v>188</v>
      </c>
      <c r="B194" s="6">
        <v>1.5666666666666635</v>
      </c>
      <c r="C194" s="6">
        <f>TimeStep!B194</f>
        <v>1566.6666666666667</v>
      </c>
      <c r="D194" s="6">
        <v>4.3544999999999998</v>
      </c>
      <c r="E194" s="6">
        <v>0.53300000000000003</v>
      </c>
      <c r="F194" s="6">
        <v>-3.7719999999999998</v>
      </c>
      <c r="G194" s="6">
        <f t="shared" si="2"/>
        <v>3.1832314562052488E-12</v>
      </c>
    </row>
    <row r="195" spans="1:7" ht="18.95" customHeight="1">
      <c r="A195" s="1">
        <v>189</v>
      </c>
      <c r="B195" s="6">
        <v>1.5749999999999968</v>
      </c>
      <c r="C195" s="6">
        <f>TimeStep!B195</f>
        <v>1575</v>
      </c>
      <c r="D195" s="6">
        <v>4.8700999999999999</v>
      </c>
      <c r="E195" s="6">
        <v>0.59899999999999998</v>
      </c>
      <c r="F195" s="6">
        <v>-3.7629999999999999</v>
      </c>
      <c r="G195" s="6">
        <f t="shared" si="2"/>
        <v>3.1832314562052488E-12</v>
      </c>
    </row>
    <row r="196" spans="1:7" ht="18.95" customHeight="1">
      <c r="A196" s="1">
        <v>190</v>
      </c>
      <c r="B196" s="6">
        <v>1.5833333333333302</v>
      </c>
      <c r="C196" s="6">
        <f>TimeStep!B196</f>
        <v>1583.3333333333335</v>
      </c>
      <c r="D196" s="6">
        <v>5.3857999999999997</v>
      </c>
      <c r="E196" s="6">
        <v>0.66500000000000004</v>
      </c>
      <c r="F196" s="6">
        <v>-3.7519999999999998</v>
      </c>
      <c r="G196" s="6">
        <f t="shared" si="2"/>
        <v>3.4106051316484809E-12</v>
      </c>
    </row>
    <row r="197" spans="1:7" ht="18.95" customHeight="1">
      <c r="A197" s="1">
        <v>191</v>
      </c>
      <c r="B197" s="6">
        <v>1.5916666666666635</v>
      </c>
      <c r="C197" s="6">
        <f>TimeStep!B197</f>
        <v>1591.6666666666667</v>
      </c>
      <c r="D197" s="6">
        <v>5.9015000000000004</v>
      </c>
      <c r="E197" s="6">
        <v>0.73</v>
      </c>
      <c r="F197" s="6">
        <v>-3.7389999999999999</v>
      </c>
      <c r="G197" s="6">
        <f t="shared" si="2"/>
        <v>3.1832314562052488E-12</v>
      </c>
    </row>
    <row r="198" spans="1:7" ht="18.95" customHeight="1">
      <c r="A198" s="1">
        <v>192</v>
      </c>
      <c r="B198" s="6">
        <v>1.5999999999999968</v>
      </c>
      <c r="C198" s="6">
        <f>TimeStep!B198</f>
        <v>1600</v>
      </c>
      <c r="D198" s="6">
        <v>6.4744000000000002</v>
      </c>
      <c r="E198" s="6">
        <v>0.79500000000000004</v>
      </c>
      <c r="F198" s="6">
        <v>-3.726</v>
      </c>
      <c r="G198" s="6">
        <f t="shared" ref="G198:G261" si="3">C198-B198*1000</f>
        <v>3.1832314562052488E-12</v>
      </c>
    </row>
    <row r="199" spans="1:7" ht="18.95" customHeight="1">
      <c r="A199" s="1">
        <v>193</v>
      </c>
      <c r="B199" s="6">
        <v>1.6083333333333301</v>
      </c>
      <c r="C199" s="6">
        <f>TimeStep!B199</f>
        <v>1608.3333333333335</v>
      </c>
      <c r="D199" s="6">
        <v>6.9901</v>
      </c>
      <c r="E199" s="6">
        <v>0.86</v>
      </c>
      <c r="F199" s="6">
        <v>-3.7120000000000002</v>
      </c>
      <c r="G199" s="6">
        <f t="shared" si="3"/>
        <v>3.4106051316484809E-12</v>
      </c>
    </row>
    <row r="200" spans="1:7" ht="18.95" customHeight="1">
      <c r="A200" s="1">
        <v>194</v>
      </c>
      <c r="B200" s="6">
        <v>1.6166666666666634</v>
      </c>
      <c r="C200" s="6">
        <f>TimeStep!B200</f>
        <v>1616.6666666666667</v>
      </c>
      <c r="D200" s="6">
        <v>7.5057</v>
      </c>
      <c r="E200" s="6">
        <v>0.92500000000000004</v>
      </c>
      <c r="F200" s="6">
        <v>-3.6960000000000002</v>
      </c>
      <c r="G200" s="6">
        <f t="shared" si="3"/>
        <v>3.4106051316484809E-12</v>
      </c>
    </row>
    <row r="201" spans="1:7" ht="18.95" customHeight="1">
      <c r="A201" s="1">
        <v>195</v>
      </c>
      <c r="B201" s="6">
        <v>1.6249999999999967</v>
      </c>
      <c r="C201" s="6">
        <f>TimeStep!B201</f>
        <v>1625.0000000000002</v>
      </c>
      <c r="D201" s="6">
        <v>8.0213999999999999</v>
      </c>
      <c r="E201" s="6">
        <v>0.98899999999999999</v>
      </c>
      <c r="F201" s="6">
        <v>-3.6789999999999998</v>
      </c>
      <c r="G201" s="6">
        <f t="shared" si="3"/>
        <v>3.637978807091713E-12</v>
      </c>
    </row>
    <row r="202" spans="1:7" ht="18.95" customHeight="1">
      <c r="A202" s="1">
        <v>196</v>
      </c>
      <c r="B202" s="6">
        <v>1.63333333333333</v>
      </c>
      <c r="C202" s="6">
        <f>TimeStep!B202</f>
        <v>1633.3333333333335</v>
      </c>
      <c r="D202" s="6">
        <v>8.5371000000000006</v>
      </c>
      <c r="E202" s="6">
        <v>1.0529999999999999</v>
      </c>
      <c r="F202" s="6">
        <v>-3.661</v>
      </c>
      <c r="G202" s="6">
        <f t="shared" si="3"/>
        <v>3.4106051316484809E-12</v>
      </c>
    </row>
    <row r="203" spans="1:7" ht="18.95" customHeight="1">
      <c r="A203" s="1">
        <v>197</v>
      </c>
      <c r="B203" s="6">
        <v>1.6416666666666633</v>
      </c>
      <c r="C203" s="6">
        <f>TimeStep!B203</f>
        <v>1641.6666666666667</v>
      </c>
      <c r="D203" s="6">
        <v>9.0526999999999997</v>
      </c>
      <c r="E203" s="6">
        <v>1.117</v>
      </c>
      <c r="F203" s="6">
        <v>-3.6429999999999998</v>
      </c>
      <c r="G203" s="6">
        <f t="shared" si="3"/>
        <v>3.4106051316484809E-12</v>
      </c>
    </row>
    <row r="204" spans="1:7" ht="18.95" customHeight="1">
      <c r="A204" s="1">
        <v>198</v>
      </c>
      <c r="B204" s="6">
        <v>1.6499999999999966</v>
      </c>
      <c r="C204" s="6">
        <f>TimeStep!B204</f>
        <v>1650.0000000000002</v>
      </c>
      <c r="D204" s="6">
        <v>9.5684000000000005</v>
      </c>
      <c r="E204" s="6">
        <v>1.18</v>
      </c>
      <c r="F204" s="6">
        <v>-3.6219999999999999</v>
      </c>
      <c r="G204" s="6">
        <f t="shared" si="3"/>
        <v>3.637978807091713E-12</v>
      </c>
    </row>
    <row r="205" spans="1:7" ht="18.95" customHeight="1">
      <c r="A205" s="1">
        <v>199</v>
      </c>
      <c r="B205" s="6">
        <v>1.6583333333333299</v>
      </c>
      <c r="C205" s="6">
        <f>TimeStep!B205</f>
        <v>1658.3333333333335</v>
      </c>
      <c r="D205" s="6">
        <v>10.084099999999999</v>
      </c>
      <c r="E205" s="6">
        <v>1.244</v>
      </c>
      <c r="F205" s="6">
        <v>-3.601</v>
      </c>
      <c r="G205" s="6">
        <f t="shared" si="3"/>
        <v>3.637978807091713E-12</v>
      </c>
    </row>
    <row r="206" spans="1:7" ht="18.95" customHeight="1">
      <c r="A206" s="1">
        <v>200</v>
      </c>
      <c r="B206" s="6">
        <v>1.6666666666666632</v>
      </c>
      <c r="C206" s="6">
        <f>TimeStep!B206</f>
        <v>1666.6666666666667</v>
      </c>
      <c r="D206" s="6">
        <v>10.5997</v>
      </c>
      <c r="E206" s="6">
        <v>1.306</v>
      </c>
      <c r="F206" s="6">
        <v>-3.5790000000000002</v>
      </c>
      <c r="G206" s="6">
        <f t="shared" si="3"/>
        <v>3.637978807091713E-12</v>
      </c>
    </row>
    <row r="207" spans="1:7" ht="18.95" customHeight="1">
      <c r="A207" s="1">
        <v>201</v>
      </c>
      <c r="B207" s="6">
        <v>1.6749999999999965</v>
      </c>
      <c r="C207" s="6">
        <f>TimeStep!B207</f>
        <v>1675.0000000000002</v>
      </c>
      <c r="D207" s="6">
        <v>11.0581</v>
      </c>
      <c r="E207" s="6">
        <v>1.369</v>
      </c>
      <c r="F207" s="6">
        <v>-3.556</v>
      </c>
      <c r="G207" s="6">
        <f t="shared" si="3"/>
        <v>3.637978807091713E-12</v>
      </c>
    </row>
    <row r="208" spans="1:7" ht="18.95" customHeight="1">
      <c r="A208" s="1">
        <v>202</v>
      </c>
      <c r="B208" s="6">
        <v>1.6833333333333298</v>
      </c>
      <c r="C208" s="6">
        <f>TimeStep!B208</f>
        <v>1683.3333333333335</v>
      </c>
      <c r="D208" s="6">
        <v>11.573700000000001</v>
      </c>
      <c r="E208" s="6">
        <v>1.43</v>
      </c>
      <c r="F208" s="6">
        <v>-3.5310000000000001</v>
      </c>
      <c r="G208" s="6">
        <f t="shared" si="3"/>
        <v>3.637978807091713E-12</v>
      </c>
    </row>
    <row r="209" spans="1:7" ht="18.95" customHeight="1">
      <c r="A209" s="1">
        <v>203</v>
      </c>
      <c r="B209" s="6">
        <v>1.6916666666666631</v>
      </c>
      <c r="C209" s="6">
        <f>TimeStep!B209</f>
        <v>1691.6666666666667</v>
      </c>
      <c r="D209" s="6">
        <v>12.089399999999999</v>
      </c>
      <c r="E209" s="6">
        <v>1.492</v>
      </c>
      <c r="F209" s="6">
        <v>-3.5059999999999998</v>
      </c>
      <c r="G209" s="6">
        <f t="shared" si="3"/>
        <v>3.637978807091713E-12</v>
      </c>
    </row>
    <row r="210" spans="1:7" ht="18.95" customHeight="1">
      <c r="A210" s="1">
        <v>204</v>
      </c>
      <c r="B210" s="6">
        <v>1.6999999999999964</v>
      </c>
      <c r="C210" s="6">
        <f>TimeStep!B210</f>
        <v>1700.0000000000002</v>
      </c>
      <c r="D210" s="6">
        <v>12.547800000000001</v>
      </c>
      <c r="E210" s="6">
        <v>1.5529999999999999</v>
      </c>
      <c r="F210" s="6">
        <v>-3.4790000000000001</v>
      </c>
      <c r="G210" s="6">
        <f t="shared" si="3"/>
        <v>3.865352482534945E-12</v>
      </c>
    </row>
    <row r="211" spans="1:7" ht="18.95" customHeight="1">
      <c r="A211" s="1">
        <v>205</v>
      </c>
      <c r="B211" s="6">
        <v>1.7083333333333297</v>
      </c>
      <c r="C211" s="6">
        <f>TimeStep!B211</f>
        <v>1708.3333333333335</v>
      </c>
      <c r="D211" s="6">
        <v>13.0634</v>
      </c>
      <c r="E211" s="6">
        <v>1.613</v>
      </c>
      <c r="F211" s="6">
        <v>-3.452</v>
      </c>
      <c r="G211" s="6">
        <f t="shared" si="3"/>
        <v>3.865352482534945E-12</v>
      </c>
    </row>
    <row r="212" spans="1:7" ht="18.95" customHeight="1">
      <c r="A212" s="1">
        <v>206</v>
      </c>
      <c r="B212" s="6">
        <v>1.716666666666663</v>
      </c>
      <c r="C212" s="6">
        <f>TimeStep!B212</f>
        <v>1716.6666666666667</v>
      </c>
      <c r="D212" s="6">
        <v>13.521800000000001</v>
      </c>
      <c r="E212" s="6">
        <v>1.673</v>
      </c>
      <c r="F212" s="6">
        <v>-3.423</v>
      </c>
      <c r="G212" s="6">
        <f t="shared" si="3"/>
        <v>3.637978807091713E-12</v>
      </c>
    </row>
    <row r="213" spans="1:7" ht="18.95" customHeight="1">
      <c r="A213" s="1">
        <v>207</v>
      </c>
      <c r="B213" s="6">
        <v>1.7249999999999963</v>
      </c>
      <c r="C213" s="6">
        <f>TimeStep!B213</f>
        <v>1725.0000000000002</v>
      </c>
      <c r="D213" s="6">
        <v>13.9802</v>
      </c>
      <c r="E213" s="6">
        <v>1.7330000000000001</v>
      </c>
      <c r="F213" s="6">
        <v>-3.3929999999999998</v>
      </c>
      <c r="G213" s="6">
        <f t="shared" si="3"/>
        <v>3.865352482534945E-12</v>
      </c>
    </row>
    <row r="214" spans="1:7" ht="18.95" customHeight="1">
      <c r="A214" s="1">
        <v>208</v>
      </c>
      <c r="B214" s="6">
        <v>1.7333333333333296</v>
      </c>
      <c r="C214" s="6">
        <f>TimeStep!B214</f>
        <v>1733.3333333333335</v>
      </c>
      <c r="D214" s="6">
        <v>14.438499999999999</v>
      </c>
      <c r="E214" s="6">
        <v>1.792</v>
      </c>
      <c r="F214" s="6">
        <v>-3.3620000000000001</v>
      </c>
      <c r="G214" s="6">
        <f t="shared" si="3"/>
        <v>3.865352482534945E-12</v>
      </c>
    </row>
    <row r="215" spans="1:7" ht="18.95" customHeight="1">
      <c r="A215" s="1">
        <v>209</v>
      </c>
      <c r="B215" s="6">
        <v>1.7416666666666629</v>
      </c>
      <c r="C215" s="6">
        <f>TimeStep!B215</f>
        <v>1741.6666666666667</v>
      </c>
      <c r="D215" s="6">
        <v>14.9542</v>
      </c>
      <c r="E215" s="6">
        <v>1.85</v>
      </c>
      <c r="F215" s="6">
        <v>-3.331</v>
      </c>
      <c r="G215" s="6">
        <f t="shared" si="3"/>
        <v>3.865352482534945E-12</v>
      </c>
    </row>
    <row r="216" spans="1:7" ht="18.95" customHeight="1">
      <c r="A216" s="1">
        <v>210</v>
      </c>
      <c r="B216" s="6">
        <v>1.7499999999999962</v>
      </c>
      <c r="C216" s="6">
        <f>TimeStep!B216</f>
        <v>1750.0000000000002</v>
      </c>
      <c r="D216" s="6">
        <v>15.412599999999999</v>
      </c>
      <c r="E216" s="6">
        <v>1.9079999999999999</v>
      </c>
      <c r="F216" s="6">
        <v>-3.298</v>
      </c>
      <c r="G216" s="6">
        <f t="shared" si="3"/>
        <v>4.0927261579781771E-12</v>
      </c>
    </row>
    <row r="217" spans="1:7" ht="18.95" customHeight="1">
      <c r="A217" s="1">
        <v>211</v>
      </c>
      <c r="B217" s="6">
        <v>1.7583333333333295</v>
      </c>
      <c r="C217" s="6">
        <f>TimeStep!B217</f>
        <v>1758.3333333333335</v>
      </c>
      <c r="D217" s="6">
        <v>15.870900000000001</v>
      </c>
      <c r="E217" s="6">
        <v>1.9650000000000001</v>
      </c>
      <c r="F217" s="6">
        <v>-3.2639999999999998</v>
      </c>
      <c r="G217" s="6">
        <f t="shared" si="3"/>
        <v>3.865352482534945E-12</v>
      </c>
    </row>
    <row r="218" spans="1:7" ht="18.95" customHeight="1">
      <c r="A218" s="1">
        <v>212</v>
      </c>
      <c r="B218" s="6">
        <v>1.7666666666666628</v>
      </c>
      <c r="C218" s="6">
        <f>TimeStep!B218</f>
        <v>1766.6666666666667</v>
      </c>
      <c r="D218" s="6">
        <v>16.271999999999998</v>
      </c>
      <c r="E218" s="6">
        <v>2.0219999999999998</v>
      </c>
      <c r="F218" s="6">
        <v>-3.2290000000000001</v>
      </c>
      <c r="G218" s="6">
        <f t="shared" si="3"/>
        <v>3.865352482534945E-12</v>
      </c>
    </row>
    <row r="219" spans="1:7" ht="18.95" customHeight="1">
      <c r="A219" s="1">
        <v>213</v>
      </c>
      <c r="B219" s="6">
        <v>1.7749999999999961</v>
      </c>
      <c r="C219" s="6">
        <f>TimeStep!B219</f>
        <v>1775.0000000000002</v>
      </c>
      <c r="D219" s="6">
        <v>16.730399999999999</v>
      </c>
      <c r="E219" s="6">
        <v>2.0779999999999998</v>
      </c>
      <c r="F219" s="6">
        <v>-3.1930000000000001</v>
      </c>
      <c r="G219" s="6">
        <f t="shared" si="3"/>
        <v>4.0927261579781771E-12</v>
      </c>
    </row>
    <row r="220" spans="1:7" ht="18.95" customHeight="1">
      <c r="A220" s="1">
        <v>214</v>
      </c>
      <c r="B220" s="6">
        <v>1.7833333333333294</v>
      </c>
      <c r="C220" s="6">
        <f>TimeStep!B220</f>
        <v>1783.3333333333335</v>
      </c>
      <c r="D220" s="6">
        <v>17.188700000000001</v>
      </c>
      <c r="E220" s="6">
        <v>2.133</v>
      </c>
      <c r="F220" s="6">
        <v>-3.157</v>
      </c>
      <c r="G220" s="6">
        <f t="shared" si="3"/>
        <v>4.0927261579781771E-12</v>
      </c>
    </row>
    <row r="221" spans="1:7" ht="18.95" customHeight="1">
      <c r="A221" s="1">
        <v>215</v>
      </c>
      <c r="B221" s="6">
        <v>1.7916666666666627</v>
      </c>
      <c r="C221" s="6">
        <f>TimeStep!B221</f>
        <v>1791.6666666666667</v>
      </c>
      <c r="D221" s="6">
        <v>17.5898</v>
      </c>
      <c r="E221" s="6">
        <v>2.1880000000000002</v>
      </c>
      <c r="F221" s="6">
        <v>-3.1190000000000002</v>
      </c>
      <c r="G221" s="6">
        <f t="shared" si="3"/>
        <v>4.0927261579781771E-12</v>
      </c>
    </row>
    <row r="222" spans="1:7" ht="18.95" customHeight="1">
      <c r="A222" s="1">
        <v>216</v>
      </c>
      <c r="B222" s="6">
        <v>1.799999999999996</v>
      </c>
      <c r="C222" s="6">
        <f>TimeStep!B222</f>
        <v>1800.0000000000002</v>
      </c>
      <c r="D222" s="6">
        <v>18.048200000000001</v>
      </c>
      <c r="E222" s="6">
        <v>2.242</v>
      </c>
      <c r="F222" s="6">
        <v>-3.08</v>
      </c>
      <c r="G222" s="6">
        <f t="shared" si="3"/>
        <v>4.0927261579781771E-12</v>
      </c>
    </row>
    <row r="223" spans="1:7" ht="18.95" customHeight="1">
      <c r="A223" s="1">
        <v>217</v>
      </c>
      <c r="B223" s="6">
        <v>1.8083333333333294</v>
      </c>
      <c r="C223" s="6">
        <f>TimeStep!B223</f>
        <v>1808.3333333333335</v>
      </c>
      <c r="D223" s="6">
        <v>18.449200000000001</v>
      </c>
      <c r="E223" s="6">
        <v>2.2959999999999998</v>
      </c>
      <c r="F223" s="6">
        <v>-3.0409999999999999</v>
      </c>
      <c r="G223" s="6">
        <f t="shared" si="3"/>
        <v>4.0927261579781771E-12</v>
      </c>
    </row>
    <row r="224" spans="1:7" ht="18.95" customHeight="1">
      <c r="A224" s="1">
        <v>218</v>
      </c>
      <c r="B224" s="6">
        <v>1.8166666666666627</v>
      </c>
      <c r="C224" s="6">
        <f>TimeStep!B224</f>
        <v>1816.6666666666667</v>
      </c>
      <c r="D224" s="6">
        <v>18.850300000000001</v>
      </c>
      <c r="E224" s="6">
        <v>2.3479999999999999</v>
      </c>
      <c r="F224" s="6">
        <v>-3</v>
      </c>
      <c r="G224" s="6">
        <f t="shared" si="3"/>
        <v>4.0927261579781771E-12</v>
      </c>
    </row>
    <row r="225" spans="1:7" ht="18.95" customHeight="1">
      <c r="A225" s="1">
        <v>219</v>
      </c>
      <c r="B225" s="6">
        <v>1.824999999999996</v>
      </c>
      <c r="C225" s="6">
        <f>TimeStep!B225</f>
        <v>1825.0000000000002</v>
      </c>
      <c r="D225" s="6">
        <v>19.2514</v>
      </c>
      <c r="E225" s="6">
        <v>2.4</v>
      </c>
      <c r="F225" s="6">
        <v>-2.9590000000000001</v>
      </c>
      <c r="G225" s="6">
        <f t="shared" si="3"/>
        <v>4.3200998334214091E-12</v>
      </c>
    </row>
    <row r="226" spans="1:7" ht="18.95" customHeight="1">
      <c r="A226" s="1">
        <v>220</v>
      </c>
      <c r="B226" s="6">
        <v>1.8333333333333293</v>
      </c>
      <c r="C226" s="6">
        <f>TimeStep!B226</f>
        <v>1833.3333333333335</v>
      </c>
      <c r="D226" s="6">
        <v>19.6525</v>
      </c>
      <c r="E226" s="6">
        <v>2.452</v>
      </c>
      <c r="F226" s="6">
        <v>-2.9159999999999999</v>
      </c>
      <c r="G226" s="6">
        <f t="shared" si="3"/>
        <v>4.3200998334214091E-12</v>
      </c>
    </row>
    <row r="227" spans="1:7" ht="18.95" customHeight="1">
      <c r="A227" s="1">
        <v>221</v>
      </c>
      <c r="B227" s="6">
        <v>1.8416666666666626</v>
      </c>
      <c r="C227" s="6">
        <f>TimeStep!B227</f>
        <v>1841.6666666666667</v>
      </c>
      <c r="D227" s="6">
        <v>20.0535</v>
      </c>
      <c r="E227" s="6">
        <v>2.5019999999999998</v>
      </c>
      <c r="F227" s="6">
        <v>-2.8730000000000002</v>
      </c>
      <c r="G227" s="6">
        <f t="shared" si="3"/>
        <v>4.0927261579781771E-12</v>
      </c>
    </row>
    <row r="228" spans="1:7" ht="18.95" customHeight="1">
      <c r="A228" s="1">
        <v>222</v>
      </c>
      <c r="B228" s="6">
        <v>1.8499999999999959</v>
      </c>
      <c r="C228" s="6">
        <f>TimeStep!B228</f>
        <v>1850.0000000000002</v>
      </c>
      <c r="D228" s="6">
        <v>20.454599999999999</v>
      </c>
      <c r="E228" s="6">
        <v>2.552</v>
      </c>
      <c r="F228" s="6">
        <v>-2.8290000000000002</v>
      </c>
      <c r="G228" s="6">
        <f t="shared" si="3"/>
        <v>4.3200998334214091E-12</v>
      </c>
    </row>
    <row r="229" spans="1:7" ht="18.95" customHeight="1">
      <c r="A229" s="1">
        <v>223</v>
      </c>
      <c r="B229" s="6">
        <v>1.8583333333333292</v>
      </c>
      <c r="C229" s="6">
        <f>TimeStep!B229</f>
        <v>1858.3333333333335</v>
      </c>
      <c r="D229" s="6">
        <v>20.855699999999999</v>
      </c>
      <c r="E229" s="6">
        <v>2.601</v>
      </c>
      <c r="F229" s="6">
        <v>-2.7839999999999998</v>
      </c>
      <c r="G229" s="6">
        <f t="shared" si="3"/>
        <v>4.3200998334214091E-12</v>
      </c>
    </row>
    <row r="230" spans="1:7" ht="18.95" customHeight="1">
      <c r="A230" s="1">
        <v>224</v>
      </c>
      <c r="B230" s="6">
        <v>1.8666666666666625</v>
      </c>
      <c r="C230" s="6">
        <f>TimeStep!B230</f>
        <v>1866.6666666666667</v>
      </c>
      <c r="D230" s="6">
        <v>21.199400000000001</v>
      </c>
      <c r="E230" s="6">
        <v>2.649</v>
      </c>
      <c r="F230" s="6">
        <v>-2.738</v>
      </c>
      <c r="G230" s="6">
        <f t="shared" si="3"/>
        <v>4.3200998334214091E-12</v>
      </c>
    </row>
    <row r="231" spans="1:7" ht="18.95" customHeight="1">
      <c r="A231" s="1">
        <v>225</v>
      </c>
      <c r="B231" s="6">
        <v>1.8749999999999958</v>
      </c>
      <c r="C231" s="6">
        <f>TimeStep!B231</f>
        <v>1875.0000000000002</v>
      </c>
      <c r="D231" s="6">
        <v>21.543199999999999</v>
      </c>
      <c r="E231" s="6">
        <v>2.6970000000000001</v>
      </c>
      <c r="F231" s="6">
        <v>-2.6920000000000002</v>
      </c>
      <c r="G231" s="6">
        <f t="shared" si="3"/>
        <v>4.5474735088646412E-12</v>
      </c>
    </row>
    <row r="232" spans="1:7" ht="18.95" customHeight="1">
      <c r="A232" s="1">
        <v>226</v>
      </c>
      <c r="B232" s="6">
        <v>1.8833333333333291</v>
      </c>
      <c r="C232" s="6">
        <f>TimeStep!B232</f>
        <v>1883.3333333333335</v>
      </c>
      <c r="D232" s="6">
        <v>21.944299999999998</v>
      </c>
      <c r="E232" s="6">
        <v>2.7429999999999999</v>
      </c>
      <c r="F232" s="6">
        <v>-2.6440000000000001</v>
      </c>
      <c r="G232" s="6">
        <f t="shared" si="3"/>
        <v>4.3200998334214091E-12</v>
      </c>
    </row>
    <row r="233" spans="1:7" ht="18.95" customHeight="1">
      <c r="A233" s="1">
        <v>227</v>
      </c>
      <c r="B233" s="6">
        <v>1.8916666666666624</v>
      </c>
      <c r="C233" s="6">
        <f>TimeStep!B233</f>
        <v>1891.6666666666667</v>
      </c>
      <c r="D233" s="6">
        <v>22.2881</v>
      </c>
      <c r="E233" s="6">
        <v>2.7890000000000001</v>
      </c>
      <c r="F233" s="6">
        <v>-2.5960000000000001</v>
      </c>
      <c r="G233" s="6">
        <f t="shared" si="3"/>
        <v>4.3200998334214091E-12</v>
      </c>
    </row>
    <row r="234" spans="1:7" ht="18.95" customHeight="1">
      <c r="A234" s="1">
        <v>228</v>
      </c>
      <c r="B234" s="6">
        <v>1.8999999999999957</v>
      </c>
      <c r="C234" s="6">
        <f>TimeStep!B234</f>
        <v>1900.0000000000002</v>
      </c>
      <c r="D234" s="6">
        <v>22.631799999999998</v>
      </c>
      <c r="E234" s="6">
        <v>2.8340000000000001</v>
      </c>
      <c r="F234" s="6">
        <v>-2.5470000000000002</v>
      </c>
      <c r="G234" s="6">
        <f t="shared" si="3"/>
        <v>4.5474735088646412E-12</v>
      </c>
    </row>
    <row r="235" spans="1:7" ht="18.95" customHeight="1">
      <c r="A235" s="1">
        <v>229</v>
      </c>
      <c r="B235" s="6">
        <v>1.908333333333329</v>
      </c>
      <c r="C235" s="6">
        <f>TimeStep!B235</f>
        <v>1908.3333333333335</v>
      </c>
      <c r="D235" s="6">
        <v>22.9756</v>
      </c>
      <c r="E235" s="6">
        <v>2.8780000000000001</v>
      </c>
      <c r="F235" s="6">
        <v>-2.4969999999999999</v>
      </c>
      <c r="G235" s="6">
        <f t="shared" si="3"/>
        <v>4.5474735088646412E-12</v>
      </c>
    </row>
    <row r="236" spans="1:7" ht="18.95" customHeight="1">
      <c r="A236" s="1">
        <v>230</v>
      </c>
      <c r="B236" s="6">
        <v>1.9166666666666623</v>
      </c>
      <c r="C236" s="6">
        <f>TimeStep!B236</f>
        <v>1916.6666666666667</v>
      </c>
      <c r="D236" s="6">
        <v>23.319400000000002</v>
      </c>
      <c r="E236" s="6">
        <v>2.9209999999999998</v>
      </c>
      <c r="F236" s="6">
        <v>-2.4460000000000002</v>
      </c>
      <c r="G236" s="6">
        <f t="shared" si="3"/>
        <v>4.5474735088646412E-12</v>
      </c>
    </row>
    <row r="237" spans="1:7" ht="18.95" customHeight="1">
      <c r="A237" s="1">
        <v>231</v>
      </c>
      <c r="B237" s="6">
        <v>1.9249999999999956</v>
      </c>
      <c r="C237" s="6">
        <f>TimeStep!B237</f>
        <v>1925.0000000000002</v>
      </c>
      <c r="D237" s="6">
        <v>23.605899999999998</v>
      </c>
      <c r="E237" s="6">
        <v>2.9630000000000001</v>
      </c>
      <c r="F237" s="6">
        <v>-2.395</v>
      </c>
      <c r="G237" s="6">
        <f t="shared" si="3"/>
        <v>4.5474735088646412E-12</v>
      </c>
    </row>
    <row r="238" spans="1:7" ht="18.95" customHeight="1">
      <c r="A238" s="1">
        <v>232</v>
      </c>
      <c r="B238" s="6">
        <v>1.9333333333333289</v>
      </c>
      <c r="C238" s="6">
        <f>TimeStep!B238</f>
        <v>1933.3333333333335</v>
      </c>
      <c r="D238" s="6">
        <v>23.9496</v>
      </c>
      <c r="E238" s="6">
        <v>3.004</v>
      </c>
      <c r="F238" s="6">
        <v>-2.343</v>
      </c>
      <c r="G238" s="6">
        <f t="shared" si="3"/>
        <v>4.5474735088646412E-12</v>
      </c>
    </row>
    <row r="239" spans="1:7" ht="18.95" customHeight="1">
      <c r="A239" s="1">
        <v>233</v>
      </c>
      <c r="B239" s="6">
        <v>1.9416666666666622</v>
      </c>
      <c r="C239" s="6">
        <f>TimeStep!B239</f>
        <v>1941.6666666666667</v>
      </c>
      <c r="D239" s="6">
        <v>24.2361</v>
      </c>
      <c r="E239" s="6">
        <v>3.0449999999999999</v>
      </c>
      <c r="F239" s="6">
        <v>-2.29</v>
      </c>
      <c r="G239" s="6">
        <f t="shared" si="3"/>
        <v>4.5474735088646412E-12</v>
      </c>
    </row>
    <row r="240" spans="1:7" ht="18.95" customHeight="1">
      <c r="A240" s="1">
        <v>234</v>
      </c>
      <c r="B240" s="6">
        <v>1.9499999999999955</v>
      </c>
      <c r="C240" s="6">
        <f>TimeStep!B240</f>
        <v>1950.0000000000002</v>
      </c>
      <c r="D240" s="6">
        <v>24.579899999999999</v>
      </c>
      <c r="E240" s="6">
        <v>3.0840000000000001</v>
      </c>
      <c r="F240" s="6">
        <v>-2.2370000000000001</v>
      </c>
      <c r="G240" s="6">
        <f t="shared" si="3"/>
        <v>4.7748471843078732E-12</v>
      </c>
    </row>
    <row r="241" spans="1:7" ht="18.95" customHeight="1">
      <c r="A241" s="1">
        <v>235</v>
      </c>
      <c r="B241" s="6">
        <v>1.9583333333333288</v>
      </c>
      <c r="C241" s="6">
        <f>TimeStep!B241</f>
        <v>1958.3333333333335</v>
      </c>
      <c r="D241" s="6">
        <v>24.866399999999999</v>
      </c>
      <c r="E241" s="6">
        <v>3.1230000000000002</v>
      </c>
      <c r="F241" s="6">
        <v>-2.1829999999999998</v>
      </c>
      <c r="G241" s="6">
        <f t="shared" si="3"/>
        <v>4.7748471843078732E-12</v>
      </c>
    </row>
    <row r="242" spans="1:7" ht="18.95" customHeight="1">
      <c r="A242" s="1">
        <v>236</v>
      </c>
      <c r="B242" s="6">
        <v>1.9666666666666621</v>
      </c>
      <c r="C242" s="6">
        <f>TimeStep!B242</f>
        <v>1966.6666666666667</v>
      </c>
      <c r="D242" s="6">
        <v>25.152799999999999</v>
      </c>
      <c r="E242" s="6">
        <v>3.161</v>
      </c>
      <c r="F242" s="6">
        <v>-2.1280000000000001</v>
      </c>
      <c r="G242" s="6">
        <f t="shared" si="3"/>
        <v>4.5474735088646412E-12</v>
      </c>
    </row>
    <row r="243" spans="1:7" ht="18.95" customHeight="1">
      <c r="A243" s="1">
        <v>237</v>
      </c>
      <c r="B243" s="6">
        <v>1.9749999999999954</v>
      </c>
      <c r="C243" s="6">
        <f>TimeStep!B243</f>
        <v>1975.0000000000002</v>
      </c>
      <c r="D243" s="6">
        <v>25.382000000000001</v>
      </c>
      <c r="E243" s="6">
        <v>3.1970000000000001</v>
      </c>
      <c r="F243" s="6">
        <v>-2.0720000000000001</v>
      </c>
      <c r="G243" s="6">
        <f t="shared" si="3"/>
        <v>4.7748471843078732E-12</v>
      </c>
    </row>
    <row r="244" spans="1:7" ht="18.95" customHeight="1">
      <c r="A244" s="1">
        <v>238</v>
      </c>
      <c r="B244" s="6">
        <v>1.9833333333333287</v>
      </c>
      <c r="C244" s="6">
        <f>TimeStep!B244</f>
        <v>1983.3333333333335</v>
      </c>
      <c r="D244" s="6">
        <v>25.668500000000002</v>
      </c>
      <c r="E244" s="6">
        <v>3.2330000000000001</v>
      </c>
      <c r="F244" s="6">
        <v>-2.016</v>
      </c>
      <c r="G244" s="6">
        <f t="shared" si="3"/>
        <v>4.7748471843078732E-12</v>
      </c>
    </row>
    <row r="245" spans="1:7" ht="18.95" customHeight="1">
      <c r="A245" s="1">
        <v>239</v>
      </c>
      <c r="B245" s="6">
        <v>1.991666666666662</v>
      </c>
      <c r="C245" s="6">
        <f>TimeStep!B245</f>
        <v>1991.6666666666667</v>
      </c>
      <c r="D245" s="6">
        <v>25.954999999999998</v>
      </c>
      <c r="E245" s="6">
        <v>3.2679999999999998</v>
      </c>
      <c r="F245" s="6">
        <v>-1.9590000000000001</v>
      </c>
      <c r="G245" s="6">
        <f t="shared" si="3"/>
        <v>4.7748471843078732E-12</v>
      </c>
    </row>
    <row r="246" spans="1:7" ht="18.95" customHeight="1">
      <c r="A246" s="1">
        <v>240</v>
      </c>
      <c r="B246" s="6">
        <v>1.9999999999999953</v>
      </c>
      <c r="C246" s="6">
        <f>TimeStep!B246</f>
        <v>2000.0000000000002</v>
      </c>
      <c r="D246" s="6">
        <v>26.184200000000001</v>
      </c>
      <c r="E246" s="6">
        <v>3.3010000000000002</v>
      </c>
      <c r="F246" s="6">
        <v>-1.9019999999999999</v>
      </c>
      <c r="G246" s="6">
        <f t="shared" si="3"/>
        <v>5.0022208597511053E-12</v>
      </c>
    </row>
    <row r="247" spans="1:7" ht="18.95" customHeight="1">
      <c r="A247" s="1">
        <v>241</v>
      </c>
      <c r="B247" s="6">
        <v>2.0083333333333289</v>
      </c>
      <c r="C247" s="6">
        <f>TimeStep!B247</f>
        <v>2008.3333333333335</v>
      </c>
      <c r="D247" s="6">
        <v>26.470700000000001</v>
      </c>
      <c r="E247" s="6">
        <v>3.3340000000000001</v>
      </c>
      <c r="F247" s="6">
        <v>-1.8440000000000001</v>
      </c>
      <c r="G247" s="6">
        <f t="shared" si="3"/>
        <v>4.5474735088646412E-12</v>
      </c>
    </row>
    <row r="248" spans="1:7" ht="18.95" customHeight="1">
      <c r="A248" s="1">
        <v>242</v>
      </c>
      <c r="B248" s="6">
        <v>2.0166666666666622</v>
      </c>
      <c r="C248" s="6">
        <f>TimeStep!B248</f>
        <v>2016.6666666666667</v>
      </c>
      <c r="D248" s="6">
        <v>26.6998</v>
      </c>
      <c r="E248" s="6">
        <v>3.3660000000000001</v>
      </c>
      <c r="F248" s="6">
        <v>-1.786</v>
      </c>
      <c r="G248" s="6">
        <f t="shared" si="3"/>
        <v>4.5474735088646412E-12</v>
      </c>
    </row>
    <row r="249" spans="1:7" ht="18.95" customHeight="1">
      <c r="A249" s="1">
        <v>243</v>
      </c>
      <c r="B249" s="6">
        <v>2.0249999999999955</v>
      </c>
      <c r="C249" s="6">
        <f>TimeStep!B249</f>
        <v>2025.0000000000002</v>
      </c>
      <c r="D249" s="6">
        <v>26.928999999999998</v>
      </c>
      <c r="E249" s="6">
        <v>3.3959999999999999</v>
      </c>
      <c r="F249" s="6">
        <v>-1.7270000000000001</v>
      </c>
      <c r="G249" s="6">
        <f t="shared" si="3"/>
        <v>4.7748471843078732E-12</v>
      </c>
    </row>
    <row r="250" spans="1:7" ht="18.95" customHeight="1">
      <c r="A250" s="1">
        <v>244</v>
      </c>
      <c r="B250" s="6">
        <v>2.0333333333333288</v>
      </c>
      <c r="C250" s="6">
        <f>TimeStep!B250</f>
        <v>2033.3333333333335</v>
      </c>
      <c r="D250" s="6">
        <v>27.158200000000001</v>
      </c>
      <c r="E250" s="6">
        <v>3.4260000000000002</v>
      </c>
      <c r="F250" s="6">
        <v>-1.667</v>
      </c>
      <c r="G250" s="6">
        <f t="shared" si="3"/>
        <v>4.7748471843078732E-12</v>
      </c>
    </row>
    <row r="251" spans="1:7" ht="18.95" customHeight="1">
      <c r="A251" s="1">
        <v>245</v>
      </c>
      <c r="B251" s="6">
        <v>2.0416666666666621</v>
      </c>
      <c r="C251" s="6">
        <f>TimeStep!B251</f>
        <v>2041.6666666666667</v>
      </c>
      <c r="D251" s="6">
        <v>27.330100000000002</v>
      </c>
      <c r="E251" s="6">
        <v>3.4540000000000002</v>
      </c>
      <c r="F251" s="6">
        <v>-1.607</v>
      </c>
      <c r="G251" s="6">
        <f t="shared" si="3"/>
        <v>4.7748471843078732E-12</v>
      </c>
    </row>
    <row r="252" spans="1:7" ht="18.95" customHeight="1">
      <c r="A252" s="1">
        <v>246</v>
      </c>
      <c r="B252" s="6">
        <v>2.0499999999999954</v>
      </c>
      <c r="C252" s="6">
        <f>TimeStep!B252</f>
        <v>2050</v>
      </c>
      <c r="D252" s="6">
        <v>27.5593</v>
      </c>
      <c r="E252" s="6">
        <v>3.4820000000000002</v>
      </c>
      <c r="F252" s="6">
        <v>-1.5469999999999999</v>
      </c>
      <c r="G252" s="6">
        <f t="shared" si="3"/>
        <v>4.5474735088646412E-12</v>
      </c>
    </row>
    <row r="253" spans="1:7" ht="18.95" customHeight="1">
      <c r="A253" s="1">
        <v>247</v>
      </c>
      <c r="B253" s="6">
        <v>2.0583333333333287</v>
      </c>
      <c r="C253" s="6">
        <f>TimeStep!B253</f>
        <v>2058.3333333333335</v>
      </c>
      <c r="D253" s="6">
        <v>27.731200000000001</v>
      </c>
      <c r="E253" s="6">
        <v>3.508</v>
      </c>
      <c r="F253" s="6">
        <v>-1.486</v>
      </c>
      <c r="G253" s="6">
        <f t="shared" si="3"/>
        <v>5.0022208597511053E-12</v>
      </c>
    </row>
    <row r="254" spans="1:7" ht="18.95" customHeight="1">
      <c r="A254" s="1">
        <v>248</v>
      </c>
      <c r="B254" s="6">
        <v>2.066666666666662</v>
      </c>
      <c r="C254" s="6">
        <f>TimeStep!B254</f>
        <v>2066.666666666667</v>
      </c>
      <c r="D254" s="6">
        <v>27.9603</v>
      </c>
      <c r="E254" s="6">
        <v>3.5339999999999998</v>
      </c>
      <c r="F254" s="6">
        <v>-1.4239999999999999</v>
      </c>
      <c r="G254" s="6">
        <f t="shared" si="3"/>
        <v>5.0022208597511053E-12</v>
      </c>
    </row>
    <row r="255" spans="1:7" ht="18.95" customHeight="1">
      <c r="A255" s="1">
        <v>249</v>
      </c>
      <c r="B255" s="6">
        <v>2.0749999999999953</v>
      </c>
      <c r="C255" s="6">
        <f>TimeStep!B255</f>
        <v>2075</v>
      </c>
      <c r="D255" s="6">
        <v>28.132200000000001</v>
      </c>
      <c r="E255" s="6">
        <v>3.5579999999999998</v>
      </c>
      <c r="F255" s="6">
        <v>-1.3620000000000001</v>
      </c>
      <c r="G255" s="6">
        <f t="shared" si="3"/>
        <v>4.5474735088646412E-12</v>
      </c>
    </row>
    <row r="256" spans="1:7" ht="18.95" customHeight="1">
      <c r="A256" s="1">
        <v>250</v>
      </c>
      <c r="B256" s="6">
        <v>2.0833333333333286</v>
      </c>
      <c r="C256" s="6">
        <f>TimeStep!B256</f>
        <v>2083.3333333333335</v>
      </c>
      <c r="D256" s="6">
        <v>28.304099999999998</v>
      </c>
      <c r="E256" s="6">
        <v>3.581</v>
      </c>
      <c r="F256" s="6">
        <v>-1.3</v>
      </c>
      <c r="G256" s="6">
        <f t="shared" si="3"/>
        <v>5.0022208597511053E-12</v>
      </c>
    </row>
    <row r="257" spans="1:7" ht="18.95" customHeight="1">
      <c r="A257" s="1">
        <v>251</v>
      </c>
      <c r="B257" s="6">
        <v>2.0916666666666619</v>
      </c>
      <c r="C257" s="6">
        <f>TimeStep!B257</f>
        <v>2091.666666666667</v>
      </c>
      <c r="D257" s="6">
        <v>28.475999999999999</v>
      </c>
      <c r="E257" s="6">
        <v>3.6040000000000001</v>
      </c>
      <c r="F257" s="6">
        <v>-1.2370000000000001</v>
      </c>
      <c r="G257" s="6">
        <f t="shared" si="3"/>
        <v>5.0022208597511053E-12</v>
      </c>
    </row>
    <row r="258" spans="1:7" ht="18.95" customHeight="1">
      <c r="A258" s="1">
        <v>252</v>
      </c>
      <c r="B258" s="6">
        <v>2.0999999999999952</v>
      </c>
      <c r="C258" s="6">
        <f>TimeStep!B258</f>
        <v>2100</v>
      </c>
      <c r="D258" s="6">
        <v>28.6479</v>
      </c>
      <c r="E258" s="6">
        <v>3.625</v>
      </c>
      <c r="F258" s="6">
        <v>-1.1739999999999999</v>
      </c>
      <c r="G258" s="6">
        <f t="shared" si="3"/>
        <v>5.0022208597511053E-12</v>
      </c>
    </row>
    <row r="259" spans="1:7" ht="18.95" customHeight="1">
      <c r="A259" s="1">
        <v>253</v>
      </c>
      <c r="B259" s="6">
        <v>2.1083333333333285</v>
      </c>
      <c r="C259" s="6">
        <f>TimeStep!B259</f>
        <v>2108.3333333333335</v>
      </c>
      <c r="D259" s="6">
        <v>28.762499999999999</v>
      </c>
      <c r="E259" s="6">
        <v>3.645</v>
      </c>
      <c r="F259" s="6">
        <v>-1.111</v>
      </c>
      <c r="G259" s="6">
        <f t="shared" si="3"/>
        <v>5.0022208597511053E-12</v>
      </c>
    </row>
    <row r="260" spans="1:7" ht="18.95" customHeight="1">
      <c r="A260" s="1">
        <v>254</v>
      </c>
      <c r="B260" s="6">
        <v>2.1166666666666618</v>
      </c>
      <c r="C260" s="6">
        <f>TimeStep!B260</f>
        <v>2116.666666666667</v>
      </c>
      <c r="D260" s="6">
        <v>28.9344</v>
      </c>
      <c r="E260" s="6">
        <v>3.6629999999999998</v>
      </c>
      <c r="F260" s="6">
        <v>-1.0469999999999999</v>
      </c>
      <c r="G260" s="6">
        <f t="shared" si="3"/>
        <v>5.0022208597511053E-12</v>
      </c>
    </row>
    <row r="261" spans="1:7" ht="18.95" customHeight="1">
      <c r="A261" s="1">
        <v>255</v>
      </c>
      <c r="B261" s="6">
        <v>2.1249999999999951</v>
      </c>
      <c r="C261" s="6">
        <f>TimeStep!B261</f>
        <v>2125</v>
      </c>
      <c r="D261" s="6">
        <v>29.048999999999999</v>
      </c>
      <c r="E261" s="6">
        <v>3.681</v>
      </c>
      <c r="F261" s="6">
        <v>-0.98299999999999998</v>
      </c>
      <c r="G261" s="6">
        <f t="shared" si="3"/>
        <v>5.0022208597511053E-12</v>
      </c>
    </row>
    <row r="262" spans="1:7" ht="18.95" customHeight="1">
      <c r="A262" s="1">
        <v>256</v>
      </c>
      <c r="B262" s="6">
        <v>2.1333333333333284</v>
      </c>
      <c r="C262" s="6">
        <f>TimeStep!B262</f>
        <v>2133.3333333333335</v>
      </c>
      <c r="D262" s="6">
        <v>29.163599999999999</v>
      </c>
      <c r="E262" s="6">
        <v>3.698</v>
      </c>
      <c r="F262" s="6">
        <v>-0.91900000000000004</v>
      </c>
      <c r="G262" s="6">
        <f t="shared" ref="G262:G325" si="4">C262-B262*1000</f>
        <v>5.0022208597511053E-12</v>
      </c>
    </row>
    <row r="263" spans="1:7" ht="18.95" customHeight="1">
      <c r="A263" s="1">
        <v>257</v>
      </c>
      <c r="B263" s="6">
        <v>2.1416666666666617</v>
      </c>
      <c r="C263" s="6">
        <f>TimeStep!B263</f>
        <v>2141.666666666667</v>
      </c>
      <c r="D263" s="6">
        <v>29.278099999999998</v>
      </c>
      <c r="E263" s="6">
        <v>3.7130000000000001</v>
      </c>
      <c r="F263" s="6">
        <v>-0.85399999999999998</v>
      </c>
      <c r="G263" s="6">
        <f t="shared" si="4"/>
        <v>5.4569682106375694E-12</v>
      </c>
    </row>
    <row r="264" spans="1:7" ht="18.95" customHeight="1">
      <c r="A264" s="1">
        <v>258</v>
      </c>
      <c r="B264" s="6">
        <v>2.149999999999995</v>
      </c>
      <c r="C264" s="6">
        <f>TimeStep!B264</f>
        <v>2150</v>
      </c>
      <c r="D264" s="6">
        <v>29.392700000000001</v>
      </c>
      <c r="E264" s="6">
        <v>3.7269999999999999</v>
      </c>
      <c r="F264" s="6">
        <v>-0.78900000000000003</v>
      </c>
      <c r="G264" s="6">
        <f t="shared" si="4"/>
        <v>5.0022208597511053E-12</v>
      </c>
    </row>
    <row r="265" spans="1:7" ht="18.95" customHeight="1">
      <c r="A265" s="1">
        <v>259</v>
      </c>
      <c r="B265" s="6">
        <v>2.1583333333333283</v>
      </c>
      <c r="C265" s="6">
        <f>TimeStep!B265</f>
        <v>2158.3333333333335</v>
      </c>
      <c r="D265" s="6">
        <v>29.507300000000001</v>
      </c>
      <c r="E265" s="6">
        <v>3.7410000000000001</v>
      </c>
      <c r="F265" s="6">
        <v>-0.72399999999999998</v>
      </c>
      <c r="G265" s="6">
        <f t="shared" si="4"/>
        <v>5.0022208597511053E-12</v>
      </c>
    </row>
    <row r="266" spans="1:7" ht="18.95" customHeight="1">
      <c r="A266" s="1">
        <v>260</v>
      </c>
      <c r="B266" s="6">
        <v>2.1666666666666616</v>
      </c>
      <c r="C266" s="6">
        <f>TimeStep!B266</f>
        <v>2166.666666666667</v>
      </c>
      <c r="D266" s="6">
        <v>29.564599999999999</v>
      </c>
      <c r="E266" s="6">
        <v>3.7530000000000001</v>
      </c>
      <c r="F266" s="6">
        <v>-0.65800000000000003</v>
      </c>
      <c r="G266" s="6">
        <f t="shared" si="4"/>
        <v>5.4569682106375694E-12</v>
      </c>
    </row>
    <row r="267" spans="1:7" ht="18.95" customHeight="1">
      <c r="A267" s="1">
        <v>261</v>
      </c>
      <c r="B267" s="6">
        <v>2.1749999999999949</v>
      </c>
      <c r="C267" s="6">
        <f>TimeStep!B267</f>
        <v>2175</v>
      </c>
      <c r="D267" s="6">
        <v>29.679200000000002</v>
      </c>
      <c r="E267" s="6">
        <v>3.7639999999999998</v>
      </c>
      <c r="F267" s="6">
        <v>-0.59299999999999997</v>
      </c>
      <c r="G267" s="6">
        <f t="shared" si="4"/>
        <v>5.0022208597511053E-12</v>
      </c>
    </row>
    <row r="268" spans="1:7" ht="18.95" customHeight="1">
      <c r="A268" s="1">
        <v>262</v>
      </c>
      <c r="B268" s="6">
        <v>2.1833333333333282</v>
      </c>
      <c r="C268" s="6">
        <f>TimeStep!B268</f>
        <v>2183.3333333333335</v>
      </c>
      <c r="D268" s="6">
        <v>29.736499999999999</v>
      </c>
      <c r="E268" s="6">
        <v>3.7730000000000001</v>
      </c>
      <c r="F268" s="6">
        <v>-0.52700000000000002</v>
      </c>
      <c r="G268" s="6">
        <f t="shared" si="4"/>
        <v>5.4569682106375694E-12</v>
      </c>
    </row>
    <row r="269" spans="1:7" ht="18.95" customHeight="1">
      <c r="A269" s="1">
        <v>263</v>
      </c>
      <c r="B269" s="6">
        <v>2.1916666666666615</v>
      </c>
      <c r="C269" s="6">
        <f>TimeStep!B269</f>
        <v>2191.666666666667</v>
      </c>
      <c r="D269" s="6">
        <v>29.793800000000001</v>
      </c>
      <c r="E269" s="6">
        <v>3.782</v>
      </c>
      <c r="F269" s="6">
        <v>-0.46100000000000002</v>
      </c>
      <c r="G269" s="6">
        <f t="shared" si="4"/>
        <v>5.4569682106375694E-12</v>
      </c>
    </row>
    <row r="270" spans="1:7" ht="18.95" customHeight="1">
      <c r="A270" s="1">
        <v>264</v>
      </c>
      <c r="B270" s="6">
        <v>2.1999999999999948</v>
      </c>
      <c r="C270" s="6">
        <f>TimeStep!B270</f>
        <v>2200</v>
      </c>
      <c r="D270" s="6">
        <v>29.851099999999999</v>
      </c>
      <c r="E270" s="6">
        <v>3.79</v>
      </c>
      <c r="F270" s="6">
        <v>-0.39500000000000002</v>
      </c>
      <c r="G270" s="6">
        <f t="shared" si="4"/>
        <v>5.0022208597511053E-12</v>
      </c>
    </row>
    <row r="271" spans="1:7" ht="18.95" customHeight="1">
      <c r="A271" s="1">
        <v>265</v>
      </c>
      <c r="B271" s="6">
        <v>2.2083333333333282</v>
      </c>
      <c r="C271" s="6">
        <f>TimeStep!B271</f>
        <v>2208.3333333333335</v>
      </c>
      <c r="D271" s="6">
        <v>29.9084</v>
      </c>
      <c r="E271" s="6">
        <v>3.7959999999999998</v>
      </c>
      <c r="F271" s="6">
        <v>-0.32900000000000001</v>
      </c>
      <c r="G271" s="6">
        <f t="shared" si="4"/>
        <v>5.4569682106375694E-12</v>
      </c>
    </row>
    <row r="272" spans="1:7" ht="18.95" customHeight="1">
      <c r="A272" s="1">
        <v>266</v>
      </c>
      <c r="B272" s="6">
        <v>2.2166666666666615</v>
      </c>
      <c r="C272" s="6">
        <f>TimeStep!B272</f>
        <v>2216.666666666667</v>
      </c>
      <c r="D272" s="6">
        <v>29.9084</v>
      </c>
      <c r="E272" s="6">
        <v>3.8010000000000002</v>
      </c>
      <c r="F272" s="6">
        <v>-0.26200000000000001</v>
      </c>
      <c r="G272" s="6">
        <f t="shared" si="4"/>
        <v>5.4569682106375694E-12</v>
      </c>
    </row>
    <row r="273" spans="1:7" ht="18.95" customHeight="1">
      <c r="A273" s="1">
        <v>267</v>
      </c>
      <c r="B273" s="6">
        <v>2.2249999999999948</v>
      </c>
      <c r="C273" s="6">
        <f>TimeStep!B273</f>
        <v>2225</v>
      </c>
      <c r="D273" s="6">
        <v>29.965699999999998</v>
      </c>
      <c r="E273" s="6">
        <v>3.8050000000000002</v>
      </c>
      <c r="F273" s="6">
        <v>-0.19600000000000001</v>
      </c>
      <c r="G273" s="6">
        <f t="shared" si="4"/>
        <v>5.4569682106375694E-12</v>
      </c>
    </row>
    <row r="274" spans="1:7" ht="18.95" customHeight="1">
      <c r="A274" s="1">
        <v>268</v>
      </c>
      <c r="B274" s="6">
        <v>2.2333333333333281</v>
      </c>
      <c r="C274" s="6">
        <f>TimeStep!B274</f>
        <v>2233.3333333333335</v>
      </c>
      <c r="D274" s="6">
        <v>29.965699999999998</v>
      </c>
      <c r="E274" s="6">
        <v>3.8079999999999998</v>
      </c>
      <c r="F274" s="6">
        <v>-0.13</v>
      </c>
      <c r="G274" s="6">
        <f t="shared" si="4"/>
        <v>5.4569682106375694E-12</v>
      </c>
    </row>
    <row r="275" spans="1:7" ht="18.95" customHeight="1">
      <c r="A275" s="1">
        <v>269</v>
      </c>
      <c r="B275" s="6">
        <v>2.2416666666666614</v>
      </c>
      <c r="C275" s="6">
        <f>TimeStep!B275</f>
        <v>2241.666666666667</v>
      </c>
      <c r="D275" s="6">
        <v>30.023</v>
      </c>
      <c r="E275" s="6">
        <v>3.81</v>
      </c>
      <c r="F275" s="6">
        <v>-6.3E-2</v>
      </c>
      <c r="G275" s="6">
        <f t="shared" si="4"/>
        <v>5.4569682106375694E-12</v>
      </c>
    </row>
    <row r="276" spans="1:7" ht="18.95" customHeight="1">
      <c r="A276" s="1">
        <v>270</v>
      </c>
      <c r="B276" s="6">
        <v>2.2499999999999947</v>
      </c>
      <c r="C276" s="6">
        <f>TimeStep!B276</f>
        <v>2250</v>
      </c>
      <c r="D276" s="6">
        <v>30.023</v>
      </c>
      <c r="E276" s="6">
        <v>3.81</v>
      </c>
      <c r="F276" s="6">
        <v>3.0000000000000001E-3</v>
      </c>
      <c r="G276" s="6">
        <f t="shared" si="4"/>
        <v>5.4569682106375694E-12</v>
      </c>
    </row>
    <row r="277" spans="1:7" ht="18.95" customHeight="1">
      <c r="A277" s="1">
        <v>271</v>
      </c>
      <c r="B277" s="6">
        <v>2.258333333333328</v>
      </c>
      <c r="C277" s="6">
        <f>TimeStep!B277</f>
        <v>2258.3333333333335</v>
      </c>
      <c r="D277" s="6">
        <v>30.023</v>
      </c>
      <c r="E277" s="6">
        <v>3.8090000000000002</v>
      </c>
      <c r="F277" s="6">
        <v>7.0000000000000007E-2</v>
      </c>
      <c r="G277" s="6">
        <f t="shared" si="4"/>
        <v>5.4569682106375694E-12</v>
      </c>
    </row>
    <row r="278" spans="1:7" ht="18.95" customHeight="1">
      <c r="A278" s="1">
        <v>272</v>
      </c>
      <c r="B278" s="6">
        <v>2.2666666666666613</v>
      </c>
      <c r="C278" s="6">
        <f>TimeStep!B278</f>
        <v>2266.666666666667</v>
      </c>
      <c r="D278" s="6">
        <v>29.965699999999998</v>
      </c>
      <c r="E278" s="6">
        <v>3.8079999999999998</v>
      </c>
      <c r="F278" s="6">
        <v>0.13600000000000001</v>
      </c>
      <c r="G278" s="6">
        <f t="shared" si="4"/>
        <v>5.9117155615240335E-12</v>
      </c>
    </row>
    <row r="279" spans="1:7" ht="18.95" customHeight="1">
      <c r="A279" s="1">
        <v>273</v>
      </c>
      <c r="B279" s="6">
        <v>2.2749999999999946</v>
      </c>
      <c r="C279" s="6">
        <f>TimeStep!B279</f>
        <v>2275</v>
      </c>
      <c r="D279" s="6">
        <v>29.965699999999998</v>
      </c>
      <c r="E279" s="6">
        <v>3.8050000000000002</v>
      </c>
      <c r="F279" s="6">
        <v>0.20300000000000001</v>
      </c>
      <c r="G279" s="6">
        <f t="shared" si="4"/>
        <v>5.4569682106375694E-12</v>
      </c>
    </row>
    <row r="280" spans="1:7" ht="18.95" customHeight="1">
      <c r="A280" s="1">
        <v>274</v>
      </c>
      <c r="B280" s="6">
        <v>2.2833333333333279</v>
      </c>
      <c r="C280" s="6">
        <f>TimeStep!B280</f>
        <v>2283.3333333333335</v>
      </c>
      <c r="D280" s="6">
        <v>29.9084</v>
      </c>
      <c r="E280" s="6">
        <v>3.8010000000000002</v>
      </c>
      <c r="F280" s="6">
        <v>0.26900000000000002</v>
      </c>
      <c r="G280" s="6">
        <f t="shared" si="4"/>
        <v>5.4569682106375694E-12</v>
      </c>
    </row>
    <row r="281" spans="1:7" ht="18.95" customHeight="1">
      <c r="A281" s="1">
        <v>275</v>
      </c>
      <c r="B281" s="6">
        <v>2.2916666666666612</v>
      </c>
      <c r="C281" s="6">
        <f>TimeStep!B281</f>
        <v>2291.666666666667</v>
      </c>
      <c r="D281" s="6">
        <v>29.9084</v>
      </c>
      <c r="E281" s="6">
        <v>3.7949999999999999</v>
      </c>
      <c r="F281" s="6">
        <v>0.33500000000000002</v>
      </c>
      <c r="G281" s="6">
        <f t="shared" si="4"/>
        <v>5.9117155615240335E-12</v>
      </c>
    </row>
    <row r="282" spans="1:7" ht="18.95" customHeight="1">
      <c r="A282" s="1">
        <v>276</v>
      </c>
      <c r="B282" s="6">
        <v>2.2999999999999945</v>
      </c>
      <c r="C282" s="6">
        <f>TimeStep!B282</f>
        <v>2300</v>
      </c>
      <c r="D282" s="6">
        <v>29.851099999999999</v>
      </c>
      <c r="E282" s="6">
        <v>3.7890000000000001</v>
      </c>
      <c r="F282" s="6">
        <v>0.40200000000000002</v>
      </c>
      <c r="G282" s="6">
        <f t="shared" si="4"/>
        <v>5.4569682106375694E-12</v>
      </c>
    </row>
    <row r="283" spans="1:7" ht="18.95" customHeight="1">
      <c r="A283" s="1">
        <v>277</v>
      </c>
      <c r="B283" s="6">
        <v>2.3083333333333278</v>
      </c>
      <c r="C283" s="6">
        <f>TimeStep!B283</f>
        <v>2308.3333333333335</v>
      </c>
      <c r="D283" s="6">
        <v>29.793800000000001</v>
      </c>
      <c r="E283" s="6">
        <v>3.7810000000000001</v>
      </c>
      <c r="F283" s="6">
        <v>0.46800000000000003</v>
      </c>
      <c r="G283" s="6">
        <f t="shared" si="4"/>
        <v>5.9117155615240335E-12</v>
      </c>
    </row>
    <row r="284" spans="1:7" ht="18.95" customHeight="1">
      <c r="A284" s="1">
        <v>278</v>
      </c>
      <c r="B284" s="6">
        <v>2.3166666666666611</v>
      </c>
      <c r="C284" s="6">
        <f>TimeStep!B284</f>
        <v>2316.666666666667</v>
      </c>
      <c r="D284" s="6">
        <v>29.736499999999999</v>
      </c>
      <c r="E284" s="6">
        <v>3.7719999999999998</v>
      </c>
      <c r="F284" s="6">
        <v>0.53400000000000003</v>
      </c>
      <c r="G284" s="6">
        <f t="shared" si="4"/>
        <v>5.9117155615240335E-12</v>
      </c>
    </row>
    <row r="285" spans="1:7" ht="18.95" customHeight="1">
      <c r="A285" s="1">
        <v>279</v>
      </c>
      <c r="B285" s="6">
        <v>2.3249999999999944</v>
      </c>
      <c r="C285" s="6">
        <f>TimeStep!B285</f>
        <v>2325</v>
      </c>
      <c r="D285" s="6">
        <v>29.6219</v>
      </c>
      <c r="E285" s="6">
        <v>3.7629999999999999</v>
      </c>
      <c r="F285" s="6">
        <v>0.59899999999999998</v>
      </c>
      <c r="G285" s="6">
        <f t="shared" si="4"/>
        <v>5.4569682106375694E-12</v>
      </c>
    </row>
    <row r="286" spans="1:7" ht="18.95" customHeight="1">
      <c r="A286" s="1">
        <v>280</v>
      </c>
      <c r="B286" s="6">
        <v>2.3333333333333277</v>
      </c>
      <c r="C286" s="6">
        <f>TimeStep!B286</f>
        <v>2333.3333333333335</v>
      </c>
      <c r="D286" s="6">
        <v>29.564599999999999</v>
      </c>
      <c r="E286" s="6">
        <v>3.7519999999999998</v>
      </c>
      <c r="F286" s="6">
        <v>0.66500000000000004</v>
      </c>
      <c r="G286" s="6">
        <f t="shared" si="4"/>
        <v>5.9117155615240335E-12</v>
      </c>
    </row>
    <row r="287" spans="1:7" ht="18.95" customHeight="1">
      <c r="A287" s="1">
        <v>281</v>
      </c>
      <c r="B287" s="6">
        <v>2.341666666666661</v>
      </c>
      <c r="C287" s="6">
        <f>TimeStep!B287</f>
        <v>2341.666666666667</v>
      </c>
      <c r="D287" s="6">
        <v>29.45</v>
      </c>
      <c r="E287" s="6">
        <v>3.7389999999999999</v>
      </c>
      <c r="F287" s="6">
        <v>0.73</v>
      </c>
      <c r="G287" s="6">
        <f t="shared" si="4"/>
        <v>5.9117155615240335E-12</v>
      </c>
    </row>
    <row r="288" spans="1:7" ht="18.95" customHeight="1">
      <c r="A288" s="1">
        <v>282</v>
      </c>
      <c r="B288" s="6">
        <v>2.3499999999999943</v>
      </c>
      <c r="C288" s="6">
        <f>TimeStep!B288</f>
        <v>2350</v>
      </c>
      <c r="D288" s="6">
        <v>29.392700000000001</v>
      </c>
      <c r="E288" s="6">
        <v>3.726</v>
      </c>
      <c r="F288" s="6">
        <v>0.79600000000000004</v>
      </c>
      <c r="G288" s="6">
        <f t="shared" si="4"/>
        <v>5.4569682106375694E-12</v>
      </c>
    </row>
    <row r="289" spans="1:7" ht="18.95" customHeight="1">
      <c r="A289" s="1">
        <v>283</v>
      </c>
      <c r="B289" s="6">
        <v>2.3583333333333276</v>
      </c>
      <c r="C289" s="6">
        <f>TimeStep!B289</f>
        <v>2358.3333333333335</v>
      </c>
      <c r="D289" s="6">
        <v>29.278099999999998</v>
      </c>
      <c r="E289" s="6">
        <v>3.7120000000000002</v>
      </c>
      <c r="F289" s="6">
        <v>0.86099999999999999</v>
      </c>
      <c r="G289" s="6">
        <f t="shared" si="4"/>
        <v>5.9117155615240335E-12</v>
      </c>
    </row>
    <row r="290" spans="1:7" ht="18.95" customHeight="1">
      <c r="A290" s="1">
        <v>284</v>
      </c>
      <c r="B290" s="6">
        <v>2.3666666666666609</v>
      </c>
      <c r="C290" s="6">
        <f>TimeStep!B290</f>
        <v>2366.666666666667</v>
      </c>
      <c r="D290" s="6">
        <v>29.163599999999999</v>
      </c>
      <c r="E290" s="6">
        <v>3.6960000000000002</v>
      </c>
      <c r="F290" s="6">
        <v>0.92500000000000004</v>
      </c>
      <c r="G290" s="6">
        <f t="shared" si="4"/>
        <v>5.9117155615240335E-12</v>
      </c>
    </row>
    <row r="291" spans="1:7" ht="18.95" customHeight="1">
      <c r="A291" s="1">
        <v>285</v>
      </c>
      <c r="B291" s="6">
        <v>2.3749999999999942</v>
      </c>
      <c r="C291" s="6">
        <f>TimeStep!B291</f>
        <v>2375</v>
      </c>
      <c r="D291" s="6">
        <v>29.048999999999999</v>
      </c>
      <c r="E291" s="6">
        <v>3.6789999999999998</v>
      </c>
      <c r="F291" s="6">
        <v>0.99</v>
      </c>
      <c r="G291" s="6">
        <f t="shared" si="4"/>
        <v>5.9117155615240335E-12</v>
      </c>
    </row>
    <row r="292" spans="1:7" ht="18.95" customHeight="1">
      <c r="A292" s="1">
        <v>286</v>
      </c>
      <c r="B292" s="6">
        <v>2.3833333333333275</v>
      </c>
      <c r="C292" s="6">
        <f>TimeStep!B292</f>
        <v>2383.3333333333335</v>
      </c>
      <c r="D292" s="6">
        <v>28.877099999999999</v>
      </c>
      <c r="E292" s="6">
        <v>3.661</v>
      </c>
      <c r="F292" s="6">
        <v>1.054</v>
      </c>
      <c r="G292" s="6">
        <f t="shared" si="4"/>
        <v>5.9117155615240335E-12</v>
      </c>
    </row>
    <row r="293" spans="1:7" ht="18.95" customHeight="1">
      <c r="A293" s="1">
        <v>287</v>
      </c>
      <c r="B293" s="6">
        <v>2.3916666666666608</v>
      </c>
      <c r="C293" s="6">
        <f>TimeStep!B293</f>
        <v>2391.666666666667</v>
      </c>
      <c r="D293" s="6">
        <v>28.762499999999999</v>
      </c>
      <c r="E293" s="6">
        <v>3.6429999999999998</v>
      </c>
      <c r="F293" s="6">
        <v>1.117</v>
      </c>
      <c r="G293" s="6">
        <f t="shared" si="4"/>
        <v>5.9117155615240335E-12</v>
      </c>
    </row>
    <row r="294" spans="1:7" ht="18.95" customHeight="1">
      <c r="A294" s="1">
        <v>288</v>
      </c>
      <c r="B294" s="6">
        <v>2.3999999999999941</v>
      </c>
      <c r="C294" s="6">
        <f>TimeStep!B294</f>
        <v>2400</v>
      </c>
      <c r="D294" s="6">
        <v>28.590599999999998</v>
      </c>
      <c r="E294" s="6">
        <v>3.6219999999999999</v>
      </c>
      <c r="F294" s="6">
        <v>1.181</v>
      </c>
      <c r="G294" s="6">
        <f t="shared" si="4"/>
        <v>5.9117155615240335E-12</v>
      </c>
    </row>
    <row r="295" spans="1:7" ht="18.95" customHeight="1">
      <c r="A295" s="1">
        <v>289</v>
      </c>
      <c r="B295" s="6">
        <v>2.4083333333333274</v>
      </c>
      <c r="C295" s="6">
        <f>TimeStep!B295</f>
        <v>2408.3333333333335</v>
      </c>
      <c r="D295" s="6">
        <v>28.475999999999999</v>
      </c>
      <c r="E295" s="6">
        <v>3.601</v>
      </c>
      <c r="F295" s="6">
        <v>1.244</v>
      </c>
      <c r="G295" s="6">
        <f t="shared" si="4"/>
        <v>5.9117155615240335E-12</v>
      </c>
    </row>
    <row r="296" spans="1:7" ht="18.95" customHeight="1">
      <c r="A296" s="1">
        <v>290</v>
      </c>
      <c r="B296" s="6">
        <v>2.4166666666666607</v>
      </c>
      <c r="C296" s="6">
        <f>TimeStep!B296</f>
        <v>2416.666666666667</v>
      </c>
      <c r="D296" s="6">
        <v>28.304099999999998</v>
      </c>
      <c r="E296" s="6">
        <v>3.5790000000000002</v>
      </c>
      <c r="F296" s="6">
        <v>1.306</v>
      </c>
      <c r="G296" s="6">
        <f t="shared" si="4"/>
        <v>6.3664629124104977E-12</v>
      </c>
    </row>
    <row r="297" spans="1:7" ht="18.95" customHeight="1">
      <c r="A297" s="1">
        <v>291</v>
      </c>
      <c r="B297" s="6">
        <v>2.424999999999994</v>
      </c>
      <c r="C297" s="6">
        <f>TimeStep!B297</f>
        <v>2425</v>
      </c>
      <c r="D297" s="6">
        <v>28.132200000000001</v>
      </c>
      <c r="E297" s="6">
        <v>3.556</v>
      </c>
      <c r="F297" s="6">
        <v>1.369</v>
      </c>
      <c r="G297" s="6">
        <f t="shared" si="4"/>
        <v>5.9117155615240335E-12</v>
      </c>
    </row>
    <row r="298" spans="1:7" ht="18.95" customHeight="1">
      <c r="A298" s="1">
        <v>292</v>
      </c>
      <c r="B298" s="6">
        <v>2.4333333333333274</v>
      </c>
      <c r="C298" s="6">
        <f>TimeStep!B298</f>
        <v>2433.3333333333335</v>
      </c>
      <c r="D298" s="6">
        <v>27.902999999999999</v>
      </c>
      <c r="E298" s="6">
        <v>3.5310000000000001</v>
      </c>
      <c r="F298" s="6">
        <v>1.431</v>
      </c>
      <c r="G298" s="6">
        <f t="shared" si="4"/>
        <v>5.9117155615240335E-12</v>
      </c>
    </row>
    <row r="299" spans="1:7" ht="18.95" customHeight="1">
      <c r="A299" s="1">
        <v>293</v>
      </c>
      <c r="B299" s="6">
        <v>2.4416666666666607</v>
      </c>
      <c r="C299" s="6">
        <f>TimeStep!B299</f>
        <v>2441.666666666667</v>
      </c>
      <c r="D299" s="6">
        <v>27.731200000000001</v>
      </c>
      <c r="E299" s="6">
        <v>3.5059999999999998</v>
      </c>
      <c r="F299" s="6">
        <v>1.492</v>
      </c>
      <c r="G299" s="6">
        <f t="shared" si="4"/>
        <v>6.3664629124104977E-12</v>
      </c>
    </row>
    <row r="300" spans="1:7" ht="18.95" customHeight="1">
      <c r="A300" s="1">
        <v>294</v>
      </c>
      <c r="B300" s="6">
        <v>2.449999999999994</v>
      </c>
      <c r="C300" s="6">
        <f>TimeStep!B300</f>
        <v>2450</v>
      </c>
      <c r="D300" s="6">
        <v>27.5593</v>
      </c>
      <c r="E300" s="6">
        <v>3.4790000000000001</v>
      </c>
      <c r="F300" s="6">
        <v>1.5529999999999999</v>
      </c>
      <c r="G300" s="6">
        <f t="shared" si="4"/>
        <v>5.9117155615240335E-12</v>
      </c>
    </row>
    <row r="301" spans="1:7" ht="18.95" customHeight="1">
      <c r="A301" s="1">
        <v>295</v>
      </c>
      <c r="B301" s="6">
        <v>2.4583333333333273</v>
      </c>
      <c r="C301" s="6">
        <f>TimeStep!B301</f>
        <v>2458.3333333333335</v>
      </c>
      <c r="D301" s="6">
        <v>27.330100000000002</v>
      </c>
      <c r="E301" s="6">
        <v>3.452</v>
      </c>
      <c r="F301" s="6">
        <v>1.613</v>
      </c>
      <c r="G301" s="6">
        <f t="shared" si="4"/>
        <v>6.3664629124104977E-12</v>
      </c>
    </row>
    <row r="302" spans="1:7" ht="18.95" customHeight="1">
      <c r="A302" s="1">
        <v>296</v>
      </c>
      <c r="B302" s="6">
        <v>2.4666666666666606</v>
      </c>
      <c r="C302" s="6">
        <f>TimeStep!B302</f>
        <v>2466.666666666667</v>
      </c>
      <c r="D302" s="6">
        <v>27.100899999999999</v>
      </c>
      <c r="E302" s="6">
        <v>3.423</v>
      </c>
      <c r="F302" s="6">
        <v>1.673</v>
      </c>
      <c r="G302" s="6">
        <f t="shared" si="4"/>
        <v>6.3664629124104977E-12</v>
      </c>
    </row>
    <row r="303" spans="1:7" ht="18.95" customHeight="1">
      <c r="A303" s="1">
        <v>297</v>
      </c>
      <c r="B303" s="6">
        <v>2.4749999999999939</v>
      </c>
      <c r="C303" s="6">
        <f>TimeStep!B303</f>
        <v>2475</v>
      </c>
      <c r="D303" s="6">
        <v>26.871700000000001</v>
      </c>
      <c r="E303" s="6">
        <v>3.3929999999999998</v>
      </c>
      <c r="F303" s="6">
        <v>1.7330000000000001</v>
      </c>
      <c r="G303" s="6">
        <f t="shared" si="4"/>
        <v>5.9117155615240335E-12</v>
      </c>
    </row>
    <row r="304" spans="1:7" ht="18.95" customHeight="1">
      <c r="A304" s="1">
        <v>298</v>
      </c>
      <c r="B304" s="6">
        <v>2.4833333333333272</v>
      </c>
      <c r="C304" s="6">
        <f>TimeStep!B304</f>
        <v>2483.3333333333335</v>
      </c>
      <c r="D304" s="6">
        <v>26.642499999999998</v>
      </c>
      <c r="E304" s="6">
        <v>3.3620000000000001</v>
      </c>
      <c r="F304" s="6">
        <v>1.792</v>
      </c>
      <c r="G304" s="6">
        <f t="shared" si="4"/>
        <v>6.3664629124104977E-12</v>
      </c>
    </row>
    <row r="305" spans="1:7" ht="18.95" customHeight="1">
      <c r="A305" s="1">
        <v>299</v>
      </c>
      <c r="B305" s="6">
        <v>2.4916666666666605</v>
      </c>
      <c r="C305" s="6">
        <f>TimeStep!B305</f>
        <v>2491.666666666667</v>
      </c>
      <c r="D305" s="6">
        <v>26.413399999999999</v>
      </c>
      <c r="E305" s="6">
        <v>3.331</v>
      </c>
      <c r="F305" s="6">
        <v>1.85</v>
      </c>
      <c r="G305" s="6">
        <f t="shared" si="4"/>
        <v>6.3664629124104977E-12</v>
      </c>
    </row>
    <row r="306" spans="1:7" ht="18.95" customHeight="1">
      <c r="A306" s="1">
        <v>300</v>
      </c>
      <c r="B306" s="6">
        <v>2.4999999999999938</v>
      </c>
      <c r="C306" s="6">
        <f>TimeStep!B306</f>
        <v>2500</v>
      </c>
      <c r="D306" s="6">
        <v>26.184200000000001</v>
      </c>
      <c r="E306" s="6">
        <v>3.298</v>
      </c>
      <c r="F306" s="6">
        <v>1.9079999999999999</v>
      </c>
      <c r="G306" s="6">
        <f t="shared" si="4"/>
        <v>6.3664629124104977E-12</v>
      </c>
    </row>
    <row r="307" spans="1:7" ht="18.95" customHeight="1">
      <c r="A307" s="1">
        <v>301</v>
      </c>
      <c r="B307" s="6">
        <v>2.5083333333333271</v>
      </c>
      <c r="C307" s="6">
        <f>TimeStep!B307</f>
        <v>2508.3333333333335</v>
      </c>
      <c r="D307" s="6">
        <v>25.8977</v>
      </c>
      <c r="E307" s="6">
        <v>3.2639999999999998</v>
      </c>
      <c r="F307" s="6">
        <v>1.966</v>
      </c>
      <c r="G307" s="6">
        <f t="shared" si="4"/>
        <v>6.3664629124104977E-12</v>
      </c>
    </row>
    <row r="308" spans="1:7" ht="18.95" customHeight="1">
      <c r="A308" s="1">
        <v>302</v>
      </c>
      <c r="B308" s="6">
        <v>2.5166666666666604</v>
      </c>
      <c r="C308" s="6">
        <f>TimeStep!B308</f>
        <v>2516.666666666667</v>
      </c>
      <c r="D308" s="6">
        <v>25.668500000000002</v>
      </c>
      <c r="E308" s="6">
        <v>3.2290000000000001</v>
      </c>
      <c r="F308" s="6">
        <v>2.0219999999999998</v>
      </c>
      <c r="G308" s="6">
        <f t="shared" si="4"/>
        <v>6.3664629124104977E-12</v>
      </c>
    </row>
    <row r="309" spans="1:7" ht="18.95" customHeight="1">
      <c r="A309" s="1">
        <v>303</v>
      </c>
      <c r="B309" s="6">
        <v>2.5249999999999937</v>
      </c>
      <c r="C309" s="6">
        <f>TimeStep!B309</f>
        <v>2525</v>
      </c>
      <c r="D309" s="6">
        <v>25.382000000000001</v>
      </c>
      <c r="E309" s="6">
        <v>3.1930000000000001</v>
      </c>
      <c r="F309" s="6">
        <v>2.0779999999999998</v>
      </c>
      <c r="G309" s="6">
        <f t="shared" si="4"/>
        <v>6.3664629124104977E-12</v>
      </c>
    </row>
    <row r="310" spans="1:7" ht="18.95" customHeight="1">
      <c r="A310" s="1">
        <v>304</v>
      </c>
      <c r="B310" s="6">
        <v>2.533333333333327</v>
      </c>
      <c r="C310" s="6">
        <f>TimeStep!B310</f>
        <v>2533.3333333333335</v>
      </c>
      <c r="D310" s="6">
        <v>25.095600000000001</v>
      </c>
      <c r="E310" s="6">
        <v>3.157</v>
      </c>
      <c r="F310" s="6">
        <v>2.1339999999999999</v>
      </c>
      <c r="G310" s="6">
        <f t="shared" si="4"/>
        <v>6.3664629124104977E-12</v>
      </c>
    </row>
    <row r="311" spans="1:7" ht="18.95" customHeight="1">
      <c r="A311" s="1">
        <v>305</v>
      </c>
      <c r="B311" s="6">
        <v>2.5416666666666603</v>
      </c>
      <c r="C311" s="6">
        <f>TimeStep!B311</f>
        <v>2541.666666666667</v>
      </c>
      <c r="D311" s="6">
        <v>24.809100000000001</v>
      </c>
      <c r="E311" s="6">
        <v>3.1190000000000002</v>
      </c>
      <c r="F311" s="6">
        <v>2.1880000000000002</v>
      </c>
      <c r="G311" s="6">
        <f t="shared" si="4"/>
        <v>6.8212102632969618E-12</v>
      </c>
    </row>
    <row r="312" spans="1:7" ht="18.95" customHeight="1">
      <c r="A312" s="1">
        <v>306</v>
      </c>
      <c r="B312" s="6">
        <v>2.5499999999999936</v>
      </c>
      <c r="C312" s="6">
        <f>TimeStep!B312</f>
        <v>2550</v>
      </c>
      <c r="D312" s="6">
        <v>24.522600000000001</v>
      </c>
      <c r="E312" s="6">
        <v>3.08</v>
      </c>
      <c r="F312" s="6">
        <v>2.2429999999999999</v>
      </c>
      <c r="G312" s="6">
        <f t="shared" si="4"/>
        <v>6.3664629124104977E-12</v>
      </c>
    </row>
    <row r="313" spans="1:7" ht="18.95" customHeight="1">
      <c r="A313" s="1">
        <v>307</v>
      </c>
      <c r="B313" s="6">
        <v>2.5583333333333269</v>
      </c>
      <c r="C313" s="6">
        <f>TimeStep!B313</f>
        <v>2558.3333333333335</v>
      </c>
      <c r="D313" s="6">
        <v>24.2361</v>
      </c>
      <c r="E313" s="6">
        <v>3.0409999999999999</v>
      </c>
      <c r="F313" s="6">
        <v>2.2959999999999998</v>
      </c>
      <c r="G313" s="6">
        <f t="shared" si="4"/>
        <v>6.3664629124104977E-12</v>
      </c>
    </row>
    <row r="314" spans="1:7" ht="18.95" customHeight="1">
      <c r="A314" s="1">
        <v>308</v>
      </c>
      <c r="B314" s="6">
        <v>2.5666666666666602</v>
      </c>
      <c r="C314" s="6">
        <f>TimeStep!B314</f>
        <v>2566.666666666667</v>
      </c>
      <c r="D314" s="6">
        <v>23.892299999999999</v>
      </c>
      <c r="E314" s="6">
        <v>3</v>
      </c>
      <c r="F314" s="6">
        <v>2.3490000000000002</v>
      </c>
      <c r="G314" s="6">
        <f t="shared" si="4"/>
        <v>6.8212102632969618E-12</v>
      </c>
    </row>
    <row r="315" spans="1:7" ht="18.95" customHeight="1">
      <c r="A315" s="1">
        <v>309</v>
      </c>
      <c r="B315" s="6">
        <v>2.5749999999999935</v>
      </c>
      <c r="C315" s="6">
        <f>TimeStep!B315</f>
        <v>2575</v>
      </c>
      <c r="D315" s="6">
        <v>23.605899999999998</v>
      </c>
      <c r="E315" s="6">
        <v>2.9590000000000001</v>
      </c>
      <c r="F315" s="6">
        <v>2.4009999999999998</v>
      </c>
      <c r="G315" s="6">
        <f t="shared" si="4"/>
        <v>6.3664629124104977E-12</v>
      </c>
    </row>
    <row r="316" spans="1:7" ht="18.95" customHeight="1">
      <c r="A316" s="1">
        <v>310</v>
      </c>
      <c r="B316" s="6">
        <v>2.5833333333333268</v>
      </c>
      <c r="C316" s="6">
        <f>TimeStep!B316</f>
        <v>2583.3333333333335</v>
      </c>
      <c r="D316" s="6">
        <v>23.2621</v>
      </c>
      <c r="E316" s="6">
        <v>2.9159999999999999</v>
      </c>
      <c r="F316" s="6">
        <v>2.452</v>
      </c>
      <c r="G316" s="6">
        <f t="shared" si="4"/>
        <v>6.8212102632969618E-12</v>
      </c>
    </row>
    <row r="317" spans="1:7" ht="18.95" customHeight="1">
      <c r="A317" s="1">
        <v>311</v>
      </c>
      <c r="B317" s="6">
        <v>2.5916666666666601</v>
      </c>
      <c r="C317" s="6">
        <f>TimeStep!B317</f>
        <v>2591.666666666667</v>
      </c>
      <c r="D317" s="6">
        <v>22.918299999999999</v>
      </c>
      <c r="E317" s="6">
        <v>2.8730000000000002</v>
      </c>
      <c r="F317" s="6">
        <v>2.5019999999999998</v>
      </c>
      <c r="G317" s="6">
        <f t="shared" si="4"/>
        <v>6.8212102632969618E-12</v>
      </c>
    </row>
    <row r="318" spans="1:7" ht="18.95" customHeight="1">
      <c r="A318" s="1">
        <v>312</v>
      </c>
      <c r="B318" s="6">
        <v>2.5999999999999934</v>
      </c>
      <c r="C318" s="6">
        <f>TimeStep!B318</f>
        <v>2600</v>
      </c>
      <c r="D318" s="6">
        <v>22.5745</v>
      </c>
      <c r="E318" s="6">
        <v>2.8290000000000002</v>
      </c>
      <c r="F318" s="6">
        <v>2.552</v>
      </c>
      <c r="G318" s="6">
        <f t="shared" si="4"/>
        <v>6.3664629124104977E-12</v>
      </c>
    </row>
    <row r="319" spans="1:7" ht="18.95" customHeight="1">
      <c r="A319" s="1">
        <v>313</v>
      </c>
      <c r="B319" s="6">
        <v>2.6083333333333267</v>
      </c>
      <c r="C319" s="6">
        <f>TimeStep!B319</f>
        <v>2608.3333333333335</v>
      </c>
      <c r="D319" s="6">
        <v>22.230799999999999</v>
      </c>
      <c r="E319" s="6">
        <v>2.7839999999999998</v>
      </c>
      <c r="F319" s="6">
        <v>2.601</v>
      </c>
      <c r="G319" s="6">
        <f t="shared" si="4"/>
        <v>6.8212102632969618E-12</v>
      </c>
    </row>
    <row r="320" spans="1:7" ht="18.95" customHeight="1">
      <c r="A320" s="1">
        <v>314</v>
      </c>
      <c r="B320" s="6">
        <v>2.61666666666666</v>
      </c>
      <c r="C320" s="6">
        <f>TimeStep!B320</f>
        <v>2616.666666666667</v>
      </c>
      <c r="D320" s="6">
        <v>21.887</v>
      </c>
      <c r="E320" s="6">
        <v>2.738</v>
      </c>
      <c r="F320" s="6">
        <v>2.649</v>
      </c>
      <c r="G320" s="6">
        <f t="shared" si="4"/>
        <v>6.8212102632969618E-12</v>
      </c>
    </row>
    <row r="321" spans="1:7" ht="18.95" customHeight="1">
      <c r="A321" s="1">
        <v>315</v>
      </c>
      <c r="B321" s="6">
        <v>2.6249999999999933</v>
      </c>
      <c r="C321" s="6">
        <f>TimeStep!B321</f>
        <v>2625</v>
      </c>
      <c r="D321" s="6">
        <v>21.543199999999999</v>
      </c>
      <c r="E321" s="6">
        <v>2.6909999999999998</v>
      </c>
      <c r="F321" s="6">
        <v>2.6970000000000001</v>
      </c>
      <c r="G321" s="6">
        <f t="shared" si="4"/>
        <v>6.8212102632969618E-12</v>
      </c>
    </row>
    <row r="322" spans="1:7" ht="18.95" customHeight="1">
      <c r="A322" s="1">
        <v>316</v>
      </c>
      <c r="B322" s="6">
        <v>2.6333333333333266</v>
      </c>
      <c r="C322" s="6">
        <f>TimeStep!B322</f>
        <v>2633.3333333333335</v>
      </c>
      <c r="D322" s="6">
        <v>21.142099999999999</v>
      </c>
      <c r="E322" s="6">
        <v>2.6440000000000001</v>
      </c>
      <c r="F322" s="6">
        <v>2.7429999999999999</v>
      </c>
      <c r="G322" s="6">
        <f t="shared" si="4"/>
        <v>6.8212102632969618E-12</v>
      </c>
    </row>
    <row r="323" spans="1:7" ht="18.95" customHeight="1">
      <c r="A323" s="1">
        <v>317</v>
      </c>
      <c r="B323" s="6">
        <v>2.6416666666666599</v>
      </c>
      <c r="C323" s="6">
        <f>TimeStep!B323</f>
        <v>2641.666666666667</v>
      </c>
      <c r="D323" s="6">
        <v>20.798400000000001</v>
      </c>
      <c r="E323" s="6">
        <v>2.5960000000000001</v>
      </c>
      <c r="F323" s="6">
        <v>2.7890000000000001</v>
      </c>
      <c r="G323" s="6">
        <f t="shared" si="4"/>
        <v>6.8212102632969618E-12</v>
      </c>
    </row>
    <row r="324" spans="1:7" ht="18.95" customHeight="1">
      <c r="A324" s="1">
        <v>318</v>
      </c>
      <c r="B324" s="6">
        <v>2.6499999999999932</v>
      </c>
      <c r="C324" s="6">
        <f>TimeStep!B324</f>
        <v>2650</v>
      </c>
      <c r="D324" s="6">
        <v>20.397300000000001</v>
      </c>
      <c r="E324" s="6">
        <v>2.5470000000000002</v>
      </c>
      <c r="F324" s="6">
        <v>2.8340000000000001</v>
      </c>
      <c r="G324" s="6">
        <f t="shared" si="4"/>
        <v>6.8212102632969618E-12</v>
      </c>
    </row>
    <row r="325" spans="1:7" ht="18.95" customHeight="1">
      <c r="A325" s="1">
        <v>319</v>
      </c>
      <c r="B325" s="6">
        <v>2.6583333333333266</v>
      </c>
      <c r="C325" s="6">
        <f>TimeStep!B325</f>
        <v>2658.3333333333335</v>
      </c>
      <c r="D325" s="6">
        <v>19.996200000000002</v>
      </c>
      <c r="E325" s="6">
        <v>2.4969999999999999</v>
      </c>
      <c r="F325" s="6">
        <v>2.8780000000000001</v>
      </c>
      <c r="G325" s="6">
        <f t="shared" si="4"/>
        <v>6.8212102632969618E-12</v>
      </c>
    </row>
    <row r="326" spans="1:7" ht="18.95" customHeight="1">
      <c r="A326" s="1">
        <v>320</v>
      </c>
      <c r="B326" s="6">
        <v>2.6666666666666599</v>
      </c>
      <c r="C326" s="6">
        <f>TimeStep!B326</f>
        <v>2666.666666666667</v>
      </c>
      <c r="D326" s="6">
        <v>19.6525</v>
      </c>
      <c r="E326" s="6">
        <v>2.4460000000000002</v>
      </c>
      <c r="F326" s="6">
        <v>2.9209999999999998</v>
      </c>
      <c r="G326" s="6">
        <f t="shared" ref="G326:G366" si="5">C326-B326*1000</f>
        <v>7.2759576141834259E-12</v>
      </c>
    </row>
    <row r="327" spans="1:7" ht="18.95" customHeight="1">
      <c r="A327" s="1">
        <v>321</v>
      </c>
      <c r="B327" s="6">
        <v>2.6749999999999932</v>
      </c>
      <c r="C327" s="6">
        <f>TimeStep!B327</f>
        <v>2675</v>
      </c>
      <c r="D327" s="6">
        <v>19.2514</v>
      </c>
      <c r="E327" s="6">
        <v>2.395</v>
      </c>
      <c r="F327" s="6">
        <v>2.9630000000000001</v>
      </c>
      <c r="G327" s="6">
        <f t="shared" si="5"/>
        <v>6.8212102632969618E-12</v>
      </c>
    </row>
    <row r="328" spans="1:7" ht="18.95" customHeight="1">
      <c r="A328" s="1">
        <v>322</v>
      </c>
      <c r="B328" s="6">
        <v>2.6833333333333265</v>
      </c>
      <c r="C328" s="6">
        <f>TimeStep!B328</f>
        <v>2683.3333333333335</v>
      </c>
      <c r="D328" s="6">
        <v>18.792999999999999</v>
      </c>
      <c r="E328" s="6">
        <v>2.343</v>
      </c>
      <c r="F328" s="6">
        <v>3.0049999999999999</v>
      </c>
      <c r="G328" s="6">
        <f t="shared" si="5"/>
        <v>6.8212102632969618E-12</v>
      </c>
    </row>
    <row r="329" spans="1:7" ht="18.95" customHeight="1">
      <c r="A329" s="1">
        <v>323</v>
      </c>
      <c r="B329" s="6">
        <v>2.6916666666666598</v>
      </c>
      <c r="C329" s="6">
        <f>TimeStep!B329</f>
        <v>2691.666666666667</v>
      </c>
      <c r="D329" s="6">
        <v>18.3919</v>
      </c>
      <c r="E329" s="6">
        <v>2.29</v>
      </c>
      <c r="F329" s="6">
        <v>3.0449999999999999</v>
      </c>
      <c r="G329" s="6">
        <f t="shared" si="5"/>
        <v>7.2759576141834259E-12</v>
      </c>
    </row>
    <row r="330" spans="1:7" ht="18.95" customHeight="1">
      <c r="A330" s="1">
        <v>324</v>
      </c>
      <c r="B330" s="6">
        <v>2.6999999999999931</v>
      </c>
      <c r="C330" s="6">
        <f>TimeStep!B330</f>
        <v>2700</v>
      </c>
      <c r="D330" s="6">
        <v>17.9909</v>
      </c>
      <c r="E330" s="6">
        <v>2.2360000000000002</v>
      </c>
      <c r="F330" s="6">
        <v>3.085</v>
      </c>
      <c r="G330" s="6">
        <f t="shared" si="5"/>
        <v>6.8212102632969618E-12</v>
      </c>
    </row>
    <row r="331" spans="1:7" ht="18.95" customHeight="1">
      <c r="A331" s="1">
        <v>325</v>
      </c>
      <c r="B331" s="6">
        <v>2.7083333333333264</v>
      </c>
      <c r="C331" s="6">
        <f>TimeStep!B331</f>
        <v>2708.3333333333335</v>
      </c>
      <c r="D331" s="6">
        <v>17.532499999999999</v>
      </c>
      <c r="E331" s="6">
        <v>2.1819999999999999</v>
      </c>
      <c r="F331" s="6">
        <v>3.1230000000000002</v>
      </c>
      <c r="G331" s="6">
        <f t="shared" si="5"/>
        <v>7.2759576141834259E-12</v>
      </c>
    </row>
    <row r="332" spans="1:7" ht="18.95" customHeight="1">
      <c r="A332" s="1">
        <v>326</v>
      </c>
      <c r="B332" s="6">
        <v>2.7166666666666597</v>
      </c>
      <c r="C332" s="6">
        <f>TimeStep!B332</f>
        <v>2716.666666666667</v>
      </c>
      <c r="D332" s="6">
        <v>17.131399999999999</v>
      </c>
      <c r="E332" s="6">
        <v>2.1269999999999998</v>
      </c>
      <c r="F332" s="6">
        <v>3.161</v>
      </c>
      <c r="G332" s="6">
        <f t="shared" si="5"/>
        <v>7.2759576141834259E-12</v>
      </c>
    </row>
    <row r="333" spans="1:7" ht="18.95" customHeight="1">
      <c r="A333" s="1">
        <v>327</v>
      </c>
      <c r="B333" s="6">
        <v>2.724999999999993</v>
      </c>
      <c r="C333" s="6">
        <f>TimeStep!B333</f>
        <v>2725</v>
      </c>
      <c r="D333" s="6">
        <v>16.673100000000002</v>
      </c>
      <c r="E333" s="6">
        <v>2.0720000000000001</v>
      </c>
      <c r="F333" s="6">
        <v>3.1970000000000001</v>
      </c>
      <c r="G333" s="6">
        <f t="shared" si="5"/>
        <v>6.8212102632969618E-12</v>
      </c>
    </row>
    <row r="334" spans="1:7" ht="18.95" customHeight="1">
      <c r="A334" s="1">
        <v>328</v>
      </c>
      <c r="B334" s="6">
        <v>2.7333333333333263</v>
      </c>
      <c r="C334" s="6">
        <f>TimeStep!B334</f>
        <v>2733.3333333333335</v>
      </c>
      <c r="D334" s="6">
        <v>16.214700000000001</v>
      </c>
      <c r="E334" s="6">
        <v>2.016</v>
      </c>
      <c r="F334" s="6">
        <v>3.2330000000000001</v>
      </c>
      <c r="G334" s="6">
        <f t="shared" si="5"/>
        <v>7.2759576141834259E-12</v>
      </c>
    </row>
    <row r="335" spans="1:7" ht="18.95" customHeight="1">
      <c r="A335" s="1">
        <v>329</v>
      </c>
      <c r="B335" s="6">
        <v>2.7416666666666596</v>
      </c>
      <c r="C335" s="6">
        <f>TimeStep!B335</f>
        <v>2741.666666666667</v>
      </c>
      <c r="D335" s="6">
        <v>15.813599999999999</v>
      </c>
      <c r="E335" s="6">
        <v>1.9590000000000001</v>
      </c>
      <c r="F335" s="6">
        <v>3.2679999999999998</v>
      </c>
      <c r="G335" s="6">
        <f t="shared" si="5"/>
        <v>7.2759576141834259E-12</v>
      </c>
    </row>
    <row r="336" spans="1:7" ht="18.95" customHeight="1">
      <c r="A336" s="1">
        <v>330</v>
      </c>
      <c r="B336" s="6">
        <v>2.7499999999999929</v>
      </c>
      <c r="C336" s="6">
        <f>TimeStep!B336</f>
        <v>2750</v>
      </c>
      <c r="D336" s="6">
        <v>15.3553</v>
      </c>
      <c r="E336" s="6">
        <v>1.9019999999999999</v>
      </c>
      <c r="F336" s="6">
        <v>3.302</v>
      </c>
      <c r="G336" s="6">
        <f t="shared" si="5"/>
        <v>7.2759576141834259E-12</v>
      </c>
    </row>
    <row r="337" spans="1:7" ht="18.95" customHeight="1">
      <c r="A337" s="1">
        <v>331</v>
      </c>
      <c r="B337" s="6">
        <v>2.7583333333333262</v>
      </c>
      <c r="C337" s="6">
        <f>TimeStep!B337</f>
        <v>2758.3333333333335</v>
      </c>
      <c r="D337" s="6">
        <v>14.8969</v>
      </c>
      <c r="E337" s="6">
        <v>1.8440000000000001</v>
      </c>
      <c r="F337" s="6">
        <v>3.3340000000000001</v>
      </c>
      <c r="G337" s="6">
        <f t="shared" si="5"/>
        <v>7.2759576141834259E-12</v>
      </c>
    </row>
    <row r="338" spans="1:7" ht="18.95" customHeight="1">
      <c r="A338" s="1">
        <v>332</v>
      </c>
      <c r="B338" s="6">
        <v>2.7666666666666595</v>
      </c>
      <c r="C338" s="6">
        <f>TimeStep!B338</f>
        <v>2766.666666666667</v>
      </c>
      <c r="D338" s="6">
        <v>14.438499999999999</v>
      </c>
      <c r="E338" s="6">
        <v>1.7849999999999999</v>
      </c>
      <c r="F338" s="6">
        <v>3.3660000000000001</v>
      </c>
      <c r="G338" s="6">
        <f t="shared" si="5"/>
        <v>7.2759576141834259E-12</v>
      </c>
    </row>
    <row r="339" spans="1:7" ht="18.95" customHeight="1">
      <c r="A339" s="1">
        <v>333</v>
      </c>
      <c r="B339" s="6">
        <v>2.7749999999999928</v>
      </c>
      <c r="C339" s="6">
        <f>TimeStep!B339</f>
        <v>2775</v>
      </c>
      <c r="D339" s="6">
        <v>13.9229</v>
      </c>
      <c r="E339" s="6">
        <v>1.726</v>
      </c>
      <c r="F339" s="6">
        <v>3.3969999999999998</v>
      </c>
      <c r="G339" s="6">
        <f t="shared" si="5"/>
        <v>7.2759576141834259E-12</v>
      </c>
    </row>
    <row r="340" spans="1:7" ht="18.95" customHeight="1">
      <c r="A340" s="1">
        <v>334</v>
      </c>
      <c r="B340" s="6">
        <v>2.7833333333333261</v>
      </c>
      <c r="C340" s="6">
        <f>TimeStep!B340</f>
        <v>2783.3333333333335</v>
      </c>
      <c r="D340" s="6">
        <v>13.464499999999999</v>
      </c>
      <c r="E340" s="6">
        <v>1.667</v>
      </c>
      <c r="F340" s="6">
        <v>3.4260000000000002</v>
      </c>
      <c r="G340" s="6">
        <f t="shared" si="5"/>
        <v>7.2759576141834259E-12</v>
      </c>
    </row>
    <row r="341" spans="1:7" ht="18.95" customHeight="1">
      <c r="A341" s="1">
        <v>335</v>
      </c>
      <c r="B341" s="6">
        <v>2.7916666666666594</v>
      </c>
      <c r="C341" s="6">
        <f>TimeStep!B341</f>
        <v>2791.666666666667</v>
      </c>
      <c r="D341" s="6">
        <v>13.0061</v>
      </c>
      <c r="E341" s="6">
        <v>1.607</v>
      </c>
      <c r="F341" s="6">
        <v>3.4550000000000001</v>
      </c>
      <c r="G341" s="6">
        <f t="shared" si="5"/>
        <v>7.73070496506989E-12</v>
      </c>
    </row>
    <row r="342" spans="1:7" ht="18.95" customHeight="1">
      <c r="A342" s="1">
        <v>336</v>
      </c>
      <c r="B342" s="6">
        <v>2.7999999999999927</v>
      </c>
      <c r="C342" s="6">
        <f>TimeStep!B342</f>
        <v>2800</v>
      </c>
      <c r="D342" s="6">
        <v>12.490500000000001</v>
      </c>
      <c r="E342" s="6">
        <v>1.546</v>
      </c>
      <c r="F342" s="6">
        <v>3.4820000000000002</v>
      </c>
      <c r="G342" s="6">
        <f t="shared" si="5"/>
        <v>7.2759576141834259E-12</v>
      </c>
    </row>
    <row r="343" spans="1:7" ht="18.95" customHeight="1">
      <c r="A343" s="1">
        <v>337</v>
      </c>
      <c r="B343" s="6">
        <v>2.808333333333326</v>
      </c>
      <c r="C343" s="6">
        <f>TimeStep!B343</f>
        <v>2808.3333333333335</v>
      </c>
      <c r="D343" s="6">
        <v>12.0321</v>
      </c>
      <c r="E343" s="6">
        <v>1.4850000000000001</v>
      </c>
      <c r="F343" s="6">
        <v>3.5089999999999999</v>
      </c>
      <c r="G343" s="6">
        <f t="shared" si="5"/>
        <v>7.2759576141834259E-12</v>
      </c>
    </row>
    <row r="344" spans="1:7" ht="18.95" customHeight="1">
      <c r="A344" s="1">
        <v>338</v>
      </c>
      <c r="B344" s="6">
        <v>2.8166666666666593</v>
      </c>
      <c r="C344" s="6">
        <f>TimeStep!B344</f>
        <v>2816.666666666667</v>
      </c>
      <c r="D344" s="6">
        <v>11.516500000000001</v>
      </c>
      <c r="E344" s="6">
        <v>1.4239999999999999</v>
      </c>
      <c r="F344" s="6">
        <v>3.5339999999999998</v>
      </c>
      <c r="G344" s="6">
        <f t="shared" si="5"/>
        <v>7.73070496506989E-12</v>
      </c>
    </row>
    <row r="345" spans="1:7" ht="18.95" customHeight="1">
      <c r="A345" s="1">
        <v>339</v>
      </c>
      <c r="B345" s="6">
        <v>2.8249999999999926</v>
      </c>
      <c r="C345" s="6">
        <f>TimeStep!B345</f>
        <v>2825</v>
      </c>
      <c r="D345" s="6">
        <v>11.0008</v>
      </c>
      <c r="E345" s="6">
        <v>1.3620000000000001</v>
      </c>
      <c r="F345" s="6">
        <v>3.5579999999999998</v>
      </c>
      <c r="G345" s="6">
        <f t="shared" si="5"/>
        <v>7.2759576141834259E-12</v>
      </c>
    </row>
    <row r="346" spans="1:7" ht="18.95" customHeight="1">
      <c r="A346" s="1">
        <v>340</v>
      </c>
      <c r="B346" s="6">
        <v>2.8333333333333259</v>
      </c>
      <c r="C346" s="6">
        <f>TimeStep!B346</f>
        <v>2833.3333333333335</v>
      </c>
      <c r="D346" s="6">
        <v>10.542400000000001</v>
      </c>
      <c r="E346" s="6">
        <v>1.3</v>
      </c>
      <c r="F346" s="6">
        <v>3.5819999999999999</v>
      </c>
      <c r="G346" s="6">
        <f t="shared" si="5"/>
        <v>7.73070496506989E-12</v>
      </c>
    </row>
    <row r="347" spans="1:7" ht="18.95" customHeight="1">
      <c r="A347" s="1">
        <v>341</v>
      </c>
      <c r="B347" s="6">
        <v>2.8416666666666592</v>
      </c>
      <c r="C347" s="6">
        <f>TimeStep!B347</f>
        <v>2841.666666666667</v>
      </c>
      <c r="D347" s="6">
        <v>10.0268</v>
      </c>
      <c r="E347" s="6">
        <v>1.2370000000000001</v>
      </c>
      <c r="F347" s="6">
        <v>3.6040000000000001</v>
      </c>
      <c r="G347" s="6">
        <f t="shared" si="5"/>
        <v>7.73070496506989E-12</v>
      </c>
    </row>
    <row r="348" spans="1:7" ht="18.95" customHeight="1">
      <c r="A348" s="1">
        <v>342</v>
      </c>
      <c r="B348" s="6">
        <v>2.8499999999999925</v>
      </c>
      <c r="C348" s="6">
        <f>TimeStep!B348</f>
        <v>2850</v>
      </c>
      <c r="D348" s="6">
        <v>9.5111000000000008</v>
      </c>
      <c r="E348" s="6">
        <v>1.1739999999999999</v>
      </c>
      <c r="F348" s="6">
        <v>3.625</v>
      </c>
      <c r="G348" s="6">
        <f t="shared" si="5"/>
        <v>7.2759576141834259E-12</v>
      </c>
    </row>
    <row r="349" spans="1:7" ht="18.95" customHeight="1">
      <c r="A349" s="1">
        <v>343</v>
      </c>
      <c r="B349" s="6">
        <v>2.8583333333333258</v>
      </c>
      <c r="C349" s="6">
        <f>TimeStep!B349</f>
        <v>2858.3333333333335</v>
      </c>
      <c r="D349" s="6">
        <v>8.9954000000000001</v>
      </c>
      <c r="E349" s="6">
        <v>1.1100000000000001</v>
      </c>
      <c r="F349" s="6">
        <v>3.645</v>
      </c>
      <c r="G349" s="6">
        <f t="shared" si="5"/>
        <v>7.73070496506989E-12</v>
      </c>
    </row>
    <row r="350" spans="1:7" ht="18.95" customHeight="1">
      <c r="A350" s="1">
        <v>344</v>
      </c>
      <c r="B350" s="6">
        <v>2.8666666666666591</v>
      </c>
      <c r="C350" s="6">
        <f>TimeStep!B350</f>
        <v>2866.666666666667</v>
      </c>
      <c r="D350" s="6">
        <v>8.4797999999999991</v>
      </c>
      <c r="E350" s="6">
        <v>1.0469999999999999</v>
      </c>
      <c r="F350" s="6">
        <v>3.6640000000000001</v>
      </c>
      <c r="G350" s="6">
        <f t="shared" si="5"/>
        <v>7.73070496506989E-12</v>
      </c>
    </row>
    <row r="351" spans="1:7" ht="18.95" customHeight="1">
      <c r="A351" s="1">
        <v>345</v>
      </c>
      <c r="B351" s="6">
        <v>2.8749999999999925</v>
      </c>
      <c r="C351" s="6">
        <f>TimeStep!B351</f>
        <v>2875</v>
      </c>
      <c r="D351" s="6">
        <v>7.9641000000000002</v>
      </c>
      <c r="E351" s="6">
        <v>0.98199999999999998</v>
      </c>
      <c r="F351" s="6">
        <v>3.681</v>
      </c>
      <c r="G351" s="6">
        <f t="shared" si="5"/>
        <v>7.73070496506989E-12</v>
      </c>
    </row>
    <row r="352" spans="1:7" ht="18.95" customHeight="1">
      <c r="A352" s="1">
        <v>346</v>
      </c>
      <c r="B352" s="6">
        <v>2.8833333333333258</v>
      </c>
      <c r="C352" s="6">
        <f>TimeStep!B352</f>
        <v>2883.3333333333335</v>
      </c>
      <c r="D352" s="6">
        <v>7.4485000000000001</v>
      </c>
      <c r="E352" s="6">
        <v>0.91800000000000004</v>
      </c>
      <c r="F352" s="6">
        <v>3.698</v>
      </c>
      <c r="G352" s="6">
        <f t="shared" si="5"/>
        <v>7.73070496506989E-12</v>
      </c>
    </row>
    <row r="353" spans="1:7" ht="18.95" customHeight="1">
      <c r="A353" s="1">
        <v>347</v>
      </c>
      <c r="B353" s="6">
        <v>2.8916666666666591</v>
      </c>
      <c r="C353" s="6">
        <f>TimeStep!B353</f>
        <v>2891.666666666667</v>
      </c>
      <c r="D353" s="6">
        <v>6.9328000000000003</v>
      </c>
      <c r="E353" s="6">
        <v>0.85299999999999998</v>
      </c>
      <c r="F353" s="6">
        <v>3.7130000000000001</v>
      </c>
      <c r="G353" s="6">
        <f t="shared" si="5"/>
        <v>7.73070496506989E-12</v>
      </c>
    </row>
    <row r="354" spans="1:7" ht="18.95" customHeight="1">
      <c r="A354" s="1">
        <v>348</v>
      </c>
      <c r="B354" s="6">
        <v>2.8999999999999924</v>
      </c>
      <c r="C354" s="6">
        <f>TimeStep!B354</f>
        <v>2900</v>
      </c>
      <c r="D354" s="6">
        <v>6.4170999999999996</v>
      </c>
      <c r="E354" s="6">
        <v>0.78800000000000003</v>
      </c>
      <c r="F354" s="6">
        <v>3.7280000000000002</v>
      </c>
      <c r="G354" s="6">
        <f t="shared" si="5"/>
        <v>7.73070496506989E-12</v>
      </c>
    </row>
    <row r="355" spans="1:7" ht="18.95" customHeight="1">
      <c r="A355" s="1">
        <v>349</v>
      </c>
      <c r="B355" s="6">
        <v>2.9083333333333257</v>
      </c>
      <c r="C355" s="6">
        <f>TimeStep!B355</f>
        <v>2908.3333333333335</v>
      </c>
      <c r="D355" s="6">
        <v>5.9015000000000004</v>
      </c>
      <c r="E355" s="6">
        <v>0.72299999999999998</v>
      </c>
      <c r="F355" s="6">
        <v>3.7410000000000001</v>
      </c>
      <c r="G355" s="6">
        <f t="shared" si="5"/>
        <v>7.73070496506989E-12</v>
      </c>
    </row>
    <row r="356" spans="1:7" ht="18.95" customHeight="1">
      <c r="A356" s="1">
        <v>350</v>
      </c>
      <c r="B356" s="6">
        <v>2.916666666666659</v>
      </c>
      <c r="C356" s="6">
        <f>TimeStep!B356</f>
        <v>2916.666666666667</v>
      </c>
      <c r="D356" s="6">
        <v>5.3285</v>
      </c>
      <c r="E356" s="6">
        <v>0.65800000000000003</v>
      </c>
      <c r="F356" s="6">
        <v>3.7530000000000001</v>
      </c>
      <c r="G356" s="6">
        <f t="shared" si="5"/>
        <v>8.1854523159563541E-12</v>
      </c>
    </row>
    <row r="357" spans="1:7" ht="18.95" customHeight="1">
      <c r="A357" s="1">
        <v>351</v>
      </c>
      <c r="B357" s="6">
        <v>2.9249999999999923</v>
      </c>
      <c r="C357" s="6">
        <f>TimeStep!B357</f>
        <v>2925</v>
      </c>
      <c r="D357" s="6">
        <v>4.8128000000000002</v>
      </c>
      <c r="E357" s="6">
        <v>0.59199999999999997</v>
      </c>
      <c r="F357" s="6">
        <v>3.7639999999999998</v>
      </c>
      <c r="G357" s="6">
        <f t="shared" si="5"/>
        <v>7.73070496506989E-12</v>
      </c>
    </row>
    <row r="358" spans="1:7" ht="18.95" customHeight="1">
      <c r="A358" s="1">
        <v>352</v>
      </c>
      <c r="B358" s="6">
        <v>2.9333333333333256</v>
      </c>
      <c r="C358" s="6">
        <f>TimeStep!B358</f>
        <v>2933.3333333333335</v>
      </c>
      <c r="D358" s="6">
        <v>4.2972000000000001</v>
      </c>
      <c r="E358" s="6">
        <v>0.52600000000000002</v>
      </c>
      <c r="F358" s="6">
        <v>3.774</v>
      </c>
      <c r="G358" s="6">
        <f t="shared" si="5"/>
        <v>7.73070496506989E-12</v>
      </c>
    </row>
    <row r="359" spans="1:7" ht="18.95" customHeight="1">
      <c r="A359" s="1">
        <v>353</v>
      </c>
      <c r="B359" s="6">
        <v>2.9416666666666589</v>
      </c>
      <c r="C359" s="6">
        <f>TimeStep!B359</f>
        <v>2941.666666666667</v>
      </c>
      <c r="D359" s="6">
        <v>3.7242000000000002</v>
      </c>
      <c r="E359" s="6">
        <v>0.46100000000000002</v>
      </c>
      <c r="F359" s="6">
        <v>3.782</v>
      </c>
      <c r="G359" s="6">
        <f t="shared" si="5"/>
        <v>8.1854523159563541E-12</v>
      </c>
    </row>
    <row r="360" spans="1:7" ht="18.95" customHeight="1">
      <c r="A360" s="1">
        <v>354</v>
      </c>
      <c r="B360" s="6">
        <v>2.9499999999999922</v>
      </c>
      <c r="C360" s="6">
        <f>TimeStep!B360</f>
        <v>2950</v>
      </c>
      <c r="D360" s="6">
        <v>3.2086000000000001</v>
      </c>
      <c r="E360" s="6">
        <v>0.39400000000000002</v>
      </c>
      <c r="F360" s="6">
        <v>3.79</v>
      </c>
      <c r="G360" s="6">
        <f t="shared" si="5"/>
        <v>7.73070496506989E-12</v>
      </c>
    </row>
    <row r="361" spans="1:7" ht="18.95" customHeight="1">
      <c r="A361" s="1">
        <v>355</v>
      </c>
      <c r="B361" s="6">
        <v>2.9583333333333255</v>
      </c>
      <c r="C361" s="6">
        <f>TimeStep!B361</f>
        <v>2958.3333333333335</v>
      </c>
      <c r="D361" s="6">
        <v>2.6928999999999998</v>
      </c>
      <c r="E361" s="6">
        <v>0.32800000000000001</v>
      </c>
      <c r="F361" s="6">
        <v>3.7959999999999998</v>
      </c>
      <c r="G361" s="6">
        <f t="shared" si="5"/>
        <v>8.1854523159563541E-12</v>
      </c>
    </row>
    <row r="362" spans="1:7" ht="18.95" customHeight="1">
      <c r="A362" s="1">
        <v>356</v>
      </c>
      <c r="B362" s="6">
        <v>2.9666666666666588</v>
      </c>
      <c r="C362" s="6">
        <f>TimeStep!B362</f>
        <v>2966.666666666667</v>
      </c>
      <c r="D362" s="6">
        <v>2.1198999999999999</v>
      </c>
      <c r="E362" s="6">
        <v>0.26200000000000001</v>
      </c>
      <c r="F362" s="6">
        <v>3.8010000000000002</v>
      </c>
      <c r="G362" s="6">
        <f t="shared" si="5"/>
        <v>8.1854523159563541E-12</v>
      </c>
    </row>
    <row r="363" spans="1:7" ht="18.95" customHeight="1">
      <c r="A363" s="1">
        <v>357</v>
      </c>
      <c r="B363" s="6">
        <v>2.9749999999999921</v>
      </c>
      <c r="C363" s="6">
        <f>TimeStep!B363</f>
        <v>2975</v>
      </c>
      <c r="D363" s="6">
        <v>1.6043000000000001</v>
      </c>
      <c r="E363" s="6">
        <v>0.19600000000000001</v>
      </c>
      <c r="F363" s="6">
        <v>3.8050000000000002</v>
      </c>
      <c r="G363" s="6">
        <f t="shared" si="5"/>
        <v>7.73070496506989E-12</v>
      </c>
    </row>
    <row r="364" spans="1:7" ht="18.95" customHeight="1">
      <c r="A364" s="1">
        <v>358</v>
      </c>
      <c r="B364" s="6">
        <v>2.9833333333333254</v>
      </c>
      <c r="C364" s="6">
        <f>TimeStep!B364</f>
        <v>2983.3333333333335</v>
      </c>
      <c r="D364" s="6">
        <v>1.0313000000000001</v>
      </c>
      <c r="E364" s="6">
        <v>0.129</v>
      </c>
      <c r="F364" s="6">
        <v>3.8079999999999998</v>
      </c>
      <c r="G364" s="6">
        <f t="shared" si="5"/>
        <v>8.1854523159563541E-12</v>
      </c>
    </row>
    <row r="365" spans="1:7" ht="18.95" customHeight="1">
      <c r="A365" s="1">
        <v>359</v>
      </c>
      <c r="B365" s="6">
        <v>2.9916666666666587</v>
      </c>
      <c r="C365" s="6">
        <f>TimeStep!B365</f>
        <v>2991.666666666667</v>
      </c>
      <c r="D365" s="6">
        <v>0.51570000000000005</v>
      </c>
      <c r="E365" s="6">
        <v>6.3E-2</v>
      </c>
      <c r="F365" s="6">
        <v>3.81</v>
      </c>
      <c r="G365" s="6">
        <f t="shared" si="5"/>
        <v>8.1854523159563541E-12</v>
      </c>
    </row>
    <row r="366" spans="1:7" ht="18.95" customHeight="1">
      <c r="A366" s="1">
        <v>360</v>
      </c>
      <c r="B366" s="6">
        <v>2.999999999999992</v>
      </c>
      <c r="C366" s="6">
        <f>TimeStep!B366</f>
        <v>3000</v>
      </c>
      <c r="D366" s="6">
        <v>-5.7299999999999997E-2</v>
      </c>
      <c r="E366" s="6">
        <v>-4.0000000000000001E-3</v>
      </c>
      <c r="F366" s="6">
        <v>3.81</v>
      </c>
      <c r="G366" s="6">
        <f t="shared" si="5"/>
        <v>8.1854523159563541E-12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8" width="16" customWidth="1"/>
  </cols>
  <sheetData>
    <row r="1" spans="1:8" ht="18.95" customHeight="1">
      <c r="A1" s="2" t="s">
        <v>48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49</v>
      </c>
      <c r="B5" s="3" t="s">
        <v>43</v>
      </c>
      <c r="C5" s="3" t="s">
        <v>50</v>
      </c>
      <c r="D5" s="3" t="s">
        <v>51</v>
      </c>
      <c r="E5" s="3"/>
      <c r="F5" s="3" t="s">
        <v>52</v>
      </c>
      <c r="G5" s="3" t="s">
        <v>53</v>
      </c>
      <c r="H5" s="1"/>
    </row>
    <row r="6" spans="1:8" ht="18.95" customHeight="1">
      <c r="A6" s="1">
        <v>0</v>
      </c>
      <c r="B6" s="8">
        <f>A6*Summary!$B$14</f>
        <v>0</v>
      </c>
      <c r="C6" s="8">
        <f>'Native PMKS'!B6*1000</f>
        <v>0</v>
      </c>
      <c r="D6" s="8">
        <f t="shared" ref="D6:D69" si="0">B6-C6</f>
        <v>0</v>
      </c>
      <c r="E6" s="1"/>
      <c r="F6" s="1">
        <v>0</v>
      </c>
      <c r="G6" s="8">
        <f>F6*Summary!$B$17</f>
        <v>0</v>
      </c>
      <c r="H6" s="1"/>
    </row>
    <row r="7" spans="1:8" ht="18.95" customHeight="1">
      <c r="A7" s="1">
        <v>1</v>
      </c>
      <c r="B7" s="8">
        <f>A7*Summary!$B$14</f>
        <v>8.3333333333333339</v>
      </c>
      <c r="C7" s="8">
        <f>'Native PMKS'!B7*1000</f>
        <v>8.3333333333333357</v>
      </c>
      <c r="D7" s="8">
        <f t="shared" si="0"/>
        <v>0</v>
      </c>
      <c r="E7" s="1"/>
      <c r="F7" s="1">
        <v>1</v>
      </c>
      <c r="G7" s="8">
        <f>F7*Summary!$B$17</f>
        <v>8.3565459610027855</v>
      </c>
      <c r="H7" s="1"/>
    </row>
    <row r="8" spans="1:8" ht="18.95" customHeight="1">
      <c r="A8" s="1">
        <v>2</v>
      </c>
      <c r="B8" s="8">
        <f>A8*Summary!$B$14</f>
        <v>16.666666666666668</v>
      </c>
      <c r="C8" s="8">
        <f>'Native PMKS'!B8*1000</f>
        <v>16.666666666666671</v>
      </c>
      <c r="D8" s="8">
        <f t="shared" si="0"/>
        <v>0</v>
      </c>
      <c r="E8" s="1"/>
      <c r="F8" s="1">
        <v>2</v>
      </c>
      <c r="G8" s="8">
        <f>F8*Summary!$B$17</f>
        <v>16.713091922005571</v>
      </c>
      <c r="H8" s="1"/>
    </row>
    <row r="9" spans="1:8" ht="18.95" customHeight="1">
      <c r="A9" s="1">
        <v>3</v>
      </c>
      <c r="B9" s="8">
        <f>A9*Summary!$B$14</f>
        <v>25</v>
      </c>
      <c r="C9" s="8">
        <f>'Native PMKS'!B9*1000</f>
        <v>25.000000000000004</v>
      </c>
      <c r="D9" s="8">
        <f t="shared" si="0"/>
        <v>0</v>
      </c>
      <c r="E9" s="1"/>
      <c r="F9" s="1">
        <v>3</v>
      </c>
      <c r="G9" s="8">
        <f>F9*Summary!$B$17</f>
        <v>25.069637883008355</v>
      </c>
      <c r="H9" s="1"/>
    </row>
    <row r="10" spans="1:8" ht="18.95" customHeight="1">
      <c r="A10" s="1">
        <v>4</v>
      </c>
      <c r="B10" s="8">
        <f>A10*Summary!$B$14</f>
        <v>33.333333333333336</v>
      </c>
      <c r="C10" s="8">
        <f>'Native PMKS'!B10*1000</f>
        <v>33.333333333333343</v>
      </c>
      <c r="D10" s="8">
        <f t="shared" si="0"/>
        <v>0</v>
      </c>
      <c r="E10" s="1"/>
      <c r="F10" s="1">
        <v>4</v>
      </c>
      <c r="G10" s="8">
        <f>F10*Summary!$B$17</f>
        <v>33.426183844011142</v>
      </c>
      <c r="H10" s="1"/>
    </row>
    <row r="11" spans="1:8" ht="18.95" customHeight="1">
      <c r="A11" s="1">
        <v>5</v>
      </c>
      <c r="B11" s="8">
        <f>A11*Summary!$B$14</f>
        <v>41.666666666666671</v>
      </c>
      <c r="C11" s="8">
        <f>'Native PMKS'!B11*1000</f>
        <v>41.666666666666671</v>
      </c>
      <c r="D11" s="8">
        <f t="shared" si="0"/>
        <v>0</v>
      </c>
      <c r="E11" s="1"/>
      <c r="F11" s="1">
        <v>5</v>
      </c>
      <c r="G11" s="8">
        <f>F11*Summary!$B$17</f>
        <v>41.782729805013929</v>
      </c>
      <c r="H11" s="1"/>
    </row>
    <row r="12" spans="1:8" ht="18.95" customHeight="1">
      <c r="A12" s="1">
        <v>6</v>
      </c>
      <c r="B12" s="8">
        <f>A12*Summary!$B$14</f>
        <v>50</v>
      </c>
      <c r="C12" s="8">
        <f>'Native PMKS'!B12*1000</f>
        <v>50</v>
      </c>
      <c r="D12" s="8">
        <f t="shared" si="0"/>
        <v>0</v>
      </c>
      <c r="E12" s="1"/>
      <c r="F12" s="1">
        <v>6</v>
      </c>
      <c r="G12" s="8">
        <f>F12*Summary!$B$17</f>
        <v>50.139275766016709</v>
      </c>
      <c r="H12" s="1"/>
    </row>
    <row r="13" spans="1:8" ht="18.95" customHeight="1">
      <c r="A13" s="1">
        <v>7</v>
      </c>
      <c r="B13" s="8">
        <f>A13*Summary!$B$14</f>
        <v>58.333333333333336</v>
      </c>
      <c r="C13" s="8">
        <f>'Native PMKS'!B13*1000</f>
        <v>58.333333333333336</v>
      </c>
      <c r="D13" s="8">
        <f t="shared" si="0"/>
        <v>0</v>
      </c>
      <c r="E13" s="1"/>
      <c r="F13" s="1">
        <v>7</v>
      </c>
      <c r="G13" s="8">
        <f>F13*Summary!$B$17</f>
        <v>58.495821727019496</v>
      </c>
      <c r="H13" s="1"/>
    </row>
    <row r="14" spans="1:8" ht="18.95" customHeight="1">
      <c r="A14" s="1">
        <v>8</v>
      </c>
      <c r="B14" s="8">
        <f>A14*Summary!$B$14</f>
        <v>66.666666666666671</v>
      </c>
      <c r="C14" s="8">
        <f>'Native PMKS'!B14*1000</f>
        <v>66.666666666666671</v>
      </c>
      <c r="D14" s="8">
        <f t="shared" si="0"/>
        <v>0</v>
      </c>
      <c r="E14" s="1"/>
      <c r="F14" s="1">
        <v>8</v>
      </c>
      <c r="G14" s="8">
        <f>F14*Summary!$B$17</f>
        <v>66.852367688022284</v>
      </c>
      <c r="H14" s="1"/>
    </row>
    <row r="15" spans="1:8" ht="18.95" customHeight="1">
      <c r="A15" s="1">
        <v>9</v>
      </c>
      <c r="B15" s="8">
        <f>A15*Summary!$B$14</f>
        <v>75</v>
      </c>
      <c r="C15" s="8">
        <f>'Native PMKS'!B15*1000</f>
        <v>75</v>
      </c>
      <c r="D15" s="8">
        <f t="shared" si="0"/>
        <v>0</v>
      </c>
      <c r="E15" s="1"/>
      <c r="F15" s="1">
        <v>9</v>
      </c>
      <c r="G15" s="8">
        <f>F15*Summary!$B$17</f>
        <v>75.208913649025064</v>
      </c>
      <c r="H15" s="1"/>
    </row>
    <row r="16" spans="1:8" ht="18.95" customHeight="1">
      <c r="A16" s="1">
        <v>10</v>
      </c>
      <c r="B16" s="8">
        <f>A16*Summary!$B$14</f>
        <v>83.333333333333343</v>
      </c>
      <c r="C16" s="8">
        <f>'Native PMKS'!B16*1000</f>
        <v>83.333333333333329</v>
      </c>
      <c r="D16" s="8">
        <f t="shared" si="0"/>
        <v>0</v>
      </c>
      <c r="E16" s="1"/>
      <c r="F16" s="1">
        <v>10</v>
      </c>
      <c r="G16" s="8">
        <f>F16*Summary!$B$17</f>
        <v>83.565459610027858</v>
      </c>
      <c r="H16" s="1"/>
    </row>
    <row r="17" spans="1:8" ht="18.95" customHeight="1">
      <c r="A17" s="1">
        <v>11</v>
      </c>
      <c r="B17" s="8">
        <f>A17*Summary!$B$14</f>
        <v>91.666666666666671</v>
      </c>
      <c r="C17" s="8">
        <f>'Native PMKS'!B17*1000</f>
        <v>91.666666666666657</v>
      </c>
      <c r="D17" s="8">
        <f t="shared" si="0"/>
        <v>0</v>
      </c>
      <c r="E17" s="1"/>
      <c r="F17" s="1">
        <v>11</v>
      </c>
      <c r="G17" s="8">
        <f>F17*Summary!$B$17</f>
        <v>91.922005571030638</v>
      </c>
      <c r="H17" s="1"/>
    </row>
    <row r="18" spans="1:8" ht="18.95" customHeight="1">
      <c r="A18" s="1">
        <v>12</v>
      </c>
      <c r="B18" s="8">
        <f>A18*Summary!$B$14</f>
        <v>100</v>
      </c>
      <c r="C18" s="8">
        <f>'Native PMKS'!B18*1000</f>
        <v>99.999999999999986</v>
      </c>
      <c r="D18" s="8">
        <f t="shared" si="0"/>
        <v>0</v>
      </c>
      <c r="E18" s="1"/>
      <c r="F18" s="1">
        <v>12</v>
      </c>
      <c r="G18" s="8">
        <f>F18*Summary!$B$17</f>
        <v>100.27855153203342</v>
      </c>
      <c r="H18" s="1"/>
    </row>
    <row r="19" spans="1:8" ht="18.95" customHeight="1">
      <c r="A19" s="1">
        <v>13</v>
      </c>
      <c r="B19" s="8">
        <f>A19*Summary!$B$14</f>
        <v>108.33333333333334</v>
      </c>
      <c r="C19" s="8">
        <f>'Native PMKS'!B19*1000</f>
        <v>108.33333333333333</v>
      </c>
      <c r="D19" s="8">
        <f t="shared" si="0"/>
        <v>0</v>
      </c>
      <c r="E19" s="1"/>
      <c r="F19" s="1">
        <v>13</v>
      </c>
      <c r="G19" s="8">
        <f>F19*Summary!$B$17</f>
        <v>108.63509749303621</v>
      </c>
      <c r="H19" s="1"/>
    </row>
    <row r="20" spans="1:8" ht="18.95" customHeight="1">
      <c r="A20" s="1">
        <v>14</v>
      </c>
      <c r="B20" s="8">
        <f>A20*Summary!$B$14</f>
        <v>116.66666666666667</v>
      </c>
      <c r="C20" s="8">
        <f>'Native PMKS'!B20*1000</f>
        <v>116.66666666666666</v>
      </c>
      <c r="D20" s="8">
        <f t="shared" si="0"/>
        <v>0</v>
      </c>
      <c r="E20" s="1"/>
      <c r="F20" s="1">
        <v>14</v>
      </c>
      <c r="G20" s="8">
        <f>F20*Summary!$B$17</f>
        <v>116.99164345403899</v>
      </c>
      <c r="H20" s="1"/>
    </row>
    <row r="21" spans="1:8" ht="18.95" customHeight="1">
      <c r="A21" s="1">
        <v>15</v>
      </c>
      <c r="B21" s="8">
        <f>A21*Summary!$B$14</f>
        <v>125.00000000000001</v>
      </c>
      <c r="C21" s="8">
        <f>'Native PMKS'!B21*1000</f>
        <v>124.99999999999999</v>
      </c>
      <c r="D21" s="8">
        <f t="shared" si="0"/>
        <v>0</v>
      </c>
      <c r="E21" s="1"/>
      <c r="F21" s="1">
        <v>15</v>
      </c>
      <c r="G21" s="8">
        <f>F21*Summary!$B$17</f>
        <v>125.34818941504179</v>
      </c>
      <c r="H21" s="1"/>
    </row>
    <row r="22" spans="1:8" ht="18.95" customHeight="1">
      <c r="A22" s="1">
        <v>16</v>
      </c>
      <c r="B22" s="8">
        <f>A22*Summary!$B$14</f>
        <v>133.33333333333334</v>
      </c>
      <c r="C22" s="8">
        <f>'Native PMKS'!B22*1000</f>
        <v>133.33333333333334</v>
      </c>
      <c r="D22" s="8">
        <f t="shared" si="0"/>
        <v>0</v>
      </c>
      <c r="E22" s="1"/>
      <c r="F22" s="1">
        <v>16</v>
      </c>
      <c r="G22" s="8">
        <f>F22*Summary!$B$17</f>
        <v>133.70473537604457</v>
      </c>
      <c r="H22" s="1"/>
    </row>
    <row r="23" spans="1:8" ht="18.95" customHeight="1">
      <c r="A23" s="1">
        <v>17</v>
      </c>
      <c r="B23" s="8">
        <f>A23*Summary!$B$14</f>
        <v>141.66666666666669</v>
      </c>
      <c r="C23" s="8">
        <f>'Native PMKS'!B23*1000</f>
        <v>141.66666666666666</v>
      </c>
      <c r="D23" s="8">
        <f t="shared" si="0"/>
        <v>0</v>
      </c>
      <c r="E23" s="1"/>
      <c r="F23" s="1">
        <v>17</v>
      </c>
      <c r="G23" s="8">
        <f>F23*Summary!$B$17</f>
        <v>142.06128133704735</v>
      </c>
      <c r="H23" s="1"/>
    </row>
    <row r="24" spans="1:8" ht="18.95" customHeight="1">
      <c r="A24" s="1">
        <v>18</v>
      </c>
      <c r="B24" s="8">
        <f>A24*Summary!$B$14</f>
        <v>150</v>
      </c>
      <c r="C24" s="8">
        <f>'Native PMKS'!B24*1000</f>
        <v>150</v>
      </c>
      <c r="D24" s="8">
        <f t="shared" si="0"/>
        <v>0</v>
      </c>
      <c r="E24" s="1"/>
      <c r="F24" s="1">
        <v>18</v>
      </c>
      <c r="G24" s="8">
        <f>F24*Summary!$B$17</f>
        <v>150.41782729805013</v>
      </c>
      <c r="H24" s="1"/>
    </row>
    <row r="25" spans="1:8" ht="18.95" customHeight="1">
      <c r="A25" s="1">
        <v>19</v>
      </c>
      <c r="B25" s="8">
        <f>A25*Summary!$B$14</f>
        <v>158.33333333333334</v>
      </c>
      <c r="C25" s="8">
        <f>'Native PMKS'!B25*1000</f>
        <v>158.33333333333331</v>
      </c>
      <c r="D25" s="8">
        <f t="shared" si="0"/>
        <v>0</v>
      </c>
      <c r="E25" s="1"/>
      <c r="F25" s="1">
        <v>19</v>
      </c>
      <c r="G25" s="8">
        <f>F25*Summary!$B$17</f>
        <v>158.77437325905294</v>
      </c>
      <c r="H25" s="1"/>
    </row>
    <row r="26" spans="1:8" ht="18.95" customHeight="1">
      <c r="A26" s="1">
        <v>20</v>
      </c>
      <c r="B26" s="8">
        <f>A26*Summary!$B$14</f>
        <v>166.66666666666669</v>
      </c>
      <c r="C26" s="8">
        <f>'Native PMKS'!B26*1000</f>
        <v>166.66666666666666</v>
      </c>
      <c r="D26" s="8">
        <f t="shared" si="0"/>
        <v>0</v>
      </c>
      <c r="E26" s="1"/>
      <c r="F26" s="1">
        <v>20</v>
      </c>
      <c r="G26" s="8">
        <f>F26*Summary!$B$17</f>
        <v>167.13091922005572</v>
      </c>
      <c r="H26" s="1"/>
    </row>
    <row r="27" spans="1:8" ht="18.95" customHeight="1">
      <c r="A27" s="1">
        <v>21</v>
      </c>
      <c r="B27" s="8">
        <f>A27*Summary!$B$14</f>
        <v>175</v>
      </c>
      <c r="C27" s="8">
        <f>'Native PMKS'!B27*1000</f>
        <v>175</v>
      </c>
      <c r="D27" s="8">
        <f t="shared" si="0"/>
        <v>0</v>
      </c>
      <c r="E27" s="1"/>
      <c r="F27" s="1">
        <v>21</v>
      </c>
      <c r="G27" s="8">
        <f>F27*Summary!$B$17</f>
        <v>175.4874651810585</v>
      </c>
      <c r="H27" s="1"/>
    </row>
    <row r="28" spans="1:8" ht="18.95" customHeight="1">
      <c r="A28" s="1">
        <v>22</v>
      </c>
      <c r="B28" s="8">
        <f>A28*Summary!$B$14</f>
        <v>183.33333333333334</v>
      </c>
      <c r="C28" s="8">
        <f>'Native PMKS'!B28*1000</f>
        <v>183.33333333333331</v>
      </c>
      <c r="D28" s="8">
        <f t="shared" si="0"/>
        <v>0</v>
      </c>
      <c r="E28" s="1"/>
      <c r="F28" s="1">
        <v>22</v>
      </c>
      <c r="G28" s="8">
        <f>F28*Summary!$B$17</f>
        <v>183.84401114206128</v>
      </c>
      <c r="H28" s="1"/>
    </row>
    <row r="29" spans="1:8" ht="18.95" customHeight="1">
      <c r="A29" s="1">
        <v>23</v>
      </c>
      <c r="B29" s="8">
        <f>A29*Summary!$B$14</f>
        <v>191.66666666666669</v>
      </c>
      <c r="C29" s="8">
        <f>'Native PMKS'!B29*1000</f>
        <v>191.66666666666666</v>
      </c>
      <c r="D29" s="8">
        <f t="shared" si="0"/>
        <v>0</v>
      </c>
      <c r="E29" s="1"/>
      <c r="F29" s="1">
        <v>23</v>
      </c>
      <c r="G29" s="8">
        <f>F29*Summary!$B$17</f>
        <v>192.20055710306406</v>
      </c>
      <c r="H29" s="1"/>
    </row>
    <row r="30" spans="1:8" ht="18.95" customHeight="1">
      <c r="A30" s="1">
        <v>24</v>
      </c>
      <c r="B30" s="8">
        <f>A30*Summary!$B$14</f>
        <v>200</v>
      </c>
      <c r="C30" s="8">
        <f>'Native PMKS'!B30*1000</f>
        <v>199.99999999999997</v>
      </c>
      <c r="D30" s="8">
        <f t="shared" si="0"/>
        <v>0</v>
      </c>
      <c r="E30" s="1"/>
      <c r="F30" s="1">
        <v>24</v>
      </c>
      <c r="G30" s="8">
        <f>F30*Summary!$B$17</f>
        <v>200.55710306406684</v>
      </c>
      <c r="H30" s="1"/>
    </row>
    <row r="31" spans="1:8" ht="18.95" customHeight="1">
      <c r="A31" s="1">
        <v>25</v>
      </c>
      <c r="B31" s="8">
        <f>A31*Summary!$B$14</f>
        <v>208.33333333333334</v>
      </c>
      <c r="C31" s="8">
        <f>'Native PMKS'!B31*1000</f>
        <v>208.33333333333331</v>
      </c>
      <c r="D31" s="8">
        <f t="shared" si="0"/>
        <v>0</v>
      </c>
      <c r="E31" s="1"/>
      <c r="F31" s="1">
        <v>25</v>
      </c>
      <c r="G31" s="8">
        <f>F31*Summary!$B$17</f>
        <v>208.91364902506965</v>
      </c>
      <c r="H31" s="1"/>
    </row>
    <row r="32" spans="1:8" ht="18.95" customHeight="1">
      <c r="A32" s="1">
        <v>26</v>
      </c>
      <c r="B32" s="8">
        <f>A32*Summary!$B$14</f>
        <v>216.66666666666669</v>
      </c>
      <c r="C32" s="8">
        <f>'Native PMKS'!B32*1000</f>
        <v>216.66666666666666</v>
      </c>
      <c r="D32" s="8">
        <f t="shared" si="0"/>
        <v>0</v>
      </c>
      <c r="E32" s="1"/>
      <c r="F32" s="1">
        <v>26</v>
      </c>
      <c r="G32" s="8">
        <f>F32*Summary!$B$17</f>
        <v>217.27019498607243</v>
      </c>
      <c r="H32" s="1"/>
    </row>
    <row r="33" spans="1:8" ht="18.95" customHeight="1">
      <c r="A33" s="1">
        <v>27</v>
      </c>
      <c r="B33" s="8">
        <f>A33*Summary!$B$14</f>
        <v>225.00000000000003</v>
      </c>
      <c r="C33" s="8">
        <f>'Native PMKS'!B33*1000</f>
        <v>224.99999999999997</v>
      </c>
      <c r="D33" s="8">
        <f t="shared" si="0"/>
        <v>0</v>
      </c>
      <c r="E33" s="1"/>
      <c r="F33" s="1">
        <v>27</v>
      </c>
      <c r="G33" s="8">
        <f>F33*Summary!$B$17</f>
        <v>225.62674094707521</v>
      </c>
      <c r="H33" s="1"/>
    </row>
    <row r="34" spans="1:8" ht="18.95" customHeight="1">
      <c r="A34" s="1">
        <v>28</v>
      </c>
      <c r="B34" s="8">
        <f>A34*Summary!$B$14</f>
        <v>233.33333333333334</v>
      </c>
      <c r="C34" s="8">
        <f>'Native PMKS'!B34*1000</f>
        <v>233.33333333333331</v>
      </c>
      <c r="D34" s="8">
        <f t="shared" si="0"/>
        <v>0</v>
      </c>
      <c r="E34" s="1"/>
      <c r="F34" s="1">
        <v>28</v>
      </c>
      <c r="G34" s="8">
        <f>F34*Summary!$B$17</f>
        <v>233.98328690807799</v>
      </c>
      <c r="H34" s="1"/>
    </row>
    <row r="35" spans="1:8" ht="18.95" customHeight="1">
      <c r="A35" s="1">
        <v>29</v>
      </c>
      <c r="B35" s="8">
        <f>A35*Summary!$B$14</f>
        <v>241.66666666666669</v>
      </c>
      <c r="C35" s="8">
        <f>'Native PMKS'!B35*1000</f>
        <v>241.66666666666663</v>
      </c>
      <c r="D35" s="8">
        <f t="shared" si="0"/>
        <v>0</v>
      </c>
      <c r="E35" s="1"/>
      <c r="F35" s="1">
        <v>29</v>
      </c>
      <c r="G35" s="8">
        <f>F35*Summary!$B$17</f>
        <v>242.33983286908077</v>
      </c>
      <c r="H35" s="1"/>
    </row>
    <row r="36" spans="1:8" ht="18.95" customHeight="1">
      <c r="A36" s="1">
        <v>30</v>
      </c>
      <c r="B36" s="8">
        <f>A36*Summary!$B$14</f>
        <v>250.00000000000003</v>
      </c>
      <c r="C36" s="8">
        <f>'Native PMKS'!B36*1000</f>
        <v>249.99999999999997</v>
      </c>
      <c r="D36" s="8">
        <f t="shared" si="0"/>
        <v>0</v>
      </c>
      <c r="E36" s="1"/>
      <c r="F36" s="1">
        <v>30</v>
      </c>
      <c r="G36" s="8">
        <f>F36*Summary!$B$17</f>
        <v>250.69637883008357</v>
      </c>
      <c r="H36" s="1"/>
    </row>
    <row r="37" spans="1:8" ht="18.95" customHeight="1">
      <c r="A37" s="1">
        <v>31</v>
      </c>
      <c r="B37" s="8">
        <f>A37*Summary!$B$14</f>
        <v>258.33333333333337</v>
      </c>
      <c r="C37" s="8">
        <f>'Native PMKS'!B37*1000</f>
        <v>258.33333333333331</v>
      </c>
      <c r="D37" s="8">
        <f t="shared" si="0"/>
        <v>0</v>
      </c>
      <c r="E37" s="1"/>
      <c r="F37" s="1">
        <v>31</v>
      </c>
      <c r="G37" s="8">
        <f>F37*Summary!$B$17</f>
        <v>259.05292479108635</v>
      </c>
      <c r="H37" s="1"/>
    </row>
    <row r="38" spans="1:8" ht="18.95" customHeight="1">
      <c r="A38" s="1">
        <v>32</v>
      </c>
      <c r="B38" s="8">
        <f>A38*Summary!$B$14</f>
        <v>266.66666666666669</v>
      </c>
      <c r="C38" s="8">
        <f>'Native PMKS'!B38*1000</f>
        <v>266.66666666666669</v>
      </c>
      <c r="D38" s="8">
        <f t="shared" si="0"/>
        <v>0</v>
      </c>
      <c r="E38" s="1"/>
      <c r="F38" s="1">
        <v>32</v>
      </c>
      <c r="G38" s="8">
        <f>F38*Summary!$B$17</f>
        <v>267.40947075208913</v>
      </c>
      <c r="H38" s="1"/>
    </row>
    <row r="39" spans="1:8" ht="18.95" customHeight="1">
      <c r="A39" s="1">
        <v>33</v>
      </c>
      <c r="B39" s="8">
        <f>A39*Summary!$B$14</f>
        <v>275</v>
      </c>
      <c r="C39" s="8">
        <f>'Native PMKS'!B39*1000</f>
        <v>275</v>
      </c>
      <c r="D39" s="8">
        <f t="shared" si="0"/>
        <v>0</v>
      </c>
      <c r="E39" s="1"/>
      <c r="F39" s="1">
        <v>33</v>
      </c>
      <c r="G39" s="8">
        <f>F39*Summary!$B$17</f>
        <v>275.76601671309191</v>
      </c>
      <c r="H39" s="1"/>
    </row>
    <row r="40" spans="1:8" ht="18.95" customHeight="1">
      <c r="A40" s="1">
        <v>34</v>
      </c>
      <c r="B40" s="8">
        <f>A40*Summary!$B$14</f>
        <v>283.33333333333337</v>
      </c>
      <c r="C40" s="8">
        <f>'Native PMKS'!B40*1000</f>
        <v>283.33333333333337</v>
      </c>
      <c r="D40" s="8">
        <f t="shared" si="0"/>
        <v>0</v>
      </c>
      <c r="E40" s="1"/>
      <c r="F40" s="1">
        <v>34</v>
      </c>
      <c r="G40" s="8">
        <f>F40*Summary!$B$17</f>
        <v>284.1225626740947</v>
      </c>
      <c r="H40" s="1"/>
    </row>
    <row r="41" spans="1:8" ht="18.95" customHeight="1">
      <c r="A41" s="1">
        <v>35</v>
      </c>
      <c r="B41" s="8">
        <f>A41*Summary!$B$14</f>
        <v>291.66666666666669</v>
      </c>
      <c r="C41" s="8">
        <f>'Native PMKS'!B41*1000</f>
        <v>291.66666666666674</v>
      </c>
      <c r="D41" s="8">
        <f t="shared" si="0"/>
        <v>0</v>
      </c>
      <c r="E41" s="1"/>
      <c r="F41" s="1">
        <v>35</v>
      </c>
      <c r="G41" s="8">
        <f>F41*Summary!$B$17</f>
        <v>292.47910863509748</v>
      </c>
      <c r="H41" s="1"/>
    </row>
    <row r="42" spans="1:8" ht="18.95" customHeight="1">
      <c r="A42" s="1">
        <v>36</v>
      </c>
      <c r="B42" s="8">
        <f>A42*Summary!$B$14</f>
        <v>300</v>
      </c>
      <c r="C42" s="8">
        <f>'Native PMKS'!B42*1000</f>
        <v>300.00000000000011</v>
      </c>
      <c r="D42" s="8">
        <f t="shared" si="0"/>
        <v>0</v>
      </c>
      <c r="E42" s="1"/>
      <c r="F42" s="1">
        <v>36</v>
      </c>
      <c r="G42" s="8">
        <f>F42*Summary!$B$17</f>
        <v>300.83565459610026</v>
      </c>
      <c r="H42" s="1"/>
    </row>
    <row r="43" spans="1:8" ht="18.95" customHeight="1">
      <c r="A43" s="1">
        <v>37</v>
      </c>
      <c r="B43" s="8">
        <f>A43*Summary!$B$14</f>
        <v>308.33333333333337</v>
      </c>
      <c r="C43" s="8">
        <f>'Native PMKS'!B43*1000</f>
        <v>308.33333333333348</v>
      </c>
      <c r="D43" s="8">
        <f t="shared" si="0"/>
        <v>0</v>
      </c>
      <c r="E43" s="1"/>
      <c r="F43" s="1">
        <v>37</v>
      </c>
      <c r="G43" s="8">
        <f>F43*Summary!$B$17</f>
        <v>309.19220055710304</v>
      </c>
      <c r="H43" s="1"/>
    </row>
    <row r="44" spans="1:8" ht="18.95" customHeight="1">
      <c r="A44" s="1">
        <v>38</v>
      </c>
      <c r="B44" s="8">
        <f>A44*Summary!$B$14</f>
        <v>316.66666666666669</v>
      </c>
      <c r="C44" s="8">
        <f>'Native PMKS'!B44*1000</f>
        <v>316.6666666666668</v>
      </c>
      <c r="D44" s="8">
        <f t="shared" si="0"/>
        <v>0</v>
      </c>
      <c r="E44" s="1"/>
      <c r="F44" s="1">
        <v>38</v>
      </c>
      <c r="G44" s="8">
        <f>F44*Summary!$B$17</f>
        <v>317.54874651810587</v>
      </c>
      <c r="H44" s="1"/>
    </row>
    <row r="45" spans="1:8" ht="18.95" customHeight="1">
      <c r="A45" s="1">
        <v>39</v>
      </c>
      <c r="B45" s="8">
        <f>A45*Summary!$B$14</f>
        <v>325</v>
      </c>
      <c r="C45" s="8">
        <f>'Native PMKS'!B45*1000</f>
        <v>325.00000000000017</v>
      </c>
      <c r="D45" s="8">
        <f t="shared" si="0"/>
        <v>0</v>
      </c>
      <c r="E45" s="1"/>
      <c r="F45" s="1">
        <v>39</v>
      </c>
      <c r="G45" s="8">
        <f>F45*Summary!$B$17</f>
        <v>325.90529247910865</v>
      </c>
      <c r="H45" s="1"/>
    </row>
    <row r="46" spans="1:8" ht="18.95" customHeight="1">
      <c r="A46" s="1">
        <v>40</v>
      </c>
      <c r="B46" s="8">
        <f>A46*Summary!$B$14</f>
        <v>333.33333333333337</v>
      </c>
      <c r="C46" s="8">
        <f>'Native PMKS'!B46*1000</f>
        <v>333.33333333333354</v>
      </c>
      <c r="D46" s="8">
        <f t="shared" si="0"/>
        <v>0</v>
      </c>
      <c r="E46" s="1"/>
      <c r="F46" s="1">
        <v>40</v>
      </c>
      <c r="G46" s="8">
        <f>F46*Summary!$B$17</f>
        <v>334.26183844011143</v>
      </c>
      <c r="H46" s="1"/>
    </row>
    <row r="47" spans="1:8" ht="18.95" customHeight="1">
      <c r="A47" s="1">
        <v>41</v>
      </c>
      <c r="B47" s="8">
        <f>A47*Summary!$B$14</f>
        <v>341.66666666666669</v>
      </c>
      <c r="C47" s="8">
        <f>'Native PMKS'!B47*1000</f>
        <v>341.66666666666691</v>
      </c>
      <c r="D47" s="8">
        <f t="shared" si="0"/>
        <v>0</v>
      </c>
      <c r="E47" s="1"/>
      <c r="F47" s="1">
        <v>41</v>
      </c>
      <c r="G47" s="8">
        <f>F47*Summary!$B$17</f>
        <v>342.61838440111421</v>
      </c>
      <c r="H47" s="1"/>
    </row>
    <row r="48" spans="1:8" ht="18.95" customHeight="1">
      <c r="A48" s="1">
        <v>42</v>
      </c>
      <c r="B48" s="8">
        <f>A48*Summary!$B$14</f>
        <v>350</v>
      </c>
      <c r="C48" s="8">
        <f>'Native PMKS'!B48*1000</f>
        <v>350.00000000000023</v>
      </c>
      <c r="D48" s="8">
        <f t="shared" si="0"/>
        <v>0</v>
      </c>
      <c r="E48" s="1"/>
      <c r="F48" s="1">
        <v>42</v>
      </c>
      <c r="G48" s="8">
        <f>F48*Summary!$B$17</f>
        <v>350.97493036211699</v>
      </c>
      <c r="H48" s="1"/>
    </row>
    <row r="49" spans="1:8" ht="18.95" customHeight="1">
      <c r="A49" s="1">
        <v>43</v>
      </c>
      <c r="B49" s="8">
        <f>A49*Summary!$B$14</f>
        <v>358.33333333333337</v>
      </c>
      <c r="C49" s="8">
        <f>'Native PMKS'!B49*1000</f>
        <v>358.3333333333336</v>
      </c>
      <c r="D49" s="8">
        <f t="shared" si="0"/>
        <v>0</v>
      </c>
      <c r="E49" s="1"/>
      <c r="F49" s="1">
        <v>43</v>
      </c>
      <c r="G49" s="8">
        <f>F49*Summary!$B$17</f>
        <v>359.33147632311977</v>
      </c>
      <c r="H49" s="1"/>
    </row>
    <row r="50" spans="1:8" ht="18.95" customHeight="1">
      <c r="A50" s="1">
        <v>44</v>
      </c>
      <c r="B50" s="8">
        <f>A50*Summary!$B$14</f>
        <v>366.66666666666669</v>
      </c>
      <c r="C50" s="8">
        <f>'Native PMKS'!B50*1000</f>
        <v>366.66666666666697</v>
      </c>
      <c r="D50" s="8">
        <f t="shared" si="0"/>
        <v>0</v>
      </c>
      <c r="E50" s="1"/>
      <c r="F50" s="1">
        <v>44</v>
      </c>
      <c r="G50" s="8">
        <f>F50*Summary!$B$17</f>
        <v>367.68802228412255</v>
      </c>
      <c r="H50" s="1"/>
    </row>
    <row r="51" spans="1:8" ht="18.95" customHeight="1">
      <c r="A51" s="1">
        <v>45</v>
      </c>
      <c r="B51" s="8">
        <f>A51*Summary!$B$14</f>
        <v>375</v>
      </c>
      <c r="C51" s="8">
        <f>'Native PMKS'!B51*1000</f>
        <v>375.00000000000034</v>
      </c>
      <c r="D51" s="8">
        <f t="shared" si="0"/>
        <v>0</v>
      </c>
      <c r="E51" s="1"/>
      <c r="F51" s="1">
        <v>45</v>
      </c>
      <c r="G51" s="8">
        <f>F51*Summary!$B$17</f>
        <v>376.04456824512533</v>
      </c>
      <c r="H51" s="1"/>
    </row>
    <row r="52" spans="1:8" ht="18.95" customHeight="1">
      <c r="A52" s="1">
        <v>46</v>
      </c>
      <c r="B52" s="8">
        <f>A52*Summary!$B$14</f>
        <v>383.33333333333337</v>
      </c>
      <c r="C52" s="8">
        <f>'Native PMKS'!B52*1000</f>
        <v>383.33333333333371</v>
      </c>
      <c r="D52" s="8">
        <f t="shared" si="0"/>
        <v>0</v>
      </c>
      <c r="E52" s="1"/>
      <c r="F52" s="1">
        <v>46</v>
      </c>
      <c r="G52" s="8">
        <f>F52*Summary!$B$17</f>
        <v>384.40111420612811</v>
      </c>
      <c r="H52" s="1"/>
    </row>
    <row r="53" spans="1:8" ht="18.95" customHeight="1">
      <c r="A53" s="1">
        <v>47</v>
      </c>
      <c r="B53" s="8">
        <f>A53*Summary!$B$14</f>
        <v>391.66666666666669</v>
      </c>
      <c r="C53" s="8">
        <f>'Native PMKS'!B53*1000</f>
        <v>391.66666666666703</v>
      </c>
      <c r="D53" s="8">
        <f t="shared" si="0"/>
        <v>0</v>
      </c>
      <c r="E53" s="1"/>
      <c r="F53" s="1">
        <v>47</v>
      </c>
      <c r="G53" s="8">
        <f>F53*Summary!$B$17</f>
        <v>392.75766016713089</v>
      </c>
      <c r="H53" s="1"/>
    </row>
    <row r="54" spans="1:8" ht="18.95" customHeight="1">
      <c r="A54" s="1">
        <v>48</v>
      </c>
      <c r="B54" s="8">
        <f>A54*Summary!$B$14</f>
        <v>400</v>
      </c>
      <c r="C54" s="8">
        <f>'Native PMKS'!B54*1000</f>
        <v>400.0000000000004</v>
      </c>
      <c r="D54" s="8">
        <f t="shared" si="0"/>
        <v>0</v>
      </c>
      <c r="E54" s="1"/>
      <c r="F54" s="1">
        <v>48</v>
      </c>
      <c r="G54" s="8">
        <f>F54*Summary!$B$17</f>
        <v>401.11420612813367</v>
      </c>
      <c r="H54" s="1"/>
    </row>
    <row r="55" spans="1:8" ht="18.95" customHeight="1">
      <c r="A55" s="1">
        <v>49</v>
      </c>
      <c r="B55" s="8">
        <f>A55*Summary!$B$14</f>
        <v>408.33333333333337</v>
      </c>
      <c r="C55" s="8">
        <f>'Native PMKS'!B55*1000</f>
        <v>408.33333333333377</v>
      </c>
      <c r="D55" s="8">
        <f t="shared" si="0"/>
        <v>0</v>
      </c>
      <c r="E55" s="1"/>
      <c r="F55" s="1">
        <v>49</v>
      </c>
      <c r="G55" s="8">
        <f>F55*Summary!$B$17</f>
        <v>409.47075208913651</v>
      </c>
      <c r="H55" s="1"/>
    </row>
    <row r="56" spans="1:8" ht="18.95" customHeight="1">
      <c r="A56" s="1">
        <v>50</v>
      </c>
      <c r="B56" s="8">
        <f>A56*Summary!$B$14</f>
        <v>416.66666666666669</v>
      </c>
      <c r="C56" s="8">
        <f>'Native PMKS'!B56*1000</f>
        <v>416.66666666666714</v>
      </c>
      <c r="D56" s="8">
        <f t="shared" si="0"/>
        <v>-4.5474735088646412E-13</v>
      </c>
      <c r="E56" s="1"/>
      <c r="F56" s="1">
        <v>50</v>
      </c>
      <c r="G56" s="8">
        <f>F56*Summary!$B$17</f>
        <v>417.82729805013929</v>
      </c>
      <c r="H56" s="1"/>
    </row>
    <row r="57" spans="1:8" ht="18.95" customHeight="1">
      <c r="A57" s="1">
        <v>51</v>
      </c>
      <c r="B57" s="8">
        <f>A57*Summary!$B$14</f>
        <v>425.00000000000006</v>
      </c>
      <c r="C57" s="8">
        <f>'Native PMKS'!B57*1000</f>
        <v>425.00000000000051</v>
      </c>
      <c r="D57" s="8">
        <f t="shared" si="0"/>
        <v>-4.5474735088646412E-13</v>
      </c>
      <c r="E57" s="1"/>
      <c r="F57" s="1">
        <v>51</v>
      </c>
      <c r="G57" s="8">
        <f>F57*Summary!$B$17</f>
        <v>426.18384401114207</v>
      </c>
      <c r="H57" s="1"/>
    </row>
    <row r="58" spans="1:8" ht="18.95" customHeight="1">
      <c r="A58" s="1">
        <v>52</v>
      </c>
      <c r="B58" s="8">
        <f>A58*Summary!$B$14</f>
        <v>433.33333333333337</v>
      </c>
      <c r="C58" s="8">
        <f>'Native PMKS'!B58*1000</f>
        <v>433.33333333333383</v>
      </c>
      <c r="D58" s="8">
        <f t="shared" si="0"/>
        <v>-4.5474735088646412E-13</v>
      </c>
      <c r="E58" s="1"/>
      <c r="F58" s="1">
        <v>52</v>
      </c>
      <c r="G58" s="8">
        <f>F58*Summary!$B$17</f>
        <v>434.54038997214485</v>
      </c>
      <c r="H58" s="1"/>
    </row>
    <row r="59" spans="1:8" ht="18.95" customHeight="1">
      <c r="A59" s="1">
        <v>53</v>
      </c>
      <c r="B59" s="8">
        <f>A59*Summary!$B$14</f>
        <v>441.66666666666669</v>
      </c>
      <c r="C59" s="8">
        <f>'Native PMKS'!B59*1000</f>
        <v>441.6666666666672</v>
      </c>
      <c r="D59" s="8">
        <f t="shared" si="0"/>
        <v>-5.1159076974727213E-13</v>
      </c>
      <c r="E59" s="1"/>
      <c r="F59" s="1">
        <v>53</v>
      </c>
      <c r="G59" s="8">
        <f>F59*Summary!$B$17</f>
        <v>442.89693593314763</v>
      </c>
      <c r="H59" s="1"/>
    </row>
    <row r="60" spans="1:8" ht="18.95" customHeight="1">
      <c r="A60" s="1">
        <v>54</v>
      </c>
      <c r="B60" s="8">
        <f>A60*Summary!$B$14</f>
        <v>450.00000000000006</v>
      </c>
      <c r="C60" s="8">
        <f>'Native PMKS'!B60*1000</f>
        <v>450.00000000000057</v>
      </c>
      <c r="D60" s="8">
        <f t="shared" si="0"/>
        <v>-5.1159076974727213E-13</v>
      </c>
      <c r="E60" s="1"/>
      <c r="F60" s="1">
        <v>54</v>
      </c>
      <c r="G60" s="8">
        <f>F60*Summary!$B$17</f>
        <v>451.25348189415041</v>
      </c>
      <c r="H60" s="1"/>
    </row>
    <row r="61" spans="1:8" ht="18.95" customHeight="1">
      <c r="A61" s="1">
        <v>55</v>
      </c>
      <c r="B61" s="8">
        <f>A61*Summary!$B$14</f>
        <v>458.33333333333337</v>
      </c>
      <c r="C61" s="8">
        <f>'Native PMKS'!B61*1000</f>
        <v>458.33333333333394</v>
      </c>
      <c r="D61" s="8">
        <f t="shared" si="0"/>
        <v>-5.6843418860808015E-13</v>
      </c>
      <c r="E61" s="1"/>
      <c r="F61" s="1">
        <v>55</v>
      </c>
      <c r="G61" s="8">
        <f>F61*Summary!$B$17</f>
        <v>459.61002785515319</v>
      </c>
      <c r="H61" s="1"/>
    </row>
    <row r="62" spans="1:8" ht="18.95" customHeight="1">
      <c r="A62" s="1">
        <v>56</v>
      </c>
      <c r="B62" s="8">
        <f>A62*Summary!$B$14</f>
        <v>466.66666666666669</v>
      </c>
      <c r="C62" s="8">
        <f>'Native PMKS'!B62*1000</f>
        <v>466.66666666666731</v>
      </c>
      <c r="D62" s="8">
        <f t="shared" si="0"/>
        <v>-6.2527760746888816E-13</v>
      </c>
      <c r="E62" s="1"/>
      <c r="F62" s="1">
        <v>56</v>
      </c>
      <c r="G62" s="8">
        <f>F62*Summary!$B$17</f>
        <v>467.96657381615597</v>
      </c>
      <c r="H62" s="1"/>
    </row>
    <row r="63" spans="1:8" ht="18.95" customHeight="1">
      <c r="A63" s="1">
        <v>57</v>
      </c>
      <c r="B63" s="8">
        <f>A63*Summary!$B$14</f>
        <v>475.00000000000006</v>
      </c>
      <c r="C63" s="8">
        <f>'Native PMKS'!B63*1000</f>
        <v>475.00000000000063</v>
      </c>
      <c r="D63" s="8">
        <f t="shared" si="0"/>
        <v>-5.6843418860808015E-13</v>
      </c>
      <c r="E63" s="1"/>
      <c r="F63" s="1">
        <v>57</v>
      </c>
      <c r="G63" s="8">
        <f>F63*Summary!$B$17</f>
        <v>476.32311977715875</v>
      </c>
      <c r="H63" s="1"/>
    </row>
    <row r="64" spans="1:8" ht="18.95" customHeight="1">
      <c r="A64" s="1">
        <v>58</v>
      </c>
      <c r="B64" s="8">
        <f>A64*Summary!$B$14</f>
        <v>483.33333333333337</v>
      </c>
      <c r="C64" s="8">
        <f>'Native PMKS'!B64*1000</f>
        <v>483.333333333334</v>
      </c>
      <c r="D64" s="8">
        <f t="shared" si="0"/>
        <v>-6.2527760746888816E-13</v>
      </c>
      <c r="E64" s="1"/>
      <c r="F64" s="1">
        <v>58</v>
      </c>
      <c r="G64" s="8">
        <f>F64*Summary!$B$17</f>
        <v>484.67966573816153</v>
      </c>
      <c r="H64" s="1"/>
    </row>
    <row r="65" spans="1:8" ht="18.95" customHeight="1">
      <c r="A65" s="1">
        <v>59</v>
      </c>
      <c r="B65" s="8">
        <f>A65*Summary!$B$14</f>
        <v>491.66666666666669</v>
      </c>
      <c r="C65" s="8">
        <f>'Native PMKS'!B65*1000</f>
        <v>491.66666666666737</v>
      </c>
      <c r="D65" s="8">
        <f t="shared" si="0"/>
        <v>-6.8212102632969618E-13</v>
      </c>
      <c r="E65" s="1"/>
      <c r="F65" s="1">
        <v>59</v>
      </c>
      <c r="G65" s="8">
        <f>F65*Summary!$B$17</f>
        <v>493.03621169916437</v>
      </c>
      <c r="H65" s="1"/>
    </row>
    <row r="66" spans="1:8" ht="18.95" customHeight="1">
      <c r="A66" s="1">
        <v>60</v>
      </c>
      <c r="B66" s="8">
        <f>A66*Summary!$B$14</f>
        <v>500.00000000000006</v>
      </c>
      <c r="C66" s="8">
        <f>'Native PMKS'!B66*1000</f>
        <v>500.00000000000068</v>
      </c>
      <c r="D66" s="8">
        <f t="shared" si="0"/>
        <v>-6.2527760746888816E-13</v>
      </c>
      <c r="E66" s="1"/>
      <c r="F66" s="1">
        <v>60</v>
      </c>
      <c r="G66" s="8">
        <f>F66*Summary!$B$17</f>
        <v>501.39275766016715</v>
      </c>
      <c r="H66" s="1"/>
    </row>
    <row r="67" spans="1:8" ht="18.95" customHeight="1">
      <c r="A67" s="1">
        <v>61</v>
      </c>
      <c r="B67" s="8">
        <f>A67*Summary!$B$14</f>
        <v>508.33333333333337</v>
      </c>
      <c r="C67" s="8">
        <f>'Native PMKS'!B67*1000</f>
        <v>508.333333333334</v>
      </c>
      <c r="D67" s="8">
        <f t="shared" si="0"/>
        <v>-6.2527760746888816E-13</v>
      </c>
      <c r="E67" s="1"/>
      <c r="F67" s="1">
        <v>61</v>
      </c>
      <c r="G67" s="8">
        <f>F67*Summary!$B$17</f>
        <v>509.74930362116993</v>
      </c>
      <c r="H67" s="1"/>
    </row>
    <row r="68" spans="1:8" ht="18.95" customHeight="1">
      <c r="A68" s="1">
        <v>62</v>
      </c>
      <c r="B68" s="8">
        <f>A68*Summary!$B$14</f>
        <v>516.66666666666674</v>
      </c>
      <c r="C68" s="8">
        <f>'Native PMKS'!B68*1000</f>
        <v>516.66666666666731</v>
      </c>
      <c r="D68" s="8">
        <f t="shared" si="0"/>
        <v>0</v>
      </c>
      <c r="E68" s="1"/>
      <c r="F68" s="1">
        <v>62</v>
      </c>
      <c r="G68" s="8">
        <f>F68*Summary!$B$17</f>
        <v>518.10584958217271</v>
      </c>
      <c r="H68" s="1"/>
    </row>
    <row r="69" spans="1:8" ht="18.95" customHeight="1">
      <c r="A69" s="1">
        <v>63</v>
      </c>
      <c r="B69" s="8">
        <f>A69*Summary!$B$14</f>
        <v>525</v>
      </c>
      <c r="C69" s="8">
        <f>'Native PMKS'!B69*1000</f>
        <v>525.00000000000057</v>
      </c>
      <c r="D69" s="8">
        <f t="shared" si="0"/>
        <v>0</v>
      </c>
      <c r="E69" s="1"/>
      <c r="F69" s="1">
        <v>63</v>
      </c>
      <c r="G69" s="8">
        <f>F69*Summary!$B$17</f>
        <v>526.46239554317549</v>
      </c>
      <c r="H69" s="1"/>
    </row>
    <row r="70" spans="1:8" ht="18.95" customHeight="1">
      <c r="A70" s="1">
        <v>64</v>
      </c>
      <c r="B70" s="8">
        <f>A70*Summary!$B$14</f>
        <v>533.33333333333337</v>
      </c>
      <c r="C70" s="8">
        <f>'Native PMKS'!B70*1000</f>
        <v>533.33333333333383</v>
      </c>
      <c r="D70" s="8">
        <f t="shared" ref="D70:D133" si="1">B70-C70</f>
        <v>0</v>
      </c>
      <c r="E70" s="1"/>
      <c r="F70" s="1">
        <v>64</v>
      </c>
      <c r="G70" s="8">
        <f>F70*Summary!$B$17</f>
        <v>534.81894150417827</v>
      </c>
      <c r="H70" s="1"/>
    </row>
    <row r="71" spans="1:8" ht="18.95" customHeight="1">
      <c r="A71" s="1">
        <v>65</v>
      </c>
      <c r="B71" s="8">
        <f>A71*Summary!$B$14</f>
        <v>541.66666666666674</v>
      </c>
      <c r="C71" s="8">
        <f>'Native PMKS'!B71*1000</f>
        <v>541.6666666666672</v>
      </c>
      <c r="D71" s="8">
        <f t="shared" si="1"/>
        <v>0</v>
      </c>
      <c r="E71" s="1"/>
      <c r="F71" s="1">
        <v>65</v>
      </c>
      <c r="G71" s="8">
        <f>F71*Summary!$B$17</f>
        <v>543.17548746518105</v>
      </c>
      <c r="H71" s="1"/>
    </row>
    <row r="72" spans="1:8" ht="18.95" customHeight="1">
      <c r="A72" s="1">
        <v>66</v>
      </c>
      <c r="B72" s="8">
        <f>A72*Summary!$B$14</f>
        <v>550</v>
      </c>
      <c r="C72" s="8">
        <f>'Native PMKS'!B72*1000</f>
        <v>550.00000000000045</v>
      </c>
      <c r="D72" s="8">
        <f t="shared" si="1"/>
        <v>0</v>
      </c>
      <c r="E72" s="1"/>
      <c r="F72" s="1">
        <v>66</v>
      </c>
      <c r="G72" s="8">
        <f>F72*Summary!$B$17</f>
        <v>551.53203342618383</v>
      </c>
      <c r="H72" s="1"/>
    </row>
    <row r="73" spans="1:8" ht="18.95" customHeight="1">
      <c r="A73" s="1">
        <v>67</v>
      </c>
      <c r="B73" s="8">
        <f>A73*Summary!$B$14</f>
        <v>558.33333333333337</v>
      </c>
      <c r="C73" s="8">
        <f>'Native PMKS'!B73*1000</f>
        <v>558.33333333333383</v>
      </c>
      <c r="D73" s="8">
        <f t="shared" si="1"/>
        <v>0</v>
      </c>
      <c r="E73" s="1"/>
      <c r="F73" s="1">
        <v>67</v>
      </c>
      <c r="G73" s="8">
        <f>F73*Summary!$B$17</f>
        <v>559.88857938718661</v>
      </c>
      <c r="H73" s="1"/>
    </row>
    <row r="74" spans="1:8" ht="18.95" customHeight="1">
      <c r="A74" s="1">
        <v>68</v>
      </c>
      <c r="B74" s="8">
        <f>A74*Summary!$B$14</f>
        <v>566.66666666666674</v>
      </c>
      <c r="C74" s="8">
        <f>'Native PMKS'!B74*1000</f>
        <v>566.66666666666708</v>
      </c>
      <c r="D74" s="8">
        <f t="shared" si="1"/>
        <v>0</v>
      </c>
      <c r="E74" s="1"/>
      <c r="F74" s="1">
        <v>68</v>
      </c>
      <c r="G74" s="8">
        <f>F74*Summary!$B$17</f>
        <v>568.24512534818939</v>
      </c>
      <c r="H74" s="1"/>
    </row>
    <row r="75" spans="1:8" ht="18.95" customHeight="1">
      <c r="A75" s="1">
        <v>69</v>
      </c>
      <c r="B75" s="8">
        <f>A75*Summary!$B$14</f>
        <v>575</v>
      </c>
      <c r="C75" s="8">
        <f>'Native PMKS'!B75*1000</f>
        <v>575.00000000000045</v>
      </c>
      <c r="D75" s="8">
        <f t="shared" si="1"/>
        <v>0</v>
      </c>
      <c r="E75" s="1"/>
      <c r="F75" s="1">
        <v>69</v>
      </c>
      <c r="G75" s="8">
        <f>F75*Summary!$B$17</f>
        <v>576.60167130919217</v>
      </c>
      <c r="H75" s="1"/>
    </row>
    <row r="76" spans="1:8" ht="18.95" customHeight="1">
      <c r="A76" s="1">
        <v>70</v>
      </c>
      <c r="B76" s="8">
        <f>A76*Summary!$B$14</f>
        <v>583.33333333333337</v>
      </c>
      <c r="C76" s="8">
        <f>'Native PMKS'!B76*1000</f>
        <v>583.33333333333371</v>
      </c>
      <c r="D76" s="8">
        <f t="shared" si="1"/>
        <v>0</v>
      </c>
      <c r="E76" s="1"/>
      <c r="F76" s="1">
        <v>70</v>
      </c>
      <c r="G76" s="8">
        <f>F76*Summary!$B$17</f>
        <v>584.95821727019495</v>
      </c>
      <c r="H76" s="1"/>
    </row>
    <row r="77" spans="1:8" ht="18.95" customHeight="1">
      <c r="A77" s="1">
        <v>71</v>
      </c>
      <c r="B77" s="8">
        <f>A77*Summary!$B$14</f>
        <v>591.66666666666674</v>
      </c>
      <c r="C77" s="8">
        <f>'Native PMKS'!B77*1000</f>
        <v>591.66666666666697</v>
      </c>
      <c r="D77" s="8">
        <f t="shared" si="1"/>
        <v>0</v>
      </c>
      <c r="E77" s="1"/>
      <c r="F77" s="1">
        <v>71</v>
      </c>
      <c r="G77" s="8">
        <f>F77*Summary!$B$17</f>
        <v>593.31476323119773</v>
      </c>
      <c r="H77" s="1"/>
    </row>
    <row r="78" spans="1:8" ht="18.95" customHeight="1">
      <c r="A78" s="1">
        <v>72</v>
      </c>
      <c r="B78" s="8">
        <f>A78*Summary!$B$14</f>
        <v>600</v>
      </c>
      <c r="C78" s="8">
        <f>'Native PMKS'!B78*1000</f>
        <v>600.00000000000034</v>
      </c>
      <c r="D78" s="8">
        <f t="shared" si="1"/>
        <v>0</v>
      </c>
      <c r="E78" s="1"/>
      <c r="F78" s="1">
        <v>72</v>
      </c>
      <c r="G78" s="8">
        <f>F78*Summary!$B$17</f>
        <v>601.67130919220051</v>
      </c>
      <c r="H78" s="1"/>
    </row>
    <row r="79" spans="1:8" ht="18.95" customHeight="1">
      <c r="A79" s="1">
        <v>73</v>
      </c>
      <c r="B79" s="8">
        <f>A79*Summary!$B$14</f>
        <v>608.33333333333337</v>
      </c>
      <c r="C79" s="8">
        <f>'Native PMKS'!B79*1000</f>
        <v>608.3333333333336</v>
      </c>
      <c r="D79" s="8">
        <f t="shared" si="1"/>
        <v>0</v>
      </c>
      <c r="E79" s="1"/>
      <c r="F79" s="1">
        <v>73</v>
      </c>
      <c r="G79" s="8">
        <f>F79*Summary!$B$17</f>
        <v>610.02785515320329</v>
      </c>
      <c r="H79" s="1"/>
    </row>
    <row r="80" spans="1:8" ht="18.95" customHeight="1">
      <c r="A80" s="1">
        <v>74</v>
      </c>
      <c r="B80" s="8">
        <f>A80*Summary!$B$14</f>
        <v>616.66666666666674</v>
      </c>
      <c r="C80" s="8">
        <f>'Native PMKS'!B80*1000</f>
        <v>616.66666666666697</v>
      </c>
      <c r="D80" s="8">
        <f t="shared" si="1"/>
        <v>0</v>
      </c>
      <c r="E80" s="1"/>
      <c r="F80" s="1">
        <v>74</v>
      </c>
      <c r="G80" s="8">
        <f>F80*Summary!$B$17</f>
        <v>618.38440111420607</v>
      </c>
      <c r="H80" s="1"/>
    </row>
    <row r="81" spans="1:8" ht="18.95" customHeight="1">
      <c r="A81" s="1">
        <v>75</v>
      </c>
      <c r="B81" s="8">
        <f>A81*Summary!$B$14</f>
        <v>625</v>
      </c>
      <c r="C81" s="8">
        <f>'Native PMKS'!B81*1000</f>
        <v>625.00000000000023</v>
      </c>
      <c r="D81" s="8">
        <f t="shared" si="1"/>
        <v>0</v>
      </c>
      <c r="E81" s="1"/>
      <c r="F81" s="1">
        <v>75</v>
      </c>
      <c r="G81" s="8">
        <f>F81*Summary!$B$17</f>
        <v>626.74094707520896</v>
      </c>
      <c r="H81" s="1"/>
    </row>
    <row r="82" spans="1:8" ht="18.95" customHeight="1">
      <c r="A82" s="1">
        <v>76</v>
      </c>
      <c r="B82" s="8">
        <f>A82*Summary!$B$14</f>
        <v>633.33333333333337</v>
      </c>
      <c r="C82" s="8">
        <f>'Native PMKS'!B82*1000</f>
        <v>633.33333333333348</v>
      </c>
      <c r="D82" s="8">
        <f t="shared" si="1"/>
        <v>0</v>
      </c>
      <c r="E82" s="1"/>
      <c r="F82" s="1">
        <v>76</v>
      </c>
      <c r="G82" s="8">
        <f>F82*Summary!$B$17</f>
        <v>635.09749303621174</v>
      </c>
      <c r="H82" s="1"/>
    </row>
    <row r="83" spans="1:8" ht="18.95" customHeight="1">
      <c r="A83" s="1">
        <v>77</v>
      </c>
      <c r="B83" s="8">
        <f>A83*Summary!$B$14</f>
        <v>641.66666666666674</v>
      </c>
      <c r="C83" s="8">
        <f>'Native PMKS'!B83*1000</f>
        <v>641.66666666666686</v>
      </c>
      <c r="D83" s="8">
        <f t="shared" si="1"/>
        <v>0</v>
      </c>
      <c r="E83" s="1"/>
      <c r="F83" s="1">
        <v>77</v>
      </c>
      <c r="G83" s="8">
        <f>F83*Summary!$B$17</f>
        <v>643.45403899721452</v>
      </c>
      <c r="H83" s="1"/>
    </row>
    <row r="84" spans="1:8" ht="18.95" customHeight="1">
      <c r="A84" s="1">
        <v>78</v>
      </c>
      <c r="B84" s="8">
        <f>A84*Summary!$B$14</f>
        <v>650</v>
      </c>
      <c r="C84" s="8">
        <f>'Native PMKS'!B84*1000</f>
        <v>650.00000000000011</v>
      </c>
      <c r="D84" s="8">
        <f t="shared" si="1"/>
        <v>0</v>
      </c>
      <c r="E84" s="1"/>
      <c r="F84" s="1">
        <v>78</v>
      </c>
      <c r="G84" s="8">
        <f>F84*Summary!$B$17</f>
        <v>651.81058495821731</v>
      </c>
      <c r="H84" s="1"/>
    </row>
    <row r="85" spans="1:8" ht="18.95" customHeight="1">
      <c r="A85" s="1">
        <v>79</v>
      </c>
      <c r="B85" s="8">
        <f>A85*Summary!$B$14</f>
        <v>658.33333333333337</v>
      </c>
      <c r="C85" s="8">
        <f>'Native PMKS'!B85*1000</f>
        <v>658.33333333333348</v>
      </c>
      <c r="D85" s="8">
        <f t="shared" si="1"/>
        <v>0</v>
      </c>
      <c r="E85" s="1"/>
      <c r="F85" s="1">
        <v>79</v>
      </c>
      <c r="G85" s="8">
        <f>F85*Summary!$B$17</f>
        <v>660.16713091922009</v>
      </c>
      <c r="H85" s="1"/>
    </row>
    <row r="86" spans="1:8" ht="18.95" customHeight="1">
      <c r="A86" s="1">
        <v>80</v>
      </c>
      <c r="B86" s="8">
        <f>A86*Summary!$B$14</f>
        <v>666.66666666666674</v>
      </c>
      <c r="C86" s="8">
        <f>'Native PMKS'!B86*1000</f>
        <v>666.66666666666674</v>
      </c>
      <c r="D86" s="8">
        <f t="shared" si="1"/>
        <v>0</v>
      </c>
      <c r="E86" s="1"/>
      <c r="F86" s="1">
        <v>80</v>
      </c>
      <c r="G86" s="8">
        <f>F86*Summary!$B$17</f>
        <v>668.52367688022287</v>
      </c>
      <c r="H86" s="1"/>
    </row>
    <row r="87" spans="1:8" ht="18.95" customHeight="1">
      <c r="A87" s="1">
        <v>81</v>
      </c>
      <c r="B87" s="8">
        <f>A87*Summary!$B$14</f>
        <v>675</v>
      </c>
      <c r="C87" s="8">
        <f>'Native PMKS'!B87*1000</f>
        <v>675</v>
      </c>
      <c r="D87" s="8">
        <f t="shared" si="1"/>
        <v>0</v>
      </c>
      <c r="E87" s="1"/>
      <c r="F87" s="1">
        <v>81</v>
      </c>
      <c r="G87" s="8">
        <f>F87*Summary!$B$17</f>
        <v>676.88022284122565</v>
      </c>
      <c r="H87" s="1"/>
    </row>
    <row r="88" spans="1:8" ht="18.95" customHeight="1">
      <c r="A88" s="1">
        <v>82</v>
      </c>
      <c r="B88" s="8">
        <f>A88*Summary!$B$14</f>
        <v>683.33333333333337</v>
      </c>
      <c r="C88" s="8">
        <f>'Native PMKS'!B88*1000</f>
        <v>683.33333333333337</v>
      </c>
      <c r="D88" s="8">
        <f t="shared" si="1"/>
        <v>0</v>
      </c>
      <c r="E88" s="1"/>
      <c r="F88" s="1">
        <v>82</v>
      </c>
      <c r="G88" s="8">
        <f>F88*Summary!$B$17</f>
        <v>685.23676880222843</v>
      </c>
      <c r="H88" s="1"/>
    </row>
    <row r="89" spans="1:8" ht="18.95" customHeight="1">
      <c r="A89" s="1">
        <v>83</v>
      </c>
      <c r="B89" s="8">
        <f>A89*Summary!$B$14</f>
        <v>691.66666666666674</v>
      </c>
      <c r="C89" s="8">
        <f>'Native PMKS'!B89*1000</f>
        <v>691.66666666666663</v>
      </c>
      <c r="D89" s="8">
        <f t="shared" si="1"/>
        <v>0</v>
      </c>
      <c r="E89" s="1"/>
      <c r="F89" s="1">
        <v>83</v>
      </c>
      <c r="G89" s="8">
        <f>F89*Summary!$B$17</f>
        <v>693.59331476323121</v>
      </c>
      <c r="H89" s="1"/>
    </row>
    <row r="90" spans="1:8" ht="18.95" customHeight="1">
      <c r="A90" s="1">
        <v>84</v>
      </c>
      <c r="B90" s="8">
        <f>A90*Summary!$B$14</f>
        <v>700</v>
      </c>
      <c r="C90" s="8">
        <f>'Native PMKS'!B90*1000</f>
        <v>700</v>
      </c>
      <c r="D90" s="8">
        <f t="shared" si="1"/>
        <v>0</v>
      </c>
      <c r="E90" s="1"/>
      <c r="F90" s="1">
        <v>84</v>
      </c>
      <c r="G90" s="8">
        <f>F90*Summary!$B$17</f>
        <v>701.94986072423399</v>
      </c>
      <c r="H90" s="1"/>
    </row>
    <row r="91" spans="1:8" ht="18.95" customHeight="1">
      <c r="A91" s="1">
        <v>85</v>
      </c>
      <c r="B91" s="8">
        <f>A91*Summary!$B$14</f>
        <v>708.33333333333337</v>
      </c>
      <c r="C91" s="8">
        <f>'Native PMKS'!B91*1000</f>
        <v>708.33333333333326</v>
      </c>
      <c r="D91" s="8">
        <f t="shared" si="1"/>
        <v>0</v>
      </c>
      <c r="E91" s="1"/>
      <c r="F91" s="1">
        <v>85</v>
      </c>
      <c r="G91" s="8">
        <f>F91*Summary!$B$17</f>
        <v>710.30640668523677</v>
      </c>
      <c r="H91" s="1"/>
    </row>
    <row r="92" spans="1:8" ht="18.95" customHeight="1">
      <c r="A92" s="1">
        <v>86</v>
      </c>
      <c r="B92" s="8">
        <f>A92*Summary!$B$14</f>
        <v>716.66666666666674</v>
      </c>
      <c r="C92" s="8">
        <f>'Native PMKS'!B92*1000</f>
        <v>716.66666666666652</v>
      </c>
      <c r="D92" s="8">
        <f t="shared" si="1"/>
        <v>0</v>
      </c>
      <c r="E92" s="1"/>
      <c r="F92" s="1">
        <v>86</v>
      </c>
      <c r="G92" s="8">
        <f>F92*Summary!$B$17</f>
        <v>718.66295264623955</v>
      </c>
      <c r="H92" s="1"/>
    </row>
    <row r="93" spans="1:8" ht="18.95" customHeight="1">
      <c r="A93" s="1">
        <v>87</v>
      </c>
      <c r="B93" s="8">
        <f>A93*Summary!$B$14</f>
        <v>725</v>
      </c>
      <c r="C93" s="8">
        <f>'Native PMKS'!B93*1000</f>
        <v>724.99999999999989</v>
      </c>
      <c r="D93" s="8">
        <f t="shared" si="1"/>
        <v>0</v>
      </c>
      <c r="E93" s="1"/>
      <c r="F93" s="1">
        <v>87</v>
      </c>
      <c r="G93" s="8">
        <f>F93*Summary!$B$17</f>
        <v>727.01949860724233</v>
      </c>
      <c r="H93" s="1"/>
    </row>
    <row r="94" spans="1:8" ht="18.95" customHeight="1">
      <c r="A94" s="1">
        <v>88</v>
      </c>
      <c r="B94" s="8">
        <f>A94*Summary!$B$14</f>
        <v>733.33333333333337</v>
      </c>
      <c r="C94" s="8">
        <f>'Native PMKS'!B94*1000</f>
        <v>733.33333333333314</v>
      </c>
      <c r="D94" s="8">
        <f t="shared" si="1"/>
        <v>0</v>
      </c>
      <c r="E94" s="1"/>
      <c r="F94" s="1">
        <v>88</v>
      </c>
      <c r="G94" s="8">
        <f>F94*Summary!$B$17</f>
        <v>735.37604456824511</v>
      </c>
      <c r="H94" s="1"/>
    </row>
    <row r="95" spans="1:8" ht="18.95" customHeight="1">
      <c r="A95" s="1">
        <v>89</v>
      </c>
      <c r="B95" s="8">
        <f>A95*Summary!$B$14</f>
        <v>741.66666666666674</v>
      </c>
      <c r="C95" s="8">
        <f>'Native PMKS'!B95*1000</f>
        <v>741.66666666666652</v>
      </c>
      <c r="D95" s="8">
        <f t="shared" si="1"/>
        <v>0</v>
      </c>
      <c r="E95" s="1"/>
      <c r="F95" s="1">
        <v>89</v>
      </c>
      <c r="G95" s="8">
        <f>F95*Summary!$B$17</f>
        <v>743.73259052924789</v>
      </c>
      <c r="H95" s="1"/>
    </row>
    <row r="96" spans="1:8" ht="18.95" customHeight="1">
      <c r="A96" s="1">
        <v>90</v>
      </c>
      <c r="B96" s="8">
        <f>A96*Summary!$B$14</f>
        <v>750</v>
      </c>
      <c r="C96" s="8">
        <f>'Native PMKS'!B96*1000</f>
        <v>749.99999999999977</v>
      </c>
      <c r="D96" s="8">
        <f t="shared" si="1"/>
        <v>0</v>
      </c>
      <c r="E96" s="1"/>
      <c r="F96" s="1">
        <v>90</v>
      </c>
      <c r="G96" s="8">
        <f>F96*Summary!$B$17</f>
        <v>752.08913649025067</v>
      </c>
      <c r="H96" s="1"/>
    </row>
    <row r="97" spans="1:8" ht="18.95" customHeight="1">
      <c r="A97" s="1">
        <v>91</v>
      </c>
      <c r="B97" s="8">
        <f>A97*Summary!$B$14</f>
        <v>758.33333333333337</v>
      </c>
      <c r="C97" s="8">
        <f>'Native PMKS'!B97*1000</f>
        <v>758.33333333333303</v>
      </c>
      <c r="D97" s="8">
        <f t="shared" si="1"/>
        <v>0</v>
      </c>
      <c r="E97" s="1"/>
      <c r="F97" s="1">
        <v>91</v>
      </c>
      <c r="G97" s="8">
        <f>F97*Summary!$B$17</f>
        <v>760.44568245125345</v>
      </c>
      <c r="H97" s="1"/>
    </row>
    <row r="98" spans="1:8" ht="18.95" customHeight="1">
      <c r="A98" s="1">
        <v>92</v>
      </c>
      <c r="B98" s="8">
        <f>A98*Summary!$B$14</f>
        <v>766.66666666666674</v>
      </c>
      <c r="C98" s="8">
        <f>'Native PMKS'!B98*1000</f>
        <v>766.6666666666664</v>
      </c>
      <c r="D98" s="8">
        <f t="shared" si="1"/>
        <v>0</v>
      </c>
      <c r="E98" s="1"/>
      <c r="F98" s="1">
        <v>92</v>
      </c>
      <c r="G98" s="8">
        <f>F98*Summary!$B$17</f>
        <v>768.80222841225623</v>
      </c>
      <c r="H98" s="1"/>
    </row>
    <row r="99" spans="1:8" ht="18.95" customHeight="1">
      <c r="A99" s="1">
        <v>93</v>
      </c>
      <c r="B99" s="8">
        <f>A99*Summary!$B$14</f>
        <v>775</v>
      </c>
      <c r="C99" s="8">
        <f>'Native PMKS'!B99*1000</f>
        <v>774.99999999999966</v>
      </c>
      <c r="D99" s="8">
        <f t="shared" si="1"/>
        <v>0</v>
      </c>
      <c r="E99" s="1"/>
      <c r="F99" s="1">
        <v>93</v>
      </c>
      <c r="G99" s="8">
        <f>F99*Summary!$B$17</f>
        <v>777.15877437325901</v>
      </c>
      <c r="H99" s="1"/>
    </row>
    <row r="100" spans="1:8" ht="18.95" customHeight="1">
      <c r="A100" s="1">
        <v>94</v>
      </c>
      <c r="B100" s="8">
        <f>A100*Summary!$B$14</f>
        <v>783.33333333333337</v>
      </c>
      <c r="C100" s="8">
        <f>'Native PMKS'!B100*1000</f>
        <v>783.33333333333303</v>
      </c>
      <c r="D100" s="8">
        <f t="shared" si="1"/>
        <v>0</v>
      </c>
      <c r="E100" s="1"/>
      <c r="F100" s="1">
        <v>94</v>
      </c>
      <c r="G100" s="8">
        <f>F100*Summary!$B$17</f>
        <v>785.51532033426179</v>
      </c>
      <c r="H100" s="1"/>
    </row>
    <row r="101" spans="1:8" ht="18.95" customHeight="1">
      <c r="A101" s="1">
        <v>95</v>
      </c>
      <c r="B101" s="8">
        <f>A101*Summary!$B$14</f>
        <v>791.66666666666674</v>
      </c>
      <c r="C101" s="8">
        <f>'Native PMKS'!B101*1000</f>
        <v>791.66666666666629</v>
      </c>
      <c r="D101" s="8">
        <f t="shared" si="1"/>
        <v>0</v>
      </c>
      <c r="E101" s="1"/>
      <c r="F101" s="1">
        <v>95</v>
      </c>
      <c r="G101" s="8">
        <f>F101*Summary!$B$17</f>
        <v>793.87186629526457</v>
      </c>
      <c r="H101" s="1"/>
    </row>
    <row r="102" spans="1:8" ht="18.95" customHeight="1">
      <c r="A102" s="1">
        <v>96</v>
      </c>
      <c r="B102" s="8">
        <f>A102*Summary!$B$14</f>
        <v>800</v>
      </c>
      <c r="C102" s="8">
        <f>'Native PMKS'!B102*1000</f>
        <v>799.99999999999955</v>
      </c>
      <c r="D102" s="8">
        <f t="shared" si="1"/>
        <v>0</v>
      </c>
      <c r="E102" s="1"/>
      <c r="F102" s="1">
        <v>96</v>
      </c>
      <c r="G102" s="8">
        <f>F102*Summary!$B$17</f>
        <v>802.22841225626735</v>
      </c>
      <c r="H102" s="1"/>
    </row>
    <row r="103" spans="1:8" ht="18.95" customHeight="1">
      <c r="A103" s="1">
        <v>97</v>
      </c>
      <c r="B103" s="8">
        <f>A103*Summary!$B$14</f>
        <v>808.33333333333337</v>
      </c>
      <c r="C103" s="8">
        <f>'Native PMKS'!B103*1000</f>
        <v>808.33333333333292</v>
      </c>
      <c r="D103" s="8">
        <f t="shared" si="1"/>
        <v>0</v>
      </c>
      <c r="E103" s="1"/>
      <c r="F103" s="1">
        <v>97</v>
      </c>
      <c r="G103" s="8">
        <f>F103*Summary!$B$17</f>
        <v>810.58495821727024</v>
      </c>
      <c r="H103" s="1"/>
    </row>
    <row r="104" spans="1:8" ht="18.95" customHeight="1">
      <c r="A104" s="1">
        <v>98</v>
      </c>
      <c r="B104" s="8">
        <f>A104*Summary!$B$14</f>
        <v>816.66666666666674</v>
      </c>
      <c r="C104" s="8">
        <f>'Native PMKS'!B104*1000</f>
        <v>816.66666666666617</v>
      </c>
      <c r="D104" s="8">
        <f t="shared" si="1"/>
        <v>0</v>
      </c>
      <c r="E104" s="1"/>
      <c r="F104" s="1">
        <v>98</v>
      </c>
      <c r="G104" s="8">
        <f>F104*Summary!$B$17</f>
        <v>818.94150417827302</v>
      </c>
      <c r="H104" s="1"/>
    </row>
    <row r="105" spans="1:8" ht="18.95" customHeight="1">
      <c r="A105" s="1">
        <v>99</v>
      </c>
      <c r="B105" s="8">
        <f>A105*Summary!$B$14</f>
        <v>825.00000000000011</v>
      </c>
      <c r="C105" s="8">
        <f>'Native PMKS'!B105*1000</f>
        <v>824.99999999999955</v>
      </c>
      <c r="D105" s="8">
        <f t="shared" si="1"/>
        <v>0</v>
      </c>
      <c r="E105" s="1"/>
      <c r="F105" s="1">
        <v>99</v>
      </c>
      <c r="G105" s="8">
        <f>F105*Summary!$B$17</f>
        <v>827.2980501392758</v>
      </c>
      <c r="H105" s="1"/>
    </row>
    <row r="106" spans="1:8" ht="18.95" customHeight="1">
      <c r="A106" s="1">
        <v>100</v>
      </c>
      <c r="B106" s="8">
        <f>A106*Summary!$B$14</f>
        <v>833.33333333333337</v>
      </c>
      <c r="C106" s="8">
        <f>'Native PMKS'!B106*1000</f>
        <v>833.3333333333328</v>
      </c>
      <c r="D106" s="8">
        <f t="shared" si="1"/>
        <v>0</v>
      </c>
      <c r="E106" s="1"/>
      <c r="F106" s="1">
        <v>100</v>
      </c>
      <c r="G106" s="8">
        <f>F106*Summary!$B$17</f>
        <v>835.65459610027858</v>
      </c>
      <c r="H106" s="1"/>
    </row>
    <row r="107" spans="1:8" ht="18.95" customHeight="1">
      <c r="A107" s="1">
        <v>101</v>
      </c>
      <c r="B107" s="8">
        <f>A107*Summary!$B$14</f>
        <v>841.66666666666674</v>
      </c>
      <c r="C107" s="8">
        <f>'Native PMKS'!B107*1000</f>
        <v>841.66666666666617</v>
      </c>
      <c r="D107" s="8">
        <f t="shared" si="1"/>
        <v>0</v>
      </c>
      <c r="E107" s="1"/>
      <c r="F107" s="1">
        <v>101</v>
      </c>
      <c r="G107" s="8">
        <f>F107*Summary!$B$17</f>
        <v>844.01114206128136</v>
      </c>
      <c r="H107" s="1"/>
    </row>
    <row r="108" spans="1:8" ht="18.95" customHeight="1">
      <c r="A108" s="1">
        <v>102</v>
      </c>
      <c r="B108" s="8">
        <f>A108*Summary!$B$14</f>
        <v>850.00000000000011</v>
      </c>
      <c r="C108" s="8">
        <f>'Native PMKS'!B108*1000</f>
        <v>849.99999999999943</v>
      </c>
      <c r="D108" s="8">
        <f t="shared" si="1"/>
        <v>0</v>
      </c>
      <c r="E108" s="1"/>
      <c r="F108" s="1">
        <v>102</v>
      </c>
      <c r="G108" s="8">
        <f>F108*Summary!$B$17</f>
        <v>852.36768802228414</v>
      </c>
      <c r="H108" s="1"/>
    </row>
    <row r="109" spans="1:8" ht="18.95" customHeight="1">
      <c r="A109" s="1">
        <v>103</v>
      </c>
      <c r="B109" s="8">
        <f>A109*Summary!$B$14</f>
        <v>858.33333333333337</v>
      </c>
      <c r="C109" s="8">
        <f>'Native PMKS'!B109*1000</f>
        <v>858.33333333333269</v>
      </c>
      <c r="D109" s="8">
        <f t="shared" si="1"/>
        <v>0</v>
      </c>
      <c r="E109" s="1"/>
      <c r="F109" s="1">
        <v>103</v>
      </c>
      <c r="G109" s="8">
        <f>F109*Summary!$B$17</f>
        <v>860.72423398328692</v>
      </c>
      <c r="H109" s="1"/>
    </row>
    <row r="110" spans="1:8" ht="18.95" customHeight="1">
      <c r="A110" s="1">
        <v>104</v>
      </c>
      <c r="B110" s="8">
        <f>A110*Summary!$B$14</f>
        <v>866.66666666666674</v>
      </c>
      <c r="C110" s="8">
        <f>'Native PMKS'!B110*1000</f>
        <v>866.66666666666606</v>
      </c>
      <c r="D110" s="8">
        <f t="shared" si="1"/>
        <v>0</v>
      </c>
      <c r="E110" s="1"/>
      <c r="F110" s="1">
        <v>104</v>
      </c>
      <c r="G110" s="8">
        <f>F110*Summary!$B$17</f>
        <v>869.0807799442897</v>
      </c>
      <c r="H110" s="1"/>
    </row>
    <row r="111" spans="1:8" ht="18.95" customHeight="1">
      <c r="A111" s="1">
        <v>105</v>
      </c>
      <c r="B111" s="8">
        <f>A111*Summary!$B$14</f>
        <v>875.00000000000011</v>
      </c>
      <c r="C111" s="8">
        <f>'Native PMKS'!B111*1000</f>
        <v>874.99999999999932</v>
      </c>
      <c r="D111" s="8">
        <f t="shared" si="1"/>
        <v>0</v>
      </c>
      <c r="E111" s="1"/>
      <c r="F111" s="1">
        <v>105</v>
      </c>
      <c r="G111" s="8">
        <f>F111*Summary!$B$17</f>
        <v>877.43732590529248</v>
      </c>
      <c r="H111" s="1"/>
    </row>
    <row r="112" spans="1:8" ht="18.95" customHeight="1">
      <c r="A112" s="1">
        <v>106</v>
      </c>
      <c r="B112" s="8">
        <f>A112*Summary!$B$14</f>
        <v>883.33333333333337</v>
      </c>
      <c r="C112" s="8">
        <f>'Native PMKS'!B112*1000</f>
        <v>883.33333333333269</v>
      </c>
      <c r="D112" s="8">
        <f t="shared" si="1"/>
        <v>0</v>
      </c>
      <c r="E112" s="1"/>
      <c r="F112" s="1">
        <v>106</v>
      </c>
      <c r="G112" s="8">
        <f>F112*Summary!$B$17</f>
        <v>885.79387186629526</v>
      </c>
      <c r="H112" s="1"/>
    </row>
    <row r="113" spans="1:8" ht="18.95" customHeight="1">
      <c r="A113" s="1">
        <v>107</v>
      </c>
      <c r="B113" s="8">
        <f>A113*Summary!$B$14</f>
        <v>891.66666666666674</v>
      </c>
      <c r="C113" s="8">
        <f>'Native PMKS'!B113*1000</f>
        <v>891.66666666666595</v>
      </c>
      <c r="D113" s="8">
        <f t="shared" si="1"/>
        <v>0</v>
      </c>
      <c r="E113" s="1"/>
      <c r="F113" s="1">
        <v>107</v>
      </c>
      <c r="G113" s="8">
        <f>F113*Summary!$B$17</f>
        <v>894.15041782729804</v>
      </c>
      <c r="H113" s="1"/>
    </row>
    <row r="114" spans="1:8" ht="18.95" customHeight="1">
      <c r="A114" s="1">
        <v>108</v>
      </c>
      <c r="B114" s="8">
        <f>A114*Summary!$B$14</f>
        <v>900.00000000000011</v>
      </c>
      <c r="C114" s="8">
        <f>'Native PMKS'!B114*1000</f>
        <v>899.9999999999992</v>
      </c>
      <c r="D114" s="8">
        <f t="shared" si="1"/>
        <v>9.0949470177292824E-13</v>
      </c>
      <c r="E114" s="1"/>
      <c r="F114" s="1">
        <v>108</v>
      </c>
      <c r="G114" s="8">
        <f>F114*Summary!$B$17</f>
        <v>902.50696378830082</v>
      </c>
      <c r="H114" s="1"/>
    </row>
    <row r="115" spans="1:8" ht="18.95" customHeight="1">
      <c r="A115" s="1">
        <v>109</v>
      </c>
      <c r="B115" s="8">
        <f>A115*Summary!$B$14</f>
        <v>908.33333333333337</v>
      </c>
      <c r="C115" s="8">
        <f>'Native PMKS'!B115*1000</f>
        <v>908.33333333333258</v>
      </c>
      <c r="D115" s="8">
        <f t="shared" si="1"/>
        <v>0</v>
      </c>
      <c r="E115" s="1"/>
      <c r="F115" s="1">
        <v>109</v>
      </c>
      <c r="G115" s="8">
        <f>F115*Summary!$B$17</f>
        <v>910.8635097493036</v>
      </c>
      <c r="H115" s="1"/>
    </row>
    <row r="116" spans="1:8" ht="18.95" customHeight="1">
      <c r="A116" s="1">
        <v>110</v>
      </c>
      <c r="B116" s="8">
        <f>A116*Summary!$B$14</f>
        <v>916.66666666666674</v>
      </c>
      <c r="C116" s="8">
        <f>'Native PMKS'!B116*1000</f>
        <v>916.66666666666583</v>
      </c>
      <c r="D116" s="8">
        <f t="shared" si="1"/>
        <v>9.0949470177292824E-13</v>
      </c>
      <c r="E116" s="1"/>
      <c r="F116" s="1">
        <v>110</v>
      </c>
      <c r="G116" s="8">
        <f>F116*Summary!$B$17</f>
        <v>919.22005571030638</v>
      </c>
      <c r="H116" s="1"/>
    </row>
    <row r="117" spans="1:8" ht="18.95" customHeight="1">
      <c r="A117" s="1">
        <v>111</v>
      </c>
      <c r="B117" s="8">
        <f>A117*Summary!$B$14</f>
        <v>925.00000000000011</v>
      </c>
      <c r="C117" s="8">
        <f>'Native PMKS'!B117*1000</f>
        <v>924.9999999999992</v>
      </c>
      <c r="D117" s="8">
        <f t="shared" si="1"/>
        <v>9.0949470177292824E-13</v>
      </c>
      <c r="E117" s="1"/>
      <c r="F117" s="1">
        <v>111</v>
      </c>
      <c r="G117" s="8">
        <f>F117*Summary!$B$17</f>
        <v>927.57660167130916</v>
      </c>
      <c r="H117" s="1"/>
    </row>
    <row r="118" spans="1:8" ht="18.95" customHeight="1">
      <c r="A118" s="1">
        <v>112</v>
      </c>
      <c r="B118" s="8">
        <f>A118*Summary!$B$14</f>
        <v>933.33333333333337</v>
      </c>
      <c r="C118" s="8">
        <f>'Native PMKS'!B118*1000</f>
        <v>933.33333333333246</v>
      </c>
      <c r="D118" s="8">
        <f t="shared" si="1"/>
        <v>9.0949470177292824E-13</v>
      </c>
      <c r="E118" s="1"/>
      <c r="F118" s="1">
        <v>112</v>
      </c>
      <c r="G118" s="8">
        <f>F118*Summary!$B$17</f>
        <v>935.93314763231194</v>
      </c>
      <c r="H118" s="1"/>
    </row>
    <row r="119" spans="1:8" ht="18.95" customHeight="1">
      <c r="A119" s="1">
        <v>113</v>
      </c>
      <c r="B119" s="8">
        <f>A119*Summary!$B$14</f>
        <v>941.66666666666674</v>
      </c>
      <c r="C119" s="8">
        <f>'Native PMKS'!B119*1000</f>
        <v>941.66666666666572</v>
      </c>
      <c r="D119" s="8">
        <f t="shared" si="1"/>
        <v>1.0231815394945443E-12</v>
      </c>
      <c r="E119" s="1"/>
      <c r="F119" s="1">
        <v>113</v>
      </c>
      <c r="G119" s="8">
        <f>F119*Summary!$B$17</f>
        <v>944.28969359331472</v>
      </c>
      <c r="H119" s="1"/>
    </row>
    <row r="120" spans="1:8" ht="18.95" customHeight="1">
      <c r="A120" s="1">
        <v>114</v>
      </c>
      <c r="B120" s="8">
        <f>A120*Summary!$B$14</f>
        <v>950.00000000000011</v>
      </c>
      <c r="C120" s="8">
        <f>'Native PMKS'!B120*1000</f>
        <v>949.99999999999909</v>
      </c>
      <c r="D120" s="8">
        <f t="shared" si="1"/>
        <v>1.0231815394945443E-12</v>
      </c>
      <c r="E120" s="1"/>
      <c r="F120" s="1">
        <v>114</v>
      </c>
      <c r="G120" s="8">
        <f>F120*Summary!$B$17</f>
        <v>952.6462395543175</v>
      </c>
      <c r="H120" s="1"/>
    </row>
    <row r="121" spans="1:8" ht="18.95" customHeight="1">
      <c r="A121" s="1">
        <v>115</v>
      </c>
      <c r="B121" s="8">
        <f>A121*Summary!$B$14</f>
        <v>958.33333333333337</v>
      </c>
      <c r="C121" s="8">
        <f>'Native PMKS'!B121*1000</f>
        <v>958.33333333333235</v>
      </c>
      <c r="D121" s="8">
        <f t="shared" si="1"/>
        <v>1.0231815394945443E-12</v>
      </c>
      <c r="E121" s="1"/>
      <c r="F121" s="1">
        <v>115</v>
      </c>
      <c r="G121" s="8">
        <f>F121*Summary!$B$17</f>
        <v>961.00278551532028</v>
      </c>
      <c r="H121" s="1"/>
    </row>
    <row r="122" spans="1:8" ht="18.95" customHeight="1">
      <c r="A122" s="1">
        <v>116</v>
      </c>
      <c r="B122" s="8">
        <f>A122*Summary!$B$14</f>
        <v>966.66666666666674</v>
      </c>
      <c r="C122" s="8">
        <f>'Native PMKS'!B122*1000</f>
        <v>966.66666666666572</v>
      </c>
      <c r="D122" s="8">
        <f t="shared" si="1"/>
        <v>1.0231815394945443E-12</v>
      </c>
      <c r="E122" s="1"/>
      <c r="F122" s="1">
        <v>116</v>
      </c>
      <c r="G122" s="8">
        <f>F122*Summary!$B$17</f>
        <v>969.35933147632306</v>
      </c>
      <c r="H122" s="1"/>
    </row>
    <row r="123" spans="1:8" ht="18.95" customHeight="1">
      <c r="A123" s="1">
        <v>117</v>
      </c>
      <c r="B123" s="8">
        <f>A123*Summary!$B$14</f>
        <v>975.00000000000011</v>
      </c>
      <c r="C123" s="8">
        <f>'Native PMKS'!B123*1000</f>
        <v>974.99999999999898</v>
      </c>
      <c r="D123" s="8">
        <f t="shared" si="1"/>
        <v>1.1368683772161603E-12</v>
      </c>
      <c r="E123" s="1"/>
      <c r="F123" s="1">
        <v>117</v>
      </c>
      <c r="G123" s="8">
        <f>F123*Summary!$B$17</f>
        <v>977.71587743732584</v>
      </c>
      <c r="H123" s="1"/>
    </row>
    <row r="124" spans="1:8" ht="18.95" customHeight="1">
      <c r="A124" s="1">
        <v>118</v>
      </c>
      <c r="B124" s="8">
        <f>A124*Summary!$B$14</f>
        <v>983.33333333333337</v>
      </c>
      <c r="C124" s="8">
        <f>'Native PMKS'!B124*1000</f>
        <v>983.33333333333223</v>
      </c>
      <c r="D124" s="8">
        <f t="shared" si="1"/>
        <v>1.1368683772161603E-12</v>
      </c>
      <c r="E124" s="1"/>
      <c r="F124" s="1">
        <v>118</v>
      </c>
      <c r="G124" s="8">
        <f>F124*Summary!$B$17</f>
        <v>986.07242339832874</v>
      </c>
      <c r="H124" s="1"/>
    </row>
    <row r="125" spans="1:8" ht="18.95" customHeight="1">
      <c r="A125" s="1">
        <v>119</v>
      </c>
      <c r="B125" s="8">
        <f>A125*Summary!$B$14</f>
        <v>991.66666666666674</v>
      </c>
      <c r="C125" s="8">
        <f>'Native PMKS'!B125*1000</f>
        <v>991.66666666666561</v>
      </c>
      <c r="D125" s="8">
        <f t="shared" si="1"/>
        <v>1.1368683772161603E-12</v>
      </c>
      <c r="E125" s="1"/>
      <c r="F125" s="1">
        <v>119</v>
      </c>
      <c r="G125" s="8">
        <f>F125*Summary!$B$17</f>
        <v>994.42896935933152</v>
      </c>
      <c r="H125" s="1"/>
    </row>
    <row r="126" spans="1:8" ht="18.95" customHeight="1">
      <c r="A126" s="1">
        <v>120</v>
      </c>
      <c r="B126" s="8">
        <f>A126*Summary!$B$14</f>
        <v>1000.0000000000001</v>
      </c>
      <c r="C126" s="8">
        <f>'Native PMKS'!B126*1000</f>
        <v>999.99999999999886</v>
      </c>
      <c r="D126" s="8">
        <f t="shared" si="1"/>
        <v>1.2505552149377763E-12</v>
      </c>
      <c r="E126" s="1"/>
      <c r="F126" s="1">
        <v>120</v>
      </c>
      <c r="G126" s="8">
        <f>F126*Summary!$B$17</f>
        <v>1002.7855153203343</v>
      </c>
      <c r="H126" s="1"/>
    </row>
    <row r="127" spans="1:8" ht="18.95" customHeight="1">
      <c r="A127" s="1">
        <v>121</v>
      </c>
      <c r="B127" s="8">
        <f>A127*Summary!$B$14</f>
        <v>1008.3333333333334</v>
      </c>
      <c r="C127" s="8">
        <f>'Native PMKS'!B127*1000</f>
        <v>1008.3333333333322</v>
      </c>
      <c r="D127" s="8">
        <f t="shared" si="1"/>
        <v>1.1368683772161603E-12</v>
      </c>
      <c r="E127" s="1"/>
      <c r="F127" s="1">
        <v>121</v>
      </c>
      <c r="G127" s="8">
        <f>F127*Summary!$B$17</f>
        <v>1011.1420612813371</v>
      </c>
      <c r="H127" s="1"/>
    </row>
    <row r="128" spans="1:8" ht="18.95" customHeight="1">
      <c r="A128" s="1">
        <v>122</v>
      </c>
      <c r="B128" s="8">
        <f>A128*Summary!$B$14</f>
        <v>1016.6666666666667</v>
      </c>
      <c r="C128" s="8">
        <f>'Native PMKS'!B128*1000</f>
        <v>1016.6666666666655</v>
      </c>
      <c r="D128" s="8">
        <f t="shared" si="1"/>
        <v>1.2505552149377763E-12</v>
      </c>
      <c r="E128" s="1"/>
      <c r="F128" s="1">
        <v>122</v>
      </c>
      <c r="G128" s="8">
        <f>F128*Summary!$B$17</f>
        <v>1019.4986072423399</v>
      </c>
      <c r="H128" s="1"/>
    </row>
    <row r="129" spans="1:8" ht="18.95" customHeight="1">
      <c r="A129" s="1">
        <v>123</v>
      </c>
      <c r="B129" s="8">
        <f>A129*Summary!$B$14</f>
        <v>1025</v>
      </c>
      <c r="C129" s="8">
        <f>'Native PMKS'!B129*1000</f>
        <v>1024.9999999999989</v>
      </c>
      <c r="D129" s="8">
        <f t="shared" si="1"/>
        <v>0</v>
      </c>
      <c r="E129" s="1"/>
      <c r="F129" s="1">
        <v>123</v>
      </c>
      <c r="G129" s="8">
        <f>F129*Summary!$B$17</f>
        <v>1027.8551532033425</v>
      </c>
      <c r="H129" s="1"/>
    </row>
    <row r="130" spans="1:8" ht="18.95" customHeight="1">
      <c r="A130" s="1">
        <v>124</v>
      </c>
      <c r="B130" s="8">
        <f>A130*Summary!$B$14</f>
        <v>1033.3333333333335</v>
      </c>
      <c r="C130" s="8">
        <f>'Native PMKS'!B130*1000</f>
        <v>1033.3333333333321</v>
      </c>
      <c r="D130" s="8">
        <f t="shared" si="1"/>
        <v>0</v>
      </c>
      <c r="E130" s="1"/>
      <c r="F130" s="1">
        <v>124</v>
      </c>
      <c r="G130" s="8">
        <f>F130*Summary!$B$17</f>
        <v>1036.2116991643454</v>
      </c>
      <c r="H130" s="1"/>
    </row>
    <row r="131" spans="1:8" ht="18.95" customHeight="1">
      <c r="A131" s="1">
        <v>125</v>
      </c>
      <c r="B131" s="8">
        <f>A131*Summary!$B$14</f>
        <v>1041.6666666666667</v>
      </c>
      <c r="C131" s="8">
        <f>'Native PMKS'!B131*1000</f>
        <v>1041.6666666666654</v>
      </c>
      <c r="D131" s="8">
        <f t="shared" si="1"/>
        <v>0</v>
      </c>
      <c r="E131" s="1"/>
      <c r="F131" s="1">
        <v>125</v>
      </c>
      <c r="G131" s="8">
        <f>F131*Summary!$B$17</f>
        <v>1044.5682451253481</v>
      </c>
      <c r="H131" s="1"/>
    </row>
    <row r="132" spans="1:8" ht="18.95" customHeight="1">
      <c r="A132" s="1">
        <v>126</v>
      </c>
      <c r="B132" s="8">
        <f>A132*Summary!$B$14</f>
        <v>1050</v>
      </c>
      <c r="C132" s="8">
        <f>'Native PMKS'!B132*1000</f>
        <v>1049.9999999999986</v>
      </c>
      <c r="D132" s="8">
        <f t="shared" si="1"/>
        <v>0</v>
      </c>
      <c r="E132" s="1"/>
      <c r="F132" s="1">
        <v>126</v>
      </c>
      <c r="G132" s="8">
        <f>F132*Summary!$B$17</f>
        <v>1052.924791086351</v>
      </c>
      <c r="H132" s="1"/>
    </row>
    <row r="133" spans="1:8" ht="18.95" customHeight="1">
      <c r="A133" s="1">
        <v>127</v>
      </c>
      <c r="B133" s="8">
        <f>A133*Summary!$B$14</f>
        <v>1058.3333333333335</v>
      </c>
      <c r="C133" s="8">
        <f>'Native PMKS'!B133*1000</f>
        <v>1058.3333333333321</v>
      </c>
      <c r="D133" s="8">
        <f t="shared" si="1"/>
        <v>0</v>
      </c>
      <c r="E133" s="1"/>
      <c r="F133" s="1">
        <v>127</v>
      </c>
      <c r="G133" s="8">
        <f>F133*Summary!$B$17</f>
        <v>1061.2813370473536</v>
      </c>
      <c r="H133" s="1"/>
    </row>
    <row r="134" spans="1:8" ht="18.95" customHeight="1">
      <c r="A134" s="1">
        <v>128</v>
      </c>
      <c r="B134" s="8">
        <f>A134*Summary!$B$14</f>
        <v>1066.6666666666667</v>
      </c>
      <c r="C134" s="8">
        <f>'Native PMKS'!B134*1000</f>
        <v>1066.6666666666654</v>
      </c>
      <c r="D134" s="8">
        <f t="shared" ref="D134:D197" si="2">B134-C134</f>
        <v>0</v>
      </c>
      <c r="E134" s="1"/>
      <c r="F134" s="1">
        <v>128</v>
      </c>
      <c r="G134" s="8">
        <f>F134*Summary!$B$17</f>
        <v>1069.6378830083565</v>
      </c>
      <c r="H134" s="1"/>
    </row>
    <row r="135" spans="1:8" ht="18.95" customHeight="1">
      <c r="A135" s="1">
        <v>129</v>
      </c>
      <c r="B135" s="8">
        <f>A135*Summary!$B$14</f>
        <v>1075</v>
      </c>
      <c r="C135" s="8">
        <f>'Native PMKS'!B135*1000</f>
        <v>1074.9999999999986</v>
      </c>
      <c r="D135" s="8">
        <f t="shared" si="2"/>
        <v>0</v>
      </c>
      <c r="E135" s="1"/>
      <c r="F135" s="1">
        <v>129</v>
      </c>
      <c r="G135" s="8">
        <f>F135*Summary!$B$17</f>
        <v>1077.9944289693594</v>
      </c>
      <c r="H135" s="1"/>
    </row>
    <row r="136" spans="1:8" ht="18.95" customHeight="1">
      <c r="A136" s="1">
        <v>130</v>
      </c>
      <c r="B136" s="8">
        <f>A136*Summary!$B$14</f>
        <v>1083.3333333333335</v>
      </c>
      <c r="C136" s="8">
        <f>'Native PMKS'!B136*1000</f>
        <v>1083.3333333333319</v>
      </c>
      <c r="D136" s="8">
        <f t="shared" si="2"/>
        <v>0</v>
      </c>
      <c r="E136" s="1"/>
      <c r="F136" s="1">
        <v>130</v>
      </c>
      <c r="G136" s="8">
        <f>F136*Summary!$B$17</f>
        <v>1086.3509749303621</v>
      </c>
      <c r="H136" s="1"/>
    </row>
    <row r="137" spans="1:8" ht="18.95" customHeight="1">
      <c r="A137" s="1">
        <v>131</v>
      </c>
      <c r="B137" s="8">
        <f>A137*Summary!$B$14</f>
        <v>1091.6666666666667</v>
      </c>
      <c r="C137" s="8">
        <f>'Native PMKS'!B137*1000</f>
        <v>1091.6666666666652</v>
      </c>
      <c r="D137" s="8">
        <f t="shared" si="2"/>
        <v>0</v>
      </c>
      <c r="E137" s="1"/>
      <c r="F137" s="1">
        <v>131</v>
      </c>
      <c r="G137" s="8">
        <f>F137*Summary!$B$17</f>
        <v>1094.707520891365</v>
      </c>
      <c r="H137" s="1"/>
    </row>
    <row r="138" spans="1:8" ht="18.95" customHeight="1">
      <c r="A138" s="1">
        <v>132</v>
      </c>
      <c r="B138" s="8">
        <f>A138*Summary!$B$14</f>
        <v>1100</v>
      </c>
      <c r="C138" s="8">
        <f>'Native PMKS'!B138*1000</f>
        <v>1099.9999999999986</v>
      </c>
      <c r="D138" s="8">
        <f t="shared" si="2"/>
        <v>0</v>
      </c>
      <c r="E138" s="1"/>
      <c r="F138" s="1">
        <v>132</v>
      </c>
      <c r="G138" s="8">
        <f>F138*Summary!$B$17</f>
        <v>1103.0640668523677</v>
      </c>
      <c r="H138" s="1"/>
    </row>
    <row r="139" spans="1:8" ht="18.95" customHeight="1">
      <c r="A139" s="1">
        <v>133</v>
      </c>
      <c r="B139" s="8">
        <f>A139*Summary!$B$14</f>
        <v>1108.3333333333335</v>
      </c>
      <c r="C139" s="8">
        <f>'Native PMKS'!B139*1000</f>
        <v>1108.3333333333319</v>
      </c>
      <c r="D139" s="8">
        <f t="shared" si="2"/>
        <v>0</v>
      </c>
      <c r="E139" s="1"/>
      <c r="F139" s="1">
        <v>133</v>
      </c>
      <c r="G139" s="8">
        <f>F139*Summary!$B$17</f>
        <v>1111.4206128133706</v>
      </c>
      <c r="H139" s="1"/>
    </row>
    <row r="140" spans="1:8" ht="18.95" customHeight="1">
      <c r="A140" s="1">
        <v>134</v>
      </c>
      <c r="B140" s="8">
        <f>A140*Summary!$B$14</f>
        <v>1116.6666666666667</v>
      </c>
      <c r="C140" s="8">
        <f>'Native PMKS'!B140*1000</f>
        <v>1116.6666666666652</v>
      </c>
      <c r="D140" s="8">
        <f t="shared" si="2"/>
        <v>0</v>
      </c>
      <c r="E140" s="1"/>
      <c r="F140" s="1">
        <v>134</v>
      </c>
      <c r="G140" s="8">
        <f>F140*Summary!$B$17</f>
        <v>1119.7771587743732</v>
      </c>
      <c r="H140" s="1"/>
    </row>
    <row r="141" spans="1:8" ht="18.95" customHeight="1">
      <c r="A141" s="1">
        <v>135</v>
      </c>
      <c r="B141" s="8">
        <f>A141*Summary!$B$14</f>
        <v>1125</v>
      </c>
      <c r="C141" s="8">
        <f>'Native PMKS'!B141*1000</f>
        <v>1124.9999999999984</v>
      </c>
      <c r="D141" s="8">
        <f t="shared" si="2"/>
        <v>0</v>
      </c>
      <c r="E141" s="1"/>
      <c r="F141" s="1">
        <v>135</v>
      </c>
      <c r="G141" s="8">
        <f>F141*Summary!$B$17</f>
        <v>1128.1337047353761</v>
      </c>
      <c r="H141" s="1"/>
    </row>
    <row r="142" spans="1:8" ht="18.95" customHeight="1">
      <c r="A142" s="1">
        <v>136</v>
      </c>
      <c r="B142" s="8">
        <f>A142*Summary!$B$14</f>
        <v>1133.3333333333335</v>
      </c>
      <c r="C142" s="8">
        <f>'Native PMKS'!B142*1000</f>
        <v>1133.3333333333317</v>
      </c>
      <c r="D142" s="8">
        <f t="shared" si="2"/>
        <v>1.8189894035458565E-12</v>
      </c>
      <c r="E142" s="1"/>
      <c r="F142" s="1">
        <v>136</v>
      </c>
      <c r="G142" s="8">
        <f>F142*Summary!$B$17</f>
        <v>1136.4902506963788</v>
      </c>
      <c r="H142" s="1"/>
    </row>
    <row r="143" spans="1:8" ht="18.95" customHeight="1">
      <c r="A143" s="1">
        <v>137</v>
      </c>
      <c r="B143" s="8">
        <f>A143*Summary!$B$14</f>
        <v>1141.6666666666667</v>
      </c>
      <c r="C143" s="8">
        <f>'Native PMKS'!B143*1000</f>
        <v>1141.6666666666652</v>
      </c>
      <c r="D143" s="8">
        <f t="shared" si="2"/>
        <v>0</v>
      </c>
      <c r="E143" s="1"/>
      <c r="F143" s="1">
        <v>137</v>
      </c>
      <c r="G143" s="8">
        <f>F143*Summary!$B$17</f>
        <v>1144.8467966573817</v>
      </c>
      <c r="H143" s="1"/>
    </row>
    <row r="144" spans="1:8" ht="18.95" customHeight="1">
      <c r="A144" s="1">
        <v>138</v>
      </c>
      <c r="B144" s="8">
        <f>A144*Summary!$B$14</f>
        <v>1150</v>
      </c>
      <c r="C144" s="8">
        <f>'Native PMKS'!B144*1000</f>
        <v>1149.9999999999984</v>
      </c>
      <c r="D144" s="8">
        <f t="shared" si="2"/>
        <v>0</v>
      </c>
      <c r="E144" s="1"/>
      <c r="F144" s="1">
        <v>138</v>
      </c>
      <c r="G144" s="8">
        <f>F144*Summary!$B$17</f>
        <v>1153.2033426183843</v>
      </c>
      <c r="H144" s="1"/>
    </row>
    <row r="145" spans="1:8" ht="18.95" customHeight="1">
      <c r="A145" s="1">
        <v>139</v>
      </c>
      <c r="B145" s="8">
        <f>A145*Summary!$B$14</f>
        <v>1158.3333333333335</v>
      </c>
      <c r="C145" s="8">
        <f>'Native PMKS'!B145*1000</f>
        <v>1158.3333333333317</v>
      </c>
      <c r="D145" s="8">
        <f t="shared" si="2"/>
        <v>1.8189894035458565E-12</v>
      </c>
      <c r="E145" s="1"/>
      <c r="F145" s="1">
        <v>139</v>
      </c>
      <c r="G145" s="8">
        <f>F145*Summary!$B$17</f>
        <v>1161.5598885793872</v>
      </c>
      <c r="H145" s="1"/>
    </row>
    <row r="146" spans="1:8" ht="18.95" customHeight="1">
      <c r="A146" s="1">
        <v>140</v>
      </c>
      <c r="B146" s="8">
        <f>A146*Summary!$B$14</f>
        <v>1166.6666666666667</v>
      </c>
      <c r="C146" s="8">
        <f>'Native PMKS'!B146*1000</f>
        <v>1166.6666666666649</v>
      </c>
      <c r="D146" s="8">
        <f t="shared" si="2"/>
        <v>1.8189894035458565E-12</v>
      </c>
      <c r="E146" s="1"/>
      <c r="F146" s="1">
        <v>140</v>
      </c>
      <c r="G146" s="8">
        <f>F146*Summary!$B$17</f>
        <v>1169.9164345403899</v>
      </c>
      <c r="H146" s="1"/>
    </row>
    <row r="147" spans="1:8" ht="18.95" customHeight="1">
      <c r="A147" s="1">
        <v>141</v>
      </c>
      <c r="B147" s="8">
        <f>A147*Summary!$B$14</f>
        <v>1175</v>
      </c>
      <c r="C147" s="8">
        <f>'Native PMKS'!B147*1000</f>
        <v>1174.9999999999982</v>
      </c>
      <c r="D147" s="8">
        <f t="shared" si="2"/>
        <v>1.8189894035458565E-12</v>
      </c>
      <c r="E147" s="1"/>
      <c r="F147" s="1">
        <v>141</v>
      </c>
      <c r="G147" s="8">
        <f>F147*Summary!$B$17</f>
        <v>1178.2729805013928</v>
      </c>
      <c r="H147" s="1"/>
    </row>
    <row r="148" spans="1:8" ht="18.95" customHeight="1">
      <c r="A148" s="1">
        <v>142</v>
      </c>
      <c r="B148" s="8">
        <f>A148*Summary!$B$14</f>
        <v>1183.3333333333335</v>
      </c>
      <c r="C148" s="8">
        <f>'Native PMKS'!B148*1000</f>
        <v>1183.3333333333317</v>
      </c>
      <c r="D148" s="8">
        <f t="shared" si="2"/>
        <v>1.8189894035458565E-12</v>
      </c>
      <c r="E148" s="1"/>
      <c r="F148" s="1">
        <v>142</v>
      </c>
      <c r="G148" s="8">
        <f>F148*Summary!$B$17</f>
        <v>1186.6295264623955</v>
      </c>
      <c r="H148" s="1"/>
    </row>
    <row r="149" spans="1:8" ht="18.95" customHeight="1">
      <c r="A149" s="1">
        <v>143</v>
      </c>
      <c r="B149" s="8">
        <f>A149*Summary!$B$14</f>
        <v>1191.6666666666667</v>
      </c>
      <c r="C149" s="8">
        <f>'Native PMKS'!B149*1000</f>
        <v>1191.6666666666649</v>
      </c>
      <c r="D149" s="8">
        <f t="shared" si="2"/>
        <v>1.8189894035458565E-12</v>
      </c>
      <c r="E149" s="1"/>
      <c r="F149" s="1">
        <v>143</v>
      </c>
      <c r="G149" s="8">
        <f>F149*Summary!$B$17</f>
        <v>1194.9860724233984</v>
      </c>
      <c r="H149" s="1"/>
    </row>
    <row r="150" spans="1:8" ht="18.95" customHeight="1">
      <c r="A150" s="1">
        <v>144</v>
      </c>
      <c r="B150" s="8">
        <f>A150*Summary!$B$14</f>
        <v>1200</v>
      </c>
      <c r="C150" s="8">
        <f>'Native PMKS'!B150*1000</f>
        <v>1199.9999999999982</v>
      </c>
      <c r="D150" s="8">
        <f t="shared" si="2"/>
        <v>1.8189894035458565E-12</v>
      </c>
      <c r="E150" s="1"/>
      <c r="F150" s="1">
        <v>144</v>
      </c>
      <c r="G150" s="8">
        <f>F150*Summary!$B$17</f>
        <v>1203.342618384401</v>
      </c>
      <c r="H150" s="1"/>
    </row>
    <row r="151" spans="1:8" ht="18.95" customHeight="1">
      <c r="A151" s="1">
        <v>145</v>
      </c>
      <c r="B151" s="8">
        <f>A151*Summary!$B$14</f>
        <v>1208.3333333333335</v>
      </c>
      <c r="C151" s="8">
        <f>'Native PMKS'!B151*1000</f>
        <v>1208.3333333333314</v>
      </c>
      <c r="D151" s="8">
        <f t="shared" si="2"/>
        <v>2.0463630789890885E-12</v>
      </c>
      <c r="E151" s="1"/>
      <c r="F151" s="1">
        <v>145</v>
      </c>
      <c r="G151" s="8">
        <f>F151*Summary!$B$17</f>
        <v>1211.6991643454039</v>
      </c>
      <c r="H151" s="1"/>
    </row>
    <row r="152" spans="1:8" ht="18.95" customHeight="1">
      <c r="A152" s="1">
        <v>146</v>
      </c>
      <c r="B152" s="8">
        <f>A152*Summary!$B$14</f>
        <v>1216.6666666666667</v>
      </c>
      <c r="C152" s="8">
        <f>'Native PMKS'!B152*1000</f>
        <v>1216.6666666666647</v>
      </c>
      <c r="D152" s="8">
        <f t="shared" si="2"/>
        <v>2.0463630789890885E-12</v>
      </c>
      <c r="E152" s="1"/>
      <c r="F152" s="1">
        <v>146</v>
      </c>
      <c r="G152" s="8">
        <f>F152*Summary!$B$17</f>
        <v>1220.0557103064066</v>
      </c>
      <c r="H152" s="1"/>
    </row>
    <row r="153" spans="1:8" ht="18.95" customHeight="1">
      <c r="A153" s="1">
        <v>147</v>
      </c>
      <c r="B153" s="8">
        <f>A153*Summary!$B$14</f>
        <v>1225</v>
      </c>
      <c r="C153" s="8">
        <f>'Native PMKS'!B153*1000</f>
        <v>1224.9999999999982</v>
      </c>
      <c r="D153" s="8">
        <f t="shared" si="2"/>
        <v>1.8189894035458565E-12</v>
      </c>
      <c r="E153" s="1"/>
      <c r="F153" s="1">
        <v>147</v>
      </c>
      <c r="G153" s="8">
        <f>F153*Summary!$B$17</f>
        <v>1228.4122562674095</v>
      </c>
      <c r="H153" s="1"/>
    </row>
    <row r="154" spans="1:8" ht="18.95" customHeight="1">
      <c r="A154" s="1">
        <v>148</v>
      </c>
      <c r="B154" s="8">
        <f>A154*Summary!$B$14</f>
        <v>1233.3333333333335</v>
      </c>
      <c r="C154" s="8">
        <f>'Native PMKS'!B154*1000</f>
        <v>1233.3333333333314</v>
      </c>
      <c r="D154" s="8">
        <f t="shared" si="2"/>
        <v>2.0463630789890885E-12</v>
      </c>
      <c r="E154" s="1"/>
      <c r="F154" s="1">
        <v>148</v>
      </c>
      <c r="G154" s="8">
        <f>F154*Summary!$B$17</f>
        <v>1236.7688022284121</v>
      </c>
      <c r="H154" s="1"/>
    </row>
    <row r="155" spans="1:8" ht="18.95" customHeight="1">
      <c r="A155" s="1">
        <v>149</v>
      </c>
      <c r="B155" s="8">
        <f>A155*Summary!$B$14</f>
        <v>1241.6666666666667</v>
      </c>
      <c r="C155" s="8">
        <f>'Native PMKS'!B155*1000</f>
        <v>1241.6666666666647</v>
      </c>
      <c r="D155" s="8">
        <f t="shared" si="2"/>
        <v>2.0463630789890885E-12</v>
      </c>
      <c r="E155" s="1"/>
      <c r="F155" s="1">
        <v>149</v>
      </c>
      <c r="G155" s="8">
        <f>F155*Summary!$B$17</f>
        <v>1245.125348189415</v>
      </c>
      <c r="H155" s="1"/>
    </row>
    <row r="156" spans="1:8" ht="18.95" customHeight="1">
      <c r="A156" s="1">
        <v>150</v>
      </c>
      <c r="B156" s="8">
        <f>A156*Summary!$B$14</f>
        <v>1250</v>
      </c>
      <c r="C156" s="8">
        <f>'Native PMKS'!B156*1000</f>
        <v>1249.999999999998</v>
      </c>
      <c r="D156" s="8">
        <f t="shared" si="2"/>
        <v>2.0463630789890885E-12</v>
      </c>
      <c r="E156" s="1"/>
      <c r="F156" s="1">
        <v>150</v>
      </c>
      <c r="G156" s="8">
        <f>F156*Summary!$B$17</f>
        <v>1253.4818941504179</v>
      </c>
      <c r="H156" s="1"/>
    </row>
    <row r="157" spans="1:8" ht="18.95" customHeight="1">
      <c r="A157" s="1">
        <v>151</v>
      </c>
      <c r="B157" s="8">
        <f>A157*Summary!$B$14</f>
        <v>1258.3333333333335</v>
      </c>
      <c r="C157" s="8">
        <f>'Native PMKS'!B157*1000</f>
        <v>1258.3333333333312</v>
      </c>
      <c r="D157" s="8">
        <f t="shared" si="2"/>
        <v>2.2737367544323206E-12</v>
      </c>
      <c r="E157" s="1"/>
      <c r="F157" s="1">
        <v>151</v>
      </c>
      <c r="G157" s="8">
        <f>F157*Summary!$B$17</f>
        <v>1261.8384401114206</v>
      </c>
      <c r="H157" s="1"/>
    </row>
    <row r="158" spans="1:8" ht="18.95" customHeight="1">
      <c r="A158" s="1">
        <v>152</v>
      </c>
      <c r="B158" s="8">
        <f>A158*Summary!$B$14</f>
        <v>1266.6666666666667</v>
      </c>
      <c r="C158" s="8">
        <f>'Native PMKS'!B158*1000</f>
        <v>1266.6666666666647</v>
      </c>
      <c r="D158" s="8">
        <f t="shared" si="2"/>
        <v>2.0463630789890885E-12</v>
      </c>
      <c r="E158" s="1"/>
      <c r="F158" s="1">
        <v>152</v>
      </c>
      <c r="G158" s="8">
        <f>F158*Summary!$B$17</f>
        <v>1270.1949860724235</v>
      </c>
      <c r="H158" s="1"/>
    </row>
    <row r="159" spans="1:8" ht="18.95" customHeight="1">
      <c r="A159" s="1">
        <v>153</v>
      </c>
      <c r="B159" s="8">
        <f>A159*Summary!$B$14</f>
        <v>1275</v>
      </c>
      <c r="C159" s="8">
        <f>'Native PMKS'!B159*1000</f>
        <v>1274.999999999998</v>
      </c>
      <c r="D159" s="8">
        <f t="shared" si="2"/>
        <v>2.0463630789890885E-12</v>
      </c>
      <c r="E159" s="1"/>
      <c r="F159" s="1">
        <v>153</v>
      </c>
      <c r="G159" s="8">
        <f>F159*Summary!$B$17</f>
        <v>1278.5515320334262</v>
      </c>
      <c r="H159" s="1"/>
    </row>
    <row r="160" spans="1:8" ht="18.95" customHeight="1">
      <c r="A160" s="1">
        <v>154</v>
      </c>
      <c r="B160" s="8">
        <f>A160*Summary!$B$14</f>
        <v>1283.3333333333335</v>
      </c>
      <c r="C160" s="8">
        <f>'Native PMKS'!B160*1000</f>
        <v>1283.3333333333312</v>
      </c>
      <c r="D160" s="8">
        <f t="shared" si="2"/>
        <v>2.2737367544323206E-12</v>
      </c>
      <c r="E160" s="1"/>
      <c r="F160" s="1">
        <v>154</v>
      </c>
      <c r="G160" s="8">
        <f>F160*Summary!$B$17</f>
        <v>1286.908077994429</v>
      </c>
      <c r="H160" s="1"/>
    </row>
    <row r="161" spans="1:8" ht="18.95" customHeight="1">
      <c r="A161" s="1">
        <v>155</v>
      </c>
      <c r="B161" s="8">
        <f>A161*Summary!$B$14</f>
        <v>1291.6666666666667</v>
      </c>
      <c r="C161" s="8">
        <f>'Native PMKS'!B161*1000</f>
        <v>1291.6666666666645</v>
      </c>
      <c r="D161" s="8">
        <f t="shared" si="2"/>
        <v>2.2737367544323206E-12</v>
      </c>
      <c r="E161" s="1"/>
      <c r="F161" s="1">
        <v>155</v>
      </c>
      <c r="G161" s="8">
        <f>F161*Summary!$B$17</f>
        <v>1295.2646239554317</v>
      </c>
      <c r="H161" s="1"/>
    </row>
    <row r="162" spans="1:8" ht="18.95" customHeight="1">
      <c r="A162" s="1">
        <v>156</v>
      </c>
      <c r="B162" s="8">
        <f>A162*Summary!$B$14</f>
        <v>1300</v>
      </c>
      <c r="C162" s="8">
        <f>'Native PMKS'!B162*1000</f>
        <v>1299.9999999999977</v>
      </c>
      <c r="D162" s="8">
        <f t="shared" si="2"/>
        <v>2.2737367544323206E-12</v>
      </c>
      <c r="E162" s="1"/>
      <c r="F162" s="1">
        <v>156</v>
      </c>
      <c r="G162" s="8">
        <f>F162*Summary!$B$17</f>
        <v>1303.6211699164346</v>
      </c>
      <c r="H162" s="1"/>
    </row>
    <row r="163" spans="1:8" ht="18.95" customHeight="1">
      <c r="A163" s="1">
        <v>157</v>
      </c>
      <c r="B163" s="8">
        <f>A163*Summary!$B$14</f>
        <v>1308.3333333333335</v>
      </c>
      <c r="C163" s="8">
        <f>'Native PMKS'!B163*1000</f>
        <v>1308.3333333333312</v>
      </c>
      <c r="D163" s="8">
        <f t="shared" si="2"/>
        <v>2.2737367544323206E-12</v>
      </c>
      <c r="E163" s="1"/>
      <c r="F163" s="1">
        <v>157</v>
      </c>
      <c r="G163" s="8">
        <f>F163*Summary!$B$17</f>
        <v>1311.9777158774373</v>
      </c>
      <c r="H163" s="1"/>
    </row>
    <row r="164" spans="1:8" ht="18.95" customHeight="1">
      <c r="A164" s="1">
        <v>158</v>
      </c>
      <c r="B164" s="8">
        <f>A164*Summary!$B$14</f>
        <v>1316.6666666666667</v>
      </c>
      <c r="C164" s="8">
        <f>'Native PMKS'!B164*1000</f>
        <v>1316.6666666666645</v>
      </c>
      <c r="D164" s="8">
        <f t="shared" si="2"/>
        <v>2.2737367544323206E-12</v>
      </c>
      <c r="E164" s="1"/>
      <c r="F164" s="1">
        <v>158</v>
      </c>
      <c r="G164" s="8">
        <f>F164*Summary!$B$17</f>
        <v>1320.3342618384402</v>
      </c>
      <c r="H164" s="1"/>
    </row>
    <row r="165" spans="1:8" ht="18.95" customHeight="1">
      <c r="A165" s="1">
        <v>159</v>
      </c>
      <c r="B165" s="8">
        <f>A165*Summary!$B$14</f>
        <v>1325</v>
      </c>
      <c r="C165" s="8">
        <f>'Native PMKS'!B165*1000</f>
        <v>1324.9999999999977</v>
      </c>
      <c r="D165" s="8">
        <f t="shared" si="2"/>
        <v>2.2737367544323206E-12</v>
      </c>
      <c r="E165" s="1"/>
      <c r="F165" s="1">
        <v>159</v>
      </c>
      <c r="G165" s="8">
        <f>F165*Summary!$B$17</f>
        <v>1328.6908077994428</v>
      </c>
      <c r="H165" s="1"/>
    </row>
    <row r="166" spans="1:8" ht="18.95" customHeight="1">
      <c r="A166" s="1">
        <v>160</v>
      </c>
      <c r="B166" s="8">
        <f>A166*Summary!$B$14</f>
        <v>1333.3333333333335</v>
      </c>
      <c r="C166" s="8">
        <f>'Native PMKS'!B166*1000</f>
        <v>1333.333333333331</v>
      </c>
      <c r="D166" s="8">
        <f t="shared" si="2"/>
        <v>2.5011104298755527E-12</v>
      </c>
      <c r="E166" s="1"/>
      <c r="F166" s="1">
        <v>160</v>
      </c>
      <c r="G166" s="8">
        <f>F166*Summary!$B$17</f>
        <v>1337.0473537604457</v>
      </c>
      <c r="H166" s="1"/>
    </row>
    <row r="167" spans="1:8" ht="18.95" customHeight="1">
      <c r="A167" s="1">
        <v>161</v>
      </c>
      <c r="B167" s="8">
        <f>A167*Summary!$B$14</f>
        <v>1341.6666666666667</v>
      </c>
      <c r="C167" s="8">
        <f>'Native PMKS'!B167*1000</f>
        <v>1341.6666666666642</v>
      </c>
      <c r="D167" s="8">
        <f t="shared" si="2"/>
        <v>2.5011104298755527E-12</v>
      </c>
      <c r="E167" s="1"/>
      <c r="F167" s="1">
        <v>161</v>
      </c>
      <c r="G167" s="8">
        <f>F167*Summary!$B$17</f>
        <v>1345.4038997214484</v>
      </c>
      <c r="H167" s="1"/>
    </row>
    <row r="168" spans="1:8" ht="18.95" customHeight="1">
      <c r="A168" s="1">
        <v>162</v>
      </c>
      <c r="B168" s="8">
        <f>A168*Summary!$B$14</f>
        <v>1350</v>
      </c>
      <c r="C168" s="8">
        <f>'Native PMKS'!B168*1000</f>
        <v>1349.9999999999977</v>
      </c>
      <c r="D168" s="8">
        <f t="shared" si="2"/>
        <v>2.2737367544323206E-12</v>
      </c>
      <c r="E168" s="1"/>
      <c r="F168" s="1">
        <v>162</v>
      </c>
      <c r="G168" s="8">
        <f>F168*Summary!$B$17</f>
        <v>1353.7604456824513</v>
      </c>
      <c r="H168" s="1"/>
    </row>
    <row r="169" spans="1:8" ht="18.95" customHeight="1">
      <c r="A169" s="1">
        <v>163</v>
      </c>
      <c r="B169" s="8">
        <f>A169*Summary!$B$14</f>
        <v>1358.3333333333335</v>
      </c>
      <c r="C169" s="8">
        <f>'Native PMKS'!B169*1000</f>
        <v>1358.333333333331</v>
      </c>
      <c r="D169" s="8">
        <f t="shared" si="2"/>
        <v>2.5011104298755527E-12</v>
      </c>
      <c r="E169" s="1"/>
      <c r="F169" s="1">
        <v>163</v>
      </c>
      <c r="G169" s="8">
        <f>F169*Summary!$B$17</f>
        <v>1362.116991643454</v>
      </c>
      <c r="H169" s="1"/>
    </row>
    <row r="170" spans="1:8" ht="18.95" customHeight="1">
      <c r="A170" s="1">
        <v>164</v>
      </c>
      <c r="B170" s="8">
        <f>A170*Summary!$B$14</f>
        <v>1366.6666666666667</v>
      </c>
      <c r="C170" s="8">
        <f>'Native PMKS'!B170*1000</f>
        <v>1366.6666666666642</v>
      </c>
      <c r="D170" s="8">
        <f t="shared" si="2"/>
        <v>2.5011104298755527E-12</v>
      </c>
      <c r="E170" s="1"/>
      <c r="F170" s="1">
        <v>164</v>
      </c>
      <c r="G170" s="8">
        <f>F170*Summary!$B$17</f>
        <v>1370.4735376044569</v>
      </c>
      <c r="H170" s="1"/>
    </row>
    <row r="171" spans="1:8" ht="18.95" customHeight="1">
      <c r="A171" s="1">
        <v>165</v>
      </c>
      <c r="B171" s="8">
        <f>A171*Summary!$B$14</f>
        <v>1375</v>
      </c>
      <c r="C171" s="8">
        <f>'Native PMKS'!B171*1000</f>
        <v>1374.9999999999975</v>
      </c>
      <c r="D171" s="8">
        <f t="shared" si="2"/>
        <v>2.5011104298755527E-12</v>
      </c>
      <c r="E171" s="1"/>
      <c r="F171" s="1">
        <v>165</v>
      </c>
      <c r="G171" s="8">
        <f>F171*Summary!$B$17</f>
        <v>1378.8300835654595</v>
      </c>
      <c r="H171" s="1"/>
    </row>
    <row r="172" spans="1:8" ht="18.95" customHeight="1">
      <c r="A172" s="1">
        <v>166</v>
      </c>
      <c r="B172" s="8">
        <f>A172*Summary!$B$14</f>
        <v>1383.3333333333335</v>
      </c>
      <c r="C172" s="8">
        <f>'Native PMKS'!B172*1000</f>
        <v>1383.3333333333308</v>
      </c>
      <c r="D172" s="8">
        <f t="shared" si="2"/>
        <v>2.7284841053187847E-12</v>
      </c>
      <c r="E172" s="1"/>
      <c r="F172" s="1">
        <v>166</v>
      </c>
      <c r="G172" s="8">
        <f>F172*Summary!$B$17</f>
        <v>1387.1866295264624</v>
      </c>
      <c r="H172" s="1"/>
    </row>
    <row r="173" spans="1:8" ht="18.95" customHeight="1">
      <c r="A173" s="1">
        <v>167</v>
      </c>
      <c r="B173" s="8">
        <f>A173*Summary!$B$14</f>
        <v>1391.6666666666667</v>
      </c>
      <c r="C173" s="8">
        <f>'Native PMKS'!B173*1000</f>
        <v>1391.6666666666642</v>
      </c>
      <c r="D173" s="8">
        <f t="shared" si="2"/>
        <v>2.5011104298755527E-12</v>
      </c>
      <c r="E173" s="1"/>
      <c r="F173" s="1">
        <v>167</v>
      </c>
      <c r="G173" s="8">
        <f>F173*Summary!$B$17</f>
        <v>1395.5431754874651</v>
      </c>
      <c r="H173" s="1"/>
    </row>
    <row r="174" spans="1:8" ht="18.95" customHeight="1">
      <c r="A174" s="1">
        <v>168</v>
      </c>
      <c r="B174" s="8">
        <f>A174*Summary!$B$14</f>
        <v>1400</v>
      </c>
      <c r="C174" s="8">
        <f>'Native PMKS'!B174*1000</f>
        <v>1399.9999999999975</v>
      </c>
      <c r="D174" s="8">
        <f t="shared" si="2"/>
        <v>2.5011104298755527E-12</v>
      </c>
      <c r="E174" s="1"/>
      <c r="F174" s="1">
        <v>168</v>
      </c>
      <c r="G174" s="8">
        <f>F174*Summary!$B$17</f>
        <v>1403.899721448468</v>
      </c>
      <c r="H174" s="1"/>
    </row>
    <row r="175" spans="1:8" ht="18.95" customHeight="1">
      <c r="A175" s="1">
        <v>169</v>
      </c>
      <c r="B175" s="8">
        <f>A175*Summary!$B$14</f>
        <v>1408.3333333333335</v>
      </c>
      <c r="C175" s="8">
        <f>'Native PMKS'!B175*1000</f>
        <v>1408.3333333333308</v>
      </c>
      <c r="D175" s="8">
        <f t="shared" si="2"/>
        <v>2.7284841053187847E-12</v>
      </c>
      <c r="E175" s="1"/>
      <c r="F175" s="1">
        <v>169</v>
      </c>
      <c r="G175" s="8">
        <f>F175*Summary!$B$17</f>
        <v>1412.2562674094706</v>
      </c>
      <c r="H175" s="1"/>
    </row>
    <row r="176" spans="1:8" ht="18.95" customHeight="1">
      <c r="A176" s="1">
        <v>170</v>
      </c>
      <c r="B176" s="8">
        <f>A176*Summary!$B$14</f>
        <v>1416.6666666666667</v>
      </c>
      <c r="C176" s="8">
        <f>'Native PMKS'!B176*1000</f>
        <v>1416.666666666664</v>
      </c>
      <c r="D176" s="8">
        <f t="shared" si="2"/>
        <v>2.7284841053187847E-12</v>
      </c>
      <c r="E176" s="1"/>
      <c r="F176" s="1">
        <v>170</v>
      </c>
      <c r="G176" s="8">
        <f>F176*Summary!$B$17</f>
        <v>1420.6128133704735</v>
      </c>
      <c r="H176" s="1"/>
    </row>
    <row r="177" spans="1:8" ht="18.95" customHeight="1">
      <c r="A177" s="1">
        <v>171</v>
      </c>
      <c r="B177" s="8">
        <f>A177*Summary!$B$14</f>
        <v>1425</v>
      </c>
      <c r="C177" s="8">
        <f>'Native PMKS'!B177*1000</f>
        <v>1424.9999999999973</v>
      </c>
      <c r="D177" s="8">
        <f t="shared" si="2"/>
        <v>2.7284841053187847E-12</v>
      </c>
      <c r="E177" s="1"/>
      <c r="F177" s="1">
        <v>171</v>
      </c>
      <c r="G177" s="8">
        <f>F177*Summary!$B$17</f>
        <v>1428.9693593314764</v>
      </c>
      <c r="H177" s="1"/>
    </row>
    <row r="178" spans="1:8" ht="18.95" customHeight="1">
      <c r="A178" s="1">
        <v>172</v>
      </c>
      <c r="B178" s="8">
        <f>A178*Summary!$B$14</f>
        <v>1433.3333333333335</v>
      </c>
      <c r="C178" s="8">
        <f>'Native PMKS'!B178*1000</f>
        <v>1433.3333333333308</v>
      </c>
      <c r="D178" s="8">
        <f t="shared" si="2"/>
        <v>2.7284841053187847E-12</v>
      </c>
      <c r="E178" s="1"/>
      <c r="F178" s="1">
        <v>172</v>
      </c>
      <c r="G178" s="8">
        <f>F178*Summary!$B$17</f>
        <v>1437.3259052924791</v>
      </c>
      <c r="H178" s="1"/>
    </row>
    <row r="179" spans="1:8" ht="18.95" customHeight="1">
      <c r="A179" s="1">
        <v>173</v>
      </c>
      <c r="B179" s="8">
        <f>A179*Summary!$B$14</f>
        <v>1441.6666666666667</v>
      </c>
      <c r="C179" s="8">
        <f>'Native PMKS'!B179*1000</f>
        <v>1441.666666666664</v>
      </c>
      <c r="D179" s="8">
        <f t="shared" si="2"/>
        <v>2.7284841053187847E-12</v>
      </c>
      <c r="E179" s="1"/>
      <c r="F179" s="1">
        <v>173</v>
      </c>
      <c r="G179" s="8">
        <f>F179*Summary!$B$17</f>
        <v>1445.682451253482</v>
      </c>
      <c r="H179" s="1"/>
    </row>
    <row r="180" spans="1:8" ht="18.95" customHeight="1">
      <c r="A180" s="1">
        <v>174</v>
      </c>
      <c r="B180" s="8">
        <f>A180*Summary!$B$14</f>
        <v>1450</v>
      </c>
      <c r="C180" s="8">
        <f>'Native PMKS'!B180*1000</f>
        <v>1449.9999999999973</v>
      </c>
      <c r="D180" s="8">
        <f t="shared" si="2"/>
        <v>2.7284841053187847E-12</v>
      </c>
      <c r="E180" s="1"/>
      <c r="F180" s="1">
        <v>174</v>
      </c>
      <c r="G180" s="8">
        <f>F180*Summary!$B$17</f>
        <v>1454.0389972144847</v>
      </c>
      <c r="H180" s="1"/>
    </row>
    <row r="181" spans="1:8" ht="18.95" customHeight="1">
      <c r="A181" s="1">
        <v>175</v>
      </c>
      <c r="B181" s="8">
        <f>A181*Summary!$B$14</f>
        <v>1458.3333333333335</v>
      </c>
      <c r="C181" s="8">
        <f>'Native PMKS'!B181*1000</f>
        <v>1458.3333333333305</v>
      </c>
      <c r="D181" s="8">
        <f t="shared" si="2"/>
        <v>2.9558577807620168E-12</v>
      </c>
      <c r="E181" s="1"/>
      <c r="F181" s="1">
        <v>175</v>
      </c>
      <c r="G181" s="8">
        <f>F181*Summary!$B$17</f>
        <v>1462.3955431754875</v>
      </c>
      <c r="H181" s="1"/>
    </row>
    <row r="182" spans="1:8" ht="18.95" customHeight="1">
      <c r="A182" s="1">
        <v>176</v>
      </c>
      <c r="B182" s="8">
        <f>A182*Summary!$B$14</f>
        <v>1466.6666666666667</v>
      </c>
      <c r="C182" s="8">
        <f>'Native PMKS'!B182*1000</f>
        <v>1466.6666666666638</v>
      </c>
      <c r="D182" s="8">
        <f t="shared" si="2"/>
        <v>2.9558577807620168E-12</v>
      </c>
      <c r="E182" s="1"/>
      <c r="F182" s="1">
        <v>176</v>
      </c>
      <c r="G182" s="8">
        <f>F182*Summary!$B$17</f>
        <v>1470.7520891364902</v>
      </c>
      <c r="H182" s="1"/>
    </row>
    <row r="183" spans="1:8" ht="18.95" customHeight="1">
      <c r="A183" s="1">
        <v>177</v>
      </c>
      <c r="B183" s="8">
        <f>A183*Summary!$B$14</f>
        <v>1475</v>
      </c>
      <c r="C183" s="8">
        <f>'Native PMKS'!B183*1000</f>
        <v>1474.9999999999973</v>
      </c>
      <c r="D183" s="8">
        <f t="shared" si="2"/>
        <v>2.7284841053187847E-12</v>
      </c>
      <c r="E183" s="1"/>
      <c r="F183" s="1">
        <v>177</v>
      </c>
      <c r="G183" s="8">
        <f>F183*Summary!$B$17</f>
        <v>1479.1086350974931</v>
      </c>
      <c r="H183" s="1"/>
    </row>
    <row r="184" spans="1:8" ht="18.95" customHeight="1">
      <c r="A184" s="1">
        <v>178</v>
      </c>
      <c r="B184" s="8">
        <f>A184*Summary!$B$14</f>
        <v>1483.3333333333335</v>
      </c>
      <c r="C184" s="8">
        <f>'Native PMKS'!B184*1000</f>
        <v>1483.3333333333305</v>
      </c>
      <c r="D184" s="8">
        <f t="shared" si="2"/>
        <v>2.9558577807620168E-12</v>
      </c>
      <c r="E184" s="1"/>
      <c r="F184" s="1">
        <v>178</v>
      </c>
      <c r="G184" s="8">
        <f>F184*Summary!$B$17</f>
        <v>1487.4651810584958</v>
      </c>
      <c r="H184" s="1"/>
    </row>
    <row r="185" spans="1:8" ht="18.95" customHeight="1">
      <c r="A185" s="1">
        <v>179</v>
      </c>
      <c r="B185" s="8">
        <f>A185*Summary!$B$14</f>
        <v>1491.6666666666667</v>
      </c>
      <c r="C185" s="8">
        <f>'Native PMKS'!B185*1000</f>
        <v>1491.6666666666638</v>
      </c>
      <c r="D185" s="8">
        <f t="shared" si="2"/>
        <v>2.9558577807620168E-12</v>
      </c>
      <c r="E185" s="1"/>
      <c r="F185" s="1">
        <v>179</v>
      </c>
      <c r="G185" s="8">
        <f>F185*Summary!$B$17</f>
        <v>1495.8217270194987</v>
      </c>
      <c r="H185" s="1"/>
    </row>
    <row r="186" spans="1:8" ht="18.95" customHeight="1">
      <c r="A186" s="1">
        <v>180</v>
      </c>
      <c r="B186" s="8">
        <f>A186*Summary!$B$14</f>
        <v>1500</v>
      </c>
      <c r="C186" s="8">
        <f>'Native PMKS'!B186*1000</f>
        <v>1499.999999999997</v>
      </c>
      <c r="D186" s="8">
        <f t="shared" si="2"/>
        <v>2.9558577807620168E-12</v>
      </c>
      <c r="E186" s="1"/>
      <c r="F186" s="1">
        <v>180</v>
      </c>
      <c r="G186" s="8">
        <f>F186*Summary!$B$17</f>
        <v>1504.1782729805013</v>
      </c>
      <c r="H186" s="1"/>
    </row>
    <row r="187" spans="1:8" ht="18.95" customHeight="1">
      <c r="A187" s="1">
        <v>181</v>
      </c>
      <c r="B187" s="8">
        <f>A187*Summary!$B$14</f>
        <v>1508.3333333333335</v>
      </c>
      <c r="C187" s="8">
        <f>'Native PMKS'!B187*1000</f>
        <v>1508.3333333333305</v>
      </c>
      <c r="D187" s="8">
        <f t="shared" si="2"/>
        <v>2.9558577807620168E-12</v>
      </c>
      <c r="E187" s="1"/>
      <c r="F187" s="1">
        <v>181</v>
      </c>
      <c r="G187" s="8">
        <f>F187*Summary!$B$17</f>
        <v>1512.5348189415042</v>
      </c>
      <c r="H187" s="1"/>
    </row>
    <row r="188" spans="1:8" ht="18.95" customHeight="1">
      <c r="A188" s="1">
        <v>182</v>
      </c>
      <c r="B188" s="8">
        <f>A188*Summary!$B$14</f>
        <v>1516.6666666666667</v>
      </c>
      <c r="C188" s="8">
        <f>'Native PMKS'!B188*1000</f>
        <v>1516.6666666666638</v>
      </c>
      <c r="D188" s="8">
        <f t="shared" si="2"/>
        <v>2.9558577807620168E-12</v>
      </c>
      <c r="E188" s="1"/>
      <c r="F188" s="1">
        <v>182</v>
      </c>
      <c r="G188" s="8">
        <f>F188*Summary!$B$17</f>
        <v>1520.8913649025069</v>
      </c>
      <c r="H188" s="1"/>
    </row>
    <row r="189" spans="1:8" ht="18.95" customHeight="1">
      <c r="A189" s="1">
        <v>183</v>
      </c>
      <c r="B189" s="8">
        <f>A189*Summary!$B$14</f>
        <v>1525</v>
      </c>
      <c r="C189" s="8">
        <f>'Native PMKS'!B189*1000</f>
        <v>1524.999999999997</v>
      </c>
      <c r="D189" s="8">
        <f t="shared" si="2"/>
        <v>2.9558577807620168E-12</v>
      </c>
      <c r="E189" s="1"/>
      <c r="F189" s="1">
        <v>183</v>
      </c>
      <c r="G189" s="8">
        <f>F189*Summary!$B$17</f>
        <v>1529.2479108635098</v>
      </c>
      <c r="H189" s="1"/>
    </row>
    <row r="190" spans="1:8" ht="18.95" customHeight="1">
      <c r="A190" s="1">
        <v>184</v>
      </c>
      <c r="B190" s="8">
        <f>A190*Summary!$B$14</f>
        <v>1533.3333333333335</v>
      </c>
      <c r="C190" s="8">
        <f>'Native PMKS'!B190*1000</f>
        <v>1533.3333333333303</v>
      </c>
      <c r="D190" s="8">
        <f t="shared" si="2"/>
        <v>3.1832314562052488E-12</v>
      </c>
      <c r="E190" s="1"/>
      <c r="F190" s="1">
        <v>184</v>
      </c>
      <c r="G190" s="8">
        <f>F190*Summary!$B$17</f>
        <v>1537.6044568245125</v>
      </c>
      <c r="H190" s="1"/>
    </row>
    <row r="191" spans="1:8" ht="18.95" customHeight="1">
      <c r="A191" s="1">
        <v>185</v>
      </c>
      <c r="B191" s="8">
        <f>A191*Summary!$B$14</f>
        <v>1541.6666666666667</v>
      </c>
      <c r="C191" s="8">
        <f>'Native PMKS'!B191*1000</f>
        <v>1541.6666666666636</v>
      </c>
      <c r="D191" s="8">
        <f t="shared" si="2"/>
        <v>3.1832314562052488E-12</v>
      </c>
      <c r="E191" s="1"/>
      <c r="F191" s="1">
        <v>185</v>
      </c>
      <c r="G191" s="8">
        <f>F191*Summary!$B$17</f>
        <v>1545.9610027855153</v>
      </c>
      <c r="H191" s="1"/>
    </row>
    <row r="192" spans="1:8" ht="18.95" customHeight="1">
      <c r="A192" s="1">
        <v>186</v>
      </c>
      <c r="B192" s="8">
        <f>A192*Summary!$B$14</f>
        <v>1550</v>
      </c>
      <c r="C192" s="8">
        <f>'Native PMKS'!B192*1000</f>
        <v>1549.999999999997</v>
      </c>
      <c r="D192" s="8">
        <f t="shared" si="2"/>
        <v>2.9558577807620168E-12</v>
      </c>
      <c r="E192" s="1"/>
      <c r="F192" s="1">
        <v>186</v>
      </c>
      <c r="G192" s="8">
        <f>F192*Summary!$B$17</f>
        <v>1554.317548746518</v>
      </c>
      <c r="H192" s="1"/>
    </row>
    <row r="193" spans="1:8" ht="18.95" customHeight="1">
      <c r="A193" s="1">
        <v>187</v>
      </c>
      <c r="B193" s="8">
        <f>A193*Summary!$B$14</f>
        <v>1558.3333333333335</v>
      </c>
      <c r="C193" s="8">
        <f>'Native PMKS'!B193*1000</f>
        <v>1558.3333333333303</v>
      </c>
      <c r="D193" s="8">
        <f t="shared" si="2"/>
        <v>3.1832314562052488E-12</v>
      </c>
      <c r="E193" s="1"/>
      <c r="F193" s="1">
        <v>187</v>
      </c>
      <c r="G193" s="8">
        <f>F193*Summary!$B$17</f>
        <v>1562.6740947075209</v>
      </c>
      <c r="H193" s="1"/>
    </row>
    <row r="194" spans="1:8" ht="18.95" customHeight="1">
      <c r="A194" s="1">
        <v>188</v>
      </c>
      <c r="B194" s="8">
        <f>A194*Summary!$B$14</f>
        <v>1566.6666666666667</v>
      </c>
      <c r="C194" s="8">
        <f>'Native PMKS'!B194*1000</f>
        <v>1566.6666666666636</v>
      </c>
      <c r="D194" s="8">
        <f t="shared" si="2"/>
        <v>3.1832314562052488E-12</v>
      </c>
      <c r="E194" s="1"/>
      <c r="F194" s="1">
        <v>188</v>
      </c>
      <c r="G194" s="8">
        <f>F194*Summary!$B$17</f>
        <v>1571.0306406685236</v>
      </c>
      <c r="H194" s="1"/>
    </row>
    <row r="195" spans="1:8" ht="18.95" customHeight="1">
      <c r="A195" s="1">
        <v>189</v>
      </c>
      <c r="B195" s="8">
        <f>A195*Summary!$B$14</f>
        <v>1575</v>
      </c>
      <c r="C195" s="8">
        <f>'Native PMKS'!B195*1000</f>
        <v>1574.9999999999968</v>
      </c>
      <c r="D195" s="8">
        <f t="shared" si="2"/>
        <v>3.1832314562052488E-12</v>
      </c>
      <c r="E195" s="1"/>
      <c r="F195" s="1">
        <v>189</v>
      </c>
      <c r="G195" s="8">
        <f>F195*Summary!$B$17</f>
        <v>1579.3871866295265</v>
      </c>
      <c r="H195" s="1"/>
    </row>
    <row r="196" spans="1:8" ht="18.95" customHeight="1">
      <c r="A196" s="1">
        <v>190</v>
      </c>
      <c r="B196" s="8">
        <f>A196*Summary!$B$14</f>
        <v>1583.3333333333335</v>
      </c>
      <c r="C196" s="8">
        <f>'Native PMKS'!B196*1000</f>
        <v>1583.3333333333301</v>
      </c>
      <c r="D196" s="8">
        <f t="shared" si="2"/>
        <v>3.4106051316484809E-12</v>
      </c>
      <c r="E196" s="1"/>
      <c r="F196" s="1">
        <v>190</v>
      </c>
      <c r="G196" s="8">
        <f>F196*Summary!$B$17</f>
        <v>1587.7437325905291</v>
      </c>
      <c r="H196" s="1"/>
    </row>
    <row r="197" spans="1:8" ht="18.95" customHeight="1">
      <c r="A197" s="1">
        <v>191</v>
      </c>
      <c r="B197" s="8">
        <f>A197*Summary!$B$14</f>
        <v>1591.6666666666667</v>
      </c>
      <c r="C197" s="8">
        <f>'Native PMKS'!B197*1000</f>
        <v>1591.6666666666636</v>
      </c>
      <c r="D197" s="8">
        <f t="shared" si="2"/>
        <v>3.1832314562052488E-12</v>
      </c>
      <c r="E197" s="1"/>
      <c r="F197" s="1">
        <v>191</v>
      </c>
      <c r="G197" s="8">
        <f>F197*Summary!$B$17</f>
        <v>1596.100278551532</v>
      </c>
      <c r="H197" s="1"/>
    </row>
    <row r="198" spans="1:8" ht="18.95" customHeight="1">
      <c r="A198" s="1">
        <v>192</v>
      </c>
      <c r="B198" s="8">
        <f>A198*Summary!$B$14</f>
        <v>1600</v>
      </c>
      <c r="C198" s="8">
        <f>'Native PMKS'!B198*1000</f>
        <v>1599.9999999999968</v>
      </c>
      <c r="D198" s="8">
        <f t="shared" ref="D198:D261" si="3">B198-C198</f>
        <v>3.1832314562052488E-12</v>
      </c>
      <c r="E198" s="1"/>
      <c r="F198" s="1">
        <v>192</v>
      </c>
      <c r="G198" s="8">
        <f>F198*Summary!$B$17</f>
        <v>1604.4568245125347</v>
      </c>
      <c r="H198" s="1"/>
    </row>
    <row r="199" spans="1:8" ht="18.95" customHeight="1">
      <c r="A199" s="1">
        <v>193</v>
      </c>
      <c r="B199" s="8">
        <f>A199*Summary!$B$14</f>
        <v>1608.3333333333335</v>
      </c>
      <c r="C199" s="8">
        <f>'Native PMKS'!B199*1000</f>
        <v>1608.3333333333301</v>
      </c>
      <c r="D199" s="8">
        <f t="shared" si="3"/>
        <v>3.4106051316484809E-12</v>
      </c>
      <c r="E199" s="1"/>
      <c r="F199" s="1">
        <v>193</v>
      </c>
      <c r="G199" s="8">
        <f>F199*Summary!$B$17</f>
        <v>1612.8133704735376</v>
      </c>
      <c r="H199" s="1"/>
    </row>
    <row r="200" spans="1:8" ht="18.95" customHeight="1">
      <c r="A200" s="1">
        <v>194</v>
      </c>
      <c r="B200" s="8">
        <f>A200*Summary!$B$14</f>
        <v>1616.6666666666667</v>
      </c>
      <c r="C200" s="8">
        <f>'Native PMKS'!B200*1000</f>
        <v>1616.6666666666633</v>
      </c>
      <c r="D200" s="8">
        <f t="shared" si="3"/>
        <v>3.4106051316484809E-12</v>
      </c>
      <c r="E200" s="1"/>
      <c r="F200" s="1">
        <v>194</v>
      </c>
      <c r="G200" s="8">
        <f>F200*Summary!$B$17</f>
        <v>1621.1699164345405</v>
      </c>
      <c r="H200" s="1"/>
    </row>
    <row r="201" spans="1:8" ht="18.95" customHeight="1">
      <c r="A201" s="1">
        <v>195</v>
      </c>
      <c r="B201" s="8">
        <f>A201*Summary!$B$14</f>
        <v>1625.0000000000002</v>
      </c>
      <c r="C201" s="8">
        <f>'Native PMKS'!B201*1000</f>
        <v>1624.9999999999966</v>
      </c>
      <c r="D201" s="8">
        <f t="shared" si="3"/>
        <v>3.637978807091713E-12</v>
      </c>
      <c r="E201" s="1"/>
      <c r="F201" s="1">
        <v>195</v>
      </c>
      <c r="G201" s="8">
        <f>F201*Summary!$B$17</f>
        <v>1629.5264623955431</v>
      </c>
      <c r="H201" s="1"/>
    </row>
    <row r="202" spans="1:8" ht="18.95" customHeight="1">
      <c r="A202" s="1">
        <v>196</v>
      </c>
      <c r="B202" s="8">
        <f>A202*Summary!$B$14</f>
        <v>1633.3333333333335</v>
      </c>
      <c r="C202" s="8">
        <f>'Native PMKS'!B202*1000</f>
        <v>1633.3333333333301</v>
      </c>
      <c r="D202" s="8">
        <f t="shared" si="3"/>
        <v>3.4106051316484809E-12</v>
      </c>
      <c r="E202" s="1"/>
      <c r="F202" s="1">
        <v>196</v>
      </c>
      <c r="G202" s="8">
        <f>F202*Summary!$B$17</f>
        <v>1637.883008356546</v>
      </c>
      <c r="H202" s="1"/>
    </row>
    <row r="203" spans="1:8" ht="18.95" customHeight="1">
      <c r="A203" s="1">
        <v>197</v>
      </c>
      <c r="B203" s="8">
        <f>A203*Summary!$B$14</f>
        <v>1641.6666666666667</v>
      </c>
      <c r="C203" s="8">
        <f>'Native PMKS'!B203*1000</f>
        <v>1641.6666666666633</v>
      </c>
      <c r="D203" s="8">
        <f t="shared" si="3"/>
        <v>3.4106051316484809E-12</v>
      </c>
      <c r="E203" s="1"/>
      <c r="F203" s="1">
        <v>197</v>
      </c>
      <c r="G203" s="8">
        <f>F203*Summary!$B$17</f>
        <v>1646.2395543175487</v>
      </c>
      <c r="H203" s="1"/>
    </row>
    <row r="204" spans="1:8" ht="18.95" customHeight="1">
      <c r="A204" s="1">
        <v>198</v>
      </c>
      <c r="B204" s="8">
        <f>A204*Summary!$B$14</f>
        <v>1650.0000000000002</v>
      </c>
      <c r="C204" s="8">
        <f>'Native PMKS'!B204*1000</f>
        <v>1649.9999999999966</v>
      </c>
      <c r="D204" s="8">
        <f t="shared" si="3"/>
        <v>3.637978807091713E-12</v>
      </c>
      <c r="E204" s="1"/>
      <c r="F204" s="1">
        <v>198</v>
      </c>
      <c r="G204" s="8">
        <f>F204*Summary!$B$17</f>
        <v>1654.5961002785516</v>
      </c>
      <c r="H204" s="1"/>
    </row>
    <row r="205" spans="1:8" ht="18.95" customHeight="1">
      <c r="A205" s="1">
        <v>199</v>
      </c>
      <c r="B205" s="8">
        <f>A205*Summary!$B$14</f>
        <v>1658.3333333333335</v>
      </c>
      <c r="C205" s="8">
        <f>'Native PMKS'!B205*1000</f>
        <v>1658.3333333333298</v>
      </c>
      <c r="D205" s="8">
        <f t="shared" si="3"/>
        <v>3.637978807091713E-12</v>
      </c>
      <c r="E205" s="1"/>
      <c r="F205" s="1">
        <v>199</v>
      </c>
      <c r="G205" s="8">
        <f>F205*Summary!$B$17</f>
        <v>1662.9526462395543</v>
      </c>
      <c r="H205" s="1"/>
    </row>
    <row r="206" spans="1:8" ht="18.95" customHeight="1">
      <c r="A206" s="1">
        <v>200</v>
      </c>
      <c r="B206" s="8">
        <f>A206*Summary!$B$14</f>
        <v>1666.6666666666667</v>
      </c>
      <c r="C206" s="8">
        <f>'Native PMKS'!B206*1000</f>
        <v>1666.6666666666631</v>
      </c>
      <c r="D206" s="8">
        <f t="shared" si="3"/>
        <v>3.637978807091713E-12</v>
      </c>
      <c r="E206" s="1"/>
      <c r="F206" s="1">
        <v>200</v>
      </c>
      <c r="G206" s="8">
        <f>F206*Summary!$B$17</f>
        <v>1671.3091922005572</v>
      </c>
      <c r="H206" s="1"/>
    </row>
    <row r="207" spans="1:8" ht="18.95" customHeight="1">
      <c r="A207" s="1">
        <v>201</v>
      </c>
      <c r="B207" s="8">
        <f>A207*Summary!$B$14</f>
        <v>1675.0000000000002</v>
      </c>
      <c r="C207" s="8">
        <f>'Native PMKS'!B207*1000</f>
        <v>1674.9999999999966</v>
      </c>
      <c r="D207" s="8">
        <f t="shared" si="3"/>
        <v>3.637978807091713E-12</v>
      </c>
      <c r="E207" s="1"/>
      <c r="F207" s="1">
        <v>201</v>
      </c>
      <c r="G207" s="8">
        <f>F207*Summary!$B$17</f>
        <v>1679.6657381615598</v>
      </c>
      <c r="H207" s="1"/>
    </row>
    <row r="208" spans="1:8" ht="18.95" customHeight="1">
      <c r="A208" s="1">
        <v>202</v>
      </c>
      <c r="B208" s="8">
        <f>A208*Summary!$B$14</f>
        <v>1683.3333333333335</v>
      </c>
      <c r="C208" s="8">
        <f>'Native PMKS'!B208*1000</f>
        <v>1683.3333333333298</v>
      </c>
      <c r="D208" s="8">
        <f t="shared" si="3"/>
        <v>3.637978807091713E-12</v>
      </c>
      <c r="E208" s="1"/>
      <c r="F208" s="1">
        <v>202</v>
      </c>
      <c r="G208" s="8">
        <f>F208*Summary!$B$17</f>
        <v>1688.0222841225627</v>
      </c>
      <c r="H208" s="1"/>
    </row>
    <row r="209" spans="1:8" ht="18.95" customHeight="1">
      <c r="A209" s="1">
        <v>203</v>
      </c>
      <c r="B209" s="8">
        <f>A209*Summary!$B$14</f>
        <v>1691.6666666666667</v>
      </c>
      <c r="C209" s="8">
        <f>'Native PMKS'!B209*1000</f>
        <v>1691.6666666666631</v>
      </c>
      <c r="D209" s="8">
        <f t="shared" si="3"/>
        <v>3.637978807091713E-12</v>
      </c>
      <c r="E209" s="1"/>
      <c r="F209" s="1">
        <v>203</v>
      </c>
      <c r="G209" s="8">
        <f>F209*Summary!$B$17</f>
        <v>1696.3788300835654</v>
      </c>
      <c r="H209" s="1"/>
    </row>
    <row r="210" spans="1:8" ht="18.95" customHeight="1">
      <c r="A210" s="1">
        <v>204</v>
      </c>
      <c r="B210" s="8">
        <f>A210*Summary!$B$14</f>
        <v>1700.0000000000002</v>
      </c>
      <c r="C210" s="8">
        <f>'Native PMKS'!B210*1000</f>
        <v>1699.9999999999964</v>
      </c>
      <c r="D210" s="8">
        <f t="shared" si="3"/>
        <v>3.865352482534945E-12</v>
      </c>
      <c r="E210" s="1"/>
      <c r="F210" s="1">
        <v>204</v>
      </c>
      <c r="G210" s="8">
        <f>F210*Summary!$B$17</f>
        <v>1704.7353760445683</v>
      </c>
      <c r="H210" s="1"/>
    </row>
    <row r="211" spans="1:8" ht="18.95" customHeight="1">
      <c r="A211" s="1">
        <v>205</v>
      </c>
      <c r="B211" s="8">
        <f>A211*Summary!$B$14</f>
        <v>1708.3333333333335</v>
      </c>
      <c r="C211" s="8">
        <f>'Native PMKS'!B211*1000</f>
        <v>1708.3333333333296</v>
      </c>
      <c r="D211" s="8">
        <f t="shared" si="3"/>
        <v>3.865352482534945E-12</v>
      </c>
      <c r="E211" s="1"/>
      <c r="F211" s="1">
        <v>205</v>
      </c>
      <c r="G211" s="8">
        <f>F211*Summary!$B$17</f>
        <v>1713.091922005571</v>
      </c>
      <c r="H211" s="1"/>
    </row>
    <row r="212" spans="1:8" ht="18.95" customHeight="1">
      <c r="A212" s="1">
        <v>206</v>
      </c>
      <c r="B212" s="8">
        <f>A212*Summary!$B$14</f>
        <v>1716.6666666666667</v>
      </c>
      <c r="C212" s="8">
        <f>'Native PMKS'!B212*1000</f>
        <v>1716.6666666666631</v>
      </c>
      <c r="D212" s="8">
        <f t="shared" si="3"/>
        <v>3.637978807091713E-12</v>
      </c>
      <c r="E212" s="1"/>
      <c r="F212" s="1">
        <v>206</v>
      </c>
      <c r="G212" s="8">
        <f>F212*Summary!$B$17</f>
        <v>1721.4484679665738</v>
      </c>
      <c r="H212" s="1"/>
    </row>
    <row r="213" spans="1:8" ht="18.95" customHeight="1">
      <c r="A213" s="1">
        <v>207</v>
      </c>
      <c r="B213" s="8">
        <f>A213*Summary!$B$14</f>
        <v>1725.0000000000002</v>
      </c>
      <c r="C213" s="8">
        <f>'Native PMKS'!B213*1000</f>
        <v>1724.9999999999964</v>
      </c>
      <c r="D213" s="8">
        <f t="shared" si="3"/>
        <v>3.865352482534945E-12</v>
      </c>
      <c r="E213" s="1"/>
      <c r="F213" s="1">
        <v>207</v>
      </c>
      <c r="G213" s="8">
        <f>F213*Summary!$B$17</f>
        <v>1729.8050139275765</v>
      </c>
      <c r="H213" s="1"/>
    </row>
    <row r="214" spans="1:8" ht="18.95" customHeight="1">
      <c r="A214" s="1">
        <v>208</v>
      </c>
      <c r="B214" s="8">
        <f>A214*Summary!$B$14</f>
        <v>1733.3333333333335</v>
      </c>
      <c r="C214" s="8">
        <f>'Native PMKS'!B214*1000</f>
        <v>1733.3333333333296</v>
      </c>
      <c r="D214" s="8">
        <f t="shared" si="3"/>
        <v>3.865352482534945E-12</v>
      </c>
      <c r="E214" s="1"/>
      <c r="F214" s="1">
        <v>208</v>
      </c>
      <c r="G214" s="8">
        <f>F214*Summary!$B$17</f>
        <v>1738.1615598885794</v>
      </c>
      <c r="H214" s="1"/>
    </row>
    <row r="215" spans="1:8" ht="18.95" customHeight="1">
      <c r="A215" s="1">
        <v>209</v>
      </c>
      <c r="B215" s="8">
        <f>A215*Summary!$B$14</f>
        <v>1741.6666666666667</v>
      </c>
      <c r="C215" s="8">
        <f>'Native PMKS'!B215*1000</f>
        <v>1741.6666666666629</v>
      </c>
      <c r="D215" s="8">
        <f t="shared" si="3"/>
        <v>3.865352482534945E-12</v>
      </c>
      <c r="E215" s="1"/>
      <c r="F215" s="1">
        <v>209</v>
      </c>
      <c r="G215" s="8">
        <f>F215*Summary!$B$17</f>
        <v>1746.5181058495821</v>
      </c>
      <c r="H215" s="1"/>
    </row>
    <row r="216" spans="1:8" ht="18.95" customHeight="1">
      <c r="A216" s="1">
        <v>210</v>
      </c>
      <c r="B216" s="8">
        <f>A216*Summary!$B$14</f>
        <v>1750.0000000000002</v>
      </c>
      <c r="C216" s="8">
        <f>'Native PMKS'!B216*1000</f>
        <v>1749.9999999999961</v>
      </c>
      <c r="D216" s="8">
        <f t="shared" si="3"/>
        <v>4.0927261579781771E-12</v>
      </c>
      <c r="E216" s="1"/>
      <c r="F216" s="1">
        <v>210</v>
      </c>
      <c r="G216" s="8">
        <f>F216*Summary!$B$17</f>
        <v>1754.874651810585</v>
      </c>
      <c r="H216" s="1"/>
    </row>
    <row r="217" spans="1:8" ht="18.95" customHeight="1">
      <c r="A217" s="1">
        <v>211</v>
      </c>
      <c r="B217" s="8">
        <f>A217*Summary!$B$14</f>
        <v>1758.3333333333335</v>
      </c>
      <c r="C217" s="8">
        <f>'Native PMKS'!B217*1000</f>
        <v>1758.3333333333296</v>
      </c>
      <c r="D217" s="8">
        <f t="shared" si="3"/>
        <v>3.865352482534945E-12</v>
      </c>
      <c r="E217" s="1"/>
      <c r="F217" s="1">
        <v>211</v>
      </c>
      <c r="G217" s="8">
        <f>F217*Summary!$B$17</f>
        <v>1763.2311977715876</v>
      </c>
      <c r="H217" s="1"/>
    </row>
    <row r="218" spans="1:8" ht="18.95" customHeight="1">
      <c r="A218" s="1">
        <v>212</v>
      </c>
      <c r="B218" s="8">
        <f>A218*Summary!$B$14</f>
        <v>1766.6666666666667</v>
      </c>
      <c r="C218" s="8">
        <f>'Native PMKS'!B218*1000</f>
        <v>1766.6666666666629</v>
      </c>
      <c r="D218" s="8">
        <f t="shared" si="3"/>
        <v>3.865352482534945E-12</v>
      </c>
      <c r="E218" s="1"/>
      <c r="F218" s="1">
        <v>212</v>
      </c>
      <c r="G218" s="8">
        <f>F218*Summary!$B$17</f>
        <v>1771.5877437325905</v>
      </c>
      <c r="H218" s="1"/>
    </row>
    <row r="219" spans="1:8" ht="18.95" customHeight="1">
      <c r="A219" s="1">
        <v>213</v>
      </c>
      <c r="B219" s="8">
        <f>A219*Summary!$B$14</f>
        <v>1775.0000000000002</v>
      </c>
      <c r="C219" s="8">
        <f>'Native PMKS'!B219*1000</f>
        <v>1774.9999999999961</v>
      </c>
      <c r="D219" s="8">
        <f t="shared" si="3"/>
        <v>4.0927261579781771E-12</v>
      </c>
      <c r="E219" s="1"/>
      <c r="F219" s="1">
        <v>213</v>
      </c>
      <c r="G219" s="8">
        <f>F219*Summary!$B$17</f>
        <v>1779.9442896935932</v>
      </c>
      <c r="H219" s="1"/>
    </row>
    <row r="220" spans="1:8" ht="18.95" customHeight="1">
      <c r="A220" s="1">
        <v>214</v>
      </c>
      <c r="B220" s="8">
        <f>A220*Summary!$B$14</f>
        <v>1783.3333333333335</v>
      </c>
      <c r="C220" s="8">
        <f>'Native PMKS'!B220*1000</f>
        <v>1783.3333333333294</v>
      </c>
      <c r="D220" s="8">
        <f t="shared" si="3"/>
        <v>4.0927261579781771E-12</v>
      </c>
      <c r="E220" s="1"/>
      <c r="F220" s="1">
        <v>214</v>
      </c>
      <c r="G220" s="8">
        <f>F220*Summary!$B$17</f>
        <v>1788.3008356545961</v>
      </c>
      <c r="H220" s="1"/>
    </row>
    <row r="221" spans="1:8" ht="18.95" customHeight="1">
      <c r="A221" s="1">
        <v>215</v>
      </c>
      <c r="B221" s="8">
        <f>A221*Summary!$B$14</f>
        <v>1791.6666666666667</v>
      </c>
      <c r="C221" s="8">
        <f>'Native PMKS'!B221*1000</f>
        <v>1791.6666666666626</v>
      </c>
      <c r="D221" s="8">
        <f t="shared" si="3"/>
        <v>4.0927261579781771E-12</v>
      </c>
      <c r="E221" s="1"/>
      <c r="F221" s="1">
        <v>215</v>
      </c>
      <c r="G221" s="8">
        <f>F221*Summary!$B$17</f>
        <v>1796.657381615599</v>
      </c>
      <c r="H221" s="1"/>
    </row>
    <row r="222" spans="1:8" ht="18.95" customHeight="1">
      <c r="A222" s="1">
        <v>216</v>
      </c>
      <c r="B222" s="8">
        <f>A222*Summary!$B$14</f>
        <v>1800.0000000000002</v>
      </c>
      <c r="C222" s="8">
        <f>'Native PMKS'!B222*1000</f>
        <v>1799.9999999999961</v>
      </c>
      <c r="D222" s="8">
        <f t="shared" si="3"/>
        <v>4.0927261579781771E-12</v>
      </c>
      <c r="E222" s="1"/>
      <c r="F222" s="1">
        <v>216</v>
      </c>
      <c r="G222" s="8">
        <f>F222*Summary!$B$17</f>
        <v>1805.0139275766016</v>
      </c>
      <c r="H222" s="1"/>
    </row>
    <row r="223" spans="1:8" ht="18.95" customHeight="1">
      <c r="A223" s="1">
        <v>217</v>
      </c>
      <c r="B223" s="8">
        <f>A223*Summary!$B$14</f>
        <v>1808.3333333333335</v>
      </c>
      <c r="C223" s="8">
        <f>'Native PMKS'!B223*1000</f>
        <v>1808.3333333333294</v>
      </c>
      <c r="D223" s="8">
        <f t="shared" si="3"/>
        <v>4.0927261579781771E-12</v>
      </c>
      <c r="E223" s="1"/>
      <c r="F223" s="1">
        <v>217</v>
      </c>
      <c r="G223" s="8">
        <f>F223*Summary!$B$17</f>
        <v>1813.3704735376045</v>
      </c>
      <c r="H223" s="1"/>
    </row>
    <row r="224" spans="1:8" ht="18.95" customHeight="1">
      <c r="A224" s="1">
        <v>218</v>
      </c>
      <c r="B224" s="8">
        <f>A224*Summary!$B$14</f>
        <v>1816.6666666666667</v>
      </c>
      <c r="C224" s="8">
        <f>'Native PMKS'!B224*1000</f>
        <v>1816.6666666666626</v>
      </c>
      <c r="D224" s="8">
        <f t="shared" si="3"/>
        <v>4.0927261579781771E-12</v>
      </c>
      <c r="E224" s="1"/>
      <c r="F224" s="1">
        <v>218</v>
      </c>
      <c r="G224" s="8">
        <f>F224*Summary!$B$17</f>
        <v>1821.7270194986072</v>
      </c>
      <c r="H224" s="1"/>
    </row>
    <row r="225" spans="1:8" ht="18.95" customHeight="1">
      <c r="A225" s="1">
        <v>219</v>
      </c>
      <c r="B225" s="8">
        <f>A225*Summary!$B$14</f>
        <v>1825.0000000000002</v>
      </c>
      <c r="C225" s="8">
        <f>'Native PMKS'!B225*1000</f>
        <v>1824.9999999999959</v>
      </c>
      <c r="D225" s="8">
        <f t="shared" si="3"/>
        <v>4.3200998334214091E-12</v>
      </c>
      <c r="E225" s="1"/>
      <c r="F225" s="1">
        <v>219</v>
      </c>
      <c r="G225" s="8">
        <f>F225*Summary!$B$17</f>
        <v>1830.0835654596101</v>
      </c>
      <c r="H225" s="1"/>
    </row>
    <row r="226" spans="1:8" ht="18.95" customHeight="1">
      <c r="A226" s="1">
        <v>220</v>
      </c>
      <c r="B226" s="8">
        <f>A226*Summary!$B$14</f>
        <v>1833.3333333333335</v>
      </c>
      <c r="C226" s="8">
        <f>'Native PMKS'!B226*1000</f>
        <v>1833.3333333333292</v>
      </c>
      <c r="D226" s="8">
        <f t="shared" si="3"/>
        <v>4.3200998334214091E-12</v>
      </c>
      <c r="E226" s="1"/>
      <c r="F226" s="1">
        <v>220</v>
      </c>
      <c r="G226" s="8">
        <f>F226*Summary!$B$17</f>
        <v>1838.4401114206128</v>
      </c>
      <c r="H226" s="1"/>
    </row>
    <row r="227" spans="1:8" ht="18.95" customHeight="1">
      <c r="A227" s="1">
        <v>221</v>
      </c>
      <c r="B227" s="8">
        <f>A227*Summary!$B$14</f>
        <v>1841.6666666666667</v>
      </c>
      <c r="C227" s="8">
        <f>'Native PMKS'!B227*1000</f>
        <v>1841.6666666666626</v>
      </c>
      <c r="D227" s="8">
        <f t="shared" si="3"/>
        <v>4.0927261579781771E-12</v>
      </c>
      <c r="E227" s="1"/>
      <c r="F227" s="1">
        <v>221</v>
      </c>
      <c r="G227" s="8">
        <f>F227*Summary!$B$17</f>
        <v>1846.7966573816157</v>
      </c>
      <c r="H227" s="1"/>
    </row>
    <row r="228" spans="1:8" ht="18.95" customHeight="1">
      <c r="A228" s="1">
        <v>222</v>
      </c>
      <c r="B228" s="8">
        <f>A228*Summary!$B$14</f>
        <v>1850.0000000000002</v>
      </c>
      <c r="C228" s="8">
        <f>'Native PMKS'!B228*1000</f>
        <v>1849.9999999999959</v>
      </c>
      <c r="D228" s="8">
        <f t="shared" si="3"/>
        <v>4.3200998334214091E-12</v>
      </c>
      <c r="E228" s="1"/>
      <c r="F228" s="1">
        <v>222</v>
      </c>
      <c r="G228" s="8">
        <f>F228*Summary!$B$17</f>
        <v>1855.1532033426183</v>
      </c>
      <c r="H228" s="1"/>
    </row>
    <row r="229" spans="1:8" ht="18.95" customHeight="1">
      <c r="A229" s="1">
        <v>223</v>
      </c>
      <c r="B229" s="8">
        <f>A229*Summary!$B$14</f>
        <v>1858.3333333333335</v>
      </c>
      <c r="C229" s="8">
        <f>'Native PMKS'!B229*1000</f>
        <v>1858.3333333333292</v>
      </c>
      <c r="D229" s="8">
        <f t="shared" si="3"/>
        <v>4.3200998334214091E-12</v>
      </c>
      <c r="E229" s="1"/>
      <c r="F229" s="1">
        <v>223</v>
      </c>
      <c r="G229" s="8">
        <f>F229*Summary!$B$17</f>
        <v>1863.5097493036212</v>
      </c>
      <c r="H229" s="1"/>
    </row>
    <row r="230" spans="1:8" ht="18.95" customHeight="1">
      <c r="A230" s="1">
        <v>224</v>
      </c>
      <c r="B230" s="8">
        <f>A230*Summary!$B$14</f>
        <v>1866.6666666666667</v>
      </c>
      <c r="C230" s="8">
        <f>'Native PMKS'!B230*1000</f>
        <v>1866.6666666666624</v>
      </c>
      <c r="D230" s="8">
        <f t="shared" si="3"/>
        <v>4.3200998334214091E-12</v>
      </c>
      <c r="E230" s="1"/>
      <c r="F230" s="1">
        <v>224</v>
      </c>
      <c r="G230" s="8">
        <f>F230*Summary!$B$17</f>
        <v>1871.8662952646239</v>
      </c>
      <c r="H230" s="1"/>
    </row>
    <row r="231" spans="1:8" ht="18.95" customHeight="1">
      <c r="A231" s="1">
        <v>225</v>
      </c>
      <c r="B231" s="8">
        <f>A231*Summary!$B$14</f>
        <v>1875.0000000000002</v>
      </c>
      <c r="C231" s="8">
        <f>'Native PMKS'!B231*1000</f>
        <v>1874.9999999999957</v>
      </c>
      <c r="D231" s="8">
        <f t="shared" si="3"/>
        <v>4.5474735088646412E-12</v>
      </c>
      <c r="E231" s="1"/>
      <c r="F231" s="1">
        <v>225</v>
      </c>
      <c r="G231" s="8">
        <f>F231*Summary!$B$17</f>
        <v>1880.2228412256268</v>
      </c>
      <c r="H231" s="1"/>
    </row>
    <row r="232" spans="1:8" ht="18.95" customHeight="1">
      <c r="A232" s="1">
        <v>226</v>
      </c>
      <c r="B232" s="8">
        <f>A232*Summary!$B$14</f>
        <v>1883.3333333333335</v>
      </c>
      <c r="C232" s="8">
        <f>'Native PMKS'!B232*1000</f>
        <v>1883.3333333333292</v>
      </c>
      <c r="D232" s="8">
        <f t="shared" si="3"/>
        <v>4.3200998334214091E-12</v>
      </c>
      <c r="E232" s="1"/>
      <c r="F232" s="1">
        <v>226</v>
      </c>
      <c r="G232" s="8">
        <f>F232*Summary!$B$17</f>
        <v>1888.5793871866294</v>
      </c>
      <c r="H232" s="1"/>
    </row>
    <row r="233" spans="1:8" ht="18.95" customHeight="1">
      <c r="A233" s="1">
        <v>227</v>
      </c>
      <c r="B233" s="8">
        <f>A233*Summary!$B$14</f>
        <v>1891.6666666666667</v>
      </c>
      <c r="C233" s="8">
        <f>'Native PMKS'!B233*1000</f>
        <v>1891.6666666666624</v>
      </c>
      <c r="D233" s="8">
        <f t="shared" si="3"/>
        <v>4.3200998334214091E-12</v>
      </c>
      <c r="E233" s="1"/>
      <c r="F233" s="1">
        <v>227</v>
      </c>
      <c r="G233" s="8">
        <f>F233*Summary!$B$17</f>
        <v>1896.9359331476323</v>
      </c>
      <c r="H233" s="1"/>
    </row>
    <row r="234" spans="1:8" ht="18.95" customHeight="1">
      <c r="A234" s="1">
        <v>228</v>
      </c>
      <c r="B234" s="8">
        <f>A234*Summary!$B$14</f>
        <v>1900.0000000000002</v>
      </c>
      <c r="C234" s="8">
        <f>'Native PMKS'!B234*1000</f>
        <v>1899.9999999999957</v>
      </c>
      <c r="D234" s="8">
        <f t="shared" si="3"/>
        <v>4.5474735088646412E-12</v>
      </c>
      <c r="E234" s="1"/>
      <c r="F234" s="1">
        <v>228</v>
      </c>
      <c r="G234" s="8">
        <f>F234*Summary!$B$17</f>
        <v>1905.292479108635</v>
      </c>
      <c r="H234" s="1"/>
    </row>
    <row r="235" spans="1:8" ht="18.95" customHeight="1">
      <c r="A235" s="1">
        <v>229</v>
      </c>
      <c r="B235" s="8">
        <f>A235*Summary!$B$14</f>
        <v>1908.3333333333335</v>
      </c>
      <c r="C235" s="8">
        <f>'Native PMKS'!B235*1000</f>
        <v>1908.3333333333289</v>
      </c>
      <c r="D235" s="8">
        <f t="shared" si="3"/>
        <v>4.5474735088646412E-12</v>
      </c>
      <c r="E235" s="1"/>
      <c r="F235" s="1">
        <v>229</v>
      </c>
      <c r="G235" s="8">
        <f>F235*Summary!$B$17</f>
        <v>1913.6490250696379</v>
      </c>
      <c r="H235" s="1"/>
    </row>
    <row r="236" spans="1:8" ht="18.95" customHeight="1">
      <c r="A236" s="1">
        <v>230</v>
      </c>
      <c r="B236" s="8">
        <f>A236*Summary!$B$14</f>
        <v>1916.6666666666667</v>
      </c>
      <c r="C236" s="8">
        <f>'Native PMKS'!B236*1000</f>
        <v>1916.6666666666622</v>
      </c>
      <c r="D236" s="8">
        <f t="shared" si="3"/>
        <v>4.5474735088646412E-12</v>
      </c>
      <c r="E236" s="1"/>
      <c r="F236" s="1">
        <v>230</v>
      </c>
      <c r="G236" s="8">
        <f>F236*Summary!$B$17</f>
        <v>1922.0055710306406</v>
      </c>
      <c r="H236" s="1"/>
    </row>
    <row r="237" spans="1:8" ht="18.95" customHeight="1">
      <c r="A237" s="1">
        <v>231</v>
      </c>
      <c r="B237" s="8">
        <f>A237*Summary!$B$14</f>
        <v>1925.0000000000002</v>
      </c>
      <c r="C237" s="8">
        <f>'Native PMKS'!B237*1000</f>
        <v>1924.9999999999957</v>
      </c>
      <c r="D237" s="8">
        <f t="shared" si="3"/>
        <v>4.5474735088646412E-12</v>
      </c>
      <c r="E237" s="1"/>
      <c r="F237" s="1">
        <v>231</v>
      </c>
      <c r="G237" s="8">
        <f>F237*Summary!$B$17</f>
        <v>1930.3621169916435</v>
      </c>
      <c r="H237" s="1"/>
    </row>
    <row r="238" spans="1:8" ht="18.95" customHeight="1">
      <c r="A238" s="1">
        <v>232</v>
      </c>
      <c r="B238" s="8">
        <f>A238*Summary!$B$14</f>
        <v>1933.3333333333335</v>
      </c>
      <c r="C238" s="8">
        <f>'Native PMKS'!B238*1000</f>
        <v>1933.3333333333289</v>
      </c>
      <c r="D238" s="8">
        <f t="shared" si="3"/>
        <v>4.5474735088646412E-12</v>
      </c>
      <c r="E238" s="1"/>
      <c r="F238" s="1">
        <v>232</v>
      </c>
      <c r="G238" s="8">
        <f>F238*Summary!$B$17</f>
        <v>1938.7186629526461</v>
      </c>
      <c r="H238" s="1"/>
    </row>
    <row r="239" spans="1:8" ht="18.95" customHeight="1">
      <c r="A239" s="1">
        <v>233</v>
      </c>
      <c r="B239" s="8">
        <f>A239*Summary!$B$14</f>
        <v>1941.6666666666667</v>
      </c>
      <c r="C239" s="8">
        <f>'Native PMKS'!B239*1000</f>
        <v>1941.6666666666622</v>
      </c>
      <c r="D239" s="8">
        <f t="shared" si="3"/>
        <v>4.5474735088646412E-12</v>
      </c>
      <c r="E239" s="1"/>
      <c r="F239" s="1">
        <v>233</v>
      </c>
      <c r="G239" s="8">
        <f>F239*Summary!$B$17</f>
        <v>1947.075208913649</v>
      </c>
      <c r="H239" s="1"/>
    </row>
    <row r="240" spans="1:8" ht="18.95" customHeight="1">
      <c r="A240" s="1">
        <v>234</v>
      </c>
      <c r="B240" s="8">
        <f>A240*Summary!$B$14</f>
        <v>1950.0000000000002</v>
      </c>
      <c r="C240" s="8">
        <f>'Native PMKS'!B240*1000</f>
        <v>1949.9999999999955</v>
      </c>
      <c r="D240" s="8">
        <f t="shared" si="3"/>
        <v>4.7748471843078732E-12</v>
      </c>
      <c r="E240" s="1"/>
      <c r="F240" s="1">
        <v>234</v>
      </c>
      <c r="G240" s="8">
        <f>F240*Summary!$B$17</f>
        <v>1955.4317548746517</v>
      </c>
      <c r="H240" s="1"/>
    </row>
    <row r="241" spans="1:8" ht="18.95" customHeight="1">
      <c r="A241" s="1">
        <v>235</v>
      </c>
      <c r="B241" s="8">
        <f>A241*Summary!$B$14</f>
        <v>1958.3333333333335</v>
      </c>
      <c r="C241" s="8">
        <f>'Native PMKS'!B241*1000</f>
        <v>1958.3333333333287</v>
      </c>
      <c r="D241" s="8">
        <f t="shared" si="3"/>
        <v>4.7748471843078732E-12</v>
      </c>
      <c r="E241" s="1"/>
      <c r="F241" s="1">
        <v>235</v>
      </c>
      <c r="G241" s="8">
        <f>F241*Summary!$B$17</f>
        <v>1963.7883008356546</v>
      </c>
      <c r="H241" s="1"/>
    </row>
    <row r="242" spans="1:8" ht="18.95" customHeight="1">
      <c r="A242" s="1">
        <v>236</v>
      </c>
      <c r="B242" s="8">
        <f>A242*Summary!$B$14</f>
        <v>1966.6666666666667</v>
      </c>
      <c r="C242" s="8">
        <f>'Native PMKS'!B242*1000</f>
        <v>1966.6666666666622</v>
      </c>
      <c r="D242" s="8">
        <f t="shared" si="3"/>
        <v>4.5474735088646412E-12</v>
      </c>
      <c r="E242" s="1"/>
      <c r="F242" s="1">
        <v>236</v>
      </c>
      <c r="G242" s="8">
        <f>F242*Summary!$B$17</f>
        <v>1972.1448467966575</v>
      </c>
      <c r="H242" s="1"/>
    </row>
    <row r="243" spans="1:8" ht="18.95" customHeight="1">
      <c r="A243" s="1">
        <v>237</v>
      </c>
      <c r="B243" s="8">
        <f>A243*Summary!$B$14</f>
        <v>1975.0000000000002</v>
      </c>
      <c r="C243" s="8">
        <f>'Native PMKS'!B243*1000</f>
        <v>1974.9999999999955</v>
      </c>
      <c r="D243" s="8">
        <f t="shared" si="3"/>
        <v>4.7748471843078732E-12</v>
      </c>
      <c r="E243" s="1"/>
      <c r="F243" s="1">
        <v>237</v>
      </c>
      <c r="G243" s="8">
        <f>F243*Summary!$B$17</f>
        <v>1980.5013927576601</v>
      </c>
      <c r="H243" s="1"/>
    </row>
    <row r="244" spans="1:8" ht="18.95" customHeight="1">
      <c r="A244" s="1">
        <v>238</v>
      </c>
      <c r="B244" s="8">
        <f>A244*Summary!$B$14</f>
        <v>1983.3333333333335</v>
      </c>
      <c r="C244" s="8">
        <f>'Native PMKS'!B244*1000</f>
        <v>1983.3333333333287</v>
      </c>
      <c r="D244" s="8">
        <f t="shared" si="3"/>
        <v>4.7748471843078732E-12</v>
      </c>
      <c r="E244" s="1"/>
      <c r="F244" s="1">
        <v>238</v>
      </c>
      <c r="G244" s="8">
        <f>F244*Summary!$B$17</f>
        <v>1988.857938718663</v>
      </c>
      <c r="H244" s="1"/>
    </row>
    <row r="245" spans="1:8" ht="18.95" customHeight="1">
      <c r="A245" s="1">
        <v>239</v>
      </c>
      <c r="B245" s="8">
        <f>A245*Summary!$B$14</f>
        <v>1991.6666666666667</v>
      </c>
      <c r="C245" s="8">
        <f>'Native PMKS'!B245*1000</f>
        <v>1991.666666666662</v>
      </c>
      <c r="D245" s="8">
        <f t="shared" si="3"/>
        <v>4.7748471843078732E-12</v>
      </c>
      <c r="E245" s="1"/>
      <c r="F245" s="1">
        <v>239</v>
      </c>
      <c r="G245" s="8">
        <f>F245*Summary!$B$17</f>
        <v>1997.2144846796657</v>
      </c>
      <c r="H245" s="1"/>
    </row>
    <row r="246" spans="1:8" ht="18.95" customHeight="1">
      <c r="A246" s="1">
        <v>240</v>
      </c>
      <c r="B246" s="8">
        <f>A246*Summary!$B$14</f>
        <v>2000.0000000000002</v>
      </c>
      <c r="C246" s="8">
        <f>'Native PMKS'!B246*1000</f>
        <v>1999.9999999999952</v>
      </c>
      <c r="D246" s="8">
        <f t="shared" si="3"/>
        <v>5.0022208597511053E-12</v>
      </c>
      <c r="E246" s="1"/>
      <c r="F246" s="1">
        <v>240</v>
      </c>
      <c r="G246" s="8">
        <f>F246*Summary!$B$17</f>
        <v>2005.5710306406686</v>
      </c>
      <c r="H246" s="1"/>
    </row>
    <row r="247" spans="1:8" ht="18.95" customHeight="1">
      <c r="A247" s="1">
        <v>241</v>
      </c>
      <c r="B247" s="8">
        <f>A247*Summary!$B$14</f>
        <v>2008.3333333333335</v>
      </c>
      <c r="C247" s="8">
        <f>'Native PMKS'!B247*1000</f>
        <v>2008.3333333333289</v>
      </c>
      <c r="D247" s="8">
        <f t="shared" si="3"/>
        <v>4.5474735088646412E-12</v>
      </c>
      <c r="E247" s="1"/>
      <c r="F247" s="1">
        <v>241</v>
      </c>
      <c r="G247" s="8">
        <f>F247*Summary!$B$17</f>
        <v>2013.9275766016713</v>
      </c>
      <c r="H247" s="1"/>
    </row>
    <row r="248" spans="1:8" ht="18.95" customHeight="1">
      <c r="A248" s="1">
        <v>242</v>
      </c>
      <c r="B248" s="8">
        <f>A248*Summary!$B$14</f>
        <v>2016.6666666666667</v>
      </c>
      <c r="C248" s="8">
        <f>'Native PMKS'!B248*1000</f>
        <v>2016.6666666666622</v>
      </c>
      <c r="D248" s="8">
        <f t="shared" si="3"/>
        <v>4.5474735088646412E-12</v>
      </c>
      <c r="E248" s="1"/>
      <c r="F248" s="1">
        <v>242</v>
      </c>
      <c r="G248" s="8">
        <f>F248*Summary!$B$17</f>
        <v>2022.2841225626742</v>
      </c>
      <c r="H248" s="1"/>
    </row>
    <row r="249" spans="1:8" ht="18.95" customHeight="1">
      <c r="A249" s="1">
        <v>243</v>
      </c>
      <c r="B249" s="8">
        <f>A249*Summary!$B$14</f>
        <v>2025.0000000000002</v>
      </c>
      <c r="C249" s="8">
        <f>'Native PMKS'!B249*1000</f>
        <v>2024.9999999999955</v>
      </c>
      <c r="D249" s="8">
        <f t="shared" si="3"/>
        <v>4.7748471843078732E-12</v>
      </c>
      <c r="E249" s="1"/>
      <c r="F249" s="1">
        <v>243</v>
      </c>
      <c r="G249" s="8">
        <f>F249*Summary!$B$17</f>
        <v>2030.6406685236768</v>
      </c>
      <c r="H249" s="1"/>
    </row>
    <row r="250" spans="1:8" ht="18.95" customHeight="1">
      <c r="A250" s="1">
        <v>244</v>
      </c>
      <c r="B250" s="8">
        <f>A250*Summary!$B$14</f>
        <v>2033.3333333333335</v>
      </c>
      <c r="C250" s="8">
        <f>'Native PMKS'!B250*1000</f>
        <v>2033.3333333333287</v>
      </c>
      <c r="D250" s="8">
        <f t="shared" si="3"/>
        <v>4.7748471843078732E-12</v>
      </c>
      <c r="E250" s="1"/>
      <c r="F250" s="1">
        <v>244</v>
      </c>
      <c r="G250" s="8">
        <f>F250*Summary!$B$17</f>
        <v>2038.9972144846797</v>
      </c>
      <c r="H250" s="1"/>
    </row>
    <row r="251" spans="1:8" ht="18.95" customHeight="1">
      <c r="A251" s="1">
        <v>245</v>
      </c>
      <c r="B251" s="8">
        <f>A251*Summary!$B$14</f>
        <v>2041.6666666666667</v>
      </c>
      <c r="C251" s="8">
        <f>'Native PMKS'!B251*1000</f>
        <v>2041.666666666662</v>
      </c>
      <c r="D251" s="8">
        <f t="shared" si="3"/>
        <v>4.7748471843078732E-12</v>
      </c>
      <c r="E251" s="1"/>
      <c r="F251" s="1">
        <v>245</v>
      </c>
      <c r="G251" s="8">
        <f>F251*Summary!$B$17</f>
        <v>2047.3537604456824</v>
      </c>
      <c r="H251" s="1"/>
    </row>
    <row r="252" spans="1:8" ht="18.95" customHeight="1">
      <c r="A252" s="1">
        <v>246</v>
      </c>
      <c r="B252" s="8">
        <f>A252*Summary!$B$14</f>
        <v>2050</v>
      </c>
      <c r="C252" s="8">
        <f>'Native PMKS'!B252*1000</f>
        <v>2049.9999999999955</v>
      </c>
      <c r="D252" s="8">
        <f t="shared" si="3"/>
        <v>4.5474735088646412E-12</v>
      </c>
      <c r="E252" s="1"/>
      <c r="F252" s="1">
        <v>246</v>
      </c>
      <c r="G252" s="8">
        <f>F252*Summary!$B$17</f>
        <v>2055.710306406685</v>
      </c>
      <c r="H252" s="1"/>
    </row>
    <row r="253" spans="1:8" ht="18.95" customHeight="1">
      <c r="A253" s="1">
        <v>247</v>
      </c>
      <c r="B253" s="8">
        <f>A253*Summary!$B$14</f>
        <v>2058.3333333333335</v>
      </c>
      <c r="C253" s="8">
        <f>'Native PMKS'!B253*1000</f>
        <v>2058.3333333333285</v>
      </c>
      <c r="D253" s="8">
        <f t="shared" si="3"/>
        <v>5.0022208597511053E-12</v>
      </c>
      <c r="E253" s="1"/>
      <c r="F253" s="1">
        <v>247</v>
      </c>
      <c r="G253" s="8">
        <f>F253*Summary!$B$17</f>
        <v>2064.0668523676882</v>
      </c>
      <c r="H253" s="1"/>
    </row>
    <row r="254" spans="1:8" ht="18.95" customHeight="1">
      <c r="A254" s="1">
        <v>248</v>
      </c>
      <c r="B254" s="8">
        <f>A254*Summary!$B$14</f>
        <v>2066.666666666667</v>
      </c>
      <c r="C254" s="8">
        <f>'Native PMKS'!B254*1000</f>
        <v>2066.666666666662</v>
      </c>
      <c r="D254" s="8">
        <f t="shared" si="3"/>
        <v>5.0022208597511053E-12</v>
      </c>
      <c r="E254" s="1"/>
      <c r="F254" s="1">
        <v>248</v>
      </c>
      <c r="G254" s="8">
        <f>F254*Summary!$B$17</f>
        <v>2072.4233983286908</v>
      </c>
      <c r="H254" s="1"/>
    </row>
    <row r="255" spans="1:8" ht="18.95" customHeight="1">
      <c r="A255" s="1">
        <v>249</v>
      </c>
      <c r="B255" s="8">
        <f>A255*Summary!$B$14</f>
        <v>2075</v>
      </c>
      <c r="C255" s="8">
        <f>'Native PMKS'!B255*1000</f>
        <v>2074.9999999999955</v>
      </c>
      <c r="D255" s="8">
        <f t="shared" si="3"/>
        <v>4.5474735088646412E-12</v>
      </c>
      <c r="E255" s="1"/>
      <c r="F255" s="1">
        <v>249</v>
      </c>
      <c r="G255" s="8">
        <f>F255*Summary!$B$17</f>
        <v>2080.7799442896935</v>
      </c>
      <c r="H255" s="1"/>
    </row>
    <row r="256" spans="1:8" ht="18.95" customHeight="1">
      <c r="A256" s="1">
        <v>250</v>
      </c>
      <c r="B256" s="8">
        <f>A256*Summary!$B$14</f>
        <v>2083.3333333333335</v>
      </c>
      <c r="C256" s="8">
        <f>'Native PMKS'!B256*1000</f>
        <v>2083.3333333333285</v>
      </c>
      <c r="D256" s="8">
        <f t="shared" si="3"/>
        <v>5.0022208597511053E-12</v>
      </c>
      <c r="E256" s="1"/>
      <c r="F256" s="1">
        <v>250</v>
      </c>
      <c r="G256" s="8">
        <f>F256*Summary!$B$17</f>
        <v>2089.1364902506962</v>
      </c>
      <c r="H256" s="1"/>
    </row>
    <row r="257" spans="1:8" ht="18.95" customHeight="1">
      <c r="A257" s="1">
        <v>251</v>
      </c>
      <c r="B257" s="8">
        <f>A257*Summary!$B$14</f>
        <v>2091.666666666667</v>
      </c>
      <c r="C257" s="8">
        <f>'Native PMKS'!B257*1000</f>
        <v>2091.666666666662</v>
      </c>
      <c r="D257" s="8">
        <f t="shared" si="3"/>
        <v>5.0022208597511053E-12</v>
      </c>
      <c r="E257" s="1"/>
      <c r="F257" s="1">
        <v>251</v>
      </c>
      <c r="G257" s="8">
        <f>F257*Summary!$B$17</f>
        <v>2097.4930362116993</v>
      </c>
      <c r="H257" s="1"/>
    </row>
    <row r="258" spans="1:8" ht="18.95" customHeight="1">
      <c r="A258" s="1">
        <v>252</v>
      </c>
      <c r="B258" s="8">
        <f>A258*Summary!$B$14</f>
        <v>2100</v>
      </c>
      <c r="C258" s="8">
        <f>'Native PMKS'!B258*1000</f>
        <v>2099.999999999995</v>
      </c>
      <c r="D258" s="8">
        <f t="shared" si="3"/>
        <v>5.0022208597511053E-12</v>
      </c>
      <c r="E258" s="1"/>
      <c r="F258" s="1">
        <v>252</v>
      </c>
      <c r="G258" s="8">
        <f>F258*Summary!$B$17</f>
        <v>2105.849582172702</v>
      </c>
      <c r="H258" s="1"/>
    </row>
    <row r="259" spans="1:8" ht="18.95" customHeight="1">
      <c r="A259" s="1">
        <v>253</v>
      </c>
      <c r="B259" s="8">
        <f>A259*Summary!$B$14</f>
        <v>2108.3333333333335</v>
      </c>
      <c r="C259" s="8">
        <f>'Native PMKS'!B259*1000</f>
        <v>2108.3333333333285</v>
      </c>
      <c r="D259" s="8">
        <f t="shared" si="3"/>
        <v>5.0022208597511053E-12</v>
      </c>
      <c r="E259" s="1"/>
      <c r="F259" s="1">
        <v>253</v>
      </c>
      <c r="G259" s="8">
        <f>F259*Summary!$B$17</f>
        <v>2114.2061281337046</v>
      </c>
      <c r="H259" s="1"/>
    </row>
    <row r="260" spans="1:8" ht="18.95" customHeight="1">
      <c r="A260" s="1">
        <v>254</v>
      </c>
      <c r="B260" s="8">
        <f>A260*Summary!$B$14</f>
        <v>2116.666666666667</v>
      </c>
      <c r="C260" s="8">
        <f>'Native PMKS'!B260*1000</f>
        <v>2116.666666666662</v>
      </c>
      <c r="D260" s="8">
        <f t="shared" si="3"/>
        <v>5.0022208597511053E-12</v>
      </c>
      <c r="E260" s="1"/>
      <c r="F260" s="1">
        <v>254</v>
      </c>
      <c r="G260" s="8">
        <f>F260*Summary!$B$17</f>
        <v>2122.5626740947073</v>
      </c>
      <c r="H260" s="1"/>
    </row>
    <row r="261" spans="1:8" ht="18.95" customHeight="1">
      <c r="A261" s="1">
        <v>255</v>
      </c>
      <c r="B261" s="8">
        <f>A261*Summary!$B$14</f>
        <v>2125</v>
      </c>
      <c r="C261" s="8">
        <f>'Native PMKS'!B261*1000</f>
        <v>2124.999999999995</v>
      </c>
      <c r="D261" s="8">
        <f t="shared" si="3"/>
        <v>5.0022208597511053E-12</v>
      </c>
      <c r="E261" s="1"/>
      <c r="F261" s="1">
        <v>255</v>
      </c>
      <c r="G261" s="8">
        <f>F261*Summary!$B$17</f>
        <v>2130.9192200557104</v>
      </c>
      <c r="H261" s="1"/>
    </row>
    <row r="262" spans="1:8" ht="18.95" customHeight="1">
      <c r="A262" s="1">
        <v>256</v>
      </c>
      <c r="B262" s="8">
        <f>A262*Summary!$B$14</f>
        <v>2133.3333333333335</v>
      </c>
      <c r="C262" s="8">
        <f>'Native PMKS'!B262*1000</f>
        <v>2133.3333333333285</v>
      </c>
      <c r="D262" s="8">
        <f t="shared" ref="D262:D325" si="4">B262-C262</f>
        <v>5.0022208597511053E-12</v>
      </c>
      <c r="E262" s="1"/>
      <c r="F262" s="1">
        <v>256</v>
      </c>
      <c r="G262" s="8">
        <f>F262*Summary!$B$17</f>
        <v>2139.2757660167131</v>
      </c>
      <c r="H262" s="1"/>
    </row>
    <row r="263" spans="1:8" ht="18.95" customHeight="1">
      <c r="A263" s="1">
        <v>257</v>
      </c>
      <c r="B263" s="8">
        <f>A263*Summary!$B$14</f>
        <v>2141.666666666667</v>
      </c>
      <c r="C263" s="8">
        <f>'Native PMKS'!B263*1000</f>
        <v>2141.6666666666615</v>
      </c>
      <c r="D263" s="8">
        <f t="shared" si="4"/>
        <v>5.4569682106375694E-12</v>
      </c>
      <c r="E263" s="1"/>
      <c r="F263" s="1">
        <v>257</v>
      </c>
      <c r="G263" s="8">
        <f>F263*Summary!$B$17</f>
        <v>2147.6323119777157</v>
      </c>
      <c r="H263" s="1"/>
    </row>
    <row r="264" spans="1:8" ht="18.95" customHeight="1">
      <c r="A264" s="1">
        <v>258</v>
      </c>
      <c r="B264" s="8">
        <f>A264*Summary!$B$14</f>
        <v>2150</v>
      </c>
      <c r="C264" s="8">
        <f>'Native PMKS'!B264*1000</f>
        <v>2149.999999999995</v>
      </c>
      <c r="D264" s="8">
        <f t="shared" si="4"/>
        <v>5.0022208597511053E-12</v>
      </c>
      <c r="E264" s="1"/>
      <c r="F264" s="1">
        <v>258</v>
      </c>
      <c r="G264" s="8">
        <f>F264*Summary!$B$17</f>
        <v>2155.9888579387189</v>
      </c>
      <c r="H264" s="1"/>
    </row>
    <row r="265" spans="1:8" ht="18.95" customHeight="1">
      <c r="A265" s="1">
        <v>259</v>
      </c>
      <c r="B265" s="8">
        <f>A265*Summary!$B$14</f>
        <v>2158.3333333333335</v>
      </c>
      <c r="C265" s="8">
        <f>'Native PMKS'!B265*1000</f>
        <v>2158.3333333333285</v>
      </c>
      <c r="D265" s="8">
        <f t="shared" si="4"/>
        <v>5.0022208597511053E-12</v>
      </c>
      <c r="E265" s="1"/>
      <c r="F265" s="1">
        <v>259</v>
      </c>
      <c r="G265" s="8">
        <f>F265*Summary!$B$17</f>
        <v>2164.3454038997215</v>
      </c>
      <c r="H265" s="1"/>
    </row>
    <row r="266" spans="1:8" ht="18.95" customHeight="1">
      <c r="A266" s="1">
        <v>260</v>
      </c>
      <c r="B266" s="8">
        <f>A266*Summary!$B$14</f>
        <v>2166.666666666667</v>
      </c>
      <c r="C266" s="8">
        <f>'Native PMKS'!B266*1000</f>
        <v>2166.6666666666615</v>
      </c>
      <c r="D266" s="8">
        <f t="shared" si="4"/>
        <v>5.4569682106375694E-12</v>
      </c>
      <c r="E266" s="1"/>
      <c r="F266" s="1">
        <v>260</v>
      </c>
      <c r="G266" s="8">
        <f>F266*Summary!$B$17</f>
        <v>2172.7019498607242</v>
      </c>
      <c r="H266" s="1"/>
    </row>
    <row r="267" spans="1:8" ht="18.95" customHeight="1">
      <c r="A267" s="1">
        <v>261</v>
      </c>
      <c r="B267" s="8">
        <f>A267*Summary!$B$14</f>
        <v>2175</v>
      </c>
      <c r="C267" s="8">
        <f>'Native PMKS'!B267*1000</f>
        <v>2174.999999999995</v>
      </c>
      <c r="D267" s="8">
        <f t="shared" si="4"/>
        <v>5.0022208597511053E-12</v>
      </c>
      <c r="E267" s="1"/>
      <c r="F267" s="1">
        <v>261</v>
      </c>
      <c r="G267" s="8">
        <f>F267*Summary!$B$17</f>
        <v>2181.0584958217269</v>
      </c>
      <c r="H267" s="1"/>
    </row>
    <row r="268" spans="1:8" ht="18.95" customHeight="1">
      <c r="A268" s="1">
        <v>262</v>
      </c>
      <c r="B268" s="8">
        <f>A268*Summary!$B$14</f>
        <v>2183.3333333333335</v>
      </c>
      <c r="C268" s="8">
        <f>'Native PMKS'!B268*1000</f>
        <v>2183.333333333328</v>
      </c>
      <c r="D268" s="8">
        <f t="shared" si="4"/>
        <v>5.4569682106375694E-12</v>
      </c>
      <c r="E268" s="1"/>
      <c r="F268" s="1">
        <v>262</v>
      </c>
      <c r="G268" s="8">
        <f>F268*Summary!$B$17</f>
        <v>2189.41504178273</v>
      </c>
      <c r="H268" s="1"/>
    </row>
    <row r="269" spans="1:8" ht="18.95" customHeight="1">
      <c r="A269" s="1">
        <v>263</v>
      </c>
      <c r="B269" s="8">
        <f>A269*Summary!$B$14</f>
        <v>2191.666666666667</v>
      </c>
      <c r="C269" s="8">
        <f>'Native PMKS'!B269*1000</f>
        <v>2191.6666666666615</v>
      </c>
      <c r="D269" s="8">
        <f t="shared" si="4"/>
        <v>5.4569682106375694E-12</v>
      </c>
      <c r="E269" s="1"/>
      <c r="F269" s="1">
        <v>263</v>
      </c>
      <c r="G269" s="8">
        <f>F269*Summary!$B$17</f>
        <v>2197.7715877437327</v>
      </c>
      <c r="H269" s="1"/>
    </row>
    <row r="270" spans="1:8" ht="18.95" customHeight="1">
      <c r="A270" s="1">
        <v>264</v>
      </c>
      <c r="B270" s="8">
        <f>A270*Summary!$B$14</f>
        <v>2200</v>
      </c>
      <c r="C270" s="8">
        <f>'Native PMKS'!B270*1000</f>
        <v>2199.999999999995</v>
      </c>
      <c r="D270" s="8">
        <f t="shared" si="4"/>
        <v>5.0022208597511053E-12</v>
      </c>
      <c r="E270" s="1"/>
      <c r="F270" s="1">
        <v>264</v>
      </c>
      <c r="G270" s="8">
        <f>F270*Summary!$B$17</f>
        <v>2206.1281337047353</v>
      </c>
      <c r="H270" s="1"/>
    </row>
    <row r="271" spans="1:8" ht="18.95" customHeight="1">
      <c r="A271" s="1">
        <v>265</v>
      </c>
      <c r="B271" s="8">
        <f>A271*Summary!$B$14</f>
        <v>2208.3333333333335</v>
      </c>
      <c r="C271" s="8">
        <f>'Native PMKS'!B271*1000</f>
        <v>2208.333333333328</v>
      </c>
      <c r="D271" s="8">
        <f t="shared" si="4"/>
        <v>5.4569682106375694E-12</v>
      </c>
      <c r="E271" s="1"/>
      <c r="F271" s="1">
        <v>265</v>
      </c>
      <c r="G271" s="8">
        <f>F271*Summary!$B$17</f>
        <v>2214.484679665738</v>
      </c>
      <c r="H271" s="1"/>
    </row>
    <row r="272" spans="1:8" ht="18.95" customHeight="1">
      <c r="A272" s="1">
        <v>266</v>
      </c>
      <c r="B272" s="8">
        <f>A272*Summary!$B$14</f>
        <v>2216.666666666667</v>
      </c>
      <c r="C272" s="8">
        <f>'Native PMKS'!B272*1000</f>
        <v>2216.6666666666615</v>
      </c>
      <c r="D272" s="8">
        <f t="shared" si="4"/>
        <v>5.4569682106375694E-12</v>
      </c>
      <c r="E272" s="1"/>
      <c r="F272" s="1">
        <v>266</v>
      </c>
      <c r="G272" s="8">
        <f>F272*Summary!$B$17</f>
        <v>2222.8412256267411</v>
      </c>
      <c r="H272" s="1"/>
    </row>
    <row r="273" spans="1:8" ht="18.95" customHeight="1">
      <c r="A273" s="1">
        <v>267</v>
      </c>
      <c r="B273" s="8">
        <f>A273*Summary!$B$14</f>
        <v>2225</v>
      </c>
      <c r="C273" s="8">
        <f>'Native PMKS'!B273*1000</f>
        <v>2224.9999999999945</v>
      </c>
      <c r="D273" s="8">
        <f t="shared" si="4"/>
        <v>5.4569682106375694E-12</v>
      </c>
      <c r="E273" s="1"/>
      <c r="F273" s="1">
        <v>267</v>
      </c>
      <c r="G273" s="8">
        <f>F273*Summary!$B$17</f>
        <v>2231.1977715877438</v>
      </c>
      <c r="H273" s="1"/>
    </row>
    <row r="274" spans="1:8" ht="18.95" customHeight="1">
      <c r="A274" s="1">
        <v>268</v>
      </c>
      <c r="B274" s="8">
        <f>A274*Summary!$B$14</f>
        <v>2233.3333333333335</v>
      </c>
      <c r="C274" s="8">
        <f>'Native PMKS'!B274*1000</f>
        <v>2233.333333333328</v>
      </c>
      <c r="D274" s="8">
        <f t="shared" si="4"/>
        <v>5.4569682106375694E-12</v>
      </c>
      <c r="E274" s="1"/>
      <c r="F274" s="1">
        <v>268</v>
      </c>
      <c r="G274" s="8">
        <f>F274*Summary!$B$17</f>
        <v>2239.5543175487464</v>
      </c>
      <c r="H274" s="1"/>
    </row>
    <row r="275" spans="1:8" ht="18.95" customHeight="1">
      <c r="A275" s="1">
        <v>269</v>
      </c>
      <c r="B275" s="8">
        <f>A275*Summary!$B$14</f>
        <v>2241.666666666667</v>
      </c>
      <c r="C275" s="8">
        <f>'Native PMKS'!B275*1000</f>
        <v>2241.6666666666615</v>
      </c>
      <c r="D275" s="8">
        <f t="shared" si="4"/>
        <v>5.4569682106375694E-12</v>
      </c>
      <c r="E275" s="1"/>
      <c r="F275" s="1">
        <v>269</v>
      </c>
      <c r="G275" s="8">
        <f>F275*Summary!$B$17</f>
        <v>2247.9108635097491</v>
      </c>
      <c r="H275" s="1"/>
    </row>
    <row r="276" spans="1:8" ht="18.95" customHeight="1">
      <c r="A276" s="1">
        <v>270</v>
      </c>
      <c r="B276" s="8">
        <f>A276*Summary!$B$14</f>
        <v>2250</v>
      </c>
      <c r="C276" s="8">
        <f>'Native PMKS'!B276*1000</f>
        <v>2249.9999999999945</v>
      </c>
      <c r="D276" s="8">
        <f t="shared" si="4"/>
        <v>5.4569682106375694E-12</v>
      </c>
      <c r="E276" s="1"/>
      <c r="F276" s="1">
        <v>270</v>
      </c>
      <c r="G276" s="8">
        <f>F276*Summary!$B$17</f>
        <v>2256.2674094707522</v>
      </c>
      <c r="H276" s="1"/>
    </row>
    <row r="277" spans="1:8" ht="18.95" customHeight="1">
      <c r="A277" s="1">
        <v>271</v>
      </c>
      <c r="B277" s="8">
        <f>A277*Summary!$B$14</f>
        <v>2258.3333333333335</v>
      </c>
      <c r="C277" s="8">
        <f>'Native PMKS'!B277*1000</f>
        <v>2258.333333333328</v>
      </c>
      <c r="D277" s="8">
        <f t="shared" si="4"/>
        <v>5.4569682106375694E-12</v>
      </c>
      <c r="E277" s="1"/>
      <c r="F277" s="1">
        <v>271</v>
      </c>
      <c r="G277" s="8">
        <f>F277*Summary!$B$17</f>
        <v>2264.6239554317549</v>
      </c>
      <c r="H277" s="1"/>
    </row>
    <row r="278" spans="1:8" ht="18.95" customHeight="1">
      <c r="A278" s="1">
        <v>272</v>
      </c>
      <c r="B278" s="8">
        <f>A278*Summary!$B$14</f>
        <v>2266.666666666667</v>
      </c>
      <c r="C278" s="8">
        <f>'Native PMKS'!B278*1000</f>
        <v>2266.6666666666611</v>
      </c>
      <c r="D278" s="8">
        <f t="shared" si="4"/>
        <v>5.9117155615240335E-12</v>
      </c>
      <c r="E278" s="1"/>
      <c r="F278" s="1">
        <v>272</v>
      </c>
      <c r="G278" s="8">
        <f>F278*Summary!$B$17</f>
        <v>2272.9805013927576</v>
      </c>
      <c r="H278" s="1"/>
    </row>
    <row r="279" spans="1:8" ht="18.95" customHeight="1">
      <c r="A279" s="1">
        <v>273</v>
      </c>
      <c r="B279" s="8">
        <f>A279*Summary!$B$14</f>
        <v>2275</v>
      </c>
      <c r="C279" s="8">
        <f>'Native PMKS'!B279*1000</f>
        <v>2274.9999999999945</v>
      </c>
      <c r="D279" s="8">
        <f t="shared" si="4"/>
        <v>5.4569682106375694E-12</v>
      </c>
      <c r="E279" s="1"/>
      <c r="F279" s="1">
        <v>273</v>
      </c>
      <c r="G279" s="8">
        <f>F279*Summary!$B$17</f>
        <v>2281.3370473537602</v>
      </c>
      <c r="H279" s="1"/>
    </row>
    <row r="280" spans="1:8" ht="18.95" customHeight="1">
      <c r="A280" s="1">
        <v>274</v>
      </c>
      <c r="B280" s="8">
        <f>A280*Summary!$B$14</f>
        <v>2283.3333333333335</v>
      </c>
      <c r="C280" s="8">
        <f>'Native PMKS'!B280*1000</f>
        <v>2283.333333333328</v>
      </c>
      <c r="D280" s="8">
        <f t="shared" si="4"/>
        <v>5.4569682106375694E-12</v>
      </c>
      <c r="E280" s="1"/>
      <c r="F280" s="1">
        <v>274</v>
      </c>
      <c r="G280" s="8">
        <f>F280*Summary!$B$17</f>
        <v>2289.6935933147633</v>
      </c>
      <c r="H280" s="1"/>
    </row>
    <row r="281" spans="1:8" ht="18.95" customHeight="1">
      <c r="A281" s="1">
        <v>275</v>
      </c>
      <c r="B281" s="8">
        <f>A281*Summary!$B$14</f>
        <v>2291.666666666667</v>
      </c>
      <c r="C281" s="8">
        <f>'Native PMKS'!B281*1000</f>
        <v>2291.6666666666611</v>
      </c>
      <c r="D281" s="8">
        <f t="shared" si="4"/>
        <v>5.9117155615240335E-12</v>
      </c>
      <c r="E281" s="1"/>
      <c r="F281" s="1">
        <v>275</v>
      </c>
      <c r="G281" s="8">
        <f>F281*Summary!$B$17</f>
        <v>2298.050139275766</v>
      </c>
      <c r="H281" s="1"/>
    </row>
    <row r="282" spans="1:8" ht="18.95" customHeight="1">
      <c r="A282" s="1">
        <v>276</v>
      </c>
      <c r="B282" s="8">
        <f>A282*Summary!$B$14</f>
        <v>2300</v>
      </c>
      <c r="C282" s="8">
        <f>'Native PMKS'!B282*1000</f>
        <v>2299.9999999999945</v>
      </c>
      <c r="D282" s="8">
        <f t="shared" si="4"/>
        <v>5.4569682106375694E-12</v>
      </c>
      <c r="E282" s="1"/>
      <c r="F282" s="1">
        <v>276</v>
      </c>
      <c r="G282" s="8">
        <f>F282*Summary!$B$17</f>
        <v>2306.4066852367687</v>
      </c>
      <c r="H282" s="1"/>
    </row>
    <row r="283" spans="1:8" ht="18.95" customHeight="1">
      <c r="A283" s="1">
        <v>277</v>
      </c>
      <c r="B283" s="8">
        <f>A283*Summary!$B$14</f>
        <v>2308.3333333333335</v>
      </c>
      <c r="C283" s="8">
        <f>'Native PMKS'!B283*1000</f>
        <v>2308.3333333333276</v>
      </c>
      <c r="D283" s="8">
        <f t="shared" si="4"/>
        <v>5.9117155615240335E-12</v>
      </c>
      <c r="E283" s="1"/>
      <c r="F283" s="1">
        <v>277</v>
      </c>
      <c r="G283" s="8">
        <f>F283*Summary!$B$17</f>
        <v>2314.7632311977713</v>
      </c>
      <c r="H283" s="1"/>
    </row>
    <row r="284" spans="1:8" ht="18.95" customHeight="1">
      <c r="A284" s="1">
        <v>278</v>
      </c>
      <c r="B284" s="8">
        <f>A284*Summary!$B$14</f>
        <v>2316.666666666667</v>
      </c>
      <c r="C284" s="8">
        <f>'Native PMKS'!B284*1000</f>
        <v>2316.6666666666611</v>
      </c>
      <c r="D284" s="8">
        <f t="shared" si="4"/>
        <v>5.9117155615240335E-12</v>
      </c>
      <c r="E284" s="1"/>
      <c r="F284" s="1">
        <v>278</v>
      </c>
      <c r="G284" s="8">
        <f>F284*Summary!$B$17</f>
        <v>2323.1197771587745</v>
      </c>
      <c r="H284" s="1"/>
    </row>
    <row r="285" spans="1:8" ht="18.95" customHeight="1">
      <c r="A285" s="1">
        <v>279</v>
      </c>
      <c r="B285" s="8">
        <f>A285*Summary!$B$14</f>
        <v>2325</v>
      </c>
      <c r="C285" s="8">
        <f>'Native PMKS'!B285*1000</f>
        <v>2324.9999999999945</v>
      </c>
      <c r="D285" s="8">
        <f t="shared" si="4"/>
        <v>5.4569682106375694E-12</v>
      </c>
      <c r="E285" s="1"/>
      <c r="F285" s="1">
        <v>279</v>
      </c>
      <c r="G285" s="8">
        <f>F285*Summary!$B$17</f>
        <v>2331.4763231197771</v>
      </c>
      <c r="H285" s="1"/>
    </row>
    <row r="286" spans="1:8" ht="18.95" customHeight="1">
      <c r="A286" s="1">
        <v>280</v>
      </c>
      <c r="B286" s="8">
        <f>A286*Summary!$B$14</f>
        <v>2333.3333333333335</v>
      </c>
      <c r="C286" s="8">
        <f>'Native PMKS'!B286*1000</f>
        <v>2333.3333333333276</v>
      </c>
      <c r="D286" s="8">
        <f t="shared" si="4"/>
        <v>5.9117155615240335E-12</v>
      </c>
      <c r="E286" s="1"/>
      <c r="F286" s="1">
        <v>280</v>
      </c>
      <c r="G286" s="8">
        <f>F286*Summary!$B$17</f>
        <v>2339.8328690807798</v>
      </c>
      <c r="H286" s="1"/>
    </row>
    <row r="287" spans="1:8" ht="18.95" customHeight="1">
      <c r="A287" s="1">
        <v>281</v>
      </c>
      <c r="B287" s="8">
        <f>A287*Summary!$B$14</f>
        <v>2341.666666666667</v>
      </c>
      <c r="C287" s="8">
        <f>'Native PMKS'!B287*1000</f>
        <v>2341.6666666666611</v>
      </c>
      <c r="D287" s="8">
        <f t="shared" si="4"/>
        <v>5.9117155615240335E-12</v>
      </c>
      <c r="E287" s="1"/>
      <c r="F287" s="1">
        <v>281</v>
      </c>
      <c r="G287" s="8">
        <f>F287*Summary!$B$17</f>
        <v>2348.1894150417829</v>
      </c>
      <c r="H287" s="1"/>
    </row>
    <row r="288" spans="1:8" ht="18.95" customHeight="1">
      <c r="A288" s="1">
        <v>282</v>
      </c>
      <c r="B288" s="8">
        <f>A288*Summary!$B$14</f>
        <v>2350</v>
      </c>
      <c r="C288" s="8">
        <f>'Native PMKS'!B288*1000</f>
        <v>2349.9999999999945</v>
      </c>
      <c r="D288" s="8">
        <f t="shared" si="4"/>
        <v>5.4569682106375694E-12</v>
      </c>
      <c r="E288" s="1"/>
      <c r="F288" s="1">
        <v>282</v>
      </c>
      <c r="G288" s="8">
        <f>F288*Summary!$B$17</f>
        <v>2356.5459610027856</v>
      </c>
      <c r="H288" s="1"/>
    </row>
    <row r="289" spans="1:8" ht="18.95" customHeight="1">
      <c r="A289" s="1">
        <v>283</v>
      </c>
      <c r="B289" s="8">
        <f>A289*Summary!$B$14</f>
        <v>2358.3333333333335</v>
      </c>
      <c r="C289" s="8">
        <f>'Native PMKS'!B289*1000</f>
        <v>2358.3333333333276</v>
      </c>
      <c r="D289" s="8">
        <f t="shared" si="4"/>
        <v>5.9117155615240335E-12</v>
      </c>
      <c r="E289" s="1"/>
      <c r="F289" s="1">
        <v>283</v>
      </c>
      <c r="G289" s="8">
        <f>F289*Summary!$B$17</f>
        <v>2364.9025069637883</v>
      </c>
      <c r="H289" s="1"/>
    </row>
    <row r="290" spans="1:8" ht="18.95" customHeight="1">
      <c r="A290" s="1">
        <v>284</v>
      </c>
      <c r="B290" s="8">
        <f>A290*Summary!$B$14</f>
        <v>2366.666666666667</v>
      </c>
      <c r="C290" s="8">
        <f>'Native PMKS'!B290*1000</f>
        <v>2366.6666666666611</v>
      </c>
      <c r="D290" s="8">
        <f t="shared" si="4"/>
        <v>5.9117155615240335E-12</v>
      </c>
      <c r="E290" s="1"/>
      <c r="F290" s="1">
        <v>284</v>
      </c>
      <c r="G290" s="8">
        <f>F290*Summary!$B$17</f>
        <v>2373.2590529247909</v>
      </c>
      <c r="H290" s="1"/>
    </row>
    <row r="291" spans="1:8" ht="18.95" customHeight="1">
      <c r="A291" s="1">
        <v>285</v>
      </c>
      <c r="B291" s="8">
        <f>A291*Summary!$B$14</f>
        <v>2375</v>
      </c>
      <c r="C291" s="8">
        <f>'Native PMKS'!B291*1000</f>
        <v>2374.9999999999941</v>
      </c>
      <c r="D291" s="8">
        <f t="shared" si="4"/>
        <v>5.9117155615240335E-12</v>
      </c>
      <c r="E291" s="1"/>
      <c r="F291" s="1">
        <v>285</v>
      </c>
      <c r="G291" s="8">
        <f>F291*Summary!$B$17</f>
        <v>2381.615598885794</v>
      </c>
      <c r="H291" s="1"/>
    </row>
    <row r="292" spans="1:8" ht="18.95" customHeight="1">
      <c r="A292" s="1">
        <v>286</v>
      </c>
      <c r="B292" s="8">
        <f>A292*Summary!$B$14</f>
        <v>2383.3333333333335</v>
      </c>
      <c r="C292" s="8">
        <f>'Native PMKS'!B292*1000</f>
        <v>2383.3333333333276</v>
      </c>
      <c r="D292" s="8">
        <f t="shared" si="4"/>
        <v>5.9117155615240335E-12</v>
      </c>
      <c r="E292" s="1"/>
      <c r="F292" s="1">
        <v>286</v>
      </c>
      <c r="G292" s="8">
        <f>F292*Summary!$B$17</f>
        <v>2389.9721448467967</v>
      </c>
      <c r="H292" s="1"/>
    </row>
    <row r="293" spans="1:8" ht="18.95" customHeight="1">
      <c r="A293" s="1">
        <v>287</v>
      </c>
      <c r="B293" s="8">
        <f>A293*Summary!$B$14</f>
        <v>2391.666666666667</v>
      </c>
      <c r="C293" s="8">
        <f>'Native PMKS'!B293*1000</f>
        <v>2391.6666666666611</v>
      </c>
      <c r="D293" s="8">
        <f t="shared" si="4"/>
        <v>5.9117155615240335E-12</v>
      </c>
      <c r="E293" s="1"/>
      <c r="F293" s="1">
        <v>287</v>
      </c>
      <c r="G293" s="8">
        <f>F293*Summary!$B$17</f>
        <v>2398.3286908077994</v>
      </c>
      <c r="H293" s="1"/>
    </row>
    <row r="294" spans="1:8" ht="18.95" customHeight="1">
      <c r="A294" s="1">
        <v>288</v>
      </c>
      <c r="B294" s="8">
        <f>A294*Summary!$B$14</f>
        <v>2400</v>
      </c>
      <c r="C294" s="8">
        <f>'Native PMKS'!B294*1000</f>
        <v>2399.9999999999941</v>
      </c>
      <c r="D294" s="8">
        <f t="shared" si="4"/>
        <v>5.9117155615240335E-12</v>
      </c>
      <c r="E294" s="1"/>
      <c r="F294" s="1">
        <v>288</v>
      </c>
      <c r="G294" s="8">
        <f>F294*Summary!$B$17</f>
        <v>2406.685236768802</v>
      </c>
      <c r="H294" s="1"/>
    </row>
    <row r="295" spans="1:8" ht="18.95" customHeight="1">
      <c r="A295" s="1">
        <v>289</v>
      </c>
      <c r="B295" s="8">
        <f>A295*Summary!$B$14</f>
        <v>2408.3333333333335</v>
      </c>
      <c r="C295" s="8">
        <f>'Native PMKS'!B295*1000</f>
        <v>2408.3333333333276</v>
      </c>
      <c r="D295" s="8">
        <f t="shared" si="4"/>
        <v>5.9117155615240335E-12</v>
      </c>
      <c r="E295" s="1"/>
      <c r="F295" s="1">
        <v>289</v>
      </c>
      <c r="G295" s="8">
        <f>F295*Summary!$B$17</f>
        <v>2415.0417827298052</v>
      </c>
      <c r="H295" s="1"/>
    </row>
    <row r="296" spans="1:8" ht="18.95" customHeight="1">
      <c r="A296" s="1">
        <v>290</v>
      </c>
      <c r="B296" s="8">
        <f>A296*Summary!$B$14</f>
        <v>2416.666666666667</v>
      </c>
      <c r="C296" s="8">
        <f>'Native PMKS'!B296*1000</f>
        <v>2416.6666666666606</v>
      </c>
      <c r="D296" s="8">
        <f t="shared" si="4"/>
        <v>6.3664629124104977E-12</v>
      </c>
      <c r="E296" s="1"/>
      <c r="F296" s="1">
        <v>290</v>
      </c>
      <c r="G296" s="8">
        <f>F296*Summary!$B$17</f>
        <v>2423.3983286908078</v>
      </c>
      <c r="H296" s="1"/>
    </row>
    <row r="297" spans="1:8" ht="18.95" customHeight="1">
      <c r="A297" s="1">
        <v>291</v>
      </c>
      <c r="B297" s="8">
        <f>A297*Summary!$B$14</f>
        <v>2425</v>
      </c>
      <c r="C297" s="8">
        <f>'Native PMKS'!B297*1000</f>
        <v>2424.9999999999941</v>
      </c>
      <c r="D297" s="8">
        <f t="shared" si="4"/>
        <v>5.9117155615240335E-12</v>
      </c>
      <c r="E297" s="1"/>
      <c r="F297" s="1">
        <v>291</v>
      </c>
      <c r="G297" s="8">
        <f>F297*Summary!$B$17</f>
        <v>2431.7548746518105</v>
      </c>
      <c r="H297" s="1"/>
    </row>
    <row r="298" spans="1:8" ht="18.95" customHeight="1">
      <c r="A298" s="1">
        <v>292</v>
      </c>
      <c r="B298" s="8">
        <f>A298*Summary!$B$14</f>
        <v>2433.3333333333335</v>
      </c>
      <c r="C298" s="8">
        <f>'Native PMKS'!B298*1000</f>
        <v>2433.3333333333276</v>
      </c>
      <c r="D298" s="8">
        <f t="shared" si="4"/>
        <v>5.9117155615240335E-12</v>
      </c>
      <c r="E298" s="1"/>
      <c r="F298" s="1">
        <v>292</v>
      </c>
      <c r="G298" s="8">
        <f>F298*Summary!$B$17</f>
        <v>2440.1114206128132</v>
      </c>
      <c r="H298" s="1"/>
    </row>
    <row r="299" spans="1:8" ht="18.95" customHeight="1">
      <c r="A299" s="1">
        <v>293</v>
      </c>
      <c r="B299" s="8">
        <f>A299*Summary!$B$14</f>
        <v>2441.666666666667</v>
      </c>
      <c r="C299" s="8">
        <f>'Native PMKS'!B299*1000</f>
        <v>2441.6666666666606</v>
      </c>
      <c r="D299" s="8">
        <f t="shared" si="4"/>
        <v>6.3664629124104977E-12</v>
      </c>
      <c r="E299" s="1"/>
      <c r="F299" s="1">
        <v>293</v>
      </c>
      <c r="G299" s="8">
        <f>F299*Summary!$B$17</f>
        <v>2448.4679665738163</v>
      </c>
      <c r="H299" s="1"/>
    </row>
    <row r="300" spans="1:8" ht="18.95" customHeight="1">
      <c r="A300" s="1">
        <v>294</v>
      </c>
      <c r="B300" s="8">
        <f>A300*Summary!$B$14</f>
        <v>2450</v>
      </c>
      <c r="C300" s="8">
        <f>'Native PMKS'!B300*1000</f>
        <v>2449.9999999999941</v>
      </c>
      <c r="D300" s="8">
        <f t="shared" si="4"/>
        <v>5.9117155615240335E-12</v>
      </c>
      <c r="E300" s="1"/>
      <c r="F300" s="1">
        <v>294</v>
      </c>
      <c r="G300" s="8">
        <f>F300*Summary!$B$17</f>
        <v>2456.824512534819</v>
      </c>
      <c r="H300" s="1"/>
    </row>
    <row r="301" spans="1:8" ht="18.95" customHeight="1">
      <c r="A301" s="1">
        <v>295</v>
      </c>
      <c r="B301" s="8">
        <f>A301*Summary!$B$14</f>
        <v>2458.3333333333335</v>
      </c>
      <c r="C301" s="8">
        <f>'Native PMKS'!B301*1000</f>
        <v>2458.3333333333271</v>
      </c>
      <c r="D301" s="8">
        <f t="shared" si="4"/>
        <v>6.3664629124104977E-12</v>
      </c>
      <c r="E301" s="1"/>
      <c r="F301" s="1">
        <v>295</v>
      </c>
      <c r="G301" s="8">
        <f>F301*Summary!$B$17</f>
        <v>2465.1810584958216</v>
      </c>
      <c r="H301" s="1"/>
    </row>
    <row r="302" spans="1:8" ht="18.95" customHeight="1">
      <c r="A302" s="1">
        <v>296</v>
      </c>
      <c r="B302" s="8">
        <f>A302*Summary!$B$14</f>
        <v>2466.666666666667</v>
      </c>
      <c r="C302" s="8">
        <f>'Native PMKS'!B302*1000</f>
        <v>2466.6666666666606</v>
      </c>
      <c r="D302" s="8">
        <f t="shared" si="4"/>
        <v>6.3664629124104977E-12</v>
      </c>
      <c r="E302" s="1"/>
      <c r="F302" s="1">
        <v>296</v>
      </c>
      <c r="G302" s="8">
        <f>F302*Summary!$B$17</f>
        <v>2473.5376044568243</v>
      </c>
      <c r="H302" s="1"/>
    </row>
    <row r="303" spans="1:8" ht="18.95" customHeight="1">
      <c r="A303" s="1">
        <v>297</v>
      </c>
      <c r="B303" s="8">
        <f>A303*Summary!$B$14</f>
        <v>2475</v>
      </c>
      <c r="C303" s="8">
        <f>'Native PMKS'!B303*1000</f>
        <v>2474.9999999999941</v>
      </c>
      <c r="D303" s="8">
        <f t="shared" si="4"/>
        <v>5.9117155615240335E-12</v>
      </c>
      <c r="E303" s="1"/>
      <c r="F303" s="1">
        <v>297</v>
      </c>
      <c r="G303" s="8">
        <f>F303*Summary!$B$17</f>
        <v>2481.8941504178274</v>
      </c>
      <c r="H303" s="1"/>
    </row>
    <row r="304" spans="1:8" ht="18.95" customHeight="1">
      <c r="A304" s="1">
        <v>298</v>
      </c>
      <c r="B304" s="8">
        <f>A304*Summary!$B$14</f>
        <v>2483.3333333333335</v>
      </c>
      <c r="C304" s="8">
        <f>'Native PMKS'!B304*1000</f>
        <v>2483.3333333333271</v>
      </c>
      <c r="D304" s="8">
        <f t="shared" si="4"/>
        <v>6.3664629124104977E-12</v>
      </c>
      <c r="E304" s="1"/>
      <c r="F304" s="1">
        <v>298</v>
      </c>
      <c r="G304" s="8">
        <f>F304*Summary!$B$17</f>
        <v>2490.2506963788301</v>
      </c>
      <c r="H304" s="1"/>
    </row>
    <row r="305" spans="1:8" ht="18.95" customHeight="1">
      <c r="A305" s="1">
        <v>299</v>
      </c>
      <c r="B305" s="8">
        <f>A305*Summary!$B$14</f>
        <v>2491.666666666667</v>
      </c>
      <c r="C305" s="8">
        <f>'Native PMKS'!B305*1000</f>
        <v>2491.6666666666606</v>
      </c>
      <c r="D305" s="8">
        <f t="shared" si="4"/>
        <v>6.3664629124104977E-12</v>
      </c>
      <c r="E305" s="1"/>
      <c r="F305" s="1">
        <v>299</v>
      </c>
      <c r="G305" s="8">
        <f>F305*Summary!$B$17</f>
        <v>2498.6072423398327</v>
      </c>
      <c r="H305" s="1"/>
    </row>
    <row r="306" spans="1:8" ht="18.95" customHeight="1">
      <c r="A306" s="1">
        <v>300</v>
      </c>
      <c r="B306" s="8">
        <f>A306*Summary!$B$14</f>
        <v>2500</v>
      </c>
      <c r="C306" s="8">
        <f>'Native PMKS'!B306*1000</f>
        <v>2499.9999999999936</v>
      </c>
      <c r="D306" s="8">
        <f t="shared" si="4"/>
        <v>6.3664629124104977E-12</v>
      </c>
      <c r="E306" s="1"/>
      <c r="F306" s="1">
        <v>300</v>
      </c>
      <c r="G306" s="8">
        <f>F306*Summary!$B$17</f>
        <v>2506.9637883008359</v>
      </c>
      <c r="H306" s="1"/>
    </row>
    <row r="307" spans="1:8" ht="18.95" customHeight="1">
      <c r="A307" s="1">
        <v>301</v>
      </c>
      <c r="B307" s="8">
        <f>A307*Summary!$B$14</f>
        <v>2508.3333333333335</v>
      </c>
      <c r="C307" s="8">
        <f>'Native PMKS'!B307*1000</f>
        <v>2508.3333333333271</v>
      </c>
      <c r="D307" s="8">
        <f t="shared" si="4"/>
        <v>6.3664629124104977E-12</v>
      </c>
      <c r="E307" s="1"/>
      <c r="F307" s="1">
        <v>301</v>
      </c>
      <c r="G307" s="8">
        <f>F307*Summary!$B$17</f>
        <v>2515.3203342618385</v>
      </c>
      <c r="H307" s="1"/>
    </row>
    <row r="308" spans="1:8" ht="18.95" customHeight="1">
      <c r="A308" s="1">
        <v>302</v>
      </c>
      <c r="B308" s="8">
        <f>A308*Summary!$B$14</f>
        <v>2516.666666666667</v>
      </c>
      <c r="C308" s="8">
        <f>'Native PMKS'!B308*1000</f>
        <v>2516.6666666666606</v>
      </c>
      <c r="D308" s="8">
        <f t="shared" si="4"/>
        <v>6.3664629124104977E-12</v>
      </c>
      <c r="E308" s="1"/>
      <c r="F308" s="1">
        <v>302</v>
      </c>
      <c r="G308" s="8">
        <f>F308*Summary!$B$17</f>
        <v>2523.6768802228412</v>
      </c>
      <c r="H308" s="1"/>
    </row>
    <row r="309" spans="1:8" ht="18.95" customHeight="1">
      <c r="A309" s="1">
        <v>303</v>
      </c>
      <c r="B309" s="8">
        <f>A309*Summary!$B$14</f>
        <v>2525</v>
      </c>
      <c r="C309" s="8">
        <f>'Native PMKS'!B309*1000</f>
        <v>2524.9999999999936</v>
      </c>
      <c r="D309" s="8">
        <f t="shared" si="4"/>
        <v>6.3664629124104977E-12</v>
      </c>
      <c r="E309" s="1"/>
      <c r="F309" s="1">
        <v>303</v>
      </c>
      <c r="G309" s="8">
        <f>F309*Summary!$B$17</f>
        <v>2532.0334261838439</v>
      </c>
      <c r="H309" s="1"/>
    </row>
    <row r="310" spans="1:8" ht="18.95" customHeight="1">
      <c r="A310" s="1">
        <v>304</v>
      </c>
      <c r="B310" s="8">
        <f>A310*Summary!$B$14</f>
        <v>2533.3333333333335</v>
      </c>
      <c r="C310" s="8">
        <f>'Native PMKS'!B310*1000</f>
        <v>2533.3333333333271</v>
      </c>
      <c r="D310" s="8">
        <f t="shared" si="4"/>
        <v>6.3664629124104977E-12</v>
      </c>
      <c r="E310" s="1"/>
      <c r="F310" s="1">
        <v>304</v>
      </c>
      <c r="G310" s="8">
        <f>F310*Summary!$B$17</f>
        <v>2540.389972144847</v>
      </c>
      <c r="H310" s="1"/>
    </row>
    <row r="311" spans="1:8" ht="18.95" customHeight="1">
      <c r="A311" s="1">
        <v>305</v>
      </c>
      <c r="B311" s="8">
        <f>A311*Summary!$B$14</f>
        <v>2541.666666666667</v>
      </c>
      <c r="C311" s="8">
        <f>'Native PMKS'!B311*1000</f>
        <v>2541.6666666666601</v>
      </c>
      <c r="D311" s="8">
        <f t="shared" si="4"/>
        <v>6.8212102632969618E-12</v>
      </c>
      <c r="E311" s="1"/>
      <c r="F311" s="1">
        <v>305</v>
      </c>
      <c r="G311" s="8">
        <f>F311*Summary!$B$17</f>
        <v>2548.7465181058496</v>
      </c>
      <c r="H311" s="1"/>
    </row>
    <row r="312" spans="1:8" ht="18.95" customHeight="1">
      <c r="A312" s="1">
        <v>306</v>
      </c>
      <c r="B312" s="8">
        <f>A312*Summary!$B$14</f>
        <v>2550</v>
      </c>
      <c r="C312" s="8">
        <f>'Native PMKS'!B312*1000</f>
        <v>2549.9999999999936</v>
      </c>
      <c r="D312" s="8">
        <f t="shared" si="4"/>
        <v>6.3664629124104977E-12</v>
      </c>
      <c r="E312" s="1"/>
      <c r="F312" s="1">
        <v>306</v>
      </c>
      <c r="G312" s="8">
        <f>F312*Summary!$B$17</f>
        <v>2557.1030640668523</v>
      </c>
      <c r="H312" s="1"/>
    </row>
    <row r="313" spans="1:8" ht="18.95" customHeight="1">
      <c r="A313" s="1">
        <v>307</v>
      </c>
      <c r="B313" s="8">
        <f>A313*Summary!$B$14</f>
        <v>2558.3333333333335</v>
      </c>
      <c r="C313" s="8">
        <f>'Native PMKS'!B313*1000</f>
        <v>2558.3333333333271</v>
      </c>
      <c r="D313" s="8">
        <f t="shared" si="4"/>
        <v>6.3664629124104977E-12</v>
      </c>
      <c r="E313" s="1"/>
      <c r="F313" s="1">
        <v>307</v>
      </c>
      <c r="G313" s="8">
        <f>F313*Summary!$B$17</f>
        <v>2565.459610027855</v>
      </c>
      <c r="H313" s="1"/>
    </row>
    <row r="314" spans="1:8" ht="18.95" customHeight="1">
      <c r="A314" s="1">
        <v>308</v>
      </c>
      <c r="B314" s="8">
        <f>A314*Summary!$B$14</f>
        <v>2566.666666666667</v>
      </c>
      <c r="C314" s="8">
        <f>'Native PMKS'!B314*1000</f>
        <v>2566.6666666666601</v>
      </c>
      <c r="D314" s="8">
        <f t="shared" si="4"/>
        <v>6.8212102632969618E-12</v>
      </c>
      <c r="E314" s="1"/>
      <c r="F314" s="1">
        <v>308</v>
      </c>
      <c r="G314" s="8">
        <f>F314*Summary!$B$17</f>
        <v>2573.8161559888581</v>
      </c>
      <c r="H314" s="1"/>
    </row>
    <row r="315" spans="1:8" ht="18.95" customHeight="1">
      <c r="A315" s="1">
        <v>309</v>
      </c>
      <c r="B315" s="8">
        <f>A315*Summary!$B$14</f>
        <v>2575</v>
      </c>
      <c r="C315" s="8">
        <f>'Native PMKS'!B315*1000</f>
        <v>2574.9999999999936</v>
      </c>
      <c r="D315" s="8">
        <f t="shared" si="4"/>
        <v>6.3664629124104977E-12</v>
      </c>
      <c r="E315" s="1"/>
      <c r="F315" s="1">
        <v>309</v>
      </c>
      <c r="G315" s="8">
        <f>F315*Summary!$B$17</f>
        <v>2582.1727019498608</v>
      </c>
      <c r="H315" s="1"/>
    </row>
    <row r="316" spans="1:8" ht="18.95" customHeight="1">
      <c r="A316" s="1">
        <v>310</v>
      </c>
      <c r="B316" s="8">
        <f>A316*Summary!$B$14</f>
        <v>2583.3333333333335</v>
      </c>
      <c r="C316" s="8">
        <f>'Native PMKS'!B316*1000</f>
        <v>2583.3333333333267</v>
      </c>
      <c r="D316" s="8">
        <f t="shared" si="4"/>
        <v>6.8212102632969618E-12</v>
      </c>
      <c r="E316" s="1"/>
      <c r="F316" s="1">
        <v>310</v>
      </c>
      <c r="G316" s="8">
        <f>F316*Summary!$B$17</f>
        <v>2590.5292479108634</v>
      </c>
      <c r="H316" s="1"/>
    </row>
    <row r="317" spans="1:8" ht="18.95" customHeight="1">
      <c r="A317" s="1">
        <v>311</v>
      </c>
      <c r="B317" s="8">
        <f>A317*Summary!$B$14</f>
        <v>2591.666666666667</v>
      </c>
      <c r="C317" s="8">
        <f>'Native PMKS'!B317*1000</f>
        <v>2591.6666666666601</v>
      </c>
      <c r="D317" s="8">
        <f t="shared" si="4"/>
        <v>6.8212102632969618E-12</v>
      </c>
      <c r="E317" s="1"/>
      <c r="F317" s="1">
        <v>311</v>
      </c>
      <c r="G317" s="8">
        <f>F317*Summary!$B$17</f>
        <v>2598.8857938718661</v>
      </c>
      <c r="H317" s="1"/>
    </row>
    <row r="318" spans="1:8" ht="18.95" customHeight="1">
      <c r="A318" s="1">
        <v>312</v>
      </c>
      <c r="B318" s="8">
        <f>A318*Summary!$B$14</f>
        <v>2600</v>
      </c>
      <c r="C318" s="8">
        <f>'Native PMKS'!B318*1000</f>
        <v>2599.9999999999936</v>
      </c>
      <c r="D318" s="8">
        <f t="shared" si="4"/>
        <v>6.3664629124104977E-12</v>
      </c>
      <c r="E318" s="1"/>
      <c r="F318" s="1">
        <v>312</v>
      </c>
      <c r="G318" s="8">
        <f>F318*Summary!$B$17</f>
        <v>2607.2423398328692</v>
      </c>
      <c r="H318" s="1"/>
    </row>
    <row r="319" spans="1:8" ht="18.95" customHeight="1">
      <c r="A319" s="1">
        <v>313</v>
      </c>
      <c r="B319" s="8">
        <f>A319*Summary!$B$14</f>
        <v>2608.3333333333335</v>
      </c>
      <c r="C319" s="8">
        <f>'Native PMKS'!B319*1000</f>
        <v>2608.3333333333267</v>
      </c>
      <c r="D319" s="8">
        <f t="shared" si="4"/>
        <v>6.8212102632969618E-12</v>
      </c>
      <c r="E319" s="1"/>
      <c r="F319" s="1">
        <v>313</v>
      </c>
      <c r="G319" s="8">
        <f>F319*Summary!$B$17</f>
        <v>2615.5988857938719</v>
      </c>
      <c r="H319" s="1"/>
    </row>
    <row r="320" spans="1:8" ht="18.95" customHeight="1">
      <c r="A320" s="1">
        <v>314</v>
      </c>
      <c r="B320" s="8">
        <f>A320*Summary!$B$14</f>
        <v>2616.666666666667</v>
      </c>
      <c r="C320" s="8">
        <f>'Native PMKS'!B320*1000</f>
        <v>2616.6666666666601</v>
      </c>
      <c r="D320" s="8">
        <f t="shared" si="4"/>
        <v>6.8212102632969618E-12</v>
      </c>
      <c r="E320" s="1"/>
      <c r="F320" s="1">
        <v>314</v>
      </c>
      <c r="G320" s="8">
        <f>F320*Summary!$B$17</f>
        <v>2623.9554317548746</v>
      </c>
      <c r="H320" s="1"/>
    </row>
    <row r="321" spans="1:8" ht="18.95" customHeight="1">
      <c r="A321" s="1">
        <v>315</v>
      </c>
      <c r="B321" s="8">
        <f>A321*Summary!$B$14</f>
        <v>2625</v>
      </c>
      <c r="C321" s="8">
        <f>'Native PMKS'!B321*1000</f>
        <v>2624.9999999999932</v>
      </c>
      <c r="D321" s="8">
        <f t="shared" si="4"/>
        <v>6.8212102632969618E-12</v>
      </c>
      <c r="E321" s="1"/>
      <c r="F321" s="1">
        <v>315</v>
      </c>
      <c r="G321" s="8">
        <f>F321*Summary!$B$17</f>
        <v>2632.3119777158772</v>
      </c>
      <c r="H321" s="1"/>
    </row>
    <row r="322" spans="1:8" ht="18.95" customHeight="1">
      <c r="A322" s="1">
        <v>316</v>
      </c>
      <c r="B322" s="8">
        <f>A322*Summary!$B$14</f>
        <v>2633.3333333333335</v>
      </c>
      <c r="C322" s="8">
        <f>'Native PMKS'!B322*1000</f>
        <v>2633.3333333333267</v>
      </c>
      <c r="D322" s="8">
        <f t="shared" si="4"/>
        <v>6.8212102632969618E-12</v>
      </c>
      <c r="E322" s="1"/>
      <c r="F322" s="1">
        <v>316</v>
      </c>
      <c r="G322" s="8">
        <f>F322*Summary!$B$17</f>
        <v>2640.6685236768803</v>
      </c>
      <c r="H322" s="1"/>
    </row>
    <row r="323" spans="1:8" ht="18.95" customHeight="1">
      <c r="A323" s="1">
        <v>317</v>
      </c>
      <c r="B323" s="8">
        <f>A323*Summary!$B$14</f>
        <v>2641.666666666667</v>
      </c>
      <c r="C323" s="8">
        <f>'Native PMKS'!B323*1000</f>
        <v>2641.6666666666601</v>
      </c>
      <c r="D323" s="8">
        <f t="shared" si="4"/>
        <v>6.8212102632969618E-12</v>
      </c>
      <c r="E323" s="1"/>
      <c r="F323" s="1">
        <v>317</v>
      </c>
      <c r="G323" s="8">
        <f>F323*Summary!$B$17</f>
        <v>2649.025069637883</v>
      </c>
      <c r="H323" s="1"/>
    </row>
    <row r="324" spans="1:8" ht="18.95" customHeight="1">
      <c r="A324" s="1">
        <v>318</v>
      </c>
      <c r="B324" s="8">
        <f>A324*Summary!$B$14</f>
        <v>2650</v>
      </c>
      <c r="C324" s="8">
        <f>'Native PMKS'!B324*1000</f>
        <v>2649.9999999999932</v>
      </c>
      <c r="D324" s="8">
        <f t="shared" si="4"/>
        <v>6.8212102632969618E-12</v>
      </c>
      <c r="E324" s="1"/>
      <c r="F324" s="1">
        <v>318</v>
      </c>
      <c r="G324" s="8">
        <f>F324*Summary!$B$17</f>
        <v>2657.3816155988857</v>
      </c>
      <c r="H324" s="1"/>
    </row>
    <row r="325" spans="1:8" ht="18.95" customHeight="1">
      <c r="A325" s="1">
        <v>319</v>
      </c>
      <c r="B325" s="8">
        <f>A325*Summary!$B$14</f>
        <v>2658.3333333333335</v>
      </c>
      <c r="C325" s="8">
        <f>'Native PMKS'!B325*1000</f>
        <v>2658.3333333333267</v>
      </c>
      <c r="D325" s="8">
        <f t="shared" si="4"/>
        <v>6.8212102632969618E-12</v>
      </c>
      <c r="E325" s="1"/>
      <c r="F325" s="1">
        <v>319</v>
      </c>
      <c r="G325" s="8">
        <f>F325*Summary!$B$17</f>
        <v>2665.7381615598883</v>
      </c>
      <c r="H325" s="1"/>
    </row>
    <row r="326" spans="1:8" ht="18.95" customHeight="1">
      <c r="A326" s="1">
        <v>320</v>
      </c>
      <c r="B326" s="8">
        <f>A326*Summary!$B$14</f>
        <v>2666.666666666667</v>
      </c>
      <c r="C326" s="8">
        <f>'Native PMKS'!B326*1000</f>
        <v>2666.6666666666597</v>
      </c>
      <c r="D326" s="8">
        <f t="shared" ref="D326:D366" si="5">B326-C326</f>
        <v>7.2759576141834259E-12</v>
      </c>
      <c r="E326" s="1"/>
      <c r="F326" s="1">
        <v>320</v>
      </c>
      <c r="G326" s="8">
        <f>F326*Summary!$B$17</f>
        <v>2674.0947075208915</v>
      </c>
      <c r="H326" s="1"/>
    </row>
    <row r="327" spans="1:8" ht="18.95" customHeight="1">
      <c r="A327" s="1">
        <v>321</v>
      </c>
      <c r="B327" s="8">
        <f>A327*Summary!$B$14</f>
        <v>2675</v>
      </c>
      <c r="C327" s="8">
        <f>'Native PMKS'!B327*1000</f>
        <v>2674.9999999999932</v>
      </c>
      <c r="D327" s="8">
        <f t="shared" si="5"/>
        <v>6.8212102632969618E-12</v>
      </c>
      <c r="E327" s="1"/>
      <c r="F327" s="1">
        <v>321</v>
      </c>
      <c r="G327" s="8">
        <f>F327*Summary!$B$17</f>
        <v>2682.4512534818941</v>
      </c>
      <c r="H327" s="1"/>
    </row>
    <row r="328" spans="1:8" ht="18.95" customHeight="1">
      <c r="A328" s="1">
        <v>322</v>
      </c>
      <c r="B328" s="8">
        <f>A328*Summary!$B$14</f>
        <v>2683.3333333333335</v>
      </c>
      <c r="C328" s="8">
        <f>'Native PMKS'!B328*1000</f>
        <v>2683.3333333333267</v>
      </c>
      <c r="D328" s="8">
        <f t="shared" si="5"/>
        <v>6.8212102632969618E-12</v>
      </c>
      <c r="E328" s="1"/>
      <c r="F328" s="1">
        <v>322</v>
      </c>
      <c r="G328" s="8">
        <f>F328*Summary!$B$17</f>
        <v>2690.8077994428968</v>
      </c>
      <c r="H328" s="1"/>
    </row>
    <row r="329" spans="1:8" ht="18.95" customHeight="1">
      <c r="A329" s="1">
        <v>323</v>
      </c>
      <c r="B329" s="8">
        <f>A329*Summary!$B$14</f>
        <v>2691.666666666667</v>
      </c>
      <c r="C329" s="8">
        <f>'Native PMKS'!B329*1000</f>
        <v>2691.6666666666597</v>
      </c>
      <c r="D329" s="8">
        <f t="shared" si="5"/>
        <v>7.2759576141834259E-12</v>
      </c>
      <c r="E329" s="1"/>
      <c r="F329" s="1">
        <v>323</v>
      </c>
      <c r="G329" s="8">
        <f>F329*Summary!$B$17</f>
        <v>2699.1643454038999</v>
      </c>
      <c r="H329" s="1"/>
    </row>
    <row r="330" spans="1:8" ht="18.95" customHeight="1">
      <c r="A330" s="1">
        <v>324</v>
      </c>
      <c r="B330" s="8">
        <f>A330*Summary!$B$14</f>
        <v>2700</v>
      </c>
      <c r="C330" s="8">
        <f>'Native PMKS'!B330*1000</f>
        <v>2699.9999999999932</v>
      </c>
      <c r="D330" s="8">
        <f t="shared" si="5"/>
        <v>6.8212102632969618E-12</v>
      </c>
      <c r="E330" s="1"/>
      <c r="F330" s="1">
        <v>324</v>
      </c>
      <c r="G330" s="8">
        <f>F330*Summary!$B$17</f>
        <v>2707.5208913649026</v>
      </c>
      <c r="H330" s="1"/>
    </row>
    <row r="331" spans="1:8" ht="18.95" customHeight="1">
      <c r="A331" s="1">
        <v>325</v>
      </c>
      <c r="B331" s="8">
        <f>A331*Summary!$B$14</f>
        <v>2708.3333333333335</v>
      </c>
      <c r="C331" s="8">
        <f>'Native PMKS'!B331*1000</f>
        <v>2708.3333333333262</v>
      </c>
      <c r="D331" s="8">
        <f t="shared" si="5"/>
        <v>7.2759576141834259E-12</v>
      </c>
      <c r="E331" s="1"/>
      <c r="F331" s="1">
        <v>325</v>
      </c>
      <c r="G331" s="8">
        <f>F331*Summary!$B$17</f>
        <v>2715.8774373259052</v>
      </c>
      <c r="H331" s="1"/>
    </row>
    <row r="332" spans="1:8" ht="18.95" customHeight="1">
      <c r="A332" s="1">
        <v>326</v>
      </c>
      <c r="B332" s="8">
        <f>A332*Summary!$B$14</f>
        <v>2716.666666666667</v>
      </c>
      <c r="C332" s="8">
        <f>'Native PMKS'!B332*1000</f>
        <v>2716.6666666666597</v>
      </c>
      <c r="D332" s="8">
        <f t="shared" si="5"/>
        <v>7.2759576141834259E-12</v>
      </c>
      <c r="E332" s="1"/>
      <c r="F332" s="1">
        <v>326</v>
      </c>
      <c r="G332" s="8">
        <f>F332*Summary!$B$17</f>
        <v>2724.2339832869079</v>
      </c>
      <c r="H332" s="1"/>
    </row>
    <row r="333" spans="1:8" ht="18.95" customHeight="1">
      <c r="A333" s="1">
        <v>327</v>
      </c>
      <c r="B333" s="8">
        <f>A333*Summary!$B$14</f>
        <v>2725</v>
      </c>
      <c r="C333" s="8">
        <f>'Native PMKS'!B333*1000</f>
        <v>2724.9999999999932</v>
      </c>
      <c r="D333" s="8">
        <f t="shared" si="5"/>
        <v>6.8212102632969618E-12</v>
      </c>
      <c r="E333" s="1"/>
      <c r="F333" s="1">
        <v>327</v>
      </c>
      <c r="G333" s="8">
        <f>F333*Summary!$B$17</f>
        <v>2732.590529247911</v>
      </c>
      <c r="H333" s="1"/>
    </row>
    <row r="334" spans="1:8" ht="18.95" customHeight="1">
      <c r="A334" s="1">
        <v>328</v>
      </c>
      <c r="B334" s="8">
        <f>A334*Summary!$B$14</f>
        <v>2733.3333333333335</v>
      </c>
      <c r="C334" s="8">
        <f>'Native PMKS'!B334*1000</f>
        <v>2733.3333333333262</v>
      </c>
      <c r="D334" s="8">
        <f t="shared" si="5"/>
        <v>7.2759576141834259E-12</v>
      </c>
      <c r="E334" s="1"/>
      <c r="F334" s="1">
        <v>328</v>
      </c>
      <c r="G334" s="8">
        <f>F334*Summary!$B$17</f>
        <v>2740.9470752089137</v>
      </c>
      <c r="H334" s="1"/>
    </row>
    <row r="335" spans="1:8" ht="18.95" customHeight="1">
      <c r="A335" s="1">
        <v>329</v>
      </c>
      <c r="B335" s="8">
        <f>A335*Summary!$B$14</f>
        <v>2741.666666666667</v>
      </c>
      <c r="C335" s="8">
        <f>'Native PMKS'!B335*1000</f>
        <v>2741.6666666666597</v>
      </c>
      <c r="D335" s="8">
        <f t="shared" si="5"/>
        <v>7.2759576141834259E-12</v>
      </c>
      <c r="E335" s="1"/>
      <c r="F335" s="1">
        <v>329</v>
      </c>
      <c r="G335" s="8">
        <f>F335*Summary!$B$17</f>
        <v>2749.3036211699164</v>
      </c>
      <c r="H335" s="1"/>
    </row>
    <row r="336" spans="1:8" ht="18.95" customHeight="1">
      <c r="A336" s="1">
        <v>330</v>
      </c>
      <c r="B336" s="8">
        <f>A336*Summary!$B$14</f>
        <v>2750</v>
      </c>
      <c r="C336" s="8">
        <f>'Native PMKS'!B336*1000</f>
        <v>2749.9999999999927</v>
      </c>
      <c r="D336" s="8">
        <f t="shared" si="5"/>
        <v>7.2759576141834259E-12</v>
      </c>
      <c r="E336" s="1"/>
      <c r="F336" s="1">
        <v>330</v>
      </c>
      <c r="G336" s="8">
        <f>F336*Summary!$B$17</f>
        <v>2757.660167130919</v>
      </c>
      <c r="H336" s="1"/>
    </row>
    <row r="337" spans="1:8" ht="18.95" customHeight="1">
      <c r="A337" s="1">
        <v>331</v>
      </c>
      <c r="B337" s="8">
        <f>A337*Summary!$B$14</f>
        <v>2758.3333333333335</v>
      </c>
      <c r="C337" s="8">
        <f>'Native PMKS'!B337*1000</f>
        <v>2758.3333333333262</v>
      </c>
      <c r="D337" s="8">
        <f t="shared" si="5"/>
        <v>7.2759576141834259E-12</v>
      </c>
      <c r="E337" s="1"/>
      <c r="F337" s="1">
        <v>331</v>
      </c>
      <c r="G337" s="8">
        <f>F337*Summary!$B$17</f>
        <v>2766.0167130919222</v>
      </c>
      <c r="H337" s="1"/>
    </row>
    <row r="338" spans="1:8" ht="18.95" customHeight="1">
      <c r="A338" s="1">
        <v>332</v>
      </c>
      <c r="B338" s="8">
        <f>A338*Summary!$B$14</f>
        <v>2766.666666666667</v>
      </c>
      <c r="C338" s="8">
        <f>'Native PMKS'!B338*1000</f>
        <v>2766.6666666666597</v>
      </c>
      <c r="D338" s="8">
        <f t="shared" si="5"/>
        <v>7.2759576141834259E-12</v>
      </c>
      <c r="E338" s="1"/>
      <c r="F338" s="1">
        <v>332</v>
      </c>
      <c r="G338" s="8">
        <f>F338*Summary!$B$17</f>
        <v>2774.3732590529248</v>
      </c>
      <c r="H338" s="1"/>
    </row>
    <row r="339" spans="1:8" ht="18.95" customHeight="1">
      <c r="A339" s="1">
        <v>333</v>
      </c>
      <c r="B339" s="8">
        <f>A339*Summary!$B$14</f>
        <v>2775</v>
      </c>
      <c r="C339" s="8">
        <f>'Native PMKS'!B339*1000</f>
        <v>2774.9999999999927</v>
      </c>
      <c r="D339" s="8">
        <f t="shared" si="5"/>
        <v>7.2759576141834259E-12</v>
      </c>
      <c r="E339" s="1"/>
      <c r="F339" s="1">
        <v>333</v>
      </c>
      <c r="G339" s="8">
        <f>F339*Summary!$B$17</f>
        <v>2782.7298050139275</v>
      </c>
      <c r="H339" s="1"/>
    </row>
    <row r="340" spans="1:8" ht="18.95" customHeight="1">
      <c r="A340" s="1">
        <v>334</v>
      </c>
      <c r="B340" s="8">
        <f>A340*Summary!$B$14</f>
        <v>2783.3333333333335</v>
      </c>
      <c r="C340" s="8">
        <f>'Native PMKS'!B340*1000</f>
        <v>2783.3333333333262</v>
      </c>
      <c r="D340" s="8">
        <f t="shared" si="5"/>
        <v>7.2759576141834259E-12</v>
      </c>
      <c r="E340" s="1"/>
      <c r="F340" s="1">
        <v>334</v>
      </c>
      <c r="G340" s="8">
        <f>F340*Summary!$B$17</f>
        <v>2791.0863509749302</v>
      </c>
      <c r="H340" s="1"/>
    </row>
    <row r="341" spans="1:8" ht="18.95" customHeight="1">
      <c r="A341" s="1">
        <v>335</v>
      </c>
      <c r="B341" s="8">
        <f>A341*Summary!$B$14</f>
        <v>2791.666666666667</v>
      </c>
      <c r="C341" s="8">
        <f>'Native PMKS'!B341*1000</f>
        <v>2791.6666666666592</v>
      </c>
      <c r="D341" s="8">
        <f t="shared" si="5"/>
        <v>7.73070496506989E-12</v>
      </c>
      <c r="E341" s="1"/>
      <c r="F341" s="1">
        <v>335</v>
      </c>
      <c r="G341" s="8">
        <f>F341*Summary!$B$17</f>
        <v>2799.4428969359333</v>
      </c>
      <c r="H341" s="1"/>
    </row>
    <row r="342" spans="1:8" ht="18.95" customHeight="1">
      <c r="A342" s="1">
        <v>336</v>
      </c>
      <c r="B342" s="8">
        <f>A342*Summary!$B$14</f>
        <v>2800</v>
      </c>
      <c r="C342" s="8">
        <f>'Native PMKS'!B342*1000</f>
        <v>2799.9999999999927</v>
      </c>
      <c r="D342" s="8">
        <f t="shared" si="5"/>
        <v>7.2759576141834259E-12</v>
      </c>
      <c r="E342" s="1"/>
      <c r="F342" s="1">
        <v>336</v>
      </c>
      <c r="G342" s="8">
        <f>F342*Summary!$B$17</f>
        <v>2807.7994428969359</v>
      </c>
      <c r="H342" s="1"/>
    </row>
    <row r="343" spans="1:8" ht="18.95" customHeight="1">
      <c r="A343" s="1">
        <v>337</v>
      </c>
      <c r="B343" s="8">
        <f>A343*Summary!$B$14</f>
        <v>2808.3333333333335</v>
      </c>
      <c r="C343" s="8">
        <f>'Native PMKS'!B343*1000</f>
        <v>2808.3333333333262</v>
      </c>
      <c r="D343" s="8">
        <f t="shared" si="5"/>
        <v>7.2759576141834259E-12</v>
      </c>
      <c r="E343" s="1"/>
      <c r="F343" s="1">
        <v>337</v>
      </c>
      <c r="G343" s="8">
        <f>F343*Summary!$B$17</f>
        <v>2816.1559888579386</v>
      </c>
      <c r="H343" s="1"/>
    </row>
    <row r="344" spans="1:8" ht="18.95" customHeight="1">
      <c r="A344" s="1">
        <v>338</v>
      </c>
      <c r="B344" s="8">
        <f>A344*Summary!$B$14</f>
        <v>2816.666666666667</v>
      </c>
      <c r="C344" s="8">
        <f>'Native PMKS'!B344*1000</f>
        <v>2816.6666666666592</v>
      </c>
      <c r="D344" s="8">
        <f t="shared" si="5"/>
        <v>7.73070496506989E-12</v>
      </c>
      <c r="E344" s="1"/>
      <c r="F344" s="1">
        <v>338</v>
      </c>
      <c r="G344" s="8">
        <f>F344*Summary!$B$17</f>
        <v>2824.5125348189413</v>
      </c>
      <c r="H344" s="1"/>
    </row>
    <row r="345" spans="1:8" ht="18.95" customHeight="1">
      <c r="A345" s="1">
        <v>339</v>
      </c>
      <c r="B345" s="8">
        <f>A345*Summary!$B$14</f>
        <v>2825</v>
      </c>
      <c r="C345" s="8">
        <f>'Native PMKS'!B345*1000</f>
        <v>2824.9999999999927</v>
      </c>
      <c r="D345" s="8">
        <f t="shared" si="5"/>
        <v>7.2759576141834259E-12</v>
      </c>
      <c r="E345" s="1"/>
      <c r="F345" s="1">
        <v>339</v>
      </c>
      <c r="G345" s="8">
        <f>F345*Summary!$B$17</f>
        <v>2832.8690807799444</v>
      </c>
      <c r="H345" s="1"/>
    </row>
    <row r="346" spans="1:8" ht="18.95" customHeight="1">
      <c r="A346" s="1">
        <v>340</v>
      </c>
      <c r="B346" s="8">
        <f>A346*Summary!$B$14</f>
        <v>2833.3333333333335</v>
      </c>
      <c r="C346" s="8">
        <f>'Native PMKS'!B346*1000</f>
        <v>2833.3333333333258</v>
      </c>
      <c r="D346" s="8">
        <f t="shared" si="5"/>
        <v>7.73070496506989E-12</v>
      </c>
      <c r="E346" s="1"/>
      <c r="F346" s="1">
        <v>340</v>
      </c>
      <c r="G346" s="8">
        <f>F346*Summary!$B$17</f>
        <v>2841.2256267409471</v>
      </c>
      <c r="H346" s="1"/>
    </row>
    <row r="347" spans="1:8" ht="18.95" customHeight="1">
      <c r="A347" s="1">
        <v>341</v>
      </c>
      <c r="B347" s="8">
        <f>A347*Summary!$B$14</f>
        <v>2841.666666666667</v>
      </c>
      <c r="C347" s="8">
        <f>'Native PMKS'!B347*1000</f>
        <v>2841.6666666666592</v>
      </c>
      <c r="D347" s="8">
        <f t="shared" si="5"/>
        <v>7.73070496506989E-12</v>
      </c>
      <c r="E347" s="1"/>
      <c r="F347" s="1">
        <v>341</v>
      </c>
      <c r="G347" s="8">
        <f>F347*Summary!$B$17</f>
        <v>2849.5821727019497</v>
      </c>
      <c r="H347" s="1"/>
    </row>
    <row r="348" spans="1:8" ht="18.95" customHeight="1">
      <c r="A348" s="1">
        <v>342</v>
      </c>
      <c r="B348" s="8">
        <f>A348*Summary!$B$14</f>
        <v>2850</v>
      </c>
      <c r="C348" s="8">
        <f>'Native PMKS'!B348*1000</f>
        <v>2849.9999999999927</v>
      </c>
      <c r="D348" s="8">
        <f t="shared" si="5"/>
        <v>7.2759576141834259E-12</v>
      </c>
      <c r="E348" s="1"/>
      <c r="F348" s="1">
        <v>342</v>
      </c>
      <c r="G348" s="8">
        <f>F348*Summary!$B$17</f>
        <v>2857.9387186629529</v>
      </c>
      <c r="H348" s="1"/>
    </row>
    <row r="349" spans="1:8" ht="18.95" customHeight="1">
      <c r="A349" s="1">
        <v>343</v>
      </c>
      <c r="B349" s="8">
        <f>A349*Summary!$B$14</f>
        <v>2858.3333333333335</v>
      </c>
      <c r="C349" s="8">
        <f>'Native PMKS'!B349*1000</f>
        <v>2858.3333333333258</v>
      </c>
      <c r="D349" s="8">
        <f t="shared" si="5"/>
        <v>7.73070496506989E-12</v>
      </c>
      <c r="E349" s="1"/>
      <c r="F349" s="1">
        <v>343</v>
      </c>
      <c r="G349" s="8">
        <f>F349*Summary!$B$17</f>
        <v>2866.2952646239555</v>
      </c>
      <c r="H349" s="1"/>
    </row>
    <row r="350" spans="1:8" ht="18.95" customHeight="1">
      <c r="A350" s="1">
        <v>344</v>
      </c>
      <c r="B350" s="8">
        <f>A350*Summary!$B$14</f>
        <v>2866.666666666667</v>
      </c>
      <c r="C350" s="8">
        <f>'Native PMKS'!B350*1000</f>
        <v>2866.6666666666592</v>
      </c>
      <c r="D350" s="8">
        <f t="shared" si="5"/>
        <v>7.73070496506989E-12</v>
      </c>
      <c r="E350" s="1"/>
      <c r="F350" s="1">
        <v>344</v>
      </c>
      <c r="G350" s="8">
        <f>F350*Summary!$B$17</f>
        <v>2874.6518105849582</v>
      </c>
      <c r="H350" s="1"/>
    </row>
    <row r="351" spans="1:8" ht="18.95" customHeight="1">
      <c r="A351" s="1">
        <v>345</v>
      </c>
      <c r="B351" s="8">
        <f>A351*Summary!$B$14</f>
        <v>2875</v>
      </c>
      <c r="C351" s="8">
        <f>'Native PMKS'!B351*1000</f>
        <v>2874.9999999999923</v>
      </c>
      <c r="D351" s="8">
        <f t="shared" si="5"/>
        <v>7.73070496506989E-12</v>
      </c>
      <c r="E351" s="1"/>
      <c r="F351" s="1">
        <v>345</v>
      </c>
      <c r="G351" s="8">
        <f>F351*Summary!$B$17</f>
        <v>2883.0083565459609</v>
      </c>
      <c r="H351" s="1"/>
    </row>
    <row r="352" spans="1:8" ht="18.95" customHeight="1">
      <c r="A352" s="1">
        <v>346</v>
      </c>
      <c r="B352" s="8">
        <f>A352*Summary!$B$14</f>
        <v>2883.3333333333335</v>
      </c>
      <c r="C352" s="8">
        <f>'Native PMKS'!B352*1000</f>
        <v>2883.3333333333258</v>
      </c>
      <c r="D352" s="8">
        <f t="shared" si="5"/>
        <v>7.73070496506989E-12</v>
      </c>
      <c r="E352" s="1"/>
      <c r="F352" s="1">
        <v>346</v>
      </c>
      <c r="G352" s="8">
        <f>F352*Summary!$B$17</f>
        <v>2891.364902506964</v>
      </c>
      <c r="H352" s="1"/>
    </row>
    <row r="353" spans="1:8" ht="18.95" customHeight="1">
      <c r="A353" s="1">
        <v>347</v>
      </c>
      <c r="B353" s="8">
        <f>A353*Summary!$B$14</f>
        <v>2891.666666666667</v>
      </c>
      <c r="C353" s="8">
        <f>'Native PMKS'!B353*1000</f>
        <v>2891.6666666666592</v>
      </c>
      <c r="D353" s="8">
        <f t="shared" si="5"/>
        <v>7.73070496506989E-12</v>
      </c>
      <c r="E353" s="1"/>
      <c r="F353" s="1">
        <v>347</v>
      </c>
      <c r="G353" s="8">
        <f>F353*Summary!$B$17</f>
        <v>2899.7214484679666</v>
      </c>
      <c r="H353" s="1"/>
    </row>
    <row r="354" spans="1:8" ht="18.95" customHeight="1">
      <c r="A354" s="1">
        <v>348</v>
      </c>
      <c r="B354" s="8">
        <f>A354*Summary!$B$14</f>
        <v>2900</v>
      </c>
      <c r="C354" s="8">
        <f>'Native PMKS'!B354*1000</f>
        <v>2899.9999999999923</v>
      </c>
      <c r="D354" s="8">
        <f t="shared" si="5"/>
        <v>7.73070496506989E-12</v>
      </c>
      <c r="E354" s="1"/>
      <c r="F354" s="1">
        <v>348</v>
      </c>
      <c r="G354" s="8">
        <f>F354*Summary!$B$17</f>
        <v>2908.0779944289693</v>
      </c>
      <c r="H354" s="1"/>
    </row>
    <row r="355" spans="1:8" ht="18.95" customHeight="1">
      <c r="A355" s="1">
        <v>349</v>
      </c>
      <c r="B355" s="8">
        <f>A355*Summary!$B$14</f>
        <v>2908.3333333333335</v>
      </c>
      <c r="C355" s="8">
        <f>'Native PMKS'!B355*1000</f>
        <v>2908.3333333333258</v>
      </c>
      <c r="D355" s="8">
        <f t="shared" si="5"/>
        <v>7.73070496506989E-12</v>
      </c>
      <c r="E355" s="1"/>
      <c r="F355" s="1">
        <v>349</v>
      </c>
      <c r="G355" s="8">
        <f>F355*Summary!$B$17</f>
        <v>2916.434540389972</v>
      </c>
      <c r="H355" s="1"/>
    </row>
    <row r="356" spans="1:8" ht="18.95" customHeight="1">
      <c r="A356" s="1">
        <v>350</v>
      </c>
      <c r="B356" s="8">
        <f>A356*Summary!$B$14</f>
        <v>2916.666666666667</v>
      </c>
      <c r="C356" s="8">
        <f>'Native PMKS'!B356*1000</f>
        <v>2916.6666666666588</v>
      </c>
      <c r="D356" s="8">
        <f t="shared" si="5"/>
        <v>8.1854523159563541E-12</v>
      </c>
      <c r="E356" s="1"/>
      <c r="F356" s="1">
        <v>350</v>
      </c>
      <c r="G356" s="8">
        <f>F356*Summary!$B$17</f>
        <v>2924.7910863509751</v>
      </c>
      <c r="H356" s="1"/>
    </row>
    <row r="357" spans="1:8" ht="18.95" customHeight="1">
      <c r="A357" s="1">
        <v>351</v>
      </c>
      <c r="B357" s="8">
        <f>A357*Summary!$B$14</f>
        <v>2925</v>
      </c>
      <c r="C357" s="8">
        <f>'Native PMKS'!B357*1000</f>
        <v>2924.9999999999923</v>
      </c>
      <c r="D357" s="8">
        <f t="shared" si="5"/>
        <v>7.73070496506989E-12</v>
      </c>
      <c r="E357" s="1"/>
      <c r="F357" s="1">
        <v>351</v>
      </c>
      <c r="G357" s="8">
        <f>F357*Summary!$B$17</f>
        <v>2933.1476323119778</v>
      </c>
      <c r="H357" s="1"/>
    </row>
    <row r="358" spans="1:8" ht="18.95" customHeight="1">
      <c r="A358" s="1">
        <v>352</v>
      </c>
      <c r="B358" s="8">
        <f>A358*Summary!$B$14</f>
        <v>2933.3333333333335</v>
      </c>
      <c r="C358" s="8">
        <f>'Native PMKS'!B358*1000</f>
        <v>2933.3333333333258</v>
      </c>
      <c r="D358" s="8">
        <f t="shared" si="5"/>
        <v>7.73070496506989E-12</v>
      </c>
      <c r="E358" s="1"/>
      <c r="F358" s="1">
        <v>352</v>
      </c>
      <c r="G358" s="8">
        <f>F358*Summary!$B$17</f>
        <v>2941.5041782729804</v>
      </c>
      <c r="H358" s="1"/>
    </row>
    <row r="359" spans="1:8" ht="18.95" customHeight="1">
      <c r="A359" s="1">
        <v>353</v>
      </c>
      <c r="B359" s="8">
        <f>A359*Summary!$B$14</f>
        <v>2941.666666666667</v>
      </c>
      <c r="C359" s="8">
        <f>'Native PMKS'!B359*1000</f>
        <v>2941.6666666666588</v>
      </c>
      <c r="D359" s="8">
        <f t="shared" si="5"/>
        <v>8.1854523159563541E-12</v>
      </c>
      <c r="E359" s="1"/>
      <c r="F359" s="1">
        <v>353</v>
      </c>
      <c r="G359" s="8">
        <f>F359*Summary!$B$17</f>
        <v>2949.8607242339831</v>
      </c>
      <c r="H359" s="1"/>
    </row>
    <row r="360" spans="1:8" ht="18.95" customHeight="1">
      <c r="A360" s="1">
        <v>354</v>
      </c>
      <c r="B360" s="8">
        <f>A360*Summary!$B$14</f>
        <v>2950</v>
      </c>
      <c r="C360" s="8">
        <f>'Native PMKS'!B360*1000</f>
        <v>2949.9999999999923</v>
      </c>
      <c r="D360" s="8">
        <f t="shared" si="5"/>
        <v>7.73070496506989E-12</v>
      </c>
      <c r="E360" s="1"/>
      <c r="F360" s="1">
        <v>354</v>
      </c>
      <c r="G360" s="8">
        <f>F360*Summary!$B$17</f>
        <v>2958.2172701949862</v>
      </c>
      <c r="H360" s="1"/>
    </row>
    <row r="361" spans="1:8" ht="18.95" customHeight="1">
      <c r="A361" s="1">
        <v>355</v>
      </c>
      <c r="B361" s="8">
        <f>A361*Summary!$B$14</f>
        <v>2958.3333333333335</v>
      </c>
      <c r="C361" s="8">
        <f>'Native PMKS'!B361*1000</f>
        <v>2958.3333333333253</v>
      </c>
      <c r="D361" s="8">
        <f t="shared" si="5"/>
        <v>8.1854523159563541E-12</v>
      </c>
      <c r="E361" s="1"/>
      <c r="F361" s="1">
        <v>355</v>
      </c>
      <c r="G361" s="8">
        <f>F361*Summary!$B$17</f>
        <v>2966.5738161559889</v>
      </c>
      <c r="H361" s="1"/>
    </row>
    <row r="362" spans="1:8" ht="18.95" customHeight="1">
      <c r="A362" s="1">
        <v>356</v>
      </c>
      <c r="B362" s="8">
        <f>A362*Summary!$B$14</f>
        <v>2966.666666666667</v>
      </c>
      <c r="C362" s="8">
        <f>'Native PMKS'!B362*1000</f>
        <v>2966.6666666666588</v>
      </c>
      <c r="D362" s="8">
        <f t="shared" si="5"/>
        <v>8.1854523159563541E-12</v>
      </c>
      <c r="E362" s="1"/>
      <c r="F362" s="1">
        <v>356</v>
      </c>
      <c r="G362" s="8">
        <f>F362*Summary!$B$17</f>
        <v>2974.9303621169915</v>
      </c>
      <c r="H362" s="1"/>
    </row>
    <row r="363" spans="1:8" ht="18.95" customHeight="1">
      <c r="A363" s="1">
        <v>357</v>
      </c>
      <c r="B363" s="8">
        <f>A363*Summary!$B$14</f>
        <v>2975</v>
      </c>
      <c r="C363" s="8">
        <f>'Native PMKS'!B363*1000</f>
        <v>2974.9999999999923</v>
      </c>
      <c r="D363" s="8">
        <f t="shared" si="5"/>
        <v>7.73070496506989E-12</v>
      </c>
      <c r="E363" s="1"/>
      <c r="F363" s="1">
        <v>357</v>
      </c>
      <c r="G363" s="8">
        <f>F363*Summary!$B$17</f>
        <v>2983.2869080779942</v>
      </c>
      <c r="H363" s="1"/>
    </row>
    <row r="364" spans="1:8" ht="18.95" customHeight="1">
      <c r="A364" s="1">
        <v>358</v>
      </c>
      <c r="B364" s="8">
        <f>A364*Summary!$B$14</f>
        <v>2983.3333333333335</v>
      </c>
      <c r="C364" s="8">
        <f>'Native PMKS'!B364*1000</f>
        <v>2983.3333333333253</v>
      </c>
      <c r="D364" s="8">
        <f t="shared" si="5"/>
        <v>8.1854523159563541E-12</v>
      </c>
      <c r="E364" s="1"/>
      <c r="F364" s="1">
        <v>358</v>
      </c>
      <c r="G364" s="8">
        <f>F364*Summary!$B$17</f>
        <v>2991.6434540389973</v>
      </c>
      <c r="H364" s="1"/>
    </row>
    <row r="365" spans="1:8" ht="18.95" customHeight="1">
      <c r="A365" s="1">
        <v>359</v>
      </c>
      <c r="B365" s="8">
        <f>A365*Summary!$B$14</f>
        <v>2991.666666666667</v>
      </c>
      <c r="C365" s="8">
        <f>'Native PMKS'!B365*1000</f>
        <v>2991.6666666666588</v>
      </c>
      <c r="D365" s="8">
        <f t="shared" si="5"/>
        <v>8.1854523159563541E-12</v>
      </c>
      <c r="E365" s="1"/>
      <c r="F365" s="1">
        <v>359</v>
      </c>
      <c r="G365" s="8">
        <f>F365*Summary!$B$17</f>
        <v>3000</v>
      </c>
      <c r="H365" s="1"/>
    </row>
    <row r="366" spans="1:8" ht="18.95" customHeight="1">
      <c r="A366" s="1">
        <v>360</v>
      </c>
      <c r="B366" s="8">
        <f>A366*Summary!$B$14</f>
        <v>3000</v>
      </c>
      <c r="C366" s="8">
        <f>'Native PMKS'!B366*1000</f>
        <v>2999.9999999999918</v>
      </c>
      <c r="D366" s="8">
        <f t="shared" si="5"/>
        <v>8.1854523159563541E-12</v>
      </c>
      <c r="E366" s="1"/>
      <c r="F366" s="1"/>
      <c r="G366" s="1"/>
      <c r="H36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6" width="16" customWidth="1"/>
  </cols>
  <sheetData>
    <row r="1" spans="1:6" ht="18.95" customHeight="1">
      <c r="A1" s="2" t="s">
        <v>54</v>
      </c>
      <c r="B1" s="1"/>
      <c r="C1" s="1"/>
      <c r="D1" s="1"/>
      <c r="E1" s="1"/>
      <c r="F1" s="1"/>
    </row>
    <row r="2" spans="1:6" ht="6" customHeight="1">
      <c r="A2" s="1"/>
      <c r="B2" s="1"/>
      <c r="C2" s="1"/>
      <c r="D2" s="1"/>
      <c r="E2" s="1"/>
      <c r="F2" s="1"/>
    </row>
    <row r="3" spans="1:6" ht="6" customHeight="1">
      <c r="A3" s="1"/>
      <c r="B3" s="1"/>
      <c r="C3" s="1"/>
      <c r="D3" s="1"/>
      <c r="E3" s="1"/>
      <c r="F3" s="1"/>
    </row>
    <row r="4" spans="1:6" ht="18.95" customHeight="1">
      <c r="A4" s="1"/>
      <c r="B4" s="1"/>
      <c r="C4" s="1"/>
      <c r="D4" s="1"/>
      <c r="E4" s="1"/>
      <c r="F4" s="1"/>
    </row>
    <row r="5" spans="1:6" ht="33.950000000000003" customHeight="1">
      <c r="A5" s="3" t="s">
        <v>41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44</v>
      </c>
    </row>
    <row r="6" spans="1:6" ht="18.95" customHeight="1">
      <c r="A6" s="1">
        <v>0</v>
      </c>
      <c r="B6" s="6">
        <f>TimeStep!G6</f>
        <v>0</v>
      </c>
      <c r="C6" s="6">
        <f>MIN(MATCH(B6,'Native PMKS'!$C$6:$C$366,1),360)</f>
        <v>1</v>
      </c>
      <c r="D6" s="6">
        <f t="shared" ref="D6:D69" si="0">C6+1</f>
        <v>2</v>
      </c>
      <c r="E6" s="6">
        <f>(B6-INDEX('Native PMKS'!$C$6:$C$366,C6))/(INDEX('Native PMKS'!$C$6:$C$366,D6)-INDEX('Native PMKS'!$C$6:$C$366,C6))</f>
        <v>0</v>
      </c>
      <c r="F6" s="6">
        <f>INDEX('Native PMKS'!$D$6:$D$366,C6)+(INDEX('Native PMKS'!$D$6:$D$366,D6)-INDEX('Native PMKS'!$D$6:$D$366,C6))*E6</f>
        <v>0</v>
      </c>
    </row>
    <row r="7" spans="1:6" ht="18.95" customHeight="1">
      <c r="A7" s="1">
        <v>1</v>
      </c>
      <c r="B7" s="6">
        <f>TimeStep!G7</f>
        <v>8.3565459610027855</v>
      </c>
      <c r="C7" s="6">
        <f>MIN(MATCH(B7,'Native PMKS'!$C$6:$C$366,1),360)</f>
        <v>2</v>
      </c>
      <c r="D7" s="6">
        <f t="shared" si="0"/>
        <v>3</v>
      </c>
      <c r="E7" s="6">
        <f>(B7-INDEX('Native PMKS'!$C$6:$C$366,C7))/(INDEX('Native PMKS'!$C$6:$C$366,D7)-INDEX('Native PMKS'!$C$6:$C$366,C7))</f>
        <v>2.7855153203341842E-3</v>
      </c>
      <c r="F7" s="6">
        <f>INDEX('Native PMKS'!$D$6:$D$366,C7)+(INDEX('Native PMKS'!$D$6:$D$366,D7)-INDEX('Native PMKS'!$D$6:$D$366,C7))*E7</f>
        <v>-0.57443621169916426</v>
      </c>
    </row>
    <row r="8" spans="1:6" ht="18.95" customHeight="1">
      <c r="A8" s="1">
        <v>2</v>
      </c>
      <c r="B8" s="6">
        <f>TimeStep!G8</f>
        <v>16.713091922005571</v>
      </c>
      <c r="C8" s="6">
        <f>MIN(MATCH(B8,'Native PMKS'!$C$6:$C$366,1),360)</f>
        <v>3</v>
      </c>
      <c r="D8" s="6">
        <f t="shared" si="0"/>
        <v>4</v>
      </c>
      <c r="E8" s="6">
        <f>(B8-INDEX('Native PMKS'!$C$6:$C$366,C8))/(INDEX('Native PMKS'!$C$6:$C$366,D8)-INDEX('Native PMKS'!$C$6:$C$366,C8))</f>
        <v>5.5710306406683693E-3</v>
      </c>
      <c r="F8" s="6">
        <f>INDEX('Native PMKS'!$D$6:$D$366,C8)+(INDEX('Native PMKS'!$D$6:$D$366,D8)-INDEX('Native PMKS'!$D$6:$D$366,C8))*E8</f>
        <v>-1.091792200557103</v>
      </c>
    </row>
    <row r="9" spans="1:6" ht="18.95" customHeight="1">
      <c r="A9" s="1">
        <v>3</v>
      </c>
      <c r="B9" s="6">
        <f>TimeStep!G9</f>
        <v>25.069637883008355</v>
      </c>
      <c r="C9" s="6">
        <f>MIN(MATCH(B9,'Native PMKS'!$C$6:$C$366,1),360)</f>
        <v>4</v>
      </c>
      <c r="D9" s="6">
        <f t="shared" si="0"/>
        <v>5</v>
      </c>
      <c r="E9" s="6">
        <f>(B9-INDEX('Native PMKS'!$C$6:$C$366,C9))/(INDEX('Native PMKS'!$C$6:$C$366,D9)-INDEX('Native PMKS'!$C$6:$C$366,C9))</f>
        <v>8.3565459610025501E-3</v>
      </c>
      <c r="F9" s="6">
        <f>INDEX('Native PMKS'!$D$6:$D$366,C9)+(INDEX('Native PMKS'!$D$6:$D$366,D9)-INDEX('Native PMKS'!$D$6:$D$366,C9))*E9</f>
        <v>-1.665908635097493</v>
      </c>
    </row>
    <row r="10" spans="1:6" ht="18.95" customHeight="1">
      <c r="A10" s="1">
        <v>4</v>
      </c>
      <c r="B10" s="6">
        <f>TimeStep!G10</f>
        <v>33.426183844011142</v>
      </c>
      <c r="C10" s="6">
        <f>MIN(MATCH(B10,'Native PMKS'!$C$6:$C$366,1),360)</f>
        <v>5</v>
      </c>
      <c r="D10" s="6">
        <f t="shared" si="0"/>
        <v>6</v>
      </c>
      <c r="E10" s="6">
        <f>(B10-INDEX('Native PMKS'!$C$6:$C$366,C10))/(INDEX('Native PMKS'!$C$6:$C$366,D10)-INDEX('Native PMKS'!$C$6:$C$366,C10))</f>
        <v>1.1142061281336733E-2</v>
      </c>
      <c r="F10" s="6">
        <f>INDEX('Native PMKS'!$D$6:$D$366,C10)+(INDEX('Native PMKS'!$D$6:$D$366,D10)-INDEX('Native PMKS'!$D$6:$D$366,C10))*E10</f>
        <v>-2.1829459610027855</v>
      </c>
    </row>
    <row r="11" spans="1:6" ht="18.95" customHeight="1">
      <c r="A11" s="1">
        <v>5</v>
      </c>
      <c r="B11" s="6">
        <f>TimeStep!G11</f>
        <v>41.782729805013929</v>
      </c>
      <c r="C11" s="6">
        <f>MIN(MATCH(B11,'Native PMKS'!$C$6:$C$366,1),360)</f>
        <v>6</v>
      </c>
      <c r="D11" s="6">
        <f t="shared" si="0"/>
        <v>7</v>
      </c>
      <c r="E11" s="6">
        <f>(B11-INDEX('Native PMKS'!$C$6:$C$366,C11))/(INDEX('Native PMKS'!$C$6:$C$366,D11)-INDEX('Native PMKS'!$C$6:$C$366,C11))</f>
        <v>1.3927576601670929E-2</v>
      </c>
      <c r="F11" s="6">
        <f>INDEX('Native PMKS'!$D$6:$D$366,C11)+(INDEX('Native PMKS'!$D$6:$D$366,D11)-INDEX('Native PMKS'!$D$6:$D$366,C11))*E11</f>
        <v>-2.7008805013927573</v>
      </c>
    </row>
    <row r="12" spans="1:6" ht="18.95" customHeight="1">
      <c r="A12" s="1">
        <v>6</v>
      </c>
      <c r="B12" s="6">
        <f>TimeStep!G12</f>
        <v>50.139275766016709</v>
      </c>
      <c r="C12" s="6">
        <f>MIN(MATCH(B12,'Native PMKS'!$C$6:$C$366,1),360)</f>
        <v>7</v>
      </c>
      <c r="D12" s="6">
        <f t="shared" si="0"/>
        <v>8</v>
      </c>
      <c r="E12" s="6">
        <f>(B12-INDEX('Native PMKS'!$C$6:$C$366,C12))/(INDEX('Native PMKS'!$C$6:$C$366,D12)-INDEX('Native PMKS'!$C$6:$C$366,C12))</f>
        <v>1.67130919220051E-2</v>
      </c>
      <c r="F12" s="6">
        <f>INDEX('Native PMKS'!$D$6:$D$366,C12)+(INDEX('Native PMKS'!$D$6:$D$366,D12)-INDEX('Native PMKS'!$D$6:$D$366,C12))*E12</f>
        <v>-3.2745172701949858</v>
      </c>
    </row>
    <row r="13" spans="1:6" ht="18.95" customHeight="1">
      <c r="A13" s="1">
        <v>7</v>
      </c>
      <c r="B13" s="6">
        <f>TimeStep!G13</f>
        <v>58.495821727019496</v>
      </c>
      <c r="C13" s="6">
        <f>MIN(MATCH(B13,'Native PMKS'!$C$6:$C$366,1),360)</f>
        <v>8</v>
      </c>
      <c r="D13" s="6">
        <f t="shared" si="0"/>
        <v>9</v>
      </c>
      <c r="E13" s="6">
        <f>(B13-INDEX('Native PMKS'!$C$6:$C$366,C13))/(INDEX('Native PMKS'!$C$6:$C$366,D13)-INDEX('Native PMKS'!$C$6:$C$366,C13))</f>
        <v>1.9498607242339285E-2</v>
      </c>
      <c r="F13" s="6">
        <f>INDEX('Native PMKS'!$D$6:$D$366,C13)+(INDEX('Native PMKS'!$D$6:$D$366,D13)-INDEX('Native PMKS'!$D$6:$D$366,C13))*E13</f>
        <v>-3.7926727019498601</v>
      </c>
    </row>
    <row r="14" spans="1:6" ht="18.95" customHeight="1">
      <c r="A14" s="1">
        <v>8</v>
      </c>
      <c r="B14" s="6">
        <f>TimeStep!G14</f>
        <v>66.852367688022284</v>
      </c>
      <c r="C14" s="6">
        <f>MIN(MATCH(B14,'Native PMKS'!$C$6:$C$366,1),360)</f>
        <v>9</v>
      </c>
      <c r="D14" s="6">
        <f t="shared" si="0"/>
        <v>10</v>
      </c>
      <c r="E14" s="6">
        <f>(B14-INDEX('Native PMKS'!$C$6:$C$366,C14))/(INDEX('Native PMKS'!$C$6:$C$366,D14)-INDEX('Native PMKS'!$C$6:$C$366,C14))</f>
        <v>2.2284122562673488E-2</v>
      </c>
      <c r="F14" s="6">
        <f>INDEX('Native PMKS'!$D$6:$D$366,C14)+(INDEX('Native PMKS'!$D$6:$D$366,D14)-INDEX('Native PMKS'!$D$6:$D$366,C14))*E14</f>
        <v>-4.3659896935933142</v>
      </c>
    </row>
    <row r="15" spans="1:6" ht="18.95" customHeight="1">
      <c r="A15" s="1">
        <v>9</v>
      </c>
      <c r="B15" s="6">
        <f>TimeStep!G15</f>
        <v>75.208913649025064</v>
      </c>
      <c r="C15" s="6">
        <f>MIN(MATCH(B15,'Native PMKS'!$C$6:$C$366,1),360)</f>
        <v>10</v>
      </c>
      <c r="D15" s="6">
        <f t="shared" si="0"/>
        <v>11</v>
      </c>
      <c r="E15" s="6">
        <f>(B15-INDEX('Native PMKS'!$C$6:$C$366,C15))/(INDEX('Native PMKS'!$C$6:$C$366,D15)-INDEX('Native PMKS'!$C$6:$C$366,C15))</f>
        <v>2.5069637883007631E-2</v>
      </c>
      <c r="F15" s="6">
        <f>INDEX('Native PMKS'!$D$6:$D$366,C15)+(INDEX('Native PMKS'!$D$6:$D$366,D15)-INDEX('Native PMKS'!$D$6:$D$366,C15))*E15</f>
        <v>-4.8830284122562668</v>
      </c>
    </row>
    <row r="16" spans="1:6" ht="18.95" customHeight="1">
      <c r="A16" s="1">
        <v>10</v>
      </c>
      <c r="B16" s="6">
        <f>TimeStep!G16</f>
        <v>83.565459610027858</v>
      </c>
      <c r="C16" s="6">
        <f>MIN(MATCH(B16,'Native PMKS'!$C$6:$C$366,1),360)</f>
        <v>11</v>
      </c>
      <c r="D16" s="6">
        <f t="shared" si="0"/>
        <v>12</v>
      </c>
      <c r="E16" s="6">
        <f>(B16-INDEX('Native PMKS'!$C$6:$C$366,C16))/(INDEX('Native PMKS'!$C$6:$C$366,D16)-INDEX('Native PMKS'!$C$6:$C$366,C16))</f>
        <v>2.7855153203341858E-2</v>
      </c>
      <c r="F16" s="6">
        <f>INDEX('Native PMKS'!$D$6:$D$366,C16)+(INDEX('Native PMKS'!$D$6:$D$366,D16)-INDEX('Native PMKS'!$D$6:$D$366,C16))*E16</f>
        <v>-5.4001649025069627</v>
      </c>
    </row>
    <row r="17" spans="1:6" ht="18.95" customHeight="1">
      <c r="A17" s="1">
        <v>11</v>
      </c>
      <c r="B17" s="6">
        <f>TimeStep!G17</f>
        <v>91.922005571030638</v>
      </c>
      <c r="C17" s="6">
        <f>MIN(MATCH(B17,'Native PMKS'!$C$6:$C$366,1),360)</f>
        <v>12</v>
      </c>
      <c r="D17" s="6">
        <f t="shared" si="0"/>
        <v>13</v>
      </c>
      <c r="E17" s="6">
        <f>(B17-INDEX('Native PMKS'!$C$6:$C$366,C17))/(INDEX('Native PMKS'!$C$6:$C$366,D17)-INDEX('Native PMKS'!$C$6:$C$366,C17))</f>
        <v>3.0640668523676043E-2</v>
      </c>
      <c r="F17" s="6">
        <f>INDEX('Native PMKS'!$D$6:$D$366,C17)+(INDEX('Native PMKS'!$D$6:$D$366,D17)-INDEX('Native PMKS'!$D$6:$D$366,C17))*E17</f>
        <v>-5.9190540389972144</v>
      </c>
    </row>
    <row r="18" spans="1:6" ht="18.95" customHeight="1">
      <c r="A18" s="1">
        <v>12</v>
      </c>
      <c r="B18" s="6">
        <f>TimeStep!G18</f>
        <v>100.27855153203342</v>
      </c>
      <c r="C18" s="6">
        <f>MIN(MATCH(B18,'Native PMKS'!$C$6:$C$366,1),360)</f>
        <v>13</v>
      </c>
      <c r="D18" s="6">
        <f t="shared" si="0"/>
        <v>14</v>
      </c>
      <c r="E18" s="6">
        <f>(B18-INDEX('Native PMKS'!$C$6:$C$366,C18))/(INDEX('Native PMKS'!$C$6:$C$366,D18)-INDEX('Native PMKS'!$C$6:$C$366,C18))</f>
        <v>3.3426183844010172E-2</v>
      </c>
      <c r="F18" s="6">
        <f>INDEX('Native PMKS'!$D$6:$D$366,C18)+(INDEX('Native PMKS'!$D$6:$D$366,D18)-INDEX('Native PMKS'!$D$6:$D$366,C18))*E18</f>
        <v>-6.4916378830083561</v>
      </c>
    </row>
    <row r="19" spans="1:6" ht="18.95" customHeight="1">
      <c r="A19" s="1">
        <v>13</v>
      </c>
      <c r="B19" s="6">
        <f>TimeStep!G19</f>
        <v>108.63509749303621</v>
      </c>
      <c r="C19" s="6">
        <f>MIN(MATCH(B19,'Native PMKS'!$C$6:$C$366,1),360)</f>
        <v>14</v>
      </c>
      <c r="D19" s="6">
        <f t="shared" si="0"/>
        <v>15</v>
      </c>
      <c r="E19" s="6">
        <f>(B19-INDEX('Native PMKS'!$C$6:$C$366,C19))/(INDEX('Native PMKS'!$C$6:$C$366,D19)-INDEX('Native PMKS'!$C$6:$C$366,C19))</f>
        <v>3.6211699164344413E-2</v>
      </c>
      <c r="F19" s="6">
        <f>INDEX('Native PMKS'!$D$6:$D$366,C19)+(INDEX('Native PMKS'!$D$6:$D$366,D19)-INDEX('Native PMKS'!$D$6:$D$366,C19))*E19</f>
        <v>-7.008770752089136</v>
      </c>
    </row>
    <row r="20" spans="1:6" ht="18.95" customHeight="1">
      <c r="A20" s="1">
        <v>14</v>
      </c>
      <c r="B20" s="6">
        <f>TimeStep!G20</f>
        <v>116.99164345403899</v>
      </c>
      <c r="C20" s="6">
        <f>MIN(MATCH(B20,'Native PMKS'!$C$6:$C$366,1),360)</f>
        <v>15</v>
      </c>
      <c r="D20" s="6">
        <f t="shared" si="0"/>
        <v>16</v>
      </c>
      <c r="E20" s="6">
        <f>(B20-INDEX('Native PMKS'!$C$6:$C$366,C20))/(INDEX('Native PMKS'!$C$6:$C$366,D20)-INDEX('Native PMKS'!$C$6:$C$366,C20))</f>
        <v>3.8997214484678536E-2</v>
      </c>
      <c r="F20" s="6">
        <f>INDEX('Native PMKS'!$D$6:$D$366,C20)+(INDEX('Native PMKS'!$D$6:$D$366,D20)-INDEX('Native PMKS'!$D$6:$D$366,C20))*E20</f>
        <v>-7.5258108635097489</v>
      </c>
    </row>
    <row r="21" spans="1:6" ht="18.95" customHeight="1">
      <c r="A21" s="1">
        <v>15</v>
      </c>
      <c r="B21" s="6">
        <f>TimeStep!G21</f>
        <v>125.34818941504179</v>
      </c>
      <c r="C21" s="6">
        <f>MIN(MATCH(B21,'Native PMKS'!$C$6:$C$366,1),360)</f>
        <v>16</v>
      </c>
      <c r="D21" s="6">
        <f t="shared" si="0"/>
        <v>17</v>
      </c>
      <c r="E21" s="6">
        <f>(B21-INDEX('Native PMKS'!$C$6:$C$366,C21))/(INDEX('Native PMKS'!$C$6:$C$366,D21)-INDEX('Native PMKS'!$C$6:$C$366,C21))</f>
        <v>4.178272980501279E-2</v>
      </c>
      <c r="F21" s="6">
        <f>INDEX('Native PMKS'!$D$6:$D$366,C21)+(INDEX('Native PMKS'!$D$6:$D$366,D21)-INDEX('Native PMKS'!$D$6:$D$366,C21))*E21</f>
        <v>-8.0429473537604448</v>
      </c>
    </row>
    <row r="22" spans="1:6" ht="18.95" customHeight="1">
      <c r="A22" s="1">
        <v>16</v>
      </c>
      <c r="B22" s="6">
        <f>TimeStep!G22</f>
        <v>133.70473537604457</v>
      </c>
      <c r="C22" s="6">
        <f>MIN(MATCH(B22,'Native PMKS'!$C$6:$C$366,1),360)</f>
        <v>17</v>
      </c>
      <c r="D22" s="6">
        <f t="shared" si="0"/>
        <v>18</v>
      </c>
      <c r="E22" s="6">
        <f>(B22-INDEX('Native PMKS'!$C$6:$C$366,C22))/(INDEX('Native PMKS'!$C$6:$C$366,D22)-INDEX('Native PMKS'!$C$6:$C$366,C22))</f>
        <v>4.4568245125346899E-2</v>
      </c>
      <c r="F22" s="6">
        <f>INDEX('Native PMKS'!$D$6:$D$366,C22)+(INDEX('Native PMKS'!$D$6:$D$366,D22)-INDEX('Native PMKS'!$D$6:$D$366,C22))*E22</f>
        <v>-8.5600793871866294</v>
      </c>
    </row>
    <row r="23" spans="1:6" ht="18.95" customHeight="1">
      <c r="A23" s="1">
        <v>17</v>
      </c>
      <c r="B23" s="6">
        <f>TimeStep!G23</f>
        <v>142.06128133704735</v>
      </c>
      <c r="C23" s="6">
        <f>MIN(MATCH(B23,'Native PMKS'!$C$6:$C$366,1),360)</f>
        <v>18</v>
      </c>
      <c r="D23" s="6">
        <f t="shared" si="0"/>
        <v>19</v>
      </c>
      <c r="E23" s="6">
        <f>(B23-INDEX('Native PMKS'!$C$6:$C$366,C23))/(INDEX('Native PMKS'!$C$6:$C$366,D23)-INDEX('Native PMKS'!$C$6:$C$366,C23))</f>
        <v>4.7353760445679537E-2</v>
      </c>
      <c r="F23" s="6">
        <f>INDEX('Native PMKS'!$D$6:$D$366,C23)+(INDEX('Native PMKS'!$D$6:$D$366,D23)-INDEX('Native PMKS'!$D$6:$D$366,C23))*E23</f>
        <v>-9.0771203342618367</v>
      </c>
    </row>
    <row r="24" spans="1:6" ht="18.95" customHeight="1">
      <c r="A24" s="1">
        <v>18</v>
      </c>
      <c r="B24" s="6">
        <f>TimeStep!G24</f>
        <v>150.41782729805013</v>
      </c>
      <c r="C24" s="6">
        <f>MIN(MATCH(B24,'Native PMKS'!$C$6:$C$366,1),360)</f>
        <v>19</v>
      </c>
      <c r="D24" s="6">
        <f t="shared" si="0"/>
        <v>20</v>
      </c>
      <c r="E24" s="6">
        <f>(B24-INDEX('Native PMKS'!$C$6:$C$366,C24))/(INDEX('Native PMKS'!$C$6:$C$366,D24)-INDEX('Native PMKS'!$C$6:$C$366,C24))</f>
        <v>5.0139275766015262E-2</v>
      </c>
      <c r="F24" s="6">
        <f>INDEX('Native PMKS'!$D$6:$D$366,C24)+(INDEX('Native PMKS'!$D$6:$D$366,D24)-INDEX('Native PMKS'!$D$6:$D$366,C24))*E24</f>
        <v>-9.5942568245125344</v>
      </c>
    </row>
    <row r="25" spans="1:6" ht="18.95" customHeight="1">
      <c r="A25" s="1">
        <v>19</v>
      </c>
      <c r="B25" s="6">
        <f>TimeStep!G25</f>
        <v>158.77437325905294</v>
      </c>
      <c r="C25" s="6">
        <f>MIN(MATCH(B25,'Native PMKS'!$C$6:$C$366,1),360)</f>
        <v>20</v>
      </c>
      <c r="D25" s="6">
        <f t="shared" si="0"/>
        <v>21</v>
      </c>
      <c r="E25" s="6">
        <f>(B25-INDEX('Native PMKS'!$C$6:$C$366,C25))/(INDEX('Native PMKS'!$C$6:$C$366,D25)-INDEX('Native PMKS'!$C$6:$C$366,C25))</f>
        <v>5.2924791086351147E-2</v>
      </c>
      <c r="F25" s="6">
        <f>INDEX('Native PMKS'!$D$6:$D$366,C25)+(INDEX('Native PMKS'!$D$6:$D$366,D25)-INDEX('Native PMKS'!$D$6:$D$366,C25))*E25</f>
        <v>-10.111388022284123</v>
      </c>
    </row>
    <row r="26" spans="1:6" ht="18.95" customHeight="1">
      <c r="A26" s="1">
        <v>20</v>
      </c>
      <c r="B26" s="6">
        <f>TimeStep!G26</f>
        <v>167.13091922005572</v>
      </c>
      <c r="C26" s="6">
        <f>MIN(MATCH(B26,'Native PMKS'!$C$6:$C$366,1),360)</f>
        <v>21</v>
      </c>
      <c r="D26" s="6">
        <f t="shared" si="0"/>
        <v>22</v>
      </c>
      <c r="E26" s="6">
        <f>(B26-INDEX('Native PMKS'!$C$6:$C$366,C26))/(INDEX('Native PMKS'!$C$6:$C$366,D26)-INDEX('Native PMKS'!$C$6:$C$366,C26))</f>
        <v>5.5710306406683813E-2</v>
      </c>
      <c r="F26" s="6">
        <f>INDEX('Native PMKS'!$D$6:$D$366,C26)+(INDEX('Native PMKS'!$D$6:$D$366,D26)-INDEX('Native PMKS'!$D$6:$D$366,C26))*E26</f>
        <v>-10.625237604456824</v>
      </c>
    </row>
    <row r="27" spans="1:6" ht="18.95" customHeight="1">
      <c r="A27" s="1">
        <v>21</v>
      </c>
      <c r="B27" s="6">
        <f>TimeStep!G27</f>
        <v>175.4874651810585</v>
      </c>
      <c r="C27" s="6">
        <f>MIN(MATCH(B27,'Native PMKS'!$C$6:$C$366,1),360)</f>
        <v>22</v>
      </c>
      <c r="D27" s="6">
        <f t="shared" si="0"/>
        <v>23</v>
      </c>
      <c r="E27" s="6">
        <f>(B27-INDEX('Native PMKS'!$C$6:$C$366,C27))/(INDEX('Native PMKS'!$C$6:$C$366,D27)-INDEX('Native PMKS'!$C$6:$C$366,C27))</f>
        <v>5.849582172701951E-2</v>
      </c>
      <c r="F27" s="6">
        <f>INDEX('Native PMKS'!$D$6:$D$366,C27)+(INDEX('Native PMKS'!$D$6:$D$366,D27)-INDEX('Native PMKS'!$D$6:$D$366,C27))*E27</f>
        <v>-11.088260445682451</v>
      </c>
    </row>
    <row r="28" spans="1:6" ht="18.95" customHeight="1">
      <c r="A28" s="1">
        <v>22</v>
      </c>
      <c r="B28" s="6">
        <f>TimeStep!G28</f>
        <v>183.84401114206128</v>
      </c>
      <c r="C28" s="6">
        <f>MIN(MATCH(B28,'Native PMKS'!$C$6:$C$366,1),360)</f>
        <v>23</v>
      </c>
      <c r="D28" s="6">
        <f t="shared" si="0"/>
        <v>24</v>
      </c>
      <c r="E28" s="6">
        <f>(B28-INDEX('Native PMKS'!$C$6:$C$366,C28))/(INDEX('Native PMKS'!$C$6:$C$366,D28)-INDEX('Native PMKS'!$C$6:$C$366,C28))</f>
        <v>6.1281337047351982E-2</v>
      </c>
      <c r="F28" s="6">
        <f>INDEX('Native PMKS'!$D$6:$D$366,C28)+(INDEX('Native PMKS'!$D$6:$D$366,D28)-INDEX('Native PMKS'!$D$6:$D$366,C28))*E28</f>
        <v>-11.601791364902507</v>
      </c>
    </row>
    <row r="29" spans="1:6" ht="18.95" customHeight="1">
      <c r="A29" s="1">
        <v>23</v>
      </c>
      <c r="B29" s="6">
        <f>TimeStep!G29</f>
        <v>192.20055710306406</v>
      </c>
      <c r="C29" s="6">
        <f>MIN(MATCH(B29,'Native PMKS'!$C$6:$C$366,1),360)</f>
        <v>24</v>
      </c>
      <c r="D29" s="6">
        <f t="shared" si="0"/>
        <v>25</v>
      </c>
      <c r="E29" s="6">
        <f>(B29-INDEX('Native PMKS'!$C$6:$C$366,C29))/(INDEX('Native PMKS'!$C$6:$C$366,D29)-INDEX('Native PMKS'!$C$6:$C$366,C29))</f>
        <v>6.4066852367684682E-2</v>
      </c>
      <c r="F29" s="6">
        <f>INDEX('Native PMKS'!$D$6:$D$366,C29)+(INDEX('Native PMKS'!$D$6:$D$366,D29)-INDEX('Native PMKS'!$D$6:$D$366,C29))*E29</f>
        <v>-12.065139275766015</v>
      </c>
    </row>
    <row r="30" spans="1:6" ht="18.95" customHeight="1">
      <c r="A30" s="1">
        <v>24</v>
      </c>
      <c r="B30" s="6">
        <f>TimeStep!G30</f>
        <v>200.55710306406684</v>
      </c>
      <c r="C30" s="6">
        <f>MIN(MATCH(B30,'Native PMKS'!$C$6:$C$366,1),360)</f>
        <v>25</v>
      </c>
      <c r="D30" s="6">
        <f t="shared" si="0"/>
        <v>26</v>
      </c>
      <c r="E30" s="6">
        <f>(B30-INDEX('Native PMKS'!$C$6:$C$366,C30))/(INDEX('Native PMKS'!$C$6:$C$366,D30)-INDEX('Native PMKS'!$C$6:$C$366,C30))</f>
        <v>6.6852367688020345E-2</v>
      </c>
      <c r="F30" s="6">
        <f>INDEX('Native PMKS'!$D$6:$D$366,C30)+(INDEX('Native PMKS'!$D$6:$D$366,D30)-INDEX('Native PMKS'!$D$6:$D$366,C30))*E30</f>
        <v>-12.57843844011142</v>
      </c>
    </row>
    <row r="31" spans="1:6" ht="18.95" customHeight="1">
      <c r="A31" s="1">
        <v>25</v>
      </c>
      <c r="B31" s="6">
        <f>TimeStep!G31</f>
        <v>208.91364902506965</v>
      </c>
      <c r="C31" s="6">
        <f>MIN(MATCH(B31,'Native PMKS'!$C$6:$C$366,1),360)</f>
        <v>26</v>
      </c>
      <c r="D31" s="6">
        <f t="shared" si="0"/>
        <v>27</v>
      </c>
      <c r="E31" s="6">
        <f>(B31-INDEX('Native PMKS'!$C$6:$C$366,C31))/(INDEX('Native PMKS'!$C$6:$C$366,D31)-INDEX('Native PMKS'!$C$6:$C$366,C31))</f>
        <v>6.963788300835623E-2</v>
      </c>
      <c r="F31" s="6">
        <f>INDEX('Native PMKS'!$D$6:$D$366,C31)+(INDEX('Native PMKS'!$D$6:$D$366,D31)-INDEX('Native PMKS'!$D$6:$D$366,C31))*E31</f>
        <v>-13.042012256267409</v>
      </c>
    </row>
    <row r="32" spans="1:6" ht="18.95" customHeight="1">
      <c r="A32" s="1">
        <v>26</v>
      </c>
      <c r="B32" s="6">
        <f>TimeStep!G32</f>
        <v>217.27019498607243</v>
      </c>
      <c r="C32" s="6">
        <f>MIN(MATCH(B32,'Native PMKS'!$C$6:$C$366,1),360)</f>
        <v>27</v>
      </c>
      <c r="D32" s="6">
        <f t="shared" si="0"/>
        <v>28</v>
      </c>
      <c r="E32" s="6">
        <f>(B32-INDEX('Native PMKS'!$C$6:$C$366,C32))/(INDEX('Native PMKS'!$C$6:$C$366,D32)-INDEX('Native PMKS'!$C$6:$C$366,C32))</f>
        <v>7.2423398328688715E-2</v>
      </c>
      <c r="F32" s="6">
        <f>INDEX('Native PMKS'!$D$6:$D$366,C32)+(INDEX('Native PMKS'!$D$6:$D$366,D32)-INDEX('Native PMKS'!$D$6:$D$366,C32))*E32</f>
        <v>-13.554998885793871</v>
      </c>
    </row>
    <row r="33" spans="1:6" ht="18.95" customHeight="1">
      <c r="A33" s="1">
        <v>27</v>
      </c>
      <c r="B33" s="6">
        <f>TimeStep!G33</f>
        <v>225.62674094707521</v>
      </c>
      <c r="C33" s="6">
        <f>MIN(MATCH(B33,'Native PMKS'!$C$6:$C$366,1),360)</f>
        <v>28</v>
      </c>
      <c r="D33" s="6">
        <f t="shared" si="0"/>
        <v>29</v>
      </c>
      <c r="E33" s="6">
        <f>(B33-INDEX('Native PMKS'!$C$6:$C$366,C33))/(INDEX('Native PMKS'!$C$6:$C$366,D33)-INDEX('Native PMKS'!$C$6:$C$366,C33))</f>
        <v>7.5208913649021436E-2</v>
      </c>
      <c r="F33" s="6">
        <f>INDEX('Native PMKS'!$D$6:$D$366,C33)+(INDEX('Native PMKS'!$D$6:$D$366,D33)-INDEX('Native PMKS'!$D$6:$D$366,C33))*E33</f>
        <v>-14.014668245125346</v>
      </c>
    </row>
    <row r="34" spans="1:6" ht="18.95" customHeight="1">
      <c r="A34" s="1">
        <v>28</v>
      </c>
      <c r="B34" s="6">
        <f>TimeStep!G34</f>
        <v>233.98328690807799</v>
      </c>
      <c r="C34" s="6">
        <f>MIN(MATCH(B34,'Native PMKS'!$C$6:$C$366,1),360)</f>
        <v>29</v>
      </c>
      <c r="D34" s="6">
        <f t="shared" si="0"/>
        <v>30</v>
      </c>
      <c r="E34" s="6">
        <f>(B34-INDEX('Native PMKS'!$C$6:$C$366,C34))/(INDEX('Native PMKS'!$C$6:$C$366,D34)-INDEX('Native PMKS'!$C$6:$C$366,C34))</f>
        <v>7.7994428969357071E-2</v>
      </c>
      <c r="F34" s="6">
        <f>INDEX('Native PMKS'!$D$6:$D$366,C34)+(INDEX('Native PMKS'!$D$6:$D$366,D34)-INDEX('Native PMKS'!$D$6:$D$366,C34))*E34</f>
        <v>-14.474252646239552</v>
      </c>
    </row>
    <row r="35" spans="1:6" ht="18.95" customHeight="1">
      <c r="A35" s="1">
        <v>29</v>
      </c>
      <c r="B35" s="6">
        <f>TimeStep!G35</f>
        <v>242.33983286908077</v>
      </c>
      <c r="C35" s="6">
        <f>MIN(MATCH(B35,'Native PMKS'!$C$6:$C$366,1),360)</f>
        <v>30</v>
      </c>
      <c r="D35" s="6">
        <f t="shared" si="0"/>
        <v>31</v>
      </c>
      <c r="E35" s="6">
        <f>(B35-INDEX('Native PMKS'!$C$6:$C$366,C35))/(INDEX('Native PMKS'!$C$6:$C$366,D35)-INDEX('Native PMKS'!$C$6:$C$366,C35))</f>
        <v>8.0779944289689543E-2</v>
      </c>
      <c r="F35" s="6">
        <f>INDEX('Native PMKS'!$D$6:$D$366,C35)+(INDEX('Native PMKS'!$D$6:$D$366,D35)-INDEX('Native PMKS'!$D$6:$D$366,C35))*E35</f>
        <v>-14.933929526462395</v>
      </c>
    </row>
    <row r="36" spans="1:6" ht="18.95" customHeight="1">
      <c r="A36" s="1">
        <v>30</v>
      </c>
      <c r="B36" s="6">
        <f>TimeStep!G36</f>
        <v>250.69637883008357</v>
      </c>
      <c r="C36" s="6">
        <f>MIN(MATCH(B36,'Native PMKS'!$C$6:$C$366,1),360)</f>
        <v>31</v>
      </c>
      <c r="D36" s="6">
        <f t="shared" si="0"/>
        <v>32</v>
      </c>
      <c r="E36" s="6">
        <f>(B36-INDEX('Native PMKS'!$C$6:$C$366,C36))/(INDEX('Native PMKS'!$C$6:$C$366,D36)-INDEX('Native PMKS'!$C$6:$C$366,C36))</f>
        <v>8.3565459610025428E-2</v>
      </c>
      <c r="F36" s="6">
        <f>INDEX('Native PMKS'!$D$6:$D$366,C36)+(INDEX('Native PMKS'!$D$6:$D$366,D36)-INDEX('Native PMKS'!$D$6:$D$366,C36))*E36</f>
        <v>-15.393598050139275</v>
      </c>
    </row>
    <row r="37" spans="1:6" ht="18.95" customHeight="1">
      <c r="A37" s="1">
        <v>31</v>
      </c>
      <c r="B37" s="6">
        <f>TimeStep!G37</f>
        <v>259.05292479108635</v>
      </c>
      <c r="C37" s="6">
        <f>MIN(MATCH(B37,'Native PMKS'!$C$6:$C$366,1),360)</f>
        <v>32</v>
      </c>
      <c r="D37" s="6">
        <f t="shared" si="0"/>
        <v>33</v>
      </c>
      <c r="E37" s="6">
        <f>(B37-INDEX('Native PMKS'!$C$6:$C$366,C37))/(INDEX('Native PMKS'!$C$6:$C$366,D37)-INDEX('Native PMKS'!$C$6:$C$366,C37))</f>
        <v>8.6350974930358204E-2</v>
      </c>
      <c r="F37" s="6">
        <f>INDEX('Native PMKS'!$D$6:$D$366,C37)+(INDEX('Native PMKS'!$D$6:$D$366,D37)-INDEX('Native PMKS'!$D$6:$D$366,C37))*E37</f>
        <v>-15.853183286908076</v>
      </c>
    </row>
    <row r="38" spans="1:6" ht="18.95" customHeight="1">
      <c r="A38" s="1">
        <v>32</v>
      </c>
      <c r="B38" s="6">
        <f>TimeStep!G38</f>
        <v>267.40947075208913</v>
      </c>
      <c r="C38" s="6">
        <f>MIN(MATCH(B38,'Native PMKS'!$C$6:$C$366,1),360)</f>
        <v>33</v>
      </c>
      <c r="D38" s="6">
        <f t="shared" si="0"/>
        <v>34</v>
      </c>
      <c r="E38" s="6">
        <f>(B38-INDEX('Native PMKS'!$C$6:$C$366,C38))/(INDEX('Native PMKS'!$C$6:$C$366,D38)-INDEX('Native PMKS'!$C$6:$C$366,C38))</f>
        <v>8.9136490250694103E-2</v>
      </c>
      <c r="F38" s="6">
        <f>INDEX('Native PMKS'!$D$6:$D$366,C38)+(INDEX('Native PMKS'!$D$6:$D$366,D38)-INDEX('Native PMKS'!$D$6:$D$366,C38))*E38</f>
        <v>-16.312860167130918</v>
      </c>
    </row>
    <row r="39" spans="1:6" ht="18.95" customHeight="1">
      <c r="A39" s="1">
        <v>33</v>
      </c>
      <c r="B39" s="6">
        <f>TimeStep!G39</f>
        <v>275.76601671309191</v>
      </c>
      <c r="C39" s="6">
        <f>MIN(MATCH(B39,'Native PMKS'!$C$6:$C$366,1),360)</f>
        <v>34</v>
      </c>
      <c r="D39" s="6">
        <f t="shared" si="0"/>
        <v>35</v>
      </c>
      <c r="E39" s="6">
        <f>(B39-INDEX('Native PMKS'!$C$6:$C$366,C39))/(INDEX('Native PMKS'!$C$6:$C$366,D39)-INDEX('Native PMKS'!$C$6:$C$366,C39))</f>
        <v>9.1922005571029364E-2</v>
      </c>
      <c r="F39" s="6">
        <f>INDEX('Native PMKS'!$D$6:$D$366,C39)+(INDEX('Native PMKS'!$D$6:$D$366,D39)-INDEX('Native PMKS'!$D$6:$D$366,C39))*E39</f>
        <v>-16.772527855153204</v>
      </c>
    </row>
    <row r="40" spans="1:6" ht="18.95" customHeight="1">
      <c r="A40" s="1">
        <v>34</v>
      </c>
      <c r="B40" s="6">
        <f>TimeStep!G40</f>
        <v>284.1225626740947</v>
      </c>
      <c r="C40" s="6">
        <f>MIN(MATCH(B40,'Native PMKS'!$C$6:$C$366,1),360)</f>
        <v>35</v>
      </c>
      <c r="D40" s="6">
        <f t="shared" si="0"/>
        <v>36</v>
      </c>
      <c r="E40" s="6">
        <f>(B40-INDEX('Native PMKS'!$C$6:$C$366,C40))/(INDEX('Native PMKS'!$C$6:$C$366,D40)-INDEX('Native PMKS'!$C$6:$C$366,C40))</f>
        <v>9.4707520891359073E-2</v>
      </c>
      <c r="F40" s="6">
        <f>INDEX('Native PMKS'!$D$6:$D$366,C40)+(INDEX('Native PMKS'!$D$6:$D$366,D40)-INDEX('Native PMKS'!$D$6:$D$366,C40))*E40</f>
        <v>-17.226687186629526</v>
      </c>
    </row>
    <row r="41" spans="1:6" ht="18.95" customHeight="1">
      <c r="A41" s="1">
        <v>35</v>
      </c>
      <c r="B41" s="6">
        <f>TimeStep!G41</f>
        <v>292.47910863509748</v>
      </c>
      <c r="C41" s="6">
        <f>MIN(MATCH(B41,'Native PMKS'!$C$6:$C$366,1),360)</f>
        <v>36</v>
      </c>
      <c r="D41" s="6">
        <f t="shared" si="0"/>
        <v>37</v>
      </c>
      <c r="E41" s="6">
        <f>(B41-INDEX('Native PMKS'!$C$6:$C$366,C41))/(INDEX('Native PMKS'!$C$6:$C$366,D41)-INDEX('Native PMKS'!$C$6:$C$366,C41))</f>
        <v>9.7493036211694958E-2</v>
      </c>
      <c r="F41" s="6">
        <f>INDEX('Native PMKS'!$D$6:$D$366,C41)+(INDEX('Native PMKS'!$D$6:$D$366,D41)-INDEX('Native PMKS'!$D$6:$D$366,C41))*E41</f>
        <v>-17.634490807799441</v>
      </c>
    </row>
    <row r="42" spans="1:6" ht="18.95" customHeight="1">
      <c r="A42" s="1">
        <v>36</v>
      </c>
      <c r="B42" s="6">
        <f>TimeStep!G42</f>
        <v>300.83565459610026</v>
      </c>
      <c r="C42" s="6">
        <f>MIN(MATCH(B42,'Native PMKS'!$C$6:$C$366,1),360)</f>
        <v>37</v>
      </c>
      <c r="D42" s="6">
        <f t="shared" si="0"/>
        <v>38</v>
      </c>
      <c r="E42" s="6">
        <f>(B42-INDEX('Native PMKS'!$C$6:$C$366,C42))/(INDEX('Native PMKS'!$C$6:$C$366,D42)-INDEX('Native PMKS'!$C$6:$C$366,C42))</f>
        <v>0.10027855153203018</v>
      </c>
      <c r="F42" s="6">
        <f>INDEX('Native PMKS'!$D$6:$D$366,C42)+(INDEX('Native PMKS'!$D$6:$D$366,D42)-INDEX('Native PMKS'!$D$6:$D$366,C42))*E42</f>
        <v>-18.088411699164347</v>
      </c>
    </row>
    <row r="43" spans="1:6" ht="18.95" customHeight="1">
      <c r="A43" s="1">
        <v>37</v>
      </c>
      <c r="B43" s="6">
        <f>TimeStep!G43</f>
        <v>309.19220055710304</v>
      </c>
      <c r="C43" s="6">
        <f>MIN(MATCH(B43,'Native PMKS'!$C$6:$C$366,1),360)</f>
        <v>38</v>
      </c>
      <c r="D43" s="6">
        <f t="shared" si="0"/>
        <v>39</v>
      </c>
      <c r="E43" s="6">
        <f>(B43-INDEX('Native PMKS'!$C$6:$C$366,C43))/(INDEX('Native PMKS'!$C$6:$C$366,D43)-INDEX('Native PMKS'!$C$6:$C$366,C43))</f>
        <v>0.10306406685235994</v>
      </c>
      <c r="F43" s="6">
        <f>INDEX('Native PMKS'!$D$6:$D$366,C43)+(INDEX('Native PMKS'!$D$6:$D$366,D43)-INDEX('Native PMKS'!$D$6:$D$366,C43))*E43</f>
        <v>-18.490538997214482</v>
      </c>
    </row>
    <row r="44" spans="1:6" ht="18.95" customHeight="1">
      <c r="A44" s="1">
        <v>38</v>
      </c>
      <c r="B44" s="6">
        <f>TimeStep!G44</f>
        <v>317.54874651810587</v>
      </c>
      <c r="C44" s="6">
        <f>MIN(MATCH(B44,'Native PMKS'!$C$6:$C$366,1),360)</f>
        <v>39</v>
      </c>
      <c r="D44" s="6">
        <f t="shared" si="0"/>
        <v>40</v>
      </c>
      <c r="E44" s="6">
        <f>(B44-INDEX('Native PMKS'!$C$6:$C$366,C44))/(INDEX('Native PMKS'!$C$6:$C$366,D44)-INDEX('Native PMKS'!$C$6:$C$366,C44))</f>
        <v>0.10584958217270266</v>
      </c>
      <c r="F44" s="6">
        <f>INDEX('Native PMKS'!$D$6:$D$366,C44)+(INDEX('Native PMKS'!$D$6:$D$366,D44)-INDEX('Native PMKS'!$D$6:$D$366,C44))*E44</f>
        <v>-18.892756267409471</v>
      </c>
    </row>
    <row r="45" spans="1:6" ht="18.95" customHeight="1">
      <c r="A45" s="1">
        <v>39</v>
      </c>
      <c r="B45" s="6">
        <f>TimeStep!G45</f>
        <v>325.90529247910865</v>
      </c>
      <c r="C45" s="6">
        <f>MIN(MATCH(B45,'Native PMKS'!$C$6:$C$366,1),360)</f>
        <v>40</v>
      </c>
      <c r="D45" s="6">
        <f t="shared" si="0"/>
        <v>41</v>
      </c>
      <c r="E45" s="6">
        <f>(B45-INDEX('Native PMKS'!$C$6:$C$366,C45))/(INDEX('Native PMKS'!$C$6:$C$366,D45)-INDEX('Native PMKS'!$C$6:$C$366,C45))</f>
        <v>0.1086350974930378</v>
      </c>
      <c r="F45" s="6">
        <f>INDEX('Native PMKS'!$D$6:$D$366,C45)+(INDEX('Native PMKS'!$D$6:$D$366,D45)-INDEX('Native PMKS'!$D$6:$D$366,C45))*E45</f>
        <v>-19.294973537604459</v>
      </c>
    </row>
    <row r="46" spans="1:6" ht="18.95" customHeight="1">
      <c r="A46" s="1">
        <v>40</v>
      </c>
      <c r="B46" s="6">
        <f>TimeStep!G46</f>
        <v>334.26183844011143</v>
      </c>
      <c r="C46" s="6">
        <f>MIN(MATCH(B46,'Native PMKS'!$C$6:$C$366,1),360)</f>
        <v>41</v>
      </c>
      <c r="D46" s="6">
        <f t="shared" si="0"/>
        <v>42</v>
      </c>
      <c r="E46" s="6">
        <f>(B46-INDEX('Native PMKS'!$C$6:$C$366,C46))/(INDEX('Native PMKS'!$C$6:$C$366,D46)-INDEX('Native PMKS'!$C$6:$C$366,C46))</f>
        <v>0.11142061281336763</v>
      </c>
      <c r="F46" s="6">
        <f>INDEX('Native PMKS'!$D$6:$D$366,C46)+(INDEX('Native PMKS'!$D$6:$D$366,D46)-INDEX('Native PMKS'!$D$6:$D$366,C46))*E46</f>
        <v>-19.697179665738162</v>
      </c>
    </row>
    <row r="47" spans="1:6" ht="18.95" customHeight="1">
      <c r="A47" s="1">
        <v>41</v>
      </c>
      <c r="B47" s="6">
        <f>TimeStep!G47</f>
        <v>342.61838440111421</v>
      </c>
      <c r="C47" s="6">
        <f>MIN(MATCH(B47,'Native PMKS'!$C$6:$C$366,1),360)</f>
        <v>42</v>
      </c>
      <c r="D47" s="6">
        <f t="shared" si="0"/>
        <v>43</v>
      </c>
      <c r="E47" s="6">
        <f>(B47-INDEX('Native PMKS'!$C$6:$C$366,C47))/(INDEX('Native PMKS'!$C$6:$C$366,D47)-INDEX('Native PMKS'!$C$6:$C$366,C47))</f>
        <v>0.11420612813370352</v>
      </c>
      <c r="F47" s="6">
        <f>INDEX('Native PMKS'!$D$6:$D$366,C47)+(INDEX('Native PMKS'!$D$6:$D$366,D47)-INDEX('Native PMKS'!$D$6:$D$366,C47))*E47</f>
        <v>-20.099308077994429</v>
      </c>
    </row>
    <row r="48" spans="1:6" ht="18.95" customHeight="1">
      <c r="A48" s="1">
        <v>42</v>
      </c>
      <c r="B48" s="6">
        <f>TimeStep!G48</f>
        <v>350.97493036211699</v>
      </c>
      <c r="C48" s="6">
        <f>MIN(MATCH(B48,'Native PMKS'!$C$6:$C$366,1),360)</f>
        <v>43</v>
      </c>
      <c r="D48" s="6">
        <f t="shared" si="0"/>
        <v>44</v>
      </c>
      <c r="E48" s="6">
        <f>(B48-INDEX('Native PMKS'!$C$6:$C$366,C48))/(INDEX('Native PMKS'!$C$6:$C$366,D48)-INDEX('Native PMKS'!$C$6:$C$366,C48))</f>
        <v>0.11699164345403862</v>
      </c>
      <c r="F48" s="6">
        <f>INDEX('Native PMKS'!$D$6:$D$366,C48)+(INDEX('Native PMKS'!$D$6:$D$366,D48)-INDEX('Native PMKS'!$D$6:$D$366,C48))*E48</f>
        <v>-20.494821727019499</v>
      </c>
    </row>
    <row r="49" spans="1:6" ht="18.95" customHeight="1">
      <c r="A49" s="1">
        <v>43</v>
      </c>
      <c r="B49" s="6">
        <f>TimeStep!G49</f>
        <v>359.33147632311977</v>
      </c>
      <c r="C49" s="6">
        <f>MIN(MATCH(B49,'Native PMKS'!$C$6:$C$366,1),360)</f>
        <v>44</v>
      </c>
      <c r="D49" s="6">
        <f t="shared" si="0"/>
        <v>45</v>
      </c>
      <c r="E49" s="6">
        <f>(B49-INDEX('Native PMKS'!$C$6:$C$366,C49))/(INDEX('Native PMKS'!$C$6:$C$366,D49)-INDEX('Native PMKS'!$C$6:$C$366,C49))</f>
        <v>0.11977715877436849</v>
      </c>
      <c r="F49" s="6">
        <f>INDEX('Native PMKS'!$D$6:$D$366,C49)+(INDEX('Native PMKS'!$D$6:$D$366,D49)-INDEX('Native PMKS'!$D$6:$D$366,C49))*E49</f>
        <v>-20.846430640668522</v>
      </c>
    </row>
    <row r="50" spans="1:6" ht="18.95" customHeight="1">
      <c r="A50" s="1">
        <v>44</v>
      </c>
      <c r="B50" s="6">
        <f>TimeStep!G50</f>
        <v>367.68802228412255</v>
      </c>
      <c r="C50" s="6">
        <f>MIN(MATCH(B50,'Native PMKS'!$C$6:$C$366,1),360)</f>
        <v>45</v>
      </c>
      <c r="D50" s="6">
        <f t="shared" si="0"/>
        <v>46</v>
      </c>
      <c r="E50" s="6">
        <f>(B50-INDEX('Native PMKS'!$C$6:$C$366,C50))/(INDEX('Native PMKS'!$C$6:$C$366,D50)-INDEX('Native PMKS'!$C$6:$C$366,C50))</f>
        <v>0.12256267409470438</v>
      </c>
      <c r="F50" s="6">
        <f>INDEX('Native PMKS'!$D$6:$D$366,C50)+(INDEX('Native PMKS'!$D$6:$D$366,D50)-INDEX('Native PMKS'!$D$6:$D$366,C50))*E50</f>
        <v>-21.241537047353759</v>
      </c>
    </row>
    <row r="51" spans="1:6" ht="18.95" customHeight="1">
      <c r="A51" s="1">
        <v>45</v>
      </c>
      <c r="B51" s="6">
        <f>TimeStep!G51</f>
        <v>376.04456824512533</v>
      </c>
      <c r="C51" s="6">
        <f>MIN(MATCH(B51,'Native PMKS'!$C$6:$C$366,1),360)</f>
        <v>46</v>
      </c>
      <c r="D51" s="6">
        <f t="shared" si="0"/>
        <v>47</v>
      </c>
      <c r="E51" s="6">
        <f>(B51-INDEX('Native PMKS'!$C$6:$C$366,C51))/(INDEX('Native PMKS'!$C$6:$C$366,D51)-INDEX('Native PMKS'!$C$6:$C$366,C51))</f>
        <v>0.12534818941503942</v>
      </c>
      <c r="F51" s="6">
        <f>INDEX('Native PMKS'!$D$6:$D$366,C51)+(INDEX('Native PMKS'!$D$6:$D$366,D51)-INDEX('Native PMKS'!$D$6:$D$366,C51))*E51</f>
        <v>-21.59347715877437</v>
      </c>
    </row>
    <row r="52" spans="1:6" ht="18.95" customHeight="1">
      <c r="A52" s="1">
        <v>46</v>
      </c>
      <c r="B52" s="6">
        <f>TimeStep!G52</f>
        <v>384.40111420612811</v>
      </c>
      <c r="C52" s="6">
        <f>MIN(MATCH(B52,'Native PMKS'!$C$6:$C$366,1),360)</f>
        <v>47</v>
      </c>
      <c r="D52" s="6">
        <f t="shared" si="0"/>
        <v>48</v>
      </c>
      <c r="E52" s="6">
        <f>(B52-INDEX('Native PMKS'!$C$6:$C$366,C52))/(INDEX('Native PMKS'!$C$6:$C$366,D52)-INDEX('Native PMKS'!$C$6:$C$366,C52))</f>
        <v>0.12813370473536936</v>
      </c>
      <c r="F52" s="6">
        <f>INDEX('Native PMKS'!$D$6:$D$366,C52)+(INDEX('Native PMKS'!$D$6:$D$366,D52)-INDEX('Native PMKS'!$D$6:$D$366,C52))*E52</f>
        <v>-21.988352367688019</v>
      </c>
    </row>
    <row r="53" spans="1:6" ht="18.95" customHeight="1">
      <c r="A53" s="1">
        <v>47</v>
      </c>
      <c r="B53" s="6">
        <f>TimeStep!G53</f>
        <v>392.75766016713089</v>
      </c>
      <c r="C53" s="6">
        <f>MIN(MATCH(B53,'Native PMKS'!$C$6:$C$366,1),360)</f>
        <v>48</v>
      </c>
      <c r="D53" s="6">
        <f t="shared" si="0"/>
        <v>49</v>
      </c>
      <c r="E53" s="6">
        <f>(B53-INDEX('Native PMKS'!$C$6:$C$366,C53))/(INDEX('Native PMKS'!$C$6:$C$366,D53)-INDEX('Native PMKS'!$C$6:$C$366,C53))</f>
        <v>0.13091922005570525</v>
      </c>
      <c r="F53" s="6">
        <f>INDEX('Native PMKS'!$D$6:$D$366,C53)+(INDEX('Native PMKS'!$D$6:$D$366,D53)-INDEX('Native PMKS'!$D$6:$D$366,C53))*E53</f>
        <v>-22.333096935933145</v>
      </c>
    </row>
    <row r="54" spans="1:6" ht="18.95" customHeight="1">
      <c r="A54" s="1">
        <v>48</v>
      </c>
      <c r="B54" s="6">
        <f>TimeStep!G54</f>
        <v>401.11420612813367</v>
      </c>
      <c r="C54" s="6">
        <f>MIN(MATCH(B54,'Native PMKS'!$C$6:$C$366,1),360)</f>
        <v>49</v>
      </c>
      <c r="D54" s="6">
        <f t="shared" si="0"/>
        <v>50</v>
      </c>
      <c r="E54" s="6">
        <f>(B54-INDEX('Native PMKS'!$C$6:$C$366,C54))/(INDEX('Native PMKS'!$C$6:$C$366,D54)-INDEX('Native PMKS'!$C$6:$C$366,C54))</f>
        <v>0.13370473537604025</v>
      </c>
      <c r="F54" s="6">
        <f>INDEX('Native PMKS'!$D$6:$D$366,C54)+(INDEX('Native PMKS'!$D$6:$D$366,D54)-INDEX('Native PMKS'!$D$6:$D$366,C54))*E54</f>
        <v>-22.677767688022282</v>
      </c>
    </row>
    <row r="55" spans="1:6" ht="18.95" customHeight="1">
      <c r="A55" s="1">
        <v>49</v>
      </c>
      <c r="B55" s="6">
        <f>TimeStep!G55</f>
        <v>409.47075208913651</v>
      </c>
      <c r="C55" s="6">
        <f>MIN(MATCH(B55,'Native PMKS'!$C$6:$C$366,1),360)</f>
        <v>50</v>
      </c>
      <c r="D55" s="6">
        <f t="shared" si="0"/>
        <v>51</v>
      </c>
      <c r="E55" s="6">
        <f>(B55-INDEX('Native PMKS'!$C$6:$C$366,C55))/(INDEX('Native PMKS'!$C$6:$C$366,D55)-INDEX('Native PMKS'!$C$6:$C$366,C55))</f>
        <v>0.13649025069637705</v>
      </c>
      <c r="F55" s="6">
        <f>INDEX('Native PMKS'!$D$6:$D$366,C55)+(INDEX('Native PMKS'!$D$6:$D$366,D55)-INDEX('Native PMKS'!$D$6:$D$366,C55))*E55</f>
        <v>-23.022525348189415</v>
      </c>
    </row>
    <row r="56" spans="1:6" ht="18.95" customHeight="1">
      <c r="A56" s="1">
        <v>50</v>
      </c>
      <c r="B56" s="6">
        <f>TimeStep!G56</f>
        <v>417.82729805013929</v>
      </c>
      <c r="C56" s="6">
        <f>MIN(MATCH(B56,'Native PMKS'!$C$6:$C$366,1),360)</f>
        <v>51</v>
      </c>
      <c r="D56" s="6">
        <f t="shared" si="0"/>
        <v>52</v>
      </c>
      <c r="E56" s="6">
        <f>(B56-INDEX('Native PMKS'!$C$6:$C$366,C56))/(INDEX('Native PMKS'!$C$6:$C$366,D56)-INDEX('Native PMKS'!$C$6:$C$366,C56))</f>
        <v>0.13927576601671199</v>
      </c>
      <c r="F56" s="6">
        <f>INDEX('Native PMKS'!$D$6:$D$366,C56)+(INDEX('Native PMKS'!$D$6:$D$366,D56)-INDEX('Native PMKS'!$D$6:$D$366,C56))*E56</f>
        <v>-23.35930250696379</v>
      </c>
    </row>
    <row r="57" spans="1:6" ht="18.95" customHeight="1">
      <c r="A57" s="1">
        <v>51</v>
      </c>
      <c r="B57" s="6">
        <f>TimeStep!G57</f>
        <v>426.18384401114207</v>
      </c>
      <c r="C57" s="6">
        <f>MIN(MATCH(B57,'Native PMKS'!$C$6:$C$366,1),360)</f>
        <v>52</v>
      </c>
      <c r="D57" s="6">
        <f t="shared" si="0"/>
        <v>53</v>
      </c>
      <c r="E57" s="6">
        <f>(B57-INDEX('Native PMKS'!$C$6:$C$366,C57))/(INDEX('Native PMKS'!$C$6:$C$366,D57)-INDEX('Native PMKS'!$C$6:$C$366,C57))</f>
        <v>0.14206128133704202</v>
      </c>
      <c r="F57" s="6">
        <f>INDEX('Native PMKS'!$D$6:$D$366,C57)+(INDEX('Native PMKS'!$D$6:$D$366,D57)-INDEX('Native PMKS'!$D$6:$D$366,C57))*E57</f>
        <v>-23.654726462395541</v>
      </c>
    </row>
    <row r="58" spans="1:6" ht="18.95" customHeight="1">
      <c r="A58" s="1">
        <v>52</v>
      </c>
      <c r="B58" s="6">
        <f>TimeStep!G58</f>
        <v>434.54038997214485</v>
      </c>
      <c r="C58" s="6">
        <f>MIN(MATCH(B58,'Native PMKS'!$C$6:$C$366,1),360)</f>
        <v>53</v>
      </c>
      <c r="D58" s="6">
        <f t="shared" si="0"/>
        <v>54</v>
      </c>
      <c r="E58" s="6">
        <f>(B58-INDEX('Native PMKS'!$C$6:$C$366,C58))/(INDEX('Native PMKS'!$C$6:$C$366,D58)-INDEX('Native PMKS'!$C$6:$C$366,C58))</f>
        <v>0.1448467966573779</v>
      </c>
      <c r="F58" s="6">
        <f>INDEX('Native PMKS'!$D$6:$D$366,C58)+(INDEX('Native PMKS'!$D$6:$D$366,D58)-INDEX('Native PMKS'!$D$6:$D$366,C58))*E58</f>
        <v>-23.991098607242339</v>
      </c>
    </row>
    <row r="59" spans="1:6" ht="18.95" customHeight="1">
      <c r="A59" s="1">
        <v>53</v>
      </c>
      <c r="B59" s="6">
        <f>TimeStep!G59</f>
        <v>442.89693593314763</v>
      </c>
      <c r="C59" s="6">
        <f>MIN(MATCH(B59,'Native PMKS'!$C$6:$C$366,1),360)</f>
        <v>54</v>
      </c>
      <c r="D59" s="6">
        <f t="shared" si="0"/>
        <v>55</v>
      </c>
      <c r="E59" s="6">
        <f>(B59-INDEX('Native PMKS'!$C$6:$C$366,C59))/(INDEX('Native PMKS'!$C$6:$C$366,D59)-INDEX('Native PMKS'!$C$6:$C$366,C59))</f>
        <v>0.14763231197771279</v>
      </c>
      <c r="F59" s="6">
        <f>INDEX('Native PMKS'!$D$6:$D$366,C59)+(INDEX('Native PMKS'!$D$6:$D$366,D59)-INDEX('Native PMKS'!$D$6:$D$366,C59))*E59</f>
        <v>-24.278396657381617</v>
      </c>
    </row>
    <row r="60" spans="1:6" ht="18.95" customHeight="1">
      <c r="A60" s="1">
        <v>54</v>
      </c>
      <c r="B60" s="6">
        <f>TimeStep!G60</f>
        <v>451.25348189415041</v>
      </c>
      <c r="C60" s="6">
        <f>MIN(MATCH(B60,'Native PMKS'!$C$6:$C$366,1),360)</f>
        <v>55</v>
      </c>
      <c r="D60" s="6">
        <f t="shared" si="0"/>
        <v>56</v>
      </c>
      <c r="E60" s="6">
        <f>(B60-INDEX('Native PMKS'!$C$6:$C$366,C60))/(INDEX('Native PMKS'!$C$6:$C$366,D60)-INDEX('Native PMKS'!$C$6:$C$366,C60))</f>
        <v>0.15041782729804287</v>
      </c>
      <c r="F60" s="6">
        <f>INDEX('Native PMKS'!$D$6:$D$366,C60)+(INDEX('Native PMKS'!$D$6:$D$366,D60)-INDEX('Native PMKS'!$D$6:$D$366,C60))*E60</f>
        <v>-24.574313649025068</v>
      </c>
    </row>
    <row r="61" spans="1:6" ht="18.95" customHeight="1">
      <c r="A61" s="1">
        <v>55</v>
      </c>
      <c r="B61" s="6">
        <f>TimeStep!G61</f>
        <v>459.61002785515319</v>
      </c>
      <c r="C61" s="6">
        <f>MIN(MATCH(B61,'Native PMKS'!$C$6:$C$366,1),360)</f>
        <v>56</v>
      </c>
      <c r="D61" s="6">
        <f t="shared" si="0"/>
        <v>57</v>
      </c>
      <c r="E61" s="6">
        <f>(B61-INDEX('Native PMKS'!$C$6:$C$366,C61))/(INDEX('Native PMKS'!$C$6:$C$366,D61)-INDEX('Native PMKS'!$C$6:$C$366,C61))</f>
        <v>0.15320334261837878</v>
      </c>
      <c r="F61" s="6">
        <f>INDEX('Native PMKS'!$D$6:$D$366,C61)+(INDEX('Native PMKS'!$D$6:$D$366,D61)-INDEX('Native PMKS'!$D$6:$D$366,C61))*E61</f>
        <v>-24.910277437325902</v>
      </c>
    </row>
    <row r="62" spans="1:6" ht="18.95" customHeight="1">
      <c r="A62" s="1">
        <v>56</v>
      </c>
      <c r="B62" s="6">
        <f>TimeStep!G62</f>
        <v>467.96657381615597</v>
      </c>
      <c r="C62" s="6">
        <f>MIN(MATCH(B62,'Native PMKS'!$C$6:$C$366,1),360)</f>
        <v>57</v>
      </c>
      <c r="D62" s="6">
        <f t="shared" si="0"/>
        <v>58</v>
      </c>
      <c r="E62" s="6">
        <f>(B62-INDEX('Native PMKS'!$C$6:$C$366,C62))/(INDEX('Native PMKS'!$C$6:$C$366,D62)-INDEX('Native PMKS'!$C$6:$C$366,C62))</f>
        <v>0.15598885793871362</v>
      </c>
      <c r="F62" s="6">
        <f>INDEX('Native PMKS'!$D$6:$D$366,C62)+(INDEX('Native PMKS'!$D$6:$D$366,D62)-INDEX('Native PMKS'!$D$6:$D$366,C62))*E62</f>
        <v>-25.188552646239554</v>
      </c>
    </row>
    <row r="63" spans="1:6" ht="18.95" customHeight="1">
      <c r="A63" s="1">
        <v>57</v>
      </c>
      <c r="B63" s="6">
        <f>TimeStep!G63</f>
        <v>476.32311977715875</v>
      </c>
      <c r="C63" s="6">
        <f>MIN(MATCH(B63,'Native PMKS'!$C$6:$C$366,1),360)</f>
        <v>58</v>
      </c>
      <c r="D63" s="6">
        <f t="shared" si="0"/>
        <v>59</v>
      </c>
      <c r="E63" s="6">
        <f>(B63-INDEX('Native PMKS'!$C$6:$C$366,C63))/(INDEX('Native PMKS'!$C$6:$C$366,D63)-INDEX('Native PMKS'!$C$6:$C$366,C63))</f>
        <v>0.15877437325904376</v>
      </c>
      <c r="F63" s="6">
        <f>INDEX('Native PMKS'!$D$6:$D$366,C63)+(INDEX('Native PMKS'!$D$6:$D$366,D63)-INDEX('Native PMKS'!$D$6:$D$366,C63))*E63</f>
        <v>-25.427488857938716</v>
      </c>
    </row>
    <row r="64" spans="1:6" ht="18.95" customHeight="1">
      <c r="A64" s="1">
        <v>58</v>
      </c>
      <c r="B64" s="6">
        <f>TimeStep!G64</f>
        <v>484.67966573816153</v>
      </c>
      <c r="C64" s="6">
        <f>MIN(MATCH(B64,'Native PMKS'!$C$6:$C$366,1),360)</f>
        <v>59</v>
      </c>
      <c r="D64" s="6">
        <f t="shared" si="0"/>
        <v>60</v>
      </c>
      <c r="E64" s="6">
        <f>(B64-INDEX('Native PMKS'!$C$6:$C$366,C64))/(INDEX('Native PMKS'!$C$6:$C$366,D64)-INDEX('Native PMKS'!$C$6:$C$366,C64))</f>
        <v>0.16155988857937964</v>
      </c>
      <c r="F64" s="6">
        <f>INDEX('Native PMKS'!$D$6:$D$366,C64)+(INDEX('Native PMKS'!$D$6:$D$366,D64)-INDEX('Native PMKS'!$D$6:$D$366,C64))*E64</f>
        <v>-25.714786908077993</v>
      </c>
    </row>
    <row r="65" spans="1:6" ht="18.95" customHeight="1">
      <c r="A65" s="1">
        <v>59</v>
      </c>
      <c r="B65" s="6">
        <f>TimeStep!G65</f>
        <v>493.03621169916437</v>
      </c>
      <c r="C65" s="6">
        <f>MIN(MATCH(B65,'Native PMKS'!$C$6:$C$366,1),360)</f>
        <v>60</v>
      </c>
      <c r="D65" s="6">
        <f t="shared" si="0"/>
        <v>61</v>
      </c>
      <c r="E65" s="6">
        <f>(B65-INDEX('Native PMKS'!$C$6:$C$366,C65))/(INDEX('Native PMKS'!$C$6:$C$366,D65)-INDEX('Native PMKS'!$C$6:$C$366,C65))</f>
        <v>0.16434540389972124</v>
      </c>
      <c r="F65" s="6">
        <f>INDEX('Native PMKS'!$D$6:$D$366,C65)+(INDEX('Native PMKS'!$D$6:$D$366,D65)-INDEX('Native PMKS'!$D$6:$D$366,C65))*E65</f>
        <v>-25.992667966573816</v>
      </c>
    </row>
    <row r="66" spans="1:6" ht="18.95" customHeight="1">
      <c r="A66" s="1">
        <v>60</v>
      </c>
      <c r="B66" s="6">
        <f>TimeStep!G66</f>
        <v>501.39275766016715</v>
      </c>
      <c r="C66" s="6">
        <f>MIN(MATCH(B66,'Native PMKS'!$C$6:$C$366,1),360)</f>
        <v>61</v>
      </c>
      <c r="D66" s="6">
        <f t="shared" si="0"/>
        <v>62</v>
      </c>
      <c r="E66" s="6">
        <f>(B66-INDEX('Native PMKS'!$C$6:$C$366,C66))/(INDEX('Native PMKS'!$C$6:$C$366,D66)-INDEX('Native PMKS'!$C$6:$C$366,C66))</f>
        <v>0.16713091922005144</v>
      </c>
      <c r="F66" s="6">
        <f>INDEX('Native PMKS'!$D$6:$D$366,C66)+(INDEX('Native PMKS'!$D$6:$D$366,D66)-INDEX('Native PMKS'!$D$6:$D$366,C66))*E66</f>
        <v>-26.222506406685238</v>
      </c>
    </row>
    <row r="67" spans="1:6" ht="18.95" customHeight="1">
      <c r="A67" s="1">
        <v>61</v>
      </c>
      <c r="B67" s="6">
        <f>TimeStep!G67</f>
        <v>509.74930362116993</v>
      </c>
      <c r="C67" s="6">
        <f>MIN(MATCH(B67,'Native PMKS'!$C$6:$C$366,1),360)</f>
        <v>62</v>
      </c>
      <c r="D67" s="6">
        <f t="shared" si="0"/>
        <v>63</v>
      </c>
      <c r="E67" s="6">
        <f>(B67-INDEX('Native PMKS'!$C$6:$C$366,C67))/(INDEX('Native PMKS'!$C$6:$C$366,D67)-INDEX('Native PMKS'!$C$6:$C$366,C67))</f>
        <v>0.16991643454038619</v>
      </c>
      <c r="F67" s="6">
        <f>INDEX('Native PMKS'!$D$6:$D$366,C67)+(INDEX('Native PMKS'!$D$6:$D$366,D67)-INDEX('Native PMKS'!$D$6:$D$366,C67))*E67</f>
        <v>-26.462064066852367</v>
      </c>
    </row>
    <row r="68" spans="1:6" ht="18.95" customHeight="1">
      <c r="A68" s="1">
        <v>62</v>
      </c>
      <c r="B68" s="6">
        <f>TimeStep!G68</f>
        <v>518.10584958217271</v>
      </c>
      <c r="C68" s="6">
        <f>MIN(MATCH(B68,'Native PMKS'!$C$6:$C$366,1),360)</f>
        <v>63</v>
      </c>
      <c r="D68" s="6">
        <f t="shared" si="0"/>
        <v>64</v>
      </c>
      <c r="E68" s="6">
        <f>(B68-INDEX('Native PMKS'!$C$6:$C$366,C68))/(INDEX('Native PMKS'!$C$6:$C$366,D68)-INDEX('Native PMKS'!$C$6:$C$366,C68))</f>
        <v>0.17270194986071757</v>
      </c>
      <c r="F68" s="6">
        <f>INDEX('Native PMKS'!$D$6:$D$366,C68)+(INDEX('Native PMKS'!$D$6:$D$366,D68)-INDEX('Native PMKS'!$D$6:$D$366,C68))*E68</f>
        <v>-26.739383286908076</v>
      </c>
    </row>
    <row r="69" spans="1:6" ht="18.95" customHeight="1">
      <c r="A69" s="1">
        <v>63</v>
      </c>
      <c r="B69" s="6">
        <f>TimeStep!G69</f>
        <v>526.46239554317549</v>
      </c>
      <c r="C69" s="6">
        <f>MIN(MATCH(B69,'Native PMKS'!$C$6:$C$366,1),360)</f>
        <v>64</v>
      </c>
      <c r="D69" s="6">
        <f t="shared" si="0"/>
        <v>65</v>
      </c>
      <c r="E69" s="6">
        <f>(B69-INDEX('Native PMKS'!$C$6:$C$366,C69))/(INDEX('Native PMKS'!$C$6:$C$366,D69)-INDEX('Native PMKS'!$C$6:$C$366,C69))</f>
        <v>0.17548746518105793</v>
      </c>
      <c r="F69" s="6">
        <f>INDEX('Native PMKS'!$D$6:$D$366,C69)+(INDEX('Native PMKS'!$D$6:$D$366,D69)-INDEX('Native PMKS'!$D$6:$D$366,C69))*E69</f>
        <v>-26.969221727019498</v>
      </c>
    </row>
    <row r="70" spans="1:6" ht="18.95" customHeight="1">
      <c r="A70" s="1">
        <v>64</v>
      </c>
      <c r="B70" s="6">
        <f>TimeStep!G70</f>
        <v>534.81894150417827</v>
      </c>
      <c r="C70" s="6">
        <f>MIN(MATCH(B70,'Native PMKS'!$C$6:$C$366,1),360)</f>
        <v>65</v>
      </c>
      <c r="D70" s="6">
        <f t="shared" ref="D70:D133" si="1">C70+1</f>
        <v>66</v>
      </c>
      <c r="E70" s="6">
        <f>(B70-INDEX('Native PMKS'!$C$6:$C$366,C70))/(INDEX('Native PMKS'!$C$6:$C$366,D70)-INDEX('Native PMKS'!$C$6:$C$366,C70))</f>
        <v>0.17827298050138699</v>
      </c>
      <c r="F70" s="6">
        <f>INDEX('Native PMKS'!$D$6:$D$366,C70)+(INDEX('Native PMKS'!$D$6:$D$366,D70)-INDEX('Native PMKS'!$D$6:$D$366,C70))*E70</f>
        <v>-27.188845125348191</v>
      </c>
    </row>
    <row r="71" spans="1:6" ht="18.95" customHeight="1">
      <c r="A71" s="1">
        <v>65</v>
      </c>
      <c r="B71" s="6">
        <f>TimeStep!G71</f>
        <v>543.17548746518105</v>
      </c>
      <c r="C71" s="6">
        <f>MIN(MATCH(B71,'Native PMKS'!$C$6:$C$366,1),360)</f>
        <v>66</v>
      </c>
      <c r="D71" s="6">
        <f t="shared" si="1"/>
        <v>67</v>
      </c>
      <c r="E71" s="6">
        <f>(B71-INDEX('Native PMKS'!$C$6:$C$366,C71))/(INDEX('Native PMKS'!$C$6:$C$366,D71)-INDEX('Native PMKS'!$C$6:$C$366,C71))</f>
        <v>0.18105849582171851</v>
      </c>
      <c r="F71" s="6">
        <f>INDEX('Native PMKS'!$D$6:$D$366,C71)+(INDEX('Native PMKS'!$D$6:$D$366,D71)-INDEX('Native PMKS'!$D$6:$D$366,C71))*E71</f>
        <v>-27.371598607242341</v>
      </c>
    </row>
    <row r="72" spans="1:6" ht="18.95" customHeight="1">
      <c r="A72" s="1">
        <v>66</v>
      </c>
      <c r="B72" s="6">
        <f>TimeStep!G72</f>
        <v>551.53203342618383</v>
      </c>
      <c r="C72" s="6">
        <f>MIN(MATCH(B72,'Native PMKS'!$C$6:$C$366,1),360)</f>
        <v>67</v>
      </c>
      <c r="D72" s="6">
        <f t="shared" si="1"/>
        <v>68</v>
      </c>
      <c r="E72" s="6">
        <f>(B72-INDEX('Native PMKS'!$C$6:$C$366,C72))/(INDEX('Native PMKS'!$C$6:$C$366,D72)-INDEX('Native PMKS'!$C$6:$C$366,C72))</f>
        <v>0.18384401114205873</v>
      </c>
      <c r="F72" s="6">
        <f>INDEX('Native PMKS'!$D$6:$D$366,C72)+(INDEX('Native PMKS'!$D$6:$D$366,D72)-INDEX('Native PMKS'!$D$6:$D$366,C72))*E72</f>
        <v>-27.590902785515322</v>
      </c>
    </row>
    <row r="73" spans="1:6" ht="18.95" customHeight="1">
      <c r="A73" s="1">
        <v>67</v>
      </c>
      <c r="B73" s="6">
        <f>TimeStep!G73</f>
        <v>559.88857938718661</v>
      </c>
      <c r="C73" s="6">
        <f>MIN(MATCH(B73,'Native PMKS'!$C$6:$C$366,1),360)</f>
        <v>68</v>
      </c>
      <c r="D73" s="6">
        <f t="shared" si="1"/>
        <v>69</v>
      </c>
      <c r="E73" s="6">
        <f>(B73-INDEX('Native PMKS'!$C$6:$C$366,C73))/(INDEX('Native PMKS'!$C$6:$C$366,D73)-INDEX('Native PMKS'!$C$6:$C$366,C73))</f>
        <v>0.18662952646238778</v>
      </c>
      <c r="F73" s="6">
        <f>INDEX('Native PMKS'!$D$6:$D$366,C73)+(INDEX('Native PMKS'!$D$6:$D$366,D73)-INDEX('Native PMKS'!$D$6:$D$366,C73))*E73</f>
        <v>-27.773956824512535</v>
      </c>
    </row>
    <row r="74" spans="1:6" ht="18.95" customHeight="1">
      <c r="A74" s="1">
        <v>68</v>
      </c>
      <c r="B74" s="6">
        <f>TimeStep!G74</f>
        <v>568.24512534818939</v>
      </c>
      <c r="C74" s="6">
        <f>MIN(MATCH(B74,'Native PMKS'!$C$6:$C$366,1),360)</f>
        <v>69</v>
      </c>
      <c r="D74" s="6">
        <f t="shared" si="1"/>
        <v>70</v>
      </c>
      <c r="E74" s="6">
        <f>(B74-INDEX('Native PMKS'!$C$6:$C$366,C74))/(INDEX('Native PMKS'!$C$6:$C$366,D74)-INDEX('Native PMKS'!$C$6:$C$366,C74))</f>
        <v>0.18941504178271942</v>
      </c>
      <c r="F74" s="6">
        <f>INDEX('Native PMKS'!$D$6:$D$366,C74)+(INDEX('Native PMKS'!$D$6:$D$366,D74)-INDEX('Native PMKS'!$D$6:$D$366,C74))*E74</f>
        <v>-27.992860445682449</v>
      </c>
    </row>
    <row r="75" spans="1:6" ht="18.95" customHeight="1">
      <c r="A75" s="1">
        <v>69</v>
      </c>
      <c r="B75" s="6">
        <f>TimeStep!G75</f>
        <v>576.60167130919217</v>
      </c>
      <c r="C75" s="6">
        <f>MIN(MATCH(B75,'Native PMKS'!$C$6:$C$366,1),360)</f>
        <v>70</v>
      </c>
      <c r="D75" s="6">
        <f t="shared" si="1"/>
        <v>71</v>
      </c>
      <c r="E75" s="6">
        <f>(B75-INDEX('Native PMKS'!$C$6:$C$366,C75))/(INDEX('Native PMKS'!$C$6:$C$366,D75)-INDEX('Native PMKS'!$C$6:$C$366,C75))</f>
        <v>0.19220055710305955</v>
      </c>
      <c r="F75" s="6">
        <f>INDEX('Native PMKS'!$D$6:$D$366,C75)+(INDEX('Native PMKS'!$D$6:$D$366,D75)-INDEX('Native PMKS'!$D$6:$D$366,C75))*E75</f>
        <v>-28.165239275766016</v>
      </c>
    </row>
    <row r="76" spans="1:6" ht="18.95" customHeight="1">
      <c r="A76" s="1">
        <v>70</v>
      </c>
      <c r="B76" s="6">
        <f>TimeStep!G76</f>
        <v>584.95821727019495</v>
      </c>
      <c r="C76" s="6">
        <f>MIN(MATCH(B76,'Native PMKS'!$C$6:$C$366,1),360)</f>
        <v>71</v>
      </c>
      <c r="D76" s="6">
        <f t="shared" si="1"/>
        <v>72</v>
      </c>
      <c r="E76" s="6">
        <f>(B76-INDEX('Native PMKS'!$C$6:$C$366,C76))/(INDEX('Native PMKS'!$C$6:$C$366,D76)-INDEX('Native PMKS'!$C$6:$C$366,C76))</f>
        <v>0.19498607242338861</v>
      </c>
      <c r="F76" s="6">
        <f>INDEX('Native PMKS'!$D$6:$D$366,C76)+(INDEX('Native PMKS'!$D$6:$D$366,D76)-INDEX('Native PMKS'!$D$6:$D$366,C76))*E76</f>
        <v>-28.337618105849579</v>
      </c>
    </row>
    <row r="77" spans="1:6" ht="18.95" customHeight="1">
      <c r="A77" s="1">
        <v>71</v>
      </c>
      <c r="B77" s="6">
        <f>TimeStep!G77</f>
        <v>593.31476323119773</v>
      </c>
      <c r="C77" s="6">
        <f>MIN(MATCH(B77,'Native PMKS'!$C$6:$C$366,1),360)</f>
        <v>72</v>
      </c>
      <c r="D77" s="6">
        <f t="shared" si="1"/>
        <v>73</v>
      </c>
      <c r="E77" s="6">
        <f>(B77-INDEX('Native PMKS'!$C$6:$C$366,C77))/(INDEX('Native PMKS'!$C$6:$C$366,D77)-INDEX('Native PMKS'!$C$6:$C$366,C77))</f>
        <v>0.19777158774372036</v>
      </c>
      <c r="F77" s="6">
        <f>INDEX('Native PMKS'!$D$6:$D$366,C77)+(INDEX('Native PMKS'!$D$6:$D$366,D77)-INDEX('Native PMKS'!$D$6:$D$366,C77))*E77</f>
        <v>-28.509996935933145</v>
      </c>
    </row>
    <row r="78" spans="1:6" ht="18.95" customHeight="1">
      <c r="A78" s="1">
        <v>72</v>
      </c>
      <c r="B78" s="6">
        <f>TimeStep!G78</f>
        <v>601.67130919220051</v>
      </c>
      <c r="C78" s="6">
        <f>MIN(MATCH(B78,'Native PMKS'!$C$6:$C$366,1),360)</f>
        <v>73</v>
      </c>
      <c r="D78" s="6">
        <f t="shared" si="1"/>
        <v>74</v>
      </c>
      <c r="E78" s="6">
        <f>(B78-INDEX('Native PMKS'!$C$6:$C$366,C78))/(INDEX('Native PMKS'!$C$6:$C$366,D78)-INDEX('Native PMKS'!$C$6:$C$366,C78))</f>
        <v>0.20055710306406035</v>
      </c>
      <c r="F78" s="6">
        <f>INDEX('Native PMKS'!$D$6:$D$366,C78)+(INDEX('Native PMKS'!$D$6:$D$366,D78)-INDEX('Native PMKS'!$D$6:$D$366,C78))*E78</f>
        <v>-28.67088384401114</v>
      </c>
    </row>
    <row r="79" spans="1:6" ht="18.95" customHeight="1">
      <c r="A79" s="1">
        <v>73</v>
      </c>
      <c r="B79" s="6">
        <f>TimeStep!G79</f>
        <v>610.02785515320329</v>
      </c>
      <c r="C79" s="6">
        <f>MIN(MATCH(B79,'Native PMKS'!$C$6:$C$366,1),360)</f>
        <v>74</v>
      </c>
      <c r="D79" s="6">
        <f t="shared" si="1"/>
        <v>75</v>
      </c>
      <c r="E79" s="6">
        <f>(B79-INDEX('Native PMKS'!$C$6:$C$366,C79))/(INDEX('Native PMKS'!$C$6:$C$366,D79)-INDEX('Native PMKS'!$C$6:$C$366,C79))</f>
        <v>0.20334261838438941</v>
      </c>
      <c r="F79" s="6">
        <f>INDEX('Native PMKS'!$D$6:$D$366,C79)+(INDEX('Native PMKS'!$D$6:$D$366,D79)-INDEX('Native PMKS'!$D$6:$D$366,C79))*E79</f>
        <v>-28.797454596100277</v>
      </c>
    </row>
    <row r="80" spans="1:6" ht="18.95" customHeight="1">
      <c r="A80" s="1">
        <v>74</v>
      </c>
      <c r="B80" s="6">
        <f>TimeStep!G80</f>
        <v>618.38440111420607</v>
      </c>
      <c r="C80" s="6">
        <f>MIN(MATCH(B80,'Native PMKS'!$C$6:$C$366,1),360)</f>
        <v>75</v>
      </c>
      <c r="D80" s="6">
        <f t="shared" si="1"/>
        <v>76</v>
      </c>
      <c r="E80" s="6">
        <f>(B80-INDEX('Native PMKS'!$C$6:$C$366,C80))/(INDEX('Native PMKS'!$C$6:$C$366,D80)-INDEX('Native PMKS'!$C$6:$C$366,C80))</f>
        <v>0.20612813370472127</v>
      </c>
      <c r="F80" s="6">
        <f>INDEX('Native PMKS'!$D$6:$D$366,C80)+(INDEX('Native PMKS'!$D$6:$D$366,D80)-INDEX('Native PMKS'!$D$6:$D$366,C80))*E80</f>
        <v>-28.95802228412256</v>
      </c>
    </row>
    <row r="81" spans="1:6" ht="18.95" customHeight="1">
      <c r="A81" s="1">
        <v>75</v>
      </c>
      <c r="B81" s="6">
        <f>TimeStep!G81</f>
        <v>626.74094707520896</v>
      </c>
      <c r="C81" s="6">
        <f>MIN(MATCH(B81,'Native PMKS'!$C$6:$C$366,1),360)</f>
        <v>76</v>
      </c>
      <c r="D81" s="6">
        <f t="shared" si="1"/>
        <v>77</v>
      </c>
      <c r="E81" s="6">
        <f>(B81-INDEX('Native PMKS'!$C$6:$C$366,C81))/(INDEX('Native PMKS'!$C$6:$C$366,D81)-INDEX('Native PMKS'!$C$6:$C$366,C81))</f>
        <v>0.20891364902507481</v>
      </c>
      <c r="F81" s="6">
        <f>INDEX('Native PMKS'!$D$6:$D$366,C81)+(INDEX('Native PMKS'!$D$6:$D$366,D81)-INDEX('Native PMKS'!$D$6:$D$366,C81))*E81</f>
        <v>-29.072941504178274</v>
      </c>
    </row>
    <row r="82" spans="1:6" ht="18.95" customHeight="1">
      <c r="A82" s="1">
        <v>76</v>
      </c>
      <c r="B82" s="6">
        <f>TimeStep!G82</f>
        <v>635.09749303621174</v>
      </c>
      <c r="C82" s="6">
        <f>MIN(MATCH(B82,'Native PMKS'!$C$6:$C$366,1),360)</f>
        <v>77</v>
      </c>
      <c r="D82" s="6">
        <f t="shared" si="1"/>
        <v>78</v>
      </c>
      <c r="E82" s="6">
        <f>(B82-INDEX('Native PMKS'!$C$6:$C$366,C82))/(INDEX('Native PMKS'!$C$6:$C$366,D82)-INDEX('Native PMKS'!$C$6:$C$366,C82))</f>
        <v>0.21169916434540387</v>
      </c>
      <c r="F82" s="6">
        <f>INDEX('Native PMKS'!$D$6:$D$366,C82)+(INDEX('Native PMKS'!$D$6:$D$366,D82)-INDEX('Native PMKS'!$D$6:$D$366,C82))*E82</f>
        <v>-29.187839554317549</v>
      </c>
    </row>
    <row r="83" spans="1:6" ht="18.95" customHeight="1">
      <c r="A83" s="1">
        <v>77</v>
      </c>
      <c r="B83" s="6">
        <f>TimeStep!G83</f>
        <v>643.45403899721452</v>
      </c>
      <c r="C83" s="6">
        <f>MIN(MATCH(B83,'Native PMKS'!$C$6:$C$366,1),360)</f>
        <v>78</v>
      </c>
      <c r="D83" s="6">
        <f t="shared" si="1"/>
        <v>79</v>
      </c>
      <c r="E83" s="6">
        <f>(B83-INDEX('Native PMKS'!$C$6:$C$366,C83))/(INDEX('Native PMKS'!$C$6:$C$366,D83)-INDEX('Native PMKS'!$C$6:$C$366,C83))</f>
        <v>0.21448467966573584</v>
      </c>
      <c r="F83" s="6">
        <f>INDEX('Native PMKS'!$D$6:$D$366,C83)+(INDEX('Native PMKS'!$D$6:$D$366,D83)-INDEX('Native PMKS'!$D$6:$D$366,C83))*E83</f>
        <v>-29.302679944289693</v>
      </c>
    </row>
    <row r="84" spans="1:6" ht="18.95" customHeight="1">
      <c r="A84" s="1">
        <v>78</v>
      </c>
      <c r="B84" s="6">
        <f>TimeStep!G84</f>
        <v>651.81058495821731</v>
      </c>
      <c r="C84" s="6">
        <f>MIN(MATCH(B84,'Native PMKS'!$C$6:$C$366,1),360)</f>
        <v>79</v>
      </c>
      <c r="D84" s="6">
        <f t="shared" si="1"/>
        <v>80</v>
      </c>
      <c r="E84" s="6">
        <f>(B84-INDEX('Native PMKS'!$C$6:$C$366,C84))/(INDEX('Native PMKS'!$C$6:$C$366,D84)-INDEX('Native PMKS'!$C$6:$C$366,C84))</f>
        <v>0.21727019498607561</v>
      </c>
      <c r="F84" s="6">
        <f>INDEX('Native PMKS'!$D$6:$D$366,C84)+(INDEX('Native PMKS'!$D$6:$D$366,D84)-INDEX('Native PMKS'!$D$6:$D$366,C84))*E84</f>
        <v>-29.417599164345404</v>
      </c>
    </row>
    <row r="85" spans="1:6" ht="18.95" customHeight="1">
      <c r="A85" s="1">
        <v>79</v>
      </c>
      <c r="B85" s="6">
        <f>TimeStep!G85</f>
        <v>660.16713091922009</v>
      </c>
      <c r="C85" s="6">
        <f>MIN(MATCH(B85,'Native PMKS'!$C$6:$C$366,1),360)</f>
        <v>80</v>
      </c>
      <c r="D85" s="6">
        <f t="shared" si="1"/>
        <v>81</v>
      </c>
      <c r="E85" s="6">
        <f>(B85-INDEX('Native PMKS'!$C$6:$C$366,C85))/(INDEX('Native PMKS'!$C$6:$C$366,D85)-INDEX('Native PMKS'!$C$6:$C$366,C85))</f>
        <v>0.22005571030640467</v>
      </c>
      <c r="F85" s="6">
        <f>INDEX('Native PMKS'!$D$6:$D$366,C85)+(INDEX('Native PMKS'!$D$6:$D$366,D85)-INDEX('Native PMKS'!$D$6:$D$366,C85))*E85</f>
        <v>-29.519909192200558</v>
      </c>
    </row>
    <row r="86" spans="1:6" ht="18.95" customHeight="1">
      <c r="A86" s="1">
        <v>80</v>
      </c>
      <c r="B86" s="6">
        <f>TimeStep!G86</f>
        <v>668.52367688022287</v>
      </c>
      <c r="C86" s="6">
        <f>MIN(MATCH(B86,'Native PMKS'!$C$6:$C$366,1),360)</f>
        <v>81</v>
      </c>
      <c r="D86" s="6">
        <f t="shared" si="1"/>
        <v>82</v>
      </c>
      <c r="E86" s="6">
        <f>(B86-INDEX('Native PMKS'!$C$6:$C$366,C86))/(INDEX('Native PMKS'!$C$6:$C$366,D86)-INDEX('Native PMKS'!$C$6:$C$366,C86))</f>
        <v>0.22284122562673678</v>
      </c>
      <c r="F86" s="6">
        <f>INDEX('Native PMKS'!$D$6:$D$366,C86)+(INDEX('Native PMKS'!$D$6:$D$366,D86)-INDEX('Native PMKS'!$D$6:$D$366,C86))*E86</f>
        <v>-29.590137604456825</v>
      </c>
    </row>
    <row r="87" spans="1:6" ht="18.95" customHeight="1">
      <c r="A87" s="1">
        <v>81</v>
      </c>
      <c r="B87" s="6">
        <f>TimeStep!G87</f>
        <v>676.88022284122565</v>
      </c>
      <c r="C87" s="6">
        <f>MIN(MATCH(B87,'Native PMKS'!$C$6:$C$366,1),360)</f>
        <v>82</v>
      </c>
      <c r="D87" s="6">
        <f t="shared" si="1"/>
        <v>83</v>
      </c>
      <c r="E87" s="6">
        <f>(B87-INDEX('Native PMKS'!$C$6:$C$366,C87))/(INDEX('Native PMKS'!$C$6:$C$366,D87)-INDEX('Native PMKS'!$C$6:$C$366,C87))</f>
        <v>0.22562674094707644</v>
      </c>
      <c r="F87" s="6">
        <f>INDEX('Native PMKS'!$D$6:$D$366,C87)+(INDEX('Native PMKS'!$D$6:$D$366,D87)-INDEX('Native PMKS'!$D$6:$D$366,C87))*E87</f>
        <v>-29.69212841225627</v>
      </c>
    </row>
    <row r="88" spans="1:6" ht="18.95" customHeight="1">
      <c r="A88" s="1">
        <v>82</v>
      </c>
      <c r="B88" s="6">
        <f>TimeStep!G88</f>
        <v>685.23676880222843</v>
      </c>
      <c r="C88" s="6">
        <f>MIN(MATCH(B88,'Native PMKS'!$C$6:$C$366,1),360)</f>
        <v>83</v>
      </c>
      <c r="D88" s="6">
        <f t="shared" si="1"/>
        <v>84</v>
      </c>
      <c r="E88" s="6">
        <f>(B88-INDEX('Native PMKS'!$C$6:$C$366,C88))/(INDEX('Native PMKS'!$C$6:$C$366,D88)-INDEX('Native PMKS'!$C$6:$C$366,C88))</f>
        <v>0.22841225626740547</v>
      </c>
      <c r="F88" s="6">
        <f>INDEX('Native PMKS'!$D$6:$D$366,C88)+(INDEX('Native PMKS'!$D$6:$D$366,D88)-INDEX('Native PMKS'!$D$6:$D$366,C88))*E88</f>
        <v>-29.749588022284122</v>
      </c>
    </row>
    <row r="89" spans="1:6" ht="18.95" customHeight="1">
      <c r="A89" s="1">
        <v>83</v>
      </c>
      <c r="B89" s="6">
        <f>TimeStep!G89</f>
        <v>693.59331476323121</v>
      </c>
      <c r="C89" s="6">
        <f>MIN(MATCH(B89,'Native PMKS'!$C$6:$C$366,1),360)</f>
        <v>84</v>
      </c>
      <c r="D89" s="6">
        <f t="shared" si="1"/>
        <v>85</v>
      </c>
      <c r="E89" s="6">
        <f>(B89-INDEX('Native PMKS'!$C$6:$C$366,C89))/(INDEX('Native PMKS'!$C$6:$C$366,D89)-INDEX('Native PMKS'!$C$6:$C$366,C89))</f>
        <v>0.23119777158773769</v>
      </c>
      <c r="F89" s="6">
        <f>INDEX('Native PMKS'!$D$6:$D$366,C89)+(INDEX('Native PMKS'!$D$6:$D$366,D89)-INDEX('Native PMKS'!$D$6:$D$366,C89))*E89</f>
        <v>-29.807047632311978</v>
      </c>
    </row>
    <row r="90" spans="1:6" ht="18.95" customHeight="1">
      <c r="A90" s="1">
        <v>84</v>
      </c>
      <c r="B90" s="6">
        <f>TimeStep!G90</f>
        <v>701.94986072423399</v>
      </c>
      <c r="C90" s="6">
        <f>MIN(MATCH(B90,'Native PMKS'!$C$6:$C$366,1),360)</f>
        <v>85</v>
      </c>
      <c r="D90" s="6">
        <f t="shared" si="1"/>
        <v>86</v>
      </c>
      <c r="E90" s="6">
        <f>(B90-INDEX('Native PMKS'!$C$6:$C$366,C90))/(INDEX('Native PMKS'!$C$6:$C$366,D90)-INDEX('Native PMKS'!$C$6:$C$366,C90))</f>
        <v>0.23398328690807724</v>
      </c>
      <c r="F90" s="6">
        <f>INDEX('Native PMKS'!$D$6:$D$366,C90)+(INDEX('Native PMKS'!$D$6:$D$366,D90)-INDEX('Native PMKS'!$D$6:$D$366,C90))*E90</f>
        <v>-29.864507242339833</v>
      </c>
    </row>
    <row r="91" spans="1:6" ht="18.95" customHeight="1">
      <c r="A91" s="1">
        <v>85</v>
      </c>
      <c r="B91" s="6">
        <f>TimeStep!G91</f>
        <v>710.30640668523677</v>
      </c>
      <c r="C91" s="6">
        <f>MIN(MATCH(B91,'Native PMKS'!$C$6:$C$366,1),360)</f>
        <v>86</v>
      </c>
      <c r="D91" s="6">
        <f t="shared" si="1"/>
        <v>87</v>
      </c>
      <c r="E91" s="6">
        <f>(B91-INDEX('Native PMKS'!$C$6:$C$366,C91))/(INDEX('Native PMKS'!$C$6:$C$366,D91)-INDEX('Native PMKS'!$C$6:$C$366,C91))</f>
        <v>0.23676880222840629</v>
      </c>
      <c r="F91" s="6">
        <f>INDEX('Native PMKS'!$D$6:$D$366,C91)+(INDEX('Native PMKS'!$D$6:$D$366,D91)-INDEX('Native PMKS'!$D$6:$D$366,C91))*E91</f>
        <v>-29.9084</v>
      </c>
    </row>
    <row r="92" spans="1:6" ht="18.95" customHeight="1">
      <c r="A92" s="1">
        <v>86</v>
      </c>
      <c r="B92" s="6">
        <f>TimeStep!G92</f>
        <v>718.66295264623955</v>
      </c>
      <c r="C92" s="6">
        <f>MIN(MATCH(B92,'Native PMKS'!$C$6:$C$366,1),360)</f>
        <v>87</v>
      </c>
      <c r="D92" s="6">
        <f t="shared" si="1"/>
        <v>88</v>
      </c>
      <c r="E92" s="6">
        <f>(B92-INDEX('Native PMKS'!$C$6:$C$366,C92))/(INDEX('Native PMKS'!$C$6:$C$366,D92)-INDEX('Native PMKS'!$C$6:$C$366,C92))</f>
        <v>0.23955431754873863</v>
      </c>
      <c r="F92" s="6">
        <f>INDEX('Native PMKS'!$D$6:$D$366,C92)+(INDEX('Native PMKS'!$D$6:$D$366,D92)-INDEX('Native PMKS'!$D$6:$D$366,C92))*E92</f>
        <v>-29.922126462395543</v>
      </c>
    </row>
    <row r="93" spans="1:6" ht="18.95" customHeight="1">
      <c r="A93" s="1">
        <v>87</v>
      </c>
      <c r="B93" s="6">
        <f>TimeStep!G93</f>
        <v>727.01949860724233</v>
      </c>
      <c r="C93" s="6">
        <f>MIN(MATCH(B93,'Native PMKS'!$C$6:$C$366,1),360)</f>
        <v>88</v>
      </c>
      <c r="D93" s="6">
        <f t="shared" si="1"/>
        <v>89</v>
      </c>
      <c r="E93" s="6">
        <f>(B93-INDEX('Native PMKS'!$C$6:$C$366,C93))/(INDEX('Native PMKS'!$C$6:$C$366,D93)-INDEX('Native PMKS'!$C$6:$C$366,C93))</f>
        <v>0.24233983286907804</v>
      </c>
      <c r="F93" s="6">
        <f>INDEX('Native PMKS'!$D$6:$D$366,C93)+(INDEX('Native PMKS'!$D$6:$D$366,D93)-INDEX('Native PMKS'!$D$6:$D$366,C93))*E93</f>
        <v>-29.965699999999998</v>
      </c>
    </row>
    <row r="94" spans="1:6" ht="18.95" customHeight="1">
      <c r="A94" s="1">
        <v>88</v>
      </c>
      <c r="B94" s="6">
        <f>TimeStep!G94</f>
        <v>735.37604456824511</v>
      </c>
      <c r="C94" s="6">
        <f>MIN(MATCH(B94,'Native PMKS'!$C$6:$C$366,1),360)</f>
        <v>89</v>
      </c>
      <c r="D94" s="6">
        <f t="shared" si="1"/>
        <v>90</v>
      </c>
      <c r="E94" s="6">
        <f>(B94-INDEX('Native PMKS'!$C$6:$C$366,C94))/(INDEX('Native PMKS'!$C$6:$C$366,D94)-INDEX('Native PMKS'!$C$6:$C$366,C94))</f>
        <v>0.24512534818940709</v>
      </c>
      <c r="F94" s="6">
        <f>INDEX('Native PMKS'!$D$6:$D$366,C94)+(INDEX('Native PMKS'!$D$6:$D$366,D94)-INDEX('Native PMKS'!$D$6:$D$366,C94))*E94</f>
        <v>-29.979745682451252</v>
      </c>
    </row>
    <row r="95" spans="1:6" ht="18.95" customHeight="1">
      <c r="A95" s="1">
        <v>89</v>
      </c>
      <c r="B95" s="6">
        <f>TimeStep!G95</f>
        <v>743.73259052924789</v>
      </c>
      <c r="C95" s="6">
        <f>MIN(MATCH(B95,'Native PMKS'!$C$6:$C$366,1),360)</f>
        <v>90</v>
      </c>
      <c r="D95" s="6">
        <f t="shared" si="1"/>
        <v>91</v>
      </c>
      <c r="E95" s="6">
        <f>(B95-INDEX('Native PMKS'!$C$6:$C$366,C95))/(INDEX('Native PMKS'!$C$6:$C$366,D95)-INDEX('Native PMKS'!$C$6:$C$366,C95))</f>
        <v>0.24791086350973954</v>
      </c>
      <c r="F95" s="6">
        <f>INDEX('Native PMKS'!$D$6:$D$366,C95)+(INDEX('Native PMKS'!$D$6:$D$366,D95)-INDEX('Native PMKS'!$D$6:$D$366,C95))*E95</f>
        <v>-30.023</v>
      </c>
    </row>
    <row r="96" spans="1:6" ht="18.95" customHeight="1">
      <c r="A96" s="1">
        <v>90</v>
      </c>
      <c r="B96" s="6">
        <f>TimeStep!G96</f>
        <v>752.08913649025067</v>
      </c>
      <c r="C96" s="6">
        <f>MIN(MATCH(B96,'Native PMKS'!$C$6:$C$366,1),360)</f>
        <v>91</v>
      </c>
      <c r="D96" s="6">
        <f t="shared" si="1"/>
        <v>92</v>
      </c>
      <c r="E96" s="6">
        <f>(B96-INDEX('Native PMKS'!$C$6:$C$366,C96))/(INDEX('Native PMKS'!$C$6:$C$366,D96)-INDEX('Native PMKS'!$C$6:$C$366,C96))</f>
        <v>0.25069637883007884</v>
      </c>
      <c r="F96" s="6">
        <f>INDEX('Native PMKS'!$D$6:$D$366,C96)+(INDEX('Native PMKS'!$D$6:$D$366,D96)-INDEX('Native PMKS'!$D$6:$D$366,C96))*E96</f>
        <v>-30.023</v>
      </c>
    </row>
    <row r="97" spans="1:6" ht="18.95" customHeight="1">
      <c r="A97" s="1">
        <v>91</v>
      </c>
      <c r="B97" s="6">
        <f>TimeStep!G97</f>
        <v>760.44568245125345</v>
      </c>
      <c r="C97" s="6">
        <f>MIN(MATCH(B97,'Native PMKS'!$C$6:$C$366,1),360)</f>
        <v>92</v>
      </c>
      <c r="D97" s="6">
        <f t="shared" si="1"/>
        <v>93</v>
      </c>
      <c r="E97" s="6">
        <f>(B97-INDEX('Native PMKS'!$C$6:$C$366,C97))/(INDEX('Native PMKS'!$C$6:$C$366,D97)-INDEX('Native PMKS'!$C$6:$C$366,C97))</f>
        <v>0.25348189415040789</v>
      </c>
      <c r="F97" s="6">
        <f>INDEX('Native PMKS'!$D$6:$D$366,C97)+(INDEX('Native PMKS'!$D$6:$D$366,D97)-INDEX('Native PMKS'!$D$6:$D$366,C97))*E97</f>
        <v>-30.00847548746518</v>
      </c>
    </row>
    <row r="98" spans="1:6" ht="18.95" customHeight="1">
      <c r="A98" s="1">
        <v>92</v>
      </c>
      <c r="B98" s="6">
        <f>TimeStep!G98</f>
        <v>768.80222841225623</v>
      </c>
      <c r="C98" s="6">
        <f>MIN(MATCH(B98,'Native PMKS'!$C$6:$C$366,1),360)</f>
        <v>93</v>
      </c>
      <c r="D98" s="6">
        <f t="shared" si="1"/>
        <v>94</v>
      </c>
      <c r="E98" s="6">
        <f>(B98-INDEX('Native PMKS'!$C$6:$C$366,C98))/(INDEX('Native PMKS'!$C$6:$C$366,D98)-INDEX('Native PMKS'!$C$6:$C$366,C98))</f>
        <v>0.25626740947074045</v>
      </c>
      <c r="F98" s="6">
        <f>INDEX('Native PMKS'!$D$6:$D$366,C98)+(INDEX('Native PMKS'!$D$6:$D$366,D98)-INDEX('Native PMKS'!$D$6:$D$366,C98))*E98</f>
        <v>-29.965699999999998</v>
      </c>
    </row>
    <row r="99" spans="1:6" ht="18.95" customHeight="1">
      <c r="A99" s="1">
        <v>93</v>
      </c>
      <c r="B99" s="6">
        <f>TimeStep!G99</f>
        <v>777.15877437325901</v>
      </c>
      <c r="C99" s="6">
        <f>MIN(MATCH(B99,'Native PMKS'!$C$6:$C$366,1),360)</f>
        <v>94</v>
      </c>
      <c r="D99" s="6">
        <f t="shared" si="1"/>
        <v>95</v>
      </c>
      <c r="E99" s="6">
        <f>(B99-INDEX('Native PMKS'!$C$6:$C$366,C99))/(INDEX('Native PMKS'!$C$6:$C$366,D99)-INDEX('Native PMKS'!$C$6:$C$366,C99))</f>
        <v>0.25905292479107966</v>
      </c>
      <c r="F99" s="6">
        <f>INDEX('Native PMKS'!$D$6:$D$366,C99)+(INDEX('Native PMKS'!$D$6:$D$366,D99)-INDEX('Native PMKS'!$D$6:$D$366,C99))*E99</f>
        <v>-29.95085626740947</v>
      </c>
    </row>
    <row r="100" spans="1:6" ht="18.95" customHeight="1">
      <c r="A100" s="1">
        <v>94</v>
      </c>
      <c r="B100" s="6">
        <f>TimeStep!G100</f>
        <v>785.51532033426179</v>
      </c>
      <c r="C100" s="6">
        <f>MIN(MATCH(B100,'Native PMKS'!$C$6:$C$366,1),360)</f>
        <v>95</v>
      </c>
      <c r="D100" s="6">
        <f t="shared" si="1"/>
        <v>96</v>
      </c>
      <c r="E100" s="6">
        <f>(B100-INDEX('Native PMKS'!$C$6:$C$366,C100))/(INDEX('Native PMKS'!$C$6:$C$366,D100)-INDEX('Native PMKS'!$C$6:$C$366,C100))</f>
        <v>0.26183844011140872</v>
      </c>
      <c r="F100" s="6">
        <f>INDEX('Native PMKS'!$D$6:$D$366,C100)+(INDEX('Native PMKS'!$D$6:$D$366,D100)-INDEX('Native PMKS'!$D$6:$D$366,C100))*E100</f>
        <v>-29.9084</v>
      </c>
    </row>
    <row r="101" spans="1:6" ht="18.95" customHeight="1">
      <c r="A101" s="1">
        <v>95</v>
      </c>
      <c r="B101" s="6">
        <f>TimeStep!G101</f>
        <v>793.87186629526457</v>
      </c>
      <c r="C101" s="6">
        <f>MIN(MATCH(B101,'Native PMKS'!$C$6:$C$366,1),360)</f>
        <v>96</v>
      </c>
      <c r="D101" s="6">
        <f t="shared" si="1"/>
        <v>97</v>
      </c>
      <c r="E101" s="6">
        <f>(B101-INDEX('Native PMKS'!$C$6:$C$366,C101))/(INDEX('Native PMKS'!$C$6:$C$366,D101)-INDEX('Native PMKS'!$C$6:$C$366,C101))</f>
        <v>0.26462395543174139</v>
      </c>
      <c r="F101" s="6">
        <f>INDEX('Native PMKS'!$D$6:$D$366,C101)+(INDEX('Native PMKS'!$D$6:$D$366,D101)-INDEX('Native PMKS'!$D$6:$D$366,C101))*E101</f>
        <v>-29.893237047353761</v>
      </c>
    </row>
    <row r="102" spans="1:6" ht="18.95" customHeight="1">
      <c r="A102" s="1">
        <v>96</v>
      </c>
      <c r="B102" s="6">
        <f>TimeStep!G102</f>
        <v>802.22841225626735</v>
      </c>
      <c r="C102" s="6">
        <f>MIN(MATCH(B102,'Native PMKS'!$C$6:$C$366,1),360)</f>
        <v>97</v>
      </c>
      <c r="D102" s="6">
        <f t="shared" si="1"/>
        <v>98</v>
      </c>
      <c r="E102" s="6">
        <f>(B102-INDEX('Native PMKS'!$C$6:$C$366,C102))/(INDEX('Native PMKS'!$C$6:$C$366,D102)-INDEX('Native PMKS'!$C$6:$C$366,C102))</f>
        <v>0.26740947075208049</v>
      </c>
      <c r="F102" s="6">
        <f>INDEX('Native PMKS'!$D$6:$D$366,C102)+(INDEX('Native PMKS'!$D$6:$D$366,D102)-INDEX('Native PMKS'!$D$6:$D$366,C102))*E102</f>
        <v>-29.835777437325905</v>
      </c>
    </row>
    <row r="103" spans="1:6" ht="18.95" customHeight="1">
      <c r="A103" s="1">
        <v>97</v>
      </c>
      <c r="B103" s="6">
        <f>TimeStep!G103</f>
        <v>810.58495821727024</v>
      </c>
      <c r="C103" s="6">
        <f>MIN(MATCH(B103,'Native PMKS'!$C$6:$C$366,1),360)</f>
        <v>98</v>
      </c>
      <c r="D103" s="6">
        <f t="shared" si="1"/>
        <v>99</v>
      </c>
      <c r="E103" s="6">
        <f>(B103-INDEX('Native PMKS'!$C$6:$C$366,C103))/(INDEX('Native PMKS'!$C$6:$C$366,D103)-INDEX('Native PMKS'!$C$6:$C$366,C103))</f>
        <v>0.27019498607242315</v>
      </c>
      <c r="F103" s="6">
        <f>INDEX('Native PMKS'!$D$6:$D$366,C103)+(INDEX('Native PMKS'!$D$6:$D$366,D103)-INDEX('Native PMKS'!$D$6:$D$366,C103))*E103</f>
        <v>-29.77831782729805</v>
      </c>
    </row>
    <row r="104" spans="1:6" ht="18.95" customHeight="1">
      <c r="A104" s="1">
        <v>98</v>
      </c>
      <c r="B104" s="6">
        <f>TimeStep!G104</f>
        <v>818.94150417827302</v>
      </c>
      <c r="C104" s="6">
        <f>MIN(MATCH(B104,'Native PMKS'!$C$6:$C$366,1),360)</f>
        <v>99</v>
      </c>
      <c r="D104" s="6">
        <f t="shared" si="1"/>
        <v>100</v>
      </c>
      <c r="E104" s="6">
        <f>(B104-INDEX('Native PMKS'!$C$6:$C$366,C104))/(INDEX('Native PMKS'!$C$6:$C$366,D104)-INDEX('Native PMKS'!$C$6:$C$366,C104))</f>
        <v>0.27298050139275221</v>
      </c>
      <c r="F104" s="6">
        <f>INDEX('Native PMKS'!$D$6:$D$366,C104)+(INDEX('Native PMKS'!$D$6:$D$366,D104)-INDEX('Native PMKS'!$D$6:$D$366,C104))*E104</f>
        <v>-29.70521643454039</v>
      </c>
    </row>
    <row r="105" spans="1:6" ht="18.95" customHeight="1">
      <c r="A105" s="1">
        <v>99</v>
      </c>
      <c r="B105" s="6">
        <f>TimeStep!G105</f>
        <v>827.2980501392758</v>
      </c>
      <c r="C105" s="6">
        <f>MIN(MATCH(B105,'Native PMKS'!$C$6:$C$366,1),360)</f>
        <v>100</v>
      </c>
      <c r="D105" s="6">
        <f t="shared" si="1"/>
        <v>101</v>
      </c>
      <c r="E105" s="6">
        <f>(B105-INDEX('Native PMKS'!$C$6:$C$366,C105))/(INDEX('Native PMKS'!$C$6:$C$366,D105)-INDEX('Native PMKS'!$C$6:$C$366,C105))</f>
        <v>0.27576601671308504</v>
      </c>
      <c r="F105" s="6">
        <f>INDEX('Native PMKS'!$D$6:$D$366,C105)+(INDEX('Native PMKS'!$D$6:$D$366,D105)-INDEX('Native PMKS'!$D$6:$D$366,C105))*E105</f>
        <v>-29.606098607242341</v>
      </c>
    </row>
    <row r="106" spans="1:6" ht="18.95" customHeight="1">
      <c r="A106" s="1">
        <v>100</v>
      </c>
      <c r="B106" s="6">
        <f>TimeStep!G106</f>
        <v>835.65459610027858</v>
      </c>
      <c r="C106" s="6">
        <f>MIN(MATCH(B106,'Native PMKS'!$C$6:$C$366,1),360)</f>
        <v>101</v>
      </c>
      <c r="D106" s="6">
        <f t="shared" si="1"/>
        <v>102</v>
      </c>
      <c r="E106" s="6">
        <f>(B106-INDEX('Native PMKS'!$C$6:$C$366,C106))/(INDEX('Native PMKS'!$C$6:$C$366,D106)-INDEX('Native PMKS'!$C$6:$C$366,C106))</f>
        <v>0.27855153203342398</v>
      </c>
      <c r="F106" s="6">
        <f>INDEX('Native PMKS'!$D$6:$D$366,C106)+(INDEX('Native PMKS'!$D$6:$D$366,D106)-INDEX('Native PMKS'!$D$6:$D$366,C106))*E106</f>
        <v>-29.548638997214486</v>
      </c>
    </row>
    <row r="107" spans="1:6" ht="18.95" customHeight="1">
      <c r="A107" s="1">
        <v>101</v>
      </c>
      <c r="B107" s="6">
        <f>TimeStep!G107</f>
        <v>844.01114206128136</v>
      </c>
      <c r="C107" s="6">
        <f>MIN(MATCH(B107,'Native PMKS'!$C$6:$C$366,1),360)</f>
        <v>102</v>
      </c>
      <c r="D107" s="6">
        <f t="shared" si="1"/>
        <v>103</v>
      </c>
      <c r="E107" s="6">
        <f>(B107-INDEX('Native PMKS'!$C$6:$C$366,C107))/(INDEX('Native PMKS'!$C$6:$C$366,D107)-INDEX('Native PMKS'!$C$6:$C$366,C107))</f>
        <v>0.28133704735375303</v>
      </c>
      <c r="F107" s="6">
        <f>INDEX('Native PMKS'!$D$6:$D$366,C107)+(INDEX('Native PMKS'!$D$6:$D$366,D107)-INDEX('Native PMKS'!$D$6:$D$366,C107))*E107</f>
        <v>-29.475058774373259</v>
      </c>
    </row>
    <row r="108" spans="1:6" ht="18.95" customHeight="1">
      <c r="A108" s="1">
        <v>102</v>
      </c>
      <c r="B108" s="6">
        <f>TimeStep!G108</f>
        <v>852.36768802228414</v>
      </c>
      <c r="C108" s="6">
        <f>MIN(MATCH(B108,'Native PMKS'!$C$6:$C$366,1),360)</f>
        <v>103</v>
      </c>
      <c r="D108" s="6">
        <f t="shared" si="1"/>
        <v>104</v>
      </c>
      <c r="E108" s="6">
        <f>(B108-INDEX('Native PMKS'!$C$6:$C$366,C108))/(INDEX('Native PMKS'!$C$6:$C$366,D108)-INDEX('Native PMKS'!$C$6:$C$366,C108))</f>
        <v>0.28412256267408598</v>
      </c>
      <c r="F108" s="6">
        <f>INDEX('Native PMKS'!$D$6:$D$366,C108)+(INDEX('Native PMKS'!$D$6:$D$366,D108)-INDEX('Native PMKS'!$D$6:$D$366,C108))*E108</f>
        <v>-29.360139554317552</v>
      </c>
    </row>
    <row r="109" spans="1:6" ht="18.95" customHeight="1">
      <c r="A109" s="1">
        <v>103</v>
      </c>
      <c r="B109" s="6">
        <f>TimeStep!G109</f>
        <v>860.72423398328692</v>
      </c>
      <c r="C109" s="6">
        <f>MIN(MATCH(B109,'Native PMKS'!$C$6:$C$366,1),360)</f>
        <v>104</v>
      </c>
      <c r="D109" s="6">
        <f t="shared" si="1"/>
        <v>105</v>
      </c>
      <c r="E109" s="6">
        <f>(B109-INDEX('Native PMKS'!$C$6:$C$366,C109))/(INDEX('Native PMKS'!$C$6:$C$366,D109)-INDEX('Native PMKS'!$C$6:$C$366,C109))</f>
        <v>0.2869080779944248</v>
      </c>
      <c r="F109" s="6">
        <f>INDEX('Native PMKS'!$D$6:$D$366,C109)+(INDEX('Native PMKS'!$D$6:$D$366,D109)-INDEX('Native PMKS'!$D$6:$D$366,C109))*E109</f>
        <v>-29.245249025069636</v>
      </c>
    </row>
    <row r="110" spans="1:6" ht="18.95" customHeight="1">
      <c r="A110" s="1">
        <v>104</v>
      </c>
      <c r="B110" s="6">
        <f>TimeStep!G110</f>
        <v>869.0807799442897</v>
      </c>
      <c r="C110" s="6">
        <f>MIN(MATCH(B110,'Native PMKS'!$C$6:$C$366,1),360)</f>
        <v>105</v>
      </c>
      <c r="D110" s="6">
        <f t="shared" si="1"/>
        <v>106</v>
      </c>
      <c r="E110" s="6">
        <f>(B110-INDEX('Native PMKS'!$C$6:$C$366,C110))/(INDEX('Native PMKS'!$C$6:$C$366,D110)-INDEX('Native PMKS'!$C$6:$C$366,C110))</f>
        <v>0.28969359331475386</v>
      </c>
      <c r="F110" s="6">
        <f>INDEX('Native PMKS'!$D$6:$D$366,C110)+(INDEX('Native PMKS'!$D$6:$D$366,D110)-INDEX('Native PMKS'!$D$6:$D$366,C110))*E110</f>
        <v>-29.13040111420613</v>
      </c>
    </row>
    <row r="111" spans="1:6" ht="18.95" customHeight="1">
      <c r="A111" s="1">
        <v>105</v>
      </c>
      <c r="B111" s="6">
        <f>TimeStep!G111</f>
        <v>877.43732590529248</v>
      </c>
      <c r="C111" s="6">
        <f>MIN(MATCH(B111,'Native PMKS'!$C$6:$C$366,1),360)</f>
        <v>106</v>
      </c>
      <c r="D111" s="6">
        <f t="shared" si="1"/>
        <v>107</v>
      </c>
      <c r="E111" s="6">
        <f>(B111-INDEX('Native PMKS'!$C$6:$C$366,C111))/(INDEX('Native PMKS'!$C$6:$C$366,D111)-INDEX('Native PMKS'!$C$6:$C$366,C111))</f>
        <v>0.29247910863508692</v>
      </c>
      <c r="F111" s="6">
        <f>INDEX('Native PMKS'!$D$6:$D$366,C111)+(INDEX('Native PMKS'!$D$6:$D$366,D111)-INDEX('Native PMKS'!$D$6:$D$366,C111))*E111</f>
        <v>-28.998722841225629</v>
      </c>
    </row>
    <row r="112" spans="1:6" ht="18.95" customHeight="1">
      <c r="A112" s="1">
        <v>106</v>
      </c>
      <c r="B112" s="6">
        <f>TimeStep!G112</f>
        <v>885.79387186629526</v>
      </c>
      <c r="C112" s="6">
        <f>MIN(MATCH(B112,'Native PMKS'!$C$6:$C$366,1),360)</f>
        <v>107</v>
      </c>
      <c r="D112" s="6">
        <f t="shared" si="1"/>
        <v>108</v>
      </c>
      <c r="E112" s="6">
        <f>(B112-INDEX('Native PMKS'!$C$6:$C$366,C112))/(INDEX('Native PMKS'!$C$6:$C$366,D112)-INDEX('Native PMKS'!$C$6:$C$366,C112))</f>
        <v>0.29526462395542558</v>
      </c>
      <c r="F112" s="6">
        <f>INDEX('Native PMKS'!$D$6:$D$366,C112)+(INDEX('Native PMKS'!$D$6:$D$366,D112)-INDEX('Native PMKS'!$D$6:$D$366,C112))*E112</f>
        <v>-28.843262674094706</v>
      </c>
    </row>
    <row r="113" spans="1:6" ht="18.95" customHeight="1">
      <c r="A113" s="1">
        <v>107</v>
      </c>
      <c r="B113" s="6">
        <f>TimeStep!G113</f>
        <v>894.15041782729804</v>
      </c>
      <c r="C113" s="6">
        <f>MIN(MATCH(B113,'Native PMKS'!$C$6:$C$366,1),360)</f>
        <v>108</v>
      </c>
      <c r="D113" s="6">
        <f t="shared" si="1"/>
        <v>109</v>
      </c>
      <c r="E113" s="6">
        <f>(B113-INDEX('Native PMKS'!$C$6:$C$366,C113))/(INDEX('Native PMKS'!$C$6:$C$366,D113)-INDEX('Native PMKS'!$C$6:$C$366,C113))</f>
        <v>0.29805013927575463</v>
      </c>
      <c r="F113" s="6">
        <f>INDEX('Native PMKS'!$D$6:$D$366,C113)+(INDEX('Native PMKS'!$D$6:$D$366,D113)-INDEX('Native PMKS'!$D$6:$D$366,C113))*E113</f>
        <v>-28.711265181058497</v>
      </c>
    </row>
    <row r="114" spans="1:6" ht="18.95" customHeight="1">
      <c r="A114" s="1">
        <v>108</v>
      </c>
      <c r="B114" s="6">
        <f>TimeStep!G114</f>
        <v>902.50696378830082</v>
      </c>
      <c r="C114" s="6">
        <f>MIN(MATCH(B114,'Native PMKS'!$C$6:$C$366,1),360)</f>
        <v>109</v>
      </c>
      <c r="D114" s="6">
        <f t="shared" si="1"/>
        <v>110</v>
      </c>
      <c r="E114" s="6">
        <f>(B114-INDEX('Native PMKS'!$C$6:$C$366,C114))/(INDEX('Native PMKS'!$C$6:$C$366,D114)-INDEX('Native PMKS'!$C$6:$C$366,C114))</f>
        <v>0.3008356545960878</v>
      </c>
      <c r="F114" s="6">
        <f>INDEX('Native PMKS'!$D$6:$D$366,C114)+(INDEX('Native PMKS'!$D$6:$D$366,D114)-INDEX('Native PMKS'!$D$6:$D$366,C114))*E114</f>
        <v>-28.556124233983287</v>
      </c>
    </row>
    <row r="115" spans="1:6" ht="18.95" customHeight="1">
      <c r="A115" s="1">
        <v>109</v>
      </c>
      <c r="B115" s="6">
        <f>TimeStep!G115</f>
        <v>910.8635097493036</v>
      </c>
      <c r="C115" s="6">
        <f>MIN(MATCH(B115,'Native PMKS'!$C$6:$C$366,1),360)</f>
        <v>110</v>
      </c>
      <c r="D115" s="6">
        <f t="shared" si="1"/>
        <v>111</v>
      </c>
      <c r="E115" s="6">
        <f>(B115-INDEX('Native PMKS'!$C$6:$C$366,C115))/(INDEX('Native PMKS'!$C$6:$C$366,D115)-INDEX('Native PMKS'!$C$6:$C$366,C115))</f>
        <v>0.3036211699164264</v>
      </c>
      <c r="F115" s="6">
        <f>INDEX('Native PMKS'!$D$6:$D$366,C115)+(INDEX('Native PMKS'!$D$6:$D$366,D115)-INDEX('Native PMKS'!$D$6:$D$366,C115))*E115</f>
        <v>-28.423807520891366</v>
      </c>
    </row>
    <row r="116" spans="1:6" ht="18.95" customHeight="1">
      <c r="A116" s="1">
        <v>110</v>
      </c>
      <c r="B116" s="6">
        <f>TimeStep!G116</f>
        <v>919.22005571030638</v>
      </c>
      <c r="C116" s="6">
        <f>MIN(MATCH(B116,'Native PMKS'!$C$6:$C$366,1),360)</f>
        <v>111</v>
      </c>
      <c r="D116" s="6">
        <f t="shared" si="1"/>
        <v>112</v>
      </c>
      <c r="E116" s="6">
        <f>(B116-INDEX('Native PMKS'!$C$6:$C$366,C116))/(INDEX('Native PMKS'!$C$6:$C$366,D116)-INDEX('Native PMKS'!$C$6:$C$366,C116))</f>
        <v>0.30640668523675546</v>
      </c>
      <c r="F116" s="6">
        <f>INDEX('Native PMKS'!$D$6:$D$366,C116)+(INDEX('Native PMKS'!$D$6:$D$366,D116)-INDEX('Native PMKS'!$D$6:$D$366,C116))*E116</f>
        <v>-28.251428690807799</v>
      </c>
    </row>
    <row r="117" spans="1:6" ht="18.95" customHeight="1">
      <c r="A117" s="1">
        <v>111</v>
      </c>
      <c r="B117" s="6">
        <f>TimeStep!G117</f>
        <v>927.57660167130916</v>
      </c>
      <c r="C117" s="6">
        <f>MIN(MATCH(B117,'Native PMKS'!$C$6:$C$366,1),360)</f>
        <v>112</v>
      </c>
      <c r="D117" s="6">
        <f t="shared" si="1"/>
        <v>113</v>
      </c>
      <c r="E117" s="6">
        <f>(B117-INDEX('Native PMKS'!$C$6:$C$366,C117))/(INDEX('Native PMKS'!$C$6:$C$366,D117)-INDEX('Native PMKS'!$C$6:$C$366,C117))</f>
        <v>0.30919220055708874</v>
      </c>
      <c r="F117" s="6">
        <f>INDEX('Native PMKS'!$D$6:$D$366,C117)+(INDEX('Native PMKS'!$D$6:$D$366,D117)-INDEX('Native PMKS'!$D$6:$D$366,C117))*E117</f>
        <v>-28.061333147632315</v>
      </c>
    </row>
    <row r="118" spans="1:6" ht="18.95" customHeight="1">
      <c r="A118" s="1">
        <v>112</v>
      </c>
      <c r="B118" s="6">
        <f>TimeStep!G118</f>
        <v>935.93314763231194</v>
      </c>
      <c r="C118" s="6">
        <f>MIN(MATCH(B118,'Native PMKS'!$C$6:$C$366,1),360)</f>
        <v>113</v>
      </c>
      <c r="D118" s="6">
        <f t="shared" si="1"/>
        <v>114</v>
      </c>
      <c r="E118" s="6">
        <f>(B118-INDEX('Native PMKS'!$C$6:$C$366,C118))/(INDEX('Native PMKS'!$C$6:$C$366,D118)-INDEX('Native PMKS'!$C$6:$C$366,C118))</f>
        <v>0.31197771587742723</v>
      </c>
      <c r="F118" s="6">
        <f>INDEX('Native PMKS'!$D$6:$D$366,C118)+(INDEX('Native PMKS'!$D$6:$D$366,D118)-INDEX('Native PMKS'!$D$6:$D$366,C118))*E118</f>
        <v>-27.849402228412256</v>
      </c>
    </row>
    <row r="119" spans="1:6" ht="18.95" customHeight="1">
      <c r="A119" s="1">
        <v>113</v>
      </c>
      <c r="B119" s="6">
        <f>TimeStep!G119</f>
        <v>944.28969359331472</v>
      </c>
      <c r="C119" s="6">
        <f>MIN(MATCH(B119,'Native PMKS'!$C$6:$C$366,1),360)</f>
        <v>114</v>
      </c>
      <c r="D119" s="6">
        <f t="shared" si="1"/>
        <v>115</v>
      </c>
      <c r="E119" s="6">
        <f>(B119-INDEX('Native PMKS'!$C$6:$C$366,C119))/(INDEX('Native PMKS'!$C$6:$C$366,D119)-INDEX('Native PMKS'!$C$6:$C$366,C119))</f>
        <v>0.31476323119775629</v>
      </c>
      <c r="F119" s="6">
        <f>INDEX('Native PMKS'!$D$6:$D$366,C119)+(INDEX('Native PMKS'!$D$6:$D$366,D119)-INDEX('Native PMKS'!$D$6:$D$366,C119))*E119</f>
        <v>-27.677092200557105</v>
      </c>
    </row>
    <row r="120" spans="1:6" ht="18.95" customHeight="1">
      <c r="A120" s="1">
        <v>114</v>
      </c>
      <c r="B120" s="6">
        <f>TimeStep!G120</f>
        <v>952.6462395543175</v>
      </c>
      <c r="C120" s="6">
        <f>MIN(MATCH(B120,'Native PMKS'!$C$6:$C$366,1),360)</f>
        <v>115</v>
      </c>
      <c r="D120" s="6">
        <f t="shared" si="1"/>
        <v>116</v>
      </c>
      <c r="E120" s="6">
        <f>(B120-INDEX('Native PMKS'!$C$6:$C$366,C120))/(INDEX('Native PMKS'!$C$6:$C$366,D120)-INDEX('Native PMKS'!$C$6:$C$366,C120))</f>
        <v>0.31754874651808968</v>
      </c>
      <c r="F120" s="6">
        <f>INDEX('Native PMKS'!$D$6:$D$366,C120)+(INDEX('Native PMKS'!$D$6:$D$366,D120)-INDEX('Native PMKS'!$D$6:$D$366,C120))*E120</f>
        <v>-27.486517827298055</v>
      </c>
    </row>
    <row r="121" spans="1:6" ht="18.95" customHeight="1">
      <c r="A121" s="1">
        <v>115</v>
      </c>
      <c r="B121" s="6">
        <f>TimeStep!G121</f>
        <v>961.00278551532028</v>
      </c>
      <c r="C121" s="6">
        <f>MIN(MATCH(B121,'Native PMKS'!$C$6:$C$366,1),360)</f>
        <v>116</v>
      </c>
      <c r="D121" s="6">
        <f t="shared" si="1"/>
        <v>117</v>
      </c>
      <c r="E121" s="6">
        <f>(B121-INDEX('Native PMKS'!$C$6:$C$366,C121))/(INDEX('Native PMKS'!$C$6:$C$366,D121)-INDEX('Native PMKS'!$C$6:$C$366,C121))</f>
        <v>0.320334261838428</v>
      </c>
      <c r="F121" s="6">
        <f>INDEX('Native PMKS'!$D$6:$D$366,C121)+(INDEX('Native PMKS'!$D$6:$D$366,D121)-INDEX('Native PMKS'!$D$6:$D$366,C121))*E121</f>
        <v>-27.256679387186633</v>
      </c>
    </row>
    <row r="122" spans="1:6" ht="18.95" customHeight="1">
      <c r="A122" s="1">
        <v>116</v>
      </c>
      <c r="B122" s="6">
        <f>TimeStep!G122</f>
        <v>969.35933147632306</v>
      </c>
      <c r="C122" s="6">
        <f>MIN(MATCH(B122,'Native PMKS'!$C$6:$C$366,1),360)</f>
        <v>117</v>
      </c>
      <c r="D122" s="6">
        <f t="shared" si="1"/>
        <v>118</v>
      </c>
      <c r="E122" s="6">
        <f>(B122-INDEX('Native PMKS'!$C$6:$C$366,C122))/(INDEX('Native PMKS'!$C$6:$C$366,D122)-INDEX('Native PMKS'!$C$6:$C$366,C122))</f>
        <v>0.32311977715875706</v>
      </c>
      <c r="F122" s="6">
        <f>INDEX('Native PMKS'!$D$6:$D$366,C122)+(INDEX('Native PMKS'!$D$6:$D$366,D122)-INDEX('Native PMKS'!$D$6:$D$366,C122))*E122</f>
        <v>-27.026840947075211</v>
      </c>
    </row>
    <row r="123" spans="1:6" ht="18.95" customHeight="1">
      <c r="A123" s="1">
        <v>117</v>
      </c>
      <c r="B123" s="6">
        <f>TimeStep!G123</f>
        <v>977.71587743732584</v>
      </c>
      <c r="C123" s="6">
        <f>MIN(MATCH(B123,'Native PMKS'!$C$6:$C$366,1),360)</f>
        <v>118</v>
      </c>
      <c r="D123" s="6">
        <f t="shared" si="1"/>
        <v>119</v>
      </c>
      <c r="E123" s="6">
        <f>(B123-INDEX('Native PMKS'!$C$6:$C$366,C123))/(INDEX('Native PMKS'!$C$6:$C$366,D123)-INDEX('Native PMKS'!$C$6:$C$366,C123))</f>
        <v>0.32590529247909056</v>
      </c>
      <c r="F123" s="6">
        <f>INDEX('Native PMKS'!$D$6:$D$366,C123)+(INDEX('Native PMKS'!$D$6:$D$366,D123)-INDEX('Native PMKS'!$D$6:$D$366,C123))*E123</f>
        <v>-26.797002506963793</v>
      </c>
    </row>
    <row r="124" spans="1:6" ht="18.95" customHeight="1">
      <c r="A124" s="1">
        <v>118</v>
      </c>
      <c r="B124" s="6">
        <f>TimeStep!G124</f>
        <v>986.07242339832874</v>
      </c>
      <c r="C124" s="6">
        <f>MIN(MATCH(B124,'Native PMKS'!$C$6:$C$366,1),360)</f>
        <v>119</v>
      </c>
      <c r="D124" s="6">
        <f t="shared" si="1"/>
        <v>120</v>
      </c>
      <c r="E124" s="6">
        <f>(B124-INDEX('Native PMKS'!$C$6:$C$366,C124))/(INDEX('Native PMKS'!$C$6:$C$366,D124)-INDEX('Native PMKS'!$C$6:$C$366,C124))</f>
        <v>0.32869080779944249</v>
      </c>
      <c r="F124" s="6">
        <f>INDEX('Native PMKS'!$D$6:$D$366,C124)+(INDEX('Native PMKS'!$D$6:$D$366,D124)-INDEX('Native PMKS'!$D$6:$D$366,C124))*E124</f>
        <v>-26.567196935933147</v>
      </c>
    </row>
    <row r="125" spans="1:6" ht="18.95" customHeight="1">
      <c r="A125" s="1">
        <v>119</v>
      </c>
      <c r="B125" s="6">
        <f>TimeStep!G125</f>
        <v>994.42896935933152</v>
      </c>
      <c r="C125" s="6">
        <f>MIN(MATCH(B125,'Native PMKS'!$C$6:$C$366,1),360)</f>
        <v>120</v>
      </c>
      <c r="D125" s="6">
        <f t="shared" si="1"/>
        <v>121</v>
      </c>
      <c r="E125" s="6">
        <f>(B125-INDEX('Native PMKS'!$C$6:$C$366,C125))/(INDEX('Native PMKS'!$C$6:$C$366,D125)-INDEX('Native PMKS'!$C$6:$C$366,C125))</f>
        <v>0.33147632311977154</v>
      </c>
      <c r="F125" s="6">
        <f>INDEX('Native PMKS'!$D$6:$D$366,C125)+(INDEX('Native PMKS'!$D$6:$D$366,D125)-INDEX('Native PMKS'!$D$6:$D$366,C125))*E125</f>
        <v>-26.337425626740949</v>
      </c>
    </row>
    <row r="126" spans="1:6" ht="18.95" customHeight="1">
      <c r="A126" s="1">
        <v>120</v>
      </c>
      <c r="B126" s="6">
        <f>TimeStep!G126</f>
        <v>1002.7855153203343</v>
      </c>
      <c r="C126" s="6">
        <f>MIN(MATCH(B126,'Native PMKS'!$C$6:$C$366,1),360)</f>
        <v>121</v>
      </c>
      <c r="D126" s="6">
        <f t="shared" si="1"/>
        <v>122</v>
      </c>
      <c r="E126" s="6">
        <f>(B126-INDEX('Native PMKS'!$C$6:$C$366,C126))/(INDEX('Native PMKS'!$C$6:$C$366,D126)-INDEX('Native PMKS'!$C$6:$C$366,C126))</f>
        <v>0.33426183844010515</v>
      </c>
      <c r="F126" s="6">
        <f>INDEX('Native PMKS'!$D$6:$D$366,C126)+(INDEX('Native PMKS'!$D$6:$D$366,D126)-INDEX('Native PMKS'!$D$6:$D$366,C126))*E126</f>
        <v>-26.088433983286912</v>
      </c>
    </row>
    <row r="127" spans="1:6" ht="18.95" customHeight="1">
      <c r="A127" s="1">
        <v>121</v>
      </c>
      <c r="B127" s="6">
        <f>TimeStep!G127</f>
        <v>1011.1420612813371</v>
      </c>
      <c r="C127" s="6">
        <f>MIN(MATCH(B127,'Native PMKS'!$C$6:$C$366,1),360)</f>
        <v>122</v>
      </c>
      <c r="D127" s="6">
        <f t="shared" si="1"/>
        <v>123</v>
      </c>
      <c r="E127" s="6">
        <f>(B127-INDEX('Native PMKS'!$C$6:$C$366,C127))/(INDEX('Native PMKS'!$C$6:$C$366,D127)-INDEX('Native PMKS'!$C$6:$C$366,C127))</f>
        <v>0.33704735376044331</v>
      </c>
      <c r="F127" s="6">
        <f>INDEX('Native PMKS'!$D$6:$D$366,C127)+(INDEX('Native PMKS'!$D$6:$D$366,D127)-INDEX('Native PMKS'!$D$6:$D$366,C127))*E127</f>
        <v>-25.820448746518107</v>
      </c>
    </row>
    <row r="128" spans="1:6" ht="18.95" customHeight="1">
      <c r="A128" s="1">
        <v>122</v>
      </c>
      <c r="B128" s="6">
        <f>TimeStep!G128</f>
        <v>1019.4986072423399</v>
      </c>
      <c r="C128" s="6">
        <f>MIN(MATCH(B128,'Native PMKS'!$C$6:$C$366,1),360)</f>
        <v>123</v>
      </c>
      <c r="D128" s="6">
        <f t="shared" si="1"/>
        <v>124</v>
      </c>
      <c r="E128" s="6">
        <f>(B128-INDEX('Native PMKS'!$C$6:$C$366,C128))/(INDEX('Native PMKS'!$C$6:$C$366,D128)-INDEX('Native PMKS'!$C$6:$C$366,C128))</f>
        <v>0.33983286908077698</v>
      </c>
      <c r="F128" s="6">
        <f>INDEX('Native PMKS'!$D$6:$D$366,C128)+(INDEX('Native PMKS'!$D$6:$D$366,D128)-INDEX('Native PMKS'!$D$6:$D$366,C128))*E128</f>
        <v>-25.571137883008358</v>
      </c>
    </row>
    <row r="129" spans="1:6" ht="18.95" customHeight="1">
      <c r="A129" s="1">
        <v>123</v>
      </c>
      <c r="B129" s="6">
        <f>TimeStep!G129</f>
        <v>1027.8551532033425</v>
      </c>
      <c r="C129" s="6">
        <f>MIN(MATCH(B129,'Native PMKS'!$C$6:$C$366,1),360)</f>
        <v>124</v>
      </c>
      <c r="D129" s="6">
        <f t="shared" si="1"/>
        <v>125</v>
      </c>
      <c r="E129" s="6">
        <f>(B129-INDEX('Native PMKS'!$C$6:$C$366,C129))/(INDEX('Native PMKS'!$C$6:$C$366,D129)-INDEX('Native PMKS'!$C$6:$C$366,C129))</f>
        <v>0.34261838440109671</v>
      </c>
      <c r="F129" s="6">
        <f>INDEX('Native PMKS'!$D$6:$D$366,C129)+(INDEX('Native PMKS'!$D$6:$D$366,D129)-INDEX('Native PMKS'!$D$6:$D$366,C129))*E129</f>
        <v>-25.283874094707528</v>
      </c>
    </row>
    <row r="130" spans="1:6" ht="18.95" customHeight="1">
      <c r="A130" s="1">
        <v>124</v>
      </c>
      <c r="B130" s="6">
        <f>TimeStep!G130</f>
        <v>1036.2116991643454</v>
      </c>
      <c r="C130" s="6">
        <f>MIN(MATCH(B130,'Native PMKS'!$C$6:$C$366,1),360)</f>
        <v>125</v>
      </c>
      <c r="D130" s="6">
        <f t="shared" si="1"/>
        <v>126</v>
      </c>
      <c r="E130" s="6">
        <f>(B130-INDEX('Native PMKS'!$C$6:$C$366,C130))/(INDEX('Native PMKS'!$C$6:$C$366,D130)-INDEX('Native PMKS'!$C$6:$C$366,C130))</f>
        <v>0.34540389972143515</v>
      </c>
      <c r="F130" s="6">
        <f>INDEX('Native PMKS'!$D$6:$D$366,C130)+(INDEX('Native PMKS'!$D$6:$D$366,D130)-INDEX('Native PMKS'!$D$6:$D$366,C130))*E130</f>
        <v>-24.99664178272981</v>
      </c>
    </row>
    <row r="131" spans="1:6" ht="18.95" customHeight="1">
      <c r="A131" s="1">
        <v>125</v>
      </c>
      <c r="B131" s="6">
        <f>TimeStep!G131</f>
        <v>1044.5682451253481</v>
      </c>
      <c r="C131" s="6">
        <f>MIN(MATCH(B131,'Native PMKS'!$C$6:$C$366,1),360)</f>
        <v>126</v>
      </c>
      <c r="D131" s="6">
        <f t="shared" si="1"/>
        <v>127</v>
      </c>
      <c r="E131" s="6">
        <f>(B131-INDEX('Native PMKS'!$C$6:$C$366,C131))/(INDEX('Native PMKS'!$C$6:$C$366,D131)-INDEX('Native PMKS'!$C$6:$C$366,C131))</f>
        <v>0.34818941504176426</v>
      </c>
      <c r="F131" s="6">
        <f>INDEX('Native PMKS'!$D$6:$D$366,C131)+(INDEX('Native PMKS'!$D$6:$D$366,D131)-INDEX('Native PMKS'!$D$6:$D$366,C131))*E131</f>
        <v>-24.709343732590536</v>
      </c>
    </row>
    <row r="132" spans="1:6" ht="18.95" customHeight="1">
      <c r="A132" s="1">
        <v>126</v>
      </c>
      <c r="B132" s="6">
        <f>TimeStep!G132</f>
        <v>1052.924791086351</v>
      </c>
      <c r="C132" s="6">
        <f>MIN(MATCH(B132,'Native PMKS'!$C$6:$C$366,1),360)</f>
        <v>127</v>
      </c>
      <c r="D132" s="6">
        <f t="shared" si="1"/>
        <v>128</v>
      </c>
      <c r="E132" s="6">
        <f>(B132-INDEX('Native PMKS'!$C$6:$C$366,C132))/(INDEX('Native PMKS'!$C$6:$C$366,D132)-INDEX('Native PMKS'!$C$6:$C$366,C132))</f>
        <v>0.35097493036211108</v>
      </c>
      <c r="F132" s="6">
        <f>INDEX('Native PMKS'!$D$6:$D$366,C132)+(INDEX('Native PMKS'!$D$6:$D$366,D132)-INDEX('Native PMKS'!$D$6:$D$366,C132))*E132</f>
        <v>-24.422045682451255</v>
      </c>
    </row>
    <row r="133" spans="1:6" ht="18.95" customHeight="1">
      <c r="A133" s="1">
        <v>127</v>
      </c>
      <c r="B133" s="6">
        <f>TimeStep!G133</f>
        <v>1061.2813370473536</v>
      </c>
      <c r="C133" s="6">
        <f>MIN(MATCH(B133,'Native PMKS'!$C$6:$C$366,1),360)</f>
        <v>128</v>
      </c>
      <c r="D133" s="6">
        <f t="shared" si="1"/>
        <v>129</v>
      </c>
      <c r="E133" s="6">
        <f>(B133-INDEX('Native PMKS'!$C$6:$C$366,C133))/(INDEX('Native PMKS'!$C$6:$C$366,D133)-INDEX('Native PMKS'!$C$6:$C$366,C133))</f>
        <v>0.35376044568242243</v>
      </c>
      <c r="F133" s="6">
        <f>INDEX('Native PMKS'!$D$6:$D$366,C133)+(INDEX('Native PMKS'!$D$6:$D$366,D133)-INDEX('Native PMKS'!$D$6:$D$366,C133))*E133</f>
        <v>-24.114477158774385</v>
      </c>
    </row>
    <row r="134" spans="1:6" ht="18.95" customHeight="1">
      <c r="A134" s="1">
        <v>128</v>
      </c>
      <c r="B134" s="6">
        <f>TimeStep!G134</f>
        <v>1069.6378830083565</v>
      </c>
      <c r="C134" s="6">
        <f>MIN(MATCH(B134,'Native PMKS'!$C$6:$C$366,1),360)</f>
        <v>129</v>
      </c>
      <c r="D134" s="6">
        <f t="shared" ref="D134:D197" si="2">C134+1</f>
        <v>130</v>
      </c>
      <c r="E134" s="6">
        <f>(B134-INDEX('Native PMKS'!$C$6:$C$366,C134))/(INDEX('Native PMKS'!$C$6:$C$366,D134)-INDEX('Native PMKS'!$C$6:$C$366,C134))</f>
        <v>0.3565459610027788</v>
      </c>
      <c r="F134" s="6">
        <f>INDEX('Native PMKS'!$D$6:$D$366,C134)+(INDEX('Native PMKS'!$D$6:$D$366,D134)-INDEX('Native PMKS'!$D$6:$D$366,C134))*E134</f>
        <v>-23.790185236768803</v>
      </c>
    </row>
    <row r="135" spans="1:6" ht="18.95" customHeight="1">
      <c r="A135" s="1">
        <v>129</v>
      </c>
      <c r="B135" s="6">
        <f>TimeStep!G135</f>
        <v>1077.9944289693594</v>
      </c>
      <c r="C135" s="6">
        <f>MIN(MATCH(B135,'Native PMKS'!$C$6:$C$366,1),360)</f>
        <v>130</v>
      </c>
      <c r="D135" s="6">
        <f t="shared" si="2"/>
        <v>131</v>
      </c>
      <c r="E135" s="6">
        <f>(B135-INDEX('Native PMKS'!$C$6:$C$366,C135))/(INDEX('Native PMKS'!$C$6:$C$366,D135)-INDEX('Native PMKS'!$C$6:$C$366,C135))</f>
        <v>0.3593314763231254</v>
      </c>
      <c r="F135" s="6">
        <f>INDEX('Native PMKS'!$D$6:$D$366,C135)+(INDEX('Native PMKS'!$D$6:$D$366,D135)-INDEX('Native PMKS'!$D$6:$D$366,C135))*E135</f>
        <v>-23.482361838440109</v>
      </c>
    </row>
    <row r="136" spans="1:6" ht="18.95" customHeight="1">
      <c r="A136" s="1">
        <v>130</v>
      </c>
      <c r="B136" s="6">
        <f>TimeStep!G136</f>
        <v>1086.3509749303621</v>
      </c>
      <c r="C136" s="6">
        <f>MIN(MATCH(B136,'Native PMKS'!$C$6:$C$366,1),360)</f>
        <v>131</v>
      </c>
      <c r="D136" s="6">
        <f t="shared" si="2"/>
        <v>132</v>
      </c>
      <c r="E136" s="6">
        <f>(B136-INDEX('Native PMKS'!$C$6:$C$366,C136))/(INDEX('Native PMKS'!$C$6:$C$366,D136)-INDEX('Native PMKS'!$C$6:$C$366,C136))</f>
        <v>0.36211699164343703</v>
      </c>
      <c r="F136" s="6">
        <f>INDEX('Native PMKS'!$D$6:$D$366,C136)+(INDEX('Native PMKS'!$D$6:$D$366,D136)-INDEX('Native PMKS'!$D$6:$D$366,C136))*E136</f>
        <v>-23.137604178272987</v>
      </c>
    </row>
    <row r="137" spans="1:6" ht="18.95" customHeight="1">
      <c r="A137" s="1">
        <v>131</v>
      </c>
      <c r="B137" s="6">
        <f>TimeStep!G137</f>
        <v>1094.707520891365</v>
      </c>
      <c r="C137" s="6">
        <f>MIN(MATCH(B137,'Native PMKS'!$C$6:$C$366,1),360)</f>
        <v>132</v>
      </c>
      <c r="D137" s="6">
        <f t="shared" si="2"/>
        <v>133</v>
      </c>
      <c r="E137" s="6">
        <f>(B137-INDEX('Native PMKS'!$C$6:$C$366,C137))/(INDEX('Native PMKS'!$C$6:$C$366,D137)-INDEX('Native PMKS'!$C$6:$C$366,C137))</f>
        <v>0.36490250696379339</v>
      </c>
      <c r="F137" s="6">
        <f>INDEX('Native PMKS'!$D$6:$D$366,C137)+(INDEX('Native PMKS'!$D$6:$D$366,D137)-INDEX('Native PMKS'!$D$6:$D$366,C137))*E137</f>
        <v>-22.792846518105847</v>
      </c>
    </row>
    <row r="138" spans="1:6" ht="18.95" customHeight="1">
      <c r="A138" s="1">
        <v>132</v>
      </c>
      <c r="B138" s="6">
        <f>TimeStep!G138</f>
        <v>1103.0640668523677</v>
      </c>
      <c r="C138" s="6">
        <f>MIN(MATCH(B138,'Native PMKS'!$C$6:$C$366,1),360)</f>
        <v>133</v>
      </c>
      <c r="D138" s="6">
        <f t="shared" si="2"/>
        <v>134</v>
      </c>
      <c r="E138" s="6">
        <f>(B138-INDEX('Native PMKS'!$C$6:$C$366,C138))/(INDEX('Native PMKS'!$C$6:$C$366,D138)-INDEX('Native PMKS'!$C$6:$C$366,C138))</f>
        <v>0.36768802228411246</v>
      </c>
      <c r="F138" s="6">
        <f>INDEX('Native PMKS'!$D$6:$D$366,C138)+(INDEX('Native PMKS'!$D$6:$D$366,D138)-INDEX('Native PMKS'!$D$6:$D$366,C138))*E138</f>
        <v>-22.44812562674095</v>
      </c>
    </row>
    <row r="139" spans="1:6" ht="18.95" customHeight="1">
      <c r="A139" s="1">
        <v>133</v>
      </c>
      <c r="B139" s="6">
        <f>TimeStep!G139</f>
        <v>1111.4206128133706</v>
      </c>
      <c r="C139" s="6">
        <f>MIN(MATCH(B139,'Native PMKS'!$C$6:$C$366,1),360)</f>
        <v>134</v>
      </c>
      <c r="D139" s="6">
        <f t="shared" si="2"/>
        <v>135</v>
      </c>
      <c r="E139" s="6">
        <f>(B139-INDEX('Native PMKS'!$C$6:$C$366,C139))/(INDEX('Native PMKS'!$C$6:$C$366,D139)-INDEX('Native PMKS'!$C$6:$C$366,C139))</f>
        <v>0.37047353760445156</v>
      </c>
      <c r="F139" s="6">
        <f>INDEX('Native PMKS'!$D$6:$D$366,C139)+(INDEX('Native PMKS'!$D$6:$D$366,D139)-INDEX('Native PMKS'!$D$6:$D$366,C139))*E139</f>
        <v>-22.103431197771588</v>
      </c>
    </row>
    <row r="140" spans="1:6" ht="18.95" customHeight="1">
      <c r="A140" s="1">
        <v>134</v>
      </c>
      <c r="B140" s="6">
        <f>TimeStep!G140</f>
        <v>1119.7771587743732</v>
      </c>
      <c r="C140" s="6">
        <f>MIN(MATCH(B140,'Native PMKS'!$C$6:$C$366,1),360)</f>
        <v>135</v>
      </c>
      <c r="D140" s="6">
        <f t="shared" si="2"/>
        <v>136</v>
      </c>
      <c r="E140" s="6">
        <f>(B140-INDEX('Native PMKS'!$C$6:$C$366,C140))/(INDEX('Native PMKS'!$C$6:$C$366,D140)-INDEX('Native PMKS'!$C$6:$C$366,C140))</f>
        <v>0.37325905292478068</v>
      </c>
      <c r="F140" s="6">
        <f>INDEX('Native PMKS'!$D$6:$D$366,C140)+(INDEX('Native PMKS'!$D$6:$D$366,D140)-INDEX('Native PMKS'!$D$6:$D$366,C140))*E140</f>
        <v>-21.758673537604459</v>
      </c>
    </row>
    <row r="141" spans="1:6" ht="18.95" customHeight="1">
      <c r="A141" s="1">
        <v>135</v>
      </c>
      <c r="B141" s="6">
        <f>TimeStep!G141</f>
        <v>1128.1337047353761</v>
      </c>
      <c r="C141" s="6">
        <f>MIN(MATCH(B141,'Native PMKS'!$C$6:$C$366,1),360)</f>
        <v>136</v>
      </c>
      <c r="D141" s="6">
        <f t="shared" si="2"/>
        <v>137</v>
      </c>
      <c r="E141" s="6">
        <f>(B141-INDEX('Native PMKS'!$C$6:$C$366,C141))/(INDEX('Native PMKS'!$C$6:$C$366,D141)-INDEX('Native PMKS'!$C$6:$C$366,C141))</f>
        <v>0.37604456824512678</v>
      </c>
      <c r="F141" s="6">
        <f>INDEX('Native PMKS'!$D$6:$D$366,C141)+(INDEX('Native PMKS'!$D$6:$D$366,D141)-INDEX('Native PMKS'!$D$6:$D$366,C141))*E141</f>
        <v>-21.392368523676879</v>
      </c>
    </row>
    <row r="142" spans="1:6" ht="18.95" customHeight="1">
      <c r="A142" s="1">
        <v>136</v>
      </c>
      <c r="B142" s="6">
        <f>TimeStep!G142</f>
        <v>1136.4902506963788</v>
      </c>
      <c r="C142" s="6">
        <f>MIN(MATCH(B142,'Native PMKS'!$C$6:$C$366,1),360)</f>
        <v>137</v>
      </c>
      <c r="D142" s="6">
        <f t="shared" si="2"/>
        <v>138</v>
      </c>
      <c r="E142" s="6">
        <f>(B142-INDEX('Native PMKS'!$C$6:$C$366,C142))/(INDEX('Native PMKS'!$C$6:$C$366,D142)-INDEX('Native PMKS'!$C$6:$C$366,C142))</f>
        <v>0.37883008356543885</v>
      </c>
      <c r="F142" s="6">
        <f>INDEX('Native PMKS'!$D$6:$D$366,C142)+(INDEX('Native PMKS'!$D$6:$D$366,D142)-INDEX('Native PMKS'!$D$6:$D$366,C142))*E142</f>
        <v>-21.011896100278559</v>
      </c>
    </row>
    <row r="143" spans="1:6" ht="18.95" customHeight="1">
      <c r="A143" s="1">
        <v>137</v>
      </c>
      <c r="B143" s="6">
        <f>TimeStep!G143</f>
        <v>1144.8467966573817</v>
      </c>
      <c r="C143" s="6">
        <f>MIN(MATCH(B143,'Native PMKS'!$C$6:$C$366,1),360)</f>
        <v>138</v>
      </c>
      <c r="D143" s="6">
        <f t="shared" si="2"/>
        <v>139</v>
      </c>
      <c r="E143" s="6">
        <f>(B143-INDEX('Native PMKS'!$C$6:$C$366,C143))/(INDEX('Native PMKS'!$C$6:$C$366,D143)-INDEX('Native PMKS'!$C$6:$C$366,C143))</f>
        <v>0.38161559888579522</v>
      </c>
      <c r="F143" s="6">
        <f>INDEX('Native PMKS'!$D$6:$D$366,C143)+(INDEX('Native PMKS'!$D$6:$D$366,D143)-INDEX('Native PMKS'!$D$6:$D$366,C143))*E143</f>
        <v>-20.645333983286907</v>
      </c>
    </row>
    <row r="144" spans="1:6" ht="18.95" customHeight="1">
      <c r="A144" s="1">
        <v>138</v>
      </c>
      <c r="B144" s="6">
        <f>TimeStep!G144</f>
        <v>1153.2033426183843</v>
      </c>
      <c r="C144" s="6">
        <f>MIN(MATCH(B144,'Native PMKS'!$C$6:$C$366,1),360)</f>
        <v>139</v>
      </c>
      <c r="D144" s="6">
        <f t="shared" si="2"/>
        <v>140</v>
      </c>
      <c r="E144" s="6">
        <f>(B144-INDEX('Native PMKS'!$C$6:$C$366,C144))/(INDEX('Native PMKS'!$C$6:$C$366,D144)-INDEX('Native PMKS'!$C$6:$C$366,C144))</f>
        <v>0.38440111420611384</v>
      </c>
      <c r="F144" s="6">
        <f>INDEX('Native PMKS'!$D$6:$D$366,C144)+(INDEX('Native PMKS'!$D$6:$D$366,D144)-INDEX('Native PMKS'!$D$6:$D$366,C144))*E144</f>
        <v>-20.243116713091929</v>
      </c>
    </row>
    <row r="145" spans="1:6" ht="18.95" customHeight="1">
      <c r="A145" s="1">
        <v>139</v>
      </c>
      <c r="B145" s="6">
        <f>TimeStep!G145</f>
        <v>1161.5598885793872</v>
      </c>
      <c r="C145" s="6">
        <f>MIN(MATCH(B145,'Native PMKS'!$C$6:$C$366,1),360)</f>
        <v>140</v>
      </c>
      <c r="D145" s="6">
        <f t="shared" si="2"/>
        <v>141</v>
      </c>
      <c r="E145" s="6">
        <f>(B145-INDEX('Native PMKS'!$C$6:$C$366,C145))/(INDEX('Native PMKS'!$C$6:$C$366,D145)-INDEX('Native PMKS'!$C$6:$C$366,C145))</f>
        <v>0.38718662952645344</v>
      </c>
      <c r="F145" s="6">
        <f>INDEX('Native PMKS'!$D$6:$D$366,C145)+(INDEX('Native PMKS'!$D$6:$D$366,D145)-INDEX('Native PMKS'!$D$6:$D$366,C145))*E145</f>
        <v>-19.86312395543176</v>
      </c>
    </row>
    <row r="146" spans="1:6" ht="18.95" customHeight="1">
      <c r="A146" s="1">
        <v>140</v>
      </c>
      <c r="B146" s="6">
        <f>TimeStep!G146</f>
        <v>1169.9164345403899</v>
      </c>
      <c r="C146" s="6">
        <f>MIN(MATCH(B146,'Native PMKS'!$C$6:$C$366,1),360)</f>
        <v>141</v>
      </c>
      <c r="D146" s="6">
        <f t="shared" si="2"/>
        <v>142</v>
      </c>
      <c r="E146" s="6">
        <f>(B146-INDEX('Native PMKS'!$C$6:$C$366,C146))/(INDEX('Native PMKS'!$C$6:$C$366,D146)-INDEX('Native PMKS'!$C$6:$C$366,C146))</f>
        <v>0.3899721448467825</v>
      </c>
      <c r="F146" s="6">
        <f>INDEX('Native PMKS'!$D$6:$D$366,C146)+(INDEX('Native PMKS'!$D$6:$D$366,D146)-INDEX('Native PMKS'!$D$6:$D$366,C146))*E146</f>
        <v>-19.496082172701957</v>
      </c>
    </row>
    <row r="147" spans="1:6" ht="18.95" customHeight="1">
      <c r="A147" s="1">
        <v>141</v>
      </c>
      <c r="B147" s="6">
        <f>TimeStep!G147</f>
        <v>1178.2729805013928</v>
      </c>
      <c r="C147" s="6">
        <f>MIN(MATCH(B147,'Native PMKS'!$C$6:$C$366,1),360)</f>
        <v>142</v>
      </c>
      <c r="D147" s="6">
        <f t="shared" si="2"/>
        <v>143</v>
      </c>
      <c r="E147" s="6">
        <f>(B147-INDEX('Native PMKS'!$C$6:$C$366,C147))/(INDEX('Native PMKS'!$C$6:$C$366,D147)-INDEX('Native PMKS'!$C$6:$C$366,C147))</f>
        <v>0.39275766016712821</v>
      </c>
      <c r="F147" s="6">
        <f>INDEX('Native PMKS'!$D$6:$D$366,C147)+(INDEX('Native PMKS'!$D$6:$D$366,D147)-INDEX('Native PMKS'!$D$6:$D$366,C147))*E147</f>
        <v>-19.071359888579387</v>
      </c>
    </row>
    <row r="148" spans="1:6" ht="18.95" customHeight="1">
      <c r="A148" s="1">
        <v>142</v>
      </c>
      <c r="B148" s="6">
        <f>TimeStep!G148</f>
        <v>1186.6295264623955</v>
      </c>
      <c r="C148" s="6">
        <f>MIN(MATCH(B148,'Native PMKS'!$C$6:$C$366,1),360)</f>
        <v>143</v>
      </c>
      <c r="D148" s="6">
        <f t="shared" si="2"/>
        <v>144</v>
      </c>
      <c r="E148" s="6">
        <f>(B148-INDEX('Native PMKS'!$C$6:$C$366,C148))/(INDEX('Native PMKS'!$C$6:$C$366,D148)-INDEX('Native PMKS'!$C$6:$C$366,C148))</f>
        <v>0.39554317548744072</v>
      </c>
      <c r="F148" s="6">
        <f>INDEX('Native PMKS'!$D$6:$D$366,C148)+(INDEX('Native PMKS'!$D$6:$D$366,D148)-INDEX('Native PMKS'!$D$6:$D$366,C148))*E148</f>
        <v>-18.634347632311986</v>
      </c>
    </row>
    <row r="149" spans="1:6" ht="18.95" customHeight="1">
      <c r="A149" s="1">
        <v>143</v>
      </c>
      <c r="B149" s="6">
        <f>TimeStep!G149</f>
        <v>1194.9860724233984</v>
      </c>
      <c r="C149" s="6">
        <f>MIN(MATCH(B149,'Native PMKS'!$C$6:$C$366,1),360)</f>
        <v>144</v>
      </c>
      <c r="D149" s="6">
        <f t="shared" si="2"/>
        <v>145</v>
      </c>
      <c r="E149" s="6">
        <f>(B149-INDEX('Native PMKS'!$C$6:$C$366,C149))/(INDEX('Native PMKS'!$C$6:$C$366,D149)-INDEX('Native PMKS'!$C$6:$C$366,C149))</f>
        <v>0.39832869080779709</v>
      </c>
      <c r="F149" s="6">
        <f>INDEX('Native PMKS'!$D$6:$D$366,C149)+(INDEX('Native PMKS'!$D$6:$D$366,D149)-INDEX('Native PMKS'!$D$6:$D$366,C149))*E149</f>
        <v>-18.232170194986072</v>
      </c>
    </row>
    <row r="150" spans="1:6" ht="18.95" customHeight="1">
      <c r="A150" s="1">
        <v>144</v>
      </c>
      <c r="B150" s="6">
        <f>TimeStep!G150</f>
        <v>1203.342618384401</v>
      </c>
      <c r="C150" s="6">
        <f>MIN(MATCH(B150,'Native PMKS'!$C$6:$C$366,1),360)</f>
        <v>145</v>
      </c>
      <c r="D150" s="6">
        <f t="shared" si="2"/>
        <v>146</v>
      </c>
      <c r="E150" s="6">
        <f>(B150-INDEX('Native PMKS'!$C$6:$C$366,C150))/(INDEX('Native PMKS'!$C$6:$C$366,D150)-INDEX('Native PMKS'!$C$6:$C$366,C150))</f>
        <v>0.40111420612811521</v>
      </c>
      <c r="F150" s="6">
        <f>INDEX('Native PMKS'!$D$6:$D$366,C150)+(INDEX('Native PMKS'!$D$6:$D$366,D150)-INDEX('Native PMKS'!$D$6:$D$366,C150))*E150</f>
        <v>-17.830013091922012</v>
      </c>
    </row>
    <row r="151" spans="1:6" ht="18.95" customHeight="1">
      <c r="A151" s="1">
        <v>145</v>
      </c>
      <c r="B151" s="6">
        <f>TimeStep!G151</f>
        <v>1211.6991643454039</v>
      </c>
      <c r="C151" s="6">
        <f>MIN(MATCH(B151,'Native PMKS'!$C$6:$C$366,1),360)</f>
        <v>146</v>
      </c>
      <c r="D151" s="6">
        <f t="shared" si="2"/>
        <v>147</v>
      </c>
      <c r="E151" s="6">
        <f>(B151-INDEX('Native PMKS'!$C$6:$C$366,C151))/(INDEX('Native PMKS'!$C$6:$C$366,D151)-INDEX('Native PMKS'!$C$6:$C$366,C151))</f>
        <v>0.40389972144845526</v>
      </c>
      <c r="F151" s="6">
        <f>INDEX('Native PMKS'!$D$6:$D$366,C151)+(INDEX('Native PMKS'!$D$6:$D$366,D151)-INDEX('Native PMKS'!$D$6:$D$366,C151))*E151</f>
        <v>-17.404652367688026</v>
      </c>
    </row>
    <row r="152" spans="1:6" ht="18.95" customHeight="1">
      <c r="A152" s="1">
        <v>146</v>
      </c>
      <c r="B152" s="6">
        <f>TimeStep!G152</f>
        <v>1220.0557103064066</v>
      </c>
      <c r="C152" s="6">
        <f>MIN(MATCH(B152,'Native PMKS'!$C$6:$C$366,1),360)</f>
        <v>147</v>
      </c>
      <c r="D152" s="6">
        <f t="shared" si="2"/>
        <v>148</v>
      </c>
      <c r="E152" s="6">
        <f>(B152-INDEX('Native PMKS'!$C$6:$C$366,C152))/(INDEX('Native PMKS'!$C$6:$C$366,D152)-INDEX('Native PMKS'!$C$6:$C$366,C152))</f>
        <v>0.40668523676878438</v>
      </c>
      <c r="F152" s="6">
        <f>INDEX('Native PMKS'!$D$6:$D$366,C152)+(INDEX('Native PMKS'!$D$6:$D$366,D152)-INDEX('Native PMKS'!$D$6:$D$366,C152))*E152</f>
        <v>-16.945016155988867</v>
      </c>
    </row>
    <row r="153" spans="1:6" ht="18.95" customHeight="1">
      <c r="A153" s="1">
        <v>147</v>
      </c>
      <c r="B153" s="6">
        <f>TimeStep!G153</f>
        <v>1228.4122562674095</v>
      </c>
      <c r="C153" s="6">
        <f>MIN(MATCH(B153,'Native PMKS'!$C$6:$C$366,1),360)</f>
        <v>148</v>
      </c>
      <c r="D153" s="6">
        <f t="shared" si="2"/>
        <v>149</v>
      </c>
      <c r="E153" s="6">
        <f>(B153-INDEX('Native PMKS'!$C$6:$C$366,C153))/(INDEX('Native PMKS'!$C$6:$C$366,D153)-INDEX('Native PMKS'!$C$6:$C$366,C153))</f>
        <v>0.40947075208912959</v>
      </c>
      <c r="F153" s="6">
        <f>INDEX('Native PMKS'!$D$6:$D$366,C153)+(INDEX('Native PMKS'!$D$6:$D$366,D153)-INDEX('Native PMKS'!$D$6:$D$366,C153))*E153</f>
        <v>-16.508861281337051</v>
      </c>
    </row>
    <row r="154" spans="1:6" ht="18.95" customHeight="1">
      <c r="A154" s="1">
        <v>148</v>
      </c>
      <c r="B154" s="6">
        <f>TimeStep!G154</f>
        <v>1236.7688022284121</v>
      </c>
      <c r="C154" s="6">
        <f>MIN(MATCH(B154,'Native PMKS'!$C$6:$C$366,1),360)</f>
        <v>149</v>
      </c>
      <c r="D154" s="6">
        <f t="shared" si="2"/>
        <v>150</v>
      </c>
      <c r="E154" s="6">
        <f>(B154-INDEX('Native PMKS'!$C$6:$C$366,C154))/(INDEX('Native PMKS'!$C$6:$C$366,D154)-INDEX('Native PMKS'!$C$6:$C$366,C154))</f>
        <v>0.41225626740944255</v>
      </c>
      <c r="F154" s="6">
        <f>INDEX('Native PMKS'!$D$6:$D$366,C154)+(INDEX('Native PMKS'!$D$6:$D$366,D154)-INDEX('Native PMKS'!$D$6:$D$366,C154))*E154</f>
        <v>-16.08302172701951</v>
      </c>
    </row>
    <row r="155" spans="1:6" ht="18.95" customHeight="1">
      <c r="A155" s="1">
        <v>149</v>
      </c>
      <c r="B155" s="6">
        <f>TimeStep!G155</f>
        <v>1245.125348189415</v>
      </c>
      <c r="C155" s="6">
        <f>MIN(MATCH(B155,'Native PMKS'!$C$6:$C$366,1),360)</f>
        <v>150</v>
      </c>
      <c r="D155" s="6">
        <f t="shared" si="2"/>
        <v>151</v>
      </c>
      <c r="E155" s="6">
        <f>(B155-INDEX('Native PMKS'!$C$6:$C$366,C155))/(INDEX('Native PMKS'!$C$6:$C$366,D155)-INDEX('Native PMKS'!$C$6:$C$366,C155))</f>
        <v>0.41504178272979891</v>
      </c>
      <c r="F155" s="6">
        <f>INDEX('Native PMKS'!$D$6:$D$366,C155)+(INDEX('Native PMKS'!$D$6:$D$366,D155)-INDEX('Native PMKS'!$D$6:$D$366,C155))*E155</f>
        <v>-15.623386350974933</v>
      </c>
    </row>
    <row r="156" spans="1:6" ht="18.95" customHeight="1">
      <c r="A156" s="1">
        <v>150</v>
      </c>
      <c r="B156" s="6">
        <f>TimeStep!G156</f>
        <v>1253.4818941504179</v>
      </c>
      <c r="C156" s="6">
        <f>MIN(MATCH(B156,'Native PMKS'!$C$6:$C$366,1),360)</f>
        <v>151</v>
      </c>
      <c r="D156" s="6">
        <f t="shared" si="2"/>
        <v>152</v>
      </c>
      <c r="E156" s="6">
        <f>(B156-INDEX('Native PMKS'!$C$6:$C$366,C156))/(INDEX('Native PMKS'!$C$6:$C$366,D156)-INDEX('Native PMKS'!$C$6:$C$366,C156))</f>
        <v>0.4178272980501439</v>
      </c>
      <c r="F156" s="6">
        <f>INDEX('Native PMKS'!$D$6:$D$366,C156)+(INDEX('Native PMKS'!$D$6:$D$366,D156)-INDEX('Native PMKS'!$D$6:$D$366,C156))*E156</f>
        <v>-15.163767966573815</v>
      </c>
    </row>
    <row r="157" spans="1:6" ht="18.95" customHeight="1">
      <c r="A157" s="1">
        <v>151</v>
      </c>
      <c r="B157" s="6">
        <f>TimeStep!G157</f>
        <v>1261.8384401114206</v>
      </c>
      <c r="C157" s="6">
        <f>MIN(MATCH(B157,'Native PMKS'!$C$6:$C$366,1),360)</f>
        <v>152</v>
      </c>
      <c r="D157" s="6">
        <f t="shared" si="2"/>
        <v>153</v>
      </c>
      <c r="E157" s="6">
        <f>(B157-INDEX('Native PMKS'!$C$6:$C$366,C157))/(INDEX('Native PMKS'!$C$6:$C$366,D157)-INDEX('Native PMKS'!$C$6:$C$366,C157))</f>
        <v>0.42061281337045714</v>
      </c>
      <c r="F157" s="6">
        <f>INDEX('Native PMKS'!$D$6:$D$366,C157)+(INDEX('Native PMKS'!$D$6:$D$366,D157)-INDEX('Native PMKS'!$D$6:$D$366,C157))*E157</f>
        <v>-14.704091086350983</v>
      </c>
    </row>
    <row r="158" spans="1:6" ht="18.95" customHeight="1">
      <c r="A158" s="1">
        <v>152</v>
      </c>
      <c r="B158" s="6">
        <f>TimeStep!G158</f>
        <v>1270.1949860724235</v>
      </c>
      <c r="C158" s="6">
        <f>MIN(MATCH(B158,'Native PMKS'!$C$6:$C$366,1),360)</f>
        <v>153</v>
      </c>
      <c r="D158" s="6">
        <f t="shared" si="2"/>
        <v>154</v>
      </c>
      <c r="E158" s="6">
        <f>(B158-INDEX('Native PMKS'!$C$6:$C$366,C158))/(INDEX('Native PMKS'!$C$6:$C$366,D158)-INDEX('Native PMKS'!$C$6:$C$366,C158))</f>
        <v>0.42339832869081351</v>
      </c>
      <c r="F158" s="6">
        <f>INDEX('Native PMKS'!$D$6:$D$366,C158)+(INDEX('Native PMKS'!$D$6:$D$366,D158)-INDEX('Native PMKS'!$D$6:$D$366,C158))*E158</f>
        <v>-14.220195821727016</v>
      </c>
    </row>
    <row r="159" spans="1:6" ht="18.95" customHeight="1">
      <c r="A159" s="1">
        <v>153</v>
      </c>
      <c r="B159" s="6">
        <f>TimeStep!G159</f>
        <v>1278.5515320334262</v>
      </c>
      <c r="C159" s="6">
        <f>MIN(MATCH(B159,'Native PMKS'!$C$6:$C$366,1),360)</f>
        <v>154</v>
      </c>
      <c r="D159" s="6">
        <f t="shared" si="2"/>
        <v>155</v>
      </c>
      <c r="E159" s="6">
        <f>(B159-INDEX('Native PMKS'!$C$6:$C$366,C159))/(INDEX('Native PMKS'!$C$6:$C$366,D159)-INDEX('Native PMKS'!$C$6:$C$366,C159))</f>
        <v>0.42618384401113096</v>
      </c>
      <c r="F159" s="6">
        <f>INDEX('Native PMKS'!$D$6:$D$366,C159)+(INDEX('Native PMKS'!$D$6:$D$366,D159)-INDEX('Native PMKS'!$D$6:$D$366,C159))*E159</f>
        <v>-13.727537325905297</v>
      </c>
    </row>
    <row r="160" spans="1:6" ht="18.95" customHeight="1">
      <c r="A160" s="1">
        <v>154</v>
      </c>
      <c r="B160" s="6">
        <f>TimeStep!G160</f>
        <v>1286.908077994429</v>
      </c>
      <c r="C160" s="6">
        <f>MIN(MATCH(B160,'Native PMKS'!$C$6:$C$366,1),360)</f>
        <v>155</v>
      </c>
      <c r="D160" s="6">
        <f t="shared" si="2"/>
        <v>156</v>
      </c>
      <c r="E160" s="6">
        <f>(B160-INDEX('Native PMKS'!$C$6:$C$366,C160))/(INDEX('Native PMKS'!$C$6:$C$366,D160)-INDEX('Native PMKS'!$C$6:$C$366,C160))</f>
        <v>0.42896935933147168</v>
      </c>
      <c r="F160" s="6">
        <f>INDEX('Native PMKS'!$D$6:$D$366,C160)+(INDEX('Native PMKS'!$D$6:$D$366,D160)-INDEX('Native PMKS'!$D$6:$D$366,C160))*E160</f>
        <v>-13.267860445682453</v>
      </c>
    </row>
    <row r="161" spans="1:6" ht="18.95" customHeight="1">
      <c r="A161" s="1">
        <v>155</v>
      </c>
      <c r="B161" s="6">
        <f>TimeStep!G161</f>
        <v>1295.2646239554317</v>
      </c>
      <c r="C161" s="6">
        <f>MIN(MATCH(B161,'Native PMKS'!$C$6:$C$366,1),360)</f>
        <v>156</v>
      </c>
      <c r="D161" s="6">
        <f t="shared" si="2"/>
        <v>157</v>
      </c>
      <c r="E161" s="6">
        <f>(B161-INDEX('Native PMKS'!$C$6:$C$366,C161))/(INDEX('Native PMKS'!$C$6:$C$366,D161)-INDEX('Native PMKS'!$C$6:$C$366,C161))</f>
        <v>0.43175487465180079</v>
      </c>
      <c r="F161" s="6">
        <f>INDEX('Native PMKS'!$D$6:$D$366,C161)+(INDEX('Native PMKS'!$D$6:$D$366,D161)-INDEX('Native PMKS'!$D$6:$D$366,C161))*E161</f>
        <v>-12.783487186629532</v>
      </c>
    </row>
    <row r="162" spans="1:6" ht="18.95" customHeight="1">
      <c r="A162" s="1">
        <v>156</v>
      </c>
      <c r="B162" s="6">
        <f>TimeStep!G162</f>
        <v>1303.6211699164346</v>
      </c>
      <c r="C162" s="6">
        <f>MIN(MATCH(B162,'Native PMKS'!$C$6:$C$366,1),360)</f>
        <v>157</v>
      </c>
      <c r="D162" s="6">
        <f t="shared" si="2"/>
        <v>158</v>
      </c>
      <c r="E162" s="6">
        <f>(B162-INDEX('Native PMKS'!$C$6:$C$366,C162))/(INDEX('Native PMKS'!$C$6:$C$366,D162)-INDEX('Native PMKS'!$C$6:$C$366,C162))</f>
        <v>0.43454038997214528</v>
      </c>
      <c r="F162" s="6">
        <f>INDEX('Native PMKS'!$D$6:$D$366,C162)+(INDEX('Native PMKS'!$D$6:$D$366,D162)-INDEX('Native PMKS'!$D$6:$D$366,C162))*E162</f>
        <v>-12.291306685236769</v>
      </c>
    </row>
    <row r="163" spans="1:6" ht="18.95" customHeight="1">
      <c r="A163" s="1">
        <v>157</v>
      </c>
      <c r="B163" s="6">
        <f>TimeStep!G163</f>
        <v>1311.9777158774373</v>
      </c>
      <c r="C163" s="6">
        <f>MIN(MATCH(B163,'Native PMKS'!$C$6:$C$366,1),360)</f>
        <v>158</v>
      </c>
      <c r="D163" s="6">
        <f t="shared" si="2"/>
        <v>159</v>
      </c>
      <c r="E163" s="6">
        <f>(B163-INDEX('Native PMKS'!$C$6:$C$366,C163))/(INDEX('Native PMKS'!$C$6:$C$366,D163)-INDEX('Native PMKS'!$C$6:$C$366,C163))</f>
        <v>0.43732590529245896</v>
      </c>
      <c r="F163" s="6">
        <f>INDEX('Native PMKS'!$D$6:$D$366,C163)+(INDEX('Native PMKS'!$D$6:$D$366,D163)-INDEX('Native PMKS'!$D$6:$D$366,C163))*E163</f>
        <v>-11.806614763231208</v>
      </c>
    </row>
    <row r="164" spans="1:6" ht="18.95" customHeight="1">
      <c r="A164" s="1">
        <v>158</v>
      </c>
      <c r="B164" s="6">
        <f>TimeStep!G164</f>
        <v>1320.3342618384402</v>
      </c>
      <c r="C164" s="6">
        <f>MIN(MATCH(B164,'Native PMKS'!$C$6:$C$366,1),360)</f>
        <v>159</v>
      </c>
      <c r="D164" s="6">
        <f t="shared" si="2"/>
        <v>160</v>
      </c>
      <c r="E164" s="6">
        <f>(B164-INDEX('Native PMKS'!$C$6:$C$366,C164))/(INDEX('Native PMKS'!$C$6:$C$366,D164)-INDEX('Native PMKS'!$C$6:$C$366,C164))</f>
        <v>0.44011142061281533</v>
      </c>
      <c r="F164" s="6">
        <f>INDEX('Native PMKS'!$D$6:$D$366,C164)+(INDEX('Native PMKS'!$D$6:$D$366,D164)-INDEX('Native PMKS'!$D$6:$D$366,C164))*E164</f>
        <v>-11.314752924791085</v>
      </c>
    </row>
    <row r="165" spans="1:6" ht="18.95" customHeight="1">
      <c r="A165" s="1">
        <v>159</v>
      </c>
      <c r="B165" s="6">
        <f>TimeStep!G165</f>
        <v>1328.6908077994428</v>
      </c>
      <c r="C165" s="6">
        <f>MIN(MATCH(B165,'Native PMKS'!$C$6:$C$366,1),360)</f>
        <v>160</v>
      </c>
      <c r="D165" s="6">
        <f t="shared" si="2"/>
        <v>161</v>
      </c>
      <c r="E165" s="6">
        <f>(B165-INDEX('Native PMKS'!$C$6:$C$366,C165))/(INDEX('Native PMKS'!$C$6:$C$366,D165)-INDEX('Native PMKS'!$C$6:$C$366,C165))</f>
        <v>0.44289693593313234</v>
      </c>
      <c r="F165" s="6">
        <f>INDEX('Native PMKS'!$D$6:$D$366,C165)+(INDEX('Native PMKS'!$D$6:$D$366,D165)-INDEX('Native PMKS'!$D$6:$D$366,C165))*E165</f>
        <v>-10.829698050139283</v>
      </c>
    </row>
    <row r="166" spans="1:6" ht="18.95" customHeight="1">
      <c r="A166" s="1">
        <v>160</v>
      </c>
      <c r="B166" s="6">
        <f>TimeStep!G166</f>
        <v>1337.0473537604457</v>
      </c>
      <c r="C166" s="6">
        <f>MIN(MATCH(B166,'Native PMKS'!$C$6:$C$366,1),360)</f>
        <v>161</v>
      </c>
      <c r="D166" s="6">
        <f t="shared" si="2"/>
        <v>162</v>
      </c>
      <c r="E166" s="6">
        <f>(B166-INDEX('Native PMKS'!$C$6:$C$366,C166))/(INDEX('Native PMKS'!$C$6:$C$366,D166)-INDEX('Native PMKS'!$C$6:$C$366,C166))</f>
        <v>0.44568245125347355</v>
      </c>
      <c r="F166" s="6">
        <f>INDEX('Native PMKS'!$D$6:$D$366,C166)+(INDEX('Native PMKS'!$D$6:$D$366,D166)-INDEX('Native PMKS'!$D$6:$D$366,C166))*E166</f>
        <v>-10.312606128133709</v>
      </c>
    </row>
    <row r="167" spans="1:6" ht="18.95" customHeight="1">
      <c r="A167" s="1">
        <v>161</v>
      </c>
      <c r="B167" s="6">
        <f>TimeStep!G167</f>
        <v>1345.4038997214484</v>
      </c>
      <c r="C167" s="6">
        <f>MIN(MATCH(B167,'Native PMKS'!$C$6:$C$366,1),360)</f>
        <v>162</v>
      </c>
      <c r="D167" s="6">
        <f t="shared" si="2"/>
        <v>163</v>
      </c>
      <c r="E167" s="6">
        <f>(B167-INDEX('Native PMKS'!$C$6:$C$366,C167))/(INDEX('Native PMKS'!$C$6:$C$366,D167)-INDEX('Native PMKS'!$C$6:$C$366,C167))</f>
        <v>0.44846796657380261</v>
      </c>
      <c r="F167" s="6">
        <f>INDEX('Native PMKS'!$D$6:$D$366,C167)+(INDEX('Native PMKS'!$D$6:$D$366,D167)-INDEX('Native PMKS'!$D$6:$D$366,C167))*E167</f>
        <v>-9.7955250696378897</v>
      </c>
    </row>
    <row r="168" spans="1:6" ht="18.95" customHeight="1">
      <c r="A168" s="1">
        <v>162</v>
      </c>
      <c r="B168" s="6">
        <f>TimeStep!G168</f>
        <v>1353.7604456824513</v>
      </c>
      <c r="C168" s="6">
        <f>MIN(MATCH(B168,'Native PMKS'!$C$6:$C$366,1),360)</f>
        <v>163</v>
      </c>
      <c r="D168" s="6">
        <f t="shared" si="2"/>
        <v>164</v>
      </c>
      <c r="E168" s="6">
        <f>(B168-INDEX('Native PMKS'!$C$6:$C$366,C168))/(INDEX('Native PMKS'!$C$6:$C$366,D168)-INDEX('Native PMKS'!$C$6:$C$366,C168))</f>
        <v>0.45125348189414671</v>
      </c>
      <c r="F168" s="6">
        <f>INDEX('Native PMKS'!$D$6:$D$366,C168)+(INDEX('Native PMKS'!$D$6:$D$366,D168)-INDEX('Native PMKS'!$D$6:$D$366,C168))*E168</f>
        <v>-9.2783885793871885</v>
      </c>
    </row>
    <row r="169" spans="1:6" ht="18.95" customHeight="1">
      <c r="A169" s="1">
        <v>163</v>
      </c>
      <c r="B169" s="6">
        <f>TimeStep!G169</f>
        <v>1362.116991643454</v>
      </c>
      <c r="C169" s="6">
        <f>MIN(MATCH(B169,'Native PMKS'!$C$6:$C$366,1),360)</f>
        <v>164</v>
      </c>
      <c r="D169" s="6">
        <f t="shared" si="2"/>
        <v>165</v>
      </c>
      <c r="E169" s="6">
        <f>(B169-INDEX('Native PMKS'!$C$6:$C$366,C169))/(INDEX('Native PMKS'!$C$6:$C$366,D169)-INDEX('Native PMKS'!$C$6:$C$366,C169))</f>
        <v>0.45403899721446084</v>
      </c>
      <c r="F169" s="6">
        <f>INDEX('Native PMKS'!$D$6:$D$366,C169)+(INDEX('Native PMKS'!$D$6:$D$366,D169)-INDEX('Native PMKS'!$D$6:$D$366,C169))*E169</f>
        <v>-8.7612974930362242</v>
      </c>
    </row>
    <row r="170" spans="1:6" ht="18.95" customHeight="1">
      <c r="A170" s="1">
        <v>164</v>
      </c>
      <c r="B170" s="6">
        <f>TimeStep!G170</f>
        <v>1370.4735376044569</v>
      </c>
      <c r="C170" s="6">
        <f>MIN(MATCH(B170,'Native PMKS'!$C$6:$C$366,1),360)</f>
        <v>165</v>
      </c>
      <c r="D170" s="6">
        <f t="shared" si="2"/>
        <v>166</v>
      </c>
      <c r="E170" s="6">
        <f>(B170-INDEX('Native PMKS'!$C$6:$C$366,C170))/(INDEX('Native PMKS'!$C$6:$C$366,D170)-INDEX('Native PMKS'!$C$6:$C$366,C170))</f>
        <v>0.45682451253481721</v>
      </c>
      <c r="F170" s="6">
        <f>INDEX('Native PMKS'!$D$6:$D$366,C170)+(INDEX('Native PMKS'!$D$6:$D$366,D170)-INDEX('Native PMKS'!$D$6:$D$366,C170))*E170</f>
        <v>-8.2442155988857948</v>
      </c>
    </row>
    <row r="171" spans="1:6" ht="18.95" customHeight="1">
      <c r="A171" s="1">
        <v>165</v>
      </c>
      <c r="B171" s="6">
        <f>TimeStep!G171</f>
        <v>1378.8300835654595</v>
      </c>
      <c r="C171" s="6">
        <f>MIN(MATCH(B171,'Native PMKS'!$C$6:$C$366,1),360)</f>
        <v>166</v>
      </c>
      <c r="D171" s="6">
        <f t="shared" si="2"/>
        <v>167</v>
      </c>
      <c r="E171" s="6">
        <f>(B171-INDEX('Native PMKS'!$C$6:$C$366,C171))/(INDEX('Native PMKS'!$C$6:$C$366,D171)-INDEX('Native PMKS'!$C$6:$C$366,C171))</f>
        <v>0.45961002785513377</v>
      </c>
      <c r="F171" s="6">
        <f>INDEX('Native PMKS'!$D$6:$D$366,C171)+(INDEX('Native PMKS'!$D$6:$D$366,D171)-INDEX('Native PMKS'!$D$6:$D$366,C171))*E171</f>
        <v>-7.7271250696378928</v>
      </c>
    </row>
    <row r="172" spans="1:6" ht="18.95" customHeight="1">
      <c r="A172" s="1">
        <v>166</v>
      </c>
      <c r="B172" s="6">
        <f>TimeStep!G172</f>
        <v>1387.1866295264624</v>
      </c>
      <c r="C172" s="6">
        <f>MIN(MATCH(B172,'Native PMKS'!$C$6:$C$366,1),360)</f>
        <v>167</v>
      </c>
      <c r="D172" s="6">
        <f t="shared" si="2"/>
        <v>168</v>
      </c>
      <c r="E172" s="6">
        <f>(B172-INDEX('Native PMKS'!$C$6:$C$366,C172))/(INDEX('Native PMKS'!$C$6:$C$366,D172)-INDEX('Native PMKS'!$C$6:$C$366,C172))</f>
        <v>0.46239554317547538</v>
      </c>
      <c r="F172" s="6">
        <f>INDEX('Native PMKS'!$D$6:$D$366,C172)+(INDEX('Native PMKS'!$D$6:$D$366,D172)-INDEX('Native PMKS'!$D$6:$D$366,C172))*E172</f>
        <v>-7.2100426183844073</v>
      </c>
    </row>
    <row r="173" spans="1:6" ht="18.95" customHeight="1">
      <c r="A173" s="1">
        <v>167</v>
      </c>
      <c r="B173" s="6">
        <f>TimeStep!G173</f>
        <v>1395.5431754874651</v>
      </c>
      <c r="C173" s="6">
        <f>MIN(MATCH(B173,'Native PMKS'!$C$6:$C$366,1),360)</f>
        <v>168</v>
      </c>
      <c r="D173" s="6">
        <f t="shared" si="2"/>
        <v>169</v>
      </c>
      <c r="E173" s="6">
        <f>(B173-INDEX('Native PMKS'!$C$6:$C$366,C173))/(INDEX('Native PMKS'!$C$6:$C$366,D173)-INDEX('Native PMKS'!$C$6:$C$366,C173))</f>
        <v>0.46518105849580449</v>
      </c>
      <c r="F173" s="6">
        <f>INDEX('Native PMKS'!$D$6:$D$366,C173)+(INDEX('Native PMKS'!$D$6:$D$366,D173)-INDEX('Native PMKS'!$D$6:$D$366,C173))*E173</f>
        <v>-6.6929061281337132</v>
      </c>
    </row>
    <row r="174" spans="1:6" ht="18.95" customHeight="1">
      <c r="A174" s="1">
        <v>168</v>
      </c>
      <c r="B174" s="6">
        <f>TimeStep!G174</f>
        <v>1403.899721448468</v>
      </c>
      <c r="C174" s="6">
        <f>MIN(MATCH(B174,'Native PMKS'!$C$6:$C$366,1),360)</f>
        <v>169</v>
      </c>
      <c r="D174" s="6">
        <f t="shared" si="2"/>
        <v>170</v>
      </c>
      <c r="E174" s="6">
        <f>(B174-INDEX('Native PMKS'!$C$6:$C$366,C174))/(INDEX('Native PMKS'!$C$6:$C$366,D174)-INDEX('Native PMKS'!$C$6:$C$366,C174))</f>
        <v>0.46796657381614809</v>
      </c>
      <c r="F174" s="6">
        <f>INDEX('Native PMKS'!$D$6:$D$366,C174)+(INDEX('Native PMKS'!$D$6:$D$366,D174)-INDEX('Native PMKS'!$D$6:$D$366,C174))*E174</f>
        <v>-6.1758164345403941</v>
      </c>
    </row>
    <row r="175" spans="1:6" ht="18.95" customHeight="1">
      <c r="A175" s="1">
        <v>169</v>
      </c>
      <c r="B175" s="6">
        <f>TimeStep!G175</f>
        <v>1412.2562674094706</v>
      </c>
      <c r="C175" s="6">
        <f>MIN(MATCH(B175,'Native PMKS'!$C$6:$C$366,1),360)</f>
        <v>170</v>
      </c>
      <c r="D175" s="6">
        <f t="shared" si="2"/>
        <v>171</v>
      </c>
      <c r="E175" s="6">
        <f>(B175-INDEX('Native PMKS'!$C$6:$C$366,C175))/(INDEX('Native PMKS'!$C$6:$C$366,D175)-INDEX('Native PMKS'!$C$6:$C$366,C175))</f>
        <v>0.47075208913646266</v>
      </c>
      <c r="F175" s="6">
        <f>INDEX('Native PMKS'!$D$6:$D$366,C175)+(INDEX('Native PMKS'!$D$6:$D$366,D175)-INDEX('Native PMKS'!$D$6:$D$366,C175))*E175</f>
        <v>-5.6317590529248074</v>
      </c>
    </row>
    <row r="176" spans="1:6" ht="18.95" customHeight="1">
      <c r="A176" s="1">
        <v>170</v>
      </c>
      <c r="B176" s="6">
        <f>TimeStep!G176</f>
        <v>1420.6128133704735</v>
      </c>
      <c r="C176" s="6">
        <f>MIN(MATCH(B176,'Native PMKS'!$C$6:$C$366,1),360)</f>
        <v>171</v>
      </c>
      <c r="D176" s="6">
        <f t="shared" si="2"/>
        <v>172</v>
      </c>
      <c r="E176" s="6">
        <f>(B176-INDEX('Native PMKS'!$C$6:$C$366,C176))/(INDEX('Native PMKS'!$C$6:$C$366,D176)-INDEX('Native PMKS'!$C$6:$C$366,C176))</f>
        <v>0.47353760445681903</v>
      </c>
      <c r="F176" s="6">
        <f>INDEX('Native PMKS'!$D$6:$D$366,C176)+(INDEX('Native PMKS'!$D$6:$D$366,D176)-INDEX('Native PMKS'!$D$6:$D$366,C176))*E176</f>
        <v>-5.0842966573816186</v>
      </c>
    </row>
    <row r="177" spans="1:6" ht="18.95" customHeight="1">
      <c r="A177" s="1">
        <v>171</v>
      </c>
      <c r="B177" s="6">
        <f>TimeStep!G177</f>
        <v>1428.9693593314764</v>
      </c>
      <c r="C177" s="6">
        <f>MIN(MATCH(B177,'Native PMKS'!$C$6:$C$366,1),360)</f>
        <v>172</v>
      </c>
      <c r="D177" s="6">
        <f t="shared" si="2"/>
        <v>173</v>
      </c>
      <c r="E177" s="6">
        <f>(B177-INDEX('Native PMKS'!$C$6:$C$366,C177))/(INDEX('Native PMKS'!$C$6:$C$366,D177)-INDEX('Native PMKS'!$C$6:$C$366,C177))</f>
        <v>0.47632311977716241</v>
      </c>
      <c r="F177" s="6">
        <f>INDEX('Native PMKS'!$D$6:$D$366,C177)+(INDEX('Native PMKS'!$D$6:$D$366,D177)-INDEX('Native PMKS'!$D$6:$D$366,C177))*E177</f>
        <v>-4.5672077994428957</v>
      </c>
    </row>
    <row r="178" spans="1:6" ht="18.95" customHeight="1">
      <c r="A178" s="1">
        <v>172</v>
      </c>
      <c r="B178" s="6">
        <f>TimeStep!G178</f>
        <v>1437.3259052924791</v>
      </c>
      <c r="C178" s="6">
        <f>MIN(MATCH(B178,'Native PMKS'!$C$6:$C$366,1),360)</f>
        <v>173</v>
      </c>
      <c r="D178" s="6">
        <f t="shared" si="2"/>
        <v>174</v>
      </c>
      <c r="E178" s="6">
        <f>(B178-INDEX('Native PMKS'!$C$6:$C$366,C178))/(INDEX('Native PMKS'!$C$6:$C$366,D178)-INDEX('Native PMKS'!$C$6:$C$366,C178))</f>
        <v>0.47910863509747725</v>
      </c>
      <c r="F178" s="6">
        <f>INDEX('Native PMKS'!$D$6:$D$366,C178)+(INDEX('Native PMKS'!$D$6:$D$366,D178)-INDEX('Native PMKS'!$D$6:$D$366,C178))*E178</f>
        <v>-4.0226707520891454</v>
      </c>
    </row>
    <row r="179" spans="1:6" ht="18.95" customHeight="1">
      <c r="A179" s="1">
        <v>173</v>
      </c>
      <c r="B179" s="6">
        <f>TimeStep!G179</f>
        <v>1445.682451253482</v>
      </c>
      <c r="C179" s="6">
        <f>MIN(MATCH(B179,'Native PMKS'!$C$6:$C$366,1),360)</f>
        <v>174</v>
      </c>
      <c r="D179" s="6">
        <f t="shared" si="2"/>
        <v>175</v>
      </c>
      <c r="E179" s="6">
        <f>(B179-INDEX('Native PMKS'!$C$6:$C$366,C179))/(INDEX('Native PMKS'!$C$6:$C$366,D179)-INDEX('Native PMKS'!$C$6:$C$366,C179))</f>
        <v>0.48189415041783362</v>
      </c>
      <c r="F179" s="6">
        <f>INDEX('Native PMKS'!$D$6:$D$366,C179)+(INDEX('Native PMKS'!$D$6:$D$366,D179)-INDEX('Native PMKS'!$D$6:$D$366,C179))*E179</f>
        <v>-3.4757353760445651</v>
      </c>
    </row>
    <row r="180" spans="1:6" ht="18.95" customHeight="1">
      <c r="A180" s="1">
        <v>174</v>
      </c>
      <c r="B180" s="6">
        <f>TimeStep!G180</f>
        <v>1454.0389972144847</v>
      </c>
      <c r="C180" s="6">
        <f>MIN(MATCH(B180,'Native PMKS'!$C$6:$C$366,1),360)</f>
        <v>175</v>
      </c>
      <c r="D180" s="6">
        <f t="shared" si="2"/>
        <v>176</v>
      </c>
      <c r="E180" s="6">
        <f>(B180-INDEX('Native PMKS'!$C$6:$C$366,C180))/(INDEX('Native PMKS'!$C$6:$C$366,D180)-INDEX('Native PMKS'!$C$6:$C$366,C180))</f>
        <v>0.48467966573814947</v>
      </c>
      <c r="F180" s="6">
        <f>INDEX('Native PMKS'!$D$6:$D$366,C180)+(INDEX('Native PMKS'!$D$6:$D$366,D180)-INDEX('Native PMKS'!$D$6:$D$366,C180))*E180</f>
        <v>-2.9586506963788364</v>
      </c>
    </row>
    <row r="181" spans="1:6" ht="18.95" customHeight="1">
      <c r="A181" s="1">
        <v>175</v>
      </c>
      <c r="B181" s="6">
        <f>TimeStep!G181</f>
        <v>1462.3955431754875</v>
      </c>
      <c r="C181" s="6">
        <f>MIN(MATCH(B181,'Native PMKS'!$C$6:$C$366,1),360)</f>
        <v>176</v>
      </c>
      <c r="D181" s="6">
        <f t="shared" si="2"/>
        <v>177</v>
      </c>
      <c r="E181" s="6">
        <f>(B181-INDEX('Native PMKS'!$C$6:$C$366,C181))/(INDEX('Native PMKS'!$C$6:$C$366,D181)-INDEX('Native PMKS'!$C$6:$C$366,C181))</f>
        <v>0.48746518105849179</v>
      </c>
      <c r="F181" s="6">
        <f>INDEX('Native PMKS'!$D$6:$D$366,C181)+(INDEX('Native PMKS'!$D$6:$D$366,D181)-INDEX('Native PMKS'!$D$6:$D$366,C181))*E181</f>
        <v>-2.4135824512534843</v>
      </c>
    </row>
    <row r="182" spans="1:6" ht="18.95" customHeight="1">
      <c r="A182" s="1">
        <v>176</v>
      </c>
      <c r="B182" s="6">
        <f>TimeStep!G182</f>
        <v>1470.7520891364902</v>
      </c>
      <c r="C182" s="6">
        <f>MIN(MATCH(B182,'Native PMKS'!$C$6:$C$366,1),360)</f>
        <v>177</v>
      </c>
      <c r="D182" s="6">
        <f t="shared" si="2"/>
        <v>178</v>
      </c>
      <c r="E182" s="6">
        <f>(B182-INDEX('Native PMKS'!$C$6:$C$366,C182))/(INDEX('Native PMKS'!$C$6:$C$366,D182)-INDEX('Native PMKS'!$C$6:$C$366,C182))</f>
        <v>0.4902506963788209</v>
      </c>
      <c r="F182" s="6">
        <f>INDEX('Native PMKS'!$D$6:$D$366,C182)+(INDEX('Native PMKS'!$D$6:$D$366,D182)-INDEX('Native PMKS'!$D$6:$D$366,C182))*E182</f>
        <v>-1.86712674094708</v>
      </c>
    </row>
    <row r="183" spans="1:6" ht="18.95" customHeight="1">
      <c r="A183" s="1">
        <v>177</v>
      </c>
      <c r="B183" s="6">
        <f>TimeStep!G183</f>
        <v>1479.1086350974931</v>
      </c>
      <c r="C183" s="6">
        <f>MIN(MATCH(B183,'Native PMKS'!$C$6:$C$366,1),360)</f>
        <v>178</v>
      </c>
      <c r="D183" s="6">
        <f t="shared" si="2"/>
        <v>179</v>
      </c>
      <c r="E183" s="6">
        <f>(B183-INDEX('Native PMKS'!$C$6:$C$366,C183))/(INDEX('Native PMKS'!$C$6:$C$366,D183)-INDEX('Native PMKS'!$C$6:$C$366,C183))</f>
        <v>0.49303621169916384</v>
      </c>
      <c r="F183" s="6">
        <f>INDEX('Native PMKS'!$D$6:$D$366,C183)+(INDEX('Native PMKS'!$D$6:$D$366,D183)-INDEX('Native PMKS'!$D$6:$D$366,C183))*E183</f>
        <v>-1.3217902506963792</v>
      </c>
    </row>
    <row r="184" spans="1:6" ht="18.95" customHeight="1">
      <c r="A184" s="1">
        <v>178</v>
      </c>
      <c r="B184" s="6">
        <f>TimeStep!G184</f>
        <v>1487.4651810584958</v>
      </c>
      <c r="C184" s="6">
        <f>MIN(MATCH(B184,'Native PMKS'!$C$6:$C$366,1),360)</f>
        <v>179</v>
      </c>
      <c r="D184" s="6">
        <f t="shared" si="2"/>
        <v>180</v>
      </c>
      <c r="E184" s="6">
        <f>(B184-INDEX('Native PMKS'!$C$6:$C$366,C184))/(INDEX('Native PMKS'!$C$6:$C$366,D184)-INDEX('Native PMKS'!$C$6:$C$366,C184))</f>
        <v>0.49582172701947907</v>
      </c>
      <c r="F184" s="6">
        <f>INDEX('Native PMKS'!$D$6:$D$366,C184)+(INDEX('Native PMKS'!$D$6:$D$366,D184)-INDEX('Native PMKS'!$D$6:$D$366,C184))*E184</f>
        <v>-0.77565431754875669</v>
      </c>
    </row>
    <row r="185" spans="1:6" ht="18.95" customHeight="1">
      <c r="A185" s="1">
        <v>179</v>
      </c>
      <c r="B185" s="6">
        <f>TimeStep!G185</f>
        <v>1495.8217270194987</v>
      </c>
      <c r="C185" s="6">
        <f>MIN(MATCH(B185,'Native PMKS'!$C$6:$C$366,1),360)</f>
        <v>180</v>
      </c>
      <c r="D185" s="6">
        <f t="shared" si="2"/>
        <v>181</v>
      </c>
      <c r="E185" s="6">
        <f>(B185-INDEX('Native PMKS'!$C$6:$C$366,C185))/(INDEX('Native PMKS'!$C$6:$C$366,D185)-INDEX('Native PMKS'!$C$6:$C$366,C185))</f>
        <v>0.49860724233983544</v>
      </c>
      <c r="F185" s="6">
        <f>INDEX('Native PMKS'!$D$6:$D$366,C185)+(INDEX('Native PMKS'!$D$6:$D$366,D185)-INDEX('Native PMKS'!$D$6:$D$366,C185))*E185</f>
        <v>-0.25856824512534687</v>
      </c>
    </row>
    <row r="186" spans="1:6" ht="18.95" customHeight="1">
      <c r="A186" s="1">
        <v>180</v>
      </c>
      <c r="B186" s="6">
        <f>TimeStep!G186</f>
        <v>1504.1782729805013</v>
      </c>
      <c r="C186" s="6">
        <f>MIN(MATCH(B186,'Native PMKS'!$C$6:$C$366,1),360)</f>
        <v>181</v>
      </c>
      <c r="D186" s="6">
        <f t="shared" si="2"/>
        <v>182</v>
      </c>
      <c r="E186" s="6">
        <f>(B186-INDEX('Native PMKS'!$C$6:$C$366,C186))/(INDEX('Native PMKS'!$C$6:$C$366,D186)-INDEX('Native PMKS'!$C$6:$C$366,C186))</f>
        <v>0.5013927576601509</v>
      </c>
      <c r="F186" s="6">
        <f>INDEX('Native PMKS'!$D$6:$D$366,C186)+(INDEX('Native PMKS'!$D$6:$D$366,D186)-INDEX('Native PMKS'!$D$6:$D$366,C186))*E186</f>
        <v>0.28729805013926646</v>
      </c>
    </row>
    <row r="187" spans="1:6" ht="18.95" customHeight="1">
      <c r="A187" s="1">
        <v>181</v>
      </c>
      <c r="B187" s="6">
        <f>TimeStep!G187</f>
        <v>1512.5348189415042</v>
      </c>
      <c r="C187" s="6">
        <f>MIN(MATCH(B187,'Native PMKS'!$C$6:$C$366,1),360)</f>
        <v>182</v>
      </c>
      <c r="D187" s="6">
        <f t="shared" si="2"/>
        <v>183</v>
      </c>
      <c r="E187" s="6">
        <f>(B187-INDEX('Native PMKS'!$C$6:$C$366,C187))/(INDEX('Native PMKS'!$C$6:$C$366,D187)-INDEX('Native PMKS'!$C$6:$C$366,C187))</f>
        <v>0.50417827298049367</v>
      </c>
      <c r="F187" s="6">
        <f>INDEX('Native PMKS'!$D$6:$D$366,C187)+(INDEX('Native PMKS'!$D$6:$D$366,D187)-INDEX('Native PMKS'!$D$6:$D$366,C187))*E187</f>
        <v>0.8329543175487425</v>
      </c>
    </row>
    <row r="188" spans="1:6" ht="18.95" customHeight="1">
      <c r="A188" s="1">
        <v>182</v>
      </c>
      <c r="B188" s="6">
        <f>TimeStep!G188</f>
        <v>1520.8913649025069</v>
      </c>
      <c r="C188" s="6">
        <f>MIN(MATCH(B188,'Native PMKS'!$C$6:$C$366,1),360)</f>
        <v>183</v>
      </c>
      <c r="D188" s="6">
        <f t="shared" si="2"/>
        <v>184</v>
      </c>
      <c r="E188" s="6">
        <f>(B188-INDEX('Native PMKS'!$C$6:$C$366,C188))/(INDEX('Native PMKS'!$C$6:$C$366,D188)-INDEX('Native PMKS'!$C$6:$C$366,C188))</f>
        <v>0.50696378830082278</v>
      </c>
      <c r="F188" s="6">
        <f>INDEX('Native PMKS'!$D$6:$D$366,C188)+(INDEX('Native PMKS'!$D$6:$D$366,D188)-INDEX('Native PMKS'!$D$6:$D$366,C188))*E188</f>
        <v>1.3790902506963714</v>
      </c>
    </row>
    <row r="189" spans="1:6" ht="18.95" customHeight="1">
      <c r="A189" s="1">
        <v>183</v>
      </c>
      <c r="B189" s="6">
        <f>TimeStep!G189</f>
        <v>1529.2479108635098</v>
      </c>
      <c r="C189" s="6">
        <f>MIN(MATCH(B189,'Native PMKS'!$C$6:$C$366,1),360)</f>
        <v>184</v>
      </c>
      <c r="D189" s="6">
        <f t="shared" si="2"/>
        <v>185</v>
      </c>
      <c r="E189" s="6">
        <f>(B189-INDEX('Native PMKS'!$C$6:$C$366,C189))/(INDEX('Native PMKS'!$C$6:$C$366,D189)-INDEX('Native PMKS'!$C$6:$C$366,C189))</f>
        <v>0.50974930362116522</v>
      </c>
      <c r="F189" s="6">
        <f>INDEX('Native PMKS'!$D$6:$D$366,C189)+(INDEX('Native PMKS'!$D$6:$D$366,D189)-INDEX('Native PMKS'!$D$6:$D$366,C189))*E189</f>
        <v>1.9244267409470728</v>
      </c>
    </row>
    <row r="190" spans="1:6" ht="18.95" customHeight="1">
      <c r="A190" s="1">
        <v>184</v>
      </c>
      <c r="B190" s="6">
        <f>TimeStep!G190</f>
        <v>1537.6044568245125</v>
      </c>
      <c r="C190" s="6">
        <f>MIN(MATCH(B190,'Native PMKS'!$C$6:$C$366,1),360)</f>
        <v>185</v>
      </c>
      <c r="D190" s="6">
        <f t="shared" si="2"/>
        <v>186</v>
      </c>
      <c r="E190" s="6">
        <f>(B190-INDEX('Native PMKS'!$C$6:$C$366,C190))/(INDEX('Native PMKS'!$C$6:$C$366,D190)-INDEX('Native PMKS'!$C$6:$C$366,C190))</f>
        <v>0.5125348189414809</v>
      </c>
      <c r="F190" s="6">
        <f>INDEX('Native PMKS'!$D$6:$D$366,C190)+(INDEX('Native PMKS'!$D$6:$D$366,D190)-INDEX('Native PMKS'!$D$6:$D$366,C190))*E190</f>
        <v>2.4708824512534684</v>
      </c>
    </row>
    <row r="191" spans="1:6" ht="18.95" customHeight="1">
      <c r="A191" s="1">
        <v>185</v>
      </c>
      <c r="B191" s="6">
        <f>TimeStep!G191</f>
        <v>1545.9610027855153</v>
      </c>
      <c r="C191" s="6">
        <f>MIN(MATCH(B191,'Native PMKS'!$C$6:$C$366,1),360)</f>
        <v>186</v>
      </c>
      <c r="D191" s="6">
        <f t="shared" si="2"/>
        <v>187</v>
      </c>
      <c r="E191" s="6">
        <f>(B191-INDEX('Native PMKS'!$C$6:$C$366,C191))/(INDEX('Native PMKS'!$C$6:$C$366,D191)-INDEX('Native PMKS'!$C$6:$C$366,C191))</f>
        <v>0.51532033426183732</v>
      </c>
      <c r="F191" s="6">
        <f>INDEX('Native PMKS'!$D$6:$D$366,C191)+(INDEX('Native PMKS'!$D$6:$D$366,D191)-INDEX('Native PMKS'!$D$6:$D$366,C191))*E191</f>
        <v>3.0159506963788294</v>
      </c>
    </row>
    <row r="192" spans="1:6" ht="18.95" customHeight="1">
      <c r="A192" s="1">
        <v>186</v>
      </c>
      <c r="B192" s="6">
        <f>TimeStep!G192</f>
        <v>1554.317548746518</v>
      </c>
      <c r="C192" s="6">
        <f>MIN(MATCH(B192,'Native PMKS'!$C$6:$C$366,1),360)</f>
        <v>187</v>
      </c>
      <c r="D192" s="6">
        <f t="shared" si="2"/>
        <v>188</v>
      </c>
      <c r="E192" s="6">
        <f>(B192-INDEX('Native PMKS'!$C$6:$C$366,C192))/(INDEX('Native PMKS'!$C$6:$C$366,D192)-INDEX('Native PMKS'!$C$6:$C$366,C192))</f>
        <v>0.51810584958215222</v>
      </c>
      <c r="F192" s="6">
        <f>INDEX('Native PMKS'!$D$6:$D$366,C192)+(INDEX('Native PMKS'!$D$6:$D$366,D192)-INDEX('Native PMKS'!$D$6:$D$366,C192))*E192</f>
        <v>3.5330353760445576</v>
      </c>
    </row>
    <row r="193" spans="1:6" ht="18.95" customHeight="1">
      <c r="A193" s="1">
        <v>187</v>
      </c>
      <c r="B193" s="6">
        <f>TimeStep!G193</f>
        <v>1562.6740947075209</v>
      </c>
      <c r="C193" s="6">
        <f>MIN(MATCH(B193,'Native PMKS'!$C$6:$C$366,1),360)</f>
        <v>188</v>
      </c>
      <c r="D193" s="6">
        <f t="shared" si="2"/>
        <v>189</v>
      </c>
      <c r="E193" s="6">
        <f>(B193-INDEX('Native PMKS'!$C$6:$C$366,C193))/(INDEX('Native PMKS'!$C$6:$C$366,D193)-INDEX('Native PMKS'!$C$6:$C$366,C193))</f>
        <v>0.52089136490249544</v>
      </c>
      <c r="F193" s="6">
        <f>INDEX('Native PMKS'!$D$6:$D$366,C193)+(INDEX('Native PMKS'!$D$6:$D$366,D193)-INDEX('Native PMKS'!$D$6:$D$366,C193))*E193</f>
        <v>4.07997075208913</v>
      </c>
    </row>
    <row r="194" spans="1:6" ht="18.95" customHeight="1">
      <c r="A194" s="1">
        <v>188</v>
      </c>
      <c r="B194" s="6">
        <f>TimeStep!G194</f>
        <v>1571.0306406685236</v>
      </c>
      <c r="C194" s="6">
        <f>MIN(MATCH(B194,'Native PMKS'!$C$6:$C$366,1),360)</f>
        <v>189</v>
      </c>
      <c r="D194" s="6">
        <f t="shared" si="2"/>
        <v>190</v>
      </c>
      <c r="E194" s="6">
        <f>(B194-INDEX('Native PMKS'!$C$6:$C$366,C194))/(INDEX('Native PMKS'!$C$6:$C$366,D194)-INDEX('Native PMKS'!$C$6:$C$366,C194))</f>
        <v>0.52367688022282455</v>
      </c>
      <c r="F194" s="6">
        <f>INDEX('Native PMKS'!$D$6:$D$366,C194)+(INDEX('Native PMKS'!$D$6:$D$366,D194)-INDEX('Native PMKS'!$D$6:$D$366,C194))*E194</f>
        <v>4.6245077994428883</v>
      </c>
    </row>
    <row r="195" spans="1:6" ht="18.95" customHeight="1">
      <c r="A195" s="1">
        <v>189</v>
      </c>
      <c r="B195" s="6">
        <f>TimeStep!G195</f>
        <v>1579.3871866295265</v>
      </c>
      <c r="C195" s="6">
        <f>MIN(MATCH(B195,'Native PMKS'!$C$6:$C$366,1),360)</f>
        <v>190</v>
      </c>
      <c r="D195" s="6">
        <f t="shared" si="2"/>
        <v>191</v>
      </c>
      <c r="E195" s="6">
        <f>(B195-INDEX('Native PMKS'!$C$6:$C$366,C195))/(INDEX('Native PMKS'!$C$6:$C$366,D195)-INDEX('Native PMKS'!$C$6:$C$366,C195))</f>
        <v>0.52646239554316665</v>
      </c>
      <c r="F195" s="6">
        <f>INDEX('Native PMKS'!$D$6:$D$366,C195)+(INDEX('Native PMKS'!$D$6:$D$366,D195)-INDEX('Native PMKS'!$D$6:$D$366,C195))*E195</f>
        <v>5.1415966573816112</v>
      </c>
    </row>
    <row r="196" spans="1:6" ht="18.95" customHeight="1">
      <c r="A196" s="1">
        <v>190</v>
      </c>
      <c r="B196" s="6">
        <f>TimeStep!G196</f>
        <v>1587.7437325905291</v>
      </c>
      <c r="C196" s="6">
        <f>MIN(MATCH(B196,'Native PMKS'!$C$6:$C$366,1),360)</f>
        <v>191</v>
      </c>
      <c r="D196" s="6">
        <f t="shared" si="2"/>
        <v>192</v>
      </c>
      <c r="E196" s="6">
        <f>(B196-INDEX('Native PMKS'!$C$6:$C$366,C196))/(INDEX('Native PMKS'!$C$6:$C$366,D196)-INDEX('Native PMKS'!$C$6:$C$366,C196))</f>
        <v>0.52924791086348277</v>
      </c>
      <c r="F196" s="6">
        <f>INDEX('Native PMKS'!$D$6:$D$366,C196)+(INDEX('Native PMKS'!$D$6:$D$366,D196)-INDEX('Native PMKS'!$D$6:$D$366,C196))*E196</f>
        <v>5.6587331476322982</v>
      </c>
    </row>
    <row r="197" spans="1:6" ht="18.95" customHeight="1">
      <c r="A197" s="1">
        <v>191</v>
      </c>
      <c r="B197" s="6">
        <f>TimeStep!G197</f>
        <v>1596.100278551532</v>
      </c>
      <c r="C197" s="6">
        <f>MIN(MATCH(B197,'Native PMKS'!$C$6:$C$366,1),360)</f>
        <v>192</v>
      </c>
      <c r="D197" s="6">
        <f t="shared" si="2"/>
        <v>193</v>
      </c>
      <c r="E197" s="6">
        <f>(B197-INDEX('Native PMKS'!$C$6:$C$366,C197))/(INDEX('Native PMKS'!$C$6:$C$366,D197)-INDEX('Native PMKS'!$C$6:$C$366,C197))</f>
        <v>0.5320334261838392</v>
      </c>
      <c r="F197" s="6">
        <f>INDEX('Native PMKS'!$D$6:$D$366,C197)+(INDEX('Native PMKS'!$D$6:$D$366,D197)-INDEX('Native PMKS'!$D$6:$D$366,C197))*E197</f>
        <v>6.2063019498607215</v>
      </c>
    </row>
    <row r="198" spans="1:6" ht="18.95" customHeight="1">
      <c r="A198" s="1">
        <v>192</v>
      </c>
      <c r="B198" s="6">
        <f>TimeStep!G198</f>
        <v>1604.4568245125347</v>
      </c>
      <c r="C198" s="6">
        <f>MIN(MATCH(B198,'Native PMKS'!$C$6:$C$366,1),360)</f>
        <v>193</v>
      </c>
      <c r="D198" s="6">
        <f t="shared" ref="D198:D261" si="3">C198+1</f>
        <v>194</v>
      </c>
      <c r="E198" s="6">
        <f>(B198-INDEX('Native PMKS'!$C$6:$C$366,C198))/(INDEX('Native PMKS'!$C$6:$C$366,D198)-INDEX('Native PMKS'!$C$6:$C$366,C198))</f>
        <v>0.53481894150415366</v>
      </c>
      <c r="F198" s="6">
        <f>INDEX('Native PMKS'!$D$6:$D$366,C198)+(INDEX('Native PMKS'!$D$6:$D$366,D198)-INDEX('Native PMKS'!$D$6:$D$366,C198))*E198</f>
        <v>6.7502061281336925</v>
      </c>
    </row>
    <row r="199" spans="1:6" ht="18.95" customHeight="1">
      <c r="A199" s="1">
        <v>193</v>
      </c>
      <c r="B199" s="6">
        <f>TimeStep!G199</f>
        <v>1612.8133704735376</v>
      </c>
      <c r="C199" s="6">
        <f>MIN(MATCH(B199,'Native PMKS'!$C$6:$C$366,1),360)</f>
        <v>194</v>
      </c>
      <c r="D199" s="6">
        <f t="shared" si="3"/>
        <v>195</v>
      </c>
      <c r="E199" s="6">
        <f>(B199-INDEX('Native PMKS'!$C$6:$C$366,C199))/(INDEX('Native PMKS'!$C$6:$C$366,D199)-INDEX('Native PMKS'!$C$6:$C$366,C199))</f>
        <v>0.53760445682449731</v>
      </c>
      <c r="F199" s="6">
        <f>INDEX('Native PMKS'!$D$6:$D$366,C199)+(INDEX('Native PMKS'!$D$6:$D$366,D199)-INDEX('Native PMKS'!$D$6:$D$366,C199))*E199</f>
        <v>7.2672888579387109</v>
      </c>
    </row>
    <row r="200" spans="1:6" ht="18.95" customHeight="1">
      <c r="A200" s="1">
        <v>194</v>
      </c>
      <c r="B200" s="6">
        <f>TimeStep!G200</f>
        <v>1621.1699164345405</v>
      </c>
      <c r="C200" s="6">
        <f>MIN(MATCH(B200,'Native PMKS'!$C$6:$C$366,1),360)</f>
        <v>195</v>
      </c>
      <c r="D200" s="6">
        <f t="shared" si="3"/>
        <v>196</v>
      </c>
      <c r="E200" s="6">
        <f>(B200-INDEX('Native PMKS'!$C$6:$C$366,C200))/(INDEX('Native PMKS'!$C$6:$C$366,D200)-INDEX('Native PMKS'!$C$6:$C$366,C200))</f>
        <v>0.54038997214483897</v>
      </c>
      <c r="F200" s="6">
        <f>INDEX('Native PMKS'!$D$6:$D$366,C200)+(INDEX('Native PMKS'!$D$6:$D$366,D200)-INDEX('Native PMKS'!$D$6:$D$366,C200))*E200</f>
        <v>7.7843791086350933</v>
      </c>
    </row>
    <row r="201" spans="1:6" ht="18.95" customHeight="1">
      <c r="A201" s="1">
        <v>195</v>
      </c>
      <c r="B201" s="6">
        <f>TimeStep!G201</f>
        <v>1629.5264623955431</v>
      </c>
      <c r="C201" s="6">
        <f>MIN(MATCH(B201,'Native PMKS'!$C$6:$C$366,1),360)</f>
        <v>196</v>
      </c>
      <c r="D201" s="6">
        <f t="shared" si="3"/>
        <v>197</v>
      </c>
      <c r="E201" s="6">
        <f>(B201-INDEX('Native PMKS'!$C$6:$C$366,C201))/(INDEX('Native PMKS'!$C$6:$C$366,D201)-INDEX('Native PMKS'!$C$6:$C$366,C201))</f>
        <v>0.54317548746515554</v>
      </c>
      <c r="F201" s="6">
        <f>INDEX('Native PMKS'!$D$6:$D$366,C201)+(INDEX('Native PMKS'!$D$6:$D$366,D201)-INDEX('Native PMKS'!$D$6:$D$366,C201))*E201</f>
        <v>8.3015155988857803</v>
      </c>
    </row>
    <row r="202" spans="1:6" ht="18.95" customHeight="1">
      <c r="A202" s="1">
        <v>196</v>
      </c>
      <c r="B202" s="6">
        <f>TimeStep!G202</f>
        <v>1637.883008356546</v>
      </c>
      <c r="C202" s="6">
        <f>MIN(MATCH(B202,'Native PMKS'!$C$6:$C$366,1),360)</f>
        <v>197</v>
      </c>
      <c r="D202" s="6">
        <f t="shared" si="3"/>
        <v>198</v>
      </c>
      <c r="E202" s="6">
        <f>(B202-INDEX('Native PMKS'!$C$6:$C$366,C202))/(INDEX('Native PMKS'!$C$6:$C$366,D202)-INDEX('Native PMKS'!$C$6:$C$366,C202))</f>
        <v>0.54596100278551185</v>
      </c>
      <c r="F202" s="6">
        <f>INDEX('Native PMKS'!$D$6:$D$366,C202)+(INDEX('Native PMKS'!$D$6:$D$366,D202)-INDEX('Native PMKS'!$D$6:$D$366,C202))*E202</f>
        <v>8.8185974930362097</v>
      </c>
    </row>
    <row r="203" spans="1:6" ht="18.95" customHeight="1">
      <c r="A203" s="1">
        <v>197</v>
      </c>
      <c r="B203" s="6">
        <f>TimeStep!G203</f>
        <v>1646.2395543175487</v>
      </c>
      <c r="C203" s="6">
        <f>MIN(MATCH(B203,'Native PMKS'!$C$6:$C$366,1),360)</f>
        <v>198</v>
      </c>
      <c r="D203" s="6">
        <f t="shared" si="3"/>
        <v>199</v>
      </c>
      <c r="E203" s="6">
        <f>(B203-INDEX('Native PMKS'!$C$6:$C$366,C203))/(INDEX('Native PMKS'!$C$6:$C$366,D203)-INDEX('Native PMKS'!$C$6:$C$366,C203))</f>
        <v>0.54874651810582598</v>
      </c>
      <c r="F203" s="6">
        <f>INDEX('Native PMKS'!$D$6:$D$366,C203)+(INDEX('Native PMKS'!$D$6:$D$366,D203)-INDEX('Native PMKS'!$D$6:$D$366,C203))*E203</f>
        <v>9.335688579387174</v>
      </c>
    </row>
    <row r="204" spans="1:6" ht="18.95" customHeight="1">
      <c r="A204" s="1">
        <v>198</v>
      </c>
      <c r="B204" s="6">
        <f>TimeStep!G204</f>
        <v>1654.5961002785516</v>
      </c>
      <c r="C204" s="6">
        <f>MIN(MATCH(B204,'Native PMKS'!$C$6:$C$366,1),360)</f>
        <v>199</v>
      </c>
      <c r="D204" s="6">
        <f t="shared" si="3"/>
        <v>200</v>
      </c>
      <c r="E204" s="6">
        <f>(B204-INDEX('Native PMKS'!$C$6:$C$366,C204))/(INDEX('Native PMKS'!$C$6:$C$366,D204)-INDEX('Native PMKS'!$C$6:$C$366,C204))</f>
        <v>0.55153203342617008</v>
      </c>
      <c r="F204" s="6">
        <f>INDEX('Native PMKS'!$D$6:$D$366,C204)+(INDEX('Native PMKS'!$D$6:$D$366,D204)-INDEX('Native PMKS'!$D$6:$D$366,C204))*E204</f>
        <v>9.8528250696378752</v>
      </c>
    </row>
    <row r="205" spans="1:6" ht="18.95" customHeight="1">
      <c r="A205" s="1">
        <v>199</v>
      </c>
      <c r="B205" s="6">
        <f>TimeStep!G205</f>
        <v>1662.9526462395543</v>
      </c>
      <c r="C205" s="6">
        <f>MIN(MATCH(B205,'Native PMKS'!$C$6:$C$366,1),360)</f>
        <v>200</v>
      </c>
      <c r="D205" s="6">
        <f t="shared" si="3"/>
        <v>201</v>
      </c>
      <c r="E205" s="6">
        <f>(B205-INDEX('Native PMKS'!$C$6:$C$366,C205))/(INDEX('Native PMKS'!$C$6:$C$366,D205)-INDEX('Native PMKS'!$C$6:$C$366,C205))</f>
        <v>0.55431754874649919</v>
      </c>
      <c r="F205" s="6">
        <f>INDEX('Native PMKS'!$D$6:$D$366,C205)+(INDEX('Native PMKS'!$D$6:$D$366,D205)-INDEX('Native PMKS'!$D$6:$D$366,C205))*E205</f>
        <v>10.369906128133694</v>
      </c>
    </row>
    <row r="206" spans="1:6" ht="18.95" customHeight="1">
      <c r="A206" s="1">
        <v>200</v>
      </c>
      <c r="B206" s="6">
        <f>TimeStep!G206</f>
        <v>1671.3091922005572</v>
      </c>
      <c r="C206" s="6">
        <f>MIN(MATCH(B206,'Native PMKS'!$C$6:$C$366,1),360)</f>
        <v>201</v>
      </c>
      <c r="D206" s="6">
        <f t="shared" si="3"/>
        <v>202</v>
      </c>
      <c r="E206" s="6">
        <f>(B206-INDEX('Native PMKS'!$C$6:$C$366,C206))/(INDEX('Native PMKS'!$C$6:$C$366,D206)-INDEX('Native PMKS'!$C$6:$C$366,C206))</f>
        <v>0.5571030640668404</v>
      </c>
      <c r="F206" s="6">
        <f>INDEX('Native PMKS'!$D$6:$D$366,C206)+(INDEX('Native PMKS'!$D$6:$D$366,D206)-INDEX('Native PMKS'!$D$6:$D$366,C206))*E206</f>
        <v>10.855076044568239</v>
      </c>
    </row>
    <row r="207" spans="1:6" ht="18.95" customHeight="1">
      <c r="A207" s="1">
        <v>201</v>
      </c>
      <c r="B207" s="6">
        <f>TimeStep!G207</f>
        <v>1679.6657381615598</v>
      </c>
      <c r="C207" s="6">
        <f>MIN(MATCH(B207,'Native PMKS'!$C$6:$C$366,1),360)</f>
        <v>202</v>
      </c>
      <c r="D207" s="6">
        <f t="shared" si="3"/>
        <v>203</v>
      </c>
      <c r="E207" s="6">
        <f>(B207-INDEX('Native PMKS'!$C$6:$C$366,C207))/(INDEX('Native PMKS'!$C$6:$C$366,D207)-INDEX('Native PMKS'!$C$6:$C$366,C207))</f>
        <v>0.55988857938715741</v>
      </c>
      <c r="F207" s="6">
        <f>INDEX('Native PMKS'!$D$6:$D$366,C207)+(INDEX('Native PMKS'!$D$6:$D$366,D207)-INDEX('Native PMKS'!$D$6:$D$366,C207))*E207</f>
        <v>11.346778551532019</v>
      </c>
    </row>
    <row r="208" spans="1:6" ht="18.95" customHeight="1">
      <c r="A208" s="1">
        <v>202</v>
      </c>
      <c r="B208" s="6">
        <f>TimeStep!G208</f>
        <v>1688.0222841225627</v>
      </c>
      <c r="C208" s="6">
        <f>MIN(MATCH(B208,'Native PMKS'!$C$6:$C$366,1),360)</f>
        <v>203</v>
      </c>
      <c r="D208" s="6">
        <f t="shared" si="3"/>
        <v>204</v>
      </c>
      <c r="E208" s="6">
        <f>(B208-INDEX('Native PMKS'!$C$6:$C$366,C208))/(INDEX('Native PMKS'!$C$6:$C$366,D208)-INDEX('Native PMKS'!$C$6:$C$366,C208))</f>
        <v>0.56267409470751373</v>
      </c>
      <c r="F208" s="6">
        <f>INDEX('Native PMKS'!$D$6:$D$366,C208)+(INDEX('Native PMKS'!$D$6:$D$366,D208)-INDEX('Native PMKS'!$D$6:$D$366,C208))*E208</f>
        <v>11.863871030640665</v>
      </c>
    </row>
    <row r="209" spans="1:6" ht="18.95" customHeight="1">
      <c r="A209" s="1">
        <v>203</v>
      </c>
      <c r="B209" s="6">
        <f>TimeStep!G209</f>
        <v>1696.3788300835654</v>
      </c>
      <c r="C209" s="6">
        <f>MIN(MATCH(B209,'Native PMKS'!$C$6:$C$366,1),360)</f>
        <v>204</v>
      </c>
      <c r="D209" s="6">
        <f t="shared" si="3"/>
        <v>205</v>
      </c>
      <c r="E209" s="6">
        <f>(B209-INDEX('Native PMKS'!$C$6:$C$366,C209))/(INDEX('Native PMKS'!$C$6:$C$366,D209)-INDEX('Native PMKS'!$C$6:$C$366,C209))</f>
        <v>0.56545961002782741</v>
      </c>
      <c r="F209" s="6">
        <f>INDEX('Native PMKS'!$D$6:$D$366,C209)+(INDEX('Native PMKS'!$D$6:$D$366,D209)-INDEX('Native PMKS'!$D$6:$D$366,C209))*E209</f>
        <v>12.348606685236756</v>
      </c>
    </row>
    <row r="210" spans="1:6" ht="18.95" customHeight="1">
      <c r="A210" s="1">
        <v>204</v>
      </c>
      <c r="B210" s="6">
        <f>TimeStep!G210</f>
        <v>1704.7353760445683</v>
      </c>
      <c r="C210" s="6">
        <f>MIN(MATCH(B210,'Native PMKS'!$C$6:$C$366,1),360)</f>
        <v>205</v>
      </c>
      <c r="D210" s="6">
        <f t="shared" si="3"/>
        <v>206</v>
      </c>
      <c r="E210" s="6">
        <f>(B210-INDEX('Native PMKS'!$C$6:$C$366,C210))/(INDEX('Native PMKS'!$C$6:$C$366,D210)-INDEX('Native PMKS'!$C$6:$C$366,C210))</f>
        <v>0.56824512534817195</v>
      </c>
      <c r="F210" s="6">
        <f>INDEX('Native PMKS'!$D$6:$D$366,C210)+(INDEX('Native PMKS'!$D$6:$D$366,D210)-INDEX('Native PMKS'!$D$6:$D$366,C210))*E210</f>
        <v>12.840787186629518</v>
      </c>
    </row>
    <row r="211" spans="1:6" ht="18.95" customHeight="1">
      <c r="A211" s="1">
        <v>205</v>
      </c>
      <c r="B211" s="6">
        <f>TimeStep!G211</f>
        <v>1713.091922005571</v>
      </c>
      <c r="C211" s="6">
        <f>MIN(MATCH(B211,'Native PMKS'!$C$6:$C$366,1),360)</f>
        <v>206</v>
      </c>
      <c r="D211" s="6">
        <f t="shared" si="3"/>
        <v>207</v>
      </c>
      <c r="E211" s="6">
        <f>(B211-INDEX('Native PMKS'!$C$6:$C$366,C211))/(INDEX('Native PMKS'!$C$6:$C$366,D211)-INDEX('Native PMKS'!$C$6:$C$366,C211))</f>
        <v>0.57103064066850107</v>
      </c>
      <c r="F211" s="6">
        <f>INDEX('Native PMKS'!$D$6:$D$366,C211)+(INDEX('Native PMKS'!$D$6:$D$366,D211)-INDEX('Native PMKS'!$D$6:$D$366,C211))*E211</f>
        <v>13.325160445682441</v>
      </c>
    </row>
    <row r="212" spans="1:6" ht="18.95" customHeight="1">
      <c r="A212" s="1">
        <v>206</v>
      </c>
      <c r="B212" s="6">
        <f>TimeStep!G212</f>
        <v>1721.4484679665738</v>
      </c>
      <c r="C212" s="6">
        <f>MIN(MATCH(B212,'Native PMKS'!$C$6:$C$366,1),360)</f>
        <v>207</v>
      </c>
      <c r="D212" s="6">
        <f t="shared" si="3"/>
        <v>208</v>
      </c>
      <c r="E212" s="6">
        <f>(B212-INDEX('Native PMKS'!$C$6:$C$366,C212))/(INDEX('Native PMKS'!$C$6:$C$366,D212)-INDEX('Native PMKS'!$C$6:$C$366,C212))</f>
        <v>0.57381615598884173</v>
      </c>
      <c r="F212" s="6">
        <f>INDEX('Native PMKS'!$D$6:$D$366,C212)+(INDEX('Native PMKS'!$D$6:$D$366,D212)-INDEX('Native PMKS'!$D$6:$D$366,C212))*E212</f>
        <v>13.784837325905285</v>
      </c>
    </row>
    <row r="213" spans="1:6" ht="18.95" customHeight="1">
      <c r="A213" s="1">
        <v>207</v>
      </c>
      <c r="B213" s="6">
        <f>TimeStep!G213</f>
        <v>1729.8050139275765</v>
      </c>
      <c r="C213" s="6">
        <f>MIN(MATCH(B213,'Native PMKS'!$C$6:$C$366,1),360)</f>
        <v>208</v>
      </c>
      <c r="D213" s="6">
        <f t="shared" si="3"/>
        <v>209</v>
      </c>
      <c r="E213" s="6">
        <f>(B213-INDEX('Native PMKS'!$C$6:$C$366,C213))/(INDEX('Native PMKS'!$C$6:$C$366,D213)-INDEX('Native PMKS'!$C$6:$C$366,C213))</f>
        <v>0.57660167130915918</v>
      </c>
      <c r="F213" s="6">
        <f>INDEX('Native PMKS'!$D$6:$D$366,C213)+(INDEX('Native PMKS'!$D$6:$D$366,D213)-INDEX('Native PMKS'!$D$6:$D$366,C213))*E213</f>
        <v>14.244456545960988</v>
      </c>
    </row>
    <row r="214" spans="1:6" ht="18.95" customHeight="1">
      <c r="A214" s="1">
        <v>208</v>
      </c>
      <c r="B214" s="6">
        <f>TimeStep!G214</f>
        <v>1738.1615598885794</v>
      </c>
      <c r="C214" s="6">
        <f>MIN(MATCH(B214,'Native PMKS'!$C$6:$C$366,1),360)</f>
        <v>209</v>
      </c>
      <c r="D214" s="6">
        <f t="shared" si="3"/>
        <v>210</v>
      </c>
      <c r="E214" s="6">
        <f>(B214-INDEX('Native PMKS'!$C$6:$C$366,C214))/(INDEX('Native PMKS'!$C$6:$C$366,D214)-INDEX('Native PMKS'!$C$6:$C$366,C214))</f>
        <v>0.5793871866295156</v>
      </c>
      <c r="F214" s="6">
        <f>INDEX('Native PMKS'!$D$6:$D$366,C214)+(INDEX('Native PMKS'!$D$6:$D$366,D214)-INDEX('Native PMKS'!$D$6:$D$366,C214))*E214</f>
        <v>14.737289972144842</v>
      </c>
    </row>
    <row r="215" spans="1:6" ht="18.95" customHeight="1">
      <c r="A215" s="1">
        <v>209</v>
      </c>
      <c r="B215" s="6">
        <f>TimeStep!G215</f>
        <v>1746.5181058495821</v>
      </c>
      <c r="C215" s="6">
        <f>MIN(MATCH(B215,'Native PMKS'!$C$6:$C$366,1),360)</f>
        <v>210</v>
      </c>
      <c r="D215" s="6">
        <f t="shared" si="3"/>
        <v>211</v>
      </c>
      <c r="E215" s="6">
        <f>(B215-INDEX('Native PMKS'!$C$6:$C$366,C215))/(INDEX('Native PMKS'!$C$6:$C$366,D215)-INDEX('Native PMKS'!$C$6:$C$366,C215))</f>
        <v>0.58217270194982884</v>
      </c>
      <c r="F215" s="6">
        <f>INDEX('Native PMKS'!$D$6:$D$366,C215)+(INDEX('Native PMKS'!$D$6:$D$366,D215)-INDEX('Native PMKS'!$D$6:$D$366,C215))*E215</f>
        <v>15.221067966573802</v>
      </c>
    </row>
    <row r="216" spans="1:6" ht="18.95" customHeight="1">
      <c r="A216" s="1">
        <v>210</v>
      </c>
      <c r="B216" s="6">
        <f>TimeStep!G216</f>
        <v>1754.874651810585</v>
      </c>
      <c r="C216" s="6">
        <f>MIN(MATCH(B216,'Native PMKS'!$C$6:$C$366,1),360)</f>
        <v>211</v>
      </c>
      <c r="D216" s="6">
        <f t="shared" si="3"/>
        <v>212</v>
      </c>
      <c r="E216" s="6">
        <f>(B216-INDEX('Native PMKS'!$C$6:$C$366,C216))/(INDEX('Native PMKS'!$C$6:$C$366,D216)-INDEX('Native PMKS'!$C$6:$C$366,C216))</f>
        <v>0.58495821727017383</v>
      </c>
      <c r="F216" s="6">
        <f>INDEX('Native PMKS'!$D$6:$D$366,C216)+(INDEX('Native PMKS'!$D$6:$D$366,D216)-INDEX('Native PMKS'!$D$6:$D$366,C216))*E216</f>
        <v>15.68068635097492</v>
      </c>
    </row>
    <row r="217" spans="1:6" ht="18.95" customHeight="1">
      <c r="A217" s="1">
        <v>211</v>
      </c>
      <c r="B217" s="6">
        <f>TimeStep!G217</f>
        <v>1763.2311977715876</v>
      </c>
      <c r="C217" s="6">
        <f>MIN(MATCH(B217,'Native PMKS'!$C$6:$C$366,1),360)</f>
        <v>212</v>
      </c>
      <c r="D217" s="6">
        <f t="shared" si="3"/>
        <v>213</v>
      </c>
      <c r="E217" s="6">
        <f>(B217-INDEX('Native PMKS'!$C$6:$C$366,C217))/(INDEX('Native PMKS'!$C$6:$C$366,D217)-INDEX('Native PMKS'!$C$6:$C$366,C217))</f>
        <v>0.58774373259050283</v>
      </c>
      <c r="F217" s="6">
        <f>INDEX('Native PMKS'!$D$6:$D$366,C217)+(INDEX('Native PMKS'!$D$6:$D$366,D217)-INDEX('Native PMKS'!$D$6:$D$366,C217))*E217</f>
        <v>16.106644011142048</v>
      </c>
    </row>
    <row r="218" spans="1:6" ht="18.95" customHeight="1">
      <c r="A218" s="1">
        <v>212</v>
      </c>
      <c r="B218" s="6">
        <f>TimeStep!G218</f>
        <v>1771.5877437325905</v>
      </c>
      <c r="C218" s="6">
        <f>MIN(MATCH(B218,'Native PMKS'!$C$6:$C$366,1),360)</f>
        <v>213</v>
      </c>
      <c r="D218" s="6">
        <f t="shared" si="3"/>
        <v>214</v>
      </c>
      <c r="E218" s="6">
        <f>(B218-INDEX('Native PMKS'!$C$6:$C$366,C218))/(INDEX('Native PMKS'!$C$6:$C$366,D218)-INDEX('Native PMKS'!$C$6:$C$366,C218))</f>
        <v>0.59052924791084316</v>
      </c>
      <c r="F218" s="6">
        <f>INDEX('Native PMKS'!$D$6:$D$366,C218)+(INDEX('Native PMKS'!$D$6:$D$366,D218)-INDEX('Native PMKS'!$D$6:$D$366,C218))*E218</f>
        <v>16.542698607242329</v>
      </c>
    </row>
    <row r="219" spans="1:6" ht="18.95" customHeight="1">
      <c r="A219" s="1">
        <v>213</v>
      </c>
      <c r="B219" s="6">
        <f>TimeStep!G219</f>
        <v>1779.9442896935932</v>
      </c>
      <c r="C219" s="6">
        <f>MIN(MATCH(B219,'Native PMKS'!$C$6:$C$366,1),360)</f>
        <v>214</v>
      </c>
      <c r="D219" s="6">
        <f t="shared" si="3"/>
        <v>215</v>
      </c>
      <c r="E219" s="6">
        <f>(B219-INDEX('Native PMKS'!$C$6:$C$366,C219))/(INDEX('Native PMKS'!$C$6:$C$366,D219)-INDEX('Native PMKS'!$C$6:$C$366,C219))</f>
        <v>0.59331476323116106</v>
      </c>
      <c r="F219" s="6">
        <f>INDEX('Native PMKS'!$D$6:$D$366,C219)+(INDEX('Native PMKS'!$D$6:$D$366,D219)-INDEX('Native PMKS'!$D$6:$D$366,C219))*E219</f>
        <v>17.00231615598884</v>
      </c>
    </row>
    <row r="220" spans="1:6" ht="18.95" customHeight="1">
      <c r="A220" s="1">
        <v>214</v>
      </c>
      <c r="B220" s="6">
        <f>TimeStep!G220</f>
        <v>1788.3008356545961</v>
      </c>
      <c r="C220" s="6">
        <f>MIN(MATCH(B220,'Native PMKS'!$C$6:$C$366,1),360)</f>
        <v>215</v>
      </c>
      <c r="D220" s="6">
        <f t="shared" si="3"/>
        <v>216</v>
      </c>
      <c r="E220" s="6">
        <f>(B220-INDEX('Native PMKS'!$C$6:$C$366,C220))/(INDEX('Native PMKS'!$C$6:$C$366,D220)-INDEX('Native PMKS'!$C$6:$C$366,C220))</f>
        <v>0.59610027855151748</v>
      </c>
      <c r="F220" s="6">
        <f>INDEX('Native PMKS'!$D$6:$D$366,C220)+(INDEX('Native PMKS'!$D$6:$D$366,D220)-INDEX('Native PMKS'!$D$6:$D$366,C220))*E220</f>
        <v>17.427795821727013</v>
      </c>
    </row>
    <row r="221" spans="1:6" ht="18.95" customHeight="1">
      <c r="A221" s="1">
        <v>215</v>
      </c>
      <c r="B221" s="6">
        <f>TimeStep!G221</f>
        <v>1796.657381615599</v>
      </c>
      <c r="C221" s="6">
        <f>MIN(MATCH(B221,'Native PMKS'!$C$6:$C$366,1),360)</f>
        <v>216</v>
      </c>
      <c r="D221" s="6">
        <f t="shared" si="3"/>
        <v>217</v>
      </c>
      <c r="E221" s="6">
        <f>(B221-INDEX('Native PMKS'!$C$6:$C$366,C221))/(INDEX('Native PMKS'!$C$6:$C$366,D221)-INDEX('Native PMKS'!$C$6:$C$366,C221))</f>
        <v>0.59888579387185747</v>
      </c>
      <c r="F221" s="6">
        <f>INDEX('Native PMKS'!$D$6:$D$366,C221)+(INDEX('Native PMKS'!$D$6:$D$366,D221)-INDEX('Native PMKS'!$D$6:$D$366,C221))*E221</f>
        <v>17.86432924791086</v>
      </c>
    </row>
    <row r="222" spans="1:6" ht="18.95" customHeight="1">
      <c r="A222" s="1">
        <v>216</v>
      </c>
      <c r="B222" s="6">
        <f>TimeStep!G222</f>
        <v>1805.0139275766016</v>
      </c>
      <c r="C222" s="6">
        <f>MIN(MATCH(B222,'Native PMKS'!$C$6:$C$366,1),360)</f>
        <v>217</v>
      </c>
      <c r="D222" s="6">
        <f t="shared" si="3"/>
        <v>218</v>
      </c>
      <c r="E222" s="6">
        <f>(B222-INDEX('Native PMKS'!$C$6:$C$366,C222))/(INDEX('Native PMKS'!$C$6:$C$366,D222)-INDEX('Native PMKS'!$C$6:$C$366,C222))</f>
        <v>0.6016713091921756</v>
      </c>
      <c r="F222" s="6">
        <f>INDEX('Native PMKS'!$D$6:$D$366,C222)+(INDEX('Native PMKS'!$D$6:$D$366,D222)-INDEX('Native PMKS'!$D$6:$D$366,C222))*E222</f>
        <v>18.289470194986063</v>
      </c>
    </row>
    <row r="223" spans="1:6" ht="18.95" customHeight="1">
      <c r="A223" s="1">
        <v>217</v>
      </c>
      <c r="B223" s="6">
        <f>TimeStep!G223</f>
        <v>1813.3704735376045</v>
      </c>
      <c r="C223" s="6">
        <f>MIN(MATCH(B223,'Native PMKS'!$C$6:$C$366,1),360)</f>
        <v>218</v>
      </c>
      <c r="D223" s="6">
        <f t="shared" si="3"/>
        <v>219</v>
      </c>
      <c r="E223" s="6">
        <f>(B223-INDEX('Native PMKS'!$C$6:$C$366,C223))/(INDEX('Native PMKS'!$C$6:$C$366,D223)-INDEX('Native PMKS'!$C$6:$C$366,C223))</f>
        <v>0.60445682451253202</v>
      </c>
      <c r="F223" s="6">
        <f>INDEX('Native PMKS'!$D$6:$D$366,C223)+(INDEX('Native PMKS'!$D$6:$D$366,D223)-INDEX('Native PMKS'!$D$6:$D$366,C223))*E223</f>
        <v>18.691647632311977</v>
      </c>
    </row>
    <row r="224" spans="1:6" ht="18.95" customHeight="1">
      <c r="A224" s="1">
        <v>218</v>
      </c>
      <c r="B224" s="6">
        <f>TimeStep!G224</f>
        <v>1821.7270194986072</v>
      </c>
      <c r="C224" s="6">
        <f>MIN(MATCH(B224,'Native PMKS'!$C$6:$C$366,1),360)</f>
        <v>219</v>
      </c>
      <c r="D224" s="6">
        <f t="shared" si="3"/>
        <v>220</v>
      </c>
      <c r="E224" s="6">
        <f>(B224-INDEX('Native PMKS'!$C$6:$C$366,C224))/(INDEX('Native PMKS'!$C$6:$C$366,D224)-INDEX('Native PMKS'!$C$6:$C$366,C224))</f>
        <v>0.60724233983284448</v>
      </c>
      <c r="F224" s="6">
        <f>INDEX('Native PMKS'!$D$6:$D$366,C224)+(INDEX('Native PMKS'!$D$6:$D$366,D224)-INDEX('Native PMKS'!$D$6:$D$366,C224))*E224</f>
        <v>19.093864902506954</v>
      </c>
    </row>
    <row r="225" spans="1:6" ht="18.95" customHeight="1">
      <c r="A225" s="1">
        <v>219</v>
      </c>
      <c r="B225" s="6">
        <f>TimeStep!G225</f>
        <v>1830.0835654596101</v>
      </c>
      <c r="C225" s="6">
        <f>MIN(MATCH(B225,'Native PMKS'!$C$6:$C$366,1),360)</f>
        <v>220</v>
      </c>
      <c r="D225" s="6">
        <f t="shared" si="3"/>
        <v>221</v>
      </c>
      <c r="E225" s="6">
        <f>(B225-INDEX('Native PMKS'!$C$6:$C$366,C225))/(INDEX('Native PMKS'!$C$6:$C$366,D225)-INDEX('Native PMKS'!$C$6:$C$366,C225))</f>
        <v>0.61002785515319025</v>
      </c>
      <c r="F225" s="6">
        <f>INDEX('Native PMKS'!$D$6:$D$366,C225)+(INDEX('Native PMKS'!$D$6:$D$366,D225)-INDEX('Native PMKS'!$D$6:$D$366,C225))*E225</f>
        <v>19.496082172701943</v>
      </c>
    </row>
    <row r="226" spans="1:6" ht="18.95" customHeight="1">
      <c r="A226" s="1">
        <v>220</v>
      </c>
      <c r="B226" s="6">
        <f>TimeStep!G226</f>
        <v>1838.4401114206128</v>
      </c>
      <c r="C226" s="6">
        <f>MIN(MATCH(B226,'Native PMKS'!$C$6:$C$366,1),360)</f>
        <v>221</v>
      </c>
      <c r="D226" s="6">
        <f t="shared" si="3"/>
        <v>222</v>
      </c>
      <c r="E226" s="6">
        <f>(B226-INDEX('Native PMKS'!$C$6:$C$366,C226))/(INDEX('Native PMKS'!$C$6:$C$366,D226)-INDEX('Native PMKS'!$C$6:$C$366,C226))</f>
        <v>0.61281337047351925</v>
      </c>
      <c r="F226" s="6">
        <f>INDEX('Native PMKS'!$D$6:$D$366,C226)+(INDEX('Native PMKS'!$D$6:$D$366,D226)-INDEX('Native PMKS'!$D$6:$D$366,C226))*E226</f>
        <v>19.898238161559881</v>
      </c>
    </row>
    <row r="227" spans="1:6" ht="18.95" customHeight="1">
      <c r="A227" s="1">
        <v>221</v>
      </c>
      <c r="B227" s="6">
        <f>TimeStep!G227</f>
        <v>1846.7966573816157</v>
      </c>
      <c r="C227" s="6">
        <f>MIN(MATCH(B227,'Native PMKS'!$C$6:$C$366,1),360)</f>
        <v>222</v>
      </c>
      <c r="D227" s="6">
        <f t="shared" si="3"/>
        <v>223</v>
      </c>
      <c r="E227" s="6">
        <f>(B227-INDEX('Native PMKS'!$C$6:$C$366,C227))/(INDEX('Native PMKS'!$C$6:$C$366,D227)-INDEX('Native PMKS'!$C$6:$C$366,C227))</f>
        <v>0.61559888579385891</v>
      </c>
      <c r="F227" s="6">
        <f>INDEX('Native PMKS'!$D$6:$D$366,C227)+(INDEX('Native PMKS'!$D$6:$D$366,D227)-INDEX('Native PMKS'!$D$6:$D$366,C227))*E227</f>
        <v>20.300416713091916</v>
      </c>
    </row>
    <row r="228" spans="1:6" ht="18.95" customHeight="1">
      <c r="A228" s="1">
        <v>222</v>
      </c>
      <c r="B228" s="6">
        <f>TimeStep!G228</f>
        <v>1855.1532033426183</v>
      </c>
      <c r="C228" s="6">
        <f>MIN(MATCH(B228,'Native PMKS'!$C$6:$C$366,1),360)</f>
        <v>223</v>
      </c>
      <c r="D228" s="6">
        <f t="shared" si="3"/>
        <v>224</v>
      </c>
      <c r="E228" s="6">
        <f>(B228-INDEX('Native PMKS'!$C$6:$C$366,C228))/(INDEX('Native PMKS'!$C$6:$C$366,D228)-INDEX('Native PMKS'!$C$6:$C$366,C228))</f>
        <v>0.61838440111417747</v>
      </c>
      <c r="F228" s="6">
        <f>INDEX('Native PMKS'!$D$6:$D$366,C228)+(INDEX('Native PMKS'!$D$6:$D$366,D228)-INDEX('Native PMKS'!$D$6:$D$366,C228))*E228</f>
        <v>20.702633983286894</v>
      </c>
    </row>
    <row r="229" spans="1:6" ht="18.95" customHeight="1">
      <c r="A229" s="1">
        <v>223</v>
      </c>
      <c r="B229" s="6">
        <f>TimeStep!G229</f>
        <v>1863.5097493036212</v>
      </c>
      <c r="C229" s="6">
        <f>MIN(MATCH(B229,'Native PMKS'!$C$6:$C$366,1),360)</f>
        <v>224</v>
      </c>
      <c r="D229" s="6">
        <f t="shared" si="3"/>
        <v>225</v>
      </c>
      <c r="E229" s="6">
        <f>(B229-INDEX('Native PMKS'!$C$6:$C$366,C229))/(INDEX('Native PMKS'!$C$6:$C$366,D229)-INDEX('Native PMKS'!$C$6:$C$366,C229))</f>
        <v>0.6211699164345339</v>
      </c>
      <c r="F229" s="6">
        <f>INDEX('Native PMKS'!$D$6:$D$366,C229)+(INDEX('Native PMKS'!$D$6:$D$366,D229)-INDEX('Native PMKS'!$D$6:$D$366,C229))*E229</f>
        <v>21.06919610027855</v>
      </c>
    </row>
    <row r="230" spans="1:6" ht="18.95" customHeight="1">
      <c r="A230" s="1">
        <v>224</v>
      </c>
      <c r="B230" s="6">
        <f>TimeStep!G230</f>
        <v>1871.8662952646239</v>
      </c>
      <c r="C230" s="6">
        <f>MIN(MATCH(B230,'Native PMKS'!$C$6:$C$366,1),360)</f>
        <v>225</v>
      </c>
      <c r="D230" s="6">
        <f t="shared" si="3"/>
        <v>226</v>
      </c>
      <c r="E230" s="6">
        <f>(B230-INDEX('Native PMKS'!$C$6:$C$366,C230))/(INDEX('Native PMKS'!$C$6:$C$366,D230)-INDEX('Native PMKS'!$C$6:$C$366,C230))</f>
        <v>0.62395543175484591</v>
      </c>
      <c r="F230" s="6">
        <f>INDEX('Native PMKS'!$D$6:$D$366,C230)+(INDEX('Native PMKS'!$D$6:$D$366,D230)-INDEX('Native PMKS'!$D$6:$D$366,C230))*E230</f>
        <v>21.413915877437315</v>
      </c>
    </row>
    <row r="231" spans="1:6" ht="18.95" customHeight="1">
      <c r="A231" s="1">
        <v>225</v>
      </c>
      <c r="B231" s="6">
        <f>TimeStep!G231</f>
        <v>1880.2228412256268</v>
      </c>
      <c r="C231" s="6">
        <f>MIN(MATCH(B231,'Native PMKS'!$C$6:$C$366,1),360)</f>
        <v>226</v>
      </c>
      <c r="D231" s="6">
        <f t="shared" si="3"/>
        <v>227</v>
      </c>
      <c r="E231" s="6">
        <f>(B231-INDEX('Native PMKS'!$C$6:$C$366,C231))/(INDEX('Native PMKS'!$C$6:$C$366,D231)-INDEX('Native PMKS'!$C$6:$C$366,C231))</f>
        <v>0.62674094707519201</v>
      </c>
      <c r="F231" s="6">
        <f>INDEX('Native PMKS'!$D$6:$D$366,C231)+(INDEX('Native PMKS'!$D$6:$D$366,D231)-INDEX('Native PMKS'!$D$6:$D$366,C231))*E231</f>
        <v>21.794585793871857</v>
      </c>
    </row>
    <row r="232" spans="1:6" ht="18.95" customHeight="1">
      <c r="A232" s="1">
        <v>226</v>
      </c>
      <c r="B232" s="6">
        <f>TimeStep!G232</f>
        <v>1888.5793871866294</v>
      </c>
      <c r="C232" s="6">
        <f>MIN(MATCH(B232,'Native PMKS'!$C$6:$C$366,1),360)</f>
        <v>227</v>
      </c>
      <c r="D232" s="6">
        <f t="shared" si="3"/>
        <v>228</v>
      </c>
      <c r="E232" s="6">
        <f>(B232-INDEX('Native PMKS'!$C$6:$C$366,C232))/(INDEX('Native PMKS'!$C$6:$C$366,D232)-INDEX('Native PMKS'!$C$6:$C$366,C232))</f>
        <v>0.62952646239552112</v>
      </c>
      <c r="F232" s="6">
        <f>INDEX('Native PMKS'!$D$6:$D$366,C232)+(INDEX('Native PMKS'!$D$6:$D$366,D232)-INDEX('Native PMKS'!$D$6:$D$366,C232))*E232</f>
        <v>22.160731197771579</v>
      </c>
    </row>
    <row r="233" spans="1:6" ht="18.95" customHeight="1">
      <c r="A233" s="1">
        <v>227</v>
      </c>
      <c r="B233" s="6">
        <f>TimeStep!G233</f>
        <v>1896.9359331476323</v>
      </c>
      <c r="C233" s="6">
        <f>MIN(MATCH(B233,'Native PMKS'!$C$6:$C$366,1),360)</f>
        <v>228</v>
      </c>
      <c r="D233" s="6">
        <f t="shared" si="3"/>
        <v>229</v>
      </c>
      <c r="E233" s="6">
        <f>(B233-INDEX('Native PMKS'!$C$6:$C$366,C233))/(INDEX('Native PMKS'!$C$6:$C$366,D233)-INDEX('Native PMKS'!$C$6:$C$366,C233))</f>
        <v>0.63231197771586023</v>
      </c>
      <c r="F233" s="6">
        <f>INDEX('Native PMKS'!$D$6:$D$366,C233)+(INDEX('Native PMKS'!$D$6:$D$366,D233)-INDEX('Native PMKS'!$D$6:$D$366,C233))*E233</f>
        <v>22.505425626740941</v>
      </c>
    </row>
    <row r="234" spans="1:6" ht="18.95" customHeight="1">
      <c r="A234" s="1">
        <v>228</v>
      </c>
      <c r="B234" s="6">
        <f>TimeStep!G234</f>
        <v>1905.292479108635</v>
      </c>
      <c r="C234" s="6">
        <f>MIN(MATCH(B234,'Native PMKS'!$C$6:$C$366,1),360)</f>
        <v>229</v>
      </c>
      <c r="D234" s="6">
        <f t="shared" si="3"/>
        <v>230</v>
      </c>
      <c r="E234" s="6">
        <f>(B234-INDEX('Native PMKS'!$C$6:$C$366,C234))/(INDEX('Native PMKS'!$C$6:$C$366,D234)-INDEX('Native PMKS'!$C$6:$C$366,C234))</f>
        <v>0.63509749303617935</v>
      </c>
      <c r="F234" s="6">
        <f>INDEX('Native PMKS'!$D$6:$D$366,C234)+(INDEX('Native PMKS'!$D$6:$D$366,D234)-INDEX('Native PMKS'!$D$6:$D$366,C234))*E234</f>
        <v>22.850146518105838</v>
      </c>
    </row>
    <row r="235" spans="1:6" ht="18.95" customHeight="1">
      <c r="A235" s="1">
        <v>229</v>
      </c>
      <c r="B235" s="6">
        <f>TimeStep!G235</f>
        <v>1913.6490250696379</v>
      </c>
      <c r="C235" s="6">
        <f>MIN(MATCH(B235,'Native PMKS'!$C$6:$C$366,1),360)</f>
        <v>230</v>
      </c>
      <c r="D235" s="6">
        <f t="shared" si="3"/>
        <v>231</v>
      </c>
      <c r="E235" s="6">
        <f>(B235-INDEX('Native PMKS'!$C$6:$C$366,C235))/(INDEX('Native PMKS'!$C$6:$C$366,D235)-INDEX('Native PMKS'!$C$6:$C$366,C235))</f>
        <v>0.63788300835653566</v>
      </c>
      <c r="F235" s="6">
        <f>INDEX('Native PMKS'!$D$6:$D$366,C235)+(INDEX('Native PMKS'!$D$6:$D$366,D235)-INDEX('Native PMKS'!$D$6:$D$366,C235))*E235</f>
        <v>23.194904178272978</v>
      </c>
    </row>
    <row r="236" spans="1:6" ht="18.95" customHeight="1">
      <c r="A236" s="1">
        <v>230</v>
      </c>
      <c r="B236" s="6">
        <f>TimeStep!G236</f>
        <v>1922.0055710306406</v>
      </c>
      <c r="C236" s="6">
        <f>MIN(MATCH(B236,'Native PMKS'!$C$6:$C$366,1),360)</f>
        <v>231</v>
      </c>
      <c r="D236" s="6">
        <f t="shared" si="3"/>
        <v>232</v>
      </c>
      <c r="E236" s="6">
        <f>(B236-INDEX('Native PMKS'!$C$6:$C$366,C236))/(INDEX('Native PMKS'!$C$6:$C$366,D236)-INDEX('Native PMKS'!$C$6:$C$366,C236))</f>
        <v>0.64066852367684735</v>
      </c>
      <c r="F236" s="6">
        <f>INDEX('Native PMKS'!$D$6:$D$366,C236)+(INDEX('Native PMKS'!$D$6:$D$366,D236)-INDEX('Native PMKS'!$D$6:$D$366,C236))*E236</f>
        <v>23.502951532033418</v>
      </c>
    </row>
    <row r="237" spans="1:6" ht="18.95" customHeight="1">
      <c r="A237" s="1">
        <v>231</v>
      </c>
      <c r="B237" s="6">
        <f>TimeStep!G237</f>
        <v>1930.3621169916435</v>
      </c>
      <c r="C237" s="6">
        <f>MIN(MATCH(B237,'Native PMKS'!$C$6:$C$366,1),360)</f>
        <v>232</v>
      </c>
      <c r="D237" s="6">
        <f t="shared" si="3"/>
        <v>233</v>
      </c>
      <c r="E237" s="6">
        <f>(B237-INDEX('Native PMKS'!$C$6:$C$366,C237))/(INDEX('Native PMKS'!$C$6:$C$366,D237)-INDEX('Native PMKS'!$C$6:$C$366,C237))</f>
        <v>0.64345403899719389</v>
      </c>
      <c r="F237" s="6">
        <f>INDEX('Native PMKS'!$D$6:$D$366,C237)+(INDEX('Native PMKS'!$D$6:$D$366,D237)-INDEX('Native PMKS'!$D$6:$D$366,C237))*E237</f>
        <v>23.827055153203336</v>
      </c>
    </row>
    <row r="238" spans="1:6" ht="18.95" customHeight="1">
      <c r="A238" s="1">
        <v>232</v>
      </c>
      <c r="B238" s="6">
        <f>TimeStep!G238</f>
        <v>1938.7186629526461</v>
      </c>
      <c r="C238" s="6">
        <f>MIN(MATCH(B238,'Native PMKS'!$C$6:$C$366,1),360)</f>
        <v>233</v>
      </c>
      <c r="D238" s="6">
        <f t="shared" si="3"/>
        <v>234</v>
      </c>
      <c r="E238" s="6">
        <f>(B238-INDEX('Native PMKS'!$C$6:$C$366,C238))/(INDEX('Native PMKS'!$C$6:$C$366,D238)-INDEX('Native PMKS'!$C$6:$C$366,C238))</f>
        <v>0.646239554317523</v>
      </c>
      <c r="F238" s="6">
        <f>INDEX('Native PMKS'!$D$6:$D$366,C238)+(INDEX('Native PMKS'!$D$6:$D$366,D238)-INDEX('Native PMKS'!$D$6:$D$366,C238))*E238</f>
        <v>24.134747632311971</v>
      </c>
    </row>
    <row r="239" spans="1:6" ht="18.95" customHeight="1">
      <c r="A239" s="1">
        <v>233</v>
      </c>
      <c r="B239" s="6">
        <f>TimeStep!G239</f>
        <v>1947.075208913649</v>
      </c>
      <c r="C239" s="6">
        <f>MIN(MATCH(B239,'Native PMKS'!$C$6:$C$366,1),360)</f>
        <v>234</v>
      </c>
      <c r="D239" s="6">
        <f t="shared" si="3"/>
        <v>235</v>
      </c>
      <c r="E239" s="6">
        <f>(B239-INDEX('Native PMKS'!$C$6:$C$366,C239))/(INDEX('Native PMKS'!$C$6:$C$366,D239)-INDEX('Native PMKS'!$C$6:$C$366,C239))</f>
        <v>0.64902506963786166</v>
      </c>
      <c r="F239" s="6">
        <f>INDEX('Native PMKS'!$D$6:$D$366,C239)+(INDEX('Native PMKS'!$D$6:$D$366,D239)-INDEX('Native PMKS'!$D$6:$D$366,C239))*E239</f>
        <v>24.459234818941496</v>
      </c>
    </row>
    <row r="240" spans="1:6" ht="18.95" customHeight="1">
      <c r="A240" s="1">
        <v>234</v>
      </c>
      <c r="B240" s="6">
        <f>TimeStep!G240</f>
        <v>1955.4317548746517</v>
      </c>
      <c r="C240" s="6">
        <f>MIN(MATCH(B240,'Native PMKS'!$C$6:$C$366,1),360)</f>
        <v>235</v>
      </c>
      <c r="D240" s="6">
        <f t="shared" si="3"/>
        <v>236</v>
      </c>
      <c r="E240" s="6">
        <f>(B240-INDEX('Native PMKS'!$C$6:$C$366,C240))/(INDEX('Native PMKS'!$C$6:$C$366,D240)-INDEX('Native PMKS'!$C$6:$C$366,C240))</f>
        <v>0.65181058495818112</v>
      </c>
      <c r="F240" s="6">
        <f>INDEX('Native PMKS'!$D$6:$D$366,C240)+(INDEX('Native PMKS'!$D$6:$D$366,D240)-INDEX('Native PMKS'!$D$6:$D$366,C240))*E240</f>
        <v>24.766643732590516</v>
      </c>
    </row>
    <row r="241" spans="1:6" ht="18.95" customHeight="1">
      <c r="A241" s="1">
        <v>235</v>
      </c>
      <c r="B241" s="6">
        <f>TimeStep!G241</f>
        <v>1963.7883008356546</v>
      </c>
      <c r="C241" s="6">
        <f>MIN(MATCH(B241,'Native PMKS'!$C$6:$C$366,1),360)</f>
        <v>236</v>
      </c>
      <c r="D241" s="6">
        <f t="shared" si="3"/>
        <v>237</v>
      </c>
      <c r="E241" s="6">
        <f>(B241-INDEX('Native PMKS'!$C$6:$C$366,C241))/(INDEX('Native PMKS'!$C$6:$C$366,D241)-INDEX('Native PMKS'!$C$6:$C$366,C241))</f>
        <v>0.65459610027853754</v>
      </c>
      <c r="F241" s="6">
        <f>INDEX('Native PMKS'!$D$6:$D$366,C241)+(INDEX('Native PMKS'!$D$6:$D$366,D241)-INDEX('Native PMKS'!$D$6:$D$366,C241))*E241</f>
        <v>25.053876323119773</v>
      </c>
    </row>
    <row r="242" spans="1:6" ht="18.95" customHeight="1">
      <c r="A242" s="1">
        <v>236</v>
      </c>
      <c r="B242" s="6">
        <f>TimeStep!G242</f>
        <v>1972.1448467966575</v>
      </c>
      <c r="C242" s="6">
        <f>MIN(MATCH(B242,'Native PMKS'!$C$6:$C$366,1),360)</f>
        <v>237</v>
      </c>
      <c r="D242" s="6">
        <f t="shared" si="3"/>
        <v>238</v>
      </c>
      <c r="E242" s="6">
        <f>(B242-INDEX('Native PMKS'!$C$6:$C$366,C242))/(INDEX('Native PMKS'!$C$6:$C$366,D242)-INDEX('Native PMKS'!$C$6:$C$366,C242))</f>
        <v>0.65738161559887598</v>
      </c>
      <c r="F242" s="6">
        <f>INDEX('Native PMKS'!$D$6:$D$366,C242)+(INDEX('Native PMKS'!$D$6:$D$366,D242)-INDEX('Native PMKS'!$D$6:$D$366,C242))*E242</f>
        <v>25.303471866295261</v>
      </c>
    </row>
    <row r="243" spans="1:6" ht="18.95" customHeight="1">
      <c r="A243" s="1">
        <v>237</v>
      </c>
      <c r="B243" s="6">
        <f>TimeStep!G243</f>
        <v>1980.5013927576601</v>
      </c>
      <c r="C243" s="6">
        <f>MIN(MATCH(B243,'Native PMKS'!$C$6:$C$366,1),360)</f>
        <v>238</v>
      </c>
      <c r="D243" s="6">
        <f t="shared" si="3"/>
        <v>239</v>
      </c>
      <c r="E243" s="6">
        <f>(B243-INDEX('Native PMKS'!$C$6:$C$366,C243))/(INDEX('Native PMKS'!$C$6:$C$366,D243)-INDEX('Native PMKS'!$C$6:$C$366,C243))</f>
        <v>0.66016713091919577</v>
      </c>
      <c r="F243" s="6">
        <f>INDEX('Native PMKS'!$D$6:$D$366,C243)+(INDEX('Native PMKS'!$D$6:$D$366,D243)-INDEX('Native PMKS'!$D$6:$D$366,C243))*E243</f>
        <v>25.571137883008351</v>
      </c>
    </row>
    <row r="244" spans="1:6" ht="18.95" customHeight="1">
      <c r="A244" s="1">
        <v>238</v>
      </c>
      <c r="B244" s="6">
        <f>TimeStep!G244</f>
        <v>1988.857938718663</v>
      </c>
      <c r="C244" s="6">
        <f>MIN(MATCH(B244,'Native PMKS'!$C$6:$C$366,1),360)</f>
        <v>239</v>
      </c>
      <c r="D244" s="6">
        <f t="shared" si="3"/>
        <v>240</v>
      </c>
      <c r="E244" s="6">
        <f>(B244-INDEX('Native PMKS'!$C$6:$C$366,C244))/(INDEX('Native PMKS'!$C$6:$C$366,D244)-INDEX('Native PMKS'!$C$6:$C$366,C244))</f>
        <v>0.66295264623955208</v>
      </c>
      <c r="F244" s="6">
        <f>INDEX('Native PMKS'!$D$6:$D$366,C244)+(INDEX('Native PMKS'!$D$6:$D$366,D244)-INDEX('Native PMKS'!$D$6:$D$366,C244))*E244</f>
        <v>25.858435933147632</v>
      </c>
    </row>
    <row r="245" spans="1:6" ht="18.95" customHeight="1">
      <c r="A245" s="1">
        <v>239</v>
      </c>
      <c r="B245" s="6">
        <f>TimeStep!G245</f>
        <v>1997.2144846796657</v>
      </c>
      <c r="C245" s="6">
        <f>MIN(MATCH(B245,'Native PMKS'!$C$6:$C$366,1),360)</f>
        <v>240</v>
      </c>
      <c r="D245" s="6">
        <f t="shared" si="3"/>
        <v>241</v>
      </c>
      <c r="E245" s="6">
        <f>(B245-INDEX('Native PMKS'!$C$6:$C$366,C245))/(INDEX('Native PMKS'!$C$6:$C$366,D245)-INDEX('Native PMKS'!$C$6:$C$366,C245))</f>
        <v>0.6657381615598631</v>
      </c>
      <c r="F245" s="6">
        <f>INDEX('Native PMKS'!$D$6:$D$366,C245)+(INDEX('Native PMKS'!$D$6:$D$366,D245)-INDEX('Native PMKS'!$D$6:$D$366,C245))*E245</f>
        <v>26.107587186629519</v>
      </c>
    </row>
    <row r="246" spans="1:6" ht="18.95" customHeight="1">
      <c r="A246" s="1">
        <v>240</v>
      </c>
      <c r="B246" s="6">
        <f>TimeStep!G246</f>
        <v>2005.5710306406686</v>
      </c>
      <c r="C246" s="6">
        <f>MIN(MATCH(B246,'Native PMKS'!$C$6:$C$366,1),360)</f>
        <v>241</v>
      </c>
      <c r="D246" s="6">
        <f t="shared" si="3"/>
        <v>242</v>
      </c>
      <c r="E246" s="6">
        <f>(B246-INDEX('Native PMKS'!$C$6:$C$366,C246))/(INDEX('Native PMKS'!$C$6:$C$366,D246)-INDEX('Native PMKS'!$C$6:$C$366,C246))</f>
        <v>0.6685236768802103</v>
      </c>
      <c r="F246" s="6">
        <f>INDEX('Native PMKS'!$D$6:$D$366,C246)+(INDEX('Native PMKS'!$D$6:$D$366,D246)-INDEX('Native PMKS'!$D$6:$D$366,C246))*E246</f>
        <v>26.375732033426182</v>
      </c>
    </row>
    <row r="247" spans="1:6" ht="18.95" customHeight="1">
      <c r="A247" s="1">
        <v>241</v>
      </c>
      <c r="B247" s="6">
        <f>TimeStep!G247</f>
        <v>2013.9275766016713</v>
      </c>
      <c r="C247" s="6">
        <f>MIN(MATCH(B247,'Native PMKS'!$C$6:$C$366,1),360)</f>
        <v>242</v>
      </c>
      <c r="D247" s="6">
        <f t="shared" si="3"/>
        <v>243</v>
      </c>
      <c r="E247" s="6">
        <f>(B247-INDEX('Native PMKS'!$C$6:$C$366,C247))/(INDEX('Native PMKS'!$C$6:$C$366,D247)-INDEX('Native PMKS'!$C$6:$C$366,C247))</f>
        <v>0.67130919220053942</v>
      </c>
      <c r="F247" s="6">
        <f>INDEX('Native PMKS'!$D$6:$D$366,C247)+(INDEX('Native PMKS'!$D$6:$D$366,D247)-INDEX('Native PMKS'!$D$6:$D$366,C247))*E247</f>
        <v>26.624496935933145</v>
      </c>
    </row>
    <row r="248" spans="1:6" ht="18.95" customHeight="1">
      <c r="A248" s="1">
        <v>242</v>
      </c>
      <c r="B248" s="6">
        <f>TimeStep!G248</f>
        <v>2022.2841225626742</v>
      </c>
      <c r="C248" s="6">
        <f>MIN(MATCH(B248,'Native PMKS'!$C$6:$C$366,1),360)</f>
        <v>243</v>
      </c>
      <c r="D248" s="6">
        <f t="shared" si="3"/>
        <v>244</v>
      </c>
      <c r="E248" s="6">
        <f>(B248-INDEX('Native PMKS'!$C$6:$C$366,C248))/(INDEX('Native PMKS'!$C$6:$C$366,D248)-INDEX('Native PMKS'!$C$6:$C$366,C248))</f>
        <v>0.67409470752087741</v>
      </c>
      <c r="F248" s="6">
        <f>INDEX('Native PMKS'!$D$6:$D$366,C248)+(INDEX('Native PMKS'!$D$6:$D$366,D248)-INDEX('Native PMKS'!$D$6:$D$366,C248))*E248</f>
        <v>26.854302506963784</v>
      </c>
    </row>
    <row r="249" spans="1:6" ht="18.95" customHeight="1">
      <c r="A249" s="1">
        <v>243</v>
      </c>
      <c r="B249" s="6">
        <f>TimeStep!G249</f>
        <v>2030.6406685236768</v>
      </c>
      <c r="C249" s="6">
        <f>MIN(MATCH(B249,'Native PMKS'!$C$6:$C$366,1),360)</f>
        <v>244</v>
      </c>
      <c r="D249" s="6">
        <f t="shared" si="3"/>
        <v>245</v>
      </c>
      <c r="E249" s="6">
        <f>(B249-INDEX('Native PMKS'!$C$6:$C$366,C249))/(INDEX('Native PMKS'!$C$6:$C$366,D249)-INDEX('Native PMKS'!$C$6:$C$366,C249))</f>
        <v>0.67688022284119753</v>
      </c>
      <c r="F249" s="6">
        <f>INDEX('Native PMKS'!$D$6:$D$366,C249)+(INDEX('Native PMKS'!$D$6:$D$366,D249)-INDEX('Native PMKS'!$D$6:$D$366,C249))*E249</f>
        <v>27.084140947075202</v>
      </c>
    </row>
    <row r="250" spans="1:6" ht="18.95" customHeight="1">
      <c r="A250" s="1">
        <v>244</v>
      </c>
      <c r="B250" s="6">
        <f>TimeStep!G250</f>
        <v>2038.9972144846797</v>
      </c>
      <c r="C250" s="6">
        <f>MIN(MATCH(B250,'Native PMKS'!$C$6:$C$366,1),360)</f>
        <v>245</v>
      </c>
      <c r="D250" s="6">
        <f t="shared" si="3"/>
        <v>246</v>
      </c>
      <c r="E250" s="6">
        <f>(B250-INDEX('Native PMKS'!$C$6:$C$366,C250))/(INDEX('Native PMKS'!$C$6:$C$366,D250)-INDEX('Native PMKS'!$C$6:$C$366,C250))</f>
        <v>0.67966573816155396</v>
      </c>
      <c r="F250" s="6">
        <f>INDEX('Native PMKS'!$D$6:$D$366,C250)+(INDEX('Native PMKS'!$D$6:$D$366,D250)-INDEX('Native PMKS'!$D$6:$D$366,C250))*E250</f>
        <v>27.275034540389971</v>
      </c>
    </row>
    <row r="251" spans="1:6" ht="18.95" customHeight="1">
      <c r="A251" s="1">
        <v>245</v>
      </c>
      <c r="B251" s="6">
        <f>TimeStep!G251</f>
        <v>2047.3537604456824</v>
      </c>
      <c r="C251" s="6">
        <f>MIN(MATCH(B251,'Native PMKS'!$C$6:$C$366,1),360)</f>
        <v>246</v>
      </c>
      <c r="D251" s="6">
        <f t="shared" si="3"/>
        <v>247</v>
      </c>
      <c r="E251" s="6">
        <f>(B251-INDEX('Native PMKS'!$C$6:$C$366,C251))/(INDEX('Native PMKS'!$C$6:$C$366,D251)-INDEX('Native PMKS'!$C$6:$C$366,C251))</f>
        <v>0.68245125348188307</v>
      </c>
      <c r="F251" s="6">
        <f>INDEX('Native PMKS'!$D$6:$D$366,C251)+(INDEX('Native PMKS'!$D$6:$D$366,D251)-INDEX('Native PMKS'!$D$6:$D$366,C251))*E251</f>
        <v>27.486517827298048</v>
      </c>
    </row>
    <row r="252" spans="1:6" ht="18.95" customHeight="1">
      <c r="A252" s="1">
        <v>246</v>
      </c>
      <c r="B252" s="6">
        <f>TimeStep!G252</f>
        <v>2055.710306406685</v>
      </c>
      <c r="C252" s="6">
        <f>MIN(MATCH(B252,'Native PMKS'!$C$6:$C$366,1),360)</f>
        <v>247</v>
      </c>
      <c r="D252" s="6">
        <f t="shared" si="3"/>
        <v>248</v>
      </c>
      <c r="E252" s="6">
        <f>(B252-INDEX('Native PMKS'!$C$6:$C$366,C252))/(INDEX('Native PMKS'!$C$6:$C$366,D252)-INDEX('Native PMKS'!$C$6:$C$366,C252))</f>
        <v>0.68523676880219342</v>
      </c>
      <c r="F252" s="6">
        <f>INDEX('Native PMKS'!$D$6:$D$366,C252)+(INDEX('Native PMKS'!$D$6:$D$366,D252)-INDEX('Native PMKS'!$D$6:$D$366,C252))*E252</f>
        <v>27.677092200557098</v>
      </c>
    </row>
    <row r="253" spans="1:6" ht="18.95" customHeight="1">
      <c r="A253" s="1">
        <v>247</v>
      </c>
      <c r="B253" s="6">
        <f>TimeStep!G253</f>
        <v>2064.0668523676882</v>
      </c>
      <c r="C253" s="6">
        <f>MIN(MATCH(B253,'Native PMKS'!$C$6:$C$366,1),360)</f>
        <v>248</v>
      </c>
      <c r="D253" s="6">
        <f t="shared" si="3"/>
        <v>249</v>
      </c>
      <c r="E253" s="6">
        <f>(B253-INDEX('Native PMKS'!$C$6:$C$366,C253))/(INDEX('Native PMKS'!$C$6:$C$366,D253)-INDEX('Native PMKS'!$C$6:$C$366,C253))</f>
        <v>0.68802228412254973</v>
      </c>
      <c r="F253" s="6">
        <f>INDEX('Native PMKS'!$D$6:$D$366,C253)+(INDEX('Native PMKS'!$D$6:$D$366,D253)-INDEX('Native PMKS'!$D$6:$D$366,C253))*E253</f>
        <v>27.888825905292478</v>
      </c>
    </row>
    <row r="254" spans="1:6" ht="18.95" customHeight="1">
      <c r="A254" s="1">
        <v>248</v>
      </c>
      <c r="B254" s="6">
        <f>TimeStep!G254</f>
        <v>2072.4233983286908</v>
      </c>
      <c r="C254" s="6">
        <f>MIN(MATCH(B254,'Native PMKS'!$C$6:$C$366,1),360)</f>
        <v>249</v>
      </c>
      <c r="D254" s="6">
        <f t="shared" si="3"/>
        <v>250</v>
      </c>
      <c r="E254" s="6">
        <f>(B254-INDEX('Native PMKS'!$C$6:$C$366,C254))/(INDEX('Native PMKS'!$C$6:$C$366,D254)-INDEX('Native PMKS'!$C$6:$C$366,C254))</f>
        <v>0.69080779944288917</v>
      </c>
      <c r="F254" s="6">
        <f>INDEX('Native PMKS'!$D$6:$D$366,C254)+(INDEX('Native PMKS'!$D$6:$D$366,D254)-INDEX('Native PMKS'!$D$6:$D$366,C254))*E254</f>
        <v>28.079049860724233</v>
      </c>
    </row>
    <row r="255" spans="1:6" ht="18.95" customHeight="1">
      <c r="A255" s="1">
        <v>249</v>
      </c>
      <c r="B255" s="6">
        <f>TimeStep!G255</f>
        <v>2080.7799442896935</v>
      </c>
      <c r="C255" s="6">
        <f>MIN(MATCH(B255,'Native PMKS'!$C$6:$C$366,1),360)</f>
        <v>250</v>
      </c>
      <c r="D255" s="6">
        <f t="shared" si="3"/>
        <v>251</v>
      </c>
      <c r="E255" s="6">
        <f>(B255-INDEX('Native PMKS'!$C$6:$C$366,C255))/(INDEX('Native PMKS'!$C$6:$C$366,D255)-INDEX('Native PMKS'!$C$6:$C$366,C255))</f>
        <v>0.69359331476320774</v>
      </c>
      <c r="F255" s="6">
        <f>INDEX('Native PMKS'!$D$6:$D$366,C255)+(INDEX('Native PMKS'!$D$6:$D$366,D255)-INDEX('Native PMKS'!$D$6:$D$366,C255))*E255</f>
        <v>28.251428690807796</v>
      </c>
    </row>
    <row r="256" spans="1:6" ht="18.95" customHeight="1">
      <c r="A256" s="1">
        <v>250</v>
      </c>
      <c r="B256" s="6">
        <f>TimeStep!G256</f>
        <v>2089.1364902506962</v>
      </c>
      <c r="C256" s="6">
        <f>MIN(MATCH(B256,'Native PMKS'!$C$6:$C$366,1),360)</f>
        <v>251</v>
      </c>
      <c r="D256" s="6">
        <f t="shared" si="3"/>
        <v>252</v>
      </c>
      <c r="E256" s="6">
        <f>(B256-INDEX('Native PMKS'!$C$6:$C$366,C256))/(INDEX('Native PMKS'!$C$6:$C$366,D256)-INDEX('Native PMKS'!$C$6:$C$366,C256))</f>
        <v>0.69637883008350954</v>
      </c>
      <c r="F256" s="6">
        <f>INDEX('Native PMKS'!$D$6:$D$366,C256)+(INDEX('Native PMKS'!$D$6:$D$366,D256)-INDEX('Native PMKS'!$D$6:$D$366,C256))*E256</f>
        <v>28.423807520891355</v>
      </c>
    </row>
    <row r="257" spans="1:6" ht="18.95" customHeight="1">
      <c r="A257" s="1">
        <v>251</v>
      </c>
      <c r="B257" s="6">
        <f>TimeStep!G257</f>
        <v>2097.4930362116993</v>
      </c>
      <c r="C257" s="6">
        <f>MIN(MATCH(B257,'Native PMKS'!$C$6:$C$366,1),360)</f>
        <v>252</v>
      </c>
      <c r="D257" s="6">
        <f t="shared" si="3"/>
        <v>253</v>
      </c>
      <c r="E257" s="6">
        <f>(B257-INDEX('Native PMKS'!$C$6:$C$366,C257))/(INDEX('Native PMKS'!$C$6:$C$366,D257)-INDEX('Native PMKS'!$C$6:$C$366,C257))</f>
        <v>0.69916434540390393</v>
      </c>
      <c r="F257" s="6">
        <f>INDEX('Native PMKS'!$D$6:$D$366,C257)+(INDEX('Native PMKS'!$D$6:$D$366,D257)-INDEX('Native PMKS'!$D$6:$D$366,C257))*E257</f>
        <v>28.596186350974932</v>
      </c>
    </row>
    <row r="258" spans="1:6" ht="18.95" customHeight="1">
      <c r="A258" s="1">
        <v>252</v>
      </c>
      <c r="B258" s="6">
        <f>TimeStep!G258</f>
        <v>2105.849582172702</v>
      </c>
      <c r="C258" s="6">
        <f>MIN(MATCH(B258,'Native PMKS'!$C$6:$C$366,1),360)</f>
        <v>253</v>
      </c>
      <c r="D258" s="6">
        <f t="shared" si="3"/>
        <v>254</v>
      </c>
      <c r="E258" s="6">
        <f>(B258-INDEX('Native PMKS'!$C$6:$C$366,C258))/(INDEX('Native PMKS'!$C$6:$C$366,D258)-INDEX('Native PMKS'!$C$6:$C$366,C258))</f>
        <v>0.70194986072422216</v>
      </c>
      <c r="F258" s="6">
        <f>INDEX('Native PMKS'!$D$6:$D$366,C258)+(INDEX('Native PMKS'!$D$6:$D$366,D258)-INDEX('Native PMKS'!$D$6:$D$366,C258))*E258</f>
        <v>28.728343454038995</v>
      </c>
    </row>
    <row r="259" spans="1:6" ht="18.95" customHeight="1">
      <c r="A259" s="1">
        <v>253</v>
      </c>
      <c r="B259" s="6">
        <f>TimeStep!G259</f>
        <v>2114.2061281337046</v>
      </c>
      <c r="C259" s="6">
        <f>MIN(MATCH(B259,'Native PMKS'!$C$6:$C$366,1),360)</f>
        <v>254</v>
      </c>
      <c r="D259" s="6">
        <f t="shared" si="3"/>
        <v>255</v>
      </c>
      <c r="E259" s="6">
        <f>(B259-INDEX('Native PMKS'!$C$6:$C$366,C259))/(INDEX('Native PMKS'!$C$6:$C$366,D259)-INDEX('Native PMKS'!$C$6:$C$366,C259))</f>
        <v>0.70473537604452385</v>
      </c>
      <c r="F259" s="6">
        <f>INDEX('Native PMKS'!$D$6:$D$366,C259)+(INDEX('Native PMKS'!$D$6:$D$366,D259)-INDEX('Native PMKS'!$D$6:$D$366,C259))*E259</f>
        <v>28.883644011142053</v>
      </c>
    </row>
    <row r="260" spans="1:6" ht="18.95" customHeight="1">
      <c r="A260" s="1">
        <v>254</v>
      </c>
      <c r="B260" s="6">
        <f>TimeStep!G260</f>
        <v>2122.5626740947073</v>
      </c>
      <c r="C260" s="6">
        <f>MIN(MATCH(B260,'Native PMKS'!$C$6:$C$366,1),360)</f>
        <v>255</v>
      </c>
      <c r="D260" s="6">
        <f t="shared" si="3"/>
        <v>256</v>
      </c>
      <c r="E260" s="6">
        <f>(B260-INDEX('Native PMKS'!$C$6:$C$366,C260))/(INDEX('Native PMKS'!$C$6:$C$366,D260)-INDEX('Native PMKS'!$C$6:$C$366,C260))</f>
        <v>0.70752089136486418</v>
      </c>
      <c r="F260" s="6">
        <f>INDEX('Native PMKS'!$D$6:$D$366,C260)+(INDEX('Native PMKS'!$D$6:$D$366,D260)-INDEX('Native PMKS'!$D$6:$D$366,C260))*E260</f>
        <v>29.015481894150412</v>
      </c>
    </row>
    <row r="261" spans="1:6" ht="18.95" customHeight="1">
      <c r="A261" s="1">
        <v>255</v>
      </c>
      <c r="B261" s="6">
        <f>TimeStep!G261</f>
        <v>2130.9192200557104</v>
      </c>
      <c r="C261" s="6">
        <f>MIN(MATCH(B261,'Native PMKS'!$C$6:$C$366,1),360)</f>
        <v>256</v>
      </c>
      <c r="D261" s="6">
        <f t="shared" si="3"/>
        <v>257</v>
      </c>
      <c r="E261" s="6">
        <f>(B261-INDEX('Native PMKS'!$C$6:$C$366,C261))/(INDEX('Native PMKS'!$C$6:$C$366,D261)-INDEX('Native PMKS'!$C$6:$C$366,C261))</f>
        <v>0.71030640668523648</v>
      </c>
      <c r="F261" s="6">
        <f>INDEX('Native PMKS'!$D$6:$D$366,C261)+(INDEX('Native PMKS'!$D$6:$D$366,D261)-INDEX('Native PMKS'!$D$6:$D$366,C261))*E261</f>
        <v>29.130401114206126</v>
      </c>
    </row>
    <row r="262" spans="1:6" ht="18.95" customHeight="1">
      <c r="A262" s="1">
        <v>256</v>
      </c>
      <c r="B262" s="6">
        <f>TimeStep!G262</f>
        <v>2139.2757660167131</v>
      </c>
      <c r="C262" s="6">
        <f>MIN(MATCH(B262,'Native PMKS'!$C$6:$C$366,1),360)</f>
        <v>257</v>
      </c>
      <c r="D262" s="6">
        <f t="shared" ref="D262:D325" si="4">C262+1</f>
        <v>258</v>
      </c>
      <c r="E262" s="6">
        <f>(B262-INDEX('Native PMKS'!$C$6:$C$366,C262))/(INDEX('Native PMKS'!$C$6:$C$366,D262)-INDEX('Native PMKS'!$C$6:$C$366,C262))</f>
        <v>0.71309192200553817</v>
      </c>
      <c r="F262" s="6">
        <f>INDEX('Native PMKS'!$D$6:$D$366,C262)+(INDEX('Native PMKS'!$D$6:$D$366,D262)-INDEX('Native PMKS'!$D$6:$D$366,C262))*E262</f>
        <v>29.245249025069633</v>
      </c>
    </row>
    <row r="263" spans="1:6" ht="18.95" customHeight="1">
      <c r="A263" s="1">
        <v>257</v>
      </c>
      <c r="B263" s="6">
        <f>TimeStep!G263</f>
        <v>2147.6323119777157</v>
      </c>
      <c r="C263" s="6">
        <f>MIN(MATCH(B263,'Native PMKS'!$C$6:$C$366,1),360)</f>
        <v>258</v>
      </c>
      <c r="D263" s="6">
        <f t="shared" si="4"/>
        <v>259</v>
      </c>
      <c r="E263" s="6">
        <f>(B263-INDEX('Native PMKS'!$C$6:$C$366,C263))/(INDEX('Native PMKS'!$C$6:$C$366,D263)-INDEX('Native PMKS'!$C$6:$C$366,C263))</f>
        <v>0.71587743732587894</v>
      </c>
      <c r="F263" s="6">
        <f>INDEX('Native PMKS'!$D$6:$D$366,C263)+(INDEX('Native PMKS'!$D$6:$D$366,D263)-INDEX('Native PMKS'!$D$6:$D$366,C263))*E263</f>
        <v>29.360139554317545</v>
      </c>
    </row>
    <row r="264" spans="1:6" ht="18.95" customHeight="1">
      <c r="A264" s="1">
        <v>258</v>
      </c>
      <c r="B264" s="6">
        <f>TimeStep!G264</f>
        <v>2155.9888579387189</v>
      </c>
      <c r="C264" s="6">
        <f>MIN(MATCH(B264,'Native PMKS'!$C$6:$C$366,1),360)</f>
        <v>259</v>
      </c>
      <c r="D264" s="6">
        <f t="shared" si="4"/>
        <v>260</v>
      </c>
      <c r="E264" s="6">
        <f>(B264-INDEX('Native PMKS'!$C$6:$C$366,C264))/(INDEX('Native PMKS'!$C$6:$C$366,D264)-INDEX('Native PMKS'!$C$6:$C$366,C264))</f>
        <v>0.7186629526462508</v>
      </c>
      <c r="F264" s="6">
        <f>INDEX('Native PMKS'!$D$6:$D$366,C264)+(INDEX('Native PMKS'!$D$6:$D$366,D264)-INDEX('Native PMKS'!$D$6:$D$366,C264))*E264</f>
        <v>29.475058774373259</v>
      </c>
    </row>
    <row r="265" spans="1:6" ht="18.95" customHeight="1">
      <c r="A265" s="1">
        <v>259</v>
      </c>
      <c r="B265" s="6">
        <f>TimeStep!G265</f>
        <v>2164.3454038997215</v>
      </c>
      <c r="C265" s="6">
        <f>MIN(MATCH(B265,'Native PMKS'!$C$6:$C$366,1),360)</f>
        <v>260</v>
      </c>
      <c r="D265" s="6">
        <f t="shared" si="4"/>
        <v>261</v>
      </c>
      <c r="E265" s="6">
        <f>(B265-INDEX('Native PMKS'!$C$6:$C$366,C265))/(INDEX('Native PMKS'!$C$6:$C$366,D265)-INDEX('Native PMKS'!$C$6:$C$366,C265))</f>
        <v>0.72144846796655249</v>
      </c>
      <c r="F265" s="6">
        <f>INDEX('Native PMKS'!$D$6:$D$366,C265)+(INDEX('Native PMKS'!$D$6:$D$366,D265)-INDEX('Native PMKS'!$D$6:$D$366,C265))*E265</f>
        <v>29.548638997214482</v>
      </c>
    </row>
    <row r="266" spans="1:6" ht="18.95" customHeight="1">
      <c r="A266" s="1">
        <v>260</v>
      </c>
      <c r="B266" s="6">
        <f>TimeStep!G266</f>
        <v>2172.7019498607242</v>
      </c>
      <c r="C266" s="6">
        <f>MIN(MATCH(B266,'Native PMKS'!$C$6:$C$366,1),360)</f>
        <v>261</v>
      </c>
      <c r="D266" s="6">
        <f t="shared" si="4"/>
        <v>262</v>
      </c>
      <c r="E266" s="6">
        <f>(B266-INDEX('Native PMKS'!$C$6:$C$366,C266))/(INDEX('Native PMKS'!$C$6:$C$366,D266)-INDEX('Native PMKS'!$C$6:$C$366,C266))</f>
        <v>0.72423398328689381</v>
      </c>
      <c r="F266" s="6">
        <f>INDEX('Native PMKS'!$D$6:$D$366,C266)+(INDEX('Native PMKS'!$D$6:$D$366,D266)-INDEX('Native PMKS'!$D$6:$D$366,C266))*E266</f>
        <v>29.64759721448468</v>
      </c>
    </row>
    <row r="267" spans="1:6" ht="18.95" customHeight="1">
      <c r="A267" s="1">
        <v>261</v>
      </c>
      <c r="B267" s="6">
        <f>TimeStep!G267</f>
        <v>2181.0584958217269</v>
      </c>
      <c r="C267" s="6">
        <f>MIN(MATCH(B267,'Native PMKS'!$C$6:$C$366,1),360)</f>
        <v>262</v>
      </c>
      <c r="D267" s="6">
        <f t="shared" si="4"/>
        <v>263</v>
      </c>
      <c r="E267" s="6">
        <f>(B267-INDEX('Native PMKS'!$C$6:$C$366,C267))/(INDEX('Native PMKS'!$C$6:$C$366,D267)-INDEX('Native PMKS'!$C$6:$C$366,C267))</f>
        <v>0.7270194986072106</v>
      </c>
      <c r="F267" s="6">
        <f>INDEX('Native PMKS'!$D$6:$D$366,C267)+(INDEX('Native PMKS'!$D$6:$D$366,D267)-INDEX('Native PMKS'!$D$6:$D$366,C267))*E267</f>
        <v>29.720858217270195</v>
      </c>
    </row>
    <row r="268" spans="1:6" ht="18.95" customHeight="1">
      <c r="A268" s="1">
        <v>262</v>
      </c>
      <c r="B268" s="6">
        <f>TimeStep!G268</f>
        <v>2189.41504178273</v>
      </c>
      <c r="C268" s="6">
        <f>MIN(MATCH(B268,'Native PMKS'!$C$6:$C$366,1),360)</f>
        <v>263</v>
      </c>
      <c r="D268" s="6">
        <f t="shared" si="4"/>
        <v>264</v>
      </c>
      <c r="E268" s="6">
        <f>(B268-INDEX('Native PMKS'!$C$6:$C$366,C268))/(INDEX('Native PMKS'!$C$6:$C$366,D268)-INDEX('Native PMKS'!$C$6:$C$366,C268))</f>
        <v>0.72980501392756691</v>
      </c>
      <c r="F268" s="6">
        <f>INDEX('Native PMKS'!$D$6:$D$366,C268)+(INDEX('Native PMKS'!$D$6:$D$366,D268)-INDEX('Native PMKS'!$D$6:$D$366,C268))*E268</f>
        <v>29.77831782729805</v>
      </c>
    </row>
    <row r="269" spans="1:6" ht="18.95" customHeight="1">
      <c r="A269" s="1">
        <v>263</v>
      </c>
      <c r="B269" s="6">
        <f>TimeStep!G269</f>
        <v>2197.7715877437327</v>
      </c>
      <c r="C269" s="6">
        <f>MIN(MATCH(B269,'Native PMKS'!$C$6:$C$366,1),360)</f>
        <v>264</v>
      </c>
      <c r="D269" s="6">
        <f t="shared" si="4"/>
        <v>265</v>
      </c>
      <c r="E269" s="6">
        <f>(B269-INDEX('Native PMKS'!$C$6:$C$366,C269))/(INDEX('Native PMKS'!$C$6:$C$366,D269)-INDEX('Native PMKS'!$C$6:$C$366,C269))</f>
        <v>0.73259052924790857</v>
      </c>
      <c r="F269" s="6">
        <f>INDEX('Native PMKS'!$D$6:$D$366,C269)+(INDEX('Native PMKS'!$D$6:$D$366,D269)-INDEX('Native PMKS'!$D$6:$D$366,C269))*E269</f>
        <v>29.835777437325905</v>
      </c>
    </row>
    <row r="270" spans="1:6" ht="18.95" customHeight="1">
      <c r="A270" s="1">
        <v>264</v>
      </c>
      <c r="B270" s="6">
        <f>TimeStep!G270</f>
        <v>2206.1281337047353</v>
      </c>
      <c r="C270" s="6">
        <f>MIN(MATCH(B270,'Native PMKS'!$C$6:$C$366,1),360)</f>
        <v>265</v>
      </c>
      <c r="D270" s="6">
        <f t="shared" si="4"/>
        <v>266</v>
      </c>
      <c r="E270" s="6">
        <f>(B270-INDEX('Native PMKS'!$C$6:$C$366,C270))/(INDEX('Native PMKS'!$C$6:$C$366,D270)-INDEX('Native PMKS'!$C$6:$C$366,C270))</f>
        <v>0.73537604456822492</v>
      </c>
      <c r="F270" s="6">
        <f>INDEX('Native PMKS'!$D$6:$D$366,C270)+(INDEX('Native PMKS'!$D$6:$D$366,D270)-INDEX('Native PMKS'!$D$6:$D$366,C270))*E270</f>
        <v>29.893237047353761</v>
      </c>
    </row>
    <row r="271" spans="1:6" ht="18.95" customHeight="1">
      <c r="A271" s="1">
        <v>265</v>
      </c>
      <c r="B271" s="6">
        <f>TimeStep!G271</f>
        <v>2214.484679665738</v>
      </c>
      <c r="C271" s="6">
        <f>MIN(MATCH(B271,'Native PMKS'!$C$6:$C$366,1),360)</f>
        <v>266</v>
      </c>
      <c r="D271" s="6">
        <f t="shared" si="4"/>
        <v>267</v>
      </c>
      <c r="E271" s="6">
        <f>(B271-INDEX('Native PMKS'!$C$6:$C$366,C271))/(INDEX('Native PMKS'!$C$6:$C$366,D271)-INDEX('Native PMKS'!$C$6:$C$366,C271))</f>
        <v>0.73816155988852661</v>
      </c>
      <c r="F271" s="6">
        <f>INDEX('Native PMKS'!$D$6:$D$366,C271)+(INDEX('Native PMKS'!$D$6:$D$366,D271)-INDEX('Native PMKS'!$D$6:$D$366,C271))*E271</f>
        <v>29.9084</v>
      </c>
    </row>
    <row r="272" spans="1:6" ht="18.95" customHeight="1">
      <c r="A272" s="1">
        <v>266</v>
      </c>
      <c r="B272" s="6">
        <f>TimeStep!G272</f>
        <v>2222.8412256267411</v>
      </c>
      <c r="C272" s="6">
        <f>MIN(MATCH(B272,'Native PMKS'!$C$6:$C$366,1),360)</f>
        <v>267</v>
      </c>
      <c r="D272" s="6">
        <f t="shared" si="4"/>
        <v>268</v>
      </c>
      <c r="E272" s="6">
        <f>(B272-INDEX('Native PMKS'!$C$6:$C$366,C272))/(INDEX('Native PMKS'!$C$6:$C$366,D272)-INDEX('Native PMKS'!$C$6:$C$366,C272))</f>
        <v>0.74094707520892333</v>
      </c>
      <c r="F272" s="6">
        <f>INDEX('Native PMKS'!$D$6:$D$366,C272)+(INDEX('Native PMKS'!$D$6:$D$366,D272)-INDEX('Native PMKS'!$D$6:$D$366,C272))*E272</f>
        <v>29.95085626740947</v>
      </c>
    </row>
    <row r="273" spans="1:6" ht="18.95" customHeight="1">
      <c r="A273" s="1">
        <v>267</v>
      </c>
      <c r="B273" s="6">
        <f>TimeStep!G273</f>
        <v>2231.1977715877438</v>
      </c>
      <c r="C273" s="6">
        <f>MIN(MATCH(B273,'Native PMKS'!$C$6:$C$366,1),360)</f>
        <v>268</v>
      </c>
      <c r="D273" s="6">
        <f t="shared" si="4"/>
        <v>269</v>
      </c>
      <c r="E273" s="6">
        <f>(B273-INDEX('Native PMKS'!$C$6:$C$366,C273))/(INDEX('Native PMKS'!$C$6:$C$366,D273)-INDEX('Native PMKS'!$C$6:$C$366,C273))</f>
        <v>0.74373259052923923</v>
      </c>
      <c r="F273" s="6">
        <f>INDEX('Native PMKS'!$D$6:$D$366,C273)+(INDEX('Native PMKS'!$D$6:$D$366,D273)-INDEX('Native PMKS'!$D$6:$D$366,C273))*E273</f>
        <v>29.965699999999998</v>
      </c>
    </row>
    <row r="274" spans="1:6" ht="18.95" customHeight="1">
      <c r="A274" s="1">
        <v>268</v>
      </c>
      <c r="B274" s="6">
        <f>TimeStep!G274</f>
        <v>2239.5543175487464</v>
      </c>
      <c r="C274" s="6">
        <f>MIN(MATCH(B274,'Native PMKS'!$C$6:$C$366,1),360)</f>
        <v>269</v>
      </c>
      <c r="D274" s="6">
        <f t="shared" si="4"/>
        <v>270</v>
      </c>
      <c r="E274" s="6">
        <f>(B274-INDEX('Native PMKS'!$C$6:$C$366,C274))/(INDEX('Native PMKS'!$C$6:$C$366,D274)-INDEX('Native PMKS'!$C$6:$C$366,C274))</f>
        <v>0.74651810584954092</v>
      </c>
      <c r="F274" s="6">
        <f>INDEX('Native PMKS'!$D$6:$D$366,C274)+(INDEX('Native PMKS'!$D$6:$D$366,D274)-INDEX('Native PMKS'!$D$6:$D$366,C274))*E274</f>
        <v>30.008475487465176</v>
      </c>
    </row>
    <row r="275" spans="1:6" ht="18.95" customHeight="1">
      <c r="A275" s="1">
        <v>269</v>
      </c>
      <c r="B275" s="6">
        <f>TimeStep!G275</f>
        <v>2247.9108635097491</v>
      </c>
      <c r="C275" s="6">
        <f>MIN(MATCH(B275,'Native PMKS'!$C$6:$C$366,1),360)</f>
        <v>270</v>
      </c>
      <c r="D275" s="6">
        <f t="shared" si="4"/>
        <v>271</v>
      </c>
      <c r="E275" s="6">
        <f>(B275-INDEX('Native PMKS'!$C$6:$C$366,C275))/(INDEX('Native PMKS'!$C$6:$C$366,D275)-INDEX('Native PMKS'!$C$6:$C$366,C275))</f>
        <v>0.74930362116988358</v>
      </c>
      <c r="F275" s="6">
        <f>INDEX('Native PMKS'!$D$6:$D$366,C275)+(INDEX('Native PMKS'!$D$6:$D$366,D275)-INDEX('Native PMKS'!$D$6:$D$366,C275))*E275</f>
        <v>30.023</v>
      </c>
    </row>
    <row r="276" spans="1:6" ht="18.95" customHeight="1">
      <c r="A276" s="1">
        <v>270</v>
      </c>
      <c r="B276" s="6">
        <f>TimeStep!G276</f>
        <v>2256.2674094707522</v>
      </c>
      <c r="C276" s="6">
        <f>MIN(MATCH(B276,'Native PMKS'!$C$6:$C$366,1),360)</f>
        <v>271</v>
      </c>
      <c r="D276" s="6">
        <f t="shared" si="4"/>
        <v>272</v>
      </c>
      <c r="E276" s="6">
        <f>(B276-INDEX('Native PMKS'!$C$6:$C$366,C276))/(INDEX('Native PMKS'!$C$6:$C$366,D276)-INDEX('Native PMKS'!$C$6:$C$366,C276))</f>
        <v>0.75208913649025355</v>
      </c>
      <c r="F276" s="6">
        <f>INDEX('Native PMKS'!$D$6:$D$366,C276)+(INDEX('Native PMKS'!$D$6:$D$366,D276)-INDEX('Native PMKS'!$D$6:$D$366,C276))*E276</f>
        <v>30.023</v>
      </c>
    </row>
    <row r="277" spans="1:6" ht="18.95" customHeight="1">
      <c r="A277" s="1">
        <v>271</v>
      </c>
      <c r="B277" s="6">
        <f>TimeStep!G277</f>
        <v>2264.6239554317549</v>
      </c>
      <c r="C277" s="6">
        <f>MIN(MATCH(B277,'Native PMKS'!$C$6:$C$366,1),360)</f>
        <v>272</v>
      </c>
      <c r="D277" s="6">
        <f t="shared" si="4"/>
        <v>273</v>
      </c>
      <c r="E277" s="6">
        <f>(B277-INDEX('Native PMKS'!$C$6:$C$366,C277))/(INDEX('Native PMKS'!$C$6:$C$366,D277)-INDEX('Native PMKS'!$C$6:$C$366,C277))</f>
        <v>0.75487465181055535</v>
      </c>
      <c r="F277" s="6">
        <f>INDEX('Native PMKS'!$D$6:$D$366,C277)+(INDEX('Native PMKS'!$D$6:$D$366,D277)-INDEX('Native PMKS'!$D$6:$D$366,C277))*E277</f>
        <v>29.979745682451252</v>
      </c>
    </row>
    <row r="278" spans="1:6" ht="18.95" customHeight="1">
      <c r="A278" s="1">
        <v>272</v>
      </c>
      <c r="B278" s="6">
        <f>TimeStep!G278</f>
        <v>2272.9805013927576</v>
      </c>
      <c r="C278" s="6">
        <f>MIN(MATCH(B278,'Native PMKS'!$C$6:$C$366,1),360)</f>
        <v>273</v>
      </c>
      <c r="D278" s="6">
        <f t="shared" si="4"/>
        <v>274</v>
      </c>
      <c r="E278" s="6">
        <f>(B278-INDEX('Native PMKS'!$C$6:$C$366,C278))/(INDEX('Native PMKS'!$C$6:$C$366,D278)-INDEX('Native PMKS'!$C$6:$C$366,C278))</f>
        <v>0.75766016713089834</v>
      </c>
      <c r="F278" s="6">
        <f>INDEX('Native PMKS'!$D$6:$D$366,C278)+(INDEX('Native PMKS'!$D$6:$D$366,D278)-INDEX('Native PMKS'!$D$6:$D$366,C278))*E278</f>
        <v>29.965699999999998</v>
      </c>
    </row>
    <row r="279" spans="1:6" ht="18.95" customHeight="1">
      <c r="A279" s="1">
        <v>273</v>
      </c>
      <c r="B279" s="6">
        <f>TimeStep!G279</f>
        <v>2281.3370473537602</v>
      </c>
      <c r="C279" s="6">
        <f>MIN(MATCH(B279,'Native PMKS'!$C$6:$C$366,1),360)</f>
        <v>274</v>
      </c>
      <c r="D279" s="6">
        <f t="shared" si="4"/>
        <v>275</v>
      </c>
      <c r="E279" s="6">
        <f>(B279-INDEX('Native PMKS'!$C$6:$C$366,C279))/(INDEX('Native PMKS'!$C$6:$C$366,D279)-INDEX('Native PMKS'!$C$6:$C$366,C279))</f>
        <v>0.76044568245121336</v>
      </c>
      <c r="F279" s="6">
        <f>INDEX('Native PMKS'!$D$6:$D$366,C279)+(INDEX('Native PMKS'!$D$6:$D$366,D279)-INDEX('Native PMKS'!$D$6:$D$366,C279))*E279</f>
        <v>29.922126462395546</v>
      </c>
    </row>
    <row r="280" spans="1:6" ht="18.95" customHeight="1">
      <c r="A280" s="1">
        <v>274</v>
      </c>
      <c r="B280" s="6">
        <f>TimeStep!G280</f>
        <v>2289.6935933147633</v>
      </c>
      <c r="C280" s="6">
        <f>MIN(MATCH(B280,'Native PMKS'!$C$6:$C$366,1),360)</f>
        <v>275</v>
      </c>
      <c r="D280" s="6">
        <f t="shared" si="4"/>
        <v>276</v>
      </c>
      <c r="E280" s="6">
        <f>(B280-INDEX('Native PMKS'!$C$6:$C$366,C280))/(INDEX('Native PMKS'!$C$6:$C$366,D280)-INDEX('Native PMKS'!$C$6:$C$366,C280))</f>
        <v>0.76323119777156967</v>
      </c>
      <c r="F280" s="6">
        <f>INDEX('Native PMKS'!$D$6:$D$366,C280)+(INDEX('Native PMKS'!$D$6:$D$366,D280)-INDEX('Native PMKS'!$D$6:$D$366,C280))*E280</f>
        <v>29.9084</v>
      </c>
    </row>
    <row r="281" spans="1:6" ht="18.95" customHeight="1">
      <c r="A281" s="1">
        <v>275</v>
      </c>
      <c r="B281" s="6">
        <f>TimeStep!G281</f>
        <v>2298.050139275766</v>
      </c>
      <c r="C281" s="6">
        <f>MIN(MATCH(B281,'Native PMKS'!$C$6:$C$366,1),360)</f>
        <v>276</v>
      </c>
      <c r="D281" s="6">
        <f t="shared" si="4"/>
        <v>277</v>
      </c>
      <c r="E281" s="6">
        <f>(B281-INDEX('Native PMKS'!$C$6:$C$366,C281))/(INDEX('Native PMKS'!$C$6:$C$366,D281)-INDEX('Native PMKS'!$C$6:$C$366,C281))</f>
        <v>0.76601671309191322</v>
      </c>
      <c r="F281" s="6">
        <f>INDEX('Native PMKS'!$D$6:$D$366,C281)+(INDEX('Native PMKS'!$D$6:$D$366,D281)-INDEX('Native PMKS'!$D$6:$D$366,C281))*E281</f>
        <v>29.864507242339833</v>
      </c>
    </row>
    <row r="282" spans="1:6" ht="18.95" customHeight="1">
      <c r="A282" s="1">
        <v>276</v>
      </c>
      <c r="B282" s="6">
        <f>TimeStep!G282</f>
        <v>2306.4066852367687</v>
      </c>
      <c r="C282" s="6">
        <f>MIN(MATCH(B282,'Native PMKS'!$C$6:$C$366,1),360)</f>
        <v>277</v>
      </c>
      <c r="D282" s="6">
        <f t="shared" si="4"/>
        <v>278</v>
      </c>
      <c r="E282" s="6">
        <f>(B282-INDEX('Native PMKS'!$C$6:$C$366,C282))/(INDEX('Native PMKS'!$C$6:$C$366,D282)-INDEX('Native PMKS'!$C$6:$C$366,C282))</f>
        <v>0.76880222841222767</v>
      </c>
      <c r="F282" s="6">
        <f>INDEX('Native PMKS'!$D$6:$D$366,C282)+(INDEX('Native PMKS'!$D$6:$D$366,D282)-INDEX('Native PMKS'!$D$6:$D$366,C282))*E282</f>
        <v>29.807047632311981</v>
      </c>
    </row>
    <row r="283" spans="1:6" ht="18.95" customHeight="1">
      <c r="A283" s="1">
        <v>277</v>
      </c>
      <c r="B283" s="6">
        <f>TimeStep!G283</f>
        <v>2314.7632311977713</v>
      </c>
      <c r="C283" s="6">
        <f>MIN(MATCH(B283,'Native PMKS'!$C$6:$C$366,1),360)</f>
        <v>278</v>
      </c>
      <c r="D283" s="6">
        <f t="shared" si="4"/>
        <v>279</v>
      </c>
      <c r="E283" s="6">
        <f>(B283-INDEX('Native PMKS'!$C$6:$C$366,C283))/(INDEX('Native PMKS'!$C$6:$C$366,D283)-INDEX('Native PMKS'!$C$6:$C$366,C283))</f>
        <v>0.77158774373252947</v>
      </c>
      <c r="F283" s="6">
        <f>INDEX('Native PMKS'!$D$6:$D$366,C283)+(INDEX('Native PMKS'!$D$6:$D$366,D283)-INDEX('Native PMKS'!$D$6:$D$366,C283))*E283</f>
        <v>29.749588022284126</v>
      </c>
    </row>
    <row r="284" spans="1:6" ht="18.95" customHeight="1">
      <c r="A284" s="1">
        <v>278</v>
      </c>
      <c r="B284" s="6">
        <f>TimeStep!G284</f>
        <v>2323.1197771587745</v>
      </c>
      <c r="C284" s="6">
        <f>MIN(MATCH(B284,'Native PMKS'!$C$6:$C$366,1),360)</f>
        <v>279</v>
      </c>
      <c r="D284" s="6">
        <f t="shared" si="4"/>
        <v>280</v>
      </c>
      <c r="E284" s="6">
        <f>(B284-INDEX('Native PMKS'!$C$6:$C$366,C284))/(INDEX('Native PMKS'!$C$6:$C$366,D284)-INDEX('Native PMKS'!$C$6:$C$366,C284))</f>
        <v>0.77437325905292798</v>
      </c>
      <c r="F284" s="6">
        <f>INDEX('Native PMKS'!$D$6:$D$366,C284)+(INDEX('Native PMKS'!$D$6:$D$366,D284)-INDEX('Native PMKS'!$D$6:$D$366,C284))*E284</f>
        <v>29.647756824512534</v>
      </c>
    </row>
    <row r="285" spans="1:6" ht="18.95" customHeight="1">
      <c r="A285" s="1">
        <v>279</v>
      </c>
      <c r="B285" s="6">
        <f>TimeStep!G285</f>
        <v>2331.4763231197771</v>
      </c>
      <c r="C285" s="6">
        <f>MIN(MATCH(B285,'Native PMKS'!$C$6:$C$366,1),360)</f>
        <v>280</v>
      </c>
      <c r="D285" s="6">
        <f t="shared" si="4"/>
        <v>281</v>
      </c>
      <c r="E285" s="6">
        <f>(B285-INDEX('Native PMKS'!$C$6:$C$366,C285))/(INDEX('Native PMKS'!$C$6:$C$366,D285)-INDEX('Native PMKS'!$C$6:$C$366,C285))</f>
        <v>0.77715877437324199</v>
      </c>
      <c r="F285" s="6">
        <f>INDEX('Native PMKS'!$D$6:$D$366,C285)+(INDEX('Native PMKS'!$D$6:$D$366,D285)-INDEX('Native PMKS'!$D$6:$D$366,C285))*E285</f>
        <v>29.577368802228413</v>
      </c>
    </row>
    <row r="286" spans="1:6" ht="18.95" customHeight="1">
      <c r="A286" s="1">
        <v>280</v>
      </c>
      <c r="B286" s="6">
        <f>TimeStep!G286</f>
        <v>2339.8328690807798</v>
      </c>
      <c r="C286" s="6">
        <f>MIN(MATCH(B286,'Native PMKS'!$C$6:$C$366,1),360)</f>
        <v>281</v>
      </c>
      <c r="D286" s="6">
        <f t="shared" si="4"/>
        <v>282</v>
      </c>
      <c r="E286" s="6">
        <f>(B286-INDEX('Native PMKS'!$C$6:$C$366,C286))/(INDEX('Native PMKS'!$C$6:$C$366,D286)-INDEX('Native PMKS'!$C$6:$C$366,C286))</f>
        <v>0.77994428969354379</v>
      </c>
      <c r="F286" s="6">
        <f>INDEX('Native PMKS'!$D$6:$D$366,C286)+(INDEX('Native PMKS'!$D$6:$D$366,D286)-INDEX('Native PMKS'!$D$6:$D$366,C286))*E286</f>
        <v>29.475218384401121</v>
      </c>
    </row>
    <row r="287" spans="1:6" ht="18.95" customHeight="1">
      <c r="A287" s="1">
        <v>281</v>
      </c>
      <c r="B287" s="6">
        <f>TimeStep!G287</f>
        <v>2348.1894150417829</v>
      </c>
      <c r="C287" s="6">
        <f>MIN(MATCH(B287,'Native PMKS'!$C$6:$C$366,1),360)</f>
        <v>282</v>
      </c>
      <c r="D287" s="6">
        <f t="shared" si="4"/>
        <v>283</v>
      </c>
      <c r="E287" s="6">
        <f>(B287-INDEX('Native PMKS'!$C$6:$C$366,C287))/(INDEX('Native PMKS'!$C$6:$C$366,D287)-INDEX('Native PMKS'!$C$6:$C$366,C287))</f>
        <v>0.78272980501394274</v>
      </c>
      <c r="F287" s="6">
        <f>INDEX('Native PMKS'!$D$6:$D$366,C287)+(INDEX('Native PMKS'!$D$6:$D$366,D287)-INDEX('Native PMKS'!$D$6:$D$366,C287))*E287</f>
        <v>29.405149582172701</v>
      </c>
    </row>
    <row r="288" spans="1:6" ht="18.95" customHeight="1">
      <c r="A288" s="1">
        <v>282</v>
      </c>
      <c r="B288" s="6">
        <f>TimeStep!G288</f>
        <v>2356.5459610027856</v>
      </c>
      <c r="C288" s="6">
        <f>MIN(MATCH(B288,'Native PMKS'!$C$6:$C$366,1),360)</f>
        <v>283</v>
      </c>
      <c r="D288" s="6">
        <f t="shared" si="4"/>
        <v>284</v>
      </c>
      <c r="E288" s="6">
        <f>(B288-INDEX('Native PMKS'!$C$6:$C$366,C288))/(INDEX('Native PMKS'!$C$6:$C$366,D288)-INDEX('Native PMKS'!$C$6:$C$366,C288))</f>
        <v>0.78551532033425642</v>
      </c>
      <c r="F288" s="6">
        <f>INDEX('Native PMKS'!$D$6:$D$366,C288)+(INDEX('Native PMKS'!$D$6:$D$366,D288)-INDEX('Native PMKS'!$D$6:$D$366,C288))*E288</f>
        <v>29.302679944289693</v>
      </c>
    </row>
    <row r="289" spans="1:6" ht="18.95" customHeight="1">
      <c r="A289" s="1">
        <v>283</v>
      </c>
      <c r="B289" s="6">
        <f>TimeStep!G289</f>
        <v>2364.9025069637883</v>
      </c>
      <c r="C289" s="6">
        <f>MIN(MATCH(B289,'Native PMKS'!$C$6:$C$366,1),360)</f>
        <v>284</v>
      </c>
      <c r="D289" s="6">
        <f t="shared" si="4"/>
        <v>285</v>
      </c>
      <c r="E289" s="6">
        <f>(B289-INDEX('Native PMKS'!$C$6:$C$366,C289))/(INDEX('Native PMKS'!$C$6:$C$366,D289)-INDEX('Native PMKS'!$C$6:$C$366,C289))</f>
        <v>0.78830083565455811</v>
      </c>
      <c r="F289" s="6">
        <f>INDEX('Native PMKS'!$D$6:$D$366,C289)+(INDEX('Native PMKS'!$D$6:$D$366,D289)-INDEX('Native PMKS'!$D$6:$D$366,C289))*E289</f>
        <v>29.187839554317552</v>
      </c>
    </row>
    <row r="290" spans="1:6" ht="18.95" customHeight="1">
      <c r="A290" s="1">
        <v>284</v>
      </c>
      <c r="B290" s="6">
        <f>TimeStep!G290</f>
        <v>2373.2590529247909</v>
      </c>
      <c r="C290" s="6">
        <f>MIN(MATCH(B290,'Native PMKS'!$C$6:$C$366,1),360)</f>
        <v>285</v>
      </c>
      <c r="D290" s="6">
        <f t="shared" si="4"/>
        <v>286</v>
      </c>
      <c r="E290" s="6">
        <f>(B290-INDEX('Native PMKS'!$C$6:$C$366,C290))/(INDEX('Native PMKS'!$C$6:$C$366,D290)-INDEX('Native PMKS'!$C$6:$C$366,C290))</f>
        <v>0.79108635097490299</v>
      </c>
      <c r="F290" s="6">
        <f>INDEX('Native PMKS'!$D$6:$D$366,C290)+(INDEX('Native PMKS'!$D$6:$D$366,D290)-INDEX('Native PMKS'!$D$6:$D$366,C290))*E290</f>
        <v>29.072941504178274</v>
      </c>
    </row>
    <row r="291" spans="1:6" ht="18.95" customHeight="1">
      <c r="A291" s="1">
        <v>285</v>
      </c>
      <c r="B291" s="6">
        <f>TimeStep!G291</f>
        <v>2381.615598885794</v>
      </c>
      <c r="C291" s="6">
        <f>MIN(MATCH(B291,'Native PMKS'!$C$6:$C$366,1),360)</f>
        <v>286</v>
      </c>
      <c r="D291" s="6">
        <f t="shared" si="4"/>
        <v>287</v>
      </c>
      <c r="E291" s="6">
        <f>(B291-INDEX('Native PMKS'!$C$6:$C$366,C291))/(INDEX('Native PMKS'!$C$6:$C$366,D291)-INDEX('Native PMKS'!$C$6:$C$366,C291))</f>
        <v>0.79387186629527073</v>
      </c>
      <c r="F291" s="6">
        <f>INDEX('Native PMKS'!$D$6:$D$366,C291)+(INDEX('Native PMKS'!$D$6:$D$366,D291)-INDEX('Native PMKS'!$D$6:$D$366,C291))*E291</f>
        <v>28.912533426183842</v>
      </c>
    </row>
    <row r="292" spans="1:6" ht="18.95" customHeight="1">
      <c r="A292" s="1">
        <v>286</v>
      </c>
      <c r="B292" s="6">
        <f>TimeStep!G292</f>
        <v>2389.9721448467967</v>
      </c>
      <c r="C292" s="6">
        <f>MIN(MATCH(B292,'Native PMKS'!$C$6:$C$366,1),360)</f>
        <v>287</v>
      </c>
      <c r="D292" s="6">
        <f t="shared" si="4"/>
        <v>288</v>
      </c>
      <c r="E292" s="6">
        <f>(B292-INDEX('Native PMKS'!$C$6:$C$366,C292))/(INDEX('Native PMKS'!$C$6:$C$366,D292)-INDEX('Native PMKS'!$C$6:$C$366,C292))</f>
        <v>0.79665738161557242</v>
      </c>
      <c r="F292" s="6">
        <f>INDEX('Native PMKS'!$D$6:$D$366,C292)+(INDEX('Native PMKS'!$D$6:$D$366,D292)-INDEX('Native PMKS'!$D$6:$D$366,C292))*E292</f>
        <v>28.785803064066855</v>
      </c>
    </row>
    <row r="293" spans="1:6" ht="18.95" customHeight="1">
      <c r="A293" s="1">
        <v>287</v>
      </c>
      <c r="B293" s="6">
        <f>TimeStep!G293</f>
        <v>2398.3286908077994</v>
      </c>
      <c r="C293" s="6">
        <f>MIN(MATCH(B293,'Native PMKS'!$C$6:$C$366,1),360)</f>
        <v>288</v>
      </c>
      <c r="D293" s="6">
        <f t="shared" si="4"/>
        <v>289</v>
      </c>
      <c r="E293" s="6">
        <f>(B293-INDEX('Native PMKS'!$C$6:$C$366,C293))/(INDEX('Native PMKS'!$C$6:$C$366,D293)-INDEX('Native PMKS'!$C$6:$C$366,C293))</f>
        <v>0.79944289693591775</v>
      </c>
      <c r="F293" s="6">
        <f>INDEX('Native PMKS'!$D$6:$D$366,C293)+(INDEX('Native PMKS'!$D$6:$D$366,D293)-INDEX('Native PMKS'!$D$6:$D$366,C293))*E293</f>
        <v>28.625075766016714</v>
      </c>
    </row>
    <row r="294" spans="1:6" ht="18.95" customHeight="1">
      <c r="A294" s="1">
        <v>288</v>
      </c>
      <c r="B294" s="6">
        <f>TimeStep!G294</f>
        <v>2406.685236768802</v>
      </c>
      <c r="C294" s="6">
        <f>MIN(MATCH(B294,'Native PMKS'!$C$6:$C$366,1),360)</f>
        <v>289</v>
      </c>
      <c r="D294" s="6">
        <f t="shared" si="4"/>
        <v>290</v>
      </c>
      <c r="E294" s="6">
        <f>(B294-INDEX('Native PMKS'!$C$6:$C$366,C294))/(INDEX('Native PMKS'!$C$6:$C$366,D294)-INDEX('Native PMKS'!$C$6:$C$366,C294))</f>
        <v>0.80222841225623043</v>
      </c>
      <c r="F294" s="6">
        <f>INDEX('Native PMKS'!$D$6:$D$366,C294)+(INDEX('Native PMKS'!$D$6:$D$366,D294)-INDEX('Native PMKS'!$D$6:$D$366,C294))*E294</f>
        <v>28.498664623955435</v>
      </c>
    </row>
    <row r="295" spans="1:6" ht="18.95" customHeight="1">
      <c r="A295" s="1">
        <v>289</v>
      </c>
      <c r="B295" s="6">
        <f>TimeStep!G295</f>
        <v>2415.0417827298052</v>
      </c>
      <c r="C295" s="6">
        <f>MIN(MATCH(B295,'Native PMKS'!$C$6:$C$366,1),360)</f>
        <v>290</v>
      </c>
      <c r="D295" s="6">
        <f t="shared" si="4"/>
        <v>291</v>
      </c>
      <c r="E295" s="6">
        <f>(B295-INDEX('Native PMKS'!$C$6:$C$366,C295))/(INDEX('Native PMKS'!$C$6:$C$366,D295)-INDEX('Native PMKS'!$C$6:$C$366,C295))</f>
        <v>0.80501392757658674</v>
      </c>
      <c r="F295" s="6">
        <f>INDEX('Native PMKS'!$D$6:$D$366,C295)+(INDEX('Native PMKS'!$D$6:$D$366,D295)-INDEX('Native PMKS'!$D$6:$D$366,C295))*E295</f>
        <v>28.337618105849582</v>
      </c>
    </row>
    <row r="296" spans="1:6" ht="18.95" customHeight="1">
      <c r="A296" s="1">
        <v>290</v>
      </c>
      <c r="B296" s="6">
        <f>TimeStep!G296</f>
        <v>2423.3983286908078</v>
      </c>
      <c r="C296" s="6">
        <f>MIN(MATCH(B296,'Native PMKS'!$C$6:$C$366,1),360)</f>
        <v>291</v>
      </c>
      <c r="D296" s="6">
        <f t="shared" si="4"/>
        <v>292</v>
      </c>
      <c r="E296" s="6">
        <f>(B296-INDEX('Native PMKS'!$C$6:$C$366,C296))/(INDEX('Native PMKS'!$C$6:$C$366,D296)-INDEX('Native PMKS'!$C$6:$C$366,C296))</f>
        <v>0.80779944289693262</v>
      </c>
      <c r="F296" s="6">
        <f>INDEX('Native PMKS'!$D$6:$D$366,C296)+(INDEX('Native PMKS'!$D$6:$D$366,D296)-INDEX('Native PMKS'!$D$6:$D$366,C296))*E296</f>
        <v>28.165239275766019</v>
      </c>
    </row>
    <row r="297" spans="1:6" ht="18.95" customHeight="1">
      <c r="A297" s="1">
        <v>291</v>
      </c>
      <c r="B297" s="6">
        <f>TimeStep!G297</f>
        <v>2431.7548746518105</v>
      </c>
      <c r="C297" s="6">
        <f>MIN(MATCH(B297,'Native PMKS'!$C$6:$C$366,1),360)</f>
        <v>292</v>
      </c>
      <c r="D297" s="6">
        <f t="shared" si="4"/>
        <v>293</v>
      </c>
      <c r="E297" s="6">
        <f>(B297-INDEX('Native PMKS'!$C$6:$C$366,C297))/(INDEX('Native PMKS'!$C$6:$C$366,D297)-INDEX('Native PMKS'!$C$6:$C$366,C297))</f>
        <v>0.81058495821724486</v>
      </c>
      <c r="F297" s="6">
        <f>INDEX('Native PMKS'!$D$6:$D$366,C297)+(INDEX('Native PMKS'!$D$6:$D$366,D297)-INDEX('Native PMKS'!$D$6:$D$366,C297))*E297</f>
        <v>27.946413927576607</v>
      </c>
    </row>
    <row r="298" spans="1:6" ht="18.95" customHeight="1">
      <c r="A298" s="1">
        <v>292</v>
      </c>
      <c r="B298" s="6">
        <f>TimeStep!G298</f>
        <v>2440.1114206128132</v>
      </c>
      <c r="C298" s="6">
        <f>MIN(MATCH(B298,'Native PMKS'!$C$6:$C$366,1),360)</f>
        <v>293</v>
      </c>
      <c r="D298" s="6">
        <f t="shared" si="4"/>
        <v>294</v>
      </c>
      <c r="E298" s="6">
        <f>(B298-INDEX('Native PMKS'!$C$6:$C$366,C298))/(INDEX('Native PMKS'!$C$6:$C$366,D298)-INDEX('Native PMKS'!$C$6:$C$366,C298))</f>
        <v>0.81337047353754655</v>
      </c>
      <c r="F298" s="6">
        <f>INDEX('Native PMKS'!$D$6:$D$366,C298)+(INDEX('Native PMKS'!$D$6:$D$366,D298)-INDEX('Native PMKS'!$D$6:$D$366,C298))*E298</f>
        <v>27.763262952646251</v>
      </c>
    </row>
    <row r="299" spans="1:6" ht="18.95" customHeight="1">
      <c r="A299" s="1">
        <v>293</v>
      </c>
      <c r="B299" s="6">
        <f>TimeStep!G299</f>
        <v>2448.4679665738163</v>
      </c>
      <c r="C299" s="6">
        <f>MIN(MATCH(B299,'Native PMKS'!$C$6:$C$366,1),360)</f>
        <v>294</v>
      </c>
      <c r="D299" s="6">
        <f t="shared" si="4"/>
        <v>295</v>
      </c>
      <c r="E299" s="6">
        <f>(B299-INDEX('Native PMKS'!$C$6:$C$366,C299))/(INDEX('Native PMKS'!$C$6:$C$366,D299)-INDEX('Native PMKS'!$C$6:$C$366,C299))</f>
        <v>0.81615598885794738</v>
      </c>
      <c r="F299" s="6">
        <f>INDEX('Native PMKS'!$D$6:$D$366,C299)+(INDEX('Native PMKS'!$D$6:$D$366,D299)-INDEX('Native PMKS'!$D$6:$D$366,C299))*E299</f>
        <v>27.590902785515318</v>
      </c>
    </row>
    <row r="300" spans="1:6" ht="18.95" customHeight="1">
      <c r="A300" s="1">
        <v>294</v>
      </c>
      <c r="B300" s="6">
        <f>TimeStep!G300</f>
        <v>2456.824512534819</v>
      </c>
      <c r="C300" s="6">
        <f>MIN(MATCH(B300,'Native PMKS'!$C$6:$C$366,1),360)</f>
        <v>295</v>
      </c>
      <c r="D300" s="6">
        <f t="shared" si="4"/>
        <v>296</v>
      </c>
      <c r="E300" s="6">
        <f>(B300-INDEX('Native PMKS'!$C$6:$C$366,C300))/(INDEX('Native PMKS'!$C$6:$C$366,D300)-INDEX('Native PMKS'!$C$6:$C$366,C300))</f>
        <v>0.81894150417825917</v>
      </c>
      <c r="F300" s="6">
        <f>INDEX('Native PMKS'!$D$6:$D$366,C300)+(INDEX('Native PMKS'!$D$6:$D$366,D300)-INDEX('Native PMKS'!$D$6:$D$366,C300))*E300</f>
        <v>27.371598607242344</v>
      </c>
    </row>
    <row r="301" spans="1:6" ht="18.95" customHeight="1">
      <c r="A301" s="1">
        <v>295</v>
      </c>
      <c r="B301" s="6">
        <f>TimeStep!G301</f>
        <v>2465.1810584958216</v>
      </c>
      <c r="C301" s="6">
        <f>MIN(MATCH(B301,'Native PMKS'!$C$6:$C$366,1),360)</f>
        <v>296</v>
      </c>
      <c r="D301" s="6">
        <f t="shared" si="4"/>
        <v>297</v>
      </c>
      <c r="E301" s="6">
        <f>(B301-INDEX('Native PMKS'!$C$6:$C$366,C301))/(INDEX('Native PMKS'!$C$6:$C$366,D301)-INDEX('Native PMKS'!$C$6:$C$366,C301))</f>
        <v>0.82172701949856086</v>
      </c>
      <c r="F301" s="6">
        <f>INDEX('Native PMKS'!$D$6:$D$366,C301)+(INDEX('Native PMKS'!$D$6:$D$366,D301)-INDEX('Native PMKS'!$D$6:$D$366,C301))*E301</f>
        <v>27.141760167130929</v>
      </c>
    </row>
    <row r="302" spans="1:6" ht="18.95" customHeight="1">
      <c r="A302" s="1">
        <v>296</v>
      </c>
      <c r="B302" s="6">
        <f>TimeStep!G302</f>
        <v>2473.5376044568243</v>
      </c>
      <c r="C302" s="6">
        <f>MIN(MATCH(B302,'Native PMKS'!$C$6:$C$366,1),360)</f>
        <v>297</v>
      </c>
      <c r="D302" s="6">
        <f t="shared" si="4"/>
        <v>298</v>
      </c>
      <c r="E302" s="6">
        <f>(B302-INDEX('Native PMKS'!$C$6:$C$366,C302))/(INDEX('Native PMKS'!$C$6:$C$366,D302)-INDEX('Native PMKS'!$C$6:$C$366,C302))</f>
        <v>0.82451253481890763</v>
      </c>
      <c r="F302" s="6">
        <f>INDEX('Native PMKS'!$D$6:$D$366,C302)+(INDEX('Native PMKS'!$D$6:$D$366,D302)-INDEX('Native PMKS'!$D$6:$D$366,C302))*E302</f>
        <v>26.911921727019507</v>
      </c>
    </row>
    <row r="303" spans="1:6" ht="18.95" customHeight="1">
      <c r="A303" s="1">
        <v>297</v>
      </c>
      <c r="B303" s="6">
        <f>TimeStep!G303</f>
        <v>2481.8941504178274</v>
      </c>
      <c r="C303" s="6">
        <f>MIN(MATCH(B303,'Native PMKS'!$C$6:$C$366,1),360)</f>
        <v>298</v>
      </c>
      <c r="D303" s="6">
        <f t="shared" si="4"/>
        <v>299</v>
      </c>
      <c r="E303" s="6">
        <f>(B303-INDEX('Native PMKS'!$C$6:$C$366,C303))/(INDEX('Native PMKS'!$C$6:$C$366,D303)-INDEX('Native PMKS'!$C$6:$C$366,C303))</f>
        <v>0.82729805013927349</v>
      </c>
      <c r="F303" s="6">
        <f>INDEX('Native PMKS'!$D$6:$D$366,C303)+(INDEX('Native PMKS'!$D$6:$D$366,D303)-INDEX('Native PMKS'!$D$6:$D$366,C303))*E303</f>
        <v>26.682083286908078</v>
      </c>
    </row>
    <row r="304" spans="1:6" ht="18.95" customHeight="1">
      <c r="A304" s="1">
        <v>298</v>
      </c>
      <c r="B304" s="6">
        <f>TimeStep!G304</f>
        <v>2490.2506963788301</v>
      </c>
      <c r="C304" s="6">
        <f>MIN(MATCH(B304,'Native PMKS'!$C$6:$C$366,1),360)</f>
        <v>299</v>
      </c>
      <c r="D304" s="6">
        <f t="shared" si="4"/>
        <v>300</v>
      </c>
      <c r="E304" s="6">
        <f>(B304-INDEX('Native PMKS'!$C$6:$C$366,C304))/(INDEX('Native PMKS'!$C$6:$C$366,D304)-INDEX('Native PMKS'!$C$6:$C$366,C304))</f>
        <v>0.83008356545957518</v>
      </c>
      <c r="F304" s="6">
        <f>INDEX('Native PMKS'!$D$6:$D$366,C304)+(INDEX('Native PMKS'!$D$6:$D$366,D304)-INDEX('Native PMKS'!$D$6:$D$366,C304))*E304</f>
        <v>26.452327855153211</v>
      </c>
    </row>
    <row r="305" spans="1:6" ht="18.95" customHeight="1">
      <c r="A305" s="1">
        <v>299</v>
      </c>
      <c r="B305" s="6">
        <f>TimeStep!G305</f>
        <v>2498.6072423398327</v>
      </c>
      <c r="C305" s="6">
        <f>MIN(MATCH(B305,'Native PMKS'!$C$6:$C$366,1),360)</f>
        <v>300</v>
      </c>
      <c r="D305" s="6">
        <f t="shared" si="4"/>
        <v>301</v>
      </c>
      <c r="E305" s="6">
        <f>(B305-INDEX('Native PMKS'!$C$6:$C$366,C305))/(INDEX('Native PMKS'!$C$6:$C$366,D305)-INDEX('Native PMKS'!$C$6:$C$366,C305))</f>
        <v>0.83286908077992239</v>
      </c>
      <c r="F305" s="6">
        <f>INDEX('Native PMKS'!$D$6:$D$366,C305)+(INDEX('Native PMKS'!$D$6:$D$366,D305)-INDEX('Native PMKS'!$D$6:$D$366,C305))*E305</f>
        <v>26.222506406685241</v>
      </c>
    </row>
    <row r="306" spans="1:6" ht="18.95" customHeight="1">
      <c r="A306" s="1">
        <v>300</v>
      </c>
      <c r="B306" s="6">
        <f>TimeStep!G306</f>
        <v>2506.9637883008359</v>
      </c>
      <c r="C306" s="6">
        <f>MIN(MATCH(B306,'Native PMKS'!$C$6:$C$366,1),360)</f>
        <v>301</v>
      </c>
      <c r="D306" s="6">
        <f t="shared" si="4"/>
        <v>302</v>
      </c>
      <c r="E306" s="6">
        <f>(B306-INDEX('Native PMKS'!$C$6:$C$366,C306))/(INDEX('Native PMKS'!$C$6:$C$366,D306)-INDEX('Native PMKS'!$C$6:$C$366,C306))</f>
        <v>0.83565459610028781</v>
      </c>
      <c r="F306" s="6">
        <f>INDEX('Native PMKS'!$D$6:$D$366,C306)+(INDEX('Native PMKS'!$D$6:$D$366,D306)-INDEX('Native PMKS'!$D$6:$D$366,C306))*E306</f>
        <v>25.944784958217269</v>
      </c>
    </row>
    <row r="307" spans="1:6" ht="18.95" customHeight="1">
      <c r="A307" s="1">
        <v>301</v>
      </c>
      <c r="B307" s="6">
        <f>TimeStep!G307</f>
        <v>2515.3203342618385</v>
      </c>
      <c r="C307" s="6">
        <f>MIN(MATCH(B307,'Native PMKS'!$C$6:$C$366,1),360)</f>
        <v>302</v>
      </c>
      <c r="D307" s="6">
        <f t="shared" si="4"/>
        <v>303</v>
      </c>
      <c r="E307" s="6">
        <f>(B307-INDEX('Native PMKS'!$C$6:$C$366,C307))/(INDEX('Native PMKS'!$C$6:$C$366,D307)-INDEX('Native PMKS'!$C$6:$C$366,C307))</f>
        <v>0.83844011142058961</v>
      </c>
      <c r="F307" s="6">
        <f>INDEX('Native PMKS'!$D$6:$D$366,C307)+(INDEX('Native PMKS'!$D$6:$D$366,D307)-INDEX('Native PMKS'!$D$6:$D$366,C307))*E307</f>
        <v>25.705529526462403</v>
      </c>
    </row>
    <row r="308" spans="1:6" ht="18.95" customHeight="1">
      <c r="A308" s="1">
        <v>302</v>
      </c>
      <c r="B308" s="6">
        <f>TimeStep!G308</f>
        <v>2523.6768802228412</v>
      </c>
      <c r="C308" s="6">
        <f>MIN(MATCH(B308,'Native PMKS'!$C$6:$C$366,1),360)</f>
        <v>303</v>
      </c>
      <c r="D308" s="6">
        <f t="shared" si="4"/>
        <v>304</v>
      </c>
      <c r="E308" s="6">
        <f>(B308-INDEX('Native PMKS'!$C$6:$C$366,C308))/(INDEX('Native PMKS'!$C$6:$C$366,D308)-INDEX('Native PMKS'!$C$6:$C$366,C308))</f>
        <v>0.84122562674093715</v>
      </c>
      <c r="F308" s="6">
        <f>INDEX('Native PMKS'!$D$6:$D$366,C308)+(INDEX('Native PMKS'!$D$6:$D$366,D308)-INDEX('Native PMKS'!$D$6:$D$366,C308))*E308</f>
        <v>25.427488857938723</v>
      </c>
    </row>
    <row r="309" spans="1:6" ht="18.95" customHeight="1">
      <c r="A309" s="1">
        <v>303</v>
      </c>
      <c r="B309" s="6">
        <f>TimeStep!G309</f>
        <v>2532.0334261838439</v>
      </c>
      <c r="C309" s="6">
        <f>MIN(MATCH(B309,'Native PMKS'!$C$6:$C$366,1),360)</f>
        <v>304</v>
      </c>
      <c r="D309" s="6">
        <f t="shared" si="4"/>
        <v>305</v>
      </c>
      <c r="E309" s="6">
        <f>(B309-INDEX('Native PMKS'!$C$6:$C$366,C309))/(INDEX('Native PMKS'!$C$6:$C$366,D309)-INDEX('Native PMKS'!$C$6:$C$366,C309))</f>
        <v>0.84401114206124761</v>
      </c>
      <c r="F309" s="6">
        <f>INDEX('Native PMKS'!$D$6:$D$366,C309)+(INDEX('Native PMKS'!$D$6:$D$366,D309)-INDEX('Native PMKS'!$D$6:$D$366,C309))*E309</f>
        <v>25.140275208913661</v>
      </c>
    </row>
    <row r="310" spans="1:6" ht="18.95" customHeight="1">
      <c r="A310" s="1">
        <v>304</v>
      </c>
      <c r="B310" s="6">
        <f>TimeStep!G310</f>
        <v>2540.389972144847</v>
      </c>
      <c r="C310" s="6">
        <f>MIN(MATCH(B310,'Native PMKS'!$C$6:$C$366,1),360)</f>
        <v>305</v>
      </c>
      <c r="D310" s="6">
        <f t="shared" si="4"/>
        <v>306</v>
      </c>
      <c r="E310" s="6">
        <f>(B310-INDEX('Native PMKS'!$C$6:$C$366,C310))/(INDEX('Native PMKS'!$C$6:$C$366,D310)-INDEX('Native PMKS'!$C$6:$C$366,C310))</f>
        <v>0.84679665738160392</v>
      </c>
      <c r="F310" s="6">
        <f>INDEX('Native PMKS'!$D$6:$D$366,C310)+(INDEX('Native PMKS'!$D$6:$D$366,D310)-INDEX('Native PMKS'!$D$6:$D$366,C310))*E310</f>
        <v>24.852992757660171</v>
      </c>
    </row>
    <row r="311" spans="1:6" ht="18.95" customHeight="1">
      <c r="A311" s="1">
        <v>305</v>
      </c>
      <c r="B311" s="6">
        <f>TimeStep!G311</f>
        <v>2548.7465181058496</v>
      </c>
      <c r="C311" s="6">
        <f>MIN(MATCH(B311,'Native PMKS'!$C$6:$C$366,1),360)</f>
        <v>306</v>
      </c>
      <c r="D311" s="6">
        <f t="shared" si="4"/>
        <v>307</v>
      </c>
      <c r="E311" s="6">
        <f>(B311-INDEX('Native PMKS'!$C$6:$C$366,C311))/(INDEX('Native PMKS'!$C$6:$C$366,D311)-INDEX('Native PMKS'!$C$6:$C$366,C311))</f>
        <v>0.84958217270195202</v>
      </c>
      <c r="F311" s="6">
        <f>INDEX('Native PMKS'!$D$6:$D$366,C311)+(INDEX('Native PMKS'!$D$6:$D$366,D311)-INDEX('Native PMKS'!$D$6:$D$366,C311))*E311</f>
        <v>24.56569470752089</v>
      </c>
    </row>
    <row r="312" spans="1:6" ht="18.95" customHeight="1">
      <c r="A312" s="1">
        <v>306</v>
      </c>
      <c r="B312" s="6">
        <f>TimeStep!G312</f>
        <v>2557.1030640668523</v>
      </c>
      <c r="C312" s="6">
        <f>MIN(MATCH(B312,'Native PMKS'!$C$6:$C$366,1),360)</f>
        <v>307</v>
      </c>
      <c r="D312" s="6">
        <f t="shared" si="4"/>
        <v>308</v>
      </c>
      <c r="E312" s="6">
        <f>(B312-INDEX('Native PMKS'!$C$6:$C$366,C312))/(INDEX('Native PMKS'!$C$6:$C$366,D312)-INDEX('Native PMKS'!$C$6:$C$366,C312))</f>
        <v>0.85236768802226193</v>
      </c>
      <c r="F312" s="6">
        <f>INDEX('Native PMKS'!$D$6:$D$366,C312)+(INDEX('Native PMKS'!$D$6:$D$366,D312)-INDEX('Native PMKS'!$D$6:$D$366,C312))*E312</f>
        <v>24.278396657381624</v>
      </c>
    </row>
    <row r="313" spans="1:6" ht="18.95" customHeight="1">
      <c r="A313" s="1">
        <v>307</v>
      </c>
      <c r="B313" s="6">
        <f>TimeStep!G313</f>
        <v>2565.459610027855</v>
      </c>
      <c r="C313" s="6">
        <f>MIN(MATCH(B313,'Native PMKS'!$C$6:$C$366,1),360)</f>
        <v>308</v>
      </c>
      <c r="D313" s="6">
        <f t="shared" si="4"/>
        <v>309</v>
      </c>
      <c r="E313" s="6">
        <f>(B313-INDEX('Native PMKS'!$C$6:$C$366,C313))/(INDEX('Native PMKS'!$C$6:$C$366,D313)-INDEX('Native PMKS'!$C$6:$C$366,C313))</f>
        <v>0.85515320334256362</v>
      </c>
      <c r="F313" s="6">
        <f>INDEX('Native PMKS'!$D$6:$D$366,C313)+(INDEX('Native PMKS'!$D$6:$D$366,D313)-INDEX('Native PMKS'!$D$6:$D$366,C313))*E313</f>
        <v>23.942098328690825</v>
      </c>
    </row>
    <row r="314" spans="1:6" ht="18.95" customHeight="1">
      <c r="A314" s="1">
        <v>308</v>
      </c>
      <c r="B314" s="6">
        <f>TimeStep!G314</f>
        <v>2573.8161559888581</v>
      </c>
      <c r="C314" s="6">
        <f>MIN(MATCH(B314,'Native PMKS'!$C$6:$C$366,1),360)</f>
        <v>309</v>
      </c>
      <c r="D314" s="6">
        <f t="shared" si="4"/>
        <v>310</v>
      </c>
      <c r="E314" s="6">
        <f>(B314-INDEX('Native PMKS'!$C$6:$C$366,C314))/(INDEX('Native PMKS'!$C$6:$C$366,D314)-INDEX('Native PMKS'!$C$6:$C$366,C314))</f>
        <v>0.85793871866296678</v>
      </c>
      <c r="F314" s="6">
        <f>INDEX('Native PMKS'!$D$6:$D$366,C314)+(INDEX('Native PMKS'!$D$6:$D$366,D314)-INDEX('Native PMKS'!$D$6:$D$366,C314))*E314</f>
        <v>23.646586350974925</v>
      </c>
    </row>
    <row r="315" spans="1:6" ht="18.95" customHeight="1">
      <c r="A315" s="1">
        <v>309</v>
      </c>
      <c r="B315" s="6">
        <f>TimeStep!G315</f>
        <v>2582.1727019498608</v>
      </c>
      <c r="C315" s="6">
        <f>MIN(MATCH(B315,'Native PMKS'!$C$6:$C$366,1),360)</f>
        <v>310</v>
      </c>
      <c r="D315" s="6">
        <f t="shared" si="4"/>
        <v>311</v>
      </c>
      <c r="E315" s="6">
        <f>(B315-INDEX('Native PMKS'!$C$6:$C$366,C315))/(INDEX('Native PMKS'!$C$6:$C$366,D315)-INDEX('Native PMKS'!$C$6:$C$366,C315))</f>
        <v>0.86072423398327624</v>
      </c>
      <c r="F315" s="6">
        <f>INDEX('Native PMKS'!$D$6:$D$366,C315)+(INDEX('Native PMKS'!$D$6:$D$366,D315)-INDEX('Native PMKS'!$D$6:$D$366,C315))*E315</f>
        <v>23.30998300835655</v>
      </c>
    </row>
    <row r="316" spans="1:6" ht="18.95" customHeight="1">
      <c r="A316" s="1">
        <v>310</v>
      </c>
      <c r="B316" s="6">
        <f>TimeStep!G316</f>
        <v>2590.5292479108634</v>
      </c>
      <c r="C316" s="6">
        <f>MIN(MATCH(B316,'Native PMKS'!$C$6:$C$366,1),360)</f>
        <v>311</v>
      </c>
      <c r="D316" s="6">
        <f t="shared" si="4"/>
        <v>312</v>
      </c>
      <c r="E316" s="6">
        <f>(B316-INDEX('Native PMKS'!$C$6:$C$366,C316))/(INDEX('Native PMKS'!$C$6:$C$366,D316)-INDEX('Native PMKS'!$C$6:$C$366,C316))</f>
        <v>0.86350974930357804</v>
      </c>
      <c r="F316" s="6">
        <f>INDEX('Native PMKS'!$D$6:$D$366,C316)+(INDEX('Native PMKS'!$D$6:$D$366,D316)-INDEX('Native PMKS'!$D$6:$D$366,C316))*E316</f>
        <v>22.965225348189428</v>
      </c>
    </row>
    <row r="317" spans="1:6" ht="18.95" customHeight="1">
      <c r="A317" s="1">
        <v>311</v>
      </c>
      <c r="B317" s="6">
        <f>TimeStep!G317</f>
        <v>2598.8857938718661</v>
      </c>
      <c r="C317" s="6">
        <f>MIN(MATCH(B317,'Native PMKS'!$C$6:$C$366,1),360)</f>
        <v>312</v>
      </c>
      <c r="D317" s="6">
        <f t="shared" si="4"/>
        <v>313</v>
      </c>
      <c r="E317" s="6">
        <f>(B317-INDEX('Native PMKS'!$C$6:$C$366,C317))/(INDEX('Native PMKS'!$C$6:$C$366,D317)-INDEX('Native PMKS'!$C$6:$C$366,C317))</f>
        <v>0.86629526462392703</v>
      </c>
      <c r="F317" s="6">
        <f>INDEX('Native PMKS'!$D$6:$D$366,C317)+(INDEX('Native PMKS'!$D$6:$D$366,D317)-INDEX('Native PMKS'!$D$6:$D$366,C317))*E317</f>
        <v>22.620467688022295</v>
      </c>
    </row>
    <row r="318" spans="1:6" ht="18.95" customHeight="1">
      <c r="A318" s="1">
        <v>312</v>
      </c>
      <c r="B318" s="6">
        <f>TimeStep!G318</f>
        <v>2607.2423398328692</v>
      </c>
      <c r="C318" s="6">
        <f>MIN(MATCH(B318,'Native PMKS'!$C$6:$C$366,1),360)</f>
        <v>313</v>
      </c>
      <c r="D318" s="6">
        <f t="shared" si="4"/>
        <v>314</v>
      </c>
      <c r="E318" s="6">
        <f>(B318-INDEX('Native PMKS'!$C$6:$C$366,C318))/(INDEX('Native PMKS'!$C$6:$C$366,D318)-INDEX('Native PMKS'!$C$6:$C$366,C318))</f>
        <v>0.86908077994429056</v>
      </c>
      <c r="F318" s="6">
        <f>INDEX('Native PMKS'!$D$6:$D$366,C318)+(INDEX('Native PMKS'!$D$6:$D$366,D318)-INDEX('Native PMKS'!$D$6:$D$366,C318))*E318</f>
        <v>22.275796935933148</v>
      </c>
    </row>
    <row r="319" spans="1:6" ht="18.95" customHeight="1">
      <c r="A319" s="1">
        <v>313</v>
      </c>
      <c r="B319" s="6">
        <f>TimeStep!G319</f>
        <v>2615.5988857938719</v>
      </c>
      <c r="C319" s="6">
        <f>MIN(MATCH(B319,'Native PMKS'!$C$6:$C$366,1),360)</f>
        <v>314</v>
      </c>
      <c r="D319" s="6">
        <f t="shared" si="4"/>
        <v>315</v>
      </c>
      <c r="E319" s="6">
        <f>(B319-INDEX('Native PMKS'!$C$6:$C$366,C319))/(INDEX('Native PMKS'!$C$6:$C$366,D319)-INDEX('Native PMKS'!$C$6:$C$366,C319))</f>
        <v>0.87186629526459236</v>
      </c>
      <c r="F319" s="6">
        <f>INDEX('Native PMKS'!$D$6:$D$366,C319)+(INDEX('Native PMKS'!$D$6:$D$366,D319)-INDEX('Native PMKS'!$D$6:$D$366,C319))*E319</f>
        <v>21.931052367688032</v>
      </c>
    </row>
    <row r="320" spans="1:6" ht="18.95" customHeight="1">
      <c r="A320" s="1">
        <v>314</v>
      </c>
      <c r="B320" s="6">
        <f>TimeStep!G320</f>
        <v>2623.9554317548746</v>
      </c>
      <c r="C320" s="6">
        <f>MIN(MATCH(B320,'Native PMKS'!$C$6:$C$366,1),360)</f>
        <v>315</v>
      </c>
      <c r="D320" s="6">
        <f t="shared" si="4"/>
        <v>316</v>
      </c>
      <c r="E320" s="6">
        <f>(B320-INDEX('Native PMKS'!$C$6:$C$366,C320))/(INDEX('Native PMKS'!$C$6:$C$366,D320)-INDEX('Native PMKS'!$C$6:$C$366,C320))</f>
        <v>0.87465181058494179</v>
      </c>
      <c r="F320" s="6">
        <f>INDEX('Native PMKS'!$D$6:$D$366,C320)+(INDEX('Native PMKS'!$D$6:$D$366,D320)-INDEX('Native PMKS'!$D$6:$D$366,C320))*E320</f>
        <v>21.586294707520896</v>
      </c>
    </row>
    <row r="321" spans="1:6" ht="18.95" customHeight="1">
      <c r="A321" s="1">
        <v>315</v>
      </c>
      <c r="B321" s="6">
        <f>TimeStep!G321</f>
        <v>2632.3119777158772</v>
      </c>
      <c r="C321" s="6">
        <f>MIN(MATCH(B321,'Native PMKS'!$C$6:$C$366,1),360)</f>
        <v>316</v>
      </c>
      <c r="D321" s="6">
        <f t="shared" si="4"/>
        <v>317</v>
      </c>
      <c r="E321" s="6">
        <f>(B321-INDEX('Native PMKS'!$C$6:$C$366,C321))/(INDEX('Native PMKS'!$C$6:$C$366,D321)-INDEX('Native PMKS'!$C$6:$C$366,C321))</f>
        <v>0.87743732590525036</v>
      </c>
      <c r="F321" s="6">
        <f>INDEX('Native PMKS'!$D$6:$D$366,C321)+(INDEX('Native PMKS'!$D$6:$D$366,D321)-INDEX('Native PMKS'!$D$6:$D$366,C321))*E321</f>
        <v>21.191259888579403</v>
      </c>
    </row>
    <row r="322" spans="1:6" ht="18.95" customHeight="1">
      <c r="A322" s="1">
        <v>316</v>
      </c>
      <c r="B322" s="6">
        <f>TimeStep!G322</f>
        <v>2640.6685236768803</v>
      </c>
      <c r="C322" s="6">
        <f>MIN(MATCH(B322,'Native PMKS'!$C$6:$C$366,1),360)</f>
        <v>317</v>
      </c>
      <c r="D322" s="6">
        <f t="shared" si="4"/>
        <v>318</v>
      </c>
      <c r="E322" s="6">
        <f>(B322-INDEX('Native PMKS'!$C$6:$C$366,C322))/(INDEX('Native PMKS'!$C$6:$C$366,D322)-INDEX('Native PMKS'!$C$6:$C$366,C322))</f>
        <v>0.88022284122560668</v>
      </c>
      <c r="F322" s="6">
        <f>INDEX('Native PMKS'!$D$6:$D$366,C322)+(INDEX('Native PMKS'!$D$6:$D$366,D322)-INDEX('Native PMKS'!$D$6:$D$366,C322))*E322</f>
        <v>20.83956740947076</v>
      </c>
    </row>
    <row r="323" spans="1:6" ht="18.95" customHeight="1">
      <c r="A323" s="1">
        <v>317</v>
      </c>
      <c r="B323" s="6">
        <f>TimeStep!G323</f>
        <v>2649.025069637883</v>
      </c>
      <c r="C323" s="6">
        <f>MIN(MATCH(B323,'Native PMKS'!$C$6:$C$366,1),360)</f>
        <v>318</v>
      </c>
      <c r="D323" s="6">
        <f t="shared" si="4"/>
        <v>319</v>
      </c>
      <c r="E323" s="6">
        <f>(B323-INDEX('Native PMKS'!$C$6:$C$366,C323))/(INDEX('Native PMKS'!$C$6:$C$366,D323)-INDEX('Native PMKS'!$C$6:$C$366,C323))</f>
        <v>0.88300835654595655</v>
      </c>
      <c r="F323" s="6">
        <f>INDEX('Native PMKS'!$D$6:$D$366,C323)+(INDEX('Native PMKS'!$D$6:$D$366,D323)-INDEX('Native PMKS'!$D$6:$D$366,C323))*E323</f>
        <v>20.44422534818942</v>
      </c>
    </row>
    <row r="324" spans="1:6" ht="18.95" customHeight="1">
      <c r="A324" s="1">
        <v>318</v>
      </c>
      <c r="B324" s="6">
        <f>TimeStep!G324</f>
        <v>2657.3816155988857</v>
      </c>
      <c r="C324" s="6">
        <f>MIN(MATCH(B324,'Native PMKS'!$C$6:$C$366,1),360)</f>
        <v>319</v>
      </c>
      <c r="D324" s="6">
        <f t="shared" si="4"/>
        <v>320</v>
      </c>
      <c r="E324" s="6">
        <f>(B324-INDEX('Native PMKS'!$C$6:$C$366,C324))/(INDEX('Native PMKS'!$C$6:$C$366,D324)-INDEX('Native PMKS'!$C$6:$C$366,C324))</f>
        <v>0.88579387186626468</v>
      </c>
      <c r="F324" s="6">
        <f>INDEX('Native PMKS'!$D$6:$D$366,C324)+(INDEX('Native PMKS'!$D$6:$D$366,D324)-INDEX('Native PMKS'!$D$6:$D$366,C324))*E324</f>
        <v>20.042008077994442</v>
      </c>
    </row>
    <row r="325" spans="1:6" ht="18.95" customHeight="1">
      <c r="A325" s="1">
        <v>319</v>
      </c>
      <c r="B325" s="6">
        <f>TimeStep!G325</f>
        <v>2665.7381615598883</v>
      </c>
      <c r="C325" s="6">
        <f>MIN(MATCH(B325,'Native PMKS'!$C$6:$C$366,1),360)</f>
        <v>320</v>
      </c>
      <c r="D325" s="6">
        <f t="shared" si="4"/>
        <v>321</v>
      </c>
      <c r="E325" s="6">
        <f>(B325-INDEX('Native PMKS'!$C$6:$C$366,C325))/(INDEX('Native PMKS'!$C$6:$C$366,D325)-INDEX('Native PMKS'!$C$6:$C$366,C325))</f>
        <v>0.88857938718656648</v>
      </c>
      <c r="F325" s="6">
        <f>INDEX('Native PMKS'!$D$6:$D$366,C325)+(INDEX('Native PMKS'!$D$6:$D$366,D325)-INDEX('Native PMKS'!$D$6:$D$366,C325))*E325</f>
        <v>19.690795264623976</v>
      </c>
    </row>
    <row r="326" spans="1:6" ht="18.95" customHeight="1">
      <c r="A326" s="1">
        <v>320</v>
      </c>
      <c r="B326" s="6">
        <f>TimeStep!G326</f>
        <v>2674.0947075208915</v>
      </c>
      <c r="C326" s="6">
        <f>MIN(MATCH(B326,'Native PMKS'!$C$6:$C$366,1),360)</f>
        <v>321</v>
      </c>
      <c r="D326" s="6">
        <f t="shared" ref="D326:D365" si="5">C326+1</f>
        <v>322</v>
      </c>
      <c r="E326" s="6">
        <f>(B326-INDEX('Native PMKS'!$C$6:$C$366,C326))/(INDEX('Native PMKS'!$C$6:$C$366,D326)-INDEX('Native PMKS'!$C$6:$C$366,C326))</f>
        <v>0.89136490250697142</v>
      </c>
      <c r="F326" s="6">
        <f>INDEX('Native PMKS'!$D$6:$D$366,C326)+(INDEX('Native PMKS'!$D$6:$D$366,D326)-INDEX('Native PMKS'!$D$6:$D$366,C326))*E326</f>
        <v>19.294973537604456</v>
      </c>
    </row>
    <row r="327" spans="1:6" ht="18.95" customHeight="1">
      <c r="A327" s="1">
        <v>321</v>
      </c>
      <c r="B327" s="6">
        <f>TimeStep!G327</f>
        <v>2682.4512534818941</v>
      </c>
      <c r="C327" s="6">
        <f>MIN(MATCH(B327,'Native PMKS'!$C$6:$C$366,1),360)</f>
        <v>322</v>
      </c>
      <c r="D327" s="6">
        <f t="shared" si="5"/>
        <v>323</v>
      </c>
      <c r="E327" s="6">
        <f>(B327-INDEX('Native PMKS'!$C$6:$C$366,C327))/(INDEX('Native PMKS'!$C$6:$C$366,D327)-INDEX('Native PMKS'!$C$6:$C$366,C327))</f>
        <v>0.894150417827279</v>
      </c>
      <c r="F327" s="6">
        <f>INDEX('Native PMKS'!$D$6:$D$366,C327)+(INDEX('Native PMKS'!$D$6:$D$366,D327)-INDEX('Native PMKS'!$D$6:$D$366,C327))*E327</f>
        <v>18.841521448467976</v>
      </c>
    </row>
    <row r="328" spans="1:6" ht="18.95" customHeight="1">
      <c r="A328" s="1">
        <v>322</v>
      </c>
      <c r="B328" s="6">
        <f>TimeStep!G328</f>
        <v>2690.8077994428968</v>
      </c>
      <c r="C328" s="6">
        <f>MIN(MATCH(B328,'Native PMKS'!$C$6:$C$366,1),360)</f>
        <v>323</v>
      </c>
      <c r="D328" s="6">
        <f t="shared" si="5"/>
        <v>324</v>
      </c>
      <c r="E328" s="6">
        <f>(B328-INDEX('Native PMKS'!$C$6:$C$366,C328))/(INDEX('Native PMKS'!$C$6:$C$366,D328)-INDEX('Native PMKS'!$C$6:$C$366,C328))</f>
        <v>0.8969359331475808</v>
      </c>
      <c r="F328" s="6">
        <f>INDEX('Native PMKS'!$D$6:$D$366,C328)+(INDEX('Native PMKS'!$D$6:$D$366,D328)-INDEX('Native PMKS'!$D$6:$D$366,C328))*E328</f>
        <v>18.433238997214506</v>
      </c>
    </row>
    <row r="329" spans="1:6" ht="18.95" customHeight="1">
      <c r="A329" s="1">
        <v>323</v>
      </c>
      <c r="B329" s="6">
        <f>TimeStep!G329</f>
        <v>2699.1643454038999</v>
      </c>
      <c r="C329" s="6">
        <f>MIN(MATCH(B329,'Native PMKS'!$C$6:$C$366,1),360)</f>
        <v>324</v>
      </c>
      <c r="D329" s="6">
        <f t="shared" si="5"/>
        <v>325</v>
      </c>
      <c r="E329" s="6">
        <f>(B329-INDEX('Native PMKS'!$C$6:$C$366,C329))/(INDEX('Native PMKS'!$C$6:$C$366,D329)-INDEX('Native PMKS'!$C$6:$C$366,C329))</f>
        <v>0.89972144846798618</v>
      </c>
      <c r="F329" s="6">
        <f>INDEX('Native PMKS'!$D$6:$D$366,C329)+(INDEX('Native PMKS'!$D$6:$D$366,D329)-INDEX('Native PMKS'!$D$6:$D$366,C329))*E329</f>
        <v>18.031111699164338</v>
      </c>
    </row>
    <row r="330" spans="1:6" ht="18.95" customHeight="1">
      <c r="A330" s="1">
        <v>324</v>
      </c>
      <c r="B330" s="6">
        <f>TimeStep!G330</f>
        <v>2707.5208913649026</v>
      </c>
      <c r="C330" s="6">
        <f>MIN(MATCH(B330,'Native PMKS'!$C$6:$C$366,1),360)</f>
        <v>325</v>
      </c>
      <c r="D330" s="6">
        <f t="shared" si="5"/>
        <v>326</v>
      </c>
      <c r="E330" s="6">
        <f>(B330-INDEX('Native PMKS'!$C$6:$C$366,C330))/(INDEX('Native PMKS'!$C$6:$C$366,D330)-INDEX('Native PMKS'!$C$6:$C$366,C330))</f>
        <v>0.90250696378829343</v>
      </c>
      <c r="F330" s="6">
        <f>INDEX('Native PMKS'!$D$6:$D$366,C330)+(INDEX('Native PMKS'!$D$6:$D$366,D330)-INDEX('Native PMKS'!$D$6:$D$366,C330))*E330</f>
        <v>17.577190807799447</v>
      </c>
    </row>
    <row r="331" spans="1:6" ht="18.95" customHeight="1">
      <c r="A331" s="1">
        <v>325</v>
      </c>
      <c r="B331" s="6">
        <f>TimeStep!G331</f>
        <v>2715.8774373259052</v>
      </c>
      <c r="C331" s="6">
        <f>MIN(MATCH(B331,'Native PMKS'!$C$6:$C$366,1),360)</f>
        <v>326</v>
      </c>
      <c r="D331" s="6">
        <f t="shared" si="5"/>
        <v>327</v>
      </c>
      <c r="E331" s="6">
        <f>(B331-INDEX('Native PMKS'!$C$6:$C$366,C331))/(INDEX('Native PMKS'!$C$6:$C$366,D331)-INDEX('Native PMKS'!$C$6:$C$366,C331))</f>
        <v>0.90529247910859512</v>
      </c>
      <c r="F331" s="6">
        <f>INDEX('Native PMKS'!$D$6:$D$366,C331)+(INDEX('Native PMKS'!$D$6:$D$366,D331)-INDEX('Native PMKS'!$D$6:$D$366,C331))*E331</f>
        <v>17.169387186629542</v>
      </c>
    </row>
    <row r="332" spans="1:6" ht="18.95" customHeight="1">
      <c r="A332" s="1">
        <v>326</v>
      </c>
      <c r="B332" s="6">
        <f>TimeStep!G332</f>
        <v>2724.2339832869079</v>
      </c>
      <c r="C332" s="6">
        <f>MIN(MATCH(B332,'Native PMKS'!$C$6:$C$366,1),360)</f>
        <v>327</v>
      </c>
      <c r="D332" s="6">
        <f t="shared" si="5"/>
        <v>328</v>
      </c>
      <c r="E332" s="6">
        <f>(B332-INDEX('Native PMKS'!$C$6:$C$366,C332))/(INDEX('Native PMKS'!$C$6:$C$366,D332)-INDEX('Native PMKS'!$C$6:$C$366,C332))</f>
        <v>0.90807799442894643</v>
      </c>
      <c r="F332" s="6">
        <f>INDEX('Native PMKS'!$D$6:$D$366,C332)+(INDEX('Native PMKS'!$D$6:$D$366,D332)-INDEX('Native PMKS'!$D$6:$D$366,C332))*E332</f>
        <v>16.715227855153216</v>
      </c>
    </row>
    <row r="333" spans="1:6" ht="18.95" customHeight="1">
      <c r="A333" s="1">
        <v>327</v>
      </c>
      <c r="B333" s="6">
        <f>TimeStep!G333</f>
        <v>2732.590529247911</v>
      </c>
      <c r="C333" s="6">
        <f>MIN(MATCH(B333,'Native PMKS'!$C$6:$C$366,1),360)</f>
        <v>328</v>
      </c>
      <c r="D333" s="6">
        <f t="shared" si="5"/>
        <v>329</v>
      </c>
      <c r="E333" s="6">
        <f>(B333-INDEX('Native PMKS'!$C$6:$C$366,C333))/(INDEX('Native PMKS'!$C$6:$C$366,D333)-INDEX('Native PMKS'!$C$6:$C$366,C333))</f>
        <v>0.91086350974930774</v>
      </c>
      <c r="F333" s="6">
        <f>INDEX('Native PMKS'!$D$6:$D$366,C333)+(INDEX('Native PMKS'!$D$6:$D$366,D333)-INDEX('Native PMKS'!$D$6:$D$366,C333))*E333</f>
        <v>16.255560167130916</v>
      </c>
    </row>
    <row r="334" spans="1:6" ht="18.95" customHeight="1">
      <c r="A334" s="1">
        <v>328</v>
      </c>
      <c r="B334" s="6">
        <f>TimeStep!G334</f>
        <v>2740.9470752089137</v>
      </c>
      <c r="C334" s="6">
        <f>MIN(MATCH(B334,'Native PMKS'!$C$6:$C$366,1),360)</f>
        <v>329</v>
      </c>
      <c r="D334" s="6">
        <f t="shared" si="5"/>
        <v>330</v>
      </c>
      <c r="E334" s="6">
        <f>(B334-INDEX('Native PMKS'!$C$6:$C$366,C334))/(INDEX('Native PMKS'!$C$6:$C$366,D334)-INDEX('Native PMKS'!$C$6:$C$366,C334))</f>
        <v>0.91364902506960943</v>
      </c>
      <c r="F334" s="6">
        <f>INDEX('Native PMKS'!$D$6:$D$366,C334)+(INDEX('Native PMKS'!$D$6:$D$366,D334)-INDEX('Native PMKS'!$D$6:$D$366,C334))*E334</f>
        <v>15.848235376044579</v>
      </c>
    </row>
    <row r="335" spans="1:6" ht="18.95" customHeight="1">
      <c r="A335" s="1">
        <v>329</v>
      </c>
      <c r="B335" s="6">
        <f>TimeStep!G335</f>
        <v>2749.3036211699164</v>
      </c>
      <c r="C335" s="6">
        <f>MIN(MATCH(B335,'Native PMKS'!$C$6:$C$366,1),360)</f>
        <v>330</v>
      </c>
      <c r="D335" s="6">
        <f t="shared" si="5"/>
        <v>331</v>
      </c>
      <c r="E335" s="6">
        <f>(B335-INDEX('Native PMKS'!$C$6:$C$366,C335))/(INDEX('Native PMKS'!$C$6:$C$366,D335)-INDEX('Native PMKS'!$C$6:$C$366,C335))</f>
        <v>0.91643454038996119</v>
      </c>
      <c r="F335" s="6">
        <f>INDEX('Native PMKS'!$D$6:$D$366,C335)+(INDEX('Native PMKS'!$D$6:$D$366,D335)-INDEX('Native PMKS'!$D$6:$D$366,C335))*E335</f>
        <v>15.39359805013928</v>
      </c>
    </row>
    <row r="336" spans="1:6" ht="18.95" customHeight="1">
      <c r="A336" s="1">
        <v>330</v>
      </c>
      <c r="B336" s="6">
        <f>TimeStep!G336</f>
        <v>2757.660167130919</v>
      </c>
      <c r="C336" s="6">
        <f>MIN(MATCH(B336,'Native PMKS'!$C$6:$C$366,1),360)</f>
        <v>331</v>
      </c>
      <c r="D336" s="6">
        <f t="shared" si="5"/>
        <v>332</v>
      </c>
      <c r="E336" s="6">
        <f>(B336-INDEX('Native PMKS'!$C$6:$C$366,C336))/(INDEX('Native PMKS'!$C$6:$C$366,D336)-INDEX('Native PMKS'!$C$6:$C$366,C336))</f>
        <v>0.91922005571026755</v>
      </c>
      <c r="F336" s="6">
        <f>INDEX('Native PMKS'!$D$6:$D$366,C336)+(INDEX('Native PMKS'!$D$6:$D$366,D336)-INDEX('Native PMKS'!$D$6:$D$366,C336))*E336</f>
        <v>14.933929526462414</v>
      </c>
    </row>
    <row r="337" spans="1:6" ht="18.95" customHeight="1">
      <c r="A337" s="1">
        <v>331</v>
      </c>
      <c r="B337" s="6">
        <f>TimeStep!G337</f>
        <v>2766.0167130919222</v>
      </c>
      <c r="C337" s="6">
        <f>MIN(MATCH(B337,'Native PMKS'!$C$6:$C$366,1),360)</f>
        <v>332</v>
      </c>
      <c r="D337" s="6">
        <f t="shared" si="5"/>
        <v>333</v>
      </c>
      <c r="E337" s="6">
        <f>(B337-INDEX('Native PMKS'!$C$6:$C$366,C337))/(INDEX('Native PMKS'!$C$6:$C$366,D337)-INDEX('Native PMKS'!$C$6:$C$366,C337))</f>
        <v>0.92200557103062375</v>
      </c>
      <c r="F337" s="6">
        <f>INDEX('Native PMKS'!$D$6:$D$366,C337)+(INDEX('Native PMKS'!$D$6:$D$366,D337)-INDEX('Native PMKS'!$D$6:$D$366,C337))*E337</f>
        <v>14.474252646239561</v>
      </c>
    </row>
    <row r="338" spans="1:6" ht="18.95" customHeight="1">
      <c r="A338" s="1">
        <v>332</v>
      </c>
      <c r="B338" s="6">
        <f>TimeStep!G338</f>
        <v>2774.3732590529248</v>
      </c>
      <c r="C338" s="6">
        <f>MIN(MATCH(B338,'Native PMKS'!$C$6:$C$366,1),360)</f>
        <v>333</v>
      </c>
      <c r="D338" s="6">
        <f t="shared" si="5"/>
        <v>334</v>
      </c>
      <c r="E338" s="6">
        <f>(B338-INDEX('Native PMKS'!$C$6:$C$366,C338))/(INDEX('Native PMKS'!$C$6:$C$366,D338)-INDEX('Native PMKS'!$C$6:$C$366,C338))</f>
        <v>0.92479108635097595</v>
      </c>
      <c r="F338" s="6">
        <f>INDEX('Native PMKS'!$D$6:$D$366,C338)+(INDEX('Native PMKS'!$D$6:$D$366,D338)-INDEX('Native PMKS'!$D$6:$D$366,C338))*E338</f>
        <v>13.961677715877437</v>
      </c>
    </row>
    <row r="339" spans="1:6" ht="18.95" customHeight="1">
      <c r="A339" s="1">
        <v>333</v>
      </c>
      <c r="B339" s="6">
        <f>TimeStep!G339</f>
        <v>2782.7298050139275</v>
      </c>
      <c r="C339" s="6">
        <f>MIN(MATCH(B339,'Native PMKS'!$C$6:$C$366,1),360)</f>
        <v>334</v>
      </c>
      <c r="D339" s="6">
        <f t="shared" si="5"/>
        <v>335</v>
      </c>
      <c r="E339" s="6">
        <f>(B339-INDEX('Native PMKS'!$C$6:$C$366,C339))/(INDEX('Native PMKS'!$C$6:$C$366,D339)-INDEX('Native PMKS'!$C$6:$C$366,C339))</f>
        <v>0.92757660167128186</v>
      </c>
      <c r="F339" s="6">
        <f>INDEX('Native PMKS'!$D$6:$D$366,C339)+(INDEX('Native PMKS'!$D$6:$D$366,D339)-INDEX('Native PMKS'!$D$6:$D$366,C339))*E339</f>
        <v>13.497698885793884</v>
      </c>
    </row>
    <row r="340" spans="1:6" ht="18.95" customHeight="1">
      <c r="A340" s="1">
        <v>334</v>
      </c>
      <c r="B340" s="6">
        <f>TimeStep!G340</f>
        <v>2791.0863509749302</v>
      </c>
      <c r="C340" s="6">
        <f>MIN(MATCH(B340,'Native PMKS'!$C$6:$C$366,1),360)</f>
        <v>335</v>
      </c>
      <c r="D340" s="6">
        <f t="shared" si="5"/>
        <v>336</v>
      </c>
      <c r="E340" s="6">
        <f>(B340-INDEX('Native PMKS'!$C$6:$C$366,C340))/(INDEX('Native PMKS'!$C$6:$C$366,D340)-INDEX('Native PMKS'!$C$6:$C$366,C340))</f>
        <v>0.93036211699158355</v>
      </c>
      <c r="F340" s="6">
        <f>INDEX('Native PMKS'!$D$6:$D$366,C340)+(INDEX('Native PMKS'!$D$6:$D$366,D340)-INDEX('Native PMKS'!$D$6:$D$366,C340))*E340</f>
        <v>13.038022005571058</v>
      </c>
    </row>
    <row r="341" spans="1:6" ht="18.95" customHeight="1">
      <c r="A341" s="1">
        <v>335</v>
      </c>
      <c r="B341" s="6">
        <f>TimeStep!G341</f>
        <v>2799.4428969359333</v>
      </c>
      <c r="C341" s="6">
        <f>MIN(MATCH(B341,'Native PMKS'!$C$6:$C$366,1),360)</f>
        <v>336</v>
      </c>
      <c r="D341" s="6">
        <f t="shared" si="5"/>
        <v>337</v>
      </c>
      <c r="E341" s="6">
        <f>(B341-INDEX('Native PMKS'!$C$6:$C$366,C341))/(INDEX('Native PMKS'!$C$6:$C$366,D341)-INDEX('Native PMKS'!$C$6:$C$366,C341))</f>
        <v>0.93314763231199083</v>
      </c>
      <c r="F341" s="6">
        <f>INDEX('Native PMKS'!$D$6:$D$366,C341)+(INDEX('Native PMKS'!$D$6:$D$366,D341)-INDEX('Native PMKS'!$D$6:$D$366,C341))*E341</f>
        <v>12.524969080779938</v>
      </c>
    </row>
    <row r="342" spans="1:6" ht="18.95" customHeight="1">
      <c r="A342" s="1">
        <v>336</v>
      </c>
      <c r="B342" s="6">
        <f>TimeStep!G342</f>
        <v>2807.7994428969359</v>
      </c>
      <c r="C342" s="6">
        <f>MIN(MATCH(B342,'Native PMKS'!$C$6:$C$366,1),360)</f>
        <v>337</v>
      </c>
      <c r="D342" s="6">
        <f t="shared" si="5"/>
        <v>338</v>
      </c>
      <c r="E342" s="6">
        <f>(B342-INDEX('Native PMKS'!$C$6:$C$366,C342))/(INDEX('Native PMKS'!$C$6:$C$366,D342)-INDEX('Native PMKS'!$C$6:$C$366,C342))</f>
        <v>0.93593314763229618</v>
      </c>
      <c r="F342" s="6">
        <f>INDEX('Native PMKS'!$D$6:$D$366,C342)+(INDEX('Native PMKS'!$D$6:$D$366,D342)-INDEX('Native PMKS'!$D$6:$D$366,C342))*E342</f>
        <v>12.061468245125356</v>
      </c>
    </row>
    <row r="343" spans="1:6" ht="18.95" customHeight="1">
      <c r="A343" s="1">
        <v>337</v>
      </c>
      <c r="B343" s="6">
        <f>TimeStep!G343</f>
        <v>2816.1559888579386</v>
      </c>
      <c r="C343" s="6">
        <f>MIN(MATCH(B343,'Native PMKS'!$C$6:$C$366,1),360)</f>
        <v>338</v>
      </c>
      <c r="D343" s="6">
        <f t="shared" si="5"/>
        <v>339</v>
      </c>
      <c r="E343" s="6">
        <f>(B343-INDEX('Native PMKS'!$C$6:$C$366,C343))/(INDEX('Native PMKS'!$C$6:$C$366,D343)-INDEX('Native PMKS'!$C$6:$C$366,C343))</f>
        <v>0.93871866295259787</v>
      </c>
      <c r="F343" s="6">
        <f>INDEX('Native PMKS'!$D$6:$D$366,C343)+(INDEX('Native PMKS'!$D$6:$D$366,D343)-INDEX('Native PMKS'!$D$6:$D$366,C343))*E343</f>
        <v>11.548096657381642</v>
      </c>
    </row>
    <row r="344" spans="1:6" ht="18.95" customHeight="1">
      <c r="A344" s="1">
        <v>338</v>
      </c>
      <c r="B344" s="6">
        <f>TimeStep!G344</f>
        <v>2824.5125348189413</v>
      </c>
      <c r="C344" s="6">
        <f>MIN(MATCH(B344,'Native PMKS'!$C$6:$C$366,1),360)</f>
        <v>339</v>
      </c>
      <c r="D344" s="6">
        <f t="shared" si="5"/>
        <v>340</v>
      </c>
      <c r="E344" s="6">
        <f>(B344-INDEX('Native PMKS'!$C$6:$C$366,C344))/(INDEX('Native PMKS'!$C$6:$C$366,D344)-INDEX('Native PMKS'!$C$6:$C$366,C344))</f>
        <v>0.94150417827295096</v>
      </c>
      <c r="F344" s="6">
        <f>INDEX('Native PMKS'!$D$6:$D$366,C344)+(INDEX('Native PMKS'!$D$6:$D$366,D344)-INDEX('Native PMKS'!$D$6:$D$366,C344))*E344</f>
        <v>11.030966295264639</v>
      </c>
    </row>
    <row r="345" spans="1:6" ht="18.95" customHeight="1">
      <c r="A345" s="1">
        <v>339</v>
      </c>
      <c r="B345" s="6">
        <f>TimeStep!G345</f>
        <v>2832.8690807799444</v>
      </c>
      <c r="C345" s="6">
        <f>MIN(MATCH(B345,'Native PMKS'!$C$6:$C$366,1),360)</f>
        <v>340</v>
      </c>
      <c r="D345" s="6">
        <f t="shared" si="5"/>
        <v>341</v>
      </c>
      <c r="E345" s="6">
        <f>(B345-INDEX('Native PMKS'!$C$6:$C$366,C345))/(INDEX('Native PMKS'!$C$6:$C$366,D345)-INDEX('Native PMKS'!$C$6:$C$366,C345))</f>
        <v>0.9442896935933105</v>
      </c>
      <c r="F345" s="6">
        <f>INDEX('Native PMKS'!$D$6:$D$366,C345)+(INDEX('Native PMKS'!$D$6:$D$366,D345)-INDEX('Native PMKS'!$D$6:$D$366,C345))*E345</f>
        <v>10.567937604456827</v>
      </c>
    </row>
    <row r="346" spans="1:6" ht="18.95" customHeight="1">
      <c r="A346" s="1">
        <v>340</v>
      </c>
      <c r="B346" s="6">
        <f>TimeStep!G346</f>
        <v>2841.2256267409471</v>
      </c>
      <c r="C346" s="6">
        <f>MIN(MATCH(B346,'Native PMKS'!$C$6:$C$366,1),360)</f>
        <v>341</v>
      </c>
      <c r="D346" s="6">
        <f t="shared" si="5"/>
        <v>342</v>
      </c>
      <c r="E346" s="6">
        <f>(B346-INDEX('Native PMKS'!$C$6:$C$366,C346))/(INDEX('Native PMKS'!$C$6:$C$366,D346)-INDEX('Native PMKS'!$C$6:$C$366,C346))</f>
        <v>0.94707520891361219</v>
      </c>
      <c r="F346" s="6">
        <f>INDEX('Native PMKS'!$D$6:$D$366,C346)+(INDEX('Native PMKS'!$D$6:$D$366,D346)-INDEX('Native PMKS'!$D$6:$D$366,C346))*E346</f>
        <v>10.054088022284141</v>
      </c>
    </row>
    <row r="347" spans="1:6" ht="18.95" customHeight="1">
      <c r="A347" s="1">
        <v>341</v>
      </c>
      <c r="B347" s="6">
        <f>TimeStep!G347</f>
        <v>2849.5821727019497</v>
      </c>
      <c r="C347" s="6">
        <f>MIN(MATCH(B347,'Native PMKS'!$C$6:$C$366,1),360)</f>
        <v>342</v>
      </c>
      <c r="D347" s="6">
        <f t="shared" si="5"/>
        <v>343</v>
      </c>
      <c r="E347" s="6">
        <f>(B347-INDEX('Native PMKS'!$C$6:$C$366,C347))/(INDEX('Native PMKS'!$C$6:$C$366,D347)-INDEX('Native PMKS'!$C$6:$C$366,C347))</f>
        <v>0.94986072423396584</v>
      </c>
      <c r="F347" s="6">
        <f>INDEX('Native PMKS'!$D$6:$D$366,C347)+(INDEX('Native PMKS'!$D$6:$D$366,D347)-INDEX('Native PMKS'!$D$6:$D$366,C347))*E347</f>
        <v>9.5369568245125453</v>
      </c>
    </row>
    <row r="348" spans="1:6" ht="18.95" customHeight="1">
      <c r="A348" s="1">
        <v>342</v>
      </c>
      <c r="B348" s="6">
        <f>TimeStep!G348</f>
        <v>2857.9387186629529</v>
      </c>
      <c r="C348" s="6">
        <f>MIN(MATCH(B348,'Native PMKS'!$C$6:$C$366,1),360)</f>
        <v>343</v>
      </c>
      <c r="D348" s="6">
        <f t="shared" si="5"/>
        <v>344</v>
      </c>
      <c r="E348" s="6">
        <f>(B348-INDEX('Native PMKS'!$C$6:$C$366,C348))/(INDEX('Native PMKS'!$C$6:$C$366,D348)-INDEX('Native PMKS'!$C$6:$C$366,C348))</f>
        <v>0.95264623955432481</v>
      </c>
      <c r="F348" s="6">
        <f>INDEX('Native PMKS'!$D$6:$D$366,C348)+(INDEX('Native PMKS'!$D$6:$D$366,D348)-INDEX('Native PMKS'!$D$6:$D$366,C348))*E348</f>
        <v>9.0198203342618353</v>
      </c>
    </row>
    <row r="349" spans="1:6" ht="18.95" customHeight="1">
      <c r="A349" s="1">
        <v>343</v>
      </c>
      <c r="B349" s="6">
        <f>TimeStep!G349</f>
        <v>2866.2952646239555</v>
      </c>
      <c r="C349" s="6">
        <f>MIN(MATCH(B349,'Native PMKS'!$C$6:$C$366,1),360)</f>
        <v>344</v>
      </c>
      <c r="D349" s="6">
        <f t="shared" si="5"/>
        <v>345</v>
      </c>
      <c r="E349" s="6">
        <f>(B349-INDEX('Native PMKS'!$C$6:$C$366,C349))/(INDEX('Native PMKS'!$C$6:$C$366,D349)-INDEX('Native PMKS'!$C$6:$C$366,C349))</f>
        <v>0.95543175487462662</v>
      </c>
      <c r="F349" s="6">
        <f>INDEX('Native PMKS'!$D$6:$D$366,C349)+(INDEX('Native PMKS'!$D$6:$D$366,D349)-INDEX('Native PMKS'!$D$6:$D$366,C349))*E349</f>
        <v>8.5027793871866422</v>
      </c>
    </row>
    <row r="350" spans="1:6" ht="18.95" customHeight="1">
      <c r="A350" s="1">
        <v>344</v>
      </c>
      <c r="B350" s="6">
        <f>TimeStep!G350</f>
        <v>2874.6518105849582</v>
      </c>
      <c r="C350" s="6">
        <f>MIN(MATCH(B350,'Native PMKS'!$C$6:$C$366,1),360)</f>
        <v>345</v>
      </c>
      <c r="D350" s="6">
        <f t="shared" si="5"/>
        <v>346</v>
      </c>
      <c r="E350" s="6">
        <f>(B350-INDEX('Native PMKS'!$C$6:$C$366,C350))/(INDEX('Native PMKS'!$C$6:$C$366,D350)-INDEX('Native PMKS'!$C$6:$C$366,C350))</f>
        <v>0.9582172701949806</v>
      </c>
      <c r="F350" s="6">
        <f>INDEX('Native PMKS'!$D$6:$D$366,C350)+(INDEX('Native PMKS'!$D$6:$D$366,D350)-INDEX('Native PMKS'!$D$6:$D$366,C350))*E350</f>
        <v>7.9856473537604487</v>
      </c>
    </row>
    <row r="351" spans="1:6" ht="18.95" customHeight="1">
      <c r="A351" s="1">
        <v>345</v>
      </c>
      <c r="B351" s="6">
        <f>TimeStep!G351</f>
        <v>2883.0083565459609</v>
      </c>
      <c r="C351" s="6">
        <f>MIN(MATCH(B351,'Native PMKS'!$C$6:$C$366,1),360)</f>
        <v>346</v>
      </c>
      <c r="D351" s="6">
        <f t="shared" si="5"/>
        <v>347</v>
      </c>
      <c r="E351" s="6">
        <f>(B351-INDEX('Native PMKS'!$C$6:$C$366,C351))/(INDEX('Native PMKS'!$C$6:$C$366,D351)-INDEX('Native PMKS'!$C$6:$C$366,C351))</f>
        <v>0.96100278551528462</v>
      </c>
      <c r="F351" s="6">
        <f>INDEX('Native PMKS'!$D$6:$D$366,C351)+(INDEX('Native PMKS'!$D$6:$D$366,D351)-INDEX('Native PMKS'!$D$6:$D$366,C351))*E351</f>
        <v>7.4686069637883197</v>
      </c>
    </row>
    <row r="352" spans="1:6" ht="18.95" customHeight="1">
      <c r="A352" s="1">
        <v>346</v>
      </c>
      <c r="B352" s="6">
        <f>TimeStep!G352</f>
        <v>2891.364902506964</v>
      </c>
      <c r="C352" s="6">
        <f>MIN(MATCH(B352,'Native PMKS'!$C$6:$C$366,1),360)</f>
        <v>347</v>
      </c>
      <c r="D352" s="6">
        <f t="shared" si="5"/>
        <v>348</v>
      </c>
      <c r="E352" s="6">
        <f>(B352-INDEX('Native PMKS'!$C$6:$C$366,C352))/(INDEX('Native PMKS'!$C$6:$C$366,D352)-INDEX('Native PMKS'!$C$6:$C$366,C352))</f>
        <v>0.96378830083564093</v>
      </c>
      <c r="F352" s="6">
        <f>INDEX('Native PMKS'!$D$6:$D$366,C352)+(INDEX('Native PMKS'!$D$6:$D$366,D352)-INDEX('Native PMKS'!$D$6:$D$366,C352))*E352</f>
        <v>6.9514743732590603</v>
      </c>
    </row>
    <row r="353" spans="1:6" ht="18.95" customHeight="1">
      <c r="A353" s="1">
        <v>347</v>
      </c>
      <c r="B353" s="6">
        <f>TimeStep!G353</f>
        <v>2899.7214484679666</v>
      </c>
      <c r="C353" s="6">
        <f>MIN(MATCH(B353,'Native PMKS'!$C$6:$C$366,1),360)</f>
        <v>348</v>
      </c>
      <c r="D353" s="6">
        <f t="shared" si="5"/>
        <v>349</v>
      </c>
      <c r="E353" s="6">
        <f>(B353-INDEX('Native PMKS'!$C$6:$C$366,C353))/(INDEX('Native PMKS'!$C$6:$C$366,D353)-INDEX('Native PMKS'!$C$6:$C$366,C353))</f>
        <v>0.96657381615599536</v>
      </c>
      <c r="F353" s="6">
        <f>INDEX('Native PMKS'!$D$6:$D$366,C353)+(INDEX('Native PMKS'!$D$6:$D$366,D353)-INDEX('Native PMKS'!$D$6:$D$366,C353))*E353</f>
        <v>6.4343378830083529</v>
      </c>
    </row>
    <row r="354" spans="1:6" ht="18.95" customHeight="1">
      <c r="A354" s="1">
        <v>348</v>
      </c>
      <c r="B354" s="6">
        <f>TimeStep!G354</f>
        <v>2908.0779944289693</v>
      </c>
      <c r="C354" s="6">
        <f>MIN(MATCH(B354,'Native PMKS'!$C$6:$C$366,1),360)</f>
        <v>349</v>
      </c>
      <c r="D354" s="6">
        <f t="shared" si="5"/>
        <v>350</v>
      </c>
      <c r="E354" s="6">
        <f>(B354-INDEX('Native PMKS'!$C$6:$C$366,C354))/(INDEX('Native PMKS'!$C$6:$C$366,D354)-INDEX('Native PMKS'!$C$6:$C$366,C354))</f>
        <v>0.96935933147629894</v>
      </c>
      <c r="F354" s="6">
        <f>INDEX('Native PMKS'!$D$6:$D$366,C354)+(INDEX('Native PMKS'!$D$6:$D$366,D354)-INDEX('Native PMKS'!$D$6:$D$366,C354))*E354</f>
        <v>5.917298328690821</v>
      </c>
    </row>
    <row r="355" spans="1:6" ht="18.95" customHeight="1">
      <c r="A355" s="1">
        <v>349</v>
      </c>
      <c r="B355" s="6">
        <f>TimeStep!G355</f>
        <v>2916.434540389972</v>
      </c>
      <c r="C355" s="6">
        <f>MIN(MATCH(B355,'Native PMKS'!$C$6:$C$366,1),360)</f>
        <v>350</v>
      </c>
      <c r="D355" s="6">
        <f t="shared" si="5"/>
        <v>351</v>
      </c>
      <c r="E355" s="6">
        <f>(B355-INDEX('Native PMKS'!$C$6:$C$366,C355))/(INDEX('Native PMKS'!$C$6:$C$366,D355)-INDEX('Native PMKS'!$C$6:$C$366,C355))</f>
        <v>0.97214484679660074</v>
      </c>
      <c r="F355" s="6">
        <f>INDEX('Native PMKS'!$D$6:$D$366,C355)+(INDEX('Native PMKS'!$D$6:$D$366,D355)-INDEX('Native PMKS'!$D$6:$D$366,C355))*E355</f>
        <v>5.3444610027855477</v>
      </c>
    </row>
    <row r="356" spans="1:6" ht="18.95" customHeight="1">
      <c r="A356" s="1">
        <v>350</v>
      </c>
      <c r="B356" s="6">
        <f>TimeStep!G356</f>
        <v>2924.7910863509751</v>
      </c>
      <c r="C356" s="6">
        <f>MIN(MATCH(B356,'Native PMKS'!$C$6:$C$366,1),360)</f>
        <v>351</v>
      </c>
      <c r="D356" s="6">
        <f t="shared" si="5"/>
        <v>352</v>
      </c>
      <c r="E356" s="6">
        <f>(B356-INDEX('Native PMKS'!$C$6:$C$366,C356))/(INDEX('Native PMKS'!$C$6:$C$366,D356)-INDEX('Native PMKS'!$C$6:$C$366,C356))</f>
        <v>0.97493036211701023</v>
      </c>
      <c r="F356" s="6">
        <f>INDEX('Native PMKS'!$D$6:$D$366,C356)+(INDEX('Native PMKS'!$D$6:$D$366,D356)-INDEX('Native PMKS'!$D$6:$D$366,C356))*E356</f>
        <v>4.8257284122562583</v>
      </c>
    </row>
    <row r="357" spans="1:6" ht="18.95" customHeight="1">
      <c r="A357" s="1">
        <v>351</v>
      </c>
      <c r="B357" s="6">
        <f>TimeStep!G357</f>
        <v>2933.1476323119778</v>
      </c>
      <c r="C357" s="6">
        <f>MIN(MATCH(B357,'Native PMKS'!$C$6:$C$366,1),360)</f>
        <v>352</v>
      </c>
      <c r="D357" s="6">
        <f t="shared" si="5"/>
        <v>353</v>
      </c>
      <c r="E357" s="6">
        <f>(B357-INDEX('Native PMKS'!$C$6:$C$366,C357))/(INDEX('Native PMKS'!$C$6:$C$366,D357)-INDEX('Native PMKS'!$C$6:$C$366,C357))</f>
        <v>0.97771587743731325</v>
      </c>
      <c r="F357" s="6">
        <f>INDEX('Native PMKS'!$D$6:$D$366,C357)+(INDEX('Native PMKS'!$D$6:$D$366,D357)-INDEX('Native PMKS'!$D$6:$D$366,C357))*E357</f>
        <v>4.3086896935933217</v>
      </c>
    </row>
    <row r="358" spans="1:6" ht="18.95" customHeight="1">
      <c r="A358" s="1">
        <v>352</v>
      </c>
      <c r="B358" s="6">
        <f>TimeStep!G358</f>
        <v>2941.5041782729804</v>
      </c>
      <c r="C358" s="6">
        <f>MIN(MATCH(B358,'Native PMKS'!$C$6:$C$366,1),360)</f>
        <v>353</v>
      </c>
      <c r="D358" s="6">
        <f t="shared" si="5"/>
        <v>354</v>
      </c>
      <c r="E358" s="6">
        <f>(B358-INDEX('Native PMKS'!$C$6:$C$366,C358))/(INDEX('Native PMKS'!$C$6:$C$366,D358)-INDEX('Native PMKS'!$C$6:$C$366,C358))</f>
        <v>0.98050139275761505</v>
      </c>
      <c r="F358" s="6">
        <f>INDEX('Native PMKS'!$D$6:$D$366,C358)+(INDEX('Native PMKS'!$D$6:$D$366,D358)-INDEX('Native PMKS'!$D$6:$D$366,C358))*E358</f>
        <v>3.7353727019498866</v>
      </c>
    </row>
    <row r="359" spans="1:6" ht="18.95" customHeight="1">
      <c r="A359" s="1">
        <v>353</v>
      </c>
      <c r="B359" s="6">
        <f>TimeStep!G359</f>
        <v>2949.8607242339831</v>
      </c>
      <c r="C359" s="6">
        <f>MIN(MATCH(B359,'Native PMKS'!$C$6:$C$366,1),360)</f>
        <v>354</v>
      </c>
      <c r="D359" s="6">
        <f t="shared" si="5"/>
        <v>355</v>
      </c>
      <c r="E359" s="6">
        <f>(B359-INDEX('Native PMKS'!$C$6:$C$366,C359))/(INDEX('Native PMKS'!$C$6:$C$366,D359)-INDEX('Native PMKS'!$C$6:$C$366,C359))</f>
        <v>0.98328690807797037</v>
      </c>
      <c r="F359" s="6">
        <f>INDEX('Native PMKS'!$D$6:$D$366,C359)+(INDEX('Native PMKS'!$D$6:$D$366,D359)-INDEX('Native PMKS'!$D$6:$D$366,C359))*E359</f>
        <v>3.2172172701949986</v>
      </c>
    </row>
    <row r="360" spans="1:6" ht="18.95" customHeight="1">
      <c r="A360" s="1">
        <v>354</v>
      </c>
      <c r="B360" s="6">
        <f>TimeStep!G360</f>
        <v>2958.2172701949862</v>
      </c>
      <c r="C360" s="6">
        <f>MIN(MATCH(B360,'Native PMKS'!$C$6:$C$366,1),360)</f>
        <v>355</v>
      </c>
      <c r="D360" s="6">
        <f t="shared" si="5"/>
        <v>356</v>
      </c>
      <c r="E360" s="6">
        <f>(B360-INDEX('Native PMKS'!$C$6:$C$366,C360))/(INDEX('Native PMKS'!$C$6:$C$366,D360)-INDEX('Native PMKS'!$C$6:$C$366,C360))</f>
        <v>0.98607242339832768</v>
      </c>
      <c r="F360" s="6">
        <f>INDEX('Native PMKS'!$D$6:$D$366,C360)+(INDEX('Native PMKS'!$D$6:$D$366,D360)-INDEX('Native PMKS'!$D$6:$D$366,C360))*E360</f>
        <v>2.7000824512534822</v>
      </c>
    </row>
    <row r="361" spans="1:6" ht="18.95" customHeight="1">
      <c r="A361" s="1">
        <v>355</v>
      </c>
      <c r="B361" s="6">
        <f>TimeStep!G361</f>
        <v>2966.5738161559889</v>
      </c>
      <c r="C361" s="6">
        <f>MIN(MATCH(B361,'Native PMKS'!$C$6:$C$366,1),360)</f>
        <v>356</v>
      </c>
      <c r="D361" s="6">
        <f t="shared" si="5"/>
        <v>357</v>
      </c>
      <c r="E361" s="6">
        <f>(B361-INDEX('Native PMKS'!$C$6:$C$366,C361))/(INDEX('Native PMKS'!$C$6:$C$366,D361)-INDEX('Native PMKS'!$C$6:$C$366,C361))</f>
        <v>0.98885793871862937</v>
      </c>
      <c r="F361" s="6">
        <f>INDEX('Native PMKS'!$D$6:$D$366,C361)+(INDEX('Native PMKS'!$D$6:$D$366,D361)-INDEX('Native PMKS'!$D$6:$D$366,C361))*E361</f>
        <v>2.1262844011142255</v>
      </c>
    </row>
    <row r="362" spans="1:6" ht="18.95" customHeight="1">
      <c r="A362" s="1">
        <v>356</v>
      </c>
      <c r="B362" s="6">
        <f>TimeStep!G362</f>
        <v>2974.9303621169915</v>
      </c>
      <c r="C362" s="6">
        <f>MIN(MATCH(B362,'Native PMKS'!$C$6:$C$366,1),360)</f>
        <v>357</v>
      </c>
      <c r="D362" s="6">
        <f t="shared" si="5"/>
        <v>358</v>
      </c>
      <c r="E362" s="6">
        <f>(B362-INDEX('Native PMKS'!$C$6:$C$366,C362))/(INDEX('Native PMKS'!$C$6:$C$366,D362)-INDEX('Native PMKS'!$C$6:$C$366,C362))</f>
        <v>0.99164345403898524</v>
      </c>
      <c r="F362" s="6">
        <f>INDEX('Native PMKS'!$D$6:$D$366,C362)+(INDEX('Native PMKS'!$D$6:$D$366,D362)-INDEX('Native PMKS'!$D$6:$D$366,C362))*E362</f>
        <v>1.6086086350974993</v>
      </c>
    </row>
    <row r="363" spans="1:6" ht="18.95" customHeight="1">
      <c r="A363" s="1">
        <v>357</v>
      </c>
      <c r="B363" s="6">
        <f>TimeStep!G363</f>
        <v>2983.2869080779942</v>
      </c>
      <c r="C363" s="6">
        <f>MIN(MATCH(B363,'Native PMKS'!$C$6:$C$366,1),360)</f>
        <v>358</v>
      </c>
      <c r="D363" s="6">
        <f t="shared" si="5"/>
        <v>359</v>
      </c>
      <c r="E363" s="6">
        <f>(B363-INDEX('Native PMKS'!$C$6:$C$366,C363))/(INDEX('Native PMKS'!$C$6:$C$366,D363)-INDEX('Native PMKS'!$C$6:$C$366,C363))</f>
        <v>0.99442896935928737</v>
      </c>
      <c r="F363" s="6">
        <f>INDEX('Native PMKS'!$D$6:$D$366,C363)+(INDEX('Native PMKS'!$D$6:$D$366,D363)-INDEX('Native PMKS'!$D$6:$D$366,C363))*E363</f>
        <v>1.0344922005571284</v>
      </c>
    </row>
    <row r="364" spans="1:6" ht="18.95" customHeight="1">
      <c r="A364" s="1">
        <v>358</v>
      </c>
      <c r="B364" s="6">
        <f>TimeStep!G364</f>
        <v>2991.6434540389973</v>
      </c>
      <c r="C364" s="6">
        <f>MIN(MATCH(B364,'Native PMKS'!$C$6:$C$366,1),360)</f>
        <v>359</v>
      </c>
      <c r="D364" s="6">
        <f t="shared" si="5"/>
        <v>360</v>
      </c>
      <c r="E364" s="6">
        <f>(B364-INDEX('Native PMKS'!$C$6:$C$366,C364))/(INDEX('Native PMKS'!$C$6:$C$366,D364)-INDEX('Native PMKS'!$C$6:$C$366,C364))</f>
        <v>0.99721448467964369</v>
      </c>
      <c r="F364" s="6">
        <f>INDEX('Native PMKS'!$D$6:$D$366,C364)+(INDEX('Native PMKS'!$D$6:$D$366,D364)-INDEX('Native PMKS'!$D$6:$D$366,C364))*E364</f>
        <v>0.51713621169917579</v>
      </c>
    </row>
    <row r="365" spans="1:6" ht="18.95" customHeight="1">
      <c r="A365" s="1">
        <v>359</v>
      </c>
      <c r="B365" s="6">
        <f>TimeStep!G365</f>
        <v>3000</v>
      </c>
      <c r="C365" s="6">
        <f>MIN(MATCH(B365,'Native PMKS'!$C$6:$C$366,1),360)</f>
        <v>360</v>
      </c>
      <c r="D365" s="6">
        <f t="shared" si="5"/>
        <v>361</v>
      </c>
      <c r="E365" s="6">
        <f>(B365-INDEX('Native PMKS'!$C$6:$C$366,C365))/(INDEX('Native PMKS'!$C$6:$C$366,D365)-INDEX('Native PMKS'!$C$6:$C$366,C365))</f>
        <v>1</v>
      </c>
      <c r="F365" s="6">
        <f>INDEX('Native PMKS'!$D$6:$D$366,C365)+(INDEX('Native PMKS'!$D$6:$D$366,D365)-INDEX('Native PMKS'!$D$6:$D$366,C365))*E365</f>
        <v>-5.7300000000000018E-2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5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</cols>
  <sheetData>
    <row r="1" spans="1:29" ht="18.95" customHeight="1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26</v>
      </c>
      <c r="B5" s="3" t="s">
        <v>59</v>
      </c>
      <c r="C5" s="3" t="s">
        <v>27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73</v>
      </c>
      <c r="R5" s="3" t="s">
        <v>74</v>
      </c>
      <c r="S5" s="3" t="s">
        <v>75</v>
      </c>
      <c r="T5" s="3" t="s">
        <v>76</v>
      </c>
      <c r="U5" s="3" t="s">
        <v>77</v>
      </c>
      <c r="V5" s="3"/>
      <c r="W5" s="3" t="s">
        <v>78</v>
      </c>
      <c r="AA5" t="s">
        <v>27</v>
      </c>
      <c r="AB5" t="s">
        <v>79</v>
      </c>
      <c r="AC5" t="s">
        <v>80</v>
      </c>
    </row>
    <row r="6" spans="1:29" ht="18.95" customHeight="1">
      <c r="A6" s="4">
        <f>Summary!B21</f>
        <v>1377</v>
      </c>
      <c r="B6" s="6">
        <f>INDEX('Raw Data'!$B$6:$B$2882,MATCH(A6,'Raw Data'!$A$6:$A$2882,0))</f>
        <v>47780</v>
      </c>
      <c r="C6" s="6">
        <f t="shared" ref="C6:C37" si="0">B6-$B$6</f>
        <v>0</v>
      </c>
      <c r="D6" s="6">
        <f>MOD(C6+Summary!$B$20,Summary!$B$11)</f>
        <v>81.800644368645337</v>
      </c>
      <c r="E6" s="6">
        <f>_xlfn.XLOOKUP(D6,'Native PMKS'!$C$6:$C$366,'Native PMKS'!$C$6:$C$366,,-1)</f>
        <v>75</v>
      </c>
      <c r="F6" s="6">
        <f>_xlfn.XLOOKUP(D6,'Native PMKS'!$C$6:$C$366,'Native PMKS'!$C$6:$C$366,,1)</f>
        <v>83.333333333333343</v>
      </c>
      <c r="G6" s="6">
        <f>_xlfn.XLOOKUP(D6,'Native PMKS'!$C$6:$C$366,'Native PMKS'!$D$6:$D$366,,-1)</f>
        <v>-4.8700999999999999</v>
      </c>
      <c r="H6" s="6">
        <f>_xlfn.XLOOKUP(D6,'Native PMKS'!$C$6:$C$366,'Native PMKS'!$D$6:$D$366,,1)</f>
        <v>-5.3857999999999997</v>
      </c>
      <c r="I6" s="6">
        <f t="shared" ref="I6:I37" si="1">IF(E6=F6,G6,_xlfn.FORECAST.LINEAR(D6,G6:H6,E6:F6))</f>
        <v>-5.2909510761092475</v>
      </c>
      <c r="J6" s="6">
        <f>INDEX('Raw Data'!$F$6:$F$2882,MATCH(A6,'Raw Data'!$A$6:$A$2882,0))</f>
        <v>-0.09</v>
      </c>
      <c r="K6" s="6">
        <f t="shared" ref="K6:K37" si="2">J6</f>
        <v>-0.09</v>
      </c>
      <c r="L6" s="6">
        <f t="shared" ref="L6:L37" si="3">I6*PI()/180</f>
        <v>-9.2344516840043453E-2</v>
      </c>
      <c r="M6" s="6">
        <f t="shared" ref="M6:M37" si="4">K6-L6</f>
        <v>2.3445168400434563E-3</v>
      </c>
      <c r="N6" s="6">
        <f t="shared" ref="N6:N37" si="5">M6^2</f>
        <v>5.4967592132473537E-6</v>
      </c>
      <c r="O6" s="6">
        <f>_xlfn.XLOOKUP(D6,'Instructor 360'!$B$6:$B$365,'Instructor 360'!$B$6:$B$365,,-1)</f>
        <v>75.208913649025064</v>
      </c>
      <c r="P6" s="6">
        <f>_xlfn.XLOOKUP(D6,'Instructor 360'!$B$6:$B$365,'Instructor 360'!$B$6:$B$365,,1)</f>
        <v>83.565459610027858</v>
      </c>
      <c r="Q6" s="6">
        <f>_xlfn.XLOOKUP(D6,'Instructor 360'!$B$6:$B$365,'Instructor 360'!$F$6:$F$365,,-1)</f>
        <v>-4.8830284122562668</v>
      </c>
      <c r="R6" s="6">
        <f>_xlfn.XLOOKUP(D6,'Instructor 360'!$B$6:$B$365,'Instructor 360'!$F$6:$F$365,,1)</f>
        <v>-5.4001649025069627</v>
      </c>
      <c r="S6" s="6">
        <f t="shared" ref="S6:S37" si="6">IF(O6=P6,Q6,_xlfn.FORECAST.LINEAR(D6,Q6:R6,O6:P6))</f>
        <v>-5.2909510761092466</v>
      </c>
      <c r="T6" s="6">
        <f t="shared" ref="T6:T37" si="7">S6*PI()/180</f>
        <v>-9.2344516840043453E-2</v>
      </c>
      <c r="U6" s="6">
        <f t="shared" ref="U6:U37" si="8">K6-T6</f>
        <v>2.3445168400434563E-3</v>
      </c>
      <c r="V6" s="6"/>
      <c r="W6" s="6">
        <f t="shared" ref="W6:W37" si="9">U6^2</f>
        <v>5.4967592132473537E-6</v>
      </c>
      <c r="AA6">
        <f t="shared" ref="AA6:AA37" si="10">C6</f>
        <v>0</v>
      </c>
      <c r="AB6">
        <f t="shared" ref="AB6:AB37" si="11">K6</f>
        <v>-0.09</v>
      </c>
      <c r="AC6">
        <f t="shared" ref="AC6:AC37" si="12">T6</f>
        <v>-9.2344516840043453E-2</v>
      </c>
    </row>
    <row r="7" spans="1:29" ht="18.95" customHeight="1">
      <c r="A7" s="4">
        <f t="shared" ref="A7:A38" si="13">A6+1</f>
        <v>1378</v>
      </c>
      <c r="B7" s="6">
        <f>INDEX('Raw Data'!$B$6:$B$2882,MATCH(A7,'Raw Data'!$A$6:$A$2882,0))</f>
        <v>47800</v>
      </c>
      <c r="C7" s="6">
        <f t="shared" si="0"/>
        <v>20</v>
      </c>
      <c r="D7" s="6">
        <f>MOD(C7+Summary!$B$20,Summary!$B$11)</f>
        <v>101.80064436864534</v>
      </c>
      <c r="E7" s="6">
        <f>_xlfn.XLOOKUP(D7,'Native PMKS'!$C$6:$C$366,'Native PMKS'!$C$6:$C$366,,-1)</f>
        <v>100</v>
      </c>
      <c r="F7" s="6">
        <f>_xlfn.XLOOKUP(D7,'Native PMKS'!$C$6:$C$366,'Native PMKS'!$C$6:$C$366,,1)</f>
        <v>108.33333333333334</v>
      </c>
      <c r="G7" s="6">
        <f>_xlfn.XLOOKUP(D7,'Native PMKS'!$C$6:$C$366,'Native PMKS'!$D$6:$D$366,,-1)</f>
        <v>-6.4744000000000002</v>
      </c>
      <c r="H7" s="6">
        <f>_xlfn.XLOOKUP(D7,'Native PMKS'!$C$6:$C$366,'Native PMKS'!$D$6:$D$366,,1)</f>
        <v>-6.9901</v>
      </c>
      <c r="I7" s="6">
        <f t="shared" si="1"/>
        <v>-6.5858310761092484</v>
      </c>
      <c r="J7" s="6">
        <f>INDEX('Raw Data'!$F$6:$F$2882,MATCH(A7,'Raw Data'!$A$6:$A$2882,0))</f>
        <v>-0.11</v>
      </c>
      <c r="K7" s="6">
        <f t="shared" si="2"/>
        <v>-0.11</v>
      </c>
      <c r="L7" s="6">
        <f t="shared" si="3"/>
        <v>-0.11494443625826764</v>
      </c>
      <c r="M7" s="6">
        <f t="shared" si="4"/>
        <v>4.9444362582676399E-3</v>
      </c>
      <c r="N7" s="6">
        <f t="shared" si="5"/>
        <v>2.4447449912071698E-5</v>
      </c>
      <c r="O7" s="6">
        <f>_xlfn.XLOOKUP(D7,'Instructor 360'!$B$6:$B$365,'Instructor 360'!$B$6:$B$365,,-1)</f>
        <v>100.27855153203342</v>
      </c>
      <c r="P7" s="6">
        <f>_xlfn.XLOOKUP(D7,'Instructor 360'!$B$6:$B$365,'Instructor 360'!$B$6:$B$365,,1)</f>
        <v>108.63509749303621</v>
      </c>
      <c r="Q7" s="6">
        <f>_xlfn.XLOOKUP(D7,'Instructor 360'!$B$6:$B$365,'Instructor 360'!$F$6:$F$365,,-1)</f>
        <v>-6.4916378830083561</v>
      </c>
      <c r="R7" s="6">
        <f>_xlfn.XLOOKUP(D7,'Instructor 360'!$B$6:$B$365,'Instructor 360'!$F$6:$F$365,,1)</f>
        <v>-7.008770752089136</v>
      </c>
      <c r="S7" s="6">
        <f t="shared" si="6"/>
        <v>-6.5858304165356865</v>
      </c>
      <c r="T7" s="6">
        <f t="shared" si="7"/>
        <v>-0.11494442474653732</v>
      </c>
      <c r="U7" s="6">
        <f t="shared" si="8"/>
        <v>4.9444247465373209E-3</v>
      </c>
      <c r="V7" s="6"/>
      <c r="W7" s="6">
        <f t="shared" si="9"/>
        <v>2.4447336074170651E-5</v>
      </c>
      <c r="AA7">
        <f t="shared" si="10"/>
        <v>20</v>
      </c>
      <c r="AB7">
        <f t="shared" si="11"/>
        <v>-0.11</v>
      </c>
      <c r="AC7">
        <f t="shared" si="12"/>
        <v>-0.11494442474653732</v>
      </c>
    </row>
    <row r="8" spans="1:29" ht="18.95" customHeight="1">
      <c r="A8" s="4">
        <f t="shared" si="13"/>
        <v>1379</v>
      </c>
      <c r="B8" s="6">
        <f>INDEX('Raw Data'!$B$6:$B$2882,MATCH(A8,'Raw Data'!$A$6:$A$2882,0))</f>
        <v>47820</v>
      </c>
      <c r="C8" s="6">
        <f t="shared" si="0"/>
        <v>40</v>
      </c>
      <c r="D8" s="6">
        <f>MOD(C8+Summary!$B$20,Summary!$B$11)</f>
        <v>121.80064436864534</v>
      </c>
      <c r="E8" s="6">
        <f>_xlfn.XLOOKUP(D8,'Native PMKS'!$C$6:$C$366,'Native PMKS'!$C$6:$C$366,,-1)</f>
        <v>116.66666666666667</v>
      </c>
      <c r="F8" s="6">
        <f>_xlfn.XLOOKUP(D8,'Native PMKS'!$C$6:$C$366,'Native PMKS'!$C$6:$C$366,,1)</f>
        <v>125.00000000000001</v>
      </c>
      <c r="G8" s="6">
        <f>_xlfn.XLOOKUP(D8,'Native PMKS'!$C$6:$C$366,'Native PMKS'!$D$6:$D$366,,-1)</f>
        <v>-7.5057</v>
      </c>
      <c r="H8" s="6">
        <f>_xlfn.XLOOKUP(D8,'Native PMKS'!$C$6:$C$366,'Native PMKS'!$D$6:$D$366,,1)</f>
        <v>-8.0213999999999999</v>
      </c>
      <c r="I8" s="6">
        <f t="shared" si="1"/>
        <v>-7.8234110761092479</v>
      </c>
      <c r="J8" s="6">
        <f>INDEX('Raw Data'!$F$6:$F$2882,MATCH(A8,'Raw Data'!$A$6:$A$2882,0))</f>
        <v>-0.15</v>
      </c>
      <c r="K8" s="6">
        <f t="shared" si="2"/>
        <v>-0.15</v>
      </c>
      <c r="L8" s="6">
        <f t="shared" si="3"/>
        <v>-0.13654428201509908</v>
      </c>
      <c r="M8" s="6">
        <f t="shared" si="4"/>
        <v>-1.3455717984900917E-2</v>
      </c>
      <c r="N8" s="6">
        <f t="shared" si="5"/>
        <v>1.81056346489186E-4</v>
      </c>
      <c r="O8" s="6">
        <f>_xlfn.XLOOKUP(D8,'Instructor 360'!$B$6:$B$365,'Instructor 360'!$B$6:$B$365,,-1)</f>
        <v>116.99164345403899</v>
      </c>
      <c r="P8" s="6">
        <f>_xlfn.XLOOKUP(D8,'Instructor 360'!$B$6:$B$365,'Instructor 360'!$B$6:$B$365,,1)</f>
        <v>125.34818941504179</v>
      </c>
      <c r="Q8" s="6">
        <f>_xlfn.XLOOKUP(D8,'Instructor 360'!$B$6:$B$365,'Instructor 360'!$F$6:$F$365,,-1)</f>
        <v>-7.5258108635097489</v>
      </c>
      <c r="R8" s="6">
        <f>_xlfn.XLOOKUP(D8,'Instructor 360'!$B$6:$B$365,'Instructor 360'!$F$6:$F$365,,1)</f>
        <v>-8.0429473537604448</v>
      </c>
      <c r="S8" s="6">
        <f t="shared" si="6"/>
        <v>-7.823411076109247</v>
      </c>
      <c r="T8" s="6">
        <f t="shared" si="7"/>
        <v>-0.13654428201509905</v>
      </c>
      <c r="U8" s="6">
        <f t="shared" si="8"/>
        <v>-1.3455717984900945E-2</v>
      </c>
      <c r="V8" s="6"/>
      <c r="W8" s="6">
        <f t="shared" si="9"/>
        <v>1.8105634648918673E-4</v>
      </c>
      <c r="AA8">
        <f t="shared" si="10"/>
        <v>40</v>
      </c>
      <c r="AB8">
        <f t="shared" si="11"/>
        <v>-0.15</v>
      </c>
      <c r="AC8">
        <f t="shared" si="12"/>
        <v>-0.13654428201509905</v>
      </c>
    </row>
    <row r="9" spans="1:29" ht="18.95" customHeight="1">
      <c r="A9" s="4">
        <f t="shared" si="13"/>
        <v>1380</v>
      </c>
      <c r="B9" s="6">
        <f>INDEX('Raw Data'!$B$6:$B$2882,MATCH(A9,'Raw Data'!$A$6:$A$2882,0))</f>
        <v>47840</v>
      </c>
      <c r="C9" s="6">
        <f t="shared" si="0"/>
        <v>60</v>
      </c>
      <c r="D9" s="6">
        <f>MOD(C9+Summary!$B$20,Summary!$B$11)</f>
        <v>141.80064436864535</v>
      </c>
      <c r="E9" s="6">
        <f>_xlfn.XLOOKUP(D9,'Native PMKS'!$C$6:$C$366,'Native PMKS'!$C$6:$C$366,,-1)</f>
        <v>141.66666666666669</v>
      </c>
      <c r="F9" s="6">
        <f>_xlfn.XLOOKUP(D9,'Native PMKS'!$C$6:$C$366,'Native PMKS'!$C$6:$C$366,,1)</f>
        <v>150</v>
      </c>
      <c r="G9" s="6">
        <f>_xlfn.XLOOKUP(D9,'Native PMKS'!$C$6:$C$366,'Native PMKS'!$D$6:$D$366,,-1)</f>
        <v>-9.0526999999999997</v>
      </c>
      <c r="H9" s="6">
        <f>_xlfn.XLOOKUP(D9,'Native PMKS'!$C$6:$C$366,'Native PMKS'!$D$6:$D$366,,1)</f>
        <v>-9.5684000000000005</v>
      </c>
      <c r="I9" s="6">
        <f t="shared" si="1"/>
        <v>-9.0609910761092465</v>
      </c>
      <c r="J9" s="6">
        <f>INDEX('Raw Data'!$F$6:$F$2882,MATCH(A9,'Raw Data'!$A$6:$A$2882,0))</f>
        <v>-0.17</v>
      </c>
      <c r="K9" s="6">
        <f t="shared" si="2"/>
        <v>-0.17</v>
      </c>
      <c r="L9" s="6">
        <f t="shared" si="3"/>
        <v>-0.15814412777193046</v>
      </c>
      <c r="M9" s="6">
        <f t="shared" si="4"/>
        <v>-1.1855872228069553E-2</v>
      </c>
      <c r="N9" s="6">
        <f t="shared" si="5"/>
        <v>1.4056170628831089E-4</v>
      </c>
      <c r="O9" s="6">
        <f>_xlfn.XLOOKUP(D9,'Instructor 360'!$B$6:$B$365,'Instructor 360'!$B$6:$B$365,,-1)</f>
        <v>133.70473537604457</v>
      </c>
      <c r="P9" s="6">
        <f>_xlfn.XLOOKUP(D9,'Instructor 360'!$B$6:$B$365,'Instructor 360'!$B$6:$B$365,,1)</f>
        <v>142.06128133704735</v>
      </c>
      <c r="Q9" s="6">
        <f>_xlfn.XLOOKUP(D9,'Instructor 360'!$B$6:$B$365,'Instructor 360'!$F$6:$F$365,,-1)</f>
        <v>-8.5600793871866294</v>
      </c>
      <c r="R9" s="6">
        <f>_xlfn.XLOOKUP(D9,'Instructor 360'!$B$6:$B$365,'Instructor 360'!$F$6:$F$365,,1)</f>
        <v>-9.0771203342618367</v>
      </c>
      <c r="S9" s="6">
        <f t="shared" si="6"/>
        <v>-9.060994056058588</v>
      </c>
      <c r="T9" s="6">
        <f t="shared" si="7"/>
        <v>-0.15814417978185802</v>
      </c>
      <c r="U9" s="6">
        <f t="shared" si="8"/>
        <v>-1.1855820218141994E-2</v>
      </c>
      <c r="V9" s="6"/>
      <c r="W9" s="6">
        <f t="shared" si="9"/>
        <v>1.4056047304490446E-4</v>
      </c>
      <c r="AA9">
        <f t="shared" si="10"/>
        <v>60</v>
      </c>
      <c r="AB9">
        <f t="shared" si="11"/>
        <v>-0.17</v>
      </c>
      <c r="AC9">
        <f t="shared" si="12"/>
        <v>-0.15814417978185802</v>
      </c>
    </row>
    <row r="10" spans="1:29" ht="18.95" customHeight="1">
      <c r="A10" s="4">
        <f t="shared" si="13"/>
        <v>1381</v>
      </c>
      <c r="B10" s="6">
        <f>INDEX('Raw Data'!$B$6:$B$2882,MATCH(A10,'Raw Data'!$A$6:$A$2882,0))</f>
        <v>47860</v>
      </c>
      <c r="C10" s="6">
        <f t="shared" si="0"/>
        <v>80</v>
      </c>
      <c r="D10" s="6">
        <f>MOD(C10+Summary!$B$20,Summary!$B$11)</f>
        <v>161.80064436864535</v>
      </c>
      <c r="E10" s="6">
        <f>_xlfn.XLOOKUP(D10,'Native PMKS'!$C$6:$C$366,'Native PMKS'!$C$6:$C$366,,-1)</f>
        <v>158.33333333333334</v>
      </c>
      <c r="F10" s="6">
        <f>_xlfn.XLOOKUP(D10,'Native PMKS'!$C$6:$C$366,'Native PMKS'!$C$6:$C$366,,1)</f>
        <v>166.66666666666669</v>
      </c>
      <c r="G10" s="6">
        <f>_xlfn.XLOOKUP(D10,'Native PMKS'!$C$6:$C$366,'Native PMKS'!$D$6:$D$366,,-1)</f>
        <v>-10.084099999999999</v>
      </c>
      <c r="H10" s="6">
        <f>_xlfn.XLOOKUP(D10,'Native PMKS'!$C$6:$C$366,'Native PMKS'!$D$6:$D$366,,1)</f>
        <v>-10.5997</v>
      </c>
      <c r="I10" s="6">
        <f t="shared" si="1"/>
        <v>-10.298629468376825</v>
      </c>
      <c r="J10" s="6">
        <f>INDEX('Raw Data'!$F$6:$F$2882,MATCH(A10,'Raw Data'!$A$6:$A$2882,0))</f>
        <v>-0.21</v>
      </c>
      <c r="K10" s="6">
        <f t="shared" si="2"/>
        <v>-0.21</v>
      </c>
      <c r="L10" s="6">
        <f t="shared" si="3"/>
        <v>-0.17974499266608884</v>
      </c>
      <c r="M10" s="6">
        <f t="shared" si="4"/>
        <v>-3.0255007333911149E-2</v>
      </c>
      <c r="N10" s="6">
        <f t="shared" si="5"/>
        <v>9.1536546877501741E-4</v>
      </c>
      <c r="O10" s="6">
        <f>_xlfn.XLOOKUP(D10,'Instructor 360'!$B$6:$B$365,'Instructor 360'!$B$6:$B$365,,-1)</f>
        <v>158.77437325905294</v>
      </c>
      <c r="P10" s="6">
        <f>_xlfn.XLOOKUP(D10,'Instructor 360'!$B$6:$B$365,'Instructor 360'!$B$6:$B$365,,1)</f>
        <v>167.13091922005572</v>
      </c>
      <c r="Q10" s="6">
        <f>_xlfn.XLOOKUP(D10,'Instructor 360'!$B$6:$B$365,'Instructor 360'!$F$6:$F$365,,-1)</f>
        <v>-10.111388022284123</v>
      </c>
      <c r="R10" s="6">
        <f>_xlfn.XLOOKUP(D10,'Instructor 360'!$B$6:$B$365,'Instructor 360'!$F$6:$F$365,,1)</f>
        <v>-10.625237604456824</v>
      </c>
      <c r="S10" s="6">
        <f t="shared" si="6"/>
        <v>-10.297475450327031</v>
      </c>
      <c r="T10" s="6">
        <f t="shared" si="7"/>
        <v>-0.17972485125149251</v>
      </c>
      <c r="U10" s="6">
        <f t="shared" si="8"/>
        <v>-3.027514874850748E-2</v>
      </c>
      <c r="V10" s="6"/>
      <c r="W10" s="6">
        <f t="shared" si="9"/>
        <v>9.1658463174425404E-4</v>
      </c>
      <c r="AA10">
        <f t="shared" si="10"/>
        <v>80</v>
      </c>
      <c r="AB10">
        <f t="shared" si="11"/>
        <v>-0.21</v>
      </c>
      <c r="AC10">
        <f t="shared" si="12"/>
        <v>-0.17972485125149251</v>
      </c>
    </row>
    <row r="11" spans="1:29" ht="18.95" customHeight="1">
      <c r="A11" s="4">
        <f t="shared" si="13"/>
        <v>1382</v>
      </c>
      <c r="B11" s="6">
        <f>INDEX('Raw Data'!$B$6:$B$2882,MATCH(A11,'Raw Data'!$A$6:$A$2882,0))</f>
        <v>47880</v>
      </c>
      <c r="C11" s="6">
        <f t="shared" si="0"/>
        <v>100</v>
      </c>
      <c r="D11" s="6">
        <f>MOD(C11+Summary!$B$20,Summary!$B$11)</f>
        <v>181.80064436864535</v>
      </c>
      <c r="E11" s="6">
        <f>_xlfn.XLOOKUP(D11,'Native PMKS'!$C$6:$C$366,'Native PMKS'!$C$6:$C$366,,-1)</f>
        <v>175</v>
      </c>
      <c r="F11" s="6">
        <f>_xlfn.XLOOKUP(D11,'Native PMKS'!$C$6:$C$366,'Native PMKS'!$C$6:$C$366,,1)</f>
        <v>183.33333333333334</v>
      </c>
      <c r="G11" s="6">
        <f>_xlfn.XLOOKUP(D11,'Native PMKS'!$C$6:$C$366,'Native PMKS'!$D$6:$D$366,,-1)</f>
        <v>-11.0581</v>
      </c>
      <c r="H11" s="6">
        <f>_xlfn.XLOOKUP(D11,'Native PMKS'!$C$6:$C$366,'Native PMKS'!$D$6:$D$366,,1)</f>
        <v>-11.573700000000001</v>
      </c>
      <c r="I11" s="6">
        <f t="shared" si="1"/>
        <v>-11.478869468376823</v>
      </c>
      <c r="J11" s="6">
        <f>INDEX('Raw Data'!$F$6:$F$2882,MATCH(A11,'Raw Data'!$A$6:$A$2882,0))</f>
        <v>-0.23</v>
      </c>
      <c r="K11" s="6">
        <f t="shared" si="2"/>
        <v>-0.23</v>
      </c>
      <c r="L11" s="6">
        <f t="shared" si="3"/>
        <v>-0.20034406662982668</v>
      </c>
      <c r="M11" s="6">
        <f t="shared" si="4"/>
        <v>-2.9655933370173332E-2</v>
      </c>
      <c r="N11" s="6">
        <f t="shared" si="5"/>
        <v>8.7947438405616024E-4</v>
      </c>
      <c r="O11" s="6">
        <f>_xlfn.XLOOKUP(D11,'Instructor 360'!$B$6:$B$365,'Instructor 360'!$B$6:$B$365,,-1)</f>
        <v>175.4874651810585</v>
      </c>
      <c r="P11" s="6">
        <f>_xlfn.XLOOKUP(D11,'Instructor 360'!$B$6:$B$365,'Instructor 360'!$B$6:$B$365,,1)</f>
        <v>183.84401114206128</v>
      </c>
      <c r="Q11" s="6">
        <f>_xlfn.XLOOKUP(D11,'Instructor 360'!$B$6:$B$365,'Instructor 360'!$F$6:$F$365,,-1)</f>
        <v>-11.088260445682451</v>
      </c>
      <c r="R11" s="6">
        <f>_xlfn.XLOOKUP(D11,'Instructor 360'!$B$6:$B$365,'Instructor 360'!$F$6:$F$365,,1)</f>
        <v>-11.601791364902507</v>
      </c>
      <c r="S11" s="6">
        <f t="shared" si="6"/>
        <v>-11.476221300146939</v>
      </c>
      <c r="T11" s="6">
        <f t="shared" si="7"/>
        <v>-0.20029784737506848</v>
      </c>
      <c r="U11" s="6">
        <f t="shared" si="8"/>
        <v>-2.9702152624931533E-2</v>
      </c>
      <c r="V11" s="6"/>
      <c r="W11" s="6">
        <f t="shared" si="9"/>
        <v>8.8221787055472718E-4</v>
      </c>
      <c r="AA11">
        <f t="shared" si="10"/>
        <v>100</v>
      </c>
      <c r="AB11">
        <f t="shared" si="11"/>
        <v>-0.23</v>
      </c>
      <c r="AC11">
        <f t="shared" si="12"/>
        <v>-0.20029784737506848</v>
      </c>
    </row>
    <row r="12" spans="1:29" ht="18.95" customHeight="1">
      <c r="A12" s="4">
        <f t="shared" si="13"/>
        <v>1383</v>
      </c>
      <c r="B12" s="6">
        <f>INDEX('Raw Data'!$B$6:$B$2882,MATCH(A12,'Raw Data'!$A$6:$A$2882,0))</f>
        <v>47900</v>
      </c>
      <c r="C12" s="6">
        <f t="shared" si="0"/>
        <v>120</v>
      </c>
      <c r="D12" s="6">
        <f>MOD(C12+Summary!$B$20,Summary!$B$11)</f>
        <v>201.80064436864535</v>
      </c>
      <c r="E12" s="6">
        <f>_xlfn.XLOOKUP(D12,'Native PMKS'!$C$6:$C$366,'Native PMKS'!$C$6:$C$366,,-1)</f>
        <v>200</v>
      </c>
      <c r="F12" s="6">
        <f>_xlfn.XLOOKUP(D12,'Native PMKS'!$C$6:$C$366,'Native PMKS'!$C$6:$C$366,,1)</f>
        <v>208.33333333333334</v>
      </c>
      <c r="G12" s="6">
        <f>_xlfn.XLOOKUP(D12,'Native PMKS'!$C$6:$C$366,'Native PMKS'!$D$6:$D$366,,-1)</f>
        <v>-12.547800000000001</v>
      </c>
      <c r="H12" s="6">
        <f>_xlfn.XLOOKUP(D12,'Native PMKS'!$C$6:$C$366,'Native PMKS'!$D$6:$D$366,,1)</f>
        <v>-13.0061</v>
      </c>
      <c r="I12" s="6">
        <f t="shared" si="1"/>
        <v>-12.646828237698019</v>
      </c>
      <c r="J12" s="6">
        <f>INDEX('Raw Data'!$F$6:$F$2882,MATCH(A12,'Raw Data'!$A$6:$A$2882,0))</f>
        <v>-0.26</v>
      </c>
      <c r="K12" s="6">
        <f t="shared" si="2"/>
        <v>-0.26</v>
      </c>
      <c r="L12" s="6">
        <f t="shared" si="3"/>
        <v>-0.22072879268202247</v>
      </c>
      <c r="M12" s="6">
        <f t="shared" si="4"/>
        <v>-3.9271207317977536E-2</v>
      </c>
      <c r="N12" s="6">
        <f t="shared" si="5"/>
        <v>1.5422277242115724E-3</v>
      </c>
      <c r="O12" s="6">
        <f>_xlfn.XLOOKUP(D12,'Instructor 360'!$B$6:$B$365,'Instructor 360'!$B$6:$B$365,,-1)</f>
        <v>200.55710306406684</v>
      </c>
      <c r="P12" s="6">
        <f>_xlfn.XLOOKUP(D12,'Instructor 360'!$B$6:$B$365,'Instructor 360'!$B$6:$B$365,,1)</f>
        <v>208.91364902506965</v>
      </c>
      <c r="Q12" s="6">
        <f>_xlfn.XLOOKUP(D12,'Instructor 360'!$B$6:$B$365,'Instructor 360'!$F$6:$F$365,,-1)</f>
        <v>-12.57843844011142</v>
      </c>
      <c r="R12" s="6">
        <f>_xlfn.XLOOKUP(D12,'Instructor 360'!$B$6:$B$365,'Instructor 360'!$F$6:$F$365,,1)</f>
        <v>-13.042012256267409</v>
      </c>
      <c r="S12" s="6">
        <f t="shared" si="6"/>
        <v>-12.647423064955378</v>
      </c>
      <c r="T12" s="6">
        <f t="shared" si="7"/>
        <v>-0.22073917437614402</v>
      </c>
      <c r="U12" s="6">
        <f t="shared" si="8"/>
        <v>-3.9260825623855994E-2</v>
      </c>
      <c r="V12" s="6"/>
      <c r="W12" s="6">
        <f t="shared" si="9"/>
        <v>1.5414124286668273E-3</v>
      </c>
      <c r="AA12">
        <f t="shared" si="10"/>
        <v>120</v>
      </c>
      <c r="AB12">
        <f t="shared" si="11"/>
        <v>-0.26</v>
      </c>
      <c r="AC12">
        <f t="shared" si="12"/>
        <v>-0.22073917437614402</v>
      </c>
    </row>
    <row r="13" spans="1:29" ht="18.95" customHeight="1">
      <c r="A13" s="4">
        <f t="shared" si="13"/>
        <v>1384</v>
      </c>
      <c r="B13" s="6">
        <f>INDEX('Raw Data'!$B$6:$B$2882,MATCH(A13,'Raw Data'!$A$6:$A$2882,0))</f>
        <v>47920</v>
      </c>
      <c r="C13" s="6">
        <f t="shared" si="0"/>
        <v>140</v>
      </c>
      <c r="D13" s="6">
        <f>MOD(C13+Summary!$B$20,Summary!$B$11)</f>
        <v>221.80064436864535</v>
      </c>
      <c r="E13" s="6">
        <f>_xlfn.XLOOKUP(D13,'Native PMKS'!$C$6:$C$366,'Native PMKS'!$C$6:$C$366,,-1)</f>
        <v>216.66666666666669</v>
      </c>
      <c r="F13" s="6">
        <f>_xlfn.XLOOKUP(D13,'Native PMKS'!$C$6:$C$366,'Native PMKS'!$C$6:$C$366,,1)</f>
        <v>225.00000000000003</v>
      </c>
      <c r="G13" s="6">
        <f>_xlfn.XLOOKUP(D13,'Native PMKS'!$C$6:$C$366,'Native PMKS'!$D$6:$D$366,,-1)</f>
        <v>-13.521800000000001</v>
      </c>
      <c r="H13" s="6">
        <f>_xlfn.XLOOKUP(D13,'Native PMKS'!$C$6:$C$366,'Native PMKS'!$D$6:$D$366,,1)</f>
        <v>-13.9802</v>
      </c>
      <c r="I13" s="6">
        <f t="shared" si="1"/>
        <v>-13.804209845430442</v>
      </c>
      <c r="J13" s="6">
        <f>INDEX('Raw Data'!$F$6:$F$2882,MATCH(A13,'Raw Data'!$A$6:$A$2882,0))</f>
        <v>-0.28999999999999998</v>
      </c>
      <c r="K13" s="6">
        <f t="shared" si="2"/>
        <v>-0.28999999999999998</v>
      </c>
      <c r="L13" s="6">
        <f t="shared" si="3"/>
        <v>-0.24092891243897871</v>
      </c>
      <c r="M13" s="6">
        <f t="shared" si="4"/>
        <v>-4.907108756102127E-2</v>
      </c>
      <c r="N13" s="6">
        <f t="shared" si="5"/>
        <v>2.4079716344214165E-3</v>
      </c>
      <c r="O13" s="6">
        <f>_xlfn.XLOOKUP(D13,'Instructor 360'!$B$6:$B$365,'Instructor 360'!$B$6:$B$365,,-1)</f>
        <v>217.27019498607243</v>
      </c>
      <c r="P13" s="6">
        <f>_xlfn.XLOOKUP(D13,'Instructor 360'!$B$6:$B$365,'Instructor 360'!$B$6:$B$365,,1)</f>
        <v>225.62674094707521</v>
      </c>
      <c r="Q13" s="6">
        <f>_xlfn.XLOOKUP(D13,'Instructor 360'!$B$6:$B$365,'Instructor 360'!$F$6:$F$365,,-1)</f>
        <v>-13.554998885793871</v>
      </c>
      <c r="R13" s="6">
        <f>_xlfn.XLOOKUP(D13,'Instructor 360'!$B$6:$B$365,'Instructor 360'!$F$6:$F$365,,1)</f>
        <v>-14.014668245125346</v>
      </c>
      <c r="S13" s="6">
        <f t="shared" si="6"/>
        <v>-13.804205768025998</v>
      </c>
      <c r="T13" s="6">
        <f t="shared" si="7"/>
        <v>-0.24092884127484623</v>
      </c>
      <c r="U13" s="6">
        <f t="shared" si="8"/>
        <v>-4.9071158725153746E-2</v>
      </c>
      <c r="V13" s="6"/>
      <c r="W13" s="6">
        <f t="shared" si="9"/>
        <v>2.4079786186292328E-3</v>
      </c>
      <c r="AA13">
        <f t="shared" si="10"/>
        <v>140</v>
      </c>
      <c r="AB13">
        <f t="shared" si="11"/>
        <v>-0.28999999999999998</v>
      </c>
      <c r="AC13">
        <f t="shared" si="12"/>
        <v>-0.24092884127484623</v>
      </c>
    </row>
    <row r="14" spans="1:29" ht="18.95" customHeight="1">
      <c r="A14" s="4">
        <f t="shared" si="13"/>
        <v>1385</v>
      </c>
      <c r="B14" s="6">
        <f>INDEX('Raw Data'!$B$6:$B$2882,MATCH(A14,'Raw Data'!$A$6:$A$2882,0))</f>
        <v>47940</v>
      </c>
      <c r="C14" s="6">
        <f t="shared" si="0"/>
        <v>160</v>
      </c>
      <c r="D14" s="6">
        <f>MOD(C14+Summary!$B$20,Summary!$B$11)</f>
        <v>241.80064436864535</v>
      </c>
      <c r="E14" s="6">
        <f>_xlfn.XLOOKUP(D14,'Native PMKS'!$C$6:$C$366,'Native PMKS'!$C$6:$C$366,,-1)</f>
        <v>241.66666666666669</v>
      </c>
      <c r="F14" s="6">
        <f>_xlfn.XLOOKUP(D14,'Native PMKS'!$C$6:$C$366,'Native PMKS'!$C$6:$C$366,,1)</f>
        <v>250.00000000000003</v>
      </c>
      <c r="G14" s="6">
        <f>_xlfn.XLOOKUP(D14,'Native PMKS'!$C$6:$C$366,'Native PMKS'!$D$6:$D$366,,-1)</f>
        <v>-14.8969</v>
      </c>
      <c r="H14" s="6">
        <f>_xlfn.XLOOKUP(D14,'Native PMKS'!$C$6:$C$366,'Native PMKS'!$D$6:$D$366,,1)</f>
        <v>-15.3553</v>
      </c>
      <c r="I14" s="6">
        <f t="shared" si="1"/>
        <v>-14.904269845430443</v>
      </c>
      <c r="J14" s="6">
        <f>INDEX('Raw Data'!$F$6:$F$2882,MATCH(A14,'Raw Data'!$A$6:$A$2882,0))</f>
        <v>-0.32</v>
      </c>
      <c r="K14" s="6">
        <f t="shared" si="2"/>
        <v>-0.32</v>
      </c>
      <c r="L14" s="6">
        <f t="shared" si="3"/>
        <v>-0.26012858140846756</v>
      </c>
      <c r="M14" s="6">
        <f t="shared" si="4"/>
        <v>-5.9871418591532444E-2</v>
      </c>
      <c r="N14" s="6">
        <f t="shared" si="5"/>
        <v>3.5845867641624966E-3</v>
      </c>
      <c r="O14" s="6">
        <f>_xlfn.XLOOKUP(D14,'Instructor 360'!$B$6:$B$365,'Instructor 360'!$B$6:$B$365,,-1)</f>
        <v>233.98328690807799</v>
      </c>
      <c r="P14" s="6">
        <f>_xlfn.XLOOKUP(D14,'Instructor 360'!$B$6:$B$365,'Instructor 360'!$B$6:$B$365,,1)</f>
        <v>242.33983286908077</v>
      </c>
      <c r="Q14" s="6">
        <f>_xlfn.XLOOKUP(D14,'Instructor 360'!$B$6:$B$365,'Instructor 360'!$F$6:$F$365,,-1)</f>
        <v>-14.474252646239552</v>
      </c>
      <c r="R14" s="6">
        <f>_xlfn.XLOOKUP(D14,'Instructor 360'!$B$6:$B$365,'Instructor 360'!$F$6:$F$365,,1)</f>
        <v>-14.933929526462395</v>
      </c>
      <c r="S14" s="6">
        <f t="shared" si="6"/>
        <v>-14.904269845430445</v>
      </c>
      <c r="T14" s="6">
        <f t="shared" si="7"/>
        <v>-0.26012858140846762</v>
      </c>
      <c r="U14" s="6">
        <f t="shared" si="8"/>
        <v>-5.9871418591532388E-2</v>
      </c>
      <c r="V14" s="6"/>
      <c r="W14" s="6">
        <f t="shared" si="9"/>
        <v>3.5845867641624901E-3</v>
      </c>
      <c r="AA14">
        <f t="shared" si="10"/>
        <v>160</v>
      </c>
      <c r="AB14">
        <f t="shared" si="11"/>
        <v>-0.32</v>
      </c>
      <c r="AC14">
        <f t="shared" si="12"/>
        <v>-0.26012858140846762</v>
      </c>
    </row>
    <row r="15" spans="1:29" ht="18.95" customHeight="1">
      <c r="A15" s="4">
        <f t="shared" si="13"/>
        <v>1386</v>
      </c>
      <c r="B15" s="6">
        <f>INDEX('Raw Data'!$B$6:$B$2882,MATCH(A15,'Raw Data'!$A$6:$A$2882,0))</f>
        <v>47960</v>
      </c>
      <c r="C15" s="6">
        <f t="shared" si="0"/>
        <v>180</v>
      </c>
      <c r="D15" s="6">
        <f>MOD(C15+Summary!$B$20,Summary!$B$11)</f>
        <v>261.80064436864535</v>
      </c>
      <c r="E15" s="6">
        <f>_xlfn.XLOOKUP(D15,'Native PMKS'!$C$6:$C$366,'Native PMKS'!$C$6:$C$366,,-1)</f>
        <v>258.33333333333337</v>
      </c>
      <c r="F15" s="6">
        <f>_xlfn.XLOOKUP(D15,'Native PMKS'!$C$6:$C$366,'Native PMKS'!$C$6:$C$366,,1)</f>
        <v>266.66666666666669</v>
      </c>
      <c r="G15" s="6">
        <f>_xlfn.XLOOKUP(D15,'Native PMKS'!$C$6:$C$366,'Native PMKS'!$D$6:$D$366,,-1)</f>
        <v>-15.813599999999999</v>
      </c>
      <c r="H15" s="6">
        <f>_xlfn.XLOOKUP(D15,'Native PMKS'!$C$6:$C$366,'Native PMKS'!$D$6:$D$366,,1)</f>
        <v>-16.271999999999998</v>
      </c>
      <c r="I15" s="6">
        <f t="shared" si="1"/>
        <v>-16.004329845430444</v>
      </c>
      <c r="J15" s="6">
        <f>INDEX('Raw Data'!$F$6:$F$2882,MATCH(A15,'Raw Data'!$A$6:$A$2882,0))</f>
        <v>-0.32</v>
      </c>
      <c r="K15" s="6">
        <f t="shared" si="2"/>
        <v>-0.32</v>
      </c>
      <c r="L15" s="6">
        <f t="shared" si="3"/>
        <v>-0.27932825037795639</v>
      </c>
      <c r="M15" s="6">
        <f t="shared" si="4"/>
        <v>-4.0671749622043618E-2</v>
      </c>
      <c r="N15" s="6">
        <f t="shared" si="5"/>
        <v>1.6541912173182053E-3</v>
      </c>
      <c r="O15" s="6">
        <f>_xlfn.XLOOKUP(D15,'Instructor 360'!$B$6:$B$365,'Instructor 360'!$B$6:$B$365,,-1)</f>
        <v>259.05292479108635</v>
      </c>
      <c r="P15" s="6">
        <f>_xlfn.XLOOKUP(D15,'Instructor 360'!$B$6:$B$365,'Instructor 360'!$B$6:$B$365,,1)</f>
        <v>267.40947075208913</v>
      </c>
      <c r="Q15" s="6">
        <f>_xlfn.XLOOKUP(D15,'Instructor 360'!$B$6:$B$365,'Instructor 360'!$F$6:$F$365,,-1)</f>
        <v>-15.853183286908076</v>
      </c>
      <c r="R15" s="6">
        <f>_xlfn.XLOOKUP(D15,'Instructor 360'!$B$6:$B$365,'Instructor 360'!$F$6:$F$365,,1)</f>
        <v>-16.312860167130918</v>
      </c>
      <c r="S15" s="6">
        <f t="shared" si="6"/>
        <v>-16.004329845430441</v>
      </c>
      <c r="T15" s="6">
        <f t="shared" si="7"/>
        <v>-0.27932825037795633</v>
      </c>
      <c r="U15" s="6">
        <f t="shared" si="8"/>
        <v>-4.0671749622043674E-2</v>
      </c>
      <c r="V15" s="6"/>
      <c r="W15" s="6">
        <f t="shared" si="9"/>
        <v>1.6541912173182096E-3</v>
      </c>
      <c r="AA15">
        <f t="shared" si="10"/>
        <v>180</v>
      </c>
      <c r="AB15">
        <f t="shared" si="11"/>
        <v>-0.32</v>
      </c>
      <c r="AC15">
        <f t="shared" si="12"/>
        <v>-0.27932825037795633</v>
      </c>
    </row>
    <row r="16" spans="1:29" ht="18.95" customHeight="1">
      <c r="A16" s="4">
        <f t="shared" si="13"/>
        <v>1387</v>
      </c>
      <c r="B16" s="6">
        <f>INDEX('Raw Data'!$B$6:$B$2882,MATCH(A16,'Raw Data'!$A$6:$A$2882,0))</f>
        <v>47980</v>
      </c>
      <c r="C16" s="6">
        <f t="shared" si="0"/>
        <v>200</v>
      </c>
      <c r="D16" s="6">
        <f>MOD(C16+Summary!$B$20,Summary!$B$11)</f>
        <v>281.80064436864535</v>
      </c>
      <c r="E16" s="6">
        <f>_xlfn.XLOOKUP(D16,'Native PMKS'!$C$6:$C$366,'Native PMKS'!$C$6:$C$366,,-1)</f>
        <v>275</v>
      </c>
      <c r="F16" s="6">
        <f>_xlfn.XLOOKUP(D16,'Native PMKS'!$C$6:$C$366,'Native PMKS'!$C$6:$C$366,,1)</f>
        <v>283.33333333333337</v>
      </c>
      <c r="G16" s="6">
        <f>_xlfn.XLOOKUP(D16,'Native PMKS'!$C$6:$C$366,'Native PMKS'!$D$6:$D$366,,-1)</f>
        <v>-16.730399999999999</v>
      </c>
      <c r="H16" s="6">
        <f>_xlfn.XLOOKUP(D16,'Native PMKS'!$C$6:$C$366,'Native PMKS'!$D$6:$D$366,,1)</f>
        <v>-17.188700000000001</v>
      </c>
      <c r="I16" s="6">
        <f t="shared" si="1"/>
        <v>-17.104408237698017</v>
      </c>
      <c r="J16" s="6">
        <f>INDEX('Raw Data'!$F$6:$F$2882,MATCH(A16,'Raw Data'!$A$6:$A$2882,0))</f>
        <v>-0.34</v>
      </c>
      <c r="K16" s="6">
        <f t="shared" si="2"/>
        <v>-0.34</v>
      </c>
      <c r="L16" s="6">
        <f t="shared" si="3"/>
        <v>-0.29852824035307129</v>
      </c>
      <c r="M16" s="6">
        <f t="shared" si="4"/>
        <v>-4.147175964692873E-2</v>
      </c>
      <c r="N16" s="6">
        <f t="shared" si="5"/>
        <v>1.7199068482126262E-3</v>
      </c>
      <c r="O16" s="6">
        <f>_xlfn.XLOOKUP(D16,'Instructor 360'!$B$6:$B$365,'Instructor 360'!$B$6:$B$365,,-1)</f>
        <v>275.76601671309191</v>
      </c>
      <c r="P16" s="6">
        <f>_xlfn.XLOOKUP(D16,'Instructor 360'!$B$6:$B$365,'Instructor 360'!$B$6:$B$365,,1)</f>
        <v>284.1225626740947</v>
      </c>
      <c r="Q16" s="6">
        <f>_xlfn.XLOOKUP(D16,'Instructor 360'!$B$6:$B$365,'Instructor 360'!$F$6:$F$365,,-1)</f>
        <v>-16.772527855153204</v>
      </c>
      <c r="R16" s="6">
        <f>_xlfn.XLOOKUP(D16,'Instructor 360'!$B$6:$B$365,'Instructor 360'!$F$6:$F$365,,1)</f>
        <v>-17.226687186629526</v>
      </c>
      <c r="S16" s="6">
        <f t="shared" si="6"/>
        <v>-17.100496189743183</v>
      </c>
      <c r="T16" s="6">
        <f t="shared" si="7"/>
        <v>-0.29845996223576349</v>
      </c>
      <c r="U16" s="6">
        <f t="shared" si="8"/>
        <v>-4.1540037764236537E-2</v>
      </c>
      <c r="V16" s="6"/>
      <c r="W16" s="6">
        <f t="shared" si="9"/>
        <v>1.7255747374541977E-3</v>
      </c>
      <c r="AA16">
        <f t="shared" si="10"/>
        <v>200</v>
      </c>
      <c r="AB16">
        <f t="shared" si="11"/>
        <v>-0.34</v>
      </c>
      <c r="AC16">
        <f t="shared" si="12"/>
        <v>-0.29845996223576349</v>
      </c>
    </row>
    <row r="17" spans="1:29" ht="18.95" customHeight="1">
      <c r="A17" s="4">
        <f t="shared" si="13"/>
        <v>1388</v>
      </c>
      <c r="B17" s="6">
        <f>INDEX('Raw Data'!$B$6:$B$2882,MATCH(A17,'Raw Data'!$A$6:$A$2882,0))</f>
        <v>48000</v>
      </c>
      <c r="C17" s="6">
        <f t="shared" si="0"/>
        <v>220</v>
      </c>
      <c r="D17" s="6">
        <f>MOD(C17+Summary!$B$20,Summary!$B$11)</f>
        <v>301.80064436864535</v>
      </c>
      <c r="E17" s="6">
        <f>_xlfn.XLOOKUP(D17,'Native PMKS'!$C$6:$C$366,'Native PMKS'!$C$6:$C$366,,-1)</f>
        <v>300</v>
      </c>
      <c r="F17" s="6">
        <f>_xlfn.XLOOKUP(D17,'Native PMKS'!$C$6:$C$366,'Native PMKS'!$C$6:$C$366,,1)</f>
        <v>308.33333333333337</v>
      </c>
      <c r="G17" s="6">
        <f>_xlfn.XLOOKUP(D17,'Native PMKS'!$C$6:$C$366,'Native PMKS'!$D$6:$D$366,,-1)</f>
        <v>-18.048200000000001</v>
      </c>
      <c r="H17" s="6">
        <f>_xlfn.XLOOKUP(D17,'Native PMKS'!$C$6:$C$366,'Native PMKS'!$D$6:$D$366,,1)</f>
        <v>-18.449200000000001</v>
      </c>
      <c r="I17" s="6">
        <f t="shared" si="1"/>
        <v>-18.134847007019214</v>
      </c>
      <c r="J17" s="6">
        <f>INDEX('Raw Data'!$F$6:$F$2882,MATCH(A17,'Raw Data'!$A$6:$A$2882,0))</f>
        <v>-0.36</v>
      </c>
      <c r="K17" s="6">
        <f t="shared" si="2"/>
        <v>-0.36</v>
      </c>
      <c r="L17" s="6">
        <f t="shared" si="3"/>
        <v>-0.31651278961792451</v>
      </c>
      <c r="M17" s="6">
        <f t="shared" si="4"/>
        <v>-4.3487210382075481E-2</v>
      </c>
      <c r="N17" s="6">
        <f t="shared" si="5"/>
        <v>1.8911374668148936E-3</v>
      </c>
      <c r="O17" s="6">
        <f>_xlfn.XLOOKUP(D17,'Instructor 360'!$B$6:$B$365,'Instructor 360'!$B$6:$B$365,,-1)</f>
        <v>300.83565459610026</v>
      </c>
      <c r="P17" s="6">
        <f>_xlfn.XLOOKUP(D17,'Instructor 360'!$B$6:$B$365,'Instructor 360'!$B$6:$B$365,,1)</f>
        <v>309.19220055710304</v>
      </c>
      <c r="Q17" s="6">
        <f>_xlfn.XLOOKUP(D17,'Instructor 360'!$B$6:$B$365,'Instructor 360'!$F$6:$F$365,,-1)</f>
        <v>-18.088411699164347</v>
      </c>
      <c r="R17" s="6">
        <f>_xlfn.XLOOKUP(D17,'Instructor 360'!$B$6:$B$365,'Instructor 360'!$F$6:$F$365,,1)</f>
        <v>-18.490538997214482</v>
      </c>
      <c r="S17" s="6">
        <f t="shared" si="6"/>
        <v>-18.134848197173266</v>
      </c>
      <c r="T17" s="6">
        <f t="shared" si="7"/>
        <v>-0.31651281039003132</v>
      </c>
      <c r="U17" s="6">
        <f t="shared" si="8"/>
        <v>-4.3487189609968668E-2</v>
      </c>
      <c r="V17" s="6"/>
      <c r="W17" s="6">
        <f t="shared" si="9"/>
        <v>1.8911356601733669E-3</v>
      </c>
      <c r="AA17">
        <f t="shared" si="10"/>
        <v>220</v>
      </c>
      <c r="AB17">
        <f t="shared" si="11"/>
        <v>-0.36</v>
      </c>
      <c r="AC17">
        <f t="shared" si="12"/>
        <v>-0.31651281039003132</v>
      </c>
    </row>
    <row r="18" spans="1:29" ht="18.95" customHeight="1">
      <c r="A18" s="4">
        <f t="shared" si="13"/>
        <v>1389</v>
      </c>
      <c r="B18" s="6">
        <f>INDEX('Raw Data'!$B$6:$B$2882,MATCH(A18,'Raw Data'!$A$6:$A$2882,0))</f>
        <v>48020</v>
      </c>
      <c r="C18" s="6">
        <f t="shared" si="0"/>
        <v>240</v>
      </c>
      <c r="D18" s="6">
        <f>MOD(C18+Summary!$B$20,Summary!$B$11)</f>
        <v>321.80064436864535</v>
      </c>
      <c r="E18" s="6">
        <f>_xlfn.XLOOKUP(D18,'Native PMKS'!$C$6:$C$366,'Native PMKS'!$C$6:$C$366,,-1)</f>
        <v>316.66666666666669</v>
      </c>
      <c r="F18" s="6">
        <f>_xlfn.XLOOKUP(D18,'Native PMKS'!$C$6:$C$366,'Native PMKS'!$C$6:$C$366,,1)</f>
        <v>325</v>
      </c>
      <c r="G18" s="6">
        <f>_xlfn.XLOOKUP(D18,'Native PMKS'!$C$6:$C$366,'Native PMKS'!$D$6:$D$366,,-1)</f>
        <v>-18.850300000000001</v>
      </c>
      <c r="H18" s="6">
        <f>_xlfn.XLOOKUP(D18,'Native PMKS'!$C$6:$C$366,'Native PMKS'!$D$6:$D$366,,1)</f>
        <v>-19.2514</v>
      </c>
      <c r="I18" s="6">
        <f t="shared" si="1"/>
        <v>-19.097408614751636</v>
      </c>
      <c r="J18" s="6">
        <f>INDEX('Raw Data'!$F$6:$F$2882,MATCH(A18,'Raw Data'!$A$6:$A$2882,0))</f>
        <v>-0.37</v>
      </c>
      <c r="K18" s="6">
        <f t="shared" si="2"/>
        <v>-0.37</v>
      </c>
      <c r="L18" s="6">
        <f t="shared" si="3"/>
        <v>-0.33331265892614537</v>
      </c>
      <c r="M18" s="6">
        <f t="shared" si="4"/>
        <v>-3.6687341073854629E-2</v>
      </c>
      <c r="N18" s="6">
        <f t="shared" si="5"/>
        <v>1.3459609950693409E-3</v>
      </c>
      <c r="O18" s="6">
        <f>_xlfn.XLOOKUP(D18,'Instructor 360'!$B$6:$B$365,'Instructor 360'!$B$6:$B$365,,-1)</f>
        <v>317.54874651810587</v>
      </c>
      <c r="P18" s="6">
        <f>_xlfn.XLOOKUP(D18,'Instructor 360'!$B$6:$B$365,'Instructor 360'!$B$6:$B$365,,1)</f>
        <v>325.90529247910865</v>
      </c>
      <c r="Q18" s="6">
        <f>_xlfn.XLOOKUP(D18,'Instructor 360'!$B$6:$B$365,'Instructor 360'!$F$6:$F$365,,-1)</f>
        <v>-18.892756267409471</v>
      </c>
      <c r="R18" s="6">
        <f>_xlfn.XLOOKUP(D18,'Instructor 360'!$B$6:$B$365,'Instructor 360'!$F$6:$F$365,,1)</f>
        <v>-19.294973537604459</v>
      </c>
      <c r="S18" s="6">
        <f t="shared" si="6"/>
        <v>-19.09740861475164</v>
      </c>
      <c r="T18" s="6">
        <f t="shared" si="7"/>
        <v>-0.33331265892614542</v>
      </c>
      <c r="U18" s="6">
        <f t="shared" si="8"/>
        <v>-3.6687341073854574E-2</v>
      </c>
      <c r="V18" s="6"/>
      <c r="W18" s="6">
        <f t="shared" si="9"/>
        <v>1.3459609950693368E-3</v>
      </c>
      <c r="AA18">
        <f t="shared" si="10"/>
        <v>240</v>
      </c>
      <c r="AB18">
        <f t="shared" si="11"/>
        <v>-0.37</v>
      </c>
      <c r="AC18">
        <f t="shared" si="12"/>
        <v>-0.33331265892614542</v>
      </c>
    </row>
    <row r="19" spans="1:29" ht="18.95" customHeight="1">
      <c r="A19" s="4">
        <f t="shared" si="13"/>
        <v>1390</v>
      </c>
      <c r="B19" s="6">
        <f>INDEX('Raw Data'!$B$6:$B$2882,MATCH(A19,'Raw Data'!$A$6:$A$2882,0))</f>
        <v>48040</v>
      </c>
      <c r="C19" s="6">
        <f t="shared" si="0"/>
        <v>260</v>
      </c>
      <c r="D19" s="6">
        <f>MOD(C19+Summary!$B$20,Summary!$B$11)</f>
        <v>341.80064436864535</v>
      </c>
      <c r="E19" s="6">
        <f>_xlfn.XLOOKUP(D19,'Native PMKS'!$C$6:$C$366,'Native PMKS'!$C$6:$C$366,,-1)</f>
        <v>341.66666666666669</v>
      </c>
      <c r="F19" s="6">
        <f>_xlfn.XLOOKUP(D19,'Native PMKS'!$C$6:$C$366,'Native PMKS'!$C$6:$C$366,,1)</f>
        <v>350</v>
      </c>
      <c r="G19" s="6">
        <f>_xlfn.XLOOKUP(D19,'Native PMKS'!$C$6:$C$366,'Native PMKS'!$D$6:$D$366,,-1)</f>
        <v>-20.0535</v>
      </c>
      <c r="H19" s="6">
        <f>_xlfn.XLOOKUP(D19,'Native PMKS'!$C$6:$C$366,'Native PMKS'!$D$6:$D$366,,1)</f>
        <v>-20.454599999999999</v>
      </c>
      <c r="I19" s="6">
        <f t="shared" si="1"/>
        <v>-20.059948614751637</v>
      </c>
      <c r="J19" s="6">
        <f>INDEX('Raw Data'!$F$6:$F$2882,MATCH(A19,'Raw Data'!$A$6:$A$2882,0))</f>
        <v>-0.39</v>
      </c>
      <c r="K19" s="6">
        <f t="shared" si="2"/>
        <v>-0.39</v>
      </c>
      <c r="L19" s="6">
        <f t="shared" si="3"/>
        <v>-0.35011215110829164</v>
      </c>
      <c r="M19" s="6">
        <f t="shared" si="4"/>
        <v>-3.9887848891708377E-2</v>
      </c>
      <c r="N19" s="6">
        <f t="shared" si="5"/>
        <v>1.5910404892077613E-3</v>
      </c>
      <c r="O19" s="6">
        <f>_xlfn.XLOOKUP(D19,'Instructor 360'!$B$6:$B$365,'Instructor 360'!$B$6:$B$365,,-1)</f>
        <v>334.26183844011143</v>
      </c>
      <c r="P19" s="6">
        <f>_xlfn.XLOOKUP(D19,'Instructor 360'!$B$6:$B$365,'Instructor 360'!$B$6:$B$365,,1)</f>
        <v>342.61838440111421</v>
      </c>
      <c r="Q19" s="6">
        <f>_xlfn.XLOOKUP(D19,'Instructor 360'!$B$6:$B$365,'Instructor 360'!$F$6:$F$365,,-1)</f>
        <v>-19.697179665738162</v>
      </c>
      <c r="R19" s="6">
        <f>_xlfn.XLOOKUP(D19,'Instructor 360'!$B$6:$B$365,'Instructor 360'!$F$6:$F$365,,1)</f>
        <v>-20.099308077994429</v>
      </c>
      <c r="S19" s="6">
        <f t="shared" si="6"/>
        <v>-20.059957310053981</v>
      </c>
      <c r="T19" s="6">
        <f t="shared" si="7"/>
        <v>-0.35011230286994699</v>
      </c>
      <c r="U19" s="6">
        <f t="shared" si="8"/>
        <v>-3.9887697130053024E-2</v>
      </c>
      <c r="V19" s="6"/>
      <c r="W19" s="6">
        <f t="shared" si="9"/>
        <v>1.5910283823388402E-3</v>
      </c>
      <c r="AA19">
        <f t="shared" si="10"/>
        <v>260</v>
      </c>
      <c r="AB19">
        <f t="shared" si="11"/>
        <v>-0.39</v>
      </c>
      <c r="AC19">
        <f t="shared" si="12"/>
        <v>-0.35011230286994699</v>
      </c>
    </row>
    <row r="20" spans="1:29" ht="18.95" customHeight="1">
      <c r="A20" s="4">
        <f t="shared" si="13"/>
        <v>1391</v>
      </c>
      <c r="B20" s="6">
        <f>INDEX('Raw Data'!$B$6:$B$2882,MATCH(A20,'Raw Data'!$A$6:$A$2882,0))</f>
        <v>48060</v>
      </c>
      <c r="C20" s="6">
        <f t="shared" si="0"/>
        <v>280</v>
      </c>
      <c r="D20" s="6">
        <f>MOD(C20+Summary!$B$20,Summary!$B$11)</f>
        <v>361.80064436864535</v>
      </c>
      <c r="E20" s="6">
        <f>_xlfn.XLOOKUP(D20,'Native PMKS'!$C$6:$C$366,'Native PMKS'!$C$6:$C$366,,-1)</f>
        <v>358.33333333333337</v>
      </c>
      <c r="F20" s="6">
        <f>_xlfn.XLOOKUP(D20,'Native PMKS'!$C$6:$C$366,'Native PMKS'!$C$6:$C$366,,1)</f>
        <v>366.66666666666669</v>
      </c>
      <c r="G20" s="6">
        <f>_xlfn.XLOOKUP(D20,'Native PMKS'!$C$6:$C$366,'Native PMKS'!$D$6:$D$366,,-1)</f>
        <v>-20.798400000000001</v>
      </c>
      <c r="H20" s="6">
        <f>_xlfn.XLOOKUP(D20,'Native PMKS'!$C$6:$C$366,'Native PMKS'!$D$6:$D$366,,1)</f>
        <v>-21.199400000000001</v>
      </c>
      <c r="I20" s="6">
        <f t="shared" si="1"/>
        <v>-20.965247007019212</v>
      </c>
      <c r="J20" s="6">
        <f>INDEX('Raw Data'!$F$6:$F$2882,MATCH(A20,'Raw Data'!$A$6:$A$2882,0))</f>
        <v>-0.4</v>
      </c>
      <c r="K20" s="6">
        <f t="shared" si="2"/>
        <v>-0.4</v>
      </c>
      <c r="L20" s="6">
        <f t="shared" si="3"/>
        <v>-0.365912588766372</v>
      </c>
      <c r="M20" s="6">
        <f t="shared" si="4"/>
        <v>-3.4087411233628018E-2</v>
      </c>
      <c r="N20" s="6">
        <f t="shared" si="5"/>
        <v>1.1619516046104696E-3</v>
      </c>
      <c r="O20" s="6">
        <f>_xlfn.XLOOKUP(D20,'Instructor 360'!$B$6:$B$365,'Instructor 360'!$B$6:$B$365,,-1)</f>
        <v>359.33147632311977</v>
      </c>
      <c r="P20" s="6">
        <f>_xlfn.XLOOKUP(D20,'Instructor 360'!$B$6:$B$365,'Instructor 360'!$B$6:$B$365,,1)</f>
        <v>367.68802228412255</v>
      </c>
      <c r="Q20" s="6">
        <f>_xlfn.XLOOKUP(D20,'Instructor 360'!$B$6:$B$365,'Instructor 360'!$F$6:$F$365,,-1)</f>
        <v>-20.846430640668522</v>
      </c>
      <c r="R20" s="6">
        <f>_xlfn.XLOOKUP(D20,'Instructor 360'!$B$6:$B$365,'Instructor 360'!$F$6:$F$365,,1)</f>
        <v>-21.241537047353759</v>
      </c>
      <c r="S20" s="6">
        <f t="shared" si="6"/>
        <v>-20.963175539640222</v>
      </c>
      <c r="T20" s="6">
        <f t="shared" si="7"/>
        <v>-0.36587643484026089</v>
      </c>
      <c r="U20" s="6">
        <f t="shared" si="8"/>
        <v>-3.4123565159739133E-2</v>
      </c>
      <c r="V20" s="6"/>
      <c r="W20" s="6">
        <f t="shared" si="9"/>
        <v>1.1644176992109624E-3</v>
      </c>
      <c r="AA20">
        <f t="shared" si="10"/>
        <v>280</v>
      </c>
      <c r="AB20">
        <f t="shared" si="11"/>
        <v>-0.4</v>
      </c>
      <c r="AC20">
        <f t="shared" si="12"/>
        <v>-0.36587643484026089</v>
      </c>
    </row>
    <row r="21" spans="1:29" ht="18.95" customHeight="1">
      <c r="A21" s="4">
        <f t="shared" si="13"/>
        <v>1392</v>
      </c>
      <c r="B21" s="6">
        <f>INDEX('Raw Data'!$B$6:$B$2882,MATCH(A21,'Raw Data'!$A$6:$A$2882,0))</f>
        <v>48080</v>
      </c>
      <c r="C21" s="6">
        <f t="shared" si="0"/>
        <v>300</v>
      </c>
      <c r="D21" s="6">
        <f>MOD(C21+Summary!$B$20,Summary!$B$11)</f>
        <v>381.80064436864535</v>
      </c>
      <c r="E21" s="6">
        <f>_xlfn.XLOOKUP(D21,'Native PMKS'!$C$6:$C$366,'Native PMKS'!$C$6:$C$366,,-1)</f>
        <v>375</v>
      </c>
      <c r="F21" s="6">
        <f>_xlfn.XLOOKUP(D21,'Native PMKS'!$C$6:$C$366,'Native PMKS'!$C$6:$C$366,,1)</f>
        <v>383.33333333333337</v>
      </c>
      <c r="G21" s="6">
        <f>_xlfn.XLOOKUP(D21,'Native PMKS'!$C$6:$C$366,'Native PMKS'!$D$6:$D$366,,-1)</f>
        <v>-21.543199999999999</v>
      </c>
      <c r="H21" s="6">
        <f>_xlfn.XLOOKUP(D21,'Native PMKS'!$C$6:$C$366,'Native PMKS'!$D$6:$D$366,,1)</f>
        <v>-21.944299999999998</v>
      </c>
      <c r="I21" s="6">
        <f t="shared" si="1"/>
        <v>-21.870528614751635</v>
      </c>
      <c r="J21" s="6">
        <f>INDEX('Raw Data'!$F$6:$F$2882,MATCH(A21,'Raw Data'!$A$6:$A$2882,0))</f>
        <v>-0.46</v>
      </c>
      <c r="K21" s="6">
        <f t="shared" si="2"/>
        <v>-0.46</v>
      </c>
      <c r="L21" s="6">
        <f t="shared" si="3"/>
        <v>-0.38171273347905049</v>
      </c>
      <c r="M21" s="6">
        <f t="shared" si="4"/>
        <v>-7.8287266520949528E-2</v>
      </c>
      <c r="N21" s="6">
        <f t="shared" si="5"/>
        <v>6.128896099322185E-3</v>
      </c>
      <c r="O21" s="6">
        <f>_xlfn.XLOOKUP(D21,'Instructor 360'!$B$6:$B$365,'Instructor 360'!$B$6:$B$365,,-1)</f>
        <v>376.04456824512533</v>
      </c>
      <c r="P21" s="6">
        <f>_xlfn.XLOOKUP(D21,'Instructor 360'!$B$6:$B$365,'Instructor 360'!$B$6:$B$365,,1)</f>
        <v>384.40111420612811</v>
      </c>
      <c r="Q21" s="6">
        <f>_xlfn.XLOOKUP(D21,'Instructor 360'!$B$6:$B$365,'Instructor 360'!$F$6:$F$365,,-1)</f>
        <v>-21.59347715877437</v>
      </c>
      <c r="R21" s="6">
        <f>_xlfn.XLOOKUP(D21,'Instructor 360'!$B$6:$B$365,'Instructor 360'!$F$6:$F$365,,1)</f>
        <v>-21.988352367688019</v>
      </c>
      <c r="S21" s="6">
        <f t="shared" si="6"/>
        <v>-21.86547132626951</v>
      </c>
      <c r="T21" s="6">
        <f t="shared" si="7"/>
        <v>-0.38162446714381426</v>
      </c>
      <c r="U21" s="6">
        <f t="shared" si="8"/>
        <v>-7.8375532856185759E-2</v>
      </c>
      <c r="V21" s="6"/>
      <c r="W21" s="6">
        <f t="shared" si="9"/>
        <v>6.1427241504910532E-3</v>
      </c>
      <c r="AA21">
        <f t="shared" si="10"/>
        <v>300</v>
      </c>
      <c r="AB21">
        <f t="shared" si="11"/>
        <v>-0.46</v>
      </c>
      <c r="AC21">
        <f t="shared" si="12"/>
        <v>-0.38162446714381426</v>
      </c>
    </row>
    <row r="22" spans="1:29" ht="18.95" customHeight="1">
      <c r="A22" s="4">
        <f t="shared" si="13"/>
        <v>1393</v>
      </c>
      <c r="B22" s="6">
        <f>INDEX('Raw Data'!$B$6:$B$2882,MATCH(A22,'Raw Data'!$A$6:$A$2882,0))</f>
        <v>48100</v>
      </c>
      <c r="C22" s="6">
        <f t="shared" si="0"/>
        <v>320</v>
      </c>
      <c r="D22" s="6">
        <f>MOD(C22+Summary!$B$20,Summary!$B$11)</f>
        <v>401.80064436864535</v>
      </c>
      <c r="E22" s="6">
        <f>_xlfn.XLOOKUP(D22,'Native PMKS'!$C$6:$C$366,'Native PMKS'!$C$6:$C$366,,-1)</f>
        <v>400</v>
      </c>
      <c r="F22" s="6">
        <f>_xlfn.XLOOKUP(D22,'Native PMKS'!$C$6:$C$366,'Native PMKS'!$C$6:$C$366,,1)</f>
        <v>408.33333333333337</v>
      </c>
      <c r="G22" s="6">
        <f>_xlfn.XLOOKUP(D22,'Native PMKS'!$C$6:$C$366,'Native PMKS'!$D$6:$D$366,,-1)</f>
        <v>-22.631799999999998</v>
      </c>
      <c r="H22" s="6">
        <f>_xlfn.XLOOKUP(D22,'Native PMKS'!$C$6:$C$366,'Native PMKS'!$D$6:$D$366,,1)</f>
        <v>-22.9756</v>
      </c>
      <c r="I22" s="6">
        <f t="shared" si="1"/>
        <v>-22.706087384072834</v>
      </c>
      <c r="J22" s="6">
        <f>INDEX('Raw Data'!$F$6:$F$2882,MATCH(A22,'Raw Data'!$A$6:$A$2882,0))</f>
        <v>-0.47</v>
      </c>
      <c r="K22" s="6">
        <f t="shared" si="2"/>
        <v>-0.47</v>
      </c>
      <c r="L22" s="6">
        <f t="shared" si="3"/>
        <v>-0.39629598509761721</v>
      </c>
      <c r="M22" s="6">
        <f t="shared" si="4"/>
        <v>-7.3704014902382764E-2</v>
      </c>
      <c r="N22" s="6">
        <f t="shared" si="5"/>
        <v>5.4322818127306603E-3</v>
      </c>
      <c r="O22" s="6">
        <f>_xlfn.XLOOKUP(D22,'Instructor 360'!$B$6:$B$365,'Instructor 360'!$B$6:$B$365,,-1)</f>
        <v>401.11420612813367</v>
      </c>
      <c r="P22" s="6">
        <f>_xlfn.XLOOKUP(D22,'Instructor 360'!$B$6:$B$365,'Instructor 360'!$B$6:$B$365,,1)</f>
        <v>409.47075208913651</v>
      </c>
      <c r="Q22" s="6">
        <f>_xlfn.XLOOKUP(D22,'Instructor 360'!$B$6:$B$365,'Instructor 360'!$F$6:$F$365,,-1)</f>
        <v>-22.677767688022282</v>
      </c>
      <c r="R22" s="6">
        <f>_xlfn.XLOOKUP(D22,'Instructor 360'!$B$6:$B$365,'Instructor 360'!$F$6:$F$365,,1)</f>
        <v>-23.022525348189415</v>
      </c>
      <c r="S22" s="6">
        <f t="shared" si="6"/>
        <v>-22.706087384072831</v>
      </c>
      <c r="T22" s="6">
        <f t="shared" si="7"/>
        <v>-0.39629598509761715</v>
      </c>
      <c r="U22" s="6">
        <f t="shared" si="8"/>
        <v>-7.3704014902382819E-2</v>
      </c>
      <c r="V22" s="6"/>
      <c r="W22" s="6">
        <f t="shared" si="9"/>
        <v>5.432281812730669E-3</v>
      </c>
      <c r="AA22">
        <f t="shared" si="10"/>
        <v>320</v>
      </c>
      <c r="AB22">
        <f t="shared" si="11"/>
        <v>-0.47</v>
      </c>
      <c r="AC22">
        <f t="shared" si="12"/>
        <v>-0.39629598509761715</v>
      </c>
    </row>
    <row r="23" spans="1:29" ht="18.95" customHeight="1">
      <c r="A23" s="4">
        <f t="shared" si="13"/>
        <v>1394</v>
      </c>
      <c r="B23" s="6">
        <f>INDEX('Raw Data'!$B$6:$B$2882,MATCH(A23,'Raw Data'!$A$6:$A$2882,0))</f>
        <v>48120</v>
      </c>
      <c r="C23" s="6">
        <f t="shared" si="0"/>
        <v>340</v>
      </c>
      <c r="D23" s="6">
        <f>MOD(C23+Summary!$B$20,Summary!$B$11)</f>
        <v>421.80064436864535</v>
      </c>
      <c r="E23" s="6">
        <f>_xlfn.XLOOKUP(D23,'Native PMKS'!$C$6:$C$366,'Native PMKS'!$C$6:$C$366,,-1)</f>
        <v>416.66666666666669</v>
      </c>
      <c r="F23" s="6">
        <f>_xlfn.XLOOKUP(D23,'Native PMKS'!$C$6:$C$366,'Native PMKS'!$C$6:$C$366,,1)</f>
        <v>425.00000000000006</v>
      </c>
      <c r="G23" s="6">
        <f>_xlfn.XLOOKUP(D23,'Native PMKS'!$C$6:$C$366,'Native PMKS'!$D$6:$D$366,,-1)</f>
        <v>-23.319400000000002</v>
      </c>
      <c r="H23" s="6">
        <f>_xlfn.XLOOKUP(D23,'Native PMKS'!$C$6:$C$366,'Native PMKS'!$D$6:$D$366,,1)</f>
        <v>-23.605899999999998</v>
      </c>
      <c r="I23" s="6">
        <f t="shared" si="1"/>
        <v>-23.495906153394024</v>
      </c>
      <c r="J23" s="6">
        <f>INDEX('Raw Data'!$F$6:$F$2882,MATCH(A23,'Raw Data'!$A$6:$A$2882,0))</f>
        <v>-0.48</v>
      </c>
      <c r="K23" s="6">
        <f t="shared" si="2"/>
        <v>-0.48</v>
      </c>
      <c r="L23" s="6">
        <f t="shared" si="3"/>
        <v>-0.41008092311632161</v>
      </c>
      <c r="M23" s="6">
        <f t="shared" si="4"/>
        <v>-6.9919076883678377E-2</v>
      </c>
      <c r="N23" s="6">
        <f t="shared" si="5"/>
        <v>4.8886773122657282E-3</v>
      </c>
      <c r="O23" s="6">
        <f>_xlfn.XLOOKUP(D23,'Instructor 360'!$B$6:$B$365,'Instructor 360'!$B$6:$B$365,,-1)</f>
        <v>417.82729805013929</v>
      </c>
      <c r="P23" s="6">
        <f>_xlfn.XLOOKUP(D23,'Instructor 360'!$B$6:$B$365,'Instructor 360'!$B$6:$B$365,,1)</f>
        <v>426.18384401114207</v>
      </c>
      <c r="Q23" s="6">
        <f>_xlfn.XLOOKUP(D23,'Instructor 360'!$B$6:$B$365,'Instructor 360'!$F$6:$F$365,,-1)</f>
        <v>-23.35930250696379</v>
      </c>
      <c r="R23" s="6">
        <f>_xlfn.XLOOKUP(D23,'Instructor 360'!$B$6:$B$365,'Instructor 360'!$F$6:$F$365,,1)</f>
        <v>-23.654726462395541</v>
      </c>
      <c r="S23" s="6">
        <f t="shared" si="6"/>
        <v>-23.499769835354144</v>
      </c>
      <c r="T23" s="6">
        <f t="shared" si="7"/>
        <v>-0.41014835708777553</v>
      </c>
      <c r="U23" s="6">
        <f t="shared" si="8"/>
        <v>-6.9851642912224454E-2</v>
      </c>
      <c r="V23" s="6"/>
      <c r="W23" s="6">
        <f t="shared" si="9"/>
        <v>4.879252017536917E-3</v>
      </c>
      <c r="AA23">
        <f t="shared" si="10"/>
        <v>340</v>
      </c>
      <c r="AB23">
        <f t="shared" si="11"/>
        <v>-0.48</v>
      </c>
      <c r="AC23">
        <f t="shared" si="12"/>
        <v>-0.41014835708777553</v>
      </c>
    </row>
    <row r="24" spans="1:29" ht="18.95" customHeight="1">
      <c r="A24" s="4">
        <f t="shared" si="13"/>
        <v>1395</v>
      </c>
      <c r="B24" s="6">
        <f>INDEX('Raw Data'!$B$6:$B$2882,MATCH(A24,'Raw Data'!$A$6:$A$2882,0))</f>
        <v>48140</v>
      </c>
      <c r="C24" s="6">
        <f t="shared" si="0"/>
        <v>360</v>
      </c>
      <c r="D24" s="6">
        <f>MOD(C24+Summary!$B$20,Summary!$B$11)</f>
        <v>441.80064436864535</v>
      </c>
      <c r="E24" s="6">
        <f>_xlfn.XLOOKUP(D24,'Native PMKS'!$C$6:$C$366,'Native PMKS'!$C$6:$C$366,,-1)</f>
        <v>441.66666666666669</v>
      </c>
      <c r="F24" s="6">
        <f>_xlfn.XLOOKUP(D24,'Native PMKS'!$C$6:$C$366,'Native PMKS'!$C$6:$C$366,,1)</f>
        <v>450.00000000000006</v>
      </c>
      <c r="G24" s="6">
        <f>_xlfn.XLOOKUP(D24,'Native PMKS'!$C$6:$C$366,'Native PMKS'!$D$6:$D$366,,-1)</f>
        <v>-24.2361</v>
      </c>
      <c r="H24" s="6">
        <f>_xlfn.XLOOKUP(D24,'Native PMKS'!$C$6:$C$366,'Native PMKS'!$D$6:$D$366,,1)</f>
        <v>-24.522600000000001</v>
      </c>
      <c r="I24" s="6">
        <f t="shared" si="1"/>
        <v>-24.240706153394029</v>
      </c>
      <c r="J24" s="6">
        <f>INDEX('Raw Data'!$F$6:$F$2882,MATCH(A24,'Raw Data'!$A$6:$A$2882,0))</f>
        <v>-0.51</v>
      </c>
      <c r="K24" s="6">
        <f t="shared" si="2"/>
        <v>-0.51</v>
      </c>
      <c r="L24" s="6">
        <f t="shared" si="3"/>
        <v>-0.42308013538517542</v>
      </c>
      <c r="M24" s="6">
        <f t="shared" si="4"/>
        <v>-8.6919864614824593E-2</v>
      </c>
      <c r="N24" s="6">
        <f t="shared" si="5"/>
        <v>7.5550628646594365E-3</v>
      </c>
      <c r="O24" s="6">
        <f>_xlfn.XLOOKUP(D24,'Instructor 360'!$B$6:$B$365,'Instructor 360'!$B$6:$B$365,,-1)</f>
        <v>434.54038997214485</v>
      </c>
      <c r="P24" s="6">
        <f>_xlfn.XLOOKUP(D24,'Instructor 360'!$B$6:$B$365,'Instructor 360'!$B$6:$B$365,,1)</f>
        <v>442.89693593314763</v>
      </c>
      <c r="Q24" s="6">
        <f>_xlfn.XLOOKUP(D24,'Instructor 360'!$B$6:$B$365,'Instructor 360'!$F$6:$F$365,,-1)</f>
        <v>-23.991098607242339</v>
      </c>
      <c r="R24" s="6">
        <f>_xlfn.XLOOKUP(D24,'Instructor 360'!$B$6:$B$365,'Instructor 360'!$F$6:$F$365,,1)</f>
        <v>-24.278396657381617</v>
      </c>
      <c r="S24" s="6">
        <f t="shared" si="6"/>
        <v>-24.240706153394029</v>
      </c>
      <c r="T24" s="6">
        <f t="shared" si="7"/>
        <v>-0.42308013538517542</v>
      </c>
      <c r="U24" s="6">
        <f t="shared" si="8"/>
        <v>-8.6919864614824593E-2</v>
      </c>
      <c r="V24" s="6"/>
      <c r="W24" s="6">
        <f t="shared" si="9"/>
        <v>7.5550628646594365E-3</v>
      </c>
      <c r="AA24">
        <f t="shared" si="10"/>
        <v>360</v>
      </c>
      <c r="AB24">
        <f t="shared" si="11"/>
        <v>-0.51</v>
      </c>
      <c r="AC24">
        <f t="shared" si="12"/>
        <v>-0.42308013538517542</v>
      </c>
    </row>
    <row r="25" spans="1:29" ht="18.95" customHeight="1">
      <c r="A25" s="4">
        <f t="shared" si="13"/>
        <v>1396</v>
      </c>
      <c r="B25" s="6">
        <f>INDEX('Raw Data'!$B$6:$B$2882,MATCH(A25,'Raw Data'!$A$6:$A$2882,0))</f>
        <v>48160</v>
      </c>
      <c r="C25" s="6">
        <f t="shared" si="0"/>
        <v>380</v>
      </c>
      <c r="D25" s="6">
        <f>MOD(C25+Summary!$B$20,Summary!$B$11)</f>
        <v>461.80064436864535</v>
      </c>
      <c r="E25" s="6">
        <f>_xlfn.XLOOKUP(D25,'Native PMKS'!$C$6:$C$366,'Native PMKS'!$C$6:$C$366,,-1)</f>
        <v>458.33333333333337</v>
      </c>
      <c r="F25" s="6">
        <f>_xlfn.XLOOKUP(D25,'Native PMKS'!$C$6:$C$366,'Native PMKS'!$C$6:$C$366,,1)</f>
        <v>466.66666666666669</v>
      </c>
      <c r="G25" s="6">
        <f>_xlfn.XLOOKUP(D25,'Native PMKS'!$C$6:$C$366,'Native PMKS'!$D$6:$D$366,,-1)</f>
        <v>-24.866399999999999</v>
      </c>
      <c r="H25" s="6">
        <f>_xlfn.XLOOKUP(D25,'Native PMKS'!$C$6:$C$366,'Native PMKS'!$D$6:$D$366,,1)</f>
        <v>-25.152799999999999</v>
      </c>
      <c r="I25" s="6">
        <f t="shared" si="1"/>
        <v>-24.985564545661603</v>
      </c>
      <c r="J25" s="6">
        <f>INDEX('Raw Data'!$F$6:$F$2882,MATCH(A25,'Raw Data'!$A$6:$A$2882,0))</f>
        <v>-0.51</v>
      </c>
      <c r="K25" s="6">
        <f t="shared" si="2"/>
        <v>-0.51</v>
      </c>
      <c r="L25" s="6">
        <f t="shared" si="3"/>
        <v>-0.43608036679135603</v>
      </c>
      <c r="M25" s="6">
        <f t="shared" si="4"/>
        <v>-7.3919633208643976E-2</v>
      </c>
      <c r="N25" s="6">
        <f t="shared" si="5"/>
        <v>5.4641121737004613E-3</v>
      </c>
      <c r="O25" s="6">
        <f>_xlfn.XLOOKUP(D25,'Instructor 360'!$B$6:$B$365,'Instructor 360'!$B$6:$B$365,,-1)</f>
        <v>459.61002785515319</v>
      </c>
      <c r="P25" s="6">
        <f>_xlfn.XLOOKUP(D25,'Instructor 360'!$B$6:$B$365,'Instructor 360'!$B$6:$B$365,,1)</f>
        <v>467.96657381615597</v>
      </c>
      <c r="Q25" s="6">
        <f>_xlfn.XLOOKUP(D25,'Instructor 360'!$B$6:$B$365,'Instructor 360'!$F$6:$F$365,,-1)</f>
        <v>-24.910277437325902</v>
      </c>
      <c r="R25" s="6">
        <f>_xlfn.XLOOKUP(D25,'Instructor 360'!$B$6:$B$365,'Instructor 360'!$F$6:$F$365,,1)</f>
        <v>-25.188552646239554</v>
      </c>
      <c r="S25" s="6">
        <f t="shared" si="6"/>
        <v>-24.983225551389598</v>
      </c>
      <c r="T25" s="6">
        <f t="shared" si="7"/>
        <v>-0.43603954364012426</v>
      </c>
      <c r="U25" s="6">
        <f t="shared" si="8"/>
        <v>-7.3960456359875748E-2</v>
      </c>
      <c r="V25" s="6"/>
      <c r="W25" s="6">
        <f t="shared" si="9"/>
        <v>5.4701491049610846E-3</v>
      </c>
      <c r="AA25">
        <f t="shared" si="10"/>
        <v>380</v>
      </c>
      <c r="AB25">
        <f t="shared" si="11"/>
        <v>-0.51</v>
      </c>
      <c r="AC25">
        <f t="shared" si="12"/>
        <v>-0.43603954364012426</v>
      </c>
    </row>
    <row r="26" spans="1:29" ht="18.95" customHeight="1">
      <c r="A26" s="4">
        <f t="shared" si="13"/>
        <v>1397</v>
      </c>
      <c r="B26" s="6">
        <f>INDEX('Raw Data'!$B$6:$B$2882,MATCH(A26,'Raw Data'!$A$6:$A$2882,0))</f>
        <v>48180</v>
      </c>
      <c r="C26" s="6">
        <f t="shared" si="0"/>
        <v>400</v>
      </c>
      <c r="D26" s="6">
        <f>MOD(C26+Summary!$B$20,Summary!$B$11)</f>
        <v>481.80064436864535</v>
      </c>
      <c r="E26" s="6">
        <f>_xlfn.XLOOKUP(D26,'Native PMKS'!$C$6:$C$366,'Native PMKS'!$C$6:$C$366,,-1)</f>
        <v>475.00000000000006</v>
      </c>
      <c r="F26" s="6">
        <f>_xlfn.XLOOKUP(D26,'Native PMKS'!$C$6:$C$366,'Native PMKS'!$C$6:$C$366,,1)</f>
        <v>483.33333333333337</v>
      </c>
      <c r="G26" s="6">
        <f>_xlfn.XLOOKUP(D26,'Native PMKS'!$C$6:$C$366,'Native PMKS'!$D$6:$D$366,,-1)</f>
        <v>-25.382000000000001</v>
      </c>
      <c r="H26" s="6">
        <f>_xlfn.XLOOKUP(D26,'Native PMKS'!$C$6:$C$366,'Native PMKS'!$D$6:$D$366,,1)</f>
        <v>-25.668500000000002</v>
      </c>
      <c r="I26" s="6">
        <f t="shared" si="1"/>
        <v>-25.615806153394026</v>
      </c>
      <c r="J26" s="6">
        <f>INDEX('Raw Data'!$F$6:$F$2882,MATCH(A26,'Raw Data'!$A$6:$A$2882,0))</f>
        <v>-0.53</v>
      </c>
      <c r="K26" s="6">
        <f t="shared" si="2"/>
        <v>-0.53</v>
      </c>
      <c r="L26" s="6">
        <f t="shared" si="3"/>
        <v>-0.44708015792934935</v>
      </c>
      <c r="M26" s="6">
        <f t="shared" si="4"/>
        <v>-8.2919842070650673E-2</v>
      </c>
      <c r="N26" s="6">
        <f t="shared" si="5"/>
        <v>6.8757002090216492E-3</v>
      </c>
      <c r="O26" s="6">
        <f>_xlfn.XLOOKUP(D26,'Instructor 360'!$B$6:$B$365,'Instructor 360'!$B$6:$B$365,,-1)</f>
        <v>476.32311977715875</v>
      </c>
      <c r="P26" s="6">
        <f>_xlfn.XLOOKUP(D26,'Instructor 360'!$B$6:$B$365,'Instructor 360'!$B$6:$B$365,,1)</f>
        <v>484.67966573816153</v>
      </c>
      <c r="Q26" s="6">
        <f>_xlfn.XLOOKUP(D26,'Instructor 360'!$B$6:$B$365,'Instructor 360'!$F$6:$F$365,,-1)</f>
        <v>-25.427488857938716</v>
      </c>
      <c r="R26" s="6">
        <f>_xlfn.XLOOKUP(D26,'Instructor 360'!$B$6:$B$365,'Instructor 360'!$F$6:$F$365,,1)</f>
        <v>-25.714786908077993</v>
      </c>
      <c r="S26" s="6">
        <f t="shared" si="6"/>
        <v>-25.615806153394026</v>
      </c>
      <c r="T26" s="6">
        <f t="shared" si="7"/>
        <v>-0.44708015792934935</v>
      </c>
      <c r="U26" s="6">
        <f t="shared" si="8"/>
        <v>-8.2919842070650673E-2</v>
      </c>
      <c r="V26" s="6"/>
      <c r="W26" s="6">
        <f t="shared" si="9"/>
        <v>6.8757002090216492E-3</v>
      </c>
      <c r="AA26">
        <f t="shared" si="10"/>
        <v>400</v>
      </c>
      <c r="AB26">
        <f t="shared" si="11"/>
        <v>-0.53</v>
      </c>
      <c r="AC26">
        <f t="shared" si="12"/>
        <v>-0.44708015792934935</v>
      </c>
    </row>
    <row r="27" spans="1:29" ht="18.95" customHeight="1">
      <c r="A27" s="4">
        <f t="shared" si="13"/>
        <v>1398</v>
      </c>
      <c r="B27" s="6">
        <f>INDEX('Raw Data'!$B$6:$B$2882,MATCH(A27,'Raw Data'!$A$6:$A$2882,0))</f>
        <v>48200</v>
      </c>
      <c r="C27" s="6">
        <f t="shared" si="0"/>
        <v>420</v>
      </c>
      <c r="D27" s="6">
        <f>MOD(C27+Summary!$B$20,Summary!$B$11)</f>
        <v>501.80064436864535</v>
      </c>
      <c r="E27" s="6">
        <f>_xlfn.XLOOKUP(D27,'Native PMKS'!$C$6:$C$366,'Native PMKS'!$C$6:$C$366,,-1)</f>
        <v>500.00000000000006</v>
      </c>
      <c r="F27" s="6">
        <f>_xlfn.XLOOKUP(D27,'Native PMKS'!$C$6:$C$366,'Native PMKS'!$C$6:$C$366,,1)</f>
        <v>508.33333333333337</v>
      </c>
      <c r="G27" s="6">
        <f>_xlfn.XLOOKUP(D27,'Native PMKS'!$C$6:$C$366,'Native PMKS'!$D$6:$D$366,,-1)</f>
        <v>-26.184200000000001</v>
      </c>
      <c r="H27" s="6">
        <f>_xlfn.XLOOKUP(D27,'Native PMKS'!$C$6:$C$366,'Native PMKS'!$D$6:$D$366,,1)</f>
        <v>-26.413399999999999</v>
      </c>
      <c r="I27" s="6">
        <f t="shared" si="1"/>
        <v>-26.233724922715218</v>
      </c>
      <c r="J27" s="6">
        <f>INDEX('Raw Data'!$F$6:$F$2882,MATCH(A27,'Raw Data'!$A$6:$A$2882,0))</f>
        <v>-0.51</v>
      </c>
      <c r="K27" s="6">
        <f t="shared" si="2"/>
        <v>-0.51</v>
      </c>
      <c r="L27" s="6">
        <f t="shared" si="3"/>
        <v>-0.45786487496387551</v>
      </c>
      <c r="M27" s="6">
        <f t="shared" si="4"/>
        <v>-5.2135125036124497E-2</v>
      </c>
      <c r="N27" s="6">
        <f t="shared" si="5"/>
        <v>2.7180712625323351E-3</v>
      </c>
      <c r="O27" s="6">
        <f>_xlfn.XLOOKUP(D27,'Instructor 360'!$B$6:$B$365,'Instructor 360'!$B$6:$B$365,,-1)</f>
        <v>501.39275766016715</v>
      </c>
      <c r="P27" s="6">
        <f>_xlfn.XLOOKUP(D27,'Instructor 360'!$B$6:$B$365,'Instructor 360'!$B$6:$B$365,,1)</f>
        <v>509.74930362116993</v>
      </c>
      <c r="Q27" s="6">
        <f>_xlfn.XLOOKUP(D27,'Instructor 360'!$B$6:$B$365,'Instructor 360'!$F$6:$F$365,,-1)</f>
        <v>-26.222506406685238</v>
      </c>
      <c r="R27" s="6">
        <f>_xlfn.XLOOKUP(D27,'Instructor 360'!$B$6:$B$365,'Instructor 360'!$F$6:$F$365,,1)</f>
        <v>-26.462064066852367</v>
      </c>
      <c r="S27" s="6">
        <f t="shared" si="6"/>
        <v>-26.234199322149628</v>
      </c>
      <c r="T27" s="6">
        <f t="shared" si="7"/>
        <v>-0.45787315479597562</v>
      </c>
      <c r="U27" s="6">
        <f t="shared" si="8"/>
        <v>-5.2126845204024386E-2</v>
      </c>
      <c r="V27" s="6"/>
      <c r="W27" s="6">
        <f t="shared" si="9"/>
        <v>2.7172079909243202E-3</v>
      </c>
      <c r="AA27">
        <f t="shared" si="10"/>
        <v>420</v>
      </c>
      <c r="AB27">
        <f t="shared" si="11"/>
        <v>-0.51</v>
      </c>
      <c r="AC27">
        <f t="shared" si="12"/>
        <v>-0.45787315479597562</v>
      </c>
    </row>
    <row r="28" spans="1:29" ht="18.95" customHeight="1">
      <c r="A28" s="4">
        <f t="shared" si="13"/>
        <v>1399</v>
      </c>
      <c r="B28" s="6">
        <f>INDEX('Raw Data'!$B$6:$B$2882,MATCH(A28,'Raw Data'!$A$6:$A$2882,0))</f>
        <v>48220</v>
      </c>
      <c r="C28" s="6">
        <f t="shared" si="0"/>
        <v>440</v>
      </c>
      <c r="D28" s="6">
        <f>MOD(C28+Summary!$B$20,Summary!$B$11)</f>
        <v>521.80064436864529</v>
      </c>
      <c r="E28" s="6">
        <f>_xlfn.XLOOKUP(D28,'Native PMKS'!$C$6:$C$366,'Native PMKS'!$C$6:$C$366,,-1)</f>
        <v>516.66666666666674</v>
      </c>
      <c r="F28" s="6">
        <f>_xlfn.XLOOKUP(D28,'Native PMKS'!$C$6:$C$366,'Native PMKS'!$C$6:$C$366,,1)</f>
        <v>525</v>
      </c>
      <c r="G28" s="6">
        <f>_xlfn.XLOOKUP(D28,'Native PMKS'!$C$6:$C$366,'Native PMKS'!$D$6:$D$366,,-1)</f>
        <v>-26.6998</v>
      </c>
      <c r="H28" s="6">
        <f>_xlfn.XLOOKUP(D28,'Native PMKS'!$C$6:$C$366,'Native PMKS'!$D$6:$D$366,,1)</f>
        <v>-26.928999999999998</v>
      </c>
      <c r="I28" s="6">
        <f t="shared" si="1"/>
        <v>-26.841004922715218</v>
      </c>
      <c r="J28" s="6">
        <f>INDEX('Raw Data'!$F$6:$F$2882,MATCH(A28,'Raw Data'!$A$6:$A$2882,0))</f>
        <v>-0.51</v>
      </c>
      <c r="K28" s="6">
        <f t="shared" si="2"/>
        <v>-0.51</v>
      </c>
      <c r="L28" s="6">
        <f t="shared" si="3"/>
        <v>-0.46846391044538666</v>
      </c>
      <c r="M28" s="6">
        <f t="shared" si="4"/>
        <v>-4.1536089554613354E-2</v>
      </c>
      <c r="N28" s="6">
        <f t="shared" si="5"/>
        <v>1.7252467354888605E-3</v>
      </c>
      <c r="O28" s="6">
        <f>_xlfn.XLOOKUP(D28,'Instructor 360'!$B$6:$B$365,'Instructor 360'!$B$6:$B$365,,-1)</f>
        <v>518.10584958217271</v>
      </c>
      <c r="P28" s="6">
        <f>_xlfn.XLOOKUP(D28,'Instructor 360'!$B$6:$B$365,'Instructor 360'!$B$6:$B$365,,1)</f>
        <v>526.46239554317549</v>
      </c>
      <c r="Q28" s="6">
        <f>_xlfn.XLOOKUP(D28,'Instructor 360'!$B$6:$B$365,'Instructor 360'!$F$6:$F$365,,-1)</f>
        <v>-26.739383286908076</v>
      </c>
      <c r="R28" s="6">
        <f>_xlfn.XLOOKUP(D28,'Instructor 360'!$B$6:$B$365,'Instructor 360'!$F$6:$F$365,,1)</f>
        <v>-26.969221727019498</v>
      </c>
      <c r="S28" s="6">
        <f t="shared" si="6"/>
        <v>-26.841004922715214</v>
      </c>
      <c r="T28" s="6">
        <f t="shared" si="7"/>
        <v>-0.46846391044538666</v>
      </c>
      <c r="U28" s="6">
        <f t="shared" si="8"/>
        <v>-4.1536089554613354E-2</v>
      </c>
      <c r="V28" s="6"/>
      <c r="W28" s="6">
        <f t="shared" si="9"/>
        <v>1.7252467354888605E-3</v>
      </c>
      <c r="AA28">
        <f t="shared" si="10"/>
        <v>440</v>
      </c>
      <c r="AB28">
        <f t="shared" si="11"/>
        <v>-0.51</v>
      </c>
      <c r="AC28">
        <f t="shared" si="12"/>
        <v>-0.46846391044538666</v>
      </c>
    </row>
    <row r="29" spans="1:29" ht="18.95" customHeight="1">
      <c r="A29" s="4">
        <f t="shared" si="13"/>
        <v>1400</v>
      </c>
      <c r="B29" s="6">
        <f>INDEX('Raw Data'!$B$6:$B$2882,MATCH(A29,'Raw Data'!$A$6:$A$2882,0))</f>
        <v>48240</v>
      </c>
      <c r="C29" s="6">
        <f t="shared" si="0"/>
        <v>460</v>
      </c>
      <c r="D29" s="6">
        <f>MOD(C29+Summary!$B$20,Summary!$B$11)</f>
        <v>541.80064436864529</v>
      </c>
      <c r="E29" s="6">
        <f>_xlfn.XLOOKUP(D29,'Native PMKS'!$C$6:$C$366,'Native PMKS'!$C$6:$C$366,,-1)</f>
        <v>541.66666666666674</v>
      </c>
      <c r="F29" s="6">
        <f>_xlfn.XLOOKUP(D29,'Native PMKS'!$C$6:$C$366,'Native PMKS'!$C$6:$C$366,,1)</f>
        <v>550</v>
      </c>
      <c r="G29" s="6">
        <f>_xlfn.XLOOKUP(D29,'Native PMKS'!$C$6:$C$366,'Native PMKS'!$D$6:$D$366,,-1)</f>
        <v>-27.330100000000002</v>
      </c>
      <c r="H29" s="6">
        <f>_xlfn.XLOOKUP(D29,'Native PMKS'!$C$6:$C$366,'Native PMKS'!$D$6:$D$366,,1)</f>
        <v>-27.5593</v>
      </c>
      <c r="I29" s="6">
        <f t="shared" si="1"/>
        <v>-27.333784922715218</v>
      </c>
      <c r="J29" s="6">
        <f>INDEX('Raw Data'!$F$6:$F$2882,MATCH(A29,'Raw Data'!$A$6:$A$2882,0))</f>
        <v>-0.51</v>
      </c>
      <c r="K29" s="6">
        <f t="shared" si="2"/>
        <v>-0.51</v>
      </c>
      <c r="L29" s="6">
        <f t="shared" si="3"/>
        <v>-0.47706454393336428</v>
      </c>
      <c r="M29" s="6">
        <f t="shared" si="4"/>
        <v>-3.2935456066635727E-2</v>
      </c>
      <c r="N29" s="6">
        <f t="shared" si="5"/>
        <v>1.0847442663172921E-3</v>
      </c>
      <c r="O29" s="6">
        <f>_xlfn.XLOOKUP(D29,'Instructor 360'!$B$6:$B$365,'Instructor 360'!$B$6:$B$365,,-1)</f>
        <v>534.81894150417827</v>
      </c>
      <c r="P29" s="6">
        <f>_xlfn.XLOOKUP(D29,'Instructor 360'!$B$6:$B$365,'Instructor 360'!$B$6:$B$365,,1)</f>
        <v>543.17548746518105</v>
      </c>
      <c r="Q29" s="6">
        <f>_xlfn.XLOOKUP(D29,'Instructor 360'!$B$6:$B$365,'Instructor 360'!$F$6:$F$365,,-1)</f>
        <v>-27.188845125348191</v>
      </c>
      <c r="R29" s="6">
        <f>_xlfn.XLOOKUP(D29,'Instructor 360'!$B$6:$B$365,'Instructor 360'!$F$6:$F$365,,1)</f>
        <v>-27.371598607242341</v>
      </c>
      <c r="S29" s="6">
        <f t="shared" si="6"/>
        <v>-27.341531476142649</v>
      </c>
      <c r="T29" s="6">
        <f t="shared" si="7"/>
        <v>-0.47719974679635463</v>
      </c>
      <c r="U29" s="6">
        <f t="shared" si="8"/>
        <v>-3.280025320364538E-2</v>
      </c>
      <c r="V29" s="6"/>
      <c r="W29" s="6">
        <f t="shared" si="9"/>
        <v>1.0758566102232489E-3</v>
      </c>
      <c r="AA29">
        <f t="shared" si="10"/>
        <v>460</v>
      </c>
      <c r="AB29">
        <f t="shared" si="11"/>
        <v>-0.51</v>
      </c>
      <c r="AC29">
        <f t="shared" si="12"/>
        <v>-0.47719974679635463</v>
      </c>
    </row>
    <row r="30" spans="1:29" ht="18.95" customHeight="1">
      <c r="A30" s="4">
        <f t="shared" si="13"/>
        <v>1401</v>
      </c>
      <c r="B30" s="6">
        <f>INDEX('Raw Data'!$B$6:$B$2882,MATCH(A30,'Raw Data'!$A$6:$A$2882,0))</f>
        <v>48260</v>
      </c>
      <c r="C30" s="6">
        <f t="shared" si="0"/>
        <v>480</v>
      </c>
      <c r="D30" s="6">
        <f>MOD(C30+Summary!$B$20,Summary!$B$11)</f>
        <v>561.80064436864529</v>
      </c>
      <c r="E30" s="6">
        <f>_xlfn.XLOOKUP(D30,'Native PMKS'!$C$6:$C$366,'Native PMKS'!$C$6:$C$366,,-1)</f>
        <v>558.33333333333337</v>
      </c>
      <c r="F30" s="6">
        <f>_xlfn.XLOOKUP(D30,'Native PMKS'!$C$6:$C$366,'Native PMKS'!$C$6:$C$366,,1)</f>
        <v>566.66666666666674</v>
      </c>
      <c r="G30" s="6">
        <f>_xlfn.XLOOKUP(D30,'Native PMKS'!$C$6:$C$366,'Native PMKS'!$D$6:$D$366,,-1)</f>
        <v>-27.731200000000001</v>
      </c>
      <c r="H30" s="6">
        <f>_xlfn.XLOOKUP(D30,'Native PMKS'!$C$6:$C$366,'Native PMKS'!$D$6:$D$366,,1)</f>
        <v>-27.9603</v>
      </c>
      <c r="I30" s="6">
        <f t="shared" si="1"/>
        <v>-27.826523314982801</v>
      </c>
      <c r="J30" s="6">
        <f>INDEX('Raw Data'!$F$6:$F$2882,MATCH(A30,'Raw Data'!$A$6:$A$2882,0))</f>
        <v>-0.5</v>
      </c>
      <c r="K30" s="6">
        <f t="shared" si="2"/>
        <v>-0.5</v>
      </c>
      <c r="L30" s="6">
        <f t="shared" si="3"/>
        <v>-0.48566445122941704</v>
      </c>
      <c r="M30" s="6">
        <f t="shared" si="4"/>
        <v>-1.4335548770582962E-2</v>
      </c>
      <c r="N30" s="6">
        <f t="shared" si="5"/>
        <v>2.0550795855376269E-4</v>
      </c>
      <c r="O30" s="6">
        <f>_xlfn.XLOOKUP(D30,'Instructor 360'!$B$6:$B$365,'Instructor 360'!$B$6:$B$365,,-1)</f>
        <v>559.88857938718661</v>
      </c>
      <c r="P30" s="6">
        <f>_xlfn.XLOOKUP(D30,'Instructor 360'!$B$6:$B$365,'Instructor 360'!$B$6:$B$365,,1)</f>
        <v>568.24512534818939</v>
      </c>
      <c r="Q30" s="6">
        <f>_xlfn.XLOOKUP(D30,'Instructor 360'!$B$6:$B$365,'Instructor 360'!$F$6:$F$365,,-1)</f>
        <v>-27.773956824512535</v>
      </c>
      <c r="R30" s="6">
        <f>_xlfn.XLOOKUP(D30,'Instructor 360'!$B$6:$B$365,'Instructor 360'!$F$6:$F$365,,1)</f>
        <v>-27.992860445682449</v>
      </c>
      <c r="S30" s="6">
        <f t="shared" si="6"/>
        <v>-27.824044258998839</v>
      </c>
      <c r="T30" s="6">
        <f t="shared" si="7"/>
        <v>-0.48562118354015565</v>
      </c>
      <c r="U30" s="6">
        <f t="shared" si="8"/>
        <v>-1.4378816459844346E-2</v>
      </c>
      <c r="V30" s="6"/>
      <c r="W30" s="6">
        <f t="shared" si="9"/>
        <v>2.0675036278589069E-4</v>
      </c>
      <c r="AA30">
        <f t="shared" si="10"/>
        <v>480</v>
      </c>
      <c r="AB30">
        <f t="shared" si="11"/>
        <v>-0.5</v>
      </c>
      <c r="AC30">
        <f t="shared" si="12"/>
        <v>-0.48562118354015565</v>
      </c>
    </row>
    <row r="31" spans="1:29" ht="18.95" customHeight="1">
      <c r="A31" s="4">
        <f t="shared" si="13"/>
        <v>1402</v>
      </c>
      <c r="B31" s="6">
        <f>INDEX('Raw Data'!$B$6:$B$2882,MATCH(A31,'Raw Data'!$A$6:$A$2882,0))</f>
        <v>48280</v>
      </c>
      <c r="C31" s="6">
        <f t="shared" si="0"/>
        <v>500</v>
      </c>
      <c r="D31" s="6">
        <f>MOD(C31+Summary!$B$20,Summary!$B$11)</f>
        <v>581.80064436864529</v>
      </c>
      <c r="E31" s="6">
        <f>_xlfn.XLOOKUP(D31,'Native PMKS'!$C$6:$C$366,'Native PMKS'!$C$6:$C$366,,-1)</f>
        <v>575</v>
      </c>
      <c r="F31" s="6">
        <f>_xlfn.XLOOKUP(D31,'Native PMKS'!$C$6:$C$366,'Native PMKS'!$C$6:$C$366,,1)</f>
        <v>583.33333333333337</v>
      </c>
      <c r="G31" s="6">
        <f>_xlfn.XLOOKUP(D31,'Native PMKS'!$C$6:$C$366,'Native PMKS'!$D$6:$D$366,,-1)</f>
        <v>-28.132200000000001</v>
      </c>
      <c r="H31" s="6">
        <f>_xlfn.XLOOKUP(D31,'Native PMKS'!$C$6:$C$366,'Native PMKS'!$D$6:$D$366,,1)</f>
        <v>-28.304099999999998</v>
      </c>
      <c r="I31" s="6">
        <f t="shared" si="1"/>
        <v>-28.272483692036413</v>
      </c>
      <c r="J31" s="6">
        <f>INDEX('Raw Data'!$F$6:$F$2882,MATCH(A31,'Raw Data'!$A$6:$A$2882,0))</f>
        <v>-0.49</v>
      </c>
      <c r="K31" s="6">
        <f t="shared" si="2"/>
        <v>-0.49</v>
      </c>
      <c r="L31" s="6">
        <f t="shared" si="3"/>
        <v>-0.49344792814243793</v>
      </c>
      <c r="M31" s="6">
        <f t="shared" si="4"/>
        <v>3.4479281424379393E-3</v>
      </c>
      <c r="N31" s="6">
        <f t="shared" si="5"/>
        <v>1.1888208475415539E-5</v>
      </c>
      <c r="O31" s="6">
        <f>_xlfn.XLOOKUP(D31,'Instructor 360'!$B$6:$B$365,'Instructor 360'!$B$6:$B$365,,-1)</f>
        <v>576.60167130919217</v>
      </c>
      <c r="P31" s="6">
        <f>_xlfn.XLOOKUP(D31,'Instructor 360'!$B$6:$B$365,'Instructor 360'!$B$6:$B$365,,1)</f>
        <v>584.95821727019495</v>
      </c>
      <c r="Q31" s="6">
        <f>_xlfn.XLOOKUP(D31,'Instructor 360'!$B$6:$B$365,'Instructor 360'!$F$6:$F$365,,-1)</f>
        <v>-28.165239275766016</v>
      </c>
      <c r="R31" s="6">
        <f>_xlfn.XLOOKUP(D31,'Instructor 360'!$B$6:$B$365,'Instructor 360'!$F$6:$F$365,,1)</f>
        <v>-28.337618105849579</v>
      </c>
      <c r="S31" s="6">
        <f t="shared" si="6"/>
        <v>-28.272483692036417</v>
      </c>
      <c r="T31" s="6">
        <f t="shared" si="7"/>
        <v>-0.49344792814243793</v>
      </c>
      <c r="U31" s="6">
        <f t="shared" si="8"/>
        <v>3.4479281424379393E-3</v>
      </c>
      <c r="V31" s="6"/>
      <c r="W31" s="6">
        <f t="shared" si="9"/>
        <v>1.1888208475415539E-5</v>
      </c>
      <c r="AA31">
        <f t="shared" si="10"/>
        <v>500</v>
      </c>
      <c r="AB31">
        <f t="shared" si="11"/>
        <v>-0.49</v>
      </c>
      <c r="AC31">
        <f t="shared" si="12"/>
        <v>-0.49344792814243793</v>
      </c>
    </row>
    <row r="32" spans="1:29" ht="18.95" customHeight="1">
      <c r="A32" s="4">
        <f t="shared" si="13"/>
        <v>1403</v>
      </c>
      <c r="B32" s="6">
        <f>INDEX('Raw Data'!$B$6:$B$2882,MATCH(A32,'Raw Data'!$A$6:$A$2882,0))</f>
        <v>48300</v>
      </c>
      <c r="C32" s="6">
        <f t="shared" si="0"/>
        <v>520</v>
      </c>
      <c r="D32" s="6">
        <f>MOD(C32+Summary!$B$20,Summary!$B$11)</f>
        <v>601.80064436864529</v>
      </c>
      <c r="E32" s="6">
        <f>_xlfn.XLOOKUP(D32,'Native PMKS'!$C$6:$C$366,'Native PMKS'!$C$6:$C$366,,-1)</f>
        <v>600</v>
      </c>
      <c r="F32" s="6">
        <f>_xlfn.XLOOKUP(D32,'Native PMKS'!$C$6:$C$366,'Native PMKS'!$C$6:$C$366,,1)</f>
        <v>608.33333333333337</v>
      </c>
      <c r="G32" s="6">
        <f>_xlfn.XLOOKUP(D32,'Native PMKS'!$C$6:$C$366,'Native PMKS'!$D$6:$D$366,,-1)</f>
        <v>-28.6479</v>
      </c>
      <c r="H32" s="6">
        <f>_xlfn.XLOOKUP(D32,'Native PMKS'!$C$6:$C$366,'Native PMKS'!$D$6:$D$366,,1)</f>
        <v>-28.762499999999999</v>
      </c>
      <c r="I32" s="6">
        <f t="shared" si="1"/>
        <v>-28.672662461357607</v>
      </c>
      <c r="J32" s="6">
        <f>INDEX('Raw Data'!$F$6:$F$2882,MATCH(A32,'Raw Data'!$A$6:$A$2882,0))</f>
        <v>-0.5</v>
      </c>
      <c r="K32" s="6">
        <f t="shared" si="2"/>
        <v>-0.5</v>
      </c>
      <c r="L32" s="6">
        <f t="shared" si="3"/>
        <v>-0.50043236526367163</v>
      </c>
      <c r="M32" s="6">
        <f t="shared" si="4"/>
        <v>4.323652636716302E-4</v>
      </c>
      <c r="N32" s="6">
        <f t="shared" si="5"/>
        <v>1.8693972122983831E-7</v>
      </c>
      <c r="O32" s="6">
        <f>_xlfn.XLOOKUP(D32,'Instructor 360'!$B$6:$B$365,'Instructor 360'!$B$6:$B$365,,-1)</f>
        <v>601.67130919220051</v>
      </c>
      <c r="P32" s="6">
        <f>_xlfn.XLOOKUP(D32,'Instructor 360'!$B$6:$B$365,'Instructor 360'!$B$6:$B$365,,1)</f>
        <v>610.02785515320329</v>
      </c>
      <c r="Q32" s="6">
        <f>_xlfn.XLOOKUP(D32,'Instructor 360'!$B$6:$B$365,'Instructor 360'!$F$6:$F$365,,-1)</f>
        <v>-28.67088384401114</v>
      </c>
      <c r="R32" s="6">
        <f>_xlfn.XLOOKUP(D32,'Instructor 360'!$B$6:$B$365,'Instructor 360'!$F$6:$F$365,,1)</f>
        <v>-28.797454596100277</v>
      </c>
      <c r="S32" s="6">
        <f t="shared" si="6"/>
        <v>-28.672842793394125</v>
      </c>
      <c r="T32" s="6">
        <f t="shared" si="7"/>
        <v>-0.50043551265145569</v>
      </c>
      <c r="U32" s="6">
        <f t="shared" si="8"/>
        <v>4.3551265145569396E-4</v>
      </c>
      <c r="V32" s="6"/>
      <c r="W32" s="6">
        <f t="shared" si="9"/>
        <v>1.8967126957796878E-7</v>
      </c>
      <c r="AA32">
        <f t="shared" si="10"/>
        <v>520</v>
      </c>
      <c r="AB32">
        <f t="shared" si="11"/>
        <v>-0.5</v>
      </c>
      <c r="AC32">
        <f t="shared" si="12"/>
        <v>-0.50043551265145569</v>
      </c>
    </row>
    <row r="33" spans="1:29" ht="18.95" customHeight="1">
      <c r="A33" s="4">
        <f t="shared" si="13"/>
        <v>1404</v>
      </c>
      <c r="B33" s="6">
        <f>INDEX('Raw Data'!$B$6:$B$2882,MATCH(A33,'Raw Data'!$A$6:$A$2882,0))</f>
        <v>48320</v>
      </c>
      <c r="C33" s="6">
        <f t="shared" si="0"/>
        <v>540</v>
      </c>
      <c r="D33" s="6">
        <f>MOD(C33+Summary!$B$20,Summary!$B$11)</f>
        <v>621.80064436864529</v>
      </c>
      <c r="E33" s="6">
        <f>_xlfn.XLOOKUP(D33,'Native PMKS'!$C$6:$C$366,'Native PMKS'!$C$6:$C$366,,-1)</f>
        <v>616.66666666666674</v>
      </c>
      <c r="F33" s="6">
        <f>_xlfn.XLOOKUP(D33,'Native PMKS'!$C$6:$C$366,'Native PMKS'!$C$6:$C$366,,1)</f>
        <v>625</v>
      </c>
      <c r="G33" s="6">
        <f>_xlfn.XLOOKUP(D33,'Native PMKS'!$C$6:$C$366,'Native PMKS'!$D$6:$D$366,,-1)</f>
        <v>-28.9344</v>
      </c>
      <c r="H33" s="6">
        <f>_xlfn.XLOOKUP(D33,'Native PMKS'!$C$6:$C$366,'Native PMKS'!$D$6:$D$366,,1)</f>
        <v>-29.048999999999999</v>
      </c>
      <c r="I33" s="6">
        <f t="shared" si="1"/>
        <v>-29.005002461357613</v>
      </c>
      <c r="J33" s="6">
        <f>INDEX('Raw Data'!$F$6:$F$2882,MATCH(A33,'Raw Data'!$A$6:$A$2882,0))</f>
        <v>-0.51</v>
      </c>
      <c r="K33" s="6">
        <f t="shared" si="2"/>
        <v>-0.51</v>
      </c>
      <c r="L33" s="6">
        <f t="shared" si="3"/>
        <v>-0.50623279249974973</v>
      </c>
      <c r="M33" s="6">
        <f t="shared" si="4"/>
        <v>-3.7672075002502803E-3</v>
      </c>
      <c r="N33" s="6">
        <f t="shared" si="5"/>
        <v>1.4191852349941966E-5</v>
      </c>
      <c r="O33" s="6">
        <f>_xlfn.XLOOKUP(D33,'Instructor 360'!$B$6:$B$365,'Instructor 360'!$B$6:$B$365,,-1)</f>
        <v>618.38440111420607</v>
      </c>
      <c r="P33" s="6">
        <f>_xlfn.XLOOKUP(D33,'Instructor 360'!$B$6:$B$365,'Instructor 360'!$B$6:$B$365,,1)</f>
        <v>626.74094707520896</v>
      </c>
      <c r="Q33" s="6">
        <f>_xlfn.XLOOKUP(D33,'Instructor 360'!$B$6:$B$365,'Instructor 360'!$F$6:$F$365,,-1)</f>
        <v>-28.95802228412256</v>
      </c>
      <c r="R33" s="6">
        <f>_xlfn.XLOOKUP(D33,'Instructor 360'!$B$6:$B$365,'Instructor 360'!$F$6:$F$365,,1)</f>
        <v>-29.072941504178274</v>
      </c>
      <c r="S33" s="6">
        <f t="shared" si="6"/>
        <v>-29.005002461357609</v>
      </c>
      <c r="T33" s="6">
        <f t="shared" si="7"/>
        <v>-0.50623279249974962</v>
      </c>
      <c r="U33" s="6">
        <f t="shared" si="8"/>
        <v>-3.7672075002503913E-3</v>
      </c>
      <c r="V33" s="6"/>
      <c r="W33" s="6">
        <f t="shared" si="9"/>
        <v>1.4191852349942801E-5</v>
      </c>
      <c r="AA33">
        <f t="shared" si="10"/>
        <v>540</v>
      </c>
      <c r="AB33">
        <f t="shared" si="11"/>
        <v>-0.51</v>
      </c>
      <c r="AC33">
        <f t="shared" si="12"/>
        <v>-0.50623279249974962</v>
      </c>
    </row>
    <row r="34" spans="1:29" ht="18.95" customHeight="1">
      <c r="A34" s="4">
        <f t="shared" si="13"/>
        <v>1405</v>
      </c>
      <c r="B34" s="6">
        <f>INDEX('Raw Data'!$B$6:$B$2882,MATCH(A34,'Raw Data'!$A$6:$A$2882,0))</f>
        <v>48340</v>
      </c>
      <c r="C34" s="6">
        <f t="shared" si="0"/>
        <v>560</v>
      </c>
      <c r="D34" s="6">
        <f>MOD(C34+Summary!$B$20,Summary!$B$11)</f>
        <v>641.80064436864529</v>
      </c>
      <c r="E34" s="6">
        <f>_xlfn.XLOOKUP(D34,'Native PMKS'!$C$6:$C$366,'Native PMKS'!$C$6:$C$366,,-1)</f>
        <v>641.66666666666674</v>
      </c>
      <c r="F34" s="6">
        <f>_xlfn.XLOOKUP(D34,'Native PMKS'!$C$6:$C$366,'Native PMKS'!$C$6:$C$366,,1)</f>
        <v>650</v>
      </c>
      <c r="G34" s="6">
        <f>_xlfn.XLOOKUP(D34,'Native PMKS'!$C$6:$C$366,'Native PMKS'!$D$6:$D$366,,-1)</f>
        <v>-29.278099999999998</v>
      </c>
      <c r="H34" s="6">
        <f>_xlfn.XLOOKUP(D34,'Native PMKS'!$C$6:$C$366,'Native PMKS'!$D$6:$D$366,,1)</f>
        <v>-29.392700000000001</v>
      </c>
      <c r="I34" s="6">
        <f t="shared" si="1"/>
        <v>-29.279942461357606</v>
      </c>
      <c r="J34" s="6">
        <f>INDEX('Raw Data'!$F$6:$F$2882,MATCH(A34,'Raw Data'!$A$6:$A$2882,0))</f>
        <v>-0.52</v>
      </c>
      <c r="K34" s="6">
        <f t="shared" si="2"/>
        <v>-0.52</v>
      </c>
      <c r="L34" s="6">
        <f t="shared" si="3"/>
        <v>-0.51103140074518283</v>
      </c>
      <c r="M34" s="6">
        <f t="shared" si="4"/>
        <v>-8.9685992548171889E-3</v>
      </c>
      <c r="N34" s="6">
        <f t="shared" si="5"/>
        <v>8.0435772593507438E-5</v>
      </c>
      <c r="O34" s="6">
        <f>_xlfn.XLOOKUP(D34,'Instructor 360'!$B$6:$B$365,'Instructor 360'!$B$6:$B$365,,-1)</f>
        <v>635.09749303621174</v>
      </c>
      <c r="P34" s="6">
        <f>_xlfn.XLOOKUP(D34,'Instructor 360'!$B$6:$B$365,'Instructor 360'!$B$6:$B$365,,1)</f>
        <v>643.45403899721452</v>
      </c>
      <c r="Q34" s="6">
        <f>_xlfn.XLOOKUP(D34,'Instructor 360'!$B$6:$B$365,'Instructor 360'!$F$6:$F$365,,-1)</f>
        <v>-29.187839554317549</v>
      </c>
      <c r="R34" s="6">
        <f>_xlfn.XLOOKUP(D34,'Instructor 360'!$B$6:$B$365,'Instructor 360'!$F$6:$F$365,,1)</f>
        <v>-29.302679944289693</v>
      </c>
      <c r="S34" s="6">
        <f t="shared" si="6"/>
        <v>-29.279958058380274</v>
      </c>
      <c r="T34" s="6">
        <f t="shared" si="7"/>
        <v>-0.51103167296458185</v>
      </c>
      <c r="U34" s="6">
        <f t="shared" si="8"/>
        <v>-8.9683270354181666E-3</v>
      </c>
      <c r="V34" s="6"/>
      <c r="W34" s="6">
        <f t="shared" si="9"/>
        <v>8.0430889814212398E-5</v>
      </c>
      <c r="AA34">
        <f t="shared" si="10"/>
        <v>560</v>
      </c>
      <c r="AB34">
        <f t="shared" si="11"/>
        <v>-0.52</v>
      </c>
      <c r="AC34">
        <f t="shared" si="12"/>
        <v>-0.51103167296458185</v>
      </c>
    </row>
    <row r="35" spans="1:29" ht="18.95" customHeight="1">
      <c r="A35" s="4">
        <f t="shared" si="13"/>
        <v>1406</v>
      </c>
      <c r="B35" s="6">
        <f>INDEX('Raw Data'!$B$6:$B$2882,MATCH(A35,'Raw Data'!$A$6:$A$2882,0))</f>
        <v>48360</v>
      </c>
      <c r="C35" s="6">
        <f t="shared" si="0"/>
        <v>580</v>
      </c>
      <c r="D35" s="6">
        <f>MOD(C35+Summary!$B$20,Summary!$B$11)</f>
        <v>661.80064436864529</v>
      </c>
      <c r="E35" s="6">
        <f>_xlfn.XLOOKUP(D35,'Native PMKS'!$C$6:$C$366,'Native PMKS'!$C$6:$C$366,,-1)</f>
        <v>658.33333333333337</v>
      </c>
      <c r="F35" s="6">
        <f>_xlfn.XLOOKUP(D35,'Native PMKS'!$C$6:$C$366,'Native PMKS'!$C$6:$C$366,,1)</f>
        <v>666.66666666666674</v>
      </c>
      <c r="G35" s="6">
        <f>_xlfn.XLOOKUP(D35,'Native PMKS'!$C$6:$C$366,'Native PMKS'!$D$6:$D$366,,-1)</f>
        <v>-29.507300000000001</v>
      </c>
      <c r="H35" s="6">
        <f>_xlfn.XLOOKUP(D35,'Native PMKS'!$C$6:$C$366,'Native PMKS'!$D$6:$D$366,,1)</f>
        <v>-29.564599999999999</v>
      </c>
      <c r="I35" s="6">
        <f t="shared" si="1"/>
        <v>-29.531141230678806</v>
      </c>
      <c r="J35" s="6">
        <f>INDEX('Raw Data'!$F$6:$F$2882,MATCH(A35,'Raw Data'!$A$6:$A$2882,0))</f>
        <v>-0.52</v>
      </c>
      <c r="K35" s="6">
        <f t="shared" si="2"/>
        <v>-0.52</v>
      </c>
      <c r="L35" s="6">
        <f t="shared" si="3"/>
        <v>-0.51541564634679549</v>
      </c>
      <c r="M35" s="6">
        <f t="shared" si="4"/>
        <v>-4.5843536532045315E-3</v>
      </c>
      <c r="N35" s="6">
        <f t="shared" si="5"/>
        <v>2.1016298417649732E-5</v>
      </c>
      <c r="O35" s="6">
        <f>_xlfn.XLOOKUP(D35,'Instructor 360'!$B$6:$B$365,'Instructor 360'!$B$6:$B$365,,-1)</f>
        <v>660.16713091922009</v>
      </c>
      <c r="P35" s="6">
        <f>_xlfn.XLOOKUP(D35,'Instructor 360'!$B$6:$B$365,'Instructor 360'!$B$6:$B$365,,1)</f>
        <v>668.52367688022287</v>
      </c>
      <c r="Q35" s="6">
        <f>_xlfn.XLOOKUP(D35,'Instructor 360'!$B$6:$B$365,'Instructor 360'!$F$6:$F$365,,-1)</f>
        <v>-29.519909192200558</v>
      </c>
      <c r="R35" s="6">
        <f>_xlfn.XLOOKUP(D35,'Instructor 360'!$B$6:$B$365,'Instructor 360'!$F$6:$F$365,,1)</f>
        <v>-29.590137604456825</v>
      </c>
      <c r="S35" s="6">
        <f t="shared" si="6"/>
        <v>-29.533637239229527</v>
      </c>
      <c r="T35" s="6">
        <f t="shared" si="7"/>
        <v>-0.5154592099141635</v>
      </c>
      <c r="U35" s="6">
        <f t="shared" si="8"/>
        <v>-4.5407900858365213E-3</v>
      </c>
      <c r="V35" s="6"/>
      <c r="W35" s="6">
        <f t="shared" si="9"/>
        <v>2.0618774603631242E-5</v>
      </c>
      <c r="AA35">
        <f t="shared" si="10"/>
        <v>580</v>
      </c>
      <c r="AB35">
        <f t="shared" si="11"/>
        <v>-0.52</v>
      </c>
      <c r="AC35">
        <f t="shared" si="12"/>
        <v>-0.5154592099141635</v>
      </c>
    </row>
    <row r="36" spans="1:29" ht="18.95" customHeight="1">
      <c r="A36" s="4">
        <f t="shared" si="13"/>
        <v>1407</v>
      </c>
      <c r="B36" s="6">
        <f>INDEX('Raw Data'!$B$6:$B$2882,MATCH(A36,'Raw Data'!$A$6:$A$2882,0))</f>
        <v>48380</v>
      </c>
      <c r="C36" s="6">
        <f t="shared" si="0"/>
        <v>600</v>
      </c>
      <c r="D36" s="6">
        <f>MOD(C36+Summary!$B$20,Summary!$B$11)</f>
        <v>681.80064436864529</v>
      </c>
      <c r="E36" s="6">
        <f>_xlfn.XLOOKUP(D36,'Native PMKS'!$C$6:$C$366,'Native PMKS'!$C$6:$C$366,,-1)</f>
        <v>675</v>
      </c>
      <c r="F36" s="6">
        <f>_xlfn.XLOOKUP(D36,'Native PMKS'!$C$6:$C$366,'Native PMKS'!$C$6:$C$366,,1)</f>
        <v>683.33333333333337</v>
      </c>
      <c r="G36" s="6">
        <f>_xlfn.XLOOKUP(D36,'Native PMKS'!$C$6:$C$366,'Native PMKS'!$D$6:$D$366,,-1)</f>
        <v>-29.679200000000002</v>
      </c>
      <c r="H36" s="6">
        <f>_xlfn.XLOOKUP(D36,'Native PMKS'!$C$6:$C$366,'Native PMKS'!$D$6:$D$366,,1)</f>
        <v>-29.736499999999999</v>
      </c>
      <c r="I36" s="6">
        <f t="shared" si="1"/>
        <v>-29.725961230678806</v>
      </c>
      <c r="J36" s="6">
        <f>INDEX('Raw Data'!$F$6:$F$2882,MATCH(A36,'Raw Data'!$A$6:$A$2882,0))</f>
        <v>-0.51</v>
      </c>
      <c r="K36" s="6">
        <f t="shared" si="2"/>
        <v>-0.51</v>
      </c>
      <c r="L36" s="6">
        <f t="shared" si="3"/>
        <v>-0.51881589679553075</v>
      </c>
      <c r="M36" s="6">
        <f t="shared" si="4"/>
        <v>8.8158967955307421E-3</v>
      </c>
      <c r="N36" s="6">
        <f t="shared" si="5"/>
        <v>7.7720036309449203E-5</v>
      </c>
      <c r="O36" s="6">
        <f>_xlfn.XLOOKUP(D36,'Instructor 360'!$B$6:$B$365,'Instructor 360'!$B$6:$B$365,,-1)</f>
        <v>676.88022284122565</v>
      </c>
      <c r="P36" s="6">
        <f>_xlfn.XLOOKUP(D36,'Instructor 360'!$B$6:$B$365,'Instructor 360'!$B$6:$B$365,,1)</f>
        <v>685.23676880222843</v>
      </c>
      <c r="Q36" s="6">
        <f>_xlfn.XLOOKUP(D36,'Instructor 360'!$B$6:$B$365,'Instructor 360'!$F$6:$F$365,,-1)</f>
        <v>-29.69212841225627</v>
      </c>
      <c r="R36" s="6">
        <f>_xlfn.XLOOKUP(D36,'Instructor 360'!$B$6:$B$365,'Instructor 360'!$F$6:$F$365,,1)</f>
        <v>-29.749588022284122</v>
      </c>
      <c r="S36" s="6">
        <f t="shared" si="6"/>
        <v>-29.725961230678809</v>
      </c>
      <c r="T36" s="6">
        <f t="shared" si="7"/>
        <v>-0.51881589679553086</v>
      </c>
      <c r="U36" s="6">
        <f t="shared" si="8"/>
        <v>8.8158967955308531E-3</v>
      </c>
      <c r="V36" s="6"/>
      <c r="W36" s="6">
        <f t="shared" si="9"/>
        <v>7.7720036309451168E-5</v>
      </c>
      <c r="AA36">
        <f t="shared" si="10"/>
        <v>600</v>
      </c>
      <c r="AB36">
        <f t="shared" si="11"/>
        <v>-0.51</v>
      </c>
      <c r="AC36">
        <f t="shared" si="12"/>
        <v>-0.51881589679553086</v>
      </c>
    </row>
    <row r="37" spans="1:29" ht="18.95" customHeight="1">
      <c r="A37" s="4">
        <f t="shared" si="13"/>
        <v>1408</v>
      </c>
      <c r="B37" s="6">
        <f>INDEX('Raw Data'!$B$6:$B$2882,MATCH(A37,'Raw Data'!$A$6:$A$2882,0))</f>
        <v>48400</v>
      </c>
      <c r="C37" s="6">
        <f t="shared" si="0"/>
        <v>620</v>
      </c>
      <c r="D37" s="6">
        <f>MOD(C37+Summary!$B$20,Summary!$B$11)</f>
        <v>701.80064436864529</v>
      </c>
      <c r="E37" s="6">
        <f>_xlfn.XLOOKUP(D37,'Native PMKS'!$C$6:$C$366,'Native PMKS'!$C$6:$C$366,,-1)</f>
        <v>700</v>
      </c>
      <c r="F37" s="6">
        <f>_xlfn.XLOOKUP(D37,'Native PMKS'!$C$6:$C$366,'Native PMKS'!$C$6:$C$366,,1)</f>
        <v>708.33333333333337</v>
      </c>
      <c r="G37" s="6">
        <f>_xlfn.XLOOKUP(D37,'Native PMKS'!$C$6:$C$366,'Native PMKS'!$D$6:$D$366,,-1)</f>
        <v>-29.851099999999999</v>
      </c>
      <c r="H37" s="6">
        <f>_xlfn.XLOOKUP(D37,'Native PMKS'!$C$6:$C$366,'Native PMKS'!$D$6:$D$366,,1)</f>
        <v>-29.9084</v>
      </c>
      <c r="I37" s="6">
        <f t="shared" si="1"/>
        <v>-29.863481230678808</v>
      </c>
      <c r="J37" s="6">
        <f>INDEX('Raw Data'!$F$6:$F$2882,MATCH(A37,'Raw Data'!$A$6:$A$2882,0))</f>
        <v>-0.52</v>
      </c>
      <c r="K37" s="6">
        <f t="shared" si="2"/>
        <v>-0.52</v>
      </c>
      <c r="L37" s="6">
        <f t="shared" si="3"/>
        <v>-0.52121607358287347</v>
      </c>
      <c r="M37" s="6">
        <f t="shared" si="4"/>
        <v>1.2160735828734559E-3</v>
      </c>
      <c r="N37" s="6">
        <f t="shared" si="5"/>
        <v>1.478834958962684E-6</v>
      </c>
      <c r="O37" s="6">
        <f>_xlfn.XLOOKUP(D37,'Instructor 360'!$B$6:$B$365,'Instructor 360'!$B$6:$B$365,,-1)</f>
        <v>693.59331476323121</v>
      </c>
      <c r="P37" s="6">
        <f>_xlfn.XLOOKUP(D37,'Instructor 360'!$B$6:$B$365,'Instructor 360'!$B$6:$B$365,,1)</f>
        <v>701.94986072423399</v>
      </c>
      <c r="Q37" s="6">
        <f>_xlfn.XLOOKUP(D37,'Instructor 360'!$B$6:$B$365,'Instructor 360'!$F$6:$F$365,,-1)</f>
        <v>-29.807047632311978</v>
      </c>
      <c r="R37" s="6">
        <f>_xlfn.XLOOKUP(D37,'Instructor 360'!$B$6:$B$365,'Instructor 360'!$F$6:$F$365,,1)</f>
        <v>-29.864507242339833</v>
      </c>
      <c r="S37" s="6">
        <f t="shared" si="6"/>
        <v>-29.863481230678804</v>
      </c>
      <c r="T37" s="6">
        <f t="shared" si="7"/>
        <v>-0.52121607358287336</v>
      </c>
      <c r="U37" s="6">
        <f t="shared" si="8"/>
        <v>1.2160735828733449E-3</v>
      </c>
      <c r="V37" s="6"/>
      <c r="W37" s="6">
        <f t="shared" si="9"/>
        <v>1.478834958962414E-6</v>
      </c>
      <c r="AA37">
        <f t="shared" si="10"/>
        <v>620</v>
      </c>
      <c r="AB37">
        <f t="shared" si="11"/>
        <v>-0.52</v>
      </c>
      <c r="AC37">
        <f t="shared" si="12"/>
        <v>-0.52121607358287336</v>
      </c>
    </row>
    <row r="38" spans="1:29" ht="18.95" customHeight="1">
      <c r="A38" s="4">
        <f t="shared" si="13"/>
        <v>1409</v>
      </c>
      <c r="B38" s="6">
        <f>INDEX('Raw Data'!$B$6:$B$2882,MATCH(A38,'Raw Data'!$A$6:$A$2882,0))</f>
        <v>48420</v>
      </c>
      <c r="C38" s="6">
        <f t="shared" ref="C38:C69" si="14">B38-$B$6</f>
        <v>640</v>
      </c>
      <c r="D38" s="6">
        <f>MOD(C38+Summary!$B$20,Summary!$B$11)</f>
        <v>721.80064436864529</v>
      </c>
      <c r="E38" s="6">
        <f>_xlfn.XLOOKUP(D38,'Native PMKS'!$C$6:$C$366,'Native PMKS'!$C$6:$C$366,,-1)</f>
        <v>716.66666666666674</v>
      </c>
      <c r="F38" s="6">
        <f>_xlfn.XLOOKUP(D38,'Native PMKS'!$C$6:$C$366,'Native PMKS'!$C$6:$C$366,,1)</f>
        <v>725</v>
      </c>
      <c r="G38" s="6">
        <f>_xlfn.XLOOKUP(D38,'Native PMKS'!$C$6:$C$366,'Native PMKS'!$D$6:$D$366,,-1)</f>
        <v>-29.9084</v>
      </c>
      <c r="H38" s="6">
        <f>_xlfn.XLOOKUP(D38,'Native PMKS'!$C$6:$C$366,'Native PMKS'!$D$6:$D$366,,1)</f>
        <v>-29.965699999999998</v>
      </c>
      <c r="I38" s="6">
        <f t="shared" ref="I38:I69" si="15">IF(E38=F38,G38,_xlfn.FORECAST.LINEAR(D38,G38:H38,E38:F38))</f>
        <v>-29.943701230678805</v>
      </c>
      <c r="J38" s="6">
        <f>INDEX('Raw Data'!$F$6:$F$2882,MATCH(A38,'Raw Data'!$A$6:$A$2882,0))</f>
        <v>-0.55000000000000004</v>
      </c>
      <c r="K38" s="6">
        <f t="shared" ref="K38:K69" si="16">J38</f>
        <v>-0.55000000000000004</v>
      </c>
      <c r="L38" s="6">
        <f t="shared" ref="L38:L69" si="17">I38*PI()/180</f>
        <v>-0.52261617670882321</v>
      </c>
      <c r="M38" s="6">
        <f t="shared" ref="M38:M69" si="18">K38-L38</f>
        <v>-2.7383823291176834E-2</v>
      </c>
      <c r="N38" s="6">
        <f t="shared" ref="N38:N69" si="19">M38^2</f>
        <v>7.4987377804239881E-4</v>
      </c>
      <c r="O38" s="6">
        <f>_xlfn.XLOOKUP(D38,'Instructor 360'!$B$6:$B$365,'Instructor 360'!$B$6:$B$365,,-1)</f>
        <v>718.66295264623955</v>
      </c>
      <c r="P38" s="6">
        <f>_xlfn.XLOOKUP(D38,'Instructor 360'!$B$6:$B$365,'Instructor 360'!$B$6:$B$365,,1)</f>
        <v>727.01949860724233</v>
      </c>
      <c r="Q38" s="6">
        <f>_xlfn.XLOOKUP(D38,'Instructor 360'!$B$6:$B$365,'Instructor 360'!$F$6:$F$365,,-1)</f>
        <v>-29.922126462395543</v>
      </c>
      <c r="R38" s="6">
        <f>_xlfn.XLOOKUP(D38,'Instructor 360'!$B$6:$B$365,'Instructor 360'!$F$6:$F$365,,1)</f>
        <v>-29.965699999999998</v>
      </c>
      <c r="S38" s="6">
        <f t="shared" ref="S38:S69" si="20">IF(O38=P38,Q38,_xlfn.FORECAST.LINEAR(D38,Q38:R38,O38:P38))</f>
        <v>-29.93848732834368</v>
      </c>
      <c r="T38" s="6">
        <f t="shared" ref="T38:T69" si="21">S38*PI()/180</f>
        <v>-0.52252517694619782</v>
      </c>
      <c r="U38" s="6">
        <f t="shared" ref="U38:U69" si="22">K38-T38</f>
        <v>-2.7474823053802222E-2</v>
      </c>
      <c r="V38" s="6"/>
      <c r="W38" s="6">
        <f t="shared" ref="W38:W69" si="23">U38^2</f>
        <v>7.5486590183774203E-4</v>
      </c>
      <c r="AA38">
        <f t="shared" ref="AA38:AA69" si="24">C38</f>
        <v>640</v>
      </c>
      <c r="AB38">
        <f t="shared" ref="AB38:AB69" si="25">K38</f>
        <v>-0.55000000000000004</v>
      </c>
      <c r="AC38">
        <f t="shared" ref="AC38:AC69" si="26">T38</f>
        <v>-0.52252517694619782</v>
      </c>
    </row>
    <row r="39" spans="1:29" ht="18.95" customHeight="1">
      <c r="A39" s="4">
        <f t="shared" ref="A39:A70" si="27">A38+1</f>
        <v>1410</v>
      </c>
      <c r="B39" s="6">
        <f>INDEX('Raw Data'!$B$6:$B$2882,MATCH(A39,'Raw Data'!$A$6:$A$2882,0))</f>
        <v>48440</v>
      </c>
      <c r="C39" s="6">
        <f t="shared" si="14"/>
        <v>660</v>
      </c>
      <c r="D39" s="6">
        <f>MOD(C39+Summary!$B$20,Summary!$B$11)</f>
        <v>741.80064436864529</v>
      </c>
      <c r="E39" s="6">
        <f>_xlfn.XLOOKUP(D39,'Native PMKS'!$C$6:$C$366,'Native PMKS'!$C$6:$C$366,,-1)</f>
        <v>741.66666666666674</v>
      </c>
      <c r="F39" s="6">
        <f>_xlfn.XLOOKUP(D39,'Native PMKS'!$C$6:$C$366,'Native PMKS'!$C$6:$C$366,,1)</f>
        <v>750</v>
      </c>
      <c r="G39" s="6">
        <f>_xlfn.XLOOKUP(D39,'Native PMKS'!$C$6:$C$366,'Native PMKS'!$D$6:$D$366,,-1)</f>
        <v>-30.023</v>
      </c>
      <c r="H39" s="6">
        <f>_xlfn.XLOOKUP(D39,'Native PMKS'!$C$6:$C$366,'Native PMKS'!$D$6:$D$366,,1)</f>
        <v>-30.023</v>
      </c>
      <c r="I39" s="6">
        <f t="shared" si="15"/>
        <v>-30.023</v>
      </c>
      <c r="J39" s="6">
        <f>INDEX('Raw Data'!$F$6:$F$2882,MATCH(A39,'Raw Data'!$A$6:$A$2882,0))</f>
        <v>-0.56000000000000005</v>
      </c>
      <c r="K39" s="6">
        <f t="shared" si="16"/>
        <v>-0.56000000000000005</v>
      </c>
      <c r="L39" s="6">
        <f t="shared" si="17"/>
        <v>-0.52400020132625758</v>
      </c>
      <c r="M39" s="6">
        <f t="shared" si="18"/>
        <v>-3.5999798673742478E-2</v>
      </c>
      <c r="N39" s="6">
        <f t="shared" si="19"/>
        <v>1.2959855045499907E-3</v>
      </c>
      <c r="O39" s="6">
        <f>_xlfn.XLOOKUP(D39,'Instructor 360'!$B$6:$B$365,'Instructor 360'!$B$6:$B$365,,-1)</f>
        <v>735.37604456824511</v>
      </c>
      <c r="P39" s="6">
        <f>_xlfn.XLOOKUP(D39,'Instructor 360'!$B$6:$B$365,'Instructor 360'!$B$6:$B$365,,1)</f>
        <v>743.73259052924789</v>
      </c>
      <c r="Q39" s="6">
        <f>_xlfn.XLOOKUP(D39,'Instructor 360'!$B$6:$B$365,'Instructor 360'!$F$6:$F$365,,-1)</f>
        <v>-29.979745682451252</v>
      </c>
      <c r="R39" s="6">
        <f>_xlfn.XLOOKUP(D39,'Instructor 360'!$B$6:$B$365,'Instructor 360'!$F$6:$F$365,,1)</f>
        <v>-30.023</v>
      </c>
      <c r="S39" s="6">
        <f t="shared" si="20"/>
        <v>-30.013000053478102</v>
      </c>
      <c r="T39" s="6">
        <f t="shared" si="21"/>
        <v>-0.52382566933442709</v>
      </c>
      <c r="U39" s="6">
        <f t="shared" si="22"/>
        <v>-3.6174330665572962E-2</v>
      </c>
      <c r="V39" s="6"/>
      <c r="W39" s="6">
        <f t="shared" si="23"/>
        <v>1.3085821991022123E-3</v>
      </c>
      <c r="AA39">
        <f t="shared" si="24"/>
        <v>660</v>
      </c>
      <c r="AB39">
        <f t="shared" si="25"/>
        <v>-0.56000000000000005</v>
      </c>
      <c r="AC39">
        <f t="shared" si="26"/>
        <v>-0.52382566933442709</v>
      </c>
    </row>
    <row r="40" spans="1:29" ht="18.95" customHeight="1">
      <c r="A40" s="4">
        <f t="shared" si="27"/>
        <v>1411</v>
      </c>
      <c r="B40" s="6">
        <f>INDEX('Raw Data'!$B$6:$B$2882,MATCH(A40,'Raw Data'!$A$6:$A$2882,0))</f>
        <v>48460</v>
      </c>
      <c r="C40" s="6">
        <f t="shared" si="14"/>
        <v>680</v>
      </c>
      <c r="D40" s="6">
        <f>MOD(C40+Summary!$B$20,Summary!$B$11)</f>
        <v>761.80064436864529</v>
      </c>
      <c r="E40" s="6">
        <f>_xlfn.XLOOKUP(D40,'Native PMKS'!$C$6:$C$366,'Native PMKS'!$C$6:$C$366,,-1)</f>
        <v>758.33333333333337</v>
      </c>
      <c r="F40" s="6">
        <f>_xlfn.XLOOKUP(D40,'Native PMKS'!$C$6:$C$366,'Native PMKS'!$C$6:$C$366,,1)</f>
        <v>766.66666666666674</v>
      </c>
      <c r="G40" s="6">
        <f>_xlfn.XLOOKUP(D40,'Native PMKS'!$C$6:$C$366,'Native PMKS'!$D$6:$D$366,,-1)</f>
        <v>-30.023</v>
      </c>
      <c r="H40" s="6">
        <f>_xlfn.XLOOKUP(D40,'Native PMKS'!$C$6:$C$366,'Native PMKS'!$D$6:$D$366,,1)</f>
        <v>-29.965699999999998</v>
      </c>
      <c r="I40" s="6">
        <f t="shared" si="15"/>
        <v>-29.999158769321191</v>
      </c>
      <c r="J40" s="6">
        <f>INDEX('Raw Data'!$F$6:$F$2882,MATCH(A40,'Raw Data'!$A$6:$A$2882,0))</f>
        <v>-0.53</v>
      </c>
      <c r="K40" s="6">
        <f t="shared" si="16"/>
        <v>-0.53</v>
      </c>
      <c r="L40" s="6">
        <f t="shared" si="17"/>
        <v>-0.5235840933531849</v>
      </c>
      <c r="M40" s="6">
        <f t="shared" si="18"/>
        <v>-6.4159066468151282E-3</v>
      </c>
      <c r="N40" s="6">
        <f t="shared" si="19"/>
        <v>4.1163858100646541E-5</v>
      </c>
      <c r="O40" s="6">
        <f>_xlfn.XLOOKUP(D40,'Instructor 360'!$B$6:$B$365,'Instructor 360'!$B$6:$B$365,,-1)</f>
        <v>760.44568245125345</v>
      </c>
      <c r="P40" s="6">
        <f>_xlfn.XLOOKUP(D40,'Instructor 360'!$B$6:$B$365,'Instructor 360'!$B$6:$B$365,,1)</f>
        <v>768.80222841225623</v>
      </c>
      <c r="Q40" s="6">
        <f>_xlfn.XLOOKUP(D40,'Instructor 360'!$B$6:$B$365,'Instructor 360'!$F$6:$F$365,,-1)</f>
        <v>-30.00847548746518</v>
      </c>
      <c r="R40" s="6">
        <f>_xlfn.XLOOKUP(D40,'Instructor 360'!$B$6:$B$365,'Instructor 360'!$F$6:$F$365,,1)</f>
        <v>-29.965699999999998</v>
      </c>
      <c r="S40" s="6">
        <f t="shared" si="20"/>
        <v>-30.001539708402433</v>
      </c>
      <c r="T40" s="6">
        <f t="shared" si="21"/>
        <v>-0.52362564857944194</v>
      </c>
      <c r="U40" s="6">
        <f t="shared" si="22"/>
        <v>-6.3743514205580887E-3</v>
      </c>
      <c r="V40" s="6"/>
      <c r="W40" s="6">
        <f t="shared" si="23"/>
        <v>4.0632356032770926E-5</v>
      </c>
      <c r="AA40">
        <f t="shared" si="24"/>
        <v>680</v>
      </c>
      <c r="AB40">
        <f t="shared" si="25"/>
        <v>-0.53</v>
      </c>
      <c r="AC40">
        <f t="shared" si="26"/>
        <v>-0.52362564857944194</v>
      </c>
    </row>
    <row r="41" spans="1:29" ht="18.95" customHeight="1">
      <c r="A41" s="4">
        <f t="shared" si="27"/>
        <v>1412</v>
      </c>
      <c r="B41" s="6">
        <f>INDEX('Raw Data'!$B$6:$B$2882,MATCH(A41,'Raw Data'!$A$6:$A$2882,0))</f>
        <v>48480</v>
      </c>
      <c r="C41" s="6">
        <f t="shared" si="14"/>
        <v>700</v>
      </c>
      <c r="D41" s="6">
        <f>MOD(C41+Summary!$B$20,Summary!$B$11)</f>
        <v>781.80064436864529</v>
      </c>
      <c r="E41" s="6">
        <f>_xlfn.XLOOKUP(D41,'Native PMKS'!$C$6:$C$366,'Native PMKS'!$C$6:$C$366,,-1)</f>
        <v>775</v>
      </c>
      <c r="F41" s="6">
        <f>_xlfn.XLOOKUP(D41,'Native PMKS'!$C$6:$C$366,'Native PMKS'!$C$6:$C$366,,1)</f>
        <v>783.33333333333337</v>
      </c>
      <c r="G41" s="6">
        <f>_xlfn.XLOOKUP(D41,'Native PMKS'!$C$6:$C$366,'Native PMKS'!$D$6:$D$366,,-1)</f>
        <v>-29.965699999999998</v>
      </c>
      <c r="H41" s="6">
        <f>_xlfn.XLOOKUP(D41,'Native PMKS'!$C$6:$C$366,'Native PMKS'!$D$6:$D$366,,1)</f>
        <v>-29.9084</v>
      </c>
      <c r="I41" s="6">
        <f t="shared" si="15"/>
        <v>-29.918938769321191</v>
      </c>
      <c r="J41" s="6">
        <f>INDEX('Raw Data'!$F$6:$F$2882,MATCH(A41,'Raw Data'!$A$6:$A$2882,0))</f>
        <v>-0.51</v>
      </c>
      <c r="K41" s="6">
        <f t="shared" si="16"/>
        <v>-0.51</v>
      </c>
      <c r="L41" s="6">
        <f t="shared" si="17"/>
        <v>-0.52218399022723505</v>
      </c>
      <c r="M41" s="6">
        <f t="shared" si="18"/>
        <v>1.2183990227235042E-2</v>
      </c>
      <c r="N41" s="6">
        <f t="shared" si="19"/>
        <v>1.4844961785735901E-4</v>
      </c>
      <c r="O41" s="6">
        <f>_xlfn.XLOOKUP(D41,'Instructor 360'!$B$6:$B$365,'Instructor 360'!$B$6:$B$365,,-1)</f>
        <v>777.15877437325901</v>
      </c>
      <c r="P41" s="6">
        <f>_xlfn.XLOOKUP(D41,'Instructor 360'!$B$6:$B$365,'Instructor 360'!$B$6:$B$365,,1)</f>
        <v>785.51532033426179</v>
      </c>
      <c r="Q41" s="6">
        <f>_xlfn.XLOOKUP(D41,'Instructor 360'!$B$6:$B$365,'Instructor 360'!$F$6:$F$365,,-1)</f>
        <v>-29.95085626740947</v>
      </c>
      <c r="R41" s="6">
        <f>_xlfn.XLOOKUP(D41,'Instructor 360'!$B$6:$B$365,'Instructor 360'!$F$6:$F$365,,1)</f>
        <v>-29.9084</v>
      </c>
      <c r="S41" s="6">
        <f t="shared" si="20"/>
        <v>-29.927272782710908</v>
      </c>
      <c r="T41" s="6">
        <f t="shared" si="21"/>
        <v>-0.5223294462007908</v>
      </c>
      <c r="U41" s="6">
        <f t="shared" si="22"/>
        <v>1.2329446200790795E-2</v>
      </c>
      <c r="V41" s="6"/>
      <c r="W41" s="6">
        <f t="shared" si="23"/>
        <v>1.5201524361819455E-4</v>
      </c>
      <c r="AA41">
        <f t="shared" si="24"/>
        <v>700</v>
      </c>
      <c r="AB41">
        <f t="shared" si="25"/>
        <v>-0.51</v>
      </c>
      <c r="AC41">
        <f t="shared" si="26"/>
        <v>-0.5223294462007908</v>
      </c>
    </row>
    <row r="42" spans="1:29" ht="18.95" customHeight="1">
      <c r="A42" s="4">
        <f t="shared" si="27"/>
        <v>1413</v>
      </c>
      <c r="B42" s="6">
        <f>INDEX('Raw Data'!$B$6:$B$2882,MATCH(A42,'Raw Data'!$A$6:$A$2882,0))</f>
        <v>48500</v>
      </c>
      <c r="C42" s="6">
        <f t="shared" si="14"/>
        <v>720</v>
      </c>
      <c r="D42" s="6">
        <f>MOD(C42+Summary!$B$20,Summary!$B$11)</f>
        <v>801.80064436864529</v>
      </c>
      <c r="E42" s="6">
        <f>_xlfn.XLOOKUP(D42,'Native PMKS'!$C$6:$C$366,'Native PMKS'!$C$6:$C$366,,-1)</f>
        <v>800</v>
      </c>
      <c r="F42" s="6">
        <f>_xlfn.XLOOKUP(D42,'Native PMKS'!$C$6:$C$366,'Native PMKS'!$C$6:$C$366,,1)</f>
        <v>808.33333333333337</v>
      </c>
      <c r="G42" s="6">
        <f>_xlfn.XLOOKUP(D42,'Native PMKS'!$C$6:$C$366,'Native PMKS'!$D$6:$D$366,,-1)</f>
        <v>-29.851099999999999</v>
      </c>
      <c r="H42" s="6">
        <f>_xlfn.XLOOKUP(D42,'Native PMKS'!$C$6:$C$366,'Native PMKS'!$D$6:$D$366,,1)</f>
        <v>-29.793800000000001</v>
      </c>
      <c r="I42" s="6">
        <f t="shared" si="15"/>
        <v>-29.838718769321197</v>
      </c>
      <c r="J42" s="6">
        <f>INDEX('Raw Data'!$F$6:$F$2882,MATCH(A42,'Raw Data'!$A$6:$A$2882,0))</f>
        <v>-0.5</v>
      </c>
      <c r="K42" s="6">
        <f t="shared" si="16"/>
        <v>-0.5</v>
      </c>
      <c r="L42" s="6">
        <f t="shared" si="17"/>
        <v>-0.52078388710128531</v>
      </c>
      <c r="M42" s="6">
        <f t="shared" si="18"/>
        <v>2.0783887101285314E-2</v>
      </c>
      <c r="N42" s="6">
        <f t="shared" si="19"/>
        <v>4.3196996303897407E-4</v>
      </c>
      <c r="O42" s="6">
        <f>_xlfn.XLOOKUP(D42,'Instructor 360'!$B$6:$B$365,'Instructor 360'!$B$6:$B$365,,-1)</f>
        <v>793.87186629526457</v>
      </c>
      <c r="P42" s="6">
        <f>_xlfn.XLOOKUP(D42,'Instructor 360'!$B$6:$B$365,'Instructor 360'!$B$6:$B$365,,1)</f>
        <v>802.22841225626735</v>
      </c>
      <c r="Q42" s="6">
        <f>_xlfn.XLOOKUP(D42,'Instructor 360'!$B$6:$B$365,'Instructor 360'!$F$6:$F$365,,-1)</f>
        <v>-29.893237047353761</v>
      </c>
      <c r="R42" s="6">
        <f>_xlfn.XLOOKUP(D42,'Instructor 360'!$B$6:$B$365,'Instructor 360'!$F$6:$F$365,,1)</f>
        <v>-29.835777437325905</v>
      </c>
      <c r="S42" s="6">
        <f t="shared" si="20"/>
        <v>-29.838718769321197</v>
      </c>
      <c r="T42" s="6">
        <f t="shared" si="21"/>
        <v>-0.52078388710128531</v>
      </c>
      <c r="U42" s="6">
        <f t="shared" si="22"/>
        <v>2.0783887101285314E-2</v>
      </c>
      <c r="V42" s="6"/>
      <c r="W42" s="6">
        <f t="shared" si="23"/>
        <v>4.3196996303897407E-4</v>
      </c>
      <c r="AA42">
        <f t="shared" si="24"/>
        <v>720</v>
      </c>
      <c r="AB42">
        <f t="shared" si="25"/>
        <v>-0.5</v>
      </c>
      <c r="AC42">
        <f t="shared" si="26"/>
        <v>-0.52078388710128531</v>
      </c>
    </row>
    <row r="43" spans="1:29" ht="18.95" customHeight="1">
      <c r="A43" s="4">
        <f t="shared" si="27"/>
        <v>1414</v>
      </c>
      <c r="B43" s="6">
        <f>INDEX('Raw Data'!$B$6:$B$2882,MATCH(A43,'Raw Data'!$A$6:$A$2882,0))</f>
        <v>48520</v>
      </c>
      <c r="C43" s="6">
        <f t="shared" si="14"/>
        <v>740</v>
      </c>
      <c r="D43" s="6">
        <f>MOD(C43+Summary!$B$20,Summary!$B$11)</f>
        <v>821.80064436864529</v>
      </c>
      <c r="E43" s="6">
        <f>_xlfn.XLOOKUP(D43,'Native PMKS'!$C$6:$C$366,'Native PMKS'!$C$6:$C$366,,-1)</f>
        <v>816.66666666666674</v>
      </c>
      <c r="F43" s="6">
        <f>_xlfn.XLOOKUP(D43,'Native PMKS'!$C$6:$C$366,'Native PMKS'!$C$6:$C$366,,1)</f>
        <v>825.00000000000011</v>
      </c>
      <c r="G43" s="6">
        <f>_xlfn.XLOOKUP(D43,'Native PMKS'!$C$6:$C$366,'Native PMKS'!$D$6:$D$366,,-1)</f>
        <v>-29.736499999999999</v>
      </c>
      <c r="H43" s="6">
        <f>_xlfn.XLOOKUP(D43,'Native PMKS'!$C$6:$C$366,'Native PMKS'!$D$6:$D$366,,1)</f>
        <v>-29.6219</v>
      </c>
      <c r="I43" s="6">
        <f t="shared" si="15"/>
        <v>-29.66589753864239</v>
      </c>
      <c r="J43" s="6">
        <f>INDEX('Raw Data'!$F$6:$F$2882,MATCH(A43,'Raw Data'!$A$6:$A$2882,0))</f>
        <v>-0.51</v>
      </c>
      <c r="K43" s="6">
        <f t="shared" si="16"/>
        <v>-0.51</v>
      </c>
      <c r="L43" s="6">
        <f t="shared" si="17"/>
        <v>-0.51776758760859143</v>
      </c>
      <c r="M43" s="6">
        <f t="shared" si="18"/>
        <v>7.7675876085914197E-3</v>
      </c>
      <c r="N43" s="6">
        <f t="shared" si="19"/>
        <v>6.0335417257142972E-5</v>
      </c>
      <c r="O43" s="6">
        <f>_xlfn.XLOOKUP(D43,'Instructor 360'!$B$6:$B$365,'Instructor 360'!$B$6:$B$365,,-1)</f>
        <v>818.94150417827302</v>
      </c>
      <c r="P43" s="6">
        <f>_xlfn.XLOOKUP(D43,'Instructor 360'!$B$6:$B$365,'Instructor 360'!$B$6:$B$365,,1)</f>
        <v>827.2980501392758</v>
      </c>
      <c r="Q43" s="6">
        <f>_xlfn.XLOOKUP(D43,'Instructor 360'!$B$6:$B$365,'Instructor 360'!$F$6:$F$365,,-1)</f>
        <v>-29.70521643454039</v>
      </c>
      <c r="R43" s="6">
        <f>_xlfn.XLOOKUP(D43,'Instructor 360'!$B$6:$B$365,'Instructor 360'!$F$6:$F$365,,1)</f>
        <v>-29.606098607242341</v>
      </c>
      <c r="S43" s="6">
        <f t="shared" si="20"/>
        <v>-29.671303886828369</v>
      </c>
      <c r="T43" s="6">
        <f t="shared" si="21"/>
        <v>-0.51786194618494596</v>
      </c>
      <c r="U43" s="6">
        <f t="shared" si="22"/>
        <v>7.861946184945956E-3</v>
      </c>
      <c r="V43" s="6"/>
      <c r="W43" s="6">
        <f t="shared" si="23"/>
        <v>6.1810197814986267E-5</v>
      </c>
      <c r="AA43">
        <f t="shared" si="24"/>
        <v>740</v>
      </c>
      <c r="AB43">
        <f t="shared" si="25"/>
        <v>-0.51</v>
      </c>
      <c r="AC43">
        <f t="shared" si="26"/>
        <v>-0.51786194618494596</v>
      </c>
    </row>
    <row r="44" spans="1:29" ht="18.95" customHeight="1">
      <c r="A44" s="4">
        <f t="shared" si="27"/>
        <v>1415</v>
      </c>
      <c r="B44" s="6">
        <f>INDEX('Raw Data'!$B$6:$B$2882,MATCH(A44,'Raw Data'!$A$6:$A$2882,0))</f>
        <v>48540</v>
      </c>
      <c r="C44" s="6">
        <f t="shared" si="14"/>
        <v>760</v>
      </c>
      <c r="D44" s="6">
        <f>MOD(C44+Summary!$B$20,Summary!$B$11)</f>
        <v>841.80064436864529</v>
      </c>
      <c r="E44" s="6">
        <f>_xlfn.XLOOKUP(D44,'Native PMKS'!$C$6:$C$366,'Native PMKS'!$C$6:$C$366,,-1)</f>
        <v>841.66666666666674</v>
      </c>
      <c r="F44" s="6">
        <f>_xlfn.XLOOKUP(D44,'Native PMKS'!$C$6:$C$366,'Native PMKS'!$C$6:$C$366,,1)</f>
        <v>850.00000000000011</v>
      </c>
      <c r="G44" s="6">
        <f>_xlfn.XLOOKUP(D44,'Native PMKS'!$C$6:$C$366,'Native PMKS'!$D$6:$D$366,,-1)</f>
        <v>-29.507300000000001</v>
      </c>
      <c r="H44" s="6">
        <f>_xlfn.XLOOKUP(D44,'Native PMKS'!$C$6:$C$366,'Native PMKS'!$D$6:$D$366,,1)</f>
        <v>-29.392700000000001</v>
      </c>
      <c r="I44" s="6">
        <f t="shared" si="15"/>
        <v>-29.505457538642389</v>
      </c>
      <c r="J44" s="6">
        <f>INDEX('Raw Data'!$F$6:$F$2882,MATCH(A44,'Raw Data'!$A$6:$A$2882,0))</f>
        <v>-0.5</v>
      </c>
      <c r="K44" s="6">
        <f t="shared" si="16"/>
        <v>-0.5</v>
      </c>
      <c r="L44" s="6">
        <f t="shared" si="17"/>
        <v>-0.51496738135669173</v>
      </c>
      <c r="M44" s="6">
        <f t="shared" si="18"/>
        <v>1.4967381356691734E-2</v>
      </c>
      <c r="N44" s="6">
        <f t="shared" si="19"/>
        <v>2.2402250467664327E-4</v>
      </c>
      <c r="O44" s="6">
        <f>_xlfn.XLOOKUP(D44,'Instructor 360'!$B$6:$B$365,'Instructor 360'!$B$6:$B$365,,-1)</f>
        <v>835.65459610027858</v>
      </c>
      <c r="P44" s="6">
        <f>_xlfn.XLOOKUP(D44,'Instructor 360'!$B$6:$B$365,'Instructor 360'!$B$6:$B$365,,1)</f>
        <v>844.01114206128136</v>
      </c>
      <c r="Q44" s="6">
        <f>_xlfn.XLOOKUP(D44,'Instructor 360'!$B$6:$B$365,'Instructor 360'!$F$6:$F$365,,-1)</f>
        <v>-29.548638997214486</v>
      </c>
      <c r="R44" s="6">
        <f>_xlfn.XLOOKUP(D44,'Instructor 360'!$B$6:$B$365,'Instructor 360'!$F$6:$F$365,,1)</f>
        <v>-29.475058774373259</v>
      </c>
      <c r="S44" s="6">
        <f t="shared" si="20"/>
        <v>-29.494522427606697</v>
      </c>
      <c r="T44" s="6">
        <f t="shared" si="21"/>
        <v>-0.51477652766504767</v>
      </c>
      <c r="U44" s="6">
        <f t="shared" si="22"/>
        <v>1.4776527665047667E-2</v>
      </c>
      <c r="V44" s="6"/>
      <c r="W44" s="6">
        <f t="shared" si="23"/>
        <v>2.1834576983591908E-4</v>
      </c>
      <c r="AA44">
        <f t="shared" si="24"/>
        <v>760</v>
      </c>
      <c r="AB44">
        <f t="shared" si="25"/>
        <v>-0.5</v>
      </c>
      <c r="AC44">
        <f t="shared" si="26"/>
        <v>-0.51477652766504767</v>
      </c>
    </row>
    <row r="45" spans="1:29" ht="18.95" customHeight="1">
      <c r="A45" s="4">
        <f t="shared" si="27"/>
        <v>1416</v>
      </c>
      <c r="B45" s="6">
        <f>INDEX('Raw Data'!$B$6:$B$2882,MATCH(A45,'Raw Data'!$A$6:$A$2882,0))</f>
        <v>48560</v>
      </c>
      <c r="C45" s="6">
        <f t="shared" si="14"/>
        <v>780</v>
      </c>
      <c r="D45" s="6">
        <f>MOD(C45+Summary!$B$20,Summary!$B$11)</f>
        <v>861.80064436864529</v>
      </c>
      <c r="E45" s="6">
        <f>_xlfn.XLOOKUP(D45,'Native PMKS'!$C$6:$C$366,'Native PMKS'!$C$6:$C$366,,-1)</f>
        <v>858.33333333333337</v>
      </c>
      <c r="F45" s="6">
        <f>_xlfn.XLOOKUP(D45,'Native PMKS'!$C$6:$C$366,'Native PMKS'!$C$6:$C$366,,1)</f>
        <v>866.66666666666674</v>
      </c>
      <c r="G45" s="6">
        <f>_xlfn.XLOOKUP(D45,'Native PMKS'!$C$6:$C$366,'Native PMKS'!$D$6:$D$366,,-1)</f>
        <v>-29.278099999999998</v>
      </c>
      <c r="H45" s="6">
        <f>_xlfn.XLOOKUP(D45,'Native PMKS'!$C$6:$C$366,'Native PMKS'!$D$6:$D$366,,1)</f>
        <v>-29.163599999999999</v>
      </c>
      <c r="I45" s="6">
        <f t="shared" si="15"/>
        <v>-29.230459146374812</v>
      </c>
      <c r="J45" s="6">
        <f>INDEX('Raw Data'!$F$6:$F$2882,MATCH(A45,'Raw Data'!$A$6:$A$2882,0))</f>
        <v>-0.48</v>
      </c>
      <c r="K45" s="6">
        <f t="shared" si="16"/>
        <v>-0.48</v>
      </c>
      <c r="L45" s="6">
        <f t="shared" si="17"/>
        <v>-0.51016775397393155</v>
      </c>
      <c r="M45" s="6">
        <f t="shared" si="18"/>
        <v>3.0167753973931566E-2</v>
      </c>
      <c r="N45" s="6">
        <f t="shared" si="19"/>
        <v>9.1009337983166379E-4</v>
      </c>
      <c r="O45" s="6">
        <f>_xlfn.XLOOKUP(D45,'Instructor 360'!$B$6:$B$365,'Instructor 360'!$B$6:$B$365,,-1)</f>
        <v>860.72423398328692</v>
      </c>
      <c r="P45" s="6">
        <f>_xlfn.XLOOKUP(D45,'Instructor 360'!$B$6:$B$365,'Instructor 360'!$B$6:$B$365,,1)</f>
        <v>869.0807799442897</v>
      </c>
      <c r="Q45" s="6">
        <f>_xlfn.XLOOKUP(D45,'Instructor 360'!$B$6:$B$365,'Instructor 360'!$F$6:$F$365,,-1)</f>
        <v>-29.245249025069636</v>
      </c>
      <c r="R45" s="6">
        <f>_xlfn.XLOOKUP(D45,'Instructor 360'!$B$6:$B$365,'Instructor 360'!$F$6:$F$365,,1)</f>
        <v>-29.13040111420613</v>
      </c>
      <c r="S45" s="6">
        <f t="shared" si="20"/>
        <v>-29.23045541481881</v>
      </c>
      <c r="T45" s="6">
        <f t="shared" si="21"/>
        <v>-0.51016768884599317</v>
      </c>
      <c r="U45" s="6">
        <f t="shared" si="22"/>
        <v>3.016768884599319E-2</v>
      </c>
      <c r="V45" s="6"/>
      <c r="W45" s="6">
        <f t="shared" si="23"/>
        <v>9.1008945030866199E-4</v>
      </c>
      <c r="AA45">
        <f t="shared" si="24"/>
        <v>780</v>
      </c>
      <c r="AB45">
        <f t="shared" si="25"/>
        <v>-0.48</v>
      </c>
      <c r="AC45">
        <f t="shared" si="26"/>
        <v>-0.51016768884599317</v>
      </c>
    </row>
    <row r="46" spans="1:29" ht="18.95" customHeight="1">
      <c r="A46" s="4">
        <f t="shared" si="27"/>
        <v>1417</v>
      </c>
      <c r="B46" s="6">
        <f>INDEX('Raw Data'!$B$6:$B$2882,MATCH(A46,'Raw Data'!$A$6:$A$2882,0))</f>
        <v>48580</v>
      </c>
      <c r="C46" s="6">
        <f t="shared" si="14"/>
        <v>800</v>
      </c>
      <c r="D46" s="6">
        <f>MOD(C46+Summary!$B$20,Summary!$B$11)</f>
        <v>881.80064436864529</v>
      </c>
      <c r="E46" s="6">
        <f>_xlfn.XLOOKUP(D46,'Native PMKS'!$C$6:$C$366,'Native PMKS'!$C$6:$C$366,,-1)</f>
        <v>875.00000000000011</v>
      </c>
      <c r="F46" s="6">
        <f>_xlfn.XLOOKUP(D46,'Native PMKS'!$C$6:$C$366,'Native PMKS'!$C$6:$C$366,,1)</f>
        <v>883.33333333333337</v>
      </c>
      <c r="G46" s="6">
        <f>_xlfn.XLOOKUP(D46,'Native PMKS'!$C$6:$C$366,'Native PMKS'!$D$6:$D$366,,-1)</f>
        <v>-29.048999999999999</v>
      </c>
      <c r="H46" s="6">
        <f>_xlfn.XLOOKUP(D46,'Native PMKS'!$C$6:$C$366,'Native PMKS'!$D$6:$D$366,,1)</f>
        <v>-28.877099999999999</v>
      </c>
      <c r="I46" s="6">
        <f t="shared" si="15"/>
        <v>-28.908716307963587</v>
      </c>
      <c r="J46" s="6">
        <f>INDEX('Raw Data'!$F$6:$F$2882,MATCH(A46,'Raw Data'!$A$6:$A$2882,0))</f>
        <v>-0.47</v>
      </c>
      <c r="K46" s="6">
        <f t="shared" si="16"/>
        <v>-0.47</v>
      </c>
      <c r="L46" s="6">
        <f t="shared" si="17"/>
        <v>-0.50455228209894365</v>
      </c>
      <c r="M46" s="6">
        <f t="shared" si="18"/>
        <v>3.4552282098943676E-2</v>
      </c>
      <c r="N46" s="6">
        <f t="shared" si="19"/>
        <v>1.1938601982449837E-3</v>
      </c>
      <c r="O46" s="6">
        <f>_xlfn.XLOOKUP(D46,'Instructor 360'!$B$6:$B$365,'Instructor 360'!$B$6:$B$365,,-1)</f>
        <v>877.43732590529248</v>
      </c>
      <c r="P46" s="6">
        <f>_xlfn.XLOOKUP(D46,'Instructor 360'!$B$6:$B$365,'Instructor 360'!$B$6:$B$365,,1)</f>
        <v>885.79387186629526</v>
      </c>
      <c r="Q46" s="6">
        <f>_xlfn.XLOOKUP(D46,'Instructor 360'!$B$6:$B$365,'Instructor 360'!$F$6:$F$365,,-1)</f>
        <v>-28.998722841225629</v>
      </c>
      <c r="R46" s="6">
        <f>_xlfn.XLOOKUP(D46,'Instructor 360'!$B$6:$B$365,'Instructor 360'!$F$6:$F$365,,1)</f>
        <v>-28.843262674094706</v>
      </c>
      <c r="S46" s="6">
        <f t="shared" si="20"/>
        <v>-28.917550282524488</v>
      </c>
      <c r="T46" s="6">
        <f t="shared" si="21"/>
        <v>-0.50470646404106878</v>
      </c>
      <c r="U46" s="6">
        <f t="shared" si="22"/>
        <v>3.4706464041068807E-2</v>
      </c>
      <c r="V46" s="6"/>
      <c r="W46" s="6">
        <f t="shared" si="23"/>
        <v>1.2045386462340021E-3</v>
      </c>
      <c r="AA46">
        <f t="shared" si="24"/>
        <v>800</v>
      </c>
      <c r="AB46">
        <f t="shared" si="25"/>
        <v>-0.47</v>
      </c>
      <c r="AC46">
        <f t="shared" si="26"/>
        <v>-0.50470646404106878</v>
      </c>
    </row>
    <row r="47" spans="1:29" ht="18.95" customHeight="1">
      <c r="A47" s="4">
        <f t="shared" si="27"/>
        <v>1418</v>
      </c>
      <c r="B47" s="6">
        <f>INDEX('Raw Data'!$B$6:$B$2882,MATCH(A47,'Raw Data'!$A$6:$A$2882,0))</f>
        <v>48600</v>
      </c>
      <c r="C47" s="6">
        <f t="shared" si="14"/>
        <v>820</v>
      </c>
      <c r="D47" s="6">
        <f>MOD(C47+Summary!$B$20,Summary!$B$11)</f>
        <v>901.80064436864529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PMKS'!$D$6:$D$366,,-1)</f>
        <v>-28.590599999999998</v>
      </c>
      <c r="H47" s="6">
        <f>_xlfn.XLOOKUP(D47,'Native PMKS'!$C$6:$C$366,'Native PMKS'!$D$6:$D$366,,1)</f>
        <v>-28.475999999999999</v>
      </c>
      <c r="I47" s="6">
        <f t="shared" si="15"/>
        <v>-28.565837538642384</v>
      </c>
      <c r="J47" s="6">
        <f>INDEX('Raw Data'!$F$6:$F$2882,MATCH(A47,'Raw Data'!$A$6:$A$2882,0))</f>
        <v>-0.47</v>
      </c>
      <c r="K47" s="6">
        <f t="shared" si="16"/>
        <v>-0.47</v>
      </c>
      <c r="L47" s="6">
        <f t="shared" si="17"/>
        <v>-0.49856791863910255</v>
      </c>
      <c r="M47" s="6">
        <f t="shared" si="18"/>
        <v>2.8567918639102574E-2</v>
      </c>
      <c r="N47" s="6">
        <f t="shared" si="19"/>
        <v>8.161259753703843E-4</v>
      </c>
      <c r="O47" s="6">
        <f>_xlfn.XLOOKUP(D47,'Instructor 360'!$B$6:$B$365,'Instructor 360'!$B$6:$B$365,,-1)</f>
        <v>894.15041782729804</v>
      </c>
      <c r="P47" s="6">
        <f>_xlfn.XLOOKUP(D47,'Instructor 360'!$B$6:$B$365,'Instructor 360'!$B$6:$B$365,,1)</f>
        <v>902.50696378830082</v>
      </c>
      <c r="Q47" s="6">
        <f>_xlfn.XLOOKUP(D47,'Instructor 360'!$B$6:$B$365,'Instructor 360'!$F$6:$F$365,,-1)</f>
        <v>-28.711265181058497</v>
      </c>
      <c r="R47" s="6">
        <f>_xlfn.XLOOKUP(D47,'Instructor 360'!$B$6:$B$365,'Instructor 360'!$F$6:$F$365,,1)</f>
        <v>-28.556124233983287</v>
      </c>
      <c r="S47" s="6">
        <f t="shared" si="20"/>
        <v>-28.569237195273072</v>
      </c>
      <c r="T47" s="6">
        <f t="shared" si="21"/>
        <v>-0.4986272538407453</v>
      </c>
      <c r="U47" s="6">
        <f t="shared" si="22"/>
        <v>2.8627253840745326E-2</v>
      </c>
      <c r="V47" s="6"/>
      <c r="W47" s="6">
        <f t="shared" si="23"/>
        <v>8.1951966246246802E-4</v>
      </c>
      <c r="AA47">
        <f t="shared" si="24"/>
        <v>820</v>
      </c>
      <c r="AB47">
        <f t="shared" si="25"/>
        <v>-0.47</v>
      </c>
      <c r="AC47">
        <f t="shared" si="26"/>
        <v>-0.4986272538407453</v>
      </c>
    </row>
    <row r="48" spans="1:29" ht="18.95" customHeight="1">
      <c r="A48" s="4">
        <f t="shared" si="27"/>
        <v>1419</v>
      </c>
      <c r="B48" s="6">
        <f>INDEX('Raw Data'!$B$6:$B$2882,MATCH(A48,'Raw Data'!$A$6:$A$2882,0))</f>
        <v>48620</v>
      </c>
      <c r="C48" s="6">
        <f t="shared" si="14"/>
        <v>840</v>
      </c>
      <c r="D48" s="6">
        <f>MOD(C48+Summary!$B$20,Summary!$B$11)</f>
        <v>921.80064436864529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PMKS'!$D$6:$D$366,,-1)</f>
        <v>-28.304099999999998</v>
      </c>
      <c r="H48" s="6">
        <f>_xlfn.XLOOKUP(D48,'Native PMKS'!$C$6:$C$366,'Native PMKS'!$D$6:$D$366,,1)</f>
        <v>-28.132200000000001</v>
      </c>
      <c r="I48" s="6">
        <f t="shared" si="15"/>
        <v>-28.198196307963592</v>
      </c>
      <c r="J48" s="6">
        <f>INDEX('Raw Data'!$F$6:$F$2882,MATCH(A48,'Raw Data'!$A$6:$A$2882,0))</f>
        <v>-0.47</v>
      </c>
      <c r="K48" s="6">
        <f t="shared" si="16"/>
        <v>-0.47</v>
      </c>
      <c r="L48" s="6">
        <f t="shared" si="17"/>
        <v>-0.49215136869767362</v>
      </c>
      <c r="M48" s="6">
        <f t="shared" si="18"/>
        <v>2.2151368697673646E-2</v>
      </c>
      <c r="N48" s="6">
        <f t="shared" si="19"/>
        <v>4.9068313518027583E-4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360'!$F$6:$F$365,,-1)</f>
        <v>-28.251428690807799</v>
      </c>
      <c r="R48" s="6">
        <f>_xlfn.XLOOKUP(D48,'Instructor 360'!$B$6:$B$365,'Instructor 360'!$F$6:$F$365,,1)</f>
        <v>-28.061333147632315</v>
      </c>
      <c r="S48" s="6">
        <f t="shared" si="20"/>
        <v>-28.192725201949038</v>
      </c>
      <c r="T48" s="6">
        <f t="shared" si="21"/>
        <v>-0.49205587988399402</v>
      </c>
      <c r="U48" s="6">
        <f t="shared" si="22"/>
        <v>2.2055879883994045E-2</v>
      </c>
      <c r="V48" s="6"/>
      <c r="W48" s="6">
        <f t="shared" si="23"/>
        <v>4.8646183745717315E-4</v>
      </c>
      <c r="AA48">
        <f t="shared" si="24"/>
        <v>840</v>
      </c>
      <c r="AB48">
        <f t="shared" si="25"/>
        <v>-0.47</v>
      </c>
      <c r="AC48">
        <f t="shared" si="26"/>
        <v>-0.49205587988399402</v>
      </c>
    </row>
    <row r="49" spans="1:29" ht="18.95" customHeight="1">
      <c r="A49" s="4">
        <f t="shared" si="27"/>
        <v>1420</v>
      </c>
      <c r="B49" s="6">
        <f>INDEX('Raw Data'!$B$6:$B$2882,MATCH(A49,'Raw Data'!$A$6:$A$2882,0))</f>
        <v>48640</v>
      </c>
      <c r="C49" s="6">
        <f t="shared" si="14"/>
        <v>860</v>
      </c>
      <c r="D49" s="6">
        <f>MOD(C49+Summary!$B$20,Summary!$B$11)</f>
        <v>941.80064436864529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PMKS'!$D$6:$D$366,,-1)</f>
        <v>-27.731200000000001</v>
      </c>
      <c r="H49" s="6">
        <f>_xlfn.XLOOKUP(D49,'Native PMKS'!$C$6:$C$366,'Native PMKS'!$D$6:$D$366,,1)</f>
        <v>-27.5593</v>
      </c>
      <c r="I49" s="6">
        <f t="shared" si="15"/>
        <v>-27.728436307963584</v>
      </c>
      <c r="J49" s="6">
        <f>INDEX('Raw Data'!$F$6:$F$2882,MATCH(A49,'Raw Data'!$A$6:$A$2882,0))</f>
        <v>-0.47</v>
      </c>
      <c r="K49" s="6">
        <f t="shared" si="16"/>
        <v>-0.47</v>
      </c>
      <c r="L49" s="6">
        <f t="shared" si="17"/>
        <v>-0.48395251000350487</v>
      </c>
      <c r="M49" s="6">
        <f t="shared" si="18"/>
        <v>1.3952510003504892E-2</v>
      </c>
      <c r="N49" s="6">
        <f t="shared" si="19"/>
        <v>1.9467253539790408E-4</v>
      </c>
      <c r="O49" s="6">
        <f>_xlfn.XLOOKUP(D49,'Instructor 360'!$B$6:$B$365,'Instructor 360'!$B$6:$B$365,,-1)</f>
        <v>935.93314763231194</v>
      </c>
      <c r="P49" s="6">
        <f>_xlfn.XLOOKUP(D49,'Instructor 360'!$B$6:$B$365,'Instructor 360'!$B$6:$B$365,,1)</f>
        <v>944.28969359331472</v>
      </c>
      <c r="Q49" s="6">
        <f>_xlfn.XLOOKUP(D49,'Instructor 360'!$B$6:$B$365,'Instructor 360'!$F$6:$F$365,,-1)</f>
        <v>-27.849402228412256</v>
      </c>
      <c r="R49" s="6">
        <f>_xlfn.XLOOKUP(D49,'Instructor 360'!$B$6:$B$365,'Instructor 360'!$F$6:$F$365,,1)</f>
        <v>-27.677092200557105</v>
      </c>
      <c r="S49" s="6">
        <f t="shared" si="20"/>
        <v>-27.728415814791639</v>
      </c>
      <c r="T49" s="6">
        <f t="shared" si="21"/>
        <v>-0.48395215233018024</v>
      </c>
      <c r="U49" s="6">
        <f t="shared" si="22"/>
        <v>1.3952152330180267E-2</v>
      </c>
      <c r="V49" s="6"/>
      <c r="W49" s="6">
        <f t="shared" si="23"/>
        <v>1.9466255464455466E-4</v>
      </c>
      <c r="AA49">
        <f t="shared" si="24"/>
        <v>860</v>
      </c>
      <c r="AB49">
        <f t="shared" si="25"/>
        <v>-0.47</v>
      </c>
      <c r="AC49">
        <f t="shared" si="26"/>
        <v>-0.48395215233018024</v>
      </c>
    </row>
    <row r="50" spans="1:29" ht="18.95" customHeight="1">
      <c r="A50" s="4">
        <f t="shared" si="27"/>
        <v>1421</v>
      </c>
      <c r="B50" s="6">
        <f>INDEX('Raw Data'!$B$6:$B$2882,MATCH(A50,'Raw Data'!$A$6:$A$2882,0))</f>
        <v>48660</v>
      </c>
      <c r="C50" s="6">
        <f t="shared" si="14"/>
        <v>880</v>
      </c>
      <c r="D50" s="6">
        <f>MOD(C50+Summary!$B$20,Summary!$B$11)</f>
        <v>961.80064436864529</v>
      </c>
      <c r="E50" s="6">
        <f>_xlfn.XLOOKUP(D50,'Native PMKS'!$C$6:$C$366,'Native PMKS'!$C$6:$C$366,,-1)</f>
        <v>958.33333333333337</v>
      </c>
      <c r="F50" s="6">
        <f>_xlfn.XLOOKUP(D50,'Native PMKS'!$C$6:$C$366,'Native PMKS'!$C$6:$C$366,,1)</f>
        <v>966.66666666666674</v>
      </c>
      <c r="G50" s="6">
        <f>_xlfn.XLOOKUP(D50,'Native PMKS'!$C$6:$C$366,'Native PMKS'!$D$6:$D$366,,-1)</f>
        <v>-27.330100000000002</v>
      </c>
      <c r="H50" s="6">
        <f>_xlfn.XLOOKUP(D50,'Native PMKS'!$C$6:$C$366,'Native PMKS'!$D$6:$D$366,,1)</f>
        <v>-27.100899999999999</v>
      </c>
      <c r="I50" s="6">
        <f t="shared" si="15"/>
        <v>-27.234735077284778</v>
      </c>
      <c r="J50" s="6">
        <f>INDEX('Raw Data'!$F$6:$F$2882,MATCH(A50,'Raw Data'!$A$6:$A$2882,0))</f>
        <v>-0.44</v>
      </c>
      <c r="K50" s="6">
        <f t="shared" si="16"/>
        <v>-0.44</v>
      </c>
      <c r="L50" s="6">
        <f t="shared" si="17"/>
        <v>-0.47533579800701176</v>
      </c>
      <c r="M50" s="6">
        <f t="shared" si="18"/>
        <v>3.5335798007011754E-2</v>
      </c>
      <c r="N50" s="6">
        <f t="shared" si="19"/>
        <v>1.2486186207923359E-3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360'!$F$6:$F$365,,-1)</f>
        <v>-27.256679387186633</v>
      </c>
      <c r="R50" s="6">
        <f>_xlfn.XLOOKUP(D50,'Instructor 360'!$B$6:$B$365,'Instructor 360'!$F$6:$F$365,,1)</f>
        <v>-27.026840947075211</v>
      </c>
      <c r="S50" s="6">
        <f t="shared" si="20"/>
        <v>-27.234735077284785</v>
      </c>
      <c r="T50" s="6">
        <f t="shared" si="21"/>
        <v>-0.47533579800701181</v>
      </c>
      <c r="U50" s="6">
        <f t="shared" si="22"/>
        <v>3.5335798007011809E-2</v>
      </c>
      <c r="V50" s="6"/>
      <c r="W50" s="6">
        <f t="shared" si="23"/>
        <v>1.2486186207923398E-3</v>
      </c>
      <c r="AA50">
        <f t="shared" si="24"/>
        <v>880</v>
      </c>
      <c r="AB50">
        <f t="shared" si="25"/>
        <v>-0.44</v>
      </c>
      <c r="AC50">
        <f t="shared" si="26"/>
        <v>-0.47533579800701181</v>
      </c>
    </row>
    <row r="51" spans="1:29" ht="18.95" customHeight="1">
      <c r="A51" s="4">
        <f t="shared" si="27"/>
        <v>1422</v>
      </c>
      <c r="B51" s="6">
        <f>INDEX('Raw Data'!$B$6:$B$2882,MATCH(A51,'Raw Data'!$A$6:$A$2882,0))</f>
        <v>48680</v>
      </c>
      <c r="C51" s="6">
        <f t="shared" si="14"/>
        <v>900</v>
      </c>
      <c r="D51" s="6">
        <f>MOD(C51+Summary!$B$20,Summary!$B$11)</f>
        <v>981.80064436864529</v>
      </c>
      <c r="E51" s="6">
        <f>_xlfn.XLOOKUP(D51,'Native PMKS'!$C$6:$C$366,'Native PMKS'!$C$6:$C$366,,-1)</f>
        <v>975.00000000000011</v>
      </c>
      <c r="F51" s="6">
        <f>_xlfn.XLOOKUP(D51,'Native PMKS'!$C$6:$C$366,'Native PMKS'!$C$6:$C$366,,1)</f>
        <v>983.33333333333337</v>
      </c>
      <c r="G51" s="6">
        <f>_xlfn.XLOOKUP(D51,'Native PMKS'!$C$6:$C$366,'Native PMKS'!$D$6:$D$366,,-1)</f>
        <v>-26.871700000000001</v>
      </c>
      <c r="H51" s="6">
        <f>_xlfn.XLOOKUP(D51,'Native PMKS'!$C$6:$C$366,'Native PMKS'!$D$6:$D$366,,1)</f>
        <v>-26.642499999999998</v>
      </c>
      <c r="I51" s="6">
        <f t="shared" si="15"/>
        <v>-26.684655077284781</v>
      </c>
      <c r="J51" s="6">
        <f>INDEX('Raw Data'!$F$6:$F$2882,MATCH(A51,'Raw Data'!$A$6:$A$2882,0))</f>
        <v>-0.43</v>
      </c>
      <c r="K51" s="6">
        <f t="shared" si="16"/>
        <v>-0.43</v>
      </c>
      <c r="L51" s="6">
        <f t="shared" si="17"/>
        <v>-0.46573509085764131</v>
      </c>
      <c r="M51" s="6">
        <f t="shared" si="18"/>
        <v>3.5735090857641316E-2</v>
      </c>
      <c r="N51" s="6">
        <f t="shared" si="19"/>
        <v>1.27699671860388E-3</v>
      </c>
      <c r="O51" s="6">
        <f>_xlfn.XLOOKUP(D51,'Instructor 360'!$B$6:$B$365,'Instructor 360'!$B$6:$B$365,,-1)</f>
        <v>977.71587743732584</v>
      </c>
      <c r="P51" s="6">
        <f>_xlfn.XLOOKUP(D51,'Instructor 360'!$B$6:$B$365,'Instructor 360'!$B$6:$B$365,,1)</f>
        <v>986.07242339832874</v>
      </c>
      <c r="Q51" s="6">
        <f>_xlfn.XLOOKUP(D51,'Instructor 360'!$B$6:$B$365,'Instructor 360'!$F$6:$F$365,,-1)</f>
        <v>-26.797002506963793</v>
      </c>
      <c r="R51" s="6">
        <f>_xlfn.XLOOKUP(D51,'Instructor 360'!$B$6:$B$365,'Instructor 360'!$F$6:$F$365,,1)</f>
        <v>-26.567196935933147</v>
      </c>
      <c r="S51" s="6">
        <f t="shared" si="20"/>
        <v>-26.684671144034716</v>
      </c>
      <c r="T51" s="6">
        <f t="shared" si="21"/>
        <v>-0.46573537127532783</v>
      </c>
      <c r="U51" s="6">
        <f t="shared" si="22"/>
        <v>3.5735371275327832E-2</v>
      </c>
      <c r="V51" s="6"/>
      <c r="W51" s="6">
        <f t="shared" si="23"/>
        <v>1.2770167601855256E-3</v>
      </c>
      <c r="AA51">
        <f t="shared" si="24"/>
        <v>900</v>
      </c>
      <c r="AB51">
        <f t="shared" si="25"/>
        <v>-0.43</v>
      </c>
      <c r="AC51">
        <f t="shared" si="26"/>
        <v>-0.46573537127532783</v>
      </c>
    </row>
    <row r="52" spans="1:29" ht="18.95" customHeight="1">
      <c r="A52" s="4">
        <f t="shared" si="27"/>
        <v>1423</v>
      </c>
      <c r="B52" s="6">
        <f>INDEX('Raw Data'!$B$6:$B$2882,MATCH(A52,'Raw Data'!$A$6:$A$2882,0))</f>
        <v>48700</v>
      </c>
      <c r="C52" s="6">
        <f t="shared" si="14"/>
        <v>920</v>
      </c>
      <c r="D52" s="6">
        <f>MOD(C52+Summary!$B$20,Summary!$B$11)</f>
        <v>1001.8006443686453</v>
      </c>
      <c r="E52" s="6">
        <f>_xlfn.XLOOKUP(D52,'Native PMKS'!$C$6:$C$366,'Native PMKS'!$C$6:$C$366,,-1)</f>
        <v>1000.0000000000001</v>
      </c>
      <c r="F52" s="6">
        <f>_xlfn.XLOOKUP(D52,'Native PMKS'!$C$6:$C$366,'Native PMKS'!$C$6:$C$366,,1)</f>
        <v>1008.3333333333334</v>
      </c>
      <c r="G52" s="6">
        <f>_xlfn.XLOOKUP(D52,'Native PMKS'!$C$6:$C$366,'Native PMKS'!$D$6:$D$366,,-1)</f>
        <v>-26.184200000000001</v>
      </c>
      <c r="H52" s="6">
        <f>_xlfn.XLOOKUP(D52,'Native PMKS'!$C$6:$C$366,'Native PMKS'!$D$6:$D$366,,1)</f>
        <v>-25.8977</v>
      </c>
      <c r="I52" s="6">
        <f t="shared" si="15"/>
        <v>-26.122293846605984</v>
      </c>
      <c r="J52" s="6">
        <f>INDEX('Raw Data'!$F$6:$F$2882,MATCH(A52,'Raw Data'!$A$6:$A$2882,0))</f>
        <v>-0.42</v>
      </c>
      <c r="K52" s="6">
        <f t="shared" si="16"/>
        <v>-0.42</v>
      </c>
      <c r="L52" s="6">
        <f t="shared" si="17"/>
        <v>-0.45592003579672896</v>
      </c>
      <c r="M52" s="6">
        <f t="shared" si="18"/>
        <v>3.5920035796728977E-2</v>
      </c>
      <c r="N52" s="6">
        <f t="shared" si="19"/>
        <v>1.2902489716382912E-3</v>
      </c>
      <c r="O52" s="6">
        <f>_xlfn.XLOOKUP(D52,'Instructor 360'!$B$6:$B$365,'Instructor 360'!$B$6:$B$365,,-1)</f>
        <v>994.42896935933152</v>
      </c>
      <c r="P52" s="6">
        <f>_xlfn.XLOOKUP(D52,'Instructor 360'!$B$6:$B$365,'Instructor 360'!$B$6:$B$365,,1)</f>
        <v>1002.7855153203343</v>
      </c>
      <c r="Q52" s="6">
        <f>_xlfn.XLOOKUP(D52,'Instructor 360'!$B$6:$B$365,'Instructor 360'!$F$6:$F$365,,-1)</f>
        <v>-26.337425626740949</v>
      </c>
      <c r="R52" s="6">
        <f>_xlfn.XLOOKUP(D52,'Instructor 360'!$B$6:$B$365,'Instructor 360'!$F$6:$F$365,,1)</f>
        <v>-26.088433983286912</v>
      </c>
      <c r="S52" s="6">
        <f t="shared" si="20"/>
        <v>-26.11777919816344</v>
      </c>
      <c r="T52" s="6">
        <f t="shared" si="21"/>
        <v>-0.45584124031683654</v>
      </c>
      <c r="U52" s="6">
        <f t="shared" si="22"/>
        <v>3.5841240316836553E-2</v>
      </c>
      <c r="V52" s="6"/>
      <c r="W52" s="6">
        <f t="shared" si="23"/>
        <v>1.28459450744923E-3</v>
      </c>
      <c r="AA52">
        <f t="shared" si="24"/>
        <v>920</v>
      </c>
      <c r="AB52">
        <f t="shared" si="25"/>
        <v>-0.42</v>
      </c>
      <c r="AC52">
        <f t="shared" si="26"/>
        <v>-0.45584124031683654</v>
      </c>
    </row>
    <row r="53" spans="1:29" ht="18.95" customHeight="1">
      <c r="A53" s="4">
        <f t="shared" si="27"/>
        <v>1424</v>
      </c>
      <c r="B53" s="6">
        <f>INDEX('Raw Data'!$B$6:$B$2882,MATCH(A53,'Raw Data'!$A$6:$A$2882,0))</f>
        <v>48720</v>
      </c>
      <c r="C53" s="6">
        <f t="shared" si="14"/>
        <v>940</v>
      </c>
      <c r="D53" s="6">
        <f>MOD(C53+Summary!$B$20,Summary!$B$11)</f>
        <v>1021.8006443686453</v>
      </c>
      <c r="E53" s="6">
        <f>_xlfn.XLOOKUP(D53,'Native PMKS'!$C$6:$C$366,'Native PMKS'!$C$6:$C$366,,-1)</f>
        <v>1016.6666666666667</v>
      </c>
      <c r="F53" s="6">
        <f>_xlfn.XLOOKUP(D53,'Native PMKS'!$C$6:$C$366,'Native PMKS'!$C$6:$C$366,,1)</f>
        <v>1025</v>
      </c>
      <c r="G53" s="6">
        <f>_xlfn.XLOOKUP(D53,'Native PMKS'!$C$6:$C$366,'Native PMKS'!$D$6:$D$366,,-1)</f>
        <v>-25.668500000000002</v>
      </c>
      <c r="H53" s="6">
        <f>_xlfn.XLOOKUP(D53,'Native PMKS'!$C$6:$C$366,'Native PMKS'!$D$6:$D$366,,1)</f>
        <v>-25.382000000000001</v>
      </c>
      <c r="I53" s="6">
        <f t="shared" si="15"/>
        <v>-25.491993846605972</v>
      </c>
      <c r="J53" s="6">
        <f>INDEX('Raw Data'!$F$6:$F$2882,MATCH(A53,'Raw Data'!$A$6:$A$2882,0))</f>
        <v>-0.43</v>
      </c>
      <c r="K53" s="6">
        <f t="shared" si="16"/>
        <v>-0.43</v>
      </c>
      <c r="L53" s="6">
        <f t="shared" si="17"/>
        <v>-0.4449192255214085</v>
      </c>
      <c r="M53" s="6">
        <f t="shared" si="18"/>
        <v>1.4919225521408508E-2</v>
      </c>
      <c r="N53" s="6">
        <f t="shared" si="19"/>
        <v>2.2258329015864697E-4</v>
      </c>
      <c r="O53" s="6">
        <f>_xlfn.XLOOKUP(D53,'Instructor 360'!$B$6:$B$365,'Instructor 360'!$B$6:$B$365,,-1)</f>
        <v>1019.4986072423399</v>
      </c>
      <c r="P53" s="6">
        <f>_xlfn.XLOOKUP(D53,'Instructor 360'!$B$6:$B$365,'Instructor 360'!$B$6:$B$365,,1)</f>
        <v>1027.8551532033425</v>
      </c>
      <c r="Q53" s="6">
        <f>_xlfn.XLOOKUP(D53,'Instructor 360'!$B$6:$B$365,'Instructor 360'!$F$6:$F$365,,-1)</f>
        <v>-25.571137883008358</v>
      </c>
      <c r="R53" s="6">
        <f>_xlfn.XLOOKUP(D53,'Instructor 360'!$B$6:$B$365,'Instructor 360'!$F$6:$F$365,,1)</f>
        <v>-25.283874094707528</v>
      </c>
      <c r="S53" s="6">
        <f t="shared" si="20"/>
        <v>-25.492003284958201</v>
      </c>
      <c r="T53" s="6">
        <f t="shared" si="21"/>
        <v>-0.44491939025173088</v>
      </c>
      <c r="U53" s="6">
        <f t="shared" si="22"/>
        <v>1.4919390251730891E-2</v>
      </c>
      <c r="V53" s="6"/>
      <c r="W53" s="6">
        <f t="shared" si="23"/>
        <v>2.2258820548344272E-4</v>
      </c>
      <c r="AA53">
        <f t="shared" si="24"/>
        <v>940</v>
      </c>
      <c r="AB53">
        <f t="shared" si="25"/>
        <v>-0.43</v>
      </c>
      <c r="AC53">
        <f t="shared" si="26"/>
        <v>-0.44491939025173088</v>
      </c>
    </row>
    <row r="54" spans="1:29" ht="18.95" customHeight="1">
      <c r="A54" s="4">
        <f t="shared" si="27"/>
        <v>1425</v>
      </c>
      <c r="B54" s="6">
        <f>INDEX('Raw Data'!$B$6:$B$2882,MATCH(A54,'Raw Data'!$A$6:$A$2882,0))</f>
        <v>48740</v>
      </c>
      <c r="C54" s="6">
        <f t="shared" si="14"/>
        <v>960</v>
      </c>
      <c r="D54" s="6">
        <f>MOD(C54+Summary!$B$20,Summary!$B$11)</f>
        <v>1041.8006443686454</v>
      </c>
      <c r="E54" s="6">
        <f>_xlfn.XLOOKUP(D54,'Native PMKS'!$C$6:$C$366,'Native PMKS'!$C$6:$C$366,,-1)</f>
        <v>1041.6666666666667</v>
      </c>
      <c r="F54" s="6">
        <f>_xlfn.XLOOKUP(D54,'Native PMKS'!$C$6:$C$366,'Native PMKS'!$C$6:$C$366,,1)</f>
        <v>1050</v>
      </c>
      <c r="G54" s="6">
        <f>_xlfn.XLOOKUP(D54,'Native PMKS'!$C$6:$C$366,'Native PMKS'!$D$6:$D$366,,-1)</f>
        <v>-24.809100000000001</v>
      </c>
      <c r="H54" s="6">
        <f>_xlfn.XLOOKUP(D54,'Native PMKS'!$C$6:$C$366,'Native PMKS'!$D$6:$D$366,,1)</f>
        <v>-24.522600000000001</v>
      </c>
      <c r="I54" s="6">
        <f t="shared" si="15"/>
        <v>-24.804493846605979</v>
      </c>
      <c r="J54" s="6">
        <f>INDEX('Raw Data'!$F$6:$F$2882,MATCH(A54,'Raw Data'!$A$6:$A$2882,0))</f>
        <v>-0.4</v>
      </c>
      <c r="K54" s="6">
        <f t="shared" si="16"/>
        <v>-0.4</v>
      </c>
      <c r="L54" s="6">
        <f t="shared" si="17"/>
        <v>-0.43292008691394762</v>
      </c>
      <c r="M54" s="6">
        <f t="shared" si="18"/>
        <v>3.2920086913947599E-2</v>
      </c>
      <c r="N54" s="6">
        <f t="shared" si="19"/>
        <v>1.0837321224218639E-3</v>
      </c>
      <c r="O54" s="6">
        <f>_xlfn.XLOOKUP(D54,'Instructor 360'!$B$6:$B$365,'Instructor 360'!$B$6:$B$365,,-1)</f>
        <v>1036.2116991643454</v>
      </c>
      <c r="P54" s="6">
        <f>_xlfn.XLOOKUP(D54,'Instructor 360'!$B$6:$B$365,'Instructor 360'!$B$6:$B$365,,1)</f>
        <v>1044.5682451253481</v>
      </c>
      <c r="Q54" s="6">
        <f>_xlfn.XLOOKUP(D54,'Instructor 360'!$B$6:$B$365,'Instructor 360'!$F$6:$F$365,,-1)</f>
        <v>-24.99664178272981</v>
      </c>
      <c r="R54" s="6">
        <f>_xlfn.XLOOKUP(D54,'Instructor 360'!$B$6:$B$365,'Instructor 360'!$F$6:$F$365,,1)</f>
        <v>-24.709343732590536</v>
      </c>
      <c r="S54" s="6">
        <f t="shared" si="20"/>
        <v>-24.804493846605979</v>
      </c>
      <c r="T54" s="6">
        <f t="shared" si="21"/>
        <v>-0.43292008691394762</v>
      </c>
      <c r="U54" s="6">
        <f t="shared" si="22"/>
        <v>3.2920086913947599E-2</v>
      </c>
      <c r="V54" s="6"/>
      <c r="W54" s="6">
        <f t="shared" si="23"/>
        <v>1.0837321224218639E-3</v>
      </c>
      <c r="AA54">
        <f t="shared" si="24"/>
        <v>960</v>
      </c>
      <c r="AB54">
        <f t="shared" si="25"/>
        <v>-0.4</v>
      </c>
      <c r="AC54">
        <f t="shared" si="26"/>
        <v>-0.43292008691394762</v>
      </c>
    </row>
    <row r="55" spans="1:29" ht="18.95" customHeight="1">
      <c r="A55" s="4">
        <f t="shared" si="27"/>
        <v>1426</v>
      </c>
      <c r="B55" s="6">
        <f>INDEX('Raw Data'!$B$6:$B$2882,MATCH(A55,'Raw Data'!$A$6:$A$2882,0))</f>
        <v>48760</v>
      </c>
      <c r="C55" s="6">
        <f t="shared" si="14"/>
        <v>980</v>
      </c>
      <c r="D55" s="6">
        <f>MOD(C55+Summary!$B$20,Summary!$B$11)</f>
        <v>1061.8006443686454</v>
      </c>
      <c r="E55" s="6">
        <f>_xlfn.XLOOKUP(D55,'Native PMKS'!$C$6:$C$366,'Native PMKS'!$C$6:$C$366,,-1)</f>
        <v>1058.3333333333335</v>
      </c>
      <c r="F55" s="6">
        <f>_xlfn.XLOOKUP(D55,'Native PMKS'!$C$6:$C$366,'Native PMKS'!$C$6:$C$366,,1)</f>
        <v>1066.6666666666667</v>
      </c>
      <c r="G55" s="6">
        <f>_xlfn.XLOOKUP(D55,'Native PMKS'!$C$6:$C$366,'Native PMKS'!$D$6:$D$366,,-1)</f>
        <v>-24.2361</v>
      </c>
      <c r="H55" s="6">
        <f>_xlfn.XLOOKUP(D55,'Native PMKS'!$C$6:$C$366,'Native PMKS'!$D$6:$D$366,,1)</f>
        <v>-23.892299999999999</v>
      </c>
      <c r="I55" s="6">
        <f t="shared" si="15"/>
        <v>-24.093052615927171</v>
      </c>
      <c r="J55" s="6">
        <f>INDEX('Raw Data'!$F$6:$F$2882,MATCH(A55,'Raw Data'!$A$6:$A$2882,0))</f>
        <v>-0.4</v>
      </c>
      <c r="K55" s="6">
        <f t="shared" si="16"/>
        <v>-0.4</v>
      </c>
      <c r="L55" s="6">
        <f t="shared" si="17"/>
        <v>-0.42050309500416194</v>
      </c>
      <c r="M55" s="6">
        <f t="shared" si="18"/>
        <v>2.050309500416192E-2</v>
      </c>
      <c r="N55" s="6">
        <f t="shared" si="19"/>
        <v>4.2037690474968948E-4</v>
      </c>
      <c r="O55" s="6">
        <f>_xlfn.XLOOKUP(D55,'Instructor 360'!$B$6:$B$365,'Instructor 360'!$B$6:$B$365,,-1)</f>
        <v>1061.2813370473536</v>
      </c>
      <c r="P55" s="6">
        <f>_xlfn.XLOOKUP(D55,'Instructor 360'!$B$6:$B$365,'Instructor 360'!$B$6:$B$365,,1)</f>
        <v>1069.6378830083565</v>
      </c>
      <c r="Q55" s="6">
        <f>_xlfn.XLOOKUP(D55,'Instructor 360'!$B$6:$B$365,'Instructor 360'!$F$6:$F$365,,-1)</f>
        <v>-24.114477158774385</v>
      </c>
      <c r="R55" s="6">
        <f>_xlfn.XLOOKUP(D55,'Instructor 360'!$B$6:$B$365,'Instructor 360'!$F$6:$F$365,,1)</f>
        <v>-23.790185236768803</v>
      </c>
      <c r="S55" s="6">
        <f t="shared" si="20"/>
        <v>-24.094324434177487</v>
      </c>
      <c r="T55" s="6">
        <f t="shared" si="21"/>
        <v>-0.42052529242011688</v>
      </c>
      <c r="U55" s="6">
        <f t="shared" si="22"/>
        <v>2.0525292420116859E-2</v>
      </c>
      <c r="V55" s="6"/>
      <c r="W55" s="6">
        <f t="shared" si="23"/>
        <v>4.2128762893130656E-4</v>
      </c>
      <c r="AA55">
        <f t="shared" si="24"/>
        <v>980</v>
      </c>
      <c r="AB55">
        <f t="shared" si="25"/>
        <v>-0.4</v>
      </c>
      <c r="AC55">
        <f t="shared" si="26"/>
        <v>-0.42052529242011688</v>
      </c>
    </row>
    <row r="56" spans="1:29" ht="18.95" customHeight="1">
      <c r="A56" s="4">
        <f t="shared" si="27"/>
        <v>1427</v>
      </c>
      <c r="B56" s="6">
        <f>INDEX('Raw Data'!$B$6:$B$2882,MATCH(A56,'Raw Data'!$A$6:$A$2882,0))</f>
        <v>48781</v>
      </c>
      <c r="C56" s="6">
        <f t="shared" si="14"/>
        <v>1001</v>
      </c>
      <c r="D56" s="6">
        <f>MOD(C56+Summary!$B$20,Summary!$B$11)</f>
        <v>1082.8006443686454</v>
      </c>
      <c r="E56" s="6">
        <f>_xlfn.XLOOKUP(D56,'Native PMKS'!$C$6:$C$366,'Native PMKS'!$C$6:$C$366,,-1)</f>
        <v>1075</v>
      </c>
      <c r="F56" s="6">
        <f>_xlfn.XLOOKUP(D56,'Native PMKS'!$C$6:$C$366,'Native PMKS'!$C$6:$C$366,,1)</f>
        <v>1083.3333333333335</v>
      </c>
      <c r="G56" s="6">
        <f>_xlfn.XLOOKUP(D56,'Native PMKS'!$C$6:$C$366,'Native PMKS'!$D$6:$D$366,,-1)</f>
        <v>-23.605899999999998</v>
      </c>
      <c r="H56" s="6">
        <f>_xlfn.XLOOKUP(D56,'Native PMKS'!$C$6:$C$366,'Native PMKS'!$D$6:$D$366,,1)</f>
        <v>-23.2621</v>
      </c>
      <c r="I56" s="6">
        <f t="shared" si="15"/>
        <v>-23.284076615927162</v>
      </c>
      <c r="J56" s="6">
        <f>INDEX('Raw Data'!$F$6:$F$2882,MATCH(A56,'Raw Data'!$A$6:$A$2882,0))</f>
        <v>-0.37</v>
      </c>
      <c r="K56" s="6">
        <f t="shared" si="16"/>
        <v>-0.37</v>
      </c>
      <c r="L56" s="6">
        <f t="shared" si="17"/>
        <v>-0.40638380023454812</v>
      </c>
      <c r="M56" s="6">
        <f t="shared" si="18"/>
        <v>3.6383800234548125E-2</v>
      </c>
      <c r="N56" s="6">
        <f t="shared" si="19"/>
        <v>1.3237809195075041E-3</v>
      </c>
      <c r="O56" s="6">
        <f>_xlfn.XLOOKUP(D56,'Instructor 360'!$B$6:$B$365,'Instructor 360'!$B$6:$B$365,,-1)</f>
        <v>1077.9944289693594</v>
      </c>
      <c r="P56" s="6">
        <f>_xlfn.XLOOKUP(D56,'Instructor 360'!$B$6:$B$365,'Instructor 360'!$B$6:$B$365,,1)</f>
        <v>1086.3509749303621</v>
      </c>
      <c r="Q56" s="6">
        <f>_xlfn.XLOOKUP(D56,'Instructor 360'!$B$6:$B$365,'Instructor 360'!$F$6:$F$365,,-1)</f>
        <v>-23.482361838440109</v>
      </c>
      <c r="R56" s="6">
        <f>_xlfn.XLOOKUP(D56,'Instructor 360'!$B$6:$B$365,'Instructor 360'!$F$6:$F$365,,1)</f>
        <v>-23.137604178272987</v>
      </c>
      <c r="S56" s="6">
        <f t="shared" si="20"/>
        <v>-23.284076615927169</v>
      </c>
      <c r="T56" s="6">
        <f t="shared" si="21"/>
        <v>-0.40638380023454829</v>
      </c>
      <c r="U56" s="6">
        <f t="shared" si="22"/>
        <v>3.6383800234548291E-2</v>
      </c>
      <c r="V56" s="6"/>
      <c r="W56" s="6">
        <f t="shared" si="23"/>
        <v>1.3237809195075162E-3</v>
      </c>
      <c r="AA56">
        <f t="shared" si="24"/>
        <v>1001</v>
      </c>
      <c r="AB56">
        <f t="shared" si="25"/>
        <v>-0.37</v>
      </c>
      <c r="AC56">
        <f t="shared" si="26"/>
        <v>-0.40638380023454829</v>
      </c>
    </row>
    <row r="57" spans="1:29" ht="18.95" customHeight="1">
      <c r="A57" s="4">
        <f t="shared" si="27"/>
        <v>1428</v>
      </c>
      <c r="B57" s="6">
        <f>INDEX('Raw Data'!$B$6:$B$2882,MATCH(A57,'Raw Data'!$A$6:$A$2882,0))</f>
        <v>48801</v>
      </c>
      <c r="C57" s="6">
        <f t="shared" si="14"/>
        <v>1021</v>
      </c>
      <c r="D57" s="6">
        <f>MOD(C57+Summary!$B$20,Summary!$B$11)</f>
        <v>1102.8006443686454</v>
      </c>
      <c r="E57" s="6">
        <f>_xlfn.XLOOKUP(D57,'Native PMKS'!$C$6:$C$366,'Native PMKS'!$C$6:$C$366,,-1)</f>
        <v>1100</v>
      </c>
      <c r="F57" s="6">
        <f>_xlfn.XLOOKUP(D57,'Native PMKS'!$C$6:$C$366,'Native PMKS'!$C$6:$C$366,,1)</f>
        <v>1108.3333333333335</v>
      </c>
      <c r="G57" s="6">
        <f>_xlfn.XLOOKUP(D57,'Native PMKS'!$C$6:$C$366,'Native PMKS'!$D$6:$D$366,,-1)</f>
        <v>-22.5745</v>
      </c>
      <c r="H57" s="6">
        <f>_xlfn.XLOOKUP(D57,'Native PMKS'!$C$6:$C$366,'Native PMKS'!$D$6:$D$366,,1)</f>
        <v>-22.230799999999999</v>
      </c>
      <c r="I57" s="6">
        <f t="shared" si="15"/>
        <v>-22.458990223659583</v>
      </c>
      <c r="J57" s="6">
        <f>INDEX('Raw Data'!$F$6:$F$2882,MATCH(A57,'Raw Data'!$A$6:$A$2882,0))</f>
        <v>-0.39</v>
      </c>
      <c r="K57" s="6">
        <f t="shared" si="16"/>
        <v>-0.39</v>
      </c>
      <c r="L57" s="6">
        <f t="shared" si="17"/>
        <v>-0.39198332607607739</v>
      </c>
      <c r="M57" s="6">
        <f t="shared" si="18"/>
        <v>1.9833260760773741E-3</v>
      </c>
      <c r="N57" s="6">
        <f t="shared" si="19"/>
        <v>3.9335823240484737E-6</v>
      </c>
      <c r="O57" s="6">
        <f>_xlfn.XLOOKUP(D57,'Instructor 360'!$B$6:$B$365,'Instructor 360'!$B$6:$B$365,,-1)</f>
        <v>1094.707520891365</v>
      </c>
      <c r="P57" s="6">
        <f>_xlfn.XLOOKUP(D57,'Instructor 360'!$B$6:$B$365,'Instructor 360'!$B$6:$B$365,,1)</f>
        <v>1103.0640668523677</v>
      </c>
      <c r="Q57" s="6">
        <f>_xlfn.XLOOKUP(D57,'Instructor 360'!$B$6:$B$365,'Instructor 360'!$F$6:$F$365,,-1)</f>
        <v>-22.792846518105847</v>
      </c>
      <c r="R57" s="6">
        <f>_xlfn.XLOOKUP(D57,'Instructor 360'!$B$6:$B$365,'Instructor 360'!$F$6:$F$365,,1)</f>
        <v>-22.44812562674095</v>
      </c>
      <c r="S57" s="6">
        <f t="shared" si="20"/>
        <v>-22.458992225670464</v>
      </c>
      <c r="T57" s="6">
        <f t="shared" si="21"/>
        <v>-0.39198336101775894</v>
      </c>
      <c r="U57" s="6">
        <f t="shared" si="22"/>
        <v>1.9833610177589223E-3</v>
      </c>
      <c r="V57" s="6"/>
      <c r="W57" s="6">
        <f t="shared" si="23"/>
        <v>3.9337209267657076E-6</v>
      </c>
      <c r="AA57">
        <f t="shared" si="24"/>
        <v>1021</v>
      </c>
      <c r="AB57">
        <f t="shared" si="25"/>
        <v>-0.39</v>
      </c>
      <c r="AC57">
        <f t="shared" si="26"/>
        <v>-0.39198336101775894</v>
      </c>
    </row>
    <row r="58" spans="1:29" ht="18.95" customHeight="1">
      <c r="A58" s="4">
        <f t="shared" si="27"/>
        <v>1429</v>
      </c>
      <c r="B58" s="6">
        <f>INDEX('Raw Data'!$B$6:$B$2882,MATCH(A58,'Raw Data'!$A$6:$A$2882,0))</f>
        <v>48821</v>
      </c>
      <c r="C58" s="6">
        <f t="shared" si="14"/>
        <v>1041</v>
      </c>
      <c r="D58" s="6">
        <f>MOD(C58+Summary!$B$20,Summary!$B$11)</f>
        <v>1122.8006443686454</v>
      </c>
      <c r="E58" s="6">
        <f>_xlfn.XLOOKUP(D58,'Native PMKS'!$C$6:$C$366,'Native PMKS'!$C$6:$C$366,,-1)</f>
        <v>1116.6666666666667</v>
      </c>
      <c r="F58" s="6">
        <f>_xlfn.XLOOKUP(D58,'Native PMKS'!$C$6:$C$366,'Native PMKS'!$C$6:$C$366,,1)</f>
        <v>1125</v>
      </c>
      <c r="G58" s="6">
        <f>_xlfn.XLOOKUP(D58,'Native PMKS'!$C$6:$C$366,'Native PMKS'!$D$6:$D$366,,-1)</f>
        <v>-21.887</v>
      </c>
      <c r="H58" s="6">
        <f>_xlfn.XLOOKUP(D58,'Native PMKS'!$C$6:$C$366,'Native PMKS'!$D$6:$D$366,,1)</f>
        <v>-21.543199999999999</v>
      </c>
      <c r="I58" s="6">
        <f t="shared" si="15"/>
        <v>-21.633936615927169</v>
      </c>
      <c r="J58" s="6">
        <f>INDEX('Raw Data'!$F$6:$F$2882,MATCH(A58,'Raw Data'!$A$6:$A$2882,0))</f>
        <v>-0.37</v>
      </c>
      <c r="K58" s="6">
        <f t="shared" si="16"/>
        <v>-0.37</v>
      </c>
      <c r="L58" s="6">
        <f t="shared" si="17"/>
        <v>-0.37758342411568901</v>
      </c>
      <c r="M58" s="6">
        <f t="shared" si="18"/>
        <v>7.5834241156890192E-3</v>
      </c>
      <c r="N58" s="6">
        <f t="shared" si="19"/>
        <v>5.7508321318413783E-5</v>
      </c>
      <c r="O58" s="6">
        <f>_xlfn.XLOOKUP(D58,'Instructor 360'!$B$6:$B$365,'Instructor 360'!$B$6:$B$365,,-1)</f>
        <v>1119.7771587743732</v>
      </c>
      <c r="P58" s="6">
        <f>_xlfn.XLOOKUP(D58,'Instructor 360'!$B$6:$B$365,'Instructor 360'!$B$6:$B$365,,1)</f>
        <v>1128.1337047353761</v>
      </c>
      <c r="Q58" s="6">
        <f>_xlfn.XLOOKUP(D58,'Instructor 360'!$B$6:$B$365,'Instructor 360'!$F$6:$F$365,,-1)</f>
        <v>-21.758673537604459</v>
      </c>
      <c r="R58" s="6">
        <f>_xlfn.XLOOKUP(D58,'Instructor 360'!$B$6:$B$365,'Instructor 360'!$F$6:$F$365,,1)</f>
        <v>-21.392368523676879</v>
      </c>
      <c r="S58" s="6">
        <f t="shared" si="20"/>
        <v>-21.626140558322327</v>
      </c>
      <c r="T58" s="6">
        <f t="shared" si="21"/>
        <v>-0.37744735724180939</v>
      </c>
      <c r="U58" s="6">
        <f t="shared" si="22"/>
        <v>7.4473572418093936E-3</v>
      </c>
      <c r="V58" s="6"/>
      <c r="W58" s="6">
        <f t="shared" si="23"/>
        <v>5.5463129887130816E-5</v>
      </c>
      <c r="AA58">
        <f t="shared" si="24"/>
        <v>1041</v>
      </c>
      <c r="AB58">
        <f t="shared" si="25"/>
        <v>-0.37</v>
      </c>
      <c r="AC58">
        <f t="shared" si="26"/>
        <v>-0.37744735724180939</v>
      </c>
    </row>
    <row r="59" spans="1:29" ht="18.95" customHeight="1">
      <c r="A59" s="4">
        <f t="shared" si="27"/>
        <v>1430</v>
      </c>
      <c r="B59" s="6">
        <f>INDEX('Raw Data'!$B$6:$B$2882,MATCH(A59,'Raw Data'!$A$6:$A$2882,0))</f>
        <v>48841</v>
      </c>
      <c r="C59" s="6">
        <f t="shared" si="14"/>
        <v>1061</v>
      </c>
      <c r="D59" s="6">
        <f>MOD(C59+Summary!$B$20,Summary!$B$11)</f>
        <v>1142.8006443686454</v>
      </c>
      <c r="E59" s="6">
        <f>_xlfn.XLOOKUP(D59,'Native PMKS'!$C$6:$C$366,'Native PMKS'!$C$6:$C$366,,-1)</f>
        <v>1141.6666666666667</v>
      </c>
      <c r="F59" s="6">
        <f>_xlfn.XLOOKUP(D59,'Native PMKS'!$C$6:$C$366,'Native PMKS'!$C$6:$C$366,,1)</f>
        <v>1150</v>
      </c>
      <c r="G59" s="6">
        <f>_xlfn.XLOOKUP(D59,'Native PMKS'!$C$6:$C$366,'Native PMKS'!$D$6:$D$366,,-1)</f>
        <v>-20.798400000000001</v>
      </c>
      <c r="H59" s="6">
        <f>_xlfn.XLOOKUP(D59,'Native PMKS'!$C$6:$C$366,'Native PMKS'!$D$6:$D$366,,1)</f>
        <v>-20.397300000000001</v>
      </c>
      <c r="I59" s="6">
        <f t="shared" si="15"/>
        <v>-20.743819385248365</v>
      </c>
      <c r="J59" s="6">
        <f>INDEX('Raw Data'!$F$6:$F$2882,MATCH(A59,'Raw Data'!$A$6:$A$2882,0))</f>
        <v>-0.36</v>
      </c>
      <c r="K59" s="6">
        <f t="shared" si="16"/>
        <v>-0.36</v>
      </c>
      <c r="L59" s="6">
        <f t="shared" si="17"/>
        <v>-0.36204794771160997</v>
      </c>
      <c r="M59" s="6">
        <f t="shared" si="18"/>
        <v>2.0479477116099876E-3</v>
      </c>
      <c r="N59" s="6">
        <f t="shared" si="19"/>
        <v>4.1940898294885852E-6</v>
      </c>
      <c r="O59" s="6">
        <f>_xlfn.XLOOKUP(D59,'Instructor 360'!$B$6:$B$365,'Instructor 360'!$B$6:$B$365,,-1)</f>
        <v>1136.4902506963788</v>
      </c>
      <c r="P59" s="6">
        <f>_xlfn.XLOOKUP(D59,'Instructor 360'!$B$6:$B$365,'Instructor 360'!$B$6:$B$365,,1)</f>
        <v>1144.8467966573817</v>
      </c>
      <c r="Q59" s="6">
        <f>_xlfn.XLOOKUP(D59,'Instructor 360'!$B$6:$B$365,'Instructor 360'!$F$6:$F$365,,-1)</f>
        <v>-21.011896100278559</v>
      </c>
      <c r="R59" s="6">
        <f>_xlfn.XLOOKUP(D59,'Instructor 360'!$B$6:$B$365,'Instructor 360'!$F$6:$F$365,,1)</f>
        <v>-20.645333983286907</v>
      </c>
      <c r="S59" s="6">
        <f t="shared" si="20"/>
        <v>-20.735088999072936</v>
      </c>
      <c r="T59" s="6">
        <f t="shared" si="21"/>
        <v>-0.36189557372787817</v>
      </c>
      <c r="U59" s="6">
        <f t="shared" si="22"/>
        <v>1.8955737278781859E-3</v>
      </c>
      <c r="V59" s="6"/>
      <c r="W59" s="6">
        <f t="shared" si="23"/>
        <v>3.5931997578220027E-6</v>
      </c>
      <c r="AA59">
        <f t="shared" si="24"/>
        <v>1061</v>
      </c>
      <c r="AB59">
        <f t="shared" si="25"/>
        <v>-0.36</v>
      </c>
      <c r="AC59">
        <f t="shared" si="26"/>
        <v>-0.36189557372787817</v>
      </c>
    </row>
    <row r="60" spans="1:29" ht="18.95" customHeight="1">
      <c r="A60" s="4">
        <f t="shared" si="27"/>
        <v>1431</v>
      </c>
      <c r="B60" s="6">
        <f>INDEX('Raw Data'!$B$6:$B$2882,MATCH(A60,'Raw Data'!$A$6:$A$2882,0))</f>
        <v>48861</v>
      </c>
      <c r="C60" s="6">
        <f t="shared" si="14"/>
        <v>1081</v>
      </c>
      <c r="D60" s="6">
        <f>MOD(C60+Summary!$B$20,Summary!$B$11)</f>
        <v>1162.8006443686454</v>
      </c>
      <c r="E60" s="6">
        <f>_xlfn.XLOOKUP(D60,'Native PMKS'!$C$6:$C$366,'Native PMKS'!$C$6:$C$366,,-1)</f>
        <v>1158.3333333333335</v>
      </c>
      <c r="F60" s="6">
        <f>_xlfn.XLOOKUP(D60,'Native PMKS'!$C$6:$C$366,'Native PMKS'!$C$6:$C$366,,1)</f>
        <v>1166.6666666666667</v>
      </c>
      <c r="G60" s="6">
        <f>_xlfn.XLOOKUP(D60,'Native PMKS'!$C$6:$C$366,'Native PMKS'!$D$6:$D$366,,-1)</f>
        <v>-19.996200000000002</v>
      </c>
      <c r="H60" s="6">
        <f>_xlfn.XLOOKUP(D60,'Native PMKS'!$C$6:$C$366,'Native PMKS'!$D$6:$D$366,,1)</f>
        <v>-19.6525</v>
      </c>
      <c r="I60" s="6">
        <f t="shared" si="15"/>
        <v>-19.811950223659601</v>
      </c>
      <c r="J60" s="6">
        <f>INDEX('Raw Data'!$F$6:$F$2882,MATCH(A60,'Raw Data'!$A$6:$A$2882,0))</f>
        <v>-0.32</v>
      </c>
      <c r="K60" s="6">
        <f t="shared" si="16"/>
        <v>-0.32</v>
      </c>
      <c r="L60" s="6">
        <f t="shared" si="17"/>
        <v>-0.345783762644087</v>
      </c>
      <c r="M60" s="6">
        <f t="shared" si="18"/>
        <v>2.5783762644086994E-2</v>
      </c>
      <c r="N60" s="6">
        <f t="shared" si="19"/>
        <v>6.6480241608661594E-4</v>
      </c>
      <c r="O60" s="6">
        <f>_xlfn.XLOOKUP(D60,'Instructor 360'!$B$6:$B$365,'Instructor 360'!$B$6:$B$365,,-1)</f>
        <v>1161.5598885793872</v>
      </c>
      <c r="P60" s="6">
        <f>_xlfn.XLOOKUP(D60,'Instructor 360'!$B$6:$B$365,'Instructor 360'!$B$6:$B$365,,1)</f>
        <v>1169.9164345403899</v>
      </c>
      <c r="Q60" s="6">
        <f>_xlfn.XLOOKUP(D60,'Instructor 360'!$B$6:$B$365,'Instructor 360'!$F$6:$F$365,,-1)</f>
        <v>-19.86312395543176</v>
      </c>
      <c r="R60" s="6">
        <f>_xlfn.XLOOKUP(D60,'Instructor 360'!$B$6:$B$365,'Instructor 360'!$F$6:$F$365,,1)</f>
        <v>-19.496082172701957</v>
      </c>
      <c r="S60" s="6">
        <f t="shared" si="20"/>
        <v>-19.808626652485437</v>
      </c>
      <c r="T60" s="6">
        <f t="shared" si="21"/>
        <v>-0.34572575538417344</v>
      </c>
      <c r="U60" s="6">
        <f t="shared" si="22"/>
        <v>2.5725755384173432E-2</v>
      </c>
      <c r="V60" s="6"/>
      <c r="W60" s="6">
        <f t="shared" si="23"/>
        <v>6.6181449008632833E-4</v>
      </c>
      <c r="AA60">
        <f t="shared" si="24"/>
        <v>1081</v>
      </c>
      <c r="AB60">
        <f t="shared" si="25"/>
        <v>-0.32</v>
      </c>
      <c r="AC60">
        <f t="shared" si="26"/>
        <v>-0.34572575538417344</v>
      </c>
    </row>
    <row r="61" spans="1:29" ht="18.95" customHeight="1">
      <c r="A61" s="4">
        <f t="shared" si="27"/>
        <v>1432</v>
      </c>
      <c r="B61" s="6">
        <f>INDEX('Raw Data'!$B$6:$B$2882,MATCH(A61,'Raw Data'!$A$6:$A$2882,0))</f>
        <v>48881</v>
      </c>
      <c r="C61" s="6">
        <f t="shared" si="14"/>
        <v>1101</v>
      </c>
      <c r="D61" s="6">
        <f>MOD(C61+Summary!$B$20,Summary!$B$11)</f>
        <v>1182.8006443686454</v>
      </c>
      <c r="E61" s="6">
        <f>_xlfn.XLOOKUP(D61,'Native PMKS'!$C$6:$C$366,'Native PMKS'!$C$6:$C$366,,-1)</f>
        <v>1175</v>
      </c>
      <c r="F61" s="6">
        <f>_xlfn.XLOOKUP(D61,'Native PMKS'!$C$6:$C$366,'Native PMKS'!$C$6:$C$366,,1)</f>
        <v>1183.3333333333335</v>
      </c>
      <c r="G61" s="6">
        <f>_xlfn.XLOOKUP(D61,'Native PMKS'!$C$6:$C$366,'Native PMKS'!$D$6:$D$366,,-1)</f>
        <v>-19.2514</v>
      </c>
      <c r="H61" s="6">
        <f>_xlfn.XLOOKUP(D61,'Native PMKS'!$C$6:$C$366,'Native PMKS'!$D$6:$D$366,,1)</f>
        <v>-18.792999999999999</v>
      </c>
      <c r="I61" s="6">
        <f t="shared" si="15"/>
        <v>-18.822302154569556</v>
      </c>
      <c r="J61" s="6">
        <f>INDEX('Raw Data'!$F$6:$F$2882,MATCH(A61,'Raw Data'!$A$6:$A$2882,0))</f>
        <v>-0.32</v>
      </c>
      <c r="K61" s="6">
        <f t="shared" si="16"/>
        <v>-0.32</v>
      </c>
      <c r="L61" s="6">
        <f t="shared" si="17"/>
        <v>-0.3285111454024614</v>
      </c>
      <c r="M61" s="6">
        <f t="shared" si="18"/>
        <v>8.5111454024613953E-3</v>
      </c>
      <c r="N61" s="6">
        <f t="shared" si="19"/>
        <v>7.243959606183974E-5</v>
      </c>
      <c r="O61" s="6">
        <f>_xlfn.XLOOKUP(D61,'Instructor 360'!$B$6:$B$365,'Instructor 360'!$B$6:$B$365,,-1)</f>
        <v>1178.2729805013928</v>
      </c>
      <c r="P61" s="6">
        <f>_xlfn.XLOOKUP(D61,'Instructor 360'!$B$6:$B$365,'Instructor 360'!$B$6:$B$365,,1)</f>
        <v>1186.6295264623955</v>
      </c>
      <c r="Q61" s="6">
        <f>_xlfn.XLOOKUP(D61,'Instructor 360'!$B$6:$B$365,'Instructor 360'!$F$6:$F$365,,-1)</f>
        <v>-19.071359888579387</v>
      </c>
      <c r="R61" s="6">
        <f>_xlfn.XLOOKUP(D61,'Instructor 360'!$B$6:$B$365,'Instructor 360'!$F$6:$F$365,,1)</f>
        <v>-18.634347632311986</v>
      </c>
      <c r="S61" s="6">
        <f t="shared" si="20"/>
        <v>-18.834582084510316</v>
      </c>
      <c r="T61" s="6">
        <f t="shared" si="21"/>
        <v>-0.32872547061184193</v>
      </c>
      <c r="U61" s="6">
        <f t="shared" si="22"/>
        <v>8.7254706118419234E-3</v>
      </c>
      <c r="V61" s="6"/>
      <c r="W61" s="6">
        <f t="shared" si="23"/>
        <v>7.6133837398117073E-5</v>
      </c>
      <c r="AA61">
        <f t="shared" si="24"/>
        <v>1101</v>
      </c>
      <c r="AB61">
        <f t="shared" si="25"/>
        <v>-0.32</v>
      </c>
      <c r="AC61">
        <f t="shared" si="26"/>
        <v>-0.32872547061184193</v>
      </c>
    </row>
    <row r="62" spans="1:29" ht="18.95" customHeight="1">
      <c r="A62" s="4">
        <f t="shared" si="27"/>
        <v>1433</v>
      </c>
      <c r="B62" s="6">
        <f>INDEX('Raw Data'!$B$6:$B$2882,MATCH(A62,'Raw Data'!$A$6:$A$2882,0))</f>
        <v>48901</v>
      </c>
      <c r="C62" s="6">
        <f t="shared" si="14"/>
        <v>1121</v>
      </c>
      <c r="D62" s="6">
        <f>MOD(C62+Summary!$B$20,Summary!$B$11)</f>
        <v>1202.8006443686454</v>
      </c>
      <c r="E62" s="6">
        <f>_xlfn.XLOOKUP(D62,'Native PMKS'!$C$6:$C$366,'Native PMKS'!$C$6:$C$366,,-1)</f>
        <v>1200</v>
      </c>
      <c r="F62" s="6">
        <f>_xlfn.XLOOKUP(D62,'Native PMKS'!$C$6:$C$366,'Native PMKS'!$C$6:$C$366,,1)</f>
        <v>1208.3333333333335</v>
      </c>
      <c r="G62" s="6">
        <f>_xlfn.XLOOKUP(D62,'Native PMKS'!$C$6:$C$366,'Native PMKS'!$D$6:$D$366,,-1)</f>
        <v>-17.9909</v>
      </c>
      <c r="H62" s="6">
        <f>_xlfn.XLOOKUP(D62,'Native PMKS'!$C$6:$C$366,'Native PMKS'!$D$6:$D$366,,1)</f>
        <v>-17.5898</v>
      </c>
      <c r="I62" s="6">
        <f t="shared" si="15"/>
        <v>-17.856099385248356</v>
      </c>
      <c r="J62" s="6">
        <f>INDEX('Raw Data'!$F$6:$F$2882,MATCH(A62,'Raw Data'!$A$6:$A$2882,0))</f>
        <v>-0.3</v>
      </c>
      <c r="K62" s="6">
        <f t="shared" si="16"/>
        <v>-0.3</v>
      </c>
      <c r="L62" s="6">
        <f t="shared" si="17"/>
        <v>-0.31164772583591921</v>
      </c>
      <c r="M62" s="6">
        <f t="shared" si="18"/>
        <v>1.164772583591922E-2</v>
      </c>
      <c r="N62" s="6">
        <f t="shared" si="19"/>
        <v>1.3566951714874011E-4</v>
      </c>
      <c r="O62" s="6">
        <f>_xlfn.XLOOKUP(D62,'Instructor 360'!$B$6:$B$365,'Instructor 360'!$B$6:$B$365,,-1)</f>
        <v>1194.9860724233984</v>
      </c>
      <c r="P62" s="6">
        <f>_xlfn.XLOOKUP(D62,'Instructor 360'!$B$6:$B$365,'Instructor 360'!$B$6:$B$365,,1)</f>
        <v>1203.342618384401</v>
      </c>
      <c r="Q62" s="6">
        <f>_xlfn.XLOOKUP(D62,'Instructor 360'!$B$6:$B$365,'Instructor 360'!$F$6:$F$365,,-1)</f>
        <v>-18.232170194986072</v>
      </c>
      <c r="R62" s="6">
        <f>_xlfn.XLOOKUP(D62,'Instructor 360'!$B$6:$B$365,'Instructor 360'!$F$6:$F$365,,1)</f>
        <v>-17.830013091922012</v>
      </c>
      <c r="S62" s="6">
        <f t="shared" si="20"/>
        <v>-17.856095483035446</v>
      </c>
      <c r="T62" s="6">
        <f t="shared" si="21"/>
        <v>-0.3116476577294558</v>
      </c>
      <c r="U62" s="6">
        <f t="shared" si="22"/>
        <v>1.1647657729455807E-2</v>
      </c>
      <c r="V62" s="6"/>
      <c r="W62" s="6">
        <f t="shared" si="23"/>
        <v>1.356679305825516E-4</v>
      </c>
      <c r="AA62">
        <f t="shared" si="24"/>
        <v>1121</v>
      </c>
      <c r="AB62">
        <f t="shared" si="25"/>
        <v>-0.3</v>
      </c>
      <c r="AC62">
        <f t="shared" si="26"/>
        <v>-0.3116476577294558</v>
      </c>
    </row>
    <row r="63" spans="1:29" ht="18.95" customHeight="1">
      <c r="A63" s="4">
        <f t="shared" si="27"/>
        <v>1434</v>
      </c>
      <c r="B63" s="6">
        <f>INDEX('Raw Data'!$B$6:$B$2882,MATCH(A63,'Raw Data'!$A$6:$A$2882,0))</f>
        <v>48921</v>
      </c>
      <c r="C63" s="6">
        <f t="shared" si="14"/>
        <v>1141</v>
      </c>
      <c r="D63" s="6">
        <f>MOD(C63+Summary!$B$20,Summary!$B$11)</f>
        <v>1222.8006443686454</v>
      </c>
      <c r="E63" s="6">
        <f>_xlfn.XLOOKUP(D63,'Native PMKS'!$C$6:$C$366,'Native PMKS'!$C$6:$C$366,,-1)</f>
        <v>1216.6666666666667</v>
      </c>
      <c r="F63" s="6">
        <f>_xlfn.XLOOKUP(D63,'Native PMKS'!$C$6:$C$366,'Native PMKS'!$C$6:$C$366,,1)</f>
        <v>1225</v>
      </c>
      <c r="G63" s="6">
        <f>_xlfn.XLOOKUP(D63,'Native PMKS'!$C$6:$C$366,'Native PMKS'!$D$6:$D$366,,-1)</f>
        <v>-17.131399999999999</v>
      </c>
      <c r="H63" s="6">
        <f>_xlfn.XLOOKUP(D63,'Native PMKS'!$C$6:$C$366,'Native PMKS'!$D$6:$D$366,,1)</f>
        <v>-16.673100000000002</v>
      </c>
      <c r="I63" s="6">
        <f t="shared" si="15"/>
        <v>-16.794055762301994</v>
      </c>
      <c r="J63" s="6">
        <f>INDEX('Raw Data'!$F$6:$F$2882,MATCH(A63,'Raw Data'!$A$6:$A$2882,0))</f>
        <v>-0.28999999999999998</v>
      </c>
      <c r="K63" s="6">
        <f t="shared" si="16"/>
        <v>-0.28999999999999998</v>
      </c>
      <c r="L63" s="6">
        <f t="shared" si="17"/>
        <v>-0.29311156781569603</v>
      </c>
      <c r="M63" s="6">
        <f t="shared" si="18"/>
        <v>3.111567815696048E-3</v>
      </c>
      <c r="N63" s="6">
        <f t="shared" si="19"/>
        <v>9.681854271675476E-6</v>
      </c>
      <c r="O63" s="6">
        <f>_xlfn.XLOOKUP(D63,'Instructor 360'!$B$6:$B$365,'Instructor 360'!$B$6:$B$365,,-1)</f>
        <v>1220.0557103064066</v>
      </c>
      <c r="P63" s="6">
        <f>_xlfn.XLOOKUP(D63,'Instructor 360'!$B$6:$B$365,'Instructor 360'!$B$6:$B$365,,1)</f>
        <v>1228.4122562674095</v>
      </c>
      <c r="Q63" s="6">
        <f>_xlfn.XLOOKUP(D63,'Instructor 360'!$B$6:$B$365,'Instructor 360'!$F$6:$F$365,,-1)</f>
        <v>-16.945016155988867</v>
      </c>
      <c r="R63" s="6">
        <f>_xlfn.XLOOKUP(D63,'Instructor 360'!$B$6:$B$365,'Instructor 360'!$F$6:$F$365,,1)</f>
        <v>-16.508861281337051</v>
      </c>
      <c r="S63" s="6">
        <f t="shared" si="20"/>
        <v>-16.801749263491608</v>
      </c>
      <c r="T63" s="6">
        <f t="shared" si="21"/>
        <v>-0.29324584474246085</v>
      </c>
      <c r="U63" s="6">
        <f t="shared" si="22"/>
        <v>3.2458447424608683E-3</v>
      </c>
      <c r="V63" s="6"/>
      <c r="W63" s="6">
        <f t="shared" si="23"/>
        <v>1.053550809216086E-5</v>
      </c>
      <c r="AA63">
        <f t="shared" si="24"/>
        <v>1141</v>
      </c>
      <c r="AB63">
        <f t="shared" si="25"/>
        <v>-0.28999999999999998</v>
      </c>
      <c r="AC63">
        <f t="shared" si="26"/>
        <v>-0.29324584474246085</v>
      </c>
    </row>
    <row r="64" spans="1:29" ht="18.95" customHeight="1">
      <c r="A64" s="4">
        <f t="shared" si="27"/>
        <v>1435</v>
      </c>
      <c r="B64" s="6">
        <f>INDEX('Raw Data'!$B$6:$B$2882,MATCH(A64,'Raw Data'!$A$6:$A$2882,0))</f>
        <v>48941</v>
      </c>
      <c r="C64" s="6">
        <f t="shared" si="14"/>
        <v>1161</v>
      </c>
      <c r="D64" s="6">
        <f>MOD(C64+Summary!$B$20,Summary!$B$11)</f>
        <v>1242.8006443686454</v>
      </c>
      <c r="E64" s="6">
        <f>_xlfn.XLOOKUP(D64,'Native PMKS'!$C$6:$C$366,'Native PMKS'!$C$6:$C$366,,-1)</f>
        <v>1241.6666666666667</v>
      </c>
      <c r="F64" s="6">
        <f>_xlfn.XLOOKUP(D64,'Native PMKS'!$C$6:$C$366,'Native PMKS'!$C$6:$C$366,,1)</f>
        <v>1250</v>
      </c>
      <c r="G64" s="6">
        <f>_xlfn.XLOOKUP(D64,'Native PMKS'!$C$6:$C$366,'Native PMKS'!$D$6:$D$366,,-1)</f>
        <v>-15.813599999999999</v>
      </c>
      <c r="H64" s="6">
        <f>_xlfn.XLOOKUP(D64,'Native PMKS'!$C$6:$C$366,'Native PMKS'!$D$6:$D$366,,1)</f>
        <v>-15.3553</v>
      </c>
      <c r="I64" s="6">
        <f t="shared" si="15"/>
        <v>-15.751235762301988</v>
      </c>
      <c r="J64" s="6">
        <f>INDEX('Raw Data'!$F$6:$F$2882,MATCH(A64,'Raw Data'!$A$6:$A$2882,0))</f>
        <v>-0.26</v>
      </c>
      <c r="K64" s="6">
        <f t="shared" si="16"/>
        <v>-0.26</v>
      </c>
      <c r="L64" s="6">
        <f t="shared" si="17"/>
        <v>-0.27491092531004863</v>
      </c>
      <c r="M64" s="6">
        <f t="shared" si="18"/>
        <v>1.4910925310048617E-2</v>
      </c>
      <c r="N64" s="6">
        <f t="shared" si="19"/>
        <v>2.2233569360184845E-4</v>
      </c>
      <c r="O64" s="6">
        <f>_xlfn.XLOOKUP(D64,'Instructor 360'!$B$6:$B$365,'Instructor 360'!$B$6:$B$365,,-1)</f>
        <v>1236.7688022284121</v>
      </c>
      <c r="P64" s="6">
        <f>_xlfn.XLOOKUP(D64,'Instructor 360'!$B$6:$B$365,'Instructor 360'!$B$6:$B$365,,1)</f>
        <v>1245.125348189415</v>
      </c>
      <c r="Q64" s="6">
        <f>_xlfn.XLOOKUP(D64,'Instructor 360'!$B$6:$B$365,'Instructor 360'!$F$6:$F$365,,-1)</f>
        <v>-16.08302172701951</v>
      </c>
      <c r="R64" s="6">
        <f>_xlfn.XLOOKUP(D64,'Instructor 360'!$B$6:$B$365,'Instructor 360'!$F$6:$F$365,,1)</f>
        <v>-15.623386350974933</v>
      </c>
      <c r="S64" s="6">
        <f t="shared" si="20"/>
        <v>-15.751252112718859</v>
      </c>
      <c r="T64" s="6">
        <f t="shared" si="21"/>
        <v>-0.27491121067865709</v>
      </c>
      <c r="U64" s="6">
        <f t="shared" si="22"/>
        <v>1.4911210678657083E-2</v>
      </c>
      <c r="V64" s="6"/>
      <c r="W64" s="6">
        <f t="shared" si="23"/>
        <v>2.2234420390329702E-4</v>
      </c>
      <c r="AA64">
        <f t="shared" si="24"/>
        <v>1161</v>
      </c>
      <c r="AB64">
        <f t="shared" si="25"/>
        <v>-0.26</v>
      </c>
      <c r="AC64">
        <f t="shared" si="26"/>
        <v>-0.27491121067865709</v>
      </c>
    </row>
    <row r="65" spans="1:29" ht="18.95" customHeight="1">
      <c r="A65" s="4">
        <f t="shared" si="27"/>
        <v>1436</v>
      </c>
      <c r="B65" s="6">
        <f>INDEX('Raw Data'!$B$6:$B$2882,MATCH(A65,'Raw Data'!$A$6:$A$2882,0))</f>
        <v>48961</v>
      </c>
      <c r="C65" s="6">
        <f t="shared" si="14"/>
        <v>1181</v>
      </c>
      <c r="D65" s="6">
        <f>MOD(C65+Summary!$B$20,Summary!$B$11)</f>
        <v>1262.8006443686454</v>
      </c>
      <c r="E65" s="6">
        <f>_xlfn.XLOOKUP(D65,'Native PMKS'!$C$6:$C$366,'Native PMKS'!$C$6:$C$366,,-1)</f>
        <v>1258.3333333333335</v>
      </c>
      <c r="F65" s="6">
        <f>_xlfn.XLOOKUP(D65,'Native PMKS'!$C$6:$C$366,'Native PMKS'!$C$6:$C$366,,1)</f>
        <v>1266.6666666666667</v>
      </c>
      <c r="G65" s="6">
        <f>_xlfn.XLOOKUP(D65,'Native PMKS'!$C$6:$C$366,'Native PMKS'!$D$6:$D$366,,-1)</f>
        <v>-14.8969</v>
      </c>
      <c r="H65" s="6">
        <f>_xlfn.XLOOKUP(D65,'Native PMKS'!$C$6:$C$366,'Native PMKS'!$D$6:$D$366,,1)</f>
        <v>-14.438499999999999</v>
      </c>
      <c r="I65" s="6">
        <f t="shared" si="15"/>
        <v>-14.651162154569548</v>
      </c>
      <c r="J65" s="6">
        <f>INDEX('Raw Data'!$F$6:$F$2882,MATCH(A65,'Raw Data'!$A$6:$A$2882,0))</f>
        <v>-0.25</v>
      </c>
      <c r="K65" s="6">
        <f t="shared" si="16"/>
        <v>-0.25</v>
      </c>
      <c r="L65" s="6">
        <f t="shared" si="17"/>
        <v>-0.25571101884082498</v>
      </c>
      <c r="M65" s="6">
        <f t="shared" si="18"/>
        <v>5.7110188408249773E-3</v>
      </c>
      <c r="N65" s="6">
        <f t="shared" si="19"/>
        <v>3.2615736200257866E-5</v>
      </c>
      <c r="O65" s="6">
        <f>_xlfn.XLOOKUP(D65,'Instructor 360'!$B$6:$B$365,'Instructor 360'!$B$6:$B$365,,-1)</f>
        <v>1261.8384401114206</v>
      </c>
      <c r="P65" s="6">
        <f>_xlfn.XLOOKUP(D65,'Instructor 360'!$B$6:$B$365,'Instructor 360'!$B$6:$B$365,,1)</f>
        <v>1270.1949860724235</v>
      </c>
      <c r="Q65" s="6">
        <f>_xlfn.XLOOKUP(D65,'Instructor 360'!$B$6:$B$365,'Instructor 360'!$F$6:$F$365,,-1)</f>
        <v>-14.704091086350983</v>
      </c>
      <c r="R65" s="6">
        <f>_xlfn.XLOOKUP(D65,'Instructor 360'!$B$6:$B$365,'Instructor 360'!$F$6:$F$365,,1)</f>
        <v>-14.220195821727016</v>
      </c>
      <c r="S65" s="6">
        <f t="shared" si="20"/>
        <v>-14.648373558338221</v>
      </c>
      <c r="T65" s="6">
        <f t="shared" si="21"/>
        <v>-0.25566234865507964</v>
      </c>
      <c r="U65" s="6">
        <f t="shared" si="22"/>
        <v>5.6623486550796409E-3</v>
      </c>
      <c r="V65" s="6"/>
      <c r="W65" s="6">
        <f t="shared" si="23"/>
        <v>3.2062192291682217E-5</v>
      </c>
      <c r="AA65">
        <f t="shared" si="24"/>
        <v>1181</v>
      </c>
      <c r="AB65">
        <f t="shared" si="25"/>
        <v>-0.25</v>
      </c>
      <c r="AC65">
        <f t="shared" si="26"/>
        <v>-0.25566234865507964</v>
      </c>
    </row>
    <row r="66" spans="1:29" ht="18.95" customHeight="1">
      <c r="A66" s="4">
        <f t="shared" si="27"/>
        <v>1437</v>
      </c>
      <c r="B66" s="6">
        <f>INDEX('Raw Data'!$B$6:$B$2882,MATCH(A66,'Raw Data'!$A$6:$A$2882,0))</f>
        <v>48982</v>
      </c>
      <c r="C66" s="6">
        <f t="shared" si="14"/>
        <v>1202</v>
      </c>
      <c r="D66" s="6">
        <f>MOD(C66+Summary!$B$20,Summary!$B$11)</f>
        <v>1283.8006443686454</v>
      </c>
      <c r="E66" s="6">
        <f>_xlfn.XLOOKUP(D66,'Native PMKS'!$C$6:$C$366,'Native PMKS'!$C$6:$C$366,,-1)</f>
        <v>1283.3333333333335</v>
      </c>
      <c r="F66" s="6">
        <f>_xlfn.XLOOKUP(D66,'Native PMKS'!$C$6:$C$366,'Native PMKS'!$C$6:$C$366,,1)</f>
        <v>1291.6666666666667</v>
      </c>
      <c r="G66" s="6">
        <f>_xlfn.XLOOKUP(D66,'Native PMKS'!$C$6:$C$366,'Native PMKS'!$D$6:$D$366,,-1)</f>
        <v>-13.464499999999999</v>
      </c>
      <c r="H66" s="6">
        <f>_xlfn.XLOOKUP(D66,'Native PMKS'!$C$6:$C$366,'Native PMKS'!$D$6:$D$366,,1)</f>
        <v>-13.0061</v>
      </c>
      <c r="I66" s="6">
        <f t="shared" si="15"/>
        <v>-13.43879415456955</v>
      </c>
      <c r="J66" s="6">
        <f>INDEX('Raw Data'!$F$6:$F$2882,MATCH(A66,'Raw Data'!$A$6:$A$2882,0))</f>
        <v>-0.23</v>
      </c>
      <c r="K66" s="6">
        <f t="shared" si="16"/>
        <v>-0.23</v>
      </c>
      <c r="L66" s="6">
        <f t="shared" si="17"/>
        <v>-0.23455120549500638</v>
      </c>
      <c r="M66" s="6">
        <f t="shared" si="18"/>
        <v>4.5512054950063718E-3</v>
      </c>
      <c r="N66" s="6">
        <f t="shared" si="19"/>
        <v>2.0713471457776193E-5</v>
      </c>
      <c r="O66" s="6">
        <f>_xlfn.XLOOKUP(D66,'Instructor 360'!$B$6:$B$365,'Instructor 360'!$B$6:$B$365,,-1)</f>
        <v>1278.5515320334262</v>
      </c>
      <c r="P66" s="6">
        <f>_xlfn.XLOOKUP(D66,'Instructor 360'!$B$6:$B$365,'Instructor 360'!$B$6:$B$365,,1)</f>
        <v>1286.908077994429</v>
      </c>
      <c r="Q66" s="6">
        <f>_xlfn.XLOOKUP(D66,'Instructor 360'!$B$6:$B$365,'Instructor 360'!$F$6:$F$365,,-1)</f>
        <v>-13.727537325905297</v>
      </c>
      <c r="R66" s="6">
        <f>_xlfn.XLOOKUP(D66,'Instructor 360'!$B$6:$B$365,'Instructor 360'!$F$6:$F$365,,1)</f>
        <v>-13.267860445682453</v>
      </c>
      <c r="S66" s="6">
        <f t="shared" si="20"/>
        <v>-13.43879415456955</v>
      </c>
      <c r="T66" s="6">
        <f t="shared" si="21"/>
        <v>-0.23455120549500638</v>
      </c>
      <c r="U66" s="6">
        <f t="shared" si="22"/>
        <v>4.5512054950063718E-3</v>
      </c>
      <c r="V66" s="6"/>
      <c r="W66" s="6">
        <f t="shared" si="23"/>
        <v>2.0713471457776193E-5</v>
      </c>
      <c r="AA66">
        <f t="shared" si="24"/>
        <v>1202</v>
      </c>
      <c r="AB66">
        <f t="shared" si="25"/>
        <v>-0.23</v>
      </c>
      <c r="AC66">
        <f t="shared" si="26"/>
        <v>-0.23455120549500638</v>
      </c>
    </row>
    <row r="67" spans="1:29" ht="18.95" customHeight="1">
      <c r="A67" s="4">
        <f t="shared" si="27"/>
        <v>1438</v>
      </c>
      <c r="B67" s="6">
        <f>INDEX('Raw Data'!$B$6:$B$2882,MATCH(A67,'Raw Data'!$A$6:$A$2882,0))</f>
        <v>49002</v>
      </c>
      <c r="C67" s="6">
        <f t="shared" si="14"/>
        <v>1222</v>
      </c>
      <c r="D67" s="6">
        <f>MOD(C67+Summary!$B$20,Summary!$B$11)</f>
        <v>1303.8006443686454</v>
      </c>
      <c r="E67" s="6">
        <f>_xlfn.XLOOKUP(D67,'Native PMKS'!$C$6:$C$366,'Native PMKS'!$C$6:$C$366,,-1)</f>
        <v>1300</v>
      </c>
      <c r="F67" s="6">
        <f>_xlfn.XLOOKUP(D67,'Native PMKS'!$C$6:$C$366,'Native PMKS'!$C$6:$C$366,,1)</f>
        <v>1308.3333333333335</v>
      </c>
      <c r="G67" s="6">
        <f>_xlfn.XLOOKUP(D67,'Native PMKS'!$C$6:$C$366,'Native PMKS'!$D$6:$D$366,,-1)</f>
        <v>-12.490500000000001</v>
      </c>
      <c r="H67" s="6">
        <f>_xlfn.XLOOKUP(D67,'Native PMKS'!$C$6:$C$366,'Native PMKS'!$D$6:$D$366,,1)</f>
        <v>-12.0321</v>
      </c>
      <c r="I67" s="6">
        <f t="shared" si="15"/>
        <v>-12.281434154569567</v>
      </c>
      <c r="J67" s="6">
        <f>INDEX('Raw Data'!$F$6:$F$2882,MATCH(A67,'Raw Data'!$A$6:$A$2882,0))</f>
        <v>-0.22</v>
      </c>
      <c r="K67" s="6">
        <f t="shared" si="16"/>
        <v>-0.22</v>
      </c>
      <c r="L67" s="6">
        <f t="shared" si="17"/>
        <v>-0.21435146286412513</v>
      </c>
      <c r="M67" s="6">
        <f t="shared" si="18"/>
        <v>-5.6485371358748759E-3</v>
      </c>
      <c r="N67" s="6">
        <f t="shared" si="19"/>
        <v>3.1905971775357544E-5</v>
      </c>
      <c r="O67" s="6">
        <f>_xlfn.XLOOKUP(D67,'Instructor 360'!$B$6:$B$365,'Instructor 360'!$B$6:$B$365,,-1)</f>
        <v>1303.6211699164346</v>
      </c>
      <c r="P67" s="6">
        <f>_xlfn.XLOOKUP(D67,'Instructor 360'!$B$6:$B$365,'Instructor 360'!$B$6:$B$365,,1)</f>
        <v>1311.9777158774373</v>
      </c>
      <c r="Q67" s="6">
        <f>_xlfn.XLOOKUP(D67,'Instructor 360'!$B$6:$B$365,'Instructor 360'!$F$6:$F$365,,-1)</f>
        <v>-12.291306685236769</v>
      </c>
      <c r="R67" s="6">
        <f>_xlfn.XLOOKUP(D67,'Instructor 360'!$B$6:$B$365,'Instructor 360'!$F$6:$F$365,,1)</f>
        <v>-11.806614763231208</v>
      </c>
      <c r="S67" s="6">
        <f t="shared" si="20"/>
        <v>-12.28089690377935</v>
      </c>
      <c r="T67" s="6">
        <f t="shared" si="21"/>
        <v>-0.21434208606892691</v>
      </c>
      <c r="U67" s="6">
        <f t="shared" si="22"/>
        <v>-5.6579139310730941E-3</v>
      </c>
      <c r="V67" s="6"/>
      <c r="W67" s="6">
        <f t="shared" si="23"/>
        <v>3.2011990051430991E-5</v>
      </c>
      <c r="AA67">
        <f t="shared" si="24"/>
        <v>1222</v>
      </c>
      <c r="AB67">
        <f t="shared" si="25"/>
        <v>-0.22</v>
      </c>
      <c r="AC67">
        <f t="shared" si="26"/>
        <v>-0.21434208606892691</v>
      </c>
    </row>
    <row r="68" spans="1:29" ht="18.95" customHeight="1">
      <c r="A68" s="4">
        <f t="shared" si="27"/>
        <v>1439</v>
      </c>
      <c r="B68" s="6">
        <f>INDEX('Raw Data'!$B$6:$B$2882,MATCH(A68,'Raw Data'!$A$6:$A$2882,0))</f>
        <v>49022</v>
      </c>
      <c r="C68" s="6">
        <f t="shared" si="14"/>
        <v>1242</v>
      </c>
      <c r="D68" s="6">
        <f>MOD(C68+Summary!$B$20,Summary!$B$11)</f>
        <v>1323.8006443686454</v>
      </c>
      <c r="E68" s="6">
        <f>_xlfn.XLOOKUP(D68,'Native PMKS'!$C$6:$C$366,'Native PMKS'!$C$6:$C$366,,-1)</f>
        <v>1316.6666666666667</v>
      </c>
      <c r="F68" s="6">
        <f>_xlfn.XLOOKUP(D68,'Native PMKS'!$C$6:$C$366,'Native PMKS'!$C$6:$C$366,,1)</f>
        <v>1325</v>
      </c>
      <c r="G68" s="6">
        <f>_xlfn.XLOOKUP(D68,'Native PMKS'!$C$6:$C$366,'Native PMKS'!$D$6:$D$366,,-1)</f>
        <v>-11.516500000000001</v>
      </c>
      <c r="H68" s="6">
        <f>_xlfn.XLOOKUP(D68,'Native PMKS'!$C$6:$C$366,'Native PMKS'!$D$6:$D$366,,1)</f>
        <v>-11.0581</v>
      </c>
      <c r="I68" s="6">
        <f t="shared" si="15"/>
        <v>-11.124074154569556</v>
      </c>
      <c r="J68" s="6">
        <f>INDEX('Raw Data'!$F$6:$F$2882,MATCH(A68,'Raw Data'!$A$6:$A$2882,0))</f>
        <v>-0.2</v>
      </c>
      <c r="K68" s="6">
        <f t="shared" si="16"/>
        <v>-0.2</v>
      </c>
      <c r="L68" s="6">
        <f t="shared" si="17"/>
        <v>-0.19415172023324337</v>
      </c>
      <c r="M68" s="6">
        <f t="shared" si="18"/>
        <v>-5.8482797667566422E-3</v>
      </c>
      <c r="N68" s="6">
        <f t="shared" si="19"/>
        <v>3.4202376230255123E-5</v>
      </c>
      <c r="O68" s="6">
        <f>_xlfn.XLOOKUP(D68,'Instructor 360'!$B$6:$B$365,'Instructor 360'!$B$6:$B$365,,-1)</f>
        <v>1320.3342618384402</v>
      </c>
      <c r="P68" s="6">
        <f>_xlfn.XLOOKUP(D68,'Instructor 360'!$B$6:$B$365,'Instructor 360'!$B$6:$B$365,,1)</f>
        <v>1328.6908077994428</v>
      </c>
      <c r="Q68" s="6">
        <f>_xlfn.XLOOKUP(D68,'Instructor 360'!$B$6:$B$365,'Instructor 360'!$F$6:$F$365,,-1)</f>
        <v>-11.314752924791085</v>
      </c>
      <c r="R68" s="6">
        <f>_xlfn.XLOOKUP(D68,'Instructor 360'!$B$6:$B$365,'Instructor 360'!$F$6:$F$365,,1)</f>
        <v>-10.829698050139283</v>
      </c>
      <c r="S68" s="6">
        <f t="shared" si="20"/>
        <v>-11.113547097463581</v>
      </c>
      <c r="T68" s="6">
        <f t="shared" si="21"/>
        <v>-0.19396798842619864</v>
      </c>
      <c r="U68" s="6">
        <f t="shared" si="22"/>
        <v>-6.0320115738013713E-3</v>
      </c>
      <c r="V68" s="6"/>
      <c r="W68" s="6">
        <f t="shared" si="23"/>
        <v>3.6385163626473697E-5</v>
      </c>
      <c r="AA68">
        <f t="shared" si="24"/>
        <v>1242</v>
      </c>
      <c r="AB68">
        <f t="shared" si="25"/>
        <v>-0.2</v>
      </c>
      <c r="AC68">
        <f t="shared" si="26"/>
        <v>-0.19396798842619864</v>
      </c>
    </row>
    <row r="69" spans="1:29" ht="18.95" customHeight="1">
      <c r="A69" s="4">
        <f t="shared" si="27"/>
        <v>1440</v>
      </c>
      <c r="B69" s="6">
        <f>INDEX('Raw Data'!$B$6:$B$2882,MATCH(A69,'Raw Data'!$A$6:$A$2882,0))</f>
        <v>49042</v>
      </c>
      <c r="C69" s="6">
        <f t="shared" si="14"/>
        <v>1262</v>
      </c>
      <c r="D69" s="6">
        <f>MOD(C69+Summary!$B$20,Summary!$B$11)</f>
        <v>1343.8006443686454</v>
      </c>
      <c r="E69" s="6">
        <f>_xlfn.XLOOKUP(D69,'Native PMKS'!$C$6:$C$366,'Native PMKS'!$C$6:$C$366,,-1)</f>
        <v>1341.6666666666667</v>
      </c>
      <c r="F69" s="6">
        <f>_xlfn.XLOOKUP(D69,'Native PMKS'!$C$6:$C$366,'Native PMKS'!$C$6:$C$366,,1)</f>
        <v>1350</v>
      </c>
      <c r="G69" s="6">
        <f>_xlfn.XLOOKUP(D69,'Native PMKS'!$C$6:$C$366,'Native PMKS'!$D$6:$D$366,,-1)</f>
        <v>-10.0268</v>
      </c>
      <c r="H69" s="6">
        <f>_xlfn.XLOOKUP(D69,'Native PMKS'!$C$6:$C$366,'Native PMKS'!$D$6:$D$366,,1)</f>
        <v>-9.5111000000000008</v>
      </c>
      <c r="I69" s="6">
        <f t="shared" si="15"/>
        <v>-9.8947409238907653</v>
      </c>
      <c r="J69" s="6">
        <f>INDEX('Raw Data'!$F$6:$F$2882,MATCH(A69,'Raw Data'!$A$6:$A$2882,0))</f>
        <v>-0.18</v>
      </c>
      <c r="K69" s="6">
        <f t="shared" si="16"/>
        <v>-0.18</v>
      </c>
      <c r="L69" s="6">
        <f t="shared" si="17"/>
        <v>-0.17269580775371951</v>
      </c>
      <c r="M69" s="6">
        <f t="shared" si="18"/>
        <v>-7.3041922462804831E-3</v>
      </c>
      <c r="N69" s="6">
        <f t="shared" si="19"/>
        <v>5.3351224370623932E-5</v>
      </c>
      <c r="O69" s="6">
        <f>_xlfn.XLOOKUP(D69,'Instructor 360'!$B$6:$B$365,'Instructor 360'!$B$6:$B$365,,-1)</f>
        <v>1337.0473537604457</v>
      </c>
      <c r="P69" s="6">
        <f>_xlfn.XLOOKUP(D69,'Instructor 360'!$B$6:$B$365,'Instructor 360'!$B$6:$B$365,,1)</f>
        <v>1345.4038997214484</v>
      </c>
      <c r="Q69" s="6">
        <f>_xlfn.XLOOKUP(D69,'Instructor 360'!$B$6:$B$365,'Instructor 360'!$F$6:$F$365,,-1)</f>
        <v>-10.312606128133709</v>
      </c>
      <c r="R69" s="6">
        <f>_xlfn.XLOOKUP(D69,'Instructor 360'!$B$6:$B$365,'Instructor 360'!$F$6:$F$365,,1)</f>
        <v>-9.7955250696378897</v>
      </c>
      <c r="S69" s="6">
        <f t="shared" si="20"/>
        <v>-9.8947302889635864</v>
      </c>
      <c r="T69" s="6">
        <f t="shared" si="21"/>
        <v>-0.17269562213922451</v>
      </c>
      <c r="U69" s="6">
        <f t="shared" si="22"/>
        <v>-7.3043778607754795E-3</v>
      </c>
      <c r="V69" s="6"/>
      <c r="W69" s="6">
        <f t="shared" si="23"/>
        <v>5.3353935932986971E-5</v>
      </c>
      <c r="AA69">
        <f t="shared" si="24"/>
        <v>1262</v>
      </c>
      <c r="AB69">
        <f t="shared" si="25"/>
        <v>-0.18</v>
      </c>
      <c r="AC69">
        <f t="shared" si="26"/>
        <v>-0.17269562213922451</v>
      </c>
    </row>
    <row r="70" spans="1:29" ht="18.95" customHeight="1">
      <c r="A70" s="4">
        <f t="shared" si="27"/>
        <v>1441</v>
      </c>
      <c r="B70" s="6">
        <f>INDEX('Raw Data'!$B$6:$B$2882,MATCH(A70,'Raw Data'!$A$6:$A$2882,0))</f>
        <v>49062</v>
      </c>
      <c r="C70" s="6">
        <f t="shared" ref="C70:C101" si="28">B70-$B$6</f>
        <v>1282</v>
      </c>
      <c r="D70" s="6">
        <f>MOD(C70+Summary!$B$20,Summary!$B$11)</f>
        <v>1363.8006443686454</v>
      </c>
      <c r="E70" s="6">
        <f>_xlfn.XLOOKUP(D70,'Native PMKS'!$C$6:$C$366,'Native PMKS'!$C$6:$C$366,,-1)</f>
        <v>1358.3333333333335</v>
      </c>
      <c r="F70" s="6">
        <f>_xlfn.XLOOKUP(D70,'Native PMKS'!$C$6:$C$366,'Native PMKS'!$C$6:$C$366,,1)</f>
        <v>1366.6666666666667</v>
      </c>
      <c r="G70" s="6">
        <f>_xlfn.XLOOKUP(D70,'Native PMKS'!$C$6:$C$366,'Native PMKS'!$D$6:$D$366,,-1)</f>
        <v>-8.9954000000000001</v>
      </c>
      <c r="H70" s="6">
        <f>_xlfn.XLOOKUP(D70,'Native PMKS'!$C$6:$C$366,'Native PMKS'!$D$6:$D$366,,1)</f>
        <v>-8.4797999999999991</v>
      </c>
      <c r="I70" s="6">
        <f t="shared" ref="I70:I101" si="29">IF(E70=F70,G70,_xlfn.FORECAST.LINEAR(D70,G70:H70,E70:F70))</f>
        <v>-8.6571265316231774</v>
      </c>
      <c r="J70" s="6">
        <f>INDEX('Raw Data'!$F$6:$F$2882,MATCH(A70,'Raw Data'!$A$6:$A$2882,0))</f>
        <v>-0.16</v>
      </c>
      <c r="K70" s="6">
        <f t="shared" ref="K70:K101" si="30">J70</f>
        <v>-0.16</v>
      </c>
      <c r="L70" s="6">
        <f t="shared" ref="L70:L101" si="31">I70*PI()/180</f>
        <v>-0.15109536173858146</v>
      </c>
      <c r="M70" s="6">
        <f t="shared" ref="M70:M101" si="32">K70-L70</f>
        <v>-8.904638261418546E-3</v>
      </c>
      <c r="N70" s="6">
        <f t="shared" ref="N70:N101" si="33">M70^2</f>
        <v>7.9292582566719107E-5</v>
      </c>
      <c r="O70" s="6">
        <f>_xlfn.XLOOKUP(D70,'Instructor 360'!$B$6:$B$365,'Instructor 360'!$B$6:$B$365,,-1)</f>
        <v>1362.116991643454</v>
      </c>
      <c r="P70" s="6">
        <f>_xlfn.XLOOKUP(D70,'Instructor 360'!$B$6:$B$365,'Instructor 360'!$B$6:$B$365,,1)</f>
        <v>1370.4735376044569</v>
      </c>
      <c r="Q70" s="6">
        <f>_xlfn.XLOOKUP(D70,'Instructor 360'!$B$6:$B$365,'Instructor 360'!$F$6:$F$365,,-1)</f>
        <v>-8.7612974930362242</v>
      </c>
      <c r="R70" s="6">
        <f>_xlfn.XLOOKUP(D70,'Instructor 360'!$B$6:$B$365,'Instructor 360'!$F$6:$F$365,,1)</f>
        <v>-8.2442155988857948</v>
      </c>
      <c r="S70" s="6">
        <f t="shared" ref="S70:S101" si="34">IF(O70=P70,Q70,_xlfn.FORECAST.LINEAR(D70,Q70:R70,O70:P70))</f>
        <v>-8.6571173276549445</v>
      </c>
      <c r="T70" s="6">
        <f t="shared" ref="T70:T101" si="35">S70*PI()/180</f>
        <v>-0.15109520109903152</v>
      </c>
      <c r="U70" s="6">
        <f t="shared" ref="U70:U101" si="36">K70-T70</f>
        <v>-8.9047989009684858E-3</v>
      </c>
      <c r="V70" s="6"/>
      <c r="W70" s="6">
        <f t="shared" ref="W70:W101" si="37">U70^2</f>
        <v>7.9295443466689551E-5</v>
      </c>
      <c r="AA70">
        <f t="shared" ref="AA70:AA101" si="38">C70</f>
        <v>1282</v>
      </c>
      <c r="AB70">
        <f t="shared" ref="AB70:AB101" si="39">K70</f>
        <v>-0.16</v>
      </c>
      <c r="AC70">
        <f t="shared" ref="AC70:AC101" si="40">T70</f>
        <v>-0.15109520109903152</v>
      </c>
    </row>
    <row r="71" spans="1:29" ht="18.95" customHeight="1">
      <c r="A71" s="4">
        <f t="shared" ref="A71:A102" si="41">A70+1</f>
        <v>1442</v>
      </c>
      <c r="B71" s="6">
        <f>INDEX('Raw Data'!$B$6:$B$2882,MATCH(A71,'Raw Data'!$A$6:$A$2882,0))</f>
        <v>49082</v>
      </c>
      <c r="C71" s="6">
        <f t="shared" si="28"/>
        <v>1302</v>
      </c>
      <c r="D71" s="6">
        <f>MOD(C71+Summary!$B$20,Summary!$B$11)</f>
        <v>1383.8006443686454</v>
      </c>
      <c r="E71" s="6">
        <f>_xlfn.XLOOKUP(D71,'Native PMKS'!$C$6:$C$366,'Native PMKS'!$C$6:$C$366,,-1)</f>
        <v>1383.3333333333335</v>
      </c>
      <c r="F71" s="6">
        <f>_xlfn.XLOOKUP(D71,'Native PMKS'!$C$6:$C$366,'Native PMKS'!$C$6:$C$366,,1)</f>
        <v>1391.6666666666667</v>
      </c>
      <c r="G71" s="6">
        <f>_xlfn.XLOOKUP(D71,'Native PMKS'!$C$6:$C$366,'Native PMKS'!$D$6:$D$366,,-1)</f>
        <v>-7.4485000000000001</v>
      </c>
      <c r="H71" s="6">
        <f>_xlfn.XLOOKUP(D71,'Native PMKS'!$C$6:$C$366,'Native PMKS'!$D$6:$D$366,,1)</f>
        <v>-6.9328000000000003</v>
      </c>
      <c r="I71" s="6">
        <f t="shared" si="29"/>
        <v>-7.4195809238907628</v>
      </c>
      <c r="J71" s="6">
        <f>INDEX('Raw Data'!$F$6:$F$2882,MATCH(A71,'Raw Data'!$A$6:$A$2882,0))</f>
        <v>-0.15</v>
      </c>
      <c r="K71" s="6">
        <f t="shared" si="30"/>
        <v>-0.15</v>
      </c>
      <c r="L71" s="6">
        <f t="shared" si="31"/>
        <v>-0.12949611624005661</v>
      </c>
      <c r="M71" s="6">
        <f t="shared" si="32"/>
        <v>-2.0503883759943387E-2</v>
      </c>
      <c r="N71" s="6">
        <f t="shared" si="33"/>
        <v>4.2040924924127015E-4</v>
      </c>
      <c r="O71" s="6">
        <f>_xlfn.XLOOKUP(D71,'Instructor 360'!$B$6:$B$365,'Instructor 360'!$B$6:$B$365,,-1)</f>
        <v>1378.8300835654595</v>
      </c>
      <c r="P71" s="6">
        <f>_xlfn.XLOOKUP(D71,'Instructor 360'!$B$6:$B$365,'Instructor 360'!$B$6:$B$365,,1)</f>
        <v>1387.1866295264624</v>
      </c>
      <c r="Q71" s="6">
        <f>_xlfn.XLOOKUP(D71,'Instructor 360'!$B$6:$B$365,'Instructor 360'!$F$6:$F$365,,-1)</f>
        <v>-7.7271250696378928</v>
      </c>
      <c r="R71" s="6">
        <f>_xlfn.XLOOKUP(D71,'Instructor 360'!$B$6:$B$365,'Instructor 360'!$F$6:$F$365,,1)</f>
        <v>-7.2100426183844073</v>
      </c>
      <c r="S71" s="6">
        <f t="shared" si="34"/>
        <v>-7.4195590278533956</v>
      </c>
      <c r="T71" s="6">
        <f t="shared" si="35"/>
        <v>-0.1294957340821114</v>
      </c>
      <c r="U71" s="6">
        <f t="shared" si="36"/>
        <v>-2.0504265917888592E-2</v>
      </c>
      <c r="V71" s="6"/>
      <c r="W71" s="6">
        <f t="shared" si="37"/>
        <v>4.2042492083148769E-4</v>
      </c>
      <c r="AA71">
        <f t="shared" si="38"/>
        <v>1302</v>
      </c>
      <c r="AB71">
        <f t="shared" si="39"/>
        <v>-0.15</v>
      </c>
      <c r="AC71">
        <f t="shared" si="40"/>
        <v>-0.1294957340821114</v>
      </c>
    </row>
    <row r="72" spans="1:29" ht="18.95" customHeight="1">
      <c r="A72" s="4">
        <f t="shared" si="41"/>
        <v>1443</v>
      </c>
      <c r="B72" s="6">
        <f>INDEX('Raw Data'!$B$6:$B$2882,MATCH(A72,'Raw Data'!$A$6:$A$2882,0))</f>
        <v>49102</v>
      </c>
      <c r="C72" s="6">
        <f t="shared" si="28"/>
        <v>1322</v>
      </c>
      <c r="D72" s="6">
        <f>MOD(C72+Summary!$B$20,Summary!$B$11)</f>
        <v>1403.8006443686454</v>
      </c>
      <c r="E72" s="6">
        <f>_xlfn.XLOOKUP(D72,'Native PMKS'!$C$6:$C$366,'Native PMKS'!$C$6:$C$366,,-1)</f>
        <v>1400</v>
      </c>
      <c r="F72" s="6">
        <f>_xlfn.XLOOKUP(D72,'Native PMKS'!$C$6:$C$366,'Native PMKS'!$C$6:$C$366,,1)</f>
        <v>1408.3333333333335</v>
      </c>
      <c r="G72" s="6">
        <f>_xlfn.XLOOKUP(D72,'Native PMKS'!$C$6:$C$366,'Native PMKS'!$D$6:$D$366,,-1)</f>
        <v>-6.4170999999999996</v>
      </c>
      <c r="H72" s="6">
        <f>_xlfn.XLOOKUP(D72,'Native PMKS'!$C$6:$C$366,'Native PMKS'!$D$6:$D$366,,1)</f>
        <v>-5.9015000000000004</v>
      </c>
      <c r="I72" s="6">
        <f t="shared" si="29"/>
        <v>-6.1819465316231828</v>
      </c>
      <c r="J72" s="6">
        <f>INDEX('Raw Data'!$F$6:$F$2882,MATCH(A72,'Raw Data'!$A$6:$A$2882,0))</f>
        <v>-0.13</v>
      </c>
      <c r="K72" s="6">
        <f t="shared" si="30"/>
        <v>-0.13</v>
      </c>
      <c r="L72" s="6">
        <f t="shared" si="31"/>
        <v>-0.10789532115906829</v>
      </c>
      <c r="M72" s="6">
        <f t="shared" si="32"/>
        <v>-2.2104678840931716E-2</v>
      </c>
      <c r="N72" s="6">
        <f t="shared" si="33"/>
        <v>4.8861682666073432E-4</v>
      </c>
      <c r="O72" s="6">
        <f>_xlfn.XLOOKUP(D72,'Instructor 360'!$B$6:$B$365,'Instructor 360'!$B$6:$B$365,,-1)</f>
        <v>1395.5431754874651</v>
      </c>
      <c r="P72" s="6">
        <f>_xlfn.XLOOKUP(D72,'Instructor 360'!$B$6:$B$365,'Instructor 360'!$B$6:$B$365,,1)</f>
        <v>1403.899721448468</v>
      </c>
      <c r="Q72" s="6">
        <f>_xlfn.XLOOKUP(D72,'Instructor 360'!$B$6:$B$365,'Instructor 360'!$F$6:$F$365,,-1)</f>
        <v>-6.6929061281337132</v>
      </c>
      <c r="R72" s="6">
        <f>_xlfn.XLOOKUP(D72,'Instructor 360'!$B$6:$B$365,'Instructor 360'!$F$6:$F$365,,1)</f>
        <v>-6.1758164345403941</v>
      </c>
      <c r="S72" s="6">
        <f t="shared" si="34"/>
        <v>-6.1819471657164939</v>
      </c>
      <c r="T72" s="6">
        <f t="shared" si="35"/>
        <v>-0.10789533222608434</v>
      </c>
      <c r="U72" s="6">
        <f t="shared" si="36"/>
        <v>-2.2104667773915662E-2</v>
      </c>
      <c r="V72" s="6"/>
      <c r="W72" s="6">
        <f t="shared" si="37"/>
        <v>4.8861633739518556E-4</v>
      </c>
      <c r="AA72">
        <f t="shared" si="38"/>
        <v>1322</v>
      </c>
      <c r="AB72">
        <f t="shared" si="39"/>
        <v>-0.13</v>
      </c>
      <c r="AC72">
        <f t="shared" si="40"/>
        <v>-0.10789533222608434</v>
      </c>
    </row>
    <row r="73" spans="1:29" ht="18.95" customHeight="1">
      <c r="A73" s="4">
        <f t="shared" si="41"/>
        <v>1444</v>
      </c>
      <c r="B73" s="6">
        <f>INDEX('Raw Data'!$B$6:$B$2882,MATCH(A73,'Raw Data'!$A$6:$A$2882,0))</f>
        <v>49122</v>
      </c>
      <c r="C73" s="6">
        <f t="shared" si="28"/>
        <v>1342</v>
      </c>
      <c r="D73" s="6">
        <f>MOD(C73+Summary!$B$20,Summary!$B$11)</f>
        <v>1423.8006443686454</v>
      </c>
      <c r="E73" s="6">
        <f>_xlfn.XLOOKUP(D73,'Native PMKS'!$C$6:$C$366,'Native PMKS'!$C$6:$C$366,,-1)</f>
        <v>1416.6666666666667</v>
      </c>
      <c r="F73" s="6">
        <f>_xlfn.XLOOKUP(D73,'Native PMKS'!$C$6:$C$366,'Native PMKS'!$C$6:$C$366,,1)</f>
        <v>1425</v>
      </c>
      <c r="G73" s="6">
        <f>_xlfn.XLOOKUP(D73,'Native PMKS'!$C$6:$C$366,'Native PMKS'!$D$6:$D$366,,-1)</f>
        <v>-5.3285</v>
      </c>
      <c r="H73" s="6">
        <f>_xlfn.XLOOKUP(D73,'Native PMKS'!$C$6:$C$366,'Native PMKS'!$D$6:$D$366,,1)</f>
        <v>-4.8128000000000002</v>
      </c>
      <c r="I73" s="6">
        <f t="shared" si="29"/>
        <v>-4.8870209238907591</v>
      </c>
      <c r="J73" s="6">
        <f>INDEX('Raw Data'!$F$6:$F$2882,MATCH(A73,'Raw Data'!$A$6:$A$2882,0))</f>
        <v>-0.1</v>
      </c>
      <c r="K73" s="6">
        <f t="shared" si="30"/>
        <v>-0.1</v>
      </c>
      <c r="L73" s="6">
        <f t="shared" si="31"/>
        <v>-8.5294605735748957E-2</v>
      </c>
      <c r="M73" s="6">
        <f t="shared" si="32"/>
        <v>-1.4705394264251048E-2</v>
      </c>
      <c r="N73" s="6">
        <f t="shared" si="33"/>
        <v>2.1624862046706764E-4</v>
      </c>
      <c r="O73" s="6">
        <f>_xlfn.XLOOKUP(D73,'Instructor 360'!$B$6:$B$365,'Instructor 360'!$B$6:$B$365,,-1)</f>
        <v>1420.6128133704735</v>
      </c>
      <c r="P73" s="6">
        <f>_xlfn.XLOOKUP(D73,'Instructor 360'!$B$6:$B$365,'Instructor 360'!$B$6:$B$365,,1)</f>
        <v>1428.9693593314764</v>
      </c>
      <c r="Q73" s="6">
        <f>_xlfn.XLOOKUP(D73,'Instructor 360'!$B$6:$B$365,'Instructor 360'!$F$6:$F$365,,-1)</f>
        <v>-5.0842966573816186</v>
      </c>
      <c r="R73" s="6">
        <f>_xlfn.XLOOKUP(D73,'Instructor 360'!$B$6:$B$365,'Instructor 360'!$F$6:$F$365,,1)</f>
        <v>-4.5672077994428957</v>
      </c>
      <c r="S73" s="6">
        <f t="shared" si="34"/>
        <v>-4.8870390945274522</v>
      </c>
      <c r="T73" s="6">
        <f t="shared" si="35"/>
        <v>-8.5294922873186435E-2</v>
      </c>
      <c r="U73" s="6">
        <f t="shared" si="36"/>
        <v>-1.470507712681357E-2</v>
      </c>
      <c r="V73" s="6"/>
      <c r="W73" s="6">
        <f t="shared" si="37"/>
        <v>2.1623929330553566E-4</v>
      </c>
      <c r="AA73">
        <f t="shared" si="38"/>
        <v>1342</v>
      </c>
      <c r="AB73">
        <f t="shared" si="39"/>
        <v>-0.1</v>
      </c>
      <c r="AC73">
        <f t="shared" si="40"/>
        <v>-8.5294922873186435E-2</v>
      </c>
    </row>
    <row r="74" spans="1:29" ht="18.95" customHeight="1">
      <c r="A74" s="4">
        <f t="shared" si="41"/>
        <v>1445</v>
      </c>
      <c r="B74" s="6">
        <f>INDEX('Raw Data'!$B$6:$B$2882,MATCH(A74,'Raw Data'!$A$6:$A$2882,0))</f>
        <v>49142</v>
      </c>
      <c r="C74" s="6">
        <f t="shared" si="28"/>
        <v>1362</v>
      </c>
      <c r="D74" s="6">
        <f>MOD(C74+Summary!$B$20,Summary!$B$11)</f>
        <v>1443.8006443686454</v>
      </c>
      <c r="E74" s="6">
        <f>_xlfn.XLOOKUP(D74,'Native PMKS'!$C$6:$C$366,'Native PMKS'!$C$6:$C$366,,-1)</f>
        <v>1441.6666666666667</v>
      </c>
      <c r="F74" s="6">
        <f>_xlfn.XLOOKUP(D74,'Native PMKS'!$C$6:$C$366,'Native PMKS'!$C$6:$C$366,,1)</f>
        <v>1450</v>
      </c>
      <c r="G74" s="6">
        <f>_xlfn.XLOOKUP(D74,'Native PMKS'!$C$6:$C$366,'Native PMKS'!$D$6:$D$366,,-1)</f>
        <v>-3.7242000000000002</v>
      </c>
      <c r="H74" s="6">
        <f>_xlfn.XLOOKUP(D74,'Native PMKS'!$C$6:$C$366,'Native PMKS'!$D$6:$D$366,,1)</f>
        <v>-3.2086000000000001</v>
      </c>
      <c r="I74" s="6">
        <f t="shared" si="29"/>
        <v>-3.5921665316231781</v>
      </c>
      <c r="J74" s="6">
        <f>INDEX('Raw Data'!$F$6:$F$2882,MATCH(A74,'Raw Data'!$A$6:$A$2882,0))</f>
        <v>-0.08</v>
      </c>
      <c r="K74" s="6">
        <f t="shared" si="30"/>
        <v>-0.08</v>
      </c>
      <c r="L74" s="6">
        <f t="shared" si="31"/>
        <v>-6.2695133256769467E-2</v>
      </c>
      <c r="M74" s="6">
        <f t="shared" si="32"/>
        <v>-1.7304866743230535E-2</v>
      </c>
      <c r="N74" s="6">
        <f t="shared" si="33"/>
        <v>2.9945841300096617E-4</v>
      </c>
      <c r="O74" s="6">
        <f>_xlfn.XLOOKUP(D74,'Instructor 360'!$B$6:$B$365,'Instructor 360'!$B$6:$B$365,,-1)</f>
        <v>1437.3259052924791</v>
      </c>
      <c r="P74" s="6">
        <f>_xlfn.XLOOKUP(D74,'Instructor 360'!$B$6:$B$365,'Instructor 360'!$B$6:$B$365,,1)</f>
        <v>1445.682451253482</v>
      </c>
      <c r="Q74" s="6">
        <f>_xlfn.XLOOKUP(D74,'Instructor 360'!$B$6:$B$365,'Instructor 360'!$F$6:$F$365,,-1)</f>
        <v>-4.0226707520891454</v>
      </c>
      <c r="R74" s="6">
        <f>_xlfn.XLOOKUP(D74,'Instructor 360'!$B$6:$B$365,'Instructor 360'!$F$6:$F$365,,1)</f>
        <v>-3.4757353760445651</v>
      </c>
      <c r="S74" s="6">
        <f t="shared" si="34"/>
        <v>-3.598899511203328</v>
      </c>
      <c r="T74" s="6">
        <f t="shared" si="35"/>
        <v>-6.2812645918912627E-2</v>
      </c>
      <c r="U74" s="6">
        <f t="shared" si="36"/>
        <v>-1.7187354081087375E-2</v>
      </c>
      <c r="V74" s="6"/>
      <c r="W74" s="6">
        <f t="shared" si="37"/>
        <v>2.9540514030867082E-4</v>
      </c>
      <c r="AA74">
        <f t="shared" si="38"/>
        <v>1362</v>
      </c>
      <c r="AB74">
        <f t="shared" si="39"/>
        <v>-0.08</v>
      </c>
      <c r="AC74">
        <f t="shared" si="40"/>
        <v>-6.2812645918912627E-2</v>
      </c>
    </row>
    <row r="75" spans="1:29" ht="18.95" customHeight="1">
      <c r="A75" s="4">
        <f t="shared" si="41"/>
        <v>1446</v>
      </c>
      <c r="B75" s="6">
        <f>INDEX('Raw Data'!$B$6:$B$2882,MATCH(A75,'Raw Data'!$A$6:$A$2882,0))</f>
        <v>49162</v>
      </c>
      <c r="C75" s="6">
        <f t="shared" si="28"/>
        <v>1382</v>
      </c>
      <c r="D75" s="6">
        <f>MOD(C75+Summary!$B$20,Summary!$B$11)</f>
        <v>1463.8006443686454</v>
      </c>
      <c r="E75" s="6">
        <f>_xlfn.XLOOKUP(D75,'Native PMKS'!$C$6:$C$366,'Native PMKS'!$C$6:$C$366,,-1)</f>
        <v>1458.3333333333335</v>
      </c>
      <c r="F75" s="6">
        <f>_xlfn.XLOOKUP(D75,'Native PMKS'!$C$6:$C$366,'Native PMKS'!$C$6:$C$366,,1)</f>
        <v>1466.6666666666667</v>
      </c>
      <c r="G75" s="6">
        <f>_xlfn.XLOOKUP(D75,'Native PMKS'!$C$6:$C$366,'Native PMKS'!$D$6:$D$366,,-1)</f>
        <v>-2.6928999999999998</v>
      </c>
      <c r="H75" s="6">
        <f>_xlfn.XLOOKUP(D75,'Native PMKS'!$C$6:$C$366,'Native PMKS'!$D$6:$D$366,,1)</f>
        <v>-2.1198999999999999</v>
      </c>
      <c r="I75" s="6">
        <f t="shared" si="29"/>
        <v>-2.3169676932119501</v>
      </c>
      <c r="J75" s="6">
        <f>INDEX('Raw Data'!$F$6:$F$2882,MATCH(A75,'Raw Data'!$A$6:$A$2882,0))</f>
        <v>-0.05</v>
      </c>
      <c r="K75" s="6">
        <f t="shared" si="30"/>
        <v>-0.05</v>
      </c>
      <c r="L75" s="6">
        <f t="shared" si="31"/>
        <v>-4.0438714908886397E-2</v>
      </c>
      <c r="M75" s="6">
        <f t="shared" si="32"/>
        <v>-9.5612850911136055E-3</v>
      </c>
      <c r="N75" s="6">
        <f t="shared" si="33"/>
        <v>9.1418172593551306E-5</v>
      </c>
      <c r="O75" s="6">
        <f>_xlfn.XLOOKUP(D75,'Instructor 360'!$B$6:$B$365,'Instructor 360'!$B$6:$B$365,,-1)</f>
        <v>1462.3955431754875</v>
      </c>
      <c r="P75" s="6">
        <f>_xlfn.XLOOKUP(D75,'Instructor 360'!$B$6:$B$365,'Instructor 360'!$B$6:$B$365,,1)</f>
        <v>1470.7520891364902</v>
      </c>
      <c r="Q75" s="6">
        <f>_xlfn.XLOOKUP(D75,'Instructor 360'!$B$6:$B$365,'Instructor 360'!$F$6:$F$365,,-1)</f>
        <v>-2.4135824512534843</v>
      </c>
      <c r="R75" s="6">
        <f>_xlfn.XLOOKUP(D75,'Instructor 360'!$B$6:$B$365,'Instructor 360'!$F$6:$F$365,,1)</f>
        <v>-1.86712674094708</v>
      </c>
      <c r="S75" s="6">
        <f t="shared" si="34"/>
        <v>-2.3216993246432054</v>
      </c>
      <c r="T75" s="6">
        <f t="shared" si="35"/>
        <v>-4.0521297456352655E-2</v>
      </c>
      <c r="U75" s="6">
        <f t="shared" si="36"/>
        <v>-9.4787025436473479E-3</v>
      </c>
      <c r="V75" s="6"/>
      <c r="W75" s="6">
        <f t="shared" si="37"/>
        <v>8.9845801910946708E-5</v>
      </c>
      <c r="AA75">
        <f t="shared" si="38"/>
        <v>1382</v>
      </c>
      <c r="AB75">
        <f t="shared" si="39"/>
        <v>-0.05</v>
      </c>
      <c r="AC75">
        <f t="shared" si="40"/>
        <v>-4.0521297456352655E-2</v>
      </c>
    </row>
    <row r="76" spans="1:29" ht="18.95" customHeight="1">
      <c r="A76" s="4">
        <f t="shared" si="41"/>
        <v>1447</v>
      </c>
      <c r="B76" s="6">
        <f>INDEX('Raw Data'!$B$6:$B$2882,MATCH(A76,'Raw Data'!$A$6:$A$2882,0))</f>
        <v>49182</v>
      </c>
      <c r="C76" s="6">
        <f t="shared" si="28"/>
        <v>1402</v>
      </c>
      <c r="D76" s="6">
        <f>MOD(C76+Summary!$B$20,Summary!$B$11)</f>
        <v>1483.8006443686454</v>
      </c>
      <c r="E76" s="6">
        <f>_xlfn.XLOOKUP(D76,'Native PMKS'!$C$6:$C$366,'Native PMKS'!$C$6:$C$366,,-1)</f>
        <v>1483.3333333333335</v>
      </c>
      <c r="F76" s="6">
        <f>_xlfn.XLOOKUP(D76,'Native PMKS'!$C$6:$C$366,'Native PMKS'!$C$6:$C$366,,1)</f>
        <v>1491.6666666666667</v>
      </c>
      <c r="G76" s="6">
        <f>_xlfn.XLOOKUP(D76,'Native PMKS'!$C$6:$C$366,'Native PMKS'!$D$6:$D$366,,-1)</f>
        <v>-1.0313000000000001</v>
      </c>
      <c r="H76" s="6">
        <f>_xlfn.XLOOKUP(D76,'Native PMKS'!$C$6:$C$366,'Native PMKS'!$D$6:$D$366,,1)</f>
        <v>-0.51570000000000005</v>
      </c>
      <c r="I76" s="6">
        <f t="shared" si="29"/>
        <v>-1.0023865316231735</v>
      </c>
      <c r="J76" s="6">
        <f>INDEX('Raw Data'!$F$6:$F$2882,MATCH(A76,'Raw Data'!$A$6:$A$2882,0))</f>
        <v>-0.03</v>
      </c>
      <c r="K76" s="6">
        <f t="shared" si="30"/>
        <v>-0.03</v>
      </c>
      <c r="L76" s="6">
        <f t="shared" si="31"/>
        <v>-1.7494945354470638E-2</v>
      </c>
      <c r="M76" s="6">
        <f t="shared" si="32"/>
        <v>-1.2505054645529361E-2</v>
      </c>
      <c r="N76" s="6">
        <f t="shared" si="33"/>
        <v>1.5637639168767544E-4</v>
      </c>
      <c r="O76" s="6">
        <f>_xlfn.XLOOKUP(D76,'Instructor 360'!$B$6:$B$365,'Instructor 360'!$B$6:$B$365,,-1)</f>
        <v>1479.1086350974931</v>
      </c>
      <c r="P76" s="6">
        <f>_xlfn.XLOOKUP(D76,'Instructor 360'!$B$6:$B$365,'Instructor 360'!$B$6:$B$365,,1)</f>
        <v>1487.4651810584958</v>
      </c>
      <c r="Q76" s="6">
        <f>_xlfn.XLOOKUP(D76,'Instructor 360'!$B$6:$B$365,'Instructor 360'!$F$6:$F$365,,-1)</f>
        <v>-1.3217902506963792</v>
      </c>
      <c r="R76" s="6">
        <f>_xlfn.XLOOKUP(D76,'Instructor 360'!$B$6:$B$365,'Instructor 360'!$F$6:$F$365,,1)</f>
        <v>-0.77565431754875669</v>
      </c>
      <c r="S76" s="6">
        <f t="shared" si="34"/>
        <v>-1.0151474255870028</v>
      </c>
      <c r="T76" s="6">
        <f t="shared" si="35"/>
        <v>-1.771766496963733E-2</v>
      </c>
      <c r="U76" s="6">
        <f t="shared" si="36"/>
        <v>-1.2282335030362669E-2</v>
      </c>
      <c r="V76" s="6"/>
      <c r="W76" s="6">
        <f t="shared" si="37"/>
        <v>1.5085575379807396E-4</v>
      </c>
      <c r="AA76">
        <f t="shared" si="38"/>
        <v>1402</v>
      </c>
      <c r="AB76">
        <f t="shared" si="39"/>
        <v>-0.03</v>
      </c>
      <c r="AC76">
        <f t="shared" si="40"/>
        <v>-1.771766496963733E-2</v>
      </c>
    </row>
    <row r="77" spans="1:29" ht="18.95" customHeight="1">
      <c r="A77" s="4">
        <f t="shared" si="41"/>
        <v>1448</v>
      </c>
      <c r="B77" s="6">
        <f>INDEX('Raw Data'!$B$6:$B$2882,MATCH(A77,'Raw Data'!$A$6:$A$2882,0))</f>
        <v>49202</v>
      </c>
      <c r="C77" s="6">
        <f t="shared" si="28"/>
        <v>1422</v>
      </c>
      <c r="D77" s="6">
        <f>MOD(C77+Summary!$B$20,Summary!$B$11)</f>
        <v>1503.8006443686454</v>
      </c>
      <c r="E77" s="6">
        <f>_xlfn.XLOOKUP(D77,'Native PMKS'!$C$6:$C$366,'Native PMKS'!$C$6:$C$366,,-1)</f>
        <v>1500</v>
      </c>
      <c r="F77" s="6">
        <f>_xlfn.XLOOKUP(D77,'Native PMKS'!$C$6:$C$366,'Native PMKS'!$C$6:$C$366,,1)</f>
        <v>1508.3333333333335</v>
      </c>
      <c r="G77" s="6">
        <f>_xlfn.XLOOKUP(D77,'Native PMKS'!$C$6:$C$366,'Native PMKS'!$D$6:$D$366,,-1)</f>
        <v>0</v>
      </c>
      <c r="H77" s="6">
        <f>_xlfn.XLOOKUP(D77,'Native PMKS'!$C$6:$C$366,'Native PMKS'!$D$6:$D$366,,1)</f>
        <v>0.57299999999999995</v>
      </c>
      <c r="I77" s="6">
        <f t="shared" si="29"/>
        <v>0.26133230678804864</v>
      </c>
      <c r="J77" s="6">
        <f>INDEX('Raw Data'!$F$6:$F$2882,MATCH(A77,'Raw Data'!$A$6:$A$2882,0))</f>
        <v>-0.01</v>
      </c>
      <c r="K77" s="6">
        <f t="shared" si="30"/>
        <v>-0.01</v>
      </c>
      <c r="L77" s="6">
        <f t="shared" si="31"/>
        <v>4.5611091952833752E-3</v>
      </c>
      <c r="M77" s="6">
        <f t="shared" si="32"/>
        <v>-1.4561109195283375E-2</v>
      </c>
      <c r="N77" s="6">
        <f t="shared" si="33"/>
        <v>2.1202590099696607E-4</v>
      </c>
      <c r="O77" s="6">
        <f>_xlfn.XLOOKUP(D77,'Instructor 360'!$B$6:$B$365,'Instructor 360'!$B$6:$B$365,,-1)</f>
        <v>1495.8217270194987</v>
      </c>
      <c r="P77" s="6">
        <f>_xlfn.XLOOKUP(D77,'Instructor 360'!$B$6:$B$365,'Instructor 360'!$B$6:$B$365,,1)</f>
        <v>1504.1782729805013</v>
      </c>
      <c r="Q77" s="6">
        <f>_xlfn.XLOOKUP(D77,'Instructor 360'!$B$6:$B$365,'Instructor 360'!$F$6:$F$365,,-1)</f>
        <v>-0.25856824512534687</v>
      </c>
      <c r="R77" s="6">
        <f>_xlfn.XLOOKUP(D77,'Instructor 360'!$B$6:$B$365,'Instructor 360'!$F$6:$F$365,,1)</f>
        <v>0.28729805013926646</v>
      </c>
      <c r="S77" s="6">
        <f t="shared" si="34"/>
        <v>0.26263059395560617</v>
      </c>
      <c r="T77" s="6">
        <f t="shared" si="35"/>
        <v>4.5837685809936458E-3</v>
      </c>
      <c r="U77" s="6">
        <f t="shared" si="36"/>
        <v>-1.4583768580993646E-2</v>
      </c>
      <c r="V77" s="6"/>
      <c r="W77" s="6">
        <f t="shared" si="37"/>
        <v>2.1268630602397742E-4</v>
      </c>
      <c r="AA77">
        <f t="shared" si="38"/>
        <v>1422</v>
      </c>
      <c r="AB77">
        <f t="shared" si="39"/>
        <v>-0.01</v>
      </c>
      <c r="AC77">
        <f t="shared" si="40"/>
        <v>4.5837685809936458E-3</v>
      </c>
    </row>
    <row r="78" spans="1:29" ht="18.95" customHeight="1">
      <c r="A78" s="4">
        <f t="shared" si="41"/>
        <v>1449</v>
      </c>
      <c r="B78" s="6">
        <f>INDEX('Raw Data'!$B$6:$B$2882,MATCH(A78,'Raw Data'!$A$6:$A$2882,0))</f>
        <v>49222</v>
      </c>
      <c r="C78" s="6">
        <f t="shared" si="28"/>
        <v>1442</v>
      </c>
      <c r="D78" s="6">
        <f>MOD(C78+Summary!$B$20,Summary!$B$11)</f>
        <v>1523.8006443686454</v>
      </c>
      <c r="E78" s="6">
        <f>_xlfn.XLOOKUP(D78,'Native PMKS'!$C$6:$C$366,'Native PMKS'!$C$6:$C$366,,-1)</f>
        <v>1516.6666666666667</v>
      </c>
      <c r="F78" s="6">
        <f>_xlfn.XLOOKUP(D78,'Native PMKS'!$C$6:$C$366,'Native PMKS'!$C$6:$C$366,,1)</f>
        <v>1525</v>
      </c>
      <c r="G78" s="6">
        <f>_xlfn.XLOOKUP(D78,'Native PMKS'!$C$6:$C$366,'Native PMKS'!$D$6:$D$366,,-1)</f>
        <v>1.0886</v>
      </c>
      <c r="H78" s="6">
        <f>_xlfn.XLOOKUP(D78,'Native PMKS'!$C$6:$C$366,'Native PMKS'!$D$6:$D$366,,1)</f>
        <v>1.6616</v>
      </c>
      <c r="I78" s="6">
        <f t="shared" si="29"/>
        <v>1.5791323067880541</v>
      </c>
      <c r="J78" s="6">
        <f>INDEX('Raw Data'!$F$6:$F$2882,MATCH(A78,'Raw Data'!$A$6:$A$2882,0))</f>
        <v>0.01</v>
      </c>
      <c r="K78" s="6">
        <f t="shared" si="30"/>
        <v>0.01</v>
      </c>
      <c r="L78" s="6">
        <f t="shared" si="31"/>
        <v>2.7561058078064745E-2</v>
      </c>
      <c r="M78" s="6">
        <f t="shared" si="32"/>
        <v>-1.7561058078064747E-2</v>
      </c>
      <c r="N78" s="6">
        <f t="shared" si="33"/>
        <v>3.0839076082116309E-4</v>
      </c>
      <c r="O78" s="6">
        <f>_xlfn.XLOOKUP(D78,'Instructor 360'!$B$6:$B$365,'Instructor 360'!$B$6:$B$365,,-1)</f>
        <v>1520.8913649025069</v>
      </c>
      <c r="P78" s="6">
        <f>_xlfn.XLOOKUP(D78,'Instructor 360'!$B$6:$B$365,'Instructor 360'!$B$6:$B$365,,1)</f>
        <v>1529.2479108635098</v>
      </c>
      <c r="Q78" s="6">
        <f>_xlfn.XLOOKUP(D78,'Instructor 360'!$B$6:$B$365,'Instructor 360'!$F$6:$F$365,,-1)</f>
        <v>1.3790902506963714</v>
      </c>
      <c r="R78" s="6">
        <f>_xlfn.XLOOKUP(D78,'Instructor 360'!$B$6:$B$365,'Instructor 360'!$F$6:$F$365,,1)</f>
        <v>1.9244267409470728</v>
      </c>
      <c r="S78" s="6">
        <f t="shared" si="34"/>
        <v>1.568945755665311</v>
      </c>
      <c r="T78" s="6">
        <f t="shared" si="35"/>
        <v>2.7383269221550155E-2</v>
      </c>
      <c r="U78" s="6">
        <f t="shared" si="36"/>
        <v>-1.7383269221550153E-2</v>
      </c>
      <c r="V78" s="6"/>
      <c r="W78" s="6">
        <f t="shared" si="37"/>
        <v>3.0217804882889287E-4</v>
      </c>
      <c r="AA78">
        <f t="shared" si="38"/>
        <v>1442</v>
      </c>
      <c r="AB78">
        <f t="shared" si="39"/>
        <v>0.01</v>
      </c>
      <c r="AC78">
        <f t="shared" si="40"/>
        <v>2.7383269221550155E-2</v>
      </c>
    </row>
    <row r="79" spans="1:29" ht="18.95" customHeight="1">
      <c r="A79" s="4">
        <f t="shared" si="41"/>
        <v>1450</v>
      </c>
      <c r="B79" s="6">
        <f>INDEX('Raw Data'!$B$6:$B$2882,MATCH(A79,'Raw Data'!$A$6:$A$2882,0))</f>
        <v>49242</v>
      </c>
      <c r="C79" s="6">
        <f t="shared" si="28"/>
        <v>1462</v>
      </c>
      <c r="D79" s="6">
        <f>MOD(C79+Summary!$B$20,Summary!$B$11)</f>
        <v>1543.8006443686454</v>
      </c>
      <c r="E79" s="6">
        <f>_xlfn.XLOOKUP(D79,'Native PMKS'!$C$6:$C$366,'Native PMKS'!$C$6:$C$366,,-1)</f>
        <v>1541.6666666666667</v>
      </c>
      <c r="F79" s="6">
        <f>_xlfn.XLOOKUP(D79,'Native PMKS'!$C$6:$C$366,'Native PMKS'!$C$6:$C$366,,1)</f>
        <v>1550</v>
      </c>
      <c r="G79" s="6">
        <f>_xlfn.XLOOKUP(D79,'Native PMKS'!$C$6:$C$366,'Native PMKS'!$D$6:$D$366,,-1)</f>
        <v>2.7502</v>
      </c>
      <c r="H79" s="6">
        <f>_xlfn.XLOOKUP(D79,'Native PMKS'!$C$6:$C$366,'Native PMKS'!$D$6:$D$366,,1)</f>
        <v>3.2658999999999998</v>
      </c>
      <c r="I79" s="6">
        <f t="shared" si="29"/>
        <v>2.8822590761092499</v>
      </c>
      <c r="J79" s="6">
        <f>INDEX('Raw Data'!$F$6:$F$2882,MATCH(A79,'Raw Data'!$A$6:$A$2882,0))</f>
        <v>0.03</v>
      </c>
      <c r="K79" s="6">
        <f t="shared" si="30"/>
        <v>0.03</v>
      </c>
      <c r="L79" s="6">
        <f t="shared" si="31"/>
        <v>5.0304910773596244E-2</v>
      </c>
      <c r="M79" s="6">
        <f t="shared" si="32"/>
        <v>-2.0304910773596245E-2</v>
      </c>
      <c r="N79" s="6">
        <f t="shared" si="33"/>
        <v>4.1228940152370484E-4</v>
      </c>
      <c r="O79" s="6">
        <f>_xlfn.XLOOKUP(D79,'Instructor 360'!$B$6:$B$365,'Instructor 360'!$B$6:$B$365,,-1)</f>
        <v>1537.6044568245125</v>
      </c>
      <c r="P79" s="6">
        <f>_xlfn.XLOOKUP(D79,'Instructor 360'!$B$6:$B$365,'Instructor 360'!$B$6:$B$365,,1)</f>
        <v>1545.9610027855153</v>
      </c>
      <c r="Q79" s="6">
        <f>_xlfn.XLOOKUP(D79,'Instructor 360'!$B$6:$B$365,'Instructor 360'!$F$6:$F$365,,-1)</f>
        <v>2.4708824512534684</v>
      </c>
      <c r="R79" s="6">
        <f>_xlfn.XLOOKUP(D79,'Instructor 360'!$B$6:$B$365,'Instructor 360'!$F$6:$F$365,,1)</f>
        <v>3.0159506963788294</v>
      </c>
      <c r="S79" s="6">
        <f t="shared" si="34"/>
        <v>2.8750380781008715</v>
      </c>
      <c r="T79" s="6">
        <f t="shared" si="35"/>
        <v>5.0178880583070087E-2</v>
      </c>
      <c r="U79" s="6">
        <f t="shared" si="36"/>
        <v>-2.0178880583070088E-2</v>
      </c>
      <c r="V79" s="6"/>
      <c r="W79" s="6">
        <f t="shared" si="37"/>
        <v>4.0718722158580303E-4</v>
      </c>
      <c r="AA79">
        <f t="shared" si="38"/>
        <v>1462</v>
      </c>
      <c r="AB79">
        <f t="shared" si="39"/>
        <v>0.03</v>
      </c>
      <c r="AC79">
        <f t="shared" si="40"/>
        <v>5.0178880583070087E-2</v>
      </c>
    </row>
    <row r="80" spans="1:29" ht="18.95" customHeight="1">
      <c r="A80" s="4">
        <f t="shared" si="41"/>
        <v>1451</v>
      </c>
      <c r="B80" s="6">
        <f>INDEX('Raw Data'!$B$6:$B$2882,MATCH(A80,'Raw Data'!$A$6:$A$2882,0))</f>
        <v>49262</v>
      </c>
      <c r="C80" s="6">
        <f t="shared" si="28"/>
        <v>1482</v>
      </c>
      <c r="D80" s="6">
        <f>MOD(C80+Summary!$B$20,Summary!$B$11)</f>
        <v>1563.8006443686454</v>
      </c>
      <c r="E80" s="6">
        <f>_xlfn.XLOOKUP(D80,'Native PMKS'!$C$6:$C$366,'Native PMKS'!$C$6:$C$366,,-1)</f>
        <v>1558.3333333333335</v>
      </c>
      <c r="F80" s="6">
        <f>_xlfn.XLOOKUP(D80,'Native PMKS'!$C$6:$C$366,'Native PMKS'!$C$6:$C$366,,1)</f>
        <v>1566.6666666666667</v>
      </c>
      <c r="G80" s="6">
        <f>_xlfn.XLOOKUP(D80,'Native PMKS'!$C$6:$C$366,'Native PMKS'!$D$6:$D$366,,-1)</f>
        <v>3.7814999999999999</v>
      </c>
      <c r="H80" s="6">
        <f>_xlfn.XLOOKUP(D80,'Native PMKS'!$C$6:$C$366,'Native PMKS'!$D$6:$D$366,,1)</f>
        <v>4.3544999999999998</v>
      </c>
      <c r="I80" s="6">
        <f t="shared" si="29"/>
        <v>4.1574323067880528</v>
      </c>
      <c r="J80" s="6">
        <f>INDEX('Raw Data'!$F$6:$F$2882,MATCH(A80,'Raw Data'!$A$6:$A$2882,0))</f>
        <v>0.05</v>
      </c>
      <c r="K80" s="6">
        <f t="shared" si="30"/>
        <v>0.05</v>
      </c>
      <c r="L80" s="6">
        <f t="shared" si="31"/>
        <v>7.2560882182234526E-2</v>
      </c>
      <c r="M80" s="6">
        <f t="shared" si="32"/>
        <v>-2.2560882182234523E-2</v>
      </c>
      <c r="N80" s="6">
        <f t="shared" si="33"/>
        <v>5.0899340484066719E-4</v>
      </c>
      <c r="O80" s="6">
        <f>_xlfn.XLOOKUP(D80,'Instructor 360'!$B$6:$B$365,'Instructor 360'!$B$6:$B$365,,-1)</f>
        <v>1562.6740947075209</v>
      </c>
      <c r="P80" s="6">
        <f>_xlfn.XLOOKUP(D80,'Instructor 360'!$B$6:$B$365,'Instructor 360'!$B$6:$B$365,,1)</f>
        <v>1571.0306406685236</v>
      </c>
      <c r="Q80" s="6">
        <f>_xlfn.XLOOKUP(D80,'Instructor 360'!$B$6:$B$365,'Instructor 360'!$F$6:$F$365,,-1)</f>
        <v>4.07997075208913</v>
      </c>
      <c r="R80" s="6">
        <f>_xlfn.XLOOKUP(D80,'Instructor 360'!$B$6:$B$365,'Instructor 360'!$F$6:$F$365,,1)</f>
        <v>4.6245077994428883</v>
      </c>
      <c r="S80" s="6">
        <f t="shared" si="34"/>
        <v>4.1533800325536845</v>
      </c>
      <c r="T80" s="6">
        <f t="shared" si="35"/>
        <v>7.2490156654651056E-2</v>
      </c>
      <c r="U80" s="6">
        <f t="shared" si="36"/>
        <v>-2.2490156654651053E-2</v>
      </c>
      <c r="V80" s="6"/>
      <c r="W80" s="6">
        <f t="shared" si="37"/>
        <v>5.0580714635074504E-4</v>
      </c>
      <c r="AA80">
        <f t="shared" si="38"/>
        <v>1482</v>
      </c>
      <c r="AB80">
        <f t="shared" si="39"/>
        <v>0.05</v>
      </c>
      <c r="AC80">
        <f t="shared" si="40"/>
        <v>7.2490156654651056E-2</v>
      </c>
    </row>
    <row r="81" spans="1:29" ht="18.95" customHeight="1">
      <c r="A81" s="4">
        <f t="shared" si="41"/>
        <v>1452</v>
      </c>
      <c r="B81" s="6">
        <f>INDEX('Raw Data'!$B$6:$B$2882,MATCH(A81,'Raw Data'!$A$6:$A$2882,0))</f>
        <v>49283</v>
      </c>
      <c r="C81" s="6">
        <f t="shared" si="28"/>
        <v>1503</v>
      </c>
      <c r="D81" s="6">
        <f>MOD(C81+Summary!$B$20,Summary!$B$11)</f>
        <v>1584.8006443686454</v>
      </c>
      <c r="E81" s="6">
        <f>_xlfn.XLOOKUP(D81,'Native PMKS'!$C$6:$C$366,'Native PMKS'!$C$6:$C$366,,-1)</f>
        <v>1583.3333333333335</v>
      </c>
      <c r="F81" s="6">
        <f>_xlfn.XLOOKUP(D81,'Native PMKS'!$C$6:$C$366,'Native PMKS'!$C$6:$C$366,,1)</f>
        <v>1591.6666666666667</v>
      </c>
      <c r="G81" s="6">
        <f>_xlfn.XLOOKUP(D81,'Native PMKS'!$C$6:$C$366,'Native PMKS'!$D$6:$D$366,,-1)</f>
        <v>5.3857999999999997</v>
      </c>
      <c r="H81" s="6">
        <f>_xlfn.XLOOKUP(D81,'Native PMKS'!$C$6:$C$366,'Native PMKS'!$D$6:$D$366,,1)</f>
        <v>5.9015000000000004</v>
      </c>
      <c r="I81" s="6">
        <f t="shared" si="29"/>
        <v>5.4766030761092424</v>
      </c>
      <c r="J81" s="6">
        <f>INDEX('Raw Data'!$F$6:$F$2882,MATCH(A81,'Raw Data'!$A$6:$A$2882,0))</f>
        <v>0.1</v>
      </c>
      <c r="K81" s="6">
        <f t="shared" si="30"/>
        <v>0.1</v>
      </c>
      <c r="L81" s="6">
        <f t="shared" si="31"/>
        <v>9.5584755502955879E-2</v>
      </c>
      <c r="M81" s="6">
        <f t="shared" si="32"/>
        <v>4.4152444970441268E-3</v>
      </c>
      <c r="N81" s="6">
        <f t="shared" si="33"/>
        <v>1.9494383968678443E-5</v>
      </c>
      <c r="O81" s="6">
        <f>_xlfn.XLOOKUP(D81,'Instructor 360'!$B$6:$B$365,'Instructor 360'!$B$6:$B$365,,-1)</f>
        <v>1579.3871866295265</v>
      </c>
      <c r="P81" s="6">
        <f>_xlfn.XLOOKUP(D81,'Instructor 360'!$B$6:$B$365,'Instructor 360'!$B$6:$B$365,,1)</f>
        <v>1587.7437325905291</v>
      </c>
      <c r="Q81" s="6">
        <f>_xlfn.XLOOKUP(D81,'Instructor 360'!$B$6:$B$365,'Instructor 360'!$F$6:$F$365,,-1)</f>
        <v>5.1415966573816112</v>
      </c>
      <c r="R81" s="6">
        <f>_xlfn.XLOOKUP(D81,'Instructor 360'!$B$6:$B$365,'Instructor 360'!$F$6:$F$365,,1)</f>
        <v>5.6587331476322982</v>
      </c>
      <c r="S81" s="6">
        <f t="shared" si="34"/>
        <v>5.4766030761092566</v>
      </c>
      <c r="T81" s="6">
        <f t="shared" si="35"/>
        <v>9.5584755502956115E-2</v>
      </c>
      <c r="U81" s="6">
        <f t="shared" si="36"/>
        <v>4.4152444970438909E-3</v>
      </c>
      <c r="V81" s="6"/>
      <c r="W81" s="6">
        <f t="shared" si="37"/>
        <v>1.949438396867636E-5</v>
      </c>
      <c r="AA81">
        <f t="shared" si="38"/>
        <v>1503</v>
      </c>
      <c r="AB81">
        <f t="shared" si="39"/>
        <v>0.1</v>
      </c>
      <c r="AC81">
        <f t="shared" si="40"/>
        <v>9.5584755502956115E-2</v>
      </c>
    </row>
    <row r="82" spans="1:29" ht="18.95" customHeight="1">
      <c r="A82" s="4">
        <f t="shared" si="41"/>
        <v>1453</v>
      </c>
      <c r="B82" s="6">
        <f>INDEX('Raw Data'!$B$6:$B$2882,MATCH(A82,'Raw Data'!$A$6:$A$2882,0))</f>
        <v>49303</v>
      </c>
      <c r="C82" s="6">
        <f t="shared" si="28"/>
        <v>1523</v>
      </c>
      <c r="D82" s="6">
        <f>MOD(C82+Summary!$B$20,Summary!$B$11)</f>
        <v>1604.8006443686454</v>
      </c>
      <c r="E82" s="6">
        <f>_xlfn.XLOOKUP(D82,'Native PMKS'!$C$6:$C$366,'Native PMKS'!$C$6:$C$366,,-1)</f>
        <v>1600</v>
      </c>
      <c r="F82" s="6">
        <f>_xlfn.XLOOKUP(D82,'Native PMKS'!$C$6:$C$366,'Native PMKS'!$C$6:$C$366,,1)</f>
        <v>1608.3333333333335</v>
      </c>
      <c r="G82" s="6">
        <f>_xlfn.XLOOKUP(D82,'Native PMKS'!$C$6:$C$366,'Native PMKS'!$D$6:$D$366,,-1)</f>
        <v>6.4744000000000002</v>
      </c>
      <c r="H82" s="6">
        <f>_xlfn.XLOOKUP(D82,'Native PMKS'!$C$6:$C$366,'Native PMKS'!$D$6:$D$366,,1)</f>
        <v>6.9901</v>
      </c>
      <c r="I82" s="6">
        <f t="shared" si="29"/>
        <v>6.7714830761092628</v>
      </c>
      <c r="J82" s="6">
        <f>INDEX('Raw Data'!$F$6:$F$2882,MATCH(A82,'Raw Data'!$A$6:$A$2882,0))</f>
        <v>0.11</v>
      </c>
      <c r="K82" s="6">
        <f t="shared" si="30"/>
        <v>0.11</v>
      </c>
      <c r="L82" s="6">
        <f t="shared" si="31"/>
        <v>0.11818467492118041</v>
      </c>
      <c r="M82" s="6">
        <f t="shared" si="32"/>
        <v>-8.1846749211804126E-3</v>
      </c>
      <c r="N82" s="6">
        <f t="shared" si="33"/>
        <v>6.6988903565399588E-5</v>
      </c>
      <c r="O82" s="6">
        <f>_xlfn.XLOOKUP(D82,'Instructor 360'!$B$6:$B$365,'Instructor 360'!$B$6:$B$365,,-1)</f>
        <v>1604.4568245125347</v>
      </c>
      <c r="P82" s="6">
        <f>_xlfn.XLOOKUP(D82,'Instructor 360'!$B$6:$B$365,'Instructor 360'!$B$6:$B$365,,1)</f>
        <v>1612.8133704735376</v>
      </c>
      <c r="Q82" s="6">
        <f>_xlfn.XLOOKUP(D82,'Instructor 360'!$B$6:$B$365,'Instructor 360'!$F$6:$F$365,,-1)</f>
        <v>6.7502061281336925</v>
      </c>
      <c r="R82" s="6">
        <f>_xlfn.XLOOKUP(D82,'Instructor 360'!$B$6:$B$365,'Instructor 360'!$F$6:$F$365,,1)</f>
        <v>7.2672888579387109</v>
      </c>
      <c r="S82" s="6">
        <f t="shared" si="34"/>
        <v>6.7714808642015214</v>
      </c>
      <c r="T82" s="6">
        <f t="shared" si="35"/>
        <v>0.11818463631610757</v>
      </c>
      <c r="U82" s="6">
        <f t="shared" si="36"/>
        <v>-8.1846363161075658E-3</v>
      </c>
      <c r="V82" s="6"/>
      <c r="W82" s="6">
        <f t="shared" si="37"/>
        <v>6.6988271626946822E-5</v>
      </c>
      <c r="AA82">
        <f t="shared" si="38"/>
        <v>1523</v>
      </c>
      <c r="AB82">
        <f t="shared" si="39"/>
        <v>0.11</v>
      </c>
      <c r="AC82">
        <f t="shared" si="40"/>
        <v>0.11818463631610757</v>
      </c>
    </row>
    <row r="83" spans="1:29" ht="18.95" customHeight="1">
      <c r="A83" s="4">
        <f t="shared" si="41"/>
        <v>1454</v>
      </c>
      <c r="B83" s="6">
        <f>INDEX('Raw Data'!$B$6:$B$2882,MATCH(A83,'Raw Data'!$A$6:$A$2882,0))</f>
        <v>49323</v>
      </c>
      <c r="C83" s="6">
        <f t="shared" si="28"/>
        <v>1543</v>
      </c>
      <c r="D83" s="6">
        <f>MOD(C83+Summary!$B$20,Summary!$B$11)</f>
        <v>1624.8006443686454</v>
      </c>
      <c r="E83" s="6">
        <f>_xlfn.XLOOKUP(D83,'Native PMKS'!$C$6:$C$366,'Native PMKS'!$C$6:$C$366,,-1)</f>
        <v>1616.6666666666667</v>
      </c>
      <c r="F83" s="6">
        <f>_xlfn.XLOOKUP(D83,'Native PMKS'!$C$6:$C$366,'Native PMKS'!$C$6:$C$366,,1)</f>
        <v>1625.0000000000002</v>
      </c>
      <c r="G83" s="6">
        <f>_xlfn.XLOOKUP(D83,'Native PMKS'!$C$6:$C$366,'Native PMKS'!$D$6:$D$366,,-1)</f>
        <v>7.5057</v>
      </c>
      <c r="H83" s="6">
        <f>_xlfn.XLOOKUP(D83,'Native PMKS'!$C$6:$C$366,'Native PMKS'!$D$6:$D$366,,1)</f>
        <v>8.0213999999999999</v>
      </c>
      <c r="I83" s="6">
        <f t="shared" si="29"/>
        <v>8.0090630761092285</v>
      </c>
      <c r="J83" s="6">
        <f>INDEX('Raw Data'!$F$6:$F$2882,MATCH(A83,'Raw Data'!$A$6:$A$2882,0))</f>
        <v>0.13</v>
      </c>
      <c r="K83" s="6">
        <f t="shared" si="30"/>
        <v>0.13</v>
      </c>
      <c r="L83" s="6">
        <f t="shared" si="31"/>
        <v>0.13978452067801123</v>
      </c>
      <c r="M83" s="6">
        <f t="shared" si="32"/>
        <v>-9.7845206780112215E-3</v>
      </c>
      <c r="N83" s="6">
        <f t="shared" si="33"/>
        <v>9.573684489842918E-5</v>
      </c>
      <c r="O83" s="6">
        <f>_xlfn.XLOOKUP(D83,'Instructor 360'!$B$6:$B$365,'Instructor 360'!$B$6:$B$365,,-1)</f>
        <v>1621.1699164345405</v>
      </c>
      <c r="P83" s="6">
        <f>_xlfn.XLOOKUP(D83,'Instructor 360'!$B$6:$B$365,'Instructor 360'!$B$6:$B$365,,1)</f>
        <v>1629.5264623955431</v>
      </c>
      <c r="Q83" s="6">
        <f>_xlfn.XLOOKUP(D83,'Instructor 360'!$B$6:$B$365,'Instructor 360'!$F$6:$F$365,,-1)</f>
        <v>7.7843791086350933</v>
      </c>
      <c r="R83" s="6">
        <f>_xlfn.XLOOKUP(D83,'Instructor 360'!$B$6:$B$365,'Instructor 360'!$F$6:$F$365,,1)</f>
        <v>8.3015155988857803</v>
      </c>
      <c r="S83" s="6">
        <f t="shared" si="34"/>
        <v>8.0090630761092427</v>
      </c>
      <c r="T83" s="6">
        <f t="shared" si="35"/>
        <v>0.13978452067801148</v>
      </c>
      <c r="U83" s="6">
        <f t="shared" si="36"/>
        <v>-9.7845206780114713E-3</v>
      </c>
      <c r="V83" s="6"/>
      <c r="W83" s="6">
        <f t="shared" si="37"/>
        <v>9.5736844898434059E-5</v>
      </c>
      <c r="AA83">
        <f t="shared" si="38"/>
        <v>1543</v>
      </c>
      <c r="AB83">
        <f t="shared" si="39"/>
        <v>0.13</v>
      </c>
      <c r="AC83">
        <f t="shared" si="40"/>
        <v>0.13978452067801148</v>
      </c>
    </row>
    <row r="84" spans="1:29" ht="18.95" customHeight="1">
      <c r="A84" s="4">
        <f t="shared" si="41"/>
        <v>1455</v>
      </c>
      <c r="B84" s="6">
        <f>INDEX('Raw Data'!$B$6:$B$2882,MATCH(A84,'Raw Data'!$A$6:$A$2882,0))</f>
        <v>49343</v>
      </c>
      <c r="C84" s="6">
        <f t="shared" si="28"/>
        <v>1563</v>
      </c>
      <c r="D84" s="6">
        <f>MOD(C84+Summary!$B$20,Summary!$B$11)</f>
        <v>1644.8006443686454</v>
      </c>
      <c r="E84" s="6">
        <f>_xlfn.XLOOKUP(D84,'Native PMKS'!$C$6:$C$366,'Native PMKS'!$C$6:$C$366,,-1)</f>
        <v>1641.6666666666667</v>
      </c>
      <c r="F84" s="6">
        <f>_xlfn.XLOOKUP(D84,'Native PMKS'!$C$6:$C$366,'Native PMKS'!$C$6:$C$366,,1)</f>
        <v>1650.0000000000002</v>
      </c>
      <c r="G84" s="6">
        <f>_xlfn.XLOOKUP(D84,'Native PMKS'!$C$6:$C$366,'Native PMKS'!$D$6:$D$366,,-1)</f>
        <v>9.0526999999999997</v>
      </c>
      <c r="H84" s="6">
        <f>_xlfn.XLOOKUP(D84,'Native PMKS'!$C$6:$C$366,'Native PMKS'!$D$6:$D$366,,1)</f>
        <v>9.5684000000000005</v>
      </c>
      <c r="I84" s="6">
        <f t="shared" si="29"/>
        <v>9.2466430761092369</v>
      </c>
      <c r="J84" s="6">
        <f>INDEX('Raw Data'!$F$6:$F$2882,MATCH(A84,'Raw Data'!$A$6:$A$2882,0))</f>
        <v>0.16</v>
      </c>
      <c r="K84" s="6">
        <f t="shared" si="30"/>
        <v>0.16</v>
      </c>
      <c r="L84" s="6">
        <f t="shared" si="31"/>
        <v>0.1613843664348428</v>
      </c>
      <c r="M84" s="6">
        <f t="shared" si="32"/>
        <v>-1.3843664348427986E-3</v>
      </c>
      <c r="N84" s="6">
        <f t="shared" si="33"/>
        <v>1.9164704259193606E-6</v>
      </c>
      <c r="O84" s="6">
        <f>_xlfn.XLOOKUP(D84,'Instructor 360'!$B$6:$B$365,'Instructor 360'!$B$6:$B$365,,-1)</f>
        <v>1637.883008356546</v>
      </c>
      <c r="P84" s="6">
        <f>_xlfn.XLOOKUP(D84,'Instructor 360'!$B$6:$B$365,'Instructor 360'!$B$6:$B$365,,1)</f>
        <v>1646.2395543175487</v>
      </c>
      <c r="Q84" s="6">
        <f>_xlfn.XLOOKUP(D84,'Instructor 360'!$B$6:$B$365,'Instructor 360'!$F$6:$F$365,,-1)</f>
        <v>8.8185974930362097</v>
      </c>
      <c r="R84" s="6">
        <f>_xlfn.XLOOKUP(D84,'Instructor 360'!$B$6:$B$365,'Instructor 360'!$F$6:$F$365,,1)</f>
        <v>9.335688579387174</v>
      </c>
      <c r="S84" s="6">
        <f t="shared" si="34"/>
        <v>9.2466508941866294</v>
      </c>
      <c r="T84" s="6">
        <f t="shared" si="35"/>
        <v>0.16138450288603448</v>
      </c>
      <c r="U84" s="6">
        <f t="shared" si="36"/>
        <v>-1.3845028860344777E-3</v>
      </c>
      <c r="V84" s="6"/>
      <c r="W84" s="6">
        <f t="shared" si="37"/>
        <v>1.9168482414377979E-6</v>
      </c>
      <c r="AA84">
        <f t="shared" si="38"/>
        <v>1563</v>
      </c>
      <c r="AB84">
        <f t="shared" si="39"/>
        <v>0.16</v>
      </c>
      <c r="AC84">
        <f t="shared" si="40"/>
        <v>0.16138450288603448</v>
      </c>
    </row>
    <row r="85" spans="1:29" ht="18.95" customHeight="1">
      <c r="A85" s="4">
        <f t="shared" si="41"/>
        <v>1456</v>
      </c>
      <c r="B85" s="6">
        <f>INDEX('Raw Data'!$B$6:$B$2882,MATCH(A85,'Raw Data'!$A$6:$A$2882,0))</f>
        <v>49363</v>
      </c>
      <c r="C85" s="6">
        <f t="shared" si="28"/>
        <v>1583</v>
      </c>
      <c r="D85" s="6">
        <f>MOD(C85+Summary!$B$20,Summary!$B$11)</f>
        <v>1664.8006443686454</v>
      </c>
      <c r="E85" s="6">
        <f>_xlfn.XLOOKUP(D85,'Native PMKS'!$C$6:$C$366,'Native PMKS'!$C$6:$C$366,,-1)</f>
        <v>1658.3333333333335</v>
      </c>
      <c r="F85" s="6">
        <f>_xlfn.XLOOKUP(D85,'Native PMKS'!$C$6:$C$366,'Native PMKS'!$C$6:$C$366,,1)</f>
        <v>1666.6666666666667</v>
      </c>
      <c r="G85" s="6">
        <f>_xlfn.XLOOKUP(D85,'Native PMKS'!$C$6:$C$366,'Native PMKS'!$D$6:$D$366,,-1)</f>
        <v>10.084099999999999</v>
      </c>
      <c r="H85" s="6">
        <f>_xlfn.XLOOKUP(D85,'Native PMKS'!$C$6:$C$366,'Native PMKS'!$D$6:$D$366,,1)</f>
        <v>10.5997</v>
      </c>
      <c r="I85" s="6">
        <f t="shared" si="29"/>
        <v>10.484245468376827</v>
      </c>
      <c r="J85" s="6">
        <f>INDEX('Raw Data'!$F$6:$F$2882,MATCH(A85,'Raw Data'!$A$6:$A$2882,0))</f>
        <v>0.18</v>
      </c>
      <c r="K85" s="6">
        <f t="shared" si="30"/>
        <v>0.18</v>
      </c>
      <c r="L85" s="6">
        <f t="shared" si="31"/>
        <v>0.18298460301047068</v>
      </c>
      <c r="M85" s="6">
        <f t="shared" si="32"/>
        <v>-2.9846030104706822E-3</v>
      </c>
      <c r="N85" s="6">
        <f t="shared" si="33"/>
        <v>8.9078551301106593E-6</v>
      </c>
      <c r="O85" s="6">
        <f>_xlfn.XLOOKUP(D85,'Instructor 360'!$B$6:$B$365,'Instructor 360'!$B$6:$B$365,,-1)</f>
        <v>1662.9526462395543</v>
      </c>
      <c r="P85" s="6">
        <f>_xlfn.XLOOKUP(D85,'Instructor 360'!$B$6:$B$365,'Instructor 360'!$B$6:$B$365,,1)</f>
        <v>1671.3091922005572</v>
      </c>
      <c r="Q85" s="6">
        <f>_xlfn.XLOOKUP(D85,'Instructor 360'!$B$6:$B$365,'Instructor 360'!$F$6:$F$365,,-1)</f>
        <v>10.369906128133694</v>
      </c>
      <c r="R85" s="6">
        <f>_xlfn.XLOOKUP(D85,'Instructor 360'!$B$6:$B$365,'Instructor 360'!$F$6:$F$365,,1)</f>
        <v>10.855076044568239</v>
      </c>
      <c r="S85" s="6">
        <f t="shared" si="34"/>
        <v>10.477198435511227</v>
      </c>
      <c r="T85" s="6">
        <f t="shared" si="35"/>
        <v>0.18286160908446969</v>
      </c>
      <c r="U85" s="6">
        <f t="shared" si="36"/>
        <v>-2.8616090844696962E-3</v>
      </c>
      <c r="V85" s="6"/>
      <c r="W85" s="6">
        <f t="shared" si="37"/>
        <v>8.1888065523194935E-6</v>
      </c>
      <c r="AA85">
        <f t="shared" si="38"/>
        <v>1583</v>
      </c>
      <c r="AB85">
        <f t="shared" si="39"/>
        <v>0.18</v>
      </c>
      <c r="AC85">
        <f t="shared" si="40"/>
        <v>0.18286160908446969</v>
      </c>
    </row>
    <row r="86" spans="1:29" ht="18.95" customHeight="1">
      <c r="A86" s="4">
        <f t="shared" si="41"/>
        <v>1457</v>
      </c>
      <c r="B86" s="6">
        <f>INDEX('Raw Data'!$B$6:$B$2882,MATCH(A86,'Raw Data'!$A$6:$A$2882,0))</f>
        <v>49383</v>
      </c>
      <c r="C86" s="6">
        <f t="shared" si="28"/>
        <v>1603</v>
      </c>
      <c r="D86" s="6">
        <f>MOD(C86+Summary!$B$20,Summary!$B$11)</f>
        <v>1684.8006443686454</v>
      </c>
      <c r="E86" s="6">
        <f>_xlfn.XLOOKUP(D86,'Native PMKS'!$C$6:$C$366,'Native PMKS'!$C$6:$C$366,,-1)</f>
        <v>1683.3333333333335</v>
      </c>
      <c r="F86" s="6">
        <f>_xlfn.XLOOKUP(D86,'Native PMKS'!$C$6:$C$366,'Native PMKS'!$C$6:$C$366,,1)</f>
        <v>1691.6666666666667</v>
      </c>
      <c r="G86" s="6">
        <f>_xlfn.XLOOKUP(D86,'Native PMKS'!$C$6:$C$366,'Native PMKS'!$D$6:$D$366,,-1)</f>
        <v>11.573700000000001</v>
      </c>
      <c r="H86" s="6">
        <f>_xlfn.XLOOKUP(D86,'Native PMKS'!$C$6:$C$366,'Native PMKS'!$D$6:$D$366,,1)</f>
        <v>12.089399999999999</v>
      </c>
      <c r="I86" s="6">
        <f t="shared" si="29"/>
        <v>11.664503076109256</v>
      </c>
      <c r="J86" s="6">
        <f>INDEX('Raw Data'!$F$6:$F$2882,MATCH(A86,'Raw Data'!$A$6:$A$2882,0))</f>
        <v>0.22</v>
      </c>
      <c r="K86" s="6">
        <f t="shared" si="30"/>
        <v>0.22</v>
      </c>
      <c r="L86" s="6">
        <f t="shared" si="31"/>
        <v>0.20358398428711325</v>
      </c>
      <c r="M86" s="6">
        <f t="shared" si="32"/>
        <v>1.6416015712886756E-2</v>
      </c>
      <c r="N86" s="6">
        <f t="shared" si="33"/>
        <v>2.6948557188574484E-4</v>
      </c>
      <c r="O86" s="6">
        <f>_xlfn.XLOOKUP(D86,'Instructor 360'!$B$6:$B$365,'Instructor 360'!$B$6:$B$365,,-1)</f>
        <v>1679.6657381615598</v>
      </c>
      <c r="P86" s="6">
        <f>_xlfn.XLOOKUP(D86,'Instructor 360'!$B$6:$B$365,'Instructor 360'!$B$6:$B$365,,1)</f>
        <v>1688.0222841225627</v>
      </c>
      <c r="Q86" s="6">
        <f>_xlfn.XLOOKUP(D86,'Instructor 360'!$B$6:$B$365,'Instructor 360'!$F$6:$F$365,,-1)</f>
        <v>11.346778551532019</v>
      </c>
      <c r="R86" s="6">
        <f>_xlfn.XLOOKUP(D86,'Instructor 360'!$B$6:$B$365,'Instructor 360'!$F$6:$F$365,,1)</f>
        <v>11.863871030640665</v>
      </c>
      <c r="S86" s="6">
        <f t="shared" si="34"/>
        <v>11.66452004341194</v>
      </c>
      <c r="T86" s="6">
        <f t="shared" si="35"/>
        <v>0.20358428042241025</v>
      </c>
      <c r="U86" s="6">
        <f t="shared" si="36"/>
        <v>1.6415719577589749E-2</v>
      </c>
      <c r="V86" s="6"/>
      <c r="W86" s="6">
        <f t="shared" si="37"/>
        <v>2.6947584925006337E-4</v>
      </c>
      <c r="AA86">
        <f t="shared" si="38"/>
        <v>1603</v>
      </c>
      <c r="AB86">
        <f t="shared" si="39"/>
        <v>0.22</v>
      </c>
      <c r="AC86">
        <f t="shared" si="40"/>
        <v>0.20358428042241025</v>
      </c>
    </row>
    <row r="87" spans="1:29" ht="18.95" customHeight="1">
      <c r="A87" s="4">
        <f t="shared" si="41"/>
        <v>1458</v>
      </c>
      <c r="B87" s="6">
        <f>INDEX('Raw Data'!$B$6:$B$2882,MATCH(A87,'Raw Data'!$A$6:$A$2882,0))</f>
        <v>49403</v>
      </c>
      <c r="C87" s="6">
        <f t="shared" si="28"/>
        <v>1623</v>
      </c>
      <c r="D87" s="6">
        <f>MOD(C87+Summary!$B$20,Summary!$B$11)</f>
        <v>1704.8006443686454</v>
      </c>
      <c r="E87" s="6">
        <f>_xlfn.XLOOKUP(D87,'Native PMKS'!$C$6:$C$366,'Native PMKS'!$C$6:$C$366,,-1)</f>
        <v>1700.0000000000002</v>
      </c>
      <c r="F87" s="6">
        <f>_xlfn.XLOOKUP(D87,'Native PMKS'!$C$6:$C$366,'Native PMKS'!$C$6:$C$366,,1)</f>
        <v>1708.3333333333335</v>
      </c>
      <c r="G87" s="6">
        <f>_xlfn.XLOOKUP(D87,'Native PMKS'!$C$6:$C$366,'Native PMKS'!$D$6:$D$366,,-1)</f>
        <v>12.547800000000001</v>
      </c>
      <c r="H87" s="6">
        <f>_xlfn.XLOOKUP(D87,'Native PMKS'!$C$6:$C$366,'Native PMKS'!$D$6:$D$366,,1)</f>
        <v>13.0634</v>
      </c>
      <c r="I87" s="6">
        <f t="shared" si="29"/>
        <v>12.844825468376811</v>
      </c>
      <c r="J87" s="6">
        <f>INDEX('Raw Data'!$F$6:$F$2882,MATCH(A87,'Raw Data'!$A$6:$A$2882,0))</f>
        <v>0.23</v>
      </c>
      <c r="K87" s="6">
        <f t="shared" si="30"/>
        <v>0.23</v>
      </c>
      <c r="L87" s="6">
        <f t="shared" si="31"/>
        <v>0.22418449626719814</v>
      </c>
      <c r="M87" s="6">
        <f t="shared" si="32"/>
        <v>5.8155037328018744E-3</v>
      </c>
      <c r="N87" s="6">
        <f t="shared" si="33"/>
        <v>3.3820083666232537E-5</v>
      </c>
      <c r="O87" s="6">
        <f>_xlfn.XLOOKUP(D87,'Instructor 360'!$B$6:$B$365,'Instructor 360'!$B$6:$B$365,,-1)</f>
        <v>1704.7353760445683</v>
      </c>
      <c r="P87" s="6">
        <f>_xlfn.XLOOKUP(D87,'Instructor 360'!$B$6:$B$365,'Instructor 360'!$B$6:$B$365,,1)</f>
        <v>1713.091922005571</v>
      </c>
      <c r="Q87" s="6">
        <f>_xlfn.XLOOKUP(D87,'Instructor 360'!$B$6:$B$365,'Instructor 360'!$F$6:$F$365,,-1)</f>
        <v>12.840787186629518</v>
      </c>
      <c r="R87" s="6">
        <f>_xlfn.XLOOKUP(D87,'Instructor 360'!$B$6:$B$365,'Instructor 360'!$F$6:$F$365,,1)</f>
        <v>13.325160445682441</v>
      </c>
      <c r="S87" s="6">
        <f t="shared" si="34"/>
        <v>12.84457035625411</v>
      </c>
      <c r="T87" s="6">
        <f t="shared" si="35"/>
        <v>0.22418004372069522</v>
      </c>
      <c r="U87" s="6">
        <f t="shared" si="36"/>
        <v>5.8199562793047888E-3</v>
      </c>
      <c r="V87" s="6"/>
      <c r="W87" s="6">
        <f t="shared" si="37"/>
        <v>3.3871891093019239E-5</v>
      </c>
      <c r="AA87">
        <f t="shared" si="38"/>
        <v>1623</v>
      </c>
      <c r="AB87">
        <f t="shared" si="39"/>
        <v>0.23</v>
      </c>
      <c r="AC87">
        <f t="shared" si="40"/>
        <v>0.22418004372069522</v>
      </c>
    </row>
    <row r="88" spans="1:29" ht="18.95" customHeight="1">
      <c r="A88" s="4">
        <f t="shared" si="41"/>
        <v>1459</v>
      </c>
      <c r="B88" s="6">
        <f>INDEX('Raw Data'!$B$6:$B$2882,MATCH(A88,'Raw Data'!$A$6:$A$2882,0))</f>
        <v>49423</v>
      </c>
      <c r="C88" s="6">
        <f t="shared" si="28"/>
        <v>1643</v>
      </c>
      <c r="D88" s="6">
        <f>MOD(C88+Summary!$B$20,Summary!$B$11)</f>
        <v>1724.8006443686454</v>
      </c>
      <c r="E88" s="6">
        <f>_xlfn.XLOOKUP(D88,'Native PMKS'!$C$6:$C$366,'Native PMKS'!$C$6:$C$366,,-1)</f>
        <v>1716.6666666666667</v>
      </c>
      <c r="F88" s="6">
        <f>_xlfn.XLOOKUP(D88,'Native PMKS'!$C$6:$C$366,'Native PMKS'!$C$6:$C$366,,1)</f>
        <v>1725.0000000000002</v>
      </c>
      <c r="G88" s="6">
        <f>_xlfn.XLOOKUP(D88,'Native PMKS'!$C$6:$C$366,'Native PMKS'!$D$6:$D$366,,-1)</f>
        <v>13.521800000000001</v>
      </c>
      <c r="H88" s="6">
        <f>_xlfn.XLOOKUP(D88,'Native PMKS'!$C$6:$C$366,'Native PMKS'!$D$6:$D$366,,1)</f>
        <v>13.9802</v>
      </c>
      <c r="I88" s="6">
        <f t="shared" si="29"/>
        <v>13.969233845430438</v>
      </c>
      <c r="J88" s="6">
        <f>INDEX('Raw Data'!$F$6:$F$2882,MATCH(A88,'Raw Data'!$A$6:$A$2882,0))</f>
        <v>0.26</v>
      </c>
      <c r="K88" s="6">
        <f t="shared" si="30"/>
        <v>0.26</v>
      </c>
      <c r="L88" s="6">
        <f t="shared" si="31"/>
        <v>0.24380912458378978</v>
      </c>
      <c r="M88" s="6">
        <f t="shared" si="32"/>
        <v>1.6190875416210226E-2</v>
      </c>
      <c r="N88" s="6">
        <f t="shared" si="33"/>
        <v>2.6214444674324067E-4</v>
      </c>
      <c r="O88" s="6">
        <f>_xlfn.XLOOKUP(D88,'Instructor 360'!$B$6:$B$365,'Instructor 360'!$B$6:$B$365,,-1)</f>
        <v>1721.4484679665738</v>
      </c>
      <c r="P88" s="6">
        <f>_xlfn.XLOOKUP(D88,'Instructor 360'!$B$6:$B$365,'Instructor 360'!$B$6:$B$365,,1)</f>
        <v>1729.8050139275765</v>
      </c>
      <c r="Q88" s="6">
        <f>_xlfn.XLOOKUP(D88,'Instructor 360'!$B$6:$B$365,'Instructor 360'!$F$6:$F$365,,-1)</f>
        <v>13.784837325905285</v>
      </c>
      <c r="R88" s="6">
        <f>_xlfn.XLOOKUP(D88,'Instructor 360'!$B$6:$B$365,'Instructor 360'!$F$6:$F$365,,1)</f>
        <v>14.244456545960988</v>
      </c>
      <c r="S88" s="6">
        <f t="shared" si="34"/>
        <v>13.969210715413269</v>
      </c>
      <c r="T88" s="6">
        <f t="shared" si="35"/>
        <v>0.24380872088883412</v>
      </c>
      <c r="U88" s="6">
        <f t="shared" si="36"/>
        <v>1.6191279111165885E-2</v>
      </c>
      <c r="V88" s="6"/>
      <c r="W88" s="6">
        <f t="shared" si="37"/>
        <v>2.6215751925567671E-4</v>
      </c>
      <c r="AA88">
        <f t="shared" si="38"/>
        <v>1643</v>
      </c>
      <c r="AB88">
        <f t="shared" si="39"/>
        <v>0.26</v>
      </c>
      <c r="AC88">
        <f t="shared" si="40"/>
        <v>0.24380872088883412</v>
      </c>
    </row>
    <row r="89" spans="1:29" ht="18.95" customHeight="1">
      <c r="A89" s="4">
        <f t="shared" si="41"/>
        <v>1460</v>
      </c>
      <c r="B89" s="6">
        <f>INDEX('Raw Data'!$B$6:$B$2882,MATCH(A89,'Raw Data'!$A$6:$A$2882,0))</f>
        <v>49443</v>
      </c>
      <c r="C89" s="6">
        <f t="shared" si="28"/>
        <v>1663</v>
      </c>
      <c r="D89" s="6">
        <f>MOD(C89+Summary!$B$20,Summary!$B$11)</f>
        <v>1744.8006443686454</v>
      </c>
      <c r="E89" s="6">
        <f>_xlfn.XLOOKUP(D89,'Native PMKS'!$C$6:$C$366,'Native PMKS'!$C$6:$C$366,,-1)</f>
        <v>1741.6666666666667</v>
      </c>
      <c r="F89" s="6">
        <f>_xlfn.XLOOKUP(D89,'Native PMKS'!$C$6:$C$366,'Native PMKS'!$C$6:$C$366,,1)</f>
        <v>1750.0000000000002</v>
      </c>
      <c r="G89" s="6">
        <f>_xlfn.XLOOKUP(D89,'Native PMKS'!$C$6:$C$366,'Native PMKS'!$D$6:$D$366,,-1)</f>
        <v>14.9542</v>
      </c>
      <c r="H89" s="6">
        <f>_xlfn.XLOOKUP(D89,'Native PMKS'!$C$6:$C$366,'Native PMKS'!$D$6:$D$366,,1)</f>
        <v>15.412599999999999</v>
      </c>
      <c r="I89" s="6">
        <f t="shared" si="29"/>
        <v>15.126593845430435</v>
      </c>
      <c r="J89" s="6">
        <f>INDEX('Raw Data'!$F$6:$F$2882,MATCH(A89,'Raw Data'!$A$6:$A$2882,0))</f>
        <v>0.3</v>
      </c>
      <c r="K89" s="6">
        <f t="shared" si="30"/>
        <v>0.3</v>
      </c>
      <c r="L89" s="6">
        <f t="shared" si="31"/>
        <v>0.26400886721467132</v>
      </c>
      <c r="M89" s="6">
        <f t="shared" si="32"/>
        <v>3.5991132785328672E-2</v>
      </c>
      <c r="N89" s="6">
        <f t="shared" si="33"/>
        <v>1.2953616391711605E-3</v>
      </c>
      <c r="O89" s="6">
        <f>_xlfn.XLOOKUP(D89,'Instructor 360'!$B$6:$B$365,'Instructor 360'!$B$6:$B$365,,-1)</f>
        <v>1738.1615598885794</v>
      </c>
      <c r="P89" s="6">
        <f>_xlfn.XLOOKUP(D89,'Instructor 360'!$B$6:$B$365,'Instructor 360'!$B$6:$B$365,,1)</f>
        <v>1746.5181058495821</v>
      </c>
      <c r="Q89" s="6">
        <f>_xlfn.XLOOKUP(D89,'Instructor 360'!$B$6:$B$365,'Instructor 360'!$F$6:$F$365,,-1)</f>
        <v>14.737289972144842</v>
      </c>
      <c r="R89" s="6">
        <f>_xlfn.XLOOKUP(D89,'Instructor 360'!$B$6:$B$365,'Instructor 360'!$F$6:$F$365,,1)</f>
        <v>15.221067966573802</v>
      </c>
      <c r="S89" s="6">
        <f t="shared" si="34"/>
        <v>15.121640514773276</v>
      </c>
      <c r="T89" s="6">
        <f t="shared" si="35"/>
        <v>0.26392241528576393</v>
      </c>
      <c r="U89" s="6">
        <f t="shared" si="36"/>
        <v>3.6077584714236055E-2</v>
      </c>
      <c r="V89" s="6"/>
      <c r="W89" s="6">
        <f t="shared" si="37"/>
        <v>1.3015921188128791E-3</v>
      </c>
      <c r="AA89">
        <f t="shared" si="38"/>
        <v>1663</v>
      </c>
      <c r="AB89">
        <f t="shared" si="39"/>
        <v>0.3</v>
      </c>
      <c r="AC89">
        <f t="shared" si="40"/>
        <v>0.26392241528576393</v>
      </c>
    </row>
    <row r="90" spans="1:29" ht="18.95" customHeight="1">
      <c r="A90" s="4">
        <f t="shared" si="41"/>
        <v>1461</v>
      </c>
      <c r="B90" s="6">
        <f>INDEX('Raw Data'!$B$6:$B$2882,MATCH(A90,'Raw Data'!$A$6:$A$2882,0))</f>
        <v>49463</v>
      </c>
      <c r="C90" s="6">
        <f t="shared" si="28"/>
        <v>1683</v>
      </c>
      <c r="D90" s="6">
        <f>MOD(C90+Summary!$B$20,Summary!$B$11)</f>
        <v>1764.8006443686454</v>
      </c>
      <c r="E90" s="6">
        <f>_xlfn.XLOOKUP(D90,'Native PMKS'!$C$6:$C$366,'Native PMKS'!$C$6:$C$366,,-1)</f>
        <v>1758.3333333333335</v>
      </c>
      <c r="F90" s="6">
        <f>_xlfn.XLOOKUP(D90,'Native PMKS'!$C$6:$C$366,'Native PMKS'!$C$6:$C$366,,1)</f>
        <v>1766.6666666666667</v>
      </c>
      <c r="G90" s="6">
        <f>_xlfn.XLOOKUP(D90,'Native PMKS'!$C$6:$C$366,'Native PMKS'!$D$6:$D$366,,-1)</f>
        <v>15.870900000000001</v>
      </c>
      <c r="H90" s="6">
        <f>_xlfn.XLOOKUP(D90,'Native PMKS'!$C$6:$C$366,'Native PMKS'!$D$6:$D$366,,1)</f>
        <v>16.271999999999998</v>
      </c>
      <c r="I90" s="6">
        <f t="shared" si="29"/>
        <v>16.182184614751634</v>
      </c>
      <c r="J90" s="6">
        <f>INDEX('Raw Data'!$F$6:$F$2882,MATCH(A90,'Raw Data'!$A$6:$A$2882,0))</f>
        <v>0.31</v>
      </c>
      <c r="K90" s="6">
        <f t="shared" si="30"/>
        <v>0.31</v>
      </c>
      <c r="L90" s="6">
        <f t="shared" si="31"/>
        <v>0.28243240169298617</v>
      </c>
      <c r="M90" s="6">
        <f t="shared" si="32"/>
        <v>2.756759830701383E-2</v>
      </c>
      <c r="N90" s="6">
        <f t="shared" si="33"/>
        <v>7.5997247641687181E-4</v>
      </c>
      <c r="O90" s="6">
        <f>_xlfn.XLOOKUP(D90,'Instructor 360'!$B$6:$B$365,'Instructor 360'!$B$6:$B$365,,-1)</f>
        <v>1763.2311977715876</v>
      </c>
      <c r="P90" s="6">
        <f>_xlfn.XLOOKUP(D90,'Instructor 360'!$B$6:$B$365,'Instructor 360'!$B$6:$B$365,,1)</f>
        <v>1771.5877437325905</v>
      </c>
      <c r="Q90" s="6">
        <f>_xlfn.XLOOKUP(D90,'Instructor 360'!$B$6:$B$365,'Instructor 360'!$F$6:$F$365,,-1)</f>
        <v>16.106644011142048</v>
      </c>
      <c r="R90" s="6">
        <f>_xlfn.XLOOKUP(D90,'Instructor 360'!$B$6:$B$365,'Instructor 360'!$F$6:$F$365,,1)</f>
        <v>16.542698607242329</v>
      </c>
      <c r="S90" s="6">
        <f t="shared" si="34"/>
        <v>16.18853961791244</v>
      </c>
      <c r="T90" s="6">
        <f t="shared" si="35"/>
        <v>0.28254331742211686</v>
      </c>
      <c r="U90" s="6">
        <f t="shared" si="36"/>
        <v>2.745668257788314E-2</v>
      </c>
      <c r="V90" s="6"/>
      <c r="W90" s="6">
        <f t="shared" si="37"/>
        <v>7.5386941818263154E-4</v>
      </c>
      <c r="AA90">
        <f t="shared" si="38"/>
        <v>1683</v>
      </c>
      <c r="AB90">
        <f t="shared" si="39"/>
        <v>0.31</v>
      </c>
      <c r="AC90">
        <f t="shared" si="40"/>
        <v>0.28254331742211686</v>
      </c>
    </row>
    <row r="91" spans="1:29" ht="18.95" customHeight="1">
      <c r="A91" s="4">
        <f t="shared" si="41"/>
        <v>1462</v>
      </c>
      <c r="B91" s="6">
        <f>INDEX('Raw Data'!$B$6:$B$2882,MATCH(A91,'Raw Data'!$A$6:$A$2882,0))</f>
        <v>49483</v>
      </c>
      <c r="C91" s="6">
        <f t="shared" si="28"/>
        <v>1703</v>
      </c>
      <c r="D91" s="6">
        <f>MOD(C91+Summary!$B$20,Summary!$B$11)</f>
        <v>1784.8006443686454</v>
      </c>
      <c r="E91" s="6">
        <f>_xlfn.XLOOKUP(D91,'Native PMKS'!$C$6:$C$366,'Native PMKS'!$C$6:$C$366,,-1)</f>
        <v>1783.3333333333335</v>
      </c>
      <c r="F91" s="6">
        <f>_xlfn.XLOOKUP(D91,'Native PMKS'!$C$6:$C$366,'Native PMKS'!$C$6:$C$366,,1)</f>
        <v>1791.6666666666667</v>
      </c>
      <c r="G91" s="6">
        <f>_xlfn.XLOOKUP(D91,'Native PMKS'!$C$6:$C$366,'Native PMKS'!$D$6:$D$366,,-1)</f>
        <v>17.188700000000001</v>
      </c>
      <c r="H91" s="6">
        <f>_xlfn.XLOOKUP(D91,'Native PMKS'!$C$6:$C$366,'Native PMKS'!$D$6:$D$366,,1)</f>
        <v>17.5898</v>
      </c>
      <c r="I91" s="6">
        <f t="shared" si="29"/>
        <v>17.259324614751648</v>
      </c>
      <c r="J91" s="6">
        <f>INDEX('Raw Data'!$F$6:$F$2882,MATCH(A91,'Raw Data'!$A$6:$A$2882,0))</f>
        <v>0.34</v>
      </c>
      <c r="K91" s="6">
        <f t="shared" si="30"/>
        <v>0.34</v>
      </c>
      <c r="L91" s="6">
        <f t="shared" si="31"/>
        <v>0.30123204119791813</v>
      </c>
      <c r="M91" s="6">
        <f t="shared" si="32"/>
        <v>3.8767958802081892E-2</v>
      </c>
      <c r="N91" s="6">
        <f t="shared" si="33"/>
        <v>1.5029546296799188E-3</v>
      </c>
      <c r="O91" s="6">
        <f>_xlfn.XLOOKUP(D91,'Instructor 360'!$B$6:$B$365,'Instructor 360'!$B$6:$B$365,,-1)</f>
        <v>1779.9442896935932</v>
      </c>
      <c r="P91" s="6">
        <f>_xlfn.XLOOKUP(D91,'Instructor 360'!$B$6:$B$365,'Instructor 360'!$B$6:$B$365,,1)</f>
        <v>1788.3008356545961</v>
      </c>
      <c r="Q91" s="6">
        <f>_xlfn.XLOOKUP(D91,'Instructor 360'!$B$6:$B$365,'Instructor 360'!$F$6:$F$365,,-1)</f>
        <v>17.00231615598884</v>
      </c>
      <c r="R91" s="6">
        <f>_xlfn.XLOOKUP(D91,'Instructor 360'!$B$6:$B$365,'Instructor 360'!$F$6:$F$365,,1)</f>
        <v>17.427795821727013</v>
      </c>
      <c r="S91" s="6">
        <f t="shared" si="34"/>
        <v>17.249581015595894</v>
      </c>
      <c r="T91" s="6">
        <f t="shared" si="35"/>
        <v>0.30106198331165568</v>
      </c>
      <c r="U91" s="6">
        <f t="shared" si="36"/>
        <v>3.8938016688344346E-2</v>
      </c>
      <c r="V91" s="6"/>
      <c r="W91" s="6">
        <f t="shared" si="37"/>
        <v>1.5161691436217828E-3</v>
      </c>
      <c r="AA91">
        <f t="shared" si="38"/>
        <v>1703</v>
      </c>
      <c r="AB91">
        <f t="shared" si="39"/>
        <v>0.34</v>
      </c>
      <c r="AC91">
        <f t="shared" si="40"/>
        <v>0.30106198331165568</v>
      </c>
    </row>
    <row r="92" spans="1:29" ht="18.95" customHeight="1">
      <c r="A92" s="4">
        <f t="shared" si="41"/>
        <v>1463</v>
      </c>
      <c r="B92" s="6">
        <f>INDEX('Raw Data'!$B$6:$B$2882,MATCH(A92,'Raw Data'!$A$6:$A$2882,0))</f>
        <v>49503</v>
      </c>
      <c r="C92" s="6">
        <f t="shared" si="28"/>
        <v>1723</v>
      </c>
      <c r="D92" s="6">
        <f>MOD(C92+Summary!$B$20,Summary!$B$11)</f>
        <v>1804.8006443686454</v>
      </c>
      <c r="E92" s="6">
        <f>_xlfn.XLOOKUP(D92,'Native PMKS'!$C$6:$C$366,'Native PMKS'!$C$6:$C$366,,-1)</f>
        <v>1800.0000000000002</v>
      </c>
      <c r="F92" s="6">
        <f>_xlfn.XLOOKUP(D92,'Native PMKS'!$C$6:$C$366,'Native PMKS'!$C$6:$C$366,,1)</f>
        <v>1808.3333333333335</v>
      </c>
      <c r="G92" s="6">
        <f>_xlfn.XLOOKUP(D92,'Native PMKS'!$C$6:$C$366,'Native PMKS'!$D$6:$D$366,,-1)</f>
        <v>18.048200000000001</v>
      </c>
      <c r="H92" s="6">
        <f>_xlfn.XLOOKUP(D92,'Native PMKS'!$C$6:$C$366,'Native PMKS'!$D$6:$D$366,,1)</f>
        <v>18.449200000000001</v>
      </c>
      <c r="I92" s="6">
        <f t="shared" si="29"/>
        <v>18.279207007019195</v>
      </c>
      <c r="J92" s="6">
        <f>INDEX('Raw Data'!$F$6:$F$2882,MATCH(A92,'Raw Data'!$A$6:$A$2882,0))</f>
        <v>0.36</v>
      </c>
      <c r="K92" s="6">
        <f t="shared" si="30"/>
        <v>0.36</v>
      </c>
      <c r="L92" s="6">
        <f t="shared" si="31"/>
        <v>0.31903234692610322</v>
      </c>
      <c r="M92" s="6">
        <f t="shared" si="32"/>
        <v>4.096765307389677E-2</v>
      </c>
      <c r="N92" s="6">
        <f t="shared" si="33"/>
        <v>1.6783485983831634E-3</v>
      </c>
      <c r="O92" s="6">
        <f>_xlfn.XLOOKUP(D92,'Instructor 360'!$B$6:$B$365,'Instructor 360'!$B$6:$B$365,,-1)</f>
        <v>1796.657381615599</v>
      </c>
      <c r="P92" s="6">
        <f>_xlfn.XLOOKUP(D92,'Instructor 360'!$B$6:$B$365,'Instructor 360'!$B$6:$B$365,,1)</f>
        <v>1805.0139275766016</v>
      </c>
      <c r="Q92" s="6">
        <f>_xlfn.XLOOKUP(D92,'Instructor 360'!$B$6:$B$365,'Instructor 360'!$F$6:$F$365,,-1)</f>
        <v>17.86432924791086</v>
      </c>
      <c r="R92" s="6">
        <f>_xlfn.XLOOKUP(D92,'Instructor 360'!$B$6:$B$365,'Instructor 360'!$F$6:$F$365,,1)</f>
        <v>18.289470194986063</v>
      </c>
      <c r="S92" s="6">
        <f t="shared" si="34"/>
        <v>18.278619369124641</v>
      </c>
      <c r="T92" s="6">
        <f t="shared" si="35"/>
        <v>0.31902209071003373</v>
      </c>
      <c r="U92" s="6">
        <f t="shared" si="36"/>
        <v>4.0977909289966252E-2</v>
      </c>
      <c r="V92" s="6"/>
      <c r="W92" s="6">
        <f t="shared" si="37"/>
        <v>1.6791890497767025E-3</v>
      </c>
      <c r="AA92">
        <f t="shared" si="38"/>
        <v>1723</v>
      </c>
      <c r="AB92">
        <f t="shared" si="39"/>
        <v>0.36</v>
      </c>
      <c r="AC92">
        <f t="shared" si="40"/>
        <v>0.31902209071003373</v>
      </c>
    </row>
    <row r="93" spans="1:29" ht="18.95" customHeight="1">
      <c r="A93" s="4">
        <f t="shared" si="41"/>
        <v>1464</v>
      </c>
      <c r="B93" s="6">
        <f>INDEX('Raw Data'!$B$6:$B$2882,MATCH(A93,'Raw Data'!$A$6:$A$2882,0))</f>
        <v>49523</v>
      </c>
      <c r="C93" s="6">
        <f t="shared" si="28"/>
        <v>1743</v>
      </c>
      <c r="D93" s="6">
        <f>MOD(C93+Summary!$B$20,Summary!$B$11)</f>
        <v>1824.8006443686454</v>
      </c>
      <c r="E93" s="6">
        <f>_xlfn.XLOOKUP(D93,'Native PMKS'!$C$6:$C$366,'Native PMKS'!$C$6:$C$366,,-1)</f>
        <v>1816.6666666666667</v>
      </c>
      <c r="F93" s="6">
        <f>_xlfn.XLOOKUP(D93,'Native PMKS'!$C$6:$C$366,'Native PMKS'!$C$6:$C$366,,1)</f>
        <v>1825.0000000000002</v>
      </c>
      <c r="G93" s="6">
        <f>_xlfn.XLOOKUP(D93,'Native PMKS'!$C$6:$C$366,'Native PMKS'!$D$6:$D$366,,-1)</f>
        <v>18.850300000000001</v>
      </c>
      <c r="H93" s="6">
        <f>_xlfn.XLOOKUP(D93,'Native PMKS'!$C$6:$C$366,'Native PMKS'!$D$6:$D$366,,1)</f>
        <v>19.2514</v>
      </c>
      <c r="I93" s="6">
        <f t="shared" si="29"/>
        <v>19.241804614751615</v>
      </c>
      <c r="J93" s="6">
        <f>INDEX('Raw Data'!$F$6:$F$2882,MATCH(A93,'Raw Data'!$A$6:$A$2882,0))</f>
        <v>0.4</v>
      </c>
      <c r="K93" s="6">
        <f t="shared" si="30"/>
        <v>0.4</v>
      </c>
      <c r="L93" s="6">
        <f t="shared" si="31"/>
        <v>0.33583284455285473</v>
      </c>
      <c r="M93" s="6">
        <f t="shared" si="32"/>
        <v>6.4167155447145297E-2</v>
      </c>
      <c r="N93" s="6">
        <f t="shared" si="33"/>
        <v>4.1174238381781079E-3</v>
      </c>
      <c r="O93" s="6">
        <f>_xlfn.XLOOKUP(D93,'Instructor 360'!$B$6:$B$365,'Instructor 360'!$B$6:$B$365,,-1)</f>
        <v>1821.7270194986072</v>
      </c>
      <c r="P93" s="6">
        <f>_xlfn.XLOOKUP(D93,'Instructor 360'!$B$6:$B$365,'Instructor 360'!$B$6:$B$365,,1)</f>
        <v>1830.0835654596101</v>
      </c>
      <c r="Q93" s="6">
        <f>_xlfn.XLOOKUP(D93,'Instructor 360'!$B$6:$B$365,'Instructor 360'!$F$6:$F$365,,-1)</f>
        <v>19.093864902506954</v>
      </c>
      <c r="R93" s="6">
        <f>_xlfn.XLOOKUP(D93,'Instructor 360'!$B$6:$B$365,'Instructor 360'!$F$6:$F$365,,1)</f>
        <v>19.496082172701943</v>
      </c>
      <c r="S93" s="6">
        <f t="shared" si="34"/>
        <v>19.241804614751629</v>
      </c>
      <c r="T93" s="6">
        <f t="shared" si="35"/>
        <v>0.335832844552855</v>
      </c>
      <c r="U93" s="6">
        <f t="shared" si="36"/>
        <v>6.4167155447145019E-2</v>
      </c>
      <c r="V93" s="6"/>
      <c r="W93" s="6">
        <f t="shared" si="37"/>
        <v>4.1174238381780724E-3</v>
      </c>
      <c r="AA93">
        <f t="shared" si="38"/>
        <v>1743</v>
      </c>
      <c r="AB93">
        <f t="shared" si="39"/>
        <v>0.4</v>
      </c>
      <c r="AC93">
        <f t="shared" si="40"/>
        <v>0.335832844552855</v>
      </c>
    </row>
    <row r="94" spans="1:29" ht="18.95" customHeight="1">
      <c r="A94" s="4">
        <f t="shared" si="41"/>
        <v>1465</v>
      </c>
      <c r="B94" s="6">
        <f>INDEX('Raw Data'!$B$6:$B$2882,MATCH(A94,'Raw Data'!$A$6:$A$2882,0))</f>
        <v>49543</v>
      </c>
      <c r="C94" s="6">
        <f t="shared" si="28"/>
        <v>1763</v>
      </c>
      <c r="D94" s="6">
        <f>MOD(C94+Summary!$B$20,Summary!$B$11)</f>
        <v>1844.8006443686454</v>
      </c>
      <c r="E94" s="6">
        <f>_xlfn.XLOOKUP(D94,'Native PMKS'!$C$6:$C$366,'Native PMKS'!$C$6:$C$366,,-1)</f>
        <v>1841.6666666666667</v>
      </c>
      <c r="F94" s="6">
        <f>_xlfn.XLOOKUP(D94,'Native PMKS'!$C$6:$C$366,'Native PMKS'!$C$6:$C$366,,1)</f>
        <v>1850.0000000000002</v>
      </c>
      <c r="G94" s="6">
        <f>_xlfn.XLOOKUP(D94,'Native PMKS'!$C$6:$C$366,'Native PMKS'!$D$6:$D$366,,-1)</f>
        <v>20.0535</v>
      </c>
      <c r="H94" s="6">
        <f>_xlfn.XLOOKUP(D94,'Native PMKS'!$C$6:$C$366,'Native PMKS'!$D$6:$D$366,,1)</f>
        <v>20.454599999999999</v>
      </c>
      <c r="I94" s="6">
        <f t="shared" si="29"/>
        <v>20.204344614751648</v>
      </c>
      <c r="J94" s="6">
        <f>INDEX('Raw Data'!$F$6:$F$2882,MATCH(A94,'Raw Data'!$A$6:$A$2882,0))</f>
        <v>0.41</v>
      </c>
      <c r="K94" s="6">
        <f t="shared" si="30"/>
        <v>0.41</v>
      </c>
      <c r="L94" s="6">
        <f t="shared" si="31"/>
        <v>0.35263233673500149</v>
      </c>
      <c r="M94" s="6">
        <f t="shared" si="32"/>
        <v>5.7367663264998481E-2</v>
      </c>
      <c r="N94" s="6">
        <f t="shared" si="33"/>
        <v>3.2910487884862563E-3</v>
      </c>
      <c r="O94" s="6">
        <f>_xlfn.XLOOKUP(D94,'Instructor 360'!$B$6:$B$365,'Instructor 360'!$B$6:$B$365,,-1)</f>
        <v>1838.4401114206128</v>
      </c>
      <c r="P94" s="6">
        <f>_xlfn.XLOOKUP(D94,'Instructor 360'!$B$6:$B$365,'Instructor 360'!$B$6:$B$365,,1)</f>
        <v>1846.7966573816157</v>
      </c>
      <c r="Q94" s="6">
        <f>_xlfn.XLOOKUP(D94,'Instructor 360'!$B$6:$B$365,'Instructor 360'!$F$6:$F$365,,-1)</f>
        <v>19.898238161559881</v>
      </c>
      <c r="R94" s="6">
        <f>_xlfn.XLOOKUP(D94,'Instructor 360'!$B$6:$B$365,'Instructor 360'!$F$6:$F$365,,1)</f>
        <v>20.300416713091916</v>
      </c>
      <c r="S94" s="6">
        <f t="shared" si="34"/>
        <v>20.204353862945254</v>
      </c>
      <c r="T94" s="6">
        <f t="shared" si="35"/>
        <v>0.35263249814642983</v>
      </c>
      <c r="U94" s="6">
        <f t="shared" si="36"/>
        <v>5.7367501853570146E-2</v>
      </c>
      <c r="V94" s="6"/>
      <c r="W94" s="6">
        <f t="shared" si="37"/>
        <v>3.2910302689193741E-3</v>
      </c>
      <c r="AA94">
        <f t="shared" si="38"/>
        <v>1763</v>
      </c>
      <c r="AB94">
        <f t="shared" si="39"/>
        <v>0.41</v>
      </c>
      <c r="AC94">
        <f t="shared" si="40"/>
        <v>0.35263249814642983</v>
      </c>
    </row>
    <row r="95" spans="1:29" ht="18.95" customHeight="1">
      <c r="A95" s="4">
        <f t="shared" si="41"/>
        <v>1466</v>
      </c>
      <c r="B95" s="6">
        <f>INDEX('Raw Data'!$B$6:$B$2882,MATCH(A95,'Raw Data'!$A$6:$A$2882,0))</f>
        <v>49563</v>
      </c>
      <c r="C95" s="6">
        <f t="shared" si="28"/>
        <v>1783</v>
      </c>
      <c r="D95" s="6">
        <f>MOD(C95+Summary!$B$20,Summary!$B$11)</f>
        <v>1864.8006443686454</v>
      </c>
      <c r="E95" s="6">
        <f>_xlfn.XLOOKUP(D95,'Native PMKS'!$C$6:$C$366,'Native PMKS'!$C$6:$C$366,,-1)</f>
        <v>1858.3333333333335</v>
      </c>
      <c r="F95" s="6">
        <f>_xlfn.XLOOKUP(D95,'Native PMKS'!$C$6:$C$366,'Native PMKS'!$C$6:$C$366,,1)</f>
        <v>1866.6666666666667</v>
      </c>
      <c r="G95" s="6">
        <f>_xlfn.XLOOKUP(D95,'Native PMKS'!$C$6:$C$366,'Native PMKS'!$D$6:$D$366,,-1)</f>
        <v>20.855699999999999</v>
      </c>
      <c r="H95" s="6">
        <f>_xlfn.XLOOKUP(D95,'Native PMKS'!$C$6:$C$366,'Native PMKS'!$D$6:$D$366,,1)</f>
        <v>21.199400000000001</v>
      </c>
      <c r="I95" s="6">
        <f t="shared" si="29"/>
        <v>21.122437776340412</v>
      </c>
      <c r="J95" s="6">
        <f>INDEX('Raw Data'!$F$6:$F$2882,MATCH(A95,'Raw Data'!$A$6:$A$2882,0))</f>
        <v>0.42</v>
      </c>
      <c r="K95" s="6">
        <f t="shared" si="30"/>
        <v>0.42</v>
      </c>
      <c r="L95" s="6">
        <f t="shared" si="31"/>
        <v>0.36865608524476984</v>
      </c>
      <c r="M95" s="6">
        <f t="shared" si="32"/>
        <v>5.1343914755230147E-2</v>
      </c>
      <c r="N95" s="6">
        <f t="shared" si="33"/>
        <v>2.6361975823923399E-3</v>
      </c>
      <c r="O95" s="6">
        <f>_xlfn.XLOOKUP(D95,'Instructor 360'!$B$6:$B$365,'Instructor 360'!$B$6:$B$365,,-1)</f>
        <v>1863.5097493036212</v>
      </c>
      <c r="P95" s="6">
        <f>_xlfn.XLOOKUP(D95,'Instructor 360'!$B$6:$B$365,'Instructor 360'!$B$6:$B$365,,1)</f>
        <v>1871.8662952646239</v>
      </c>
      <c r="Q95" s="6">
        <f>_xlfn.XLOOKUP(D95,'Instructor 360'!$B$6:$B$365,'Instructor 360'!$F$6:$F$365,,-1)</f>
        <v>21.06919610027855</v>
      </c>
      <c r="R95" s="6">
        <f>_xlfn.XLOOKUP(D95,'Instructor 360'!$B$6:$B$365,'Instructor 360'!$F$6:$F$365,,1)</f>
        <v>21.413915877437315</v>
      </c>
      <c r="S95" s="6">
        <f t="shared" si="34"/>
        <v>21.122447415023565</v>
      </c>
      <c r="T95" s="6">
        <f t="shared" si="35"/>
        <v>0.36865625347152636</v>
      </c>
      <c r="U95" s="6">
        <f t="shared" si="36"/>
        <v>5.1343746528473622E-2</v>
      </c>
      <c r="V95" s="6"/>
      <c r="W95" s="6">
        <f t="shared" si="37"/>
        <v>2.6361803075801472E-3</v>
      </c>
      <c r="AA95">
        <f t="shared" si="38"/>
        <v>1783</v>
      </c>
      <c r="AB95">
        <f t="shared" si="39"/>
        <v>0.42</v>
      </c>
      <c r="AC95">
        <f t="shared" si="40"/>
        <v>0.36865625347152636</v>
      </c>
    </row>
    <row r="96" spans="1:29" ht="18.95" customHeight="1">
      <c r="A96" s="4">
        <f t="shared" si="41"/>
        <v>1467</v>
      </c>
      <c r="B96" s="6">
        <f>INDEX('Raw Data'!$B$6:$B$2882,MATCH(A96,'Raw Data'!$A$6:$A$2882,0))</f>
        <v>49583</v>
      </c>
      <c r="C96" s="6">
        <f t="shared" si="28"/>
        <v>1803</v>
      </c>
      <c r="D96" s="6">
        <f>MOD(C96+Summary!$B$20,Summary!$B$11)</f>
        <v>1884.8006443686454</v>
      </c>
      <c r="E96" s="6">
        <f>_xlfn.XLOOKUP(D96,'Native PMKS'!$C$6:$C$366,'Native PMKS'!$C$6:$C$366,,-1)</f>
        <v>1883.3333333333335</v>
      </c>
      <c r="F96" s="6">
        <f>_xlfn.XLOOKUP(D96,'Native PMKS'!$C$6:$C$366,'Native PMKS'!$C$6:$C$366,,1)</f>
        <v>1891.6666666666667</v>
      </c>
      <c r="G96" s="6">
        <f>_xlfn.XLOOKUP(D96,'Native PMKS'!$C$6:$C$366,'Native PMKS'!$D$6:$D$366,,-1)</f>
        <v>21.944299999999998</v>
      </c>
      <c r="H96" s="6">
        <f>_xlfn.XLOOKUP(D96,'Native PMKS'!$C$6:$C$366,'Native PMKS'!$D$6:$D$366,,1)</f>
        <v>22.2881</v>
      </c>
      <c r="I96" s="6">
        <f t="shared" si="29"/>
        <v>22.004835384072827</v>
      </c>
      <c r="J96" s="6">
        <f>INDEX('Raw Data'!$F$6:$F$2882,MATCH(A96,'Raw Data'!$A$6:$A$2882,0))</f>
        <v>0.44</v>
      </c>
      <c r="K96" s="6">
        <f t="shared" si="30"/>
        <v>0.44</v>
      </c>
      <c r="L96" s="6">
        <f t="shared" si="31"/>
        <v>0.38405682881142184</v>
      </c>
      <c r="M96" s="6">
        <f t="shared" si="32"/>
        <v>5.5943171188578167E-2</v>
      </c>
      <c r="N96" s="6">
        <f t="shared" si="33"/>
        <v>3.1296384026345621E-3</v>
      </c>
      <c r="O96" s="6">
        <f>_xlfn.XLOOKUP(D96,'Instructor 360'!$B$6:$B$365,'Instructor 360'!$B$6:$B$365,,-1)</f>
        <v>1880.2228412256268</v>
      </c>
      <c r="P96" s="6">
        <f>_xlfn.XLOOKUP(D96,'Instructor 360'!$B$6:$B$365,'Instructor 360'!$B$6:$B$365,,1)</f>
        <v>1888.5793871866294</v>
      </c>
      <c r="Q96" s="6">
        <f>_xlfn.XLOOKUP(D96,'Instructor 360'!$B$6:$B$365,'Instructor 360'!$F$6:$F$365,,-1)</f>
        <v>21.794585793871857</v>
      </c>
      <c r="R96" s="6">
        <f>_xlfn.XLOOKUP(D96,'Instructor 360'!$B$6:$B$365,'Instructor 360'!$F$6:$F$365,,1)</f>
        <v>22.160731197771579</v>
      </c>
      <c r="S96" s="6">
        <f t="shared" si="34"/>
        <v>21.995164069704487</v>
      </c>
      <c r="T96" s="6">
        <f t="shared" si="35"/>
        <v>0.38388803253269882</v>
      </c>
      <c r="U96" s="6">
        <f t="shared" si="36"/>
        <v>5.6111967467301183E-2</v>
      </c>
      <c r="V96" s="6"/>
      <c r="W96" s="6">
        <f t="shared" si="37"/>
        <v>3.1485528930514663E-3</v>
      </c>
      <c r="AA96">
        <f t="shared" si="38"/>
        <v>1803</v>
      </c>
      <c r="AB96">
        <f t="shared" si="39"/>
        <v>0.44</v>
      </c>
      <c r="AC96">
        <f t="shared" si="40"/>
        <v>0.38388803253269882</v>
      </c>
    </row>
    <row r="97" spans="1:29" ht="18.95" customHeight="1">
      <c r="A97" s="4">
        <f t="shared" si="41"/>
        <v>1468</v>
      </c>
      <c r="B97" s="6">
        <f>INDEX('Raw Data'!$B$6:$B$2882,MATCH(A97,'Raw Data'!$A$6:$A$2882,0))</f>
        <v>49603</v>
      </c>
      <c r="C97" s="6">
        <f t="shared" si="28"/>
        <v>1823</v>
      </c>
      <c r="D97" s="6">
        <f>MOD(C97+Summary!$B$20,Summary!$B$11)</f>
        <v>1904.8006443686454</v>
      </c>
      <c r="E97" s="6">
        <f>_xlfn.XLOOKUP(D97,'Native PMKS'!$C$6:$C$366,'Native PMKS'!$C$6:$C$366,,-1)</f>
        <v>1900.0000000000002</v>
      </c>
      <c r="F97" s="6">
        <f>_xlfn.XLOOKUP(D97,'Native PMKS'!$C$6:$C$366,'Native PMKS'!$C$6:$C$366,,1)</f>
        <v>1908.3333333333335</v>
      </c>
      <c r="G97" s="6">
        <f>_xlfn.XLOOKUP(D97,'Native PMKS'!$C$6:$C$366,'Native PMKS'!$D$6:$D$366,,-1)</f>
        <v>22.631799999999998</v>
      </c>
      <c r="H97" s="6">
        <f>_xlfn.XLOOKUP(D97,'Native PMKS'!$C$6:$C$366,'Native PMKS'!$D$6:$D$366,,1)</f>
        <v>22.9756</v>
      </c>
      <c r="I97" s="6">
        <f t="shared" si="29"/>
        <v>22.829855384072822</v>
      </c>
      <c r="J97" s="6">
        <f>INDEX('Raw Data'!$F$6:$F$2882,MATCH(A97,'Raw Data'!$A$6:$A$2882,0))</f>
        <v>0.48</v>
      </c>
      <c r="K97" s="6">
        <f t="shared" si="30"/>
        <v>0.48</v>
      </c>
      <c r="L97" s="6">
        <f t="shared" si="31"/>
        <v>0.39845614420622533</v>
      </c>
      <c r="M97" s="6">
        <f t="shared" si="32"/>
        <v>8.1543855793774656E-2</v>
      </c>
      <c r="N97" s="6">
        <f t="shared" si="33"/>
        <v>6.6494004177159163E-3</v>
      </c>
      <c r="O97" s="6">
        <f>_xlfn.XLOOKUP(D97,'Instructor 360'!$B$6:$B$365,'Instructor 360'!$B$6:$B$365,,-1)</f>
        <v>1896.9359331476323</v>
      </c>
      <c r="P97" s="6">
        <f>_xlfn.XLOOKUP(D97,'Instructor 360'!$B$6:$B$365,'Instructor 360'!$B$6:$B$365,,1)</f>
        <v>1905.292479108635</v>
      </c>
      <c r="Q97" s="6">
        <f>_xlfn.XLOOKUP(D97,'Instructor 360'!$B$6:$B$365,'Instructor 360'!$F$6:$F$365,,-1)</f>
        <v>22.505425626740941</v>
      </c>
      <c r="R97" s="6">
        <f>_xlfn.XLOOKUP(D97,'Instructor 360'!$B$6:$B$365,'Instructor 360'!$F$6:$F$365,,1)</f>
        <v>22.850146518105838</v>
      </c>
      <c r="S97" s="6">
        <f t="shared" si="34"/>
        <v>22.829857548145682</v>
      </c>
      <c r="T97" s="6">
        <f t="shared" si="35"/>
        <v>0.39845618197642196</v>
      </c>
      <c r="U97" s="6">
        <f t="shared" si="36"/>
        <v>8.1543818023578019E-2</v>
      </c>
      <c r="V97" s="6"/>
      <c r="W97" s="6">
        <f t="shared" si="37"/>
        <v>6.6493942578624071E-3</v>
      </c>
      <c r="AA97">
        <f t="shared" si="38"/>
        <v>1823</v>
      </c>
      <c r="AB97">
        <f t="shared" si="39"/>
        <v>0.48</v>
      </c>
      <c r="AC97">
        <f t="shared" si="40"/>
        <v>0.39845618197642196</v>
      </c>
    </row>
    <row r="98" spans="1:29" ht="18.95" customHeight="1">
      <c r="A98" s="4">
        <f t="shared" si="41"/>
        <v>1469</v>
      </c>
      <c r="B98" s="6">
        <f>INDEX('Raw Data'!$B$6:$B$2882,MATCH(A98,'Raw Data'!$A$6:$A$2882,0))</f>
        <v>49623</v>
      </c>
      <c r="C98" s="6">
        <f t="shared" si="28"/>
        <v>1843</v>
      </c>
      <c r="D98" s="6">
        <f>MOD(C98+Summary!$B$20,Summary!$B$11)</f>
        <v>1924.8006443686454</v>
      </c>
      <c r="E98" s="6">
        <f>_xlfn.XLOOKUP(D98,'Native PMKS'!$C$6:$C$366,'Native PMKS'!$C$6:$C$366,,-1)</f>
        <v>1916.6666666666667</v>
      </c>
      <c r="F98" s="6">
        <f>_xlfn.XLOOKUP(D98,'Native PMKS'!$C$6:$C$366,'Native PMKS'!$C$6:$C$366,,1)</f>
        <v>1925.0000000000002</v>
      </c>
      <c r="G98" s="6">
        <f>_xlfn.XLOOKUP(D98,'Native PMKS'!$C$6:$C$366,'Native PMKS'!$D$6:$D$366,,-1)</f>
        <v>23.319400000000002</v>
      </c>
      <c r="H98" s="6">
        <f>_xlfn.XLOOKUP(D98,'Native PMKS'!$C$6:$C$366,'Native PMKS'!$D$6:$D$366,,1)</f>
        <v>23.605899999999998</v>
      </c>
      <c r="I98" s="6">
        <f t="shared" si="29"/>
        <v>23.599046153394028</v>
      </c>
      <c r="J98" s="6">
        <f>INDEX('Raw Data'!$F$6:$F$2882,MATCH(A98,'Raw Data'!$A$6:$A$2882,0))</f>
        <v>0.49</v>
      </c>
      <c r="K98" s="6">
        <f t="shared" si="30"/>
        <v>0.49</v>
      </c>
      <c r="L98" s="6">
        <f t="shared" si="31"/>
        <v>0.41188105570682859</v>
      </c>
      <c r="M98" s="6">
        <f t="shared" si="32"/>
        <v>7.81189442931714E-2</v>
      </c>
      <c r="N98" s="6">
        <f t="shared" si="33"/>
        <v>6.1025694574796162E-3</v>
      </c>
      <c r="O98" s="6">
        <f>_xlfn.XLOOKUP(D98,'Instructor 360'!$B$6:$B$365,'Instructor 360'!$B$6:$B$365,,-1)</f>
        <v>1922.0055710306406</v>
      </c>
      <c r="P98" s="6">
        <f>_xlfn.XLOOKUP(D98,'Instructor 360'!$B$6:$B$365,'Instructor 360'!$B$6:$B$365,,1)</f>
        <v>1930.3621169916435</v>
      </c>
      <c r="Q98" s="6">
        <f>_xlfn.XLOOKUP(D98,'Instructor 360'!$B$6:$B$365,'Instructor 360'!$F$6:$F$365,,-1)</f>
        <v>23.502951532033418</v>
      </c>
      <c r="R98" s="6">
        <f>_xlfn.XLOOKUP(D98,'Instructor 360'!$B$6:$B$365,'Instructor 360'!$F$6:$F$365,,1)</f>
        <v>23.827055153203336</v>
      </c>
      <c r="S98" s="6">
        <f t="shared" si="34"/>
        <v>23.611356774403944</v>
      </c>
      <c r="T98" s="6">
        <f t="shared" si="35"/>
        <v>0.41209591657641681</v>
      </c>
      <c r="U98" s="6">
        <f t="shared" si="36"/>
        <v>7.7904083423583181E-2</v>
      </c>
      <c r="V98" s="6"/>
      <c r="W98" s="6">
        <f t="shared" si="37"/>
        <v>6.0690462140686081E-3</v>
      </c>
      <c r="AA98">
        <f t="shared" si="38"/>
        <v>1843</v>
      </c>
      <c r="AB98">
        <f t="shared" si="39"/>
        <v>0.49</v>
      </c>
      <c r="AC98">
        <f t="shared" si="40"/>
        <v>0.41209591657641681</v>
      </c>
    </row>
    <row r="99" spans="1:29" ht="18.95" customHeight="1">
      <c r="A99" s="4">
        <f t="shared" si="41"/>
        <v>1470</v>
      </c>
      <c r="B99" s="6">
        <f>INDEX('Raw Data'!$B$6:$B$2882,MATCH(A99,'Raw Data'!$A$6:$A$2882,0))</f>
        <v>49643</v>
      </c>
      <c r="C99" s="6">
        <f t="shared" si="28"/>
        <v>1863</v>
      </c>
      <c r="D99" s="6">
        <f>MOD(C99+Summary!$B$20,Summary!$B$11)</f>
        <v>1944.8006443686454</v>
      </c>
      <c r="E99" s="6">
        <f>_xlfn.XLOOKUP(D99,'Native PMKS'!$C$6:$C$366,'Native PMKS'!$C$6:$C$366,,-1)</f>
        <v>1941.6666666666667</v>
      </c>
      <c r="F99" s="6">
        <f>_xlfn.XLOOKUP(D99,'Native PMKS'!$C$6:$C$366,'Native PMKS'!$C$6:$C$366,,1)</f>
        <v>1950.0000000000002</v>
      </c>
      <c r="G99" s="6">
        <f>_xlfn.XLOOKUP(D99,'Native PMKS'!$C$6:$C$366,'Native PMKS'!$D$6:$D$366,,-1)</f>
        <v>24.2361</v>
      </c>
      <c r="H99" s="6">
        <f>_xlfn.XLOOKUP(D99,'Native PMKS'!$C$6:$C$366,'Native PMKS'!$D$6:$D$366,,1)</f>
        <v>24.579899999999999</v>
      </c>
      <c r="I99" s="6">
        <f t="shared" si="29"/>
        <v>24.365395384072826</v>
      </c>
      <c r="J99" s="6">
        <f>INDEX('Raw Data'!$F$6:$F$2882,MATCH(A99,'Raw Data'!$A$6:$A$2882,0))</f>
        <v>0.5</v>
      </c>
      <c r="K99" s="6">
        <f t="shared" si="30"/>
        <v>0.5</v>
      </c>
      <c r="L99" s="6">
        <f t="shared" si="31"/>
        <v>0.42525637300229918</v>
      </c>
      <c r="M99" s="6">
        <f t="shared" si="32"/>
        <v>7.4743626997700818E-2</v>
      </c>
      <c r="N99" s="6">
        <f t="shared" si="33"/>
        <v>5.5866097767714304E-3</v>
      </c>
      <c r="O99" s="6">
        <f>_xlfn.XLOOKUP(D99,'Instructor 360'!$B$6:$B$365,'Instructor 360'!$B$6:$B$365,,-1)</f>
        <v>1938.7186629526461</v>
      </c>
      <c r="P99" s="6">
        <f>_xlfn.XLOOKUP(D99,'Instructor 360'!$B$6:$B$365,'Instructor 360'!$B$6:$B$365,,1)</f>
        <v>1947.075208913649</v>
      </c>
      <c r="Q99" s="6">
        <f>_xlfn.XLOOKUP(D99,'Instructor 360'!$B$6:$B$365,'Instructor 360'!$F$6:$F$365,,-1)</f>
        <v>24.134747632311971</v>
      </c>
      <c r="R99" s="6">
        <f>_xlfn.XLOOKUP(D99,'Instructor 360'!$B$6:$B$365,'Instructor 360'!$F$6:$F$365,,1)</f>
        <v>24.459234818941496</v>
      </c>
      <c r="S99" s="6">
        <f t="shared" si="34"/>
        <v>24.370912795289648</v>
      </c>
      <c r="T99" s="6">
        <f t="shared" si="35"/>
        <v>0.42535266999421911</v>
      </c>
      <c r="U99" s="6">
        <f t="shared" si="36"/>
        <v>7.4647330005780888E-2</v>
      </c>
      <c r="V99" s="6"/>
      <c r="W99" s="6">
        <f t="shared" si="37"/>
        <v>5.5722238769919559E-3</v>
      </c>
      <c r="AA99">
        <f t="shared" si="38"/>
        <v>1863</v>
      </c>
      <c r="AB99">
        <f t="shared" si="39"/>
        <v>0.5</v>
      </c>
      <c r="AC99">
        <f t="shared" si="40"/>
        <v>0.42535266999421911</v>
      </c>
    </row>
    <row r="100" spans="1:29" ht="18.95" customHeight="1">
      <c r="A100" s="4">
        <f t="shared" si="41"/>
        <v>1471</v>
      </c>
      <c r="B100" s="6">
        <f>INDEX('Raw Data'!$B$6:$B$2882,MATCH(A100,'Raw Data'!$A$6:$A$2882,0))</f>
        <v>49664</v>
      </c>
      <c r="C100" s="6">
        <f t="shared" si="28"/>
        <v>1884</v>
      </c>
      <c r="D100" s="6">
        <f>MOD(C100+Summary!$B$20,Summary!$B$11)</f>
        <v>1965.8006443686454</v>
      </c>
      <c r="E100" s="6">
        <f>_xlfn.XLOOKUP(D100,'Native PMKS'!$C$6:$C$366,'Native PMKS'!$C$6:$C$366,,-1)</f>
        <v>1958.3333333333335</v>
      </c>
      <c r="F100" s="6">
        <f>_xlfn.XLOOKUP(D100,'Native PMKS'!$C$6:$C$366,'Native PMKS'!$C$6:$C$366,,1)</f>
        <v>1966.6666666666667</v>
      </c>
      <c r="G100" s="6">
        <f>_xlfn.XLOOKUP(D100,'Native PMKS'!$C$6:$C$366,'Native PMKS'!$D$6:$D$366,,-1)</f>
        <v>24.866399999999999</v>
      </c>
      <c r="H100" s="6">
        <f>_xlfn.XLOOKUP(D100,'Native PMKS'!$C$6:$C$366,'Native PMKS'!$D$6:$D$366,,1)</f>
        <v>25.152799999999999</v>
      </c>
      <c r="I100" s="6">
        <f t="shared" si="29"/>
        <v>25.123036545661598</v>
      </c>
      <c r="J100" s="6">
        <f>INDEX('Raw Data'!$F$6:$F$2882,MATCH(A100,'Raw Data'!$A$6:$A$2882,0))</f>
        <v>0.49</v>
      </c>
      <c r="K100" s="6">
        <f t="shared" si="30"/>
        <v>0.49</v>
      </c>
      <c r="L100" s="6">
        <f t="shared" si="31"/>
        <v>0.43847970582065759</v>
      </c>
      <c r="M100" s="6">
        <f t="shared" si="32"/>
        <v>5.1520294179342396E-2</v>
      </c>
      <c r="N100" s="6">
        <f t="shared" si="33"/>
        <v>2.6543407123259819E-3</v>
      </c>
      <c r="O100" s="6">
        <f>_xlfn.XLOOKUP(D100,'Instructor 360'!$B$6:$B$365,'Instructor 360'!$B$6:$B$365,,-1)</f>
        <v>1963.7883008356546</v>
      </c>
      <c r="P100" s="6">
        <f>_xlfn.XLOOKUP(D100,'Instructor 360'!$B$6:$B$365,'Instructor 360'!$B$6:$B$365,,1)</f>
        <v>1972.1448467966575</v>
      </c>
      <c r="Q100" s="6">
        <f>_xlfn.XLOOKUP(D100,'Instructor 360'!$B$6:$B$365,'Instructor 360'!$F$6:$F$365,,-1)</f>
        <v>25.053876323119773</v>
      </c>
      <c r="R100" s="6">
        <f>_xlfn.XLOOKUP(D100,'Instructor 360'!$B$6:$B$365,'Instructor 360'!$F$6:$F$365,,1)</f>
        <v>25.303471866295261</v>
      </c>
      <c r="S100" s="6">
        <f t="shared" si="34"/>
        <v>25.113981536388081</v>
      </c>
      <c r="T100" s="6">
        <f t="shared" si="35"/>
        <v>0.43832166609503609</v>
      </c>
      <c r="U100" s="6">
        <f t="shared" si="36"/>
        <v>5.1678333904963902E-2</v>
      </c>
      <c r="V100" s="6"/>
      <c r="W100" s="6">
        <f t="shared" si="37"/>
        <v>2.6706501951929418E-3</v>
      </c>
      <c r="AA100">
        <f t="shared" si="38"/>
        <v>1884</v>
      </c>
      <c r="AB100">
        <f t="shared" si="39"/>
        <v>0.49</v>
      </c>
      <c r="AC100">
        <f t="shared" si="40"/>
        <v>0.43832166609503609</v>
      </c>
    </row>
    <row r="101" spans="1:29" ht="18.95" customHeight="1">
      <c r="A101" s="4">
        <f t="shared" si="41"/>
        <v>1472</v>
      </c>
      <c r="B101" s="6">
        <f>INDEX('Raw Data'!$B$6:$B$2882,MATCH(A101,'Raw Data'!$A$6:$A$2882,0))</f>
        <v>49684</v>
      </c>
      <c r="C101" s="6">
        <f t="shared" si="28"/>
        <v>1904</v>
      </c>
      <c r="D101" s="6">
        <f>MOD(C101+Summary!$B$20,Summary!$B$11)</f>
        <v>1985.8006443686454</v>
      </c>
      <c r="E101" s="6">
        <f>_xlfn.XLOOKUP(D101,'Native PMKS'!$C$6:$C$366,'Native PMKS'!$C$6:$C$366,,-1)</f>
        <v>1983.3333333333335</v>
      </c>
      <c r="F101" s="6">
        <f>_xlfn.XLOOKUP(D101,'Native PMKS'!$C$6:$C$366,'Native PMKS'!$C$6:$C$366,,1)</f>
        <v>1991.6666666666667</v>
      </c>
      <c r="G101" s="6">
        <f>_xlfn.XLOOKUP(D101,'Native PMKS'!$C$6:$C$366,'Native PMKS'!$D$6:$D$366,,-1)</f>
        <v>25.668500000000002</v>
      </c>
      <c r="H101" s="6">
        <f>_xlfn.XLOOKUP(D101,'Native PMKS'!$C$6:$C$366,'Native PMKS'!$D$6:$D$366,,1)</f>
        <v>25.954999999999998</v>
      </c>
      <c r="I101" s="6">
        <f t="shared" si="29"/>
        <v>25.753326153394028</v>
      </c>
      <c r="J101" s="6">
        <f>INDEX('Raw Data'!$F$6:$F$2882,MATCH(A101,'Raw Data'!$A$6:$A$2882,0))</f>
        <v>0.52</v>
      </c>
      <c r="K101" s="6">
        <f t="shared" si="30"/>
        <v>0.52</v>
      </c>
      <c r="L101" s="6">
        <f t="shared" si="31"/>
        <v>0.44948033471669202</v>
      </c>
      <c r="M101" s="6">
        <f t="shared" si="32"/>
        <v>7.0519665283307997E-2</v>
      </c>
      <c r="N101" s="6">
        <f t="shared" si="33"/>
        <v>4.9730231916697955E-3</v>
      </c>
      <c r="O101" s="6">
        <f>_xlfn.XLOOKUP(D101,'Instructor 360'!$B$6:$B$365,'Instructor 360'!$B$6:$B$365,,-1)</f>
        <v>1980.5013927576601</v>
      </c>
      <c r="P101" s="6">
        <f>_xlfn.XLOOKUP(D101,'Instructor 360'!$B$6:$B$365,'Instructor 360'!$B$6:$B$365,,1)</f>
        <v>1988.857938718663</v>
      </c>
      <c r="Q101" s="6">
        <f>_xlfn.XLOOKUP(D101,'Instructor 360'!$B$6:$B$365,'Instructor 360'!$F$6:$F$365,,-1)</f>
        <v>25.571137883008351</v>
      </c>
      <c r="R101" s="6">
        <f>_xlfn.XLOOKUP(D101,'Instructor 360'!$B$6:$B$365,'Instructor 360'!$F$6:$F$365,,1)</f>
        <v>25.858435933147632</v>
      </c>
      <c r="S101" s="6">
        <f t="shared" si="34"/>
        <v>25.753326153394021</v>
      </c>
      <c r="T101" s="6">
        <f t="shared" si="35"/>
        <v>0.44948033471669191</v>
      </c>
      <c r="U101" s="6">
        <f t="shared" si="36"/>
        <v>7.0519665283308108E-2</v>
      </c>
      <c r="V101" s="6"/>
      <c r="W101" s="6">
        <f t="shared" si="37"/>
        <v>4.9730231916698111E-3</v>
      </c>
      <c r="AA101">
        <f t="shared" si="38"/>
        <v>1904</v>
      </c>
      <c r="AB101">
        <f t="shared" si="39"/>
        <v>0.52</v>
      </c>
      <c r="AC101">
        <f t="shared" si="40"/>
        <v>0.44948033471669191</v>
      </c>
    </row>
    <row r="102" spans="1:29" ht="18.95" customHeight="1">
      <c r="A102" s="4">
        <f t="shared" si="41"/>
        <v>1473</v>
      </c>
      <c r="B102" s="6">
        <f>INDEX('Raw Data'!$B$6:$B$2882,MATCH(A102,'Raw Data'!$A$6:$A$2882,0))</f>
        <v>49704</v>
      </c>
      <c r="C102" s="6">
        <f t="shared" ref="C102:C133" si="42">B102-$B$6</f>
        <v>1924</v>
      </c>
      <c r="D102" s="6">
        <f>MOD(C102+Summary!$B$20,Summary!$B$11)</f>
        <v>2005.8006443686454</v>
      </c>
      <c r="E102" s="6">
        <f>_xlfn.XLOOKUP(D102,'Native PMKS'!$C$6:$C$366,'Native PMKS'!$C$6:$C$366,,-1)</f>
        <v>2000.0000000000002</v>
      </c>
      <c r="F102" s="6">
        <f>_xlfn.XLOOKUP(D102,'Native PMKS'!$C$6:$C$366,'Native PMKS'!$C$6:$C$366,,1)</f>
        <v>2008.3333333333335</v>
      </c>
      <c r="G102" s="6">
        <f>_xlfn.XLOOKUP(D102,'Native PMKS'!$C$6:$C$366,'Native PMKS'!$D$6:$D$366,,-1)</f>
        <v>26.184200000000001</v>
      </c>
      <c r="H102" s="6">
        <f>_xlfn.XLOOKUP(D102,'Native PMKS'!$C$6:$C$366,'Native PMKS'!$D$6:$D$366,,1)</f>
        <v>26.470700000000001</v>
      </c>
      <c r="I102" s="6">
        <f t="shared" ref="I102:I133" si="43">IF(E102=F102,G102,_xlfn.FORECAST.LINEAR(D102,G102:H102,E102:F102))</f>
        <v>26.383626153394019</v>
      </c>
      <c r="J102" s="6">
        <f>INDEX('Raw Data'!$F$6:$F$2882,MATCH(A102,'Raw Data'!$A$6:$A$2882,0))</f>
        <v>0.53</v>
      </c>
      <c r="K102" s="6">
        <f t="shared" ref="K102:K133" si="44">J102</f>
        <v>0.53</v>
      </c>
      <c r="L102" s="6">
        <f t="shared" ref="L102:L133" si="45">I102*PI()/180</f>
        <v>0.46048114499201215</v>
      </c>
      <c r="M102" s="6">
        <f t="shared" ref="M102:M133" si="46">K102-L102</f>
        <v>6.9518855007987879E-2</v>
      </c>
      <c r="N102" s="6">
        <f t="shared" ref="N102:N133" si="47">M102^2</f>
        <v>4.8328712016216411E-3</v>
      </c>
      <c r="O102" s="6">
        <f>_xlfn.XLOOKUP(D102,'Instructor 360'!$B$6:$B$365,'Instructor 360'!$B$6:$B$365,,-1)</f>
        <v>2005.5710306406686</v>
      </c>
      <c r="P102" s="6">
        <f>_xlfn.XLOOKUP(D102,'Instructor 360'!$B$6:$B$365,'Instructor 360'!$B$6:$B$365,,1)</f>
        <v>2013.9275766016713</v>
      </c>
      <c r="Q102" s="6">
        <f>_xlfn.XLOOKUP(D102,'Instructor 360'!$B$6:$B$365,'Instructor 360'!$F$6:$F$365,,-1)</f>
        <v>26.375732033426182</v>
      </c>
      <c r="R102" s="6">
        <f>_xlfn.XLOOKUP(D102,'Instructor 360'!$B$6:$B$365,'Instructor 360'!$F$6:$F$365,,1)</f>
        <v>26.624496935933145</v>
      </c>
      <c r="S102" s="6">
        <f t="shared" ref="S102:S133" si="48">IF(O102=P102,Q102,_xlfn.FORECAST.LINEAR(D102,Q102:R102,O102:P102))</f>
        <v>26.382567373879162</v>
      </c>
      <c r="T102" s="6">
        <f t="shared" ref="T102:T133" si="49">S102*PI()/180</f>
        <v>0.46046266580342521</v>
      </c>
      <c r="U102" s="6">
        <f t="shared" ref="U102:U133" si="50">K102-T102</f>
        <v>6.9537334196574818E-2</v>
      </c>
      <c r="V102" s="6"/>
      <c r="W102" s="6">
        <f t="shared" ref="W102:W133" si="51">U102^2</f>
        <v>4.835440847166134E-3</v>
      </c>
      <c r="AA102">
        <f t="shared" ref="AA102:AA133" si="52">C102</f>
        <v>1924</v>
      </c>
      <c r="AB102">
        <f t="shared" ref="AB102:AB133" si="53">K102</f>
        <v>0.53</v>
      </c>
      <c r="AC102">
        <f t="shared" ref="AC102:AC133" si="54">T102</f>
        <v>0.46046266580342521</v>
      </c>
    </row>
    <row r="103" spans="1:29" ht="18.95" customHeight="1">
      <c r="A103" s="4">
        <f t="shared" ref="A103:A134" si="55">A102+1</f>
        <v>1474</v>
      </c>
      <c r="B103" s="6">
        <f>INDEX('Raw Data'!$B$6:$B$2882,MATCH(A103,'Raw Data'!$A$6:$A$2882,0))</f>
        <v>49724</v>
      </c>
      <c r="C103" s="6">
        <f t="shared" si="42"/>
        <v>1944</v>
      </c>
      <c r="D103" s="6">
        <f>MOD(C103+Summary!$B$20,Summary!$B$11)</f>
        <v>2025.8006443686454</v>
      </c>
      <c r="E103" s="6">
        <f>_xlfn.XLOOKUP(D103,'Native PMKS'!$C$6:$C$366,'Native PMKS'!$C$6:$C$366,,-1)</f>
        <v>2025.0000000000002</v>
      </c>
      <c r="F103" s="6">
        <f>_xlfn.XLOOKUP(D103,'Native PMKS'!$C$6:$C$366,'Native PMKS'!$C$6:$C$366,,1)</f>
        <v>2033.3333333333335</v>
      </c>
      <c r="G103" s="6">
        <f>_xlfn.XLOOKUP(D103,'Native PMKS'!$C$6:$C$366,'Native PMKS'!$D$6:$D$366,,-1)</f>
        <v>26.928999999999998</v>
      </c>
      <c r="H103" s="6">
        <f>_xlfn.XLOOKUP(D103,'Native PMKS'!$C$6:$C$366,'Native PMKS'!$D$6:$D$366,,1)</f>
        <v>27.158200000000001</v>
      </c>
      <c r="I103" s="6">
        <f t="shared" si="43"/>
        <v>26.951020922715209</v>
      </c>
      <c r="J103" s="6">
        <f>INDEX('Raw Data'!$F$6:$F$2882,MATCH(A103,'Raw Data'!$A$6:$A$2882,0))</f>
        <v>0.53</v>
      </c>
      <c r="K103" s="6">
        <f t="shared" si="44"/>
        <v>0.53</v>
      </c>
      <c r="L103" s="6">
        <f t="shared" si="45"/>
        <v>0.47038405187526061</v>
      </c>
      <c r="M103" s="6">
        <f t="shared" si="46"/>
        <v>5.9615948124739415E-2</v>
      </c>
      <c r="N103" s="6">
        <f t="shared" si="47"/>
        <v>3.5540612708116208E-3</v>
      </c>
      <c r="O103" s="6">
        <f>_xlfn.XLOOKUP(D103,'Instructor 360'!$B$6:$B$365,'Instructor 360'!$B$6:$B$365,,-1)</f>
        <v>2022.2841225626742</v>
      </c>
      <c r="P103" s="6">
        <f>_xlfn.XLOOKUP(D103,'Instructor 360'!$B$6:$B$365,'Instructor 360'!$B$6:$B$365,,1)</f>
        <v>2030.6406685236768</v>
      </c>
      <c r="Q103" s="6">
        <f>_xlfn.XLOOKUP(D103,'Instructor 360'!$B$6:$B$365,'Instructor 360'!$F$6:$F$365,,-1)</f>
        <v>26.854302506963784</v>
      </c>
      <c r="R103" s="6">
        <f>_xlfn.XLOOKUP(D103,'Instructor 360'!$B$6:$B$365,'Instructor 360'!$F$6:$F$365,,1)</f>
        <v>27.084140947075202</v>
      </c>
      <c r="S103" s="6">
        <f t="shared" si="48"/>
        <v>26.951020922715216</v>
      </c>
      <c r="T103" s="6">
        <f t="shared" si="49"/>
        <v>0.47038405187526072</v>
      </c>
      <c r="U103" s="6">
        <f t="shared" si="50"/>
        <v>5.9615948124739304E-2</v>
      </c>
      <c r="V103" s="6"/>
      <c r="W103" s="6">
        <f t="shared" si="51"/>
        <v>3.5540612708116078E-3</v>
      </c>
      <c r="AA103">
        <f t="shared" si="52"/>
        <v>1944</v>
      </c>
      <c r="AB103">
        <f t="shared" si="53"/>
        <v>0.53</v>
      </c>
      <c r="AC103">
        <f t="shared" si="54"/>
        <v>0.47038405187526072</v>
      </c>
    </row>
    <row r="104" spans="1:29" ht="18.95" customHeight="1">
      <c r="A104" s="4">
        <f t="shared" si="55"/>
        <v>1475</v>
      </c>
      <c r="B104" s="6">
        <f>INDEX('Raw Data'!$B$6:$B$2882,MATCH(A104,'Raw Data'!$A$6:$A$2882,0))</f>
        <v>49744</v>
      </c>
      <c r="C104" s="6">
        <f t="shared" si="42"/>
        <v>1964</v>
      </c>
      <c r="D104" s="6">
        <f>MOD(C104+Summary!$B$20,Summary!$B$11)</f>
        <v>2045.8006443686454</v>
      </c>
      <c r="E104" s="6">
        <f>_xlfn.XLOOKUP(D104,'Native PMKS'!$C$6:$C$366,'Native PMKS'!$C$6:$C$366,,-1)</f>
        <v>2041.6666666666667</v>
      </c>
      <c r="F104" s="6">
        <f>_xlfn.XLOOKUP(D104,'Native PMKS'!$C$6:$C$366,'Native PMKS'!$C$6:$C$366,,1)</f>
        <v>2050</v>
      </c>
      <c r="G104" s="6">
        <f>_xlfn.XLOOKUP(D104,'Native PMKS'!$C$6:$C$366,'Native PMKS'!$D$6:$D$366,,-1)</f>
        <v>27.330100000000002</v>
      </c>
      <c r="H104" s="6">
        <f>_xlfn.XLOOKUP(D104,'Native PMKS'!$C$6:$C$366,'Native PMKS'!$D$6:$D$366,,1)</f>
        <v>27.5593</v>
      </c>
      <c r="I104" s="6">
        <f t="shared" si="43"/>
        <v>27.443800922715216</v>
      </c>
      <c r="J104" s="6">
        <f>INDEX('Raw Data'!$F$6:$F$2882,MATCH(A104,'Raw Data'!$A$6:$A$2882,0))</f>
        <v>0.54</v>
      </c>
      <c r="K104" s="6">
        <f t="shared" si="44"/>
        <v>0.54</v>
      </c>
      <c r="L104" s="6">
        <f t="shared" si="45"/>
        <v>0.4789846853632384</v>
      </c>
      <c r="M104" s="6">
        <f t="shared" si="46"/>
        <v>6.1015314636761631E-2</v>
      </c>
      <c r="N104" s="6">
        <f t="shared" si="47"/>
        <v>3.7228686202230182E-3</v>
      </c>
      <c r="O104" s="6">
        <f>_xlfn.XLOOKUP(D104,'Instructor 360'!$B$6:$B$365,'Instructor 360'!$B$6:$B$365,,-1)</f>
        <v>2038.9972144846797</v>
      </c>
      <c r="P104" s="6">
        <f>_xlfn.XLOOKUP(D104,'Instructor 360'!$B$6:$B$365,'Instructor 360'!$B$6:$B$365,,1)</f>
        <v>2047.3537604456824</v>
      </c>
      <c r="Q104" s="6">
        <f>_xlfn.XLOOKUP(D104,'Instructor 360'!$B$6:$B$365,'Instructor 360'!$F$6:$F$365,,-1)</f>
        <v>27.275034540389971</v>
      </c>
      <c r="R104" s="6">
        <f>_xlfn.XLOOKUP(D104,'Instructor 360'!$B$6:$B$365,'Instructor 360'!$F$6:$F$365,,1)</f>
        <v>27.486517827298048</v>
      </c>
      <c r="S104" s="6">
        <f t="shared" si="48"/>
        <v>27.447212342178435</v>
      </c>
      <c r="T104" s="6">
        <f t="shared" si="49"/>
        <v>0.47904422586503814</v>
      </c>
      <c r="U104" s="6">
        <f t="shared" si="50"/>
        <v>6.0955774134961893E-2</v>
      </c>
      <c r="V104" s="6"/>
      <c r="W104" s="6">
        <f t="shared" si="51"/>
        <v>3.7156064003924893E-3</v>
      </c>
      <c r="AA104">
        <f t="shared" si="52"/>
        <v>1964</v>
      </c>
      <c r="AB104">
        <f t="shared" si="53"/>
        <v>0.54</v>
      </c>
      <c r="AC104">
        <f t="shared" si="54"/>
        <v>0.47904422586503814</v>
      </c>
    </row>
    <row r="105" spans="1:29" ht="18.95" customHeight="1">
      <c r="A105" s="4">
        <f t="shared" si="55"/>
        <v>1476</v>
      </c>
      <c r="B105" s="6">
        <f>INDEX('Raw Data'!$B$6:$B$2882,MATCH(A105,'Raw Data'!$A$6:$A$2882,0))</f>
        <v>49764</v>
      </c>
      <c r="C105" s="6">
        <f t="shared" si="42"/>
        <v>1984</v>
      </c>
      <c r="D105" s="6">
        <f>MOD(C105+Summary!$B$20,Summary!$B$11)</f>
        <v>2065.8006443686454</v>
      </c>
      <c r="E105" s="6">
        <f>_xlfn.XLOOKUP(D105,'Native PMKS'!$C$6:$C$366,'Native PMKS'!$C$6:$C$366,,-1)</f>
        <v>2058.3333333333335</v>
      </c>
      <c r="F105" s="6">
        <f>_xlfn.XLOOKUP(D105,'Native PMKS'!$C$6:$C$366,'Native PMKS'!$C$6:$C$366,,1)</f>
        <v>2066.666666666667</v>
      </c>
      <c r="G105" s="6">
        <f>_xlfn.XLOOKUP(D105,'Native PMKS'!$C$6:$C$366,'Native PMKS'!$D$6:$D$366,,-1)</f>
        <v>27.731200000000001</v>
      </c>
      <c r="H105" s="6">
        <f>_xlfn.XLOOKUP(D105,'Native PMKS'!$C$6:$C$366,'Native PMKS'!$D$6:$D$366,,1)</f>
        <v>27.9603</v>
      </c>
      <c r="I105" s="6">
        <f t="shared" si="43"/>
        <v>27.936491314982796</v>
      </c>
      <c r="J105" s="6">
        <f>INDEX('Raw Data'!$F$6:$F$2882,MATCH(A105,'Raw Data'!$A$6:$A$2882,0))</f>
        <v>0.56999999999999995</v>
      </c>
      <c r="K105" s="6">
        <f t="shared" si="44"/>
        <v>0.56999999999999995</v>
      </c>
      <c r="L105" s="6">
        <f t="shared" si="45"/>
        <v>0.48758375490125005</v>
      </c>
      <c r="M105" s="6">
        <f t="shared" si="46"/>
        <v>8.2416245098749896E-2</v>
      </c>
      <c r="N105" s="6">
        <f t="shared" si="47"/>
        <v>6.7924374561772159E-3</v>
      </c>
      <c r="O105" s="6">
        <f>_xlfn.XLOOKUP(D105,'Instructor 360'!$B$6:$B$365,'Instructor 360'!$B$6:$B$365,,-1)</f>
        <v>2064.0668523676882</v>
      </c>
      <c r="P105" s="6">
        <f>_xlfn.XLOOKUP(D105,'Instructor 360'!$B$6:$B$365,'Instructor 360'!$B$6:$B$365,,1)</f>
        <v>2072.4233983286908</v>
      </c>
      <c r="Q105" s="6">
        <f>_xlfn.XLOOKUP(D105,'Instructor 360'!$B$6:$B$365,'Instructor 360'!$F$6:$F$365,,-1)</f>
        <v>27.888825905292478</v>
      </c>
      <c r="R105" s="6">
        <f>_xlfn.XLOOKUP(D105,'Instructor 360'!$B$6:$B$365,'Instructor 360'!$F$6:$F$365,,1)</f>
        <v>28.079049860724233</v>
      </c>
      <c r="S105" s="6">
        <f t="shared" si="48"/>
        <v>27.928293021713198</v>
      </c>
      <c r="T105" s="6">
        <f t="shared" si="49"/>
        <v>0.48744066769065147</v>
      </c>
      <c r="U105" s="6">
        <f t="shared" si="50"/>
        <v>8.2559332309348477E-2</v>
      </c>
      <c r="V105" s="6"/>
      <c r="W105" s="6">
        <f t="shared" si="51"/>
        <v>6.8160433513654315E-3</v>
      </c>
      <c r="AA105">
        <f t="shared" si="52"/>
        <v>1984</v>
      </c>
      <c r="AB105">
        <f t="shared" si="53"/>
        <v>0.56999999999999995</v>
      </c>
      <c r="AC105">
        <f t="shared" si="54"/>
        <v>0.48744066769065147</v>
      </c>
    </row>
    <row r="106" spans="1:29" ht="18.95" customHeight="1">
      <c r="A106" s="4">
        <f t="shared" si="55"/>
        <v>1477</v>
      </c>
      <c r="B106" s="6">
        <f>INDEX('Raw Data'!$B$6:$B$2882,MATCH(A106,'Raw Data'!$A$6:$A$2882,0))</f>
        <v>49784</v>
      </c>
      <c r="C106" s="6">
        <f t="shared" si="42"/>
        <v>2004</v>
      </c>
      <c r="D106" s="6">
        <f>MOD(C106+Summary!$B$20,Summary!$B$11)</f>
        <v>2085.8006443686454</v>
      </c>
      <c r="E106" s="6">
        <f>_xlfn.XLOOKUP(D106,'Native PMKS'!$C$6:$C$366,'Native PMKS'!$C$6:$C$366,,-1)</f>
        <v>2083.3333333333335</v>
      </c>
      <c r="F106" s="6">
        <f>_xlfn.XLOOKUP(D106,'Native PMKS'!$C$6:$C$366,'Native PMKS'!$C$6:$C$366,,1)</f>
        <v>2091.666666666667</v>
      </c>
      <c r="G106" s="6">
        <f>_xlfn.XLOOKUP(D106,'Native PMKS'!$C$6:$C$366,'Native PMKS'!$D$6:$D$366,,-1)</f>
        <v>28.304099999999998</v>
      </c>
      <c r="H106" s="6">
        <f>_xlfn.XLOOKUP(D106,'Native PMKS'!$C$6:$C$366,'Native PMKS'!$D$6:$D$366,,1)</f>
        <v>28.475999999999999</v>
      </c>
      <c r="I106" s="6">
        <f t="shared" si="43"/>
        <v>28.354995692036415</v>
      </c>
      <c r="J106" s="6">
        <f>INDEX('Raw Data'!$F$6:$F$2882,MATCH(A106,'Raw Data'!$A$6:$A$2882,0))</f>
        <v>0.54</v>
      </c>
      <c r="K106" s="6">
        <f t="shared" si="44"/>
        <v>0.54</v>
      </c>
      <c r="L106" s="6">
        <f t="shared" si="45"/>
        <v>0.49488803421484351</v>
      </c>
      <c r="M106" s="6">
        <f t="shared" si="46"/>
        <v>4.5111965785156527E-2</v>
      </c>
      <c r="N106" s="6">
        <f t="shared" si="47"/>
        <v>2.035089457001133E-3</v>
      </c>
      <c r="O106" s="6">
        <f>_xlfn.XLOOKUP(D106,'Instructor 360'!$B$6:$B$365,'Instructor 360'!$B$6:$B$365,,-1)</f>
        <v>2080.7799442896935</v>
      </c>
      <c r="P106" s="6">
        <f>_xlfn.XLOOKUP(D106,'Instructor 360'!$B$6:$B$365,'Instructor 360'!$B$6:$B$365,,1)</f>
        <v>2089.1364902506962</v>
      </c>
      <c r="Q106" s="6">
        <f>_xlfn.XLOOKUP(D106,'Instructor 360'!$B$6:$B$365,'Instructor 360'!$F$6:$F$365,,-1)</f>
        <v>28.251428690807796</v>
      </c>
      <c r="R106" s="6">
        <f>_xlfn.XLOOKUP(D106,'Instructor 360'!$B$6:$B$365,'Instructor 360'!$F$6:$F$365,,1)</f>
        <v>28.423807520891355</v>
      </c>
      <c r="S106" s="6">
        <f t="shared" si="48"/>
        <v>28.354995692036415</v>
      </c>
      <c r="T106" s="6">
        <f t="shared" si="49"/>
        <v>0.49488803421484351</v>
      </c>
      <c r="U106" s="6">
        <f t="shared" si="50"/>
        <v>4.5111965785156527E-2</v>
      </c>
      <c r="V106" s="6"/>
      <c r="W106" s="6">
        <f t="shared" si="51"/>
        <v>2.035089457001133E-3</v>
      </c>
      <c r="AA106">
        <f t="shared" si="52"/>
        <v>2004</v>
      </c>
      <c r="AB106">
        <f t="shared" si="53"/>
        <v>0.54</v>
      </c>
      <c r="AC106">
        <f t="shared" si="54"/>
        <v>0.49488803421484351</v>
      </c>
    </row>
    <row r="107" spans="1:29" ht="18.95" customHeight="1">
      <c r="A107" s="4">
        <f t="shared" si="55"/>
        <v>1478</v>
      </c>
      <c r="B107" s="6">
        <f>INDEX('Raw Data'!$B$6:$B$2882,MATCH(A107,'Raw Data'!$A$6:$A$2882,0))</f>
        <v>49804</v>
      </c>
      <c r="C107" s="6">
        <f t="shared" si="42"/>
        <v>2024</v>
      </c>
      <c r="D107" s="6">
        <f>MOD(C107+Summary!$B$20,Summary!$B$11)</f>
        <v>2105.8006443686454</v>
      </c>
      <c r="E107" s="6">
        <f>_xlfn.XLOOKUP(D107,'Native PMKS'!$C$6:$C$366,'Native PMKS'!$C$6:$C$366,,-1)</f>
        <v>2100</v>
      </c>
      <c r="F107" s="6">
        <f>_xlfn.XLOOKUP(D107,'Native PMKS'!$C$6:$C$366,'Native PMKS'!$C$6:$C$366,,1)</f>
        <v>2108.3333333333335</v>
      </c>
      <c r="G107" s="6">
        <f>_xlfn.XLOOKUP(D107,'Native PMKS'!$C$6:$C$366,'Native PMKS'!$D$6:$D$366,,-1)</f>
        <v>28.6479</v>
      </c>
      <c r="H107" s="6">
        <f>_xlfn.XLOOKUP(D107,'Native PMKS'!$C$6:$C$366,'Native PMKS'!$D$6:$D$366,,1)</f>
        <v>28.762499999999999</v>
      </c>
      <c r="I107" s="6">
        <f t="shared" si="43"/>
        <v>28.727670461357604</v>
      </c>
      <c r="J107" s="6">
        <f>INDEX('Raw Data'!$F$6:$F$2882,MATCH(A107,'Raw Data'!$A$6:$A$2882,0))</f>
        <v>0.52</v>
      </c>
      <c r="K107" s="6">
        <f t="shared" si="44"/>
        <v>0.52</v>
      </c>
      <c r="L107" s="6">
        <f t="shared" si="45"/>
        <v>0.50139243597860861</v>
      </c>
      <c r="M107" s="6">
        <f t="shared" si="46"/>
        <v>1.860756402139141E-2</v>
      </c>
      <c r="N107" s="6">
        <f t="shared" si="47"/>
        <v>3.4624143881018004E-4</v>
      </c>
      <c r="O107" s="6">
        <f>_xlfn.XLOOKUP(D107,'Instructor 360'!$B$6:$B$365,'Instructor 360'!$B$6:$B$365,,-1)</f>
        <v>2097.4930362116993</v>
      </c>
      <c r="P107" s="6">
        <f>_xlfn.XLOOKUP(D107,'Instructor 360'!$B$6:$B$365,'Instructor 360'!$B$6:$B$365,,1)</f>
        <v>2105.849582172702</v>
      </c>
      <c r="Q107" s="6">
        <f>_xlfn.XLOOKUP(D107,'Instructor 360'!$B$6:$B$365,'Instructor 360'!$F$6:$F$365,,-1)</f>
        <v>28.596186350974932</v>
      </c>
      <c r="R107" s="6">
        <f>_xlfn.XLOOKUP(D107,'Instructor 360'!$B$6:$B$365,'Instructor 360'!$F$6:$F$365,,1)</f>
        <v>28.728343454038995</v>
      </c>
      <c r="S107" s="6">
        <f t="shared" si="48"/>
        <v>28.727569512455403</v>
      </c>
      <c r="T107" s="6">
        <f t="shared" si="49"/>
        <v>0.50139067408788895</v>
      </c>
      <c r="U107" s="6">
        <f t="shared" si="50"/>
        <v>1.8609325912111063E-2</v>
      </c>
      <c r="V107" s="6"/>
      <c r="W107" s="6">
        <f t="shared" si="51"/>
        <v>3.4630701090316825E-4</v>
      </c>
      <c r="AA107">
        <f t="shared" si="52"/>
        <v>2024</v>
      </c>
      <c r="AB107">
        <f t="shared" si="53"/>
        <v>0.52</v>
      </c>
      <c r="AC107">
        <f t="shared" si="54"/>
        <v>0.50139067408788895</v>
      </c>
    </row>
    <row r="108" spans="1:29" ht="18.95" customHeight="1">
      <c r="A108" s="4">
        <f t="shared" si="55"/>
        <v>1479</v>
      </c>
      <c r="B108" s="6">
        <f>INDEX('Raw Data'!$B$6:$B$2882,MATCH(A108,'Raw Data'!$A$6:$A$2882,0))</f>
        <v>49824</v>
      </c>
      <c r="C108" s="6">
        <f t="shared" si="42"/>
        <v>2044</v>
      </c>
      <c r="D108" s="6">
        <f>MOD(C108+Summary!$B$20,Summary!$B$11)</f>
        <v>2125.8006443686454</v>
      </c>
      <c r="E108" s="6">
        <f>_xlfn.XLOOKUP(D108,'Native PMKS'!$C$6:$C$366,'Native PMKS'!$C$6:$C$366,,-1)</f>
        <v>2125</v>
      </c>
      <c r="F108" s="6">
        <f>_xlfn.XLOOKUP(D108,'Native PMKS'!$C$6:$C$366,'Native PMKS'!$C$6:$C$366,,1)</f>
        <v>2133.3333333333335</v>
      </c>
      <c r="G108" s="6">
        <f>_xlfn.XLOOKUP(D108,'Native PMKS'!$C$6:$C$366,'Native PMKS'!$D$6:$D$366,,-1)</f>
        <v>29.048999999999999</v>
      </c>
      <c r="H108" s="6">
        <f>_xlfn.XLOOKUP(D108,'Native PMKS'!$C$6:$C$366,'Native PMKS'!$D$6:$D$366,,1)</f>
        <v>29.163599999999999</v>
      </c>
      <c r="I108" s="6">
        <f t="shared" si="43"/>
        <v>29.060010461357606</v>
      </c>
      <c r="J108" s="6">
        <f>INDEX('Raw Data'!$F$6:$F$2882,MATCH(A108,'Raw Data'!$A$6:$A$2882,0))</f>
        <v>0.51</v>
      </c>
      <c r="K108" s="6">
        <f t="shared" si="44"/>
        <v>0.51</v>
      </c>
      <c r="L108" s="6">
        <f t="shared" si="45"/>
        <v>0.5071928632146866</v>
      </c>
      <c r="M108" s="6">
        <f t="shared" si="46"/>
        <v>2.8071367853134133E-3</v>
      </c>
      <c r="N108" s="6">
        <f t="shared" si="47"/>
        <v>7.8800169314597242E-6</v>
      </c>
      <c r="O108" s="6">
        <f>_xlfn.XLOOKUP(D108,'Instructor 360'!$B$6:$B$365,'Instructor 360'!$B$6:$B$365,,-1)</f>
        <v>2122.5626740947073</v>
      </c>
      <c r="P108" s="6">
        <f>_xlfn.XLOOKUP(D108,'Instructor 360'!$B$6:$B$365,'Instructor 360'!$B$6:$B$365,,1)</f>
        <v>2130.9192200557104</v>
      </c>
      <c r="Q108" s="6">
        <f>_xlfn.XLOOKUP(D108,'Instructor 360'!$B$6:$B$365,'Instructor 360'!$F$6:$F$365,,-1)</f>
        <v>29.015481894150412</v>
      </c>
      <c r="R108" s="6">
        <f>_xlfn.XLOOKUP(D108,'Instructor 360'!$B$6:$B$365,'Instructor 360'!$F$6:$F$365,,1)</f>
        <v>29.130401114206126</v>
      </c>
      <c r="S108" s="6">
        <f t="shared" si="48"/>
        <v>29.060010461357603</v>
      </c>
      <c r="T108" s="6">
        <f t="shared" si="49"/>
        <v>0.50719286321468648</v>
      </c>
      <c r="U108" s="6">
        <f t="shared" si="50"/>
        <v>2.8071367853135243E-3</v>
      </c>
      <c r="V108" s="6"/>
      <c r="W108" s="6">
        <f t="shared" si="51"/>
        <v>7.8800169314603476E-6</v>
      </c>
      <c r="AA108">
        <f t="shared" si="52"/>
        <v>2044</v>
      </c>
      <c r="AB108">
        <f t="shared" si="53"/>
        <v>0.51</v>
      </c>
      <c r="AC108">
        <f t="shared" si="54"/>
        <v>0.50719286321468648</v>
      </c>
    </row>
    <row r="109" spans="1:29" ht="18.95" customHeight="1">
      <c r="A109" s="4">
        <f t="shared" si="55"/>
        <v>1480</v>
      </c>
      <c r="B109" s="6">
        <f>INDEX('Raw Data'!$B$6:$B$2882,MATCH(A109,'Raw Data'!$A$6:$A$2882,0))</f>
        <v>49844</v>
      </c>
      <c r="C109" s="6">
        <f t="shared" si="42"/>
        <v>2064</v>
      </c>
      <c r="D109" s="6">
        <f>MOD(C109+Summary!$B$20,Summary!$B$11)</f>
        <v>2145.8006443686454</v>
      </c>
      <c r="E109" s="6">
        <f>_xlfn.XLOOKUP(D109,'Native PMKS'!$C$6:$C$366,'Native PMKS'!$C$6:$C$366,,-1)</f>
        <v>2141.666666666667</v>
      </c>
      <c r="F109" s="6">
        <f>_xlfn.XLOOKUP(D109,'Native PMKS'!$C$6:$C$366,'Native PMKS'!$C$6:$C$366,,1)</f>
        <v>2150</v>
      </c>
      <c r="G109" s="6">
        <f>_xlfn.XLOOKUP(D109,'Native PMKS'!$C$6:$C$366,'Native PMKS'!$D$6:$D$366,,-1)</f>
        <v>29.278099999999998</v>
      </c>
      <c r="H109" s="6">
        <f>_xlfn.XLOOKUP(D109,'Native PMKS'!$C$6:$C$366,'Native PMKS'!$D$6:$D$366,,1)</f>
        <v>29.392700000000001</v>
      </c>
      <c r="I109" s="6">
        <f t="shared" si="43"/>
        <v>29.334950461357611</v>
      </c>
      <c r="J109" s="6">
        <f>INDEX('Raw Data'!$F$6:$F$2882,MATCH(A109,'Raw Data'!$A$6:$A$2882,0))</f>
        <v>0.54</v>
      </c>
      <c r="K109" s="6">
        <f t="shared" si="44"/>
        <v>0.54</v>
      </c>
      <c r="L109" s="6">
        <f t="shared" si="45"/>
        <v>0.51199147146011992</v>
      </c>
      <c r="M109" s="6">
        <f t="shared" si="46"/>
        <v>2.8008528539880118E-2</v>
      </c>
      <c r="N109" s="6">
        <f t="shared" si="47"/>
        <v>7.8447767096927906E-4</v>
      </c>
      <c r="O109" s="6">
        <f>_xlfn.XLOOKUP(D109,'Instructor 360'!$B$6:$B$365,'Instructor 360'!$B$6:$B$365,,-1)</f>
        <v>2139.2757660167131</v>
      </c>
      <c r="P109" s="6">
        <f>_xlfn.XLOOKUP(D109,'Instructor 360'!$B$6:$B$365,'Instructor 360'!$B$6:$B$365,,1)</f>
        <v>2147.6323119777157</v>
      </c>
      <c r="Q109" s="6">
        <f>_xlfn.XLOOKUP(D109,'Instructor 360'!$B$6:$B$365,'Instructor 360'!$F$6:$F$365,,-1)</f>
        <v>29.245249025069633</v>
      </c>
      <c r="R109" s="6">
        <f>_xlfn.XLOOKUP(D109,'Instructor 360'!$B$6:$B$365,'Instructor 360'!$F$6:$F$365,,1)</f>
        <v>29.360139554317545</v>
      </c>
      <c r="S109" s="6">
        <f t="shared" si="48"/>
        <v>29.334956750083069</v>
      </c>
      <c r="T109" s="6">
        <f t="shared" si="49"/>
        <v>0.51199158121908495</v>
      </c>
      <c r="U109" s="6">
        <f t="shared" si="50"/>
        <v>2.800841878091509E-2</v>
      </c>
      <c r="V109" s="6"/>
      <c r="W109" s="6">
        <f t="shared" si="51"/>
        <v>7.844715226071171E-4</v>
      </c>
      <c r="AA109">
        <f t="shared" si="52"/>
        <v>2064</v>
      </c>
      <c r="AB109">
        <f t="shared" si="53"/>
        <v>0.54</v>
      </c>
      <c r="AC109">
        <f t="shared" si="54"/>
        <v>0.51199158121908495</v>
      </c>
    </row>
    <row r="110" spans="1:29" ht="18.95" customHeight="1">
      <c r="A110" s="4">
        <f t="shared" si="55"/>
        <v>1481</v>
      </c>
      <c r="B110" s="6">
        <f>INDEX('Raw Data'!$B$6:$B$2882,MATCH(A110,'Raw Data'!$A$6:$A$2882,0))</f>
        <v>49864</v>
      </c>
      <c r="C110" s="6">
        <f t="shared" si="42"/>
        <v>2084</v>
      </c>
      <c r="D110" s="6">
        <f>MOD(C110+Summary!$B$20,Summary!$B$11)</f>
        <v>2165.8006443686454</v>
      </c>
      <c r="E110" s="6">
        <f>_xlfn.XLOOKUP(D110,'Native PMKS'!$C$6:$C$366,'Native PMKS'!$C$6:$C$366,,-1)</f>
        <v>2158.3333333333335</v>
      </c>
      <c r="F110" s="6">
        <f>_xlfn.XLOOKUP(D110,'Native PMKS'!$C$6:$C$366,'Native PMKS'!$C$6:$C$366,,1)</f>
        <v>2166.666666666667</v>
      </c>
      <c r="G110" s="6">
        <f>_xlfn.XLOOKUP(D110,'Native PMKS'!$C$6:$C$366,'Native PMKS'!$D$6:$D$366,,-1)</f>
        <v>29.507300000000001</v>
      </c>
      <c r="H110" s="6">
        <f>_xlfn.XLOOKUP(D110,'Native PMKS'!$C$6:$C$366,'Native PMKS'!$D$6:$D$366,,1)</f>
        <v>29.564599999999999</v>
      </c>
      <c r="I110" s="6">
        <f t="shared" si="43"/>
        <v>29.558645230678803</v>
      </c>
      <c r="J110" s="6">
        <f>INDEX('Raw Data'!$F$6:$F$2882,MATCH(A110,'Raw Data'!$A$6:$A$2882,0))</f>
        <v>0.55000000000000004</v>
      </c>
      <c r="K110" s="6">
        <f t="shared" si="44"/>
        <v>0.55000000000000004</v>
      </c>
      <c r="L110" s="6">
        <f t="shared" si="45"/>
        <v>0.51589568170426392</v>
      </c>
      <c r="M110" s="6">
        <f t="shared" si="46"/>
        <v>3.4104318295736125E-2</v>
      </c>
      <c r="N110" s="6">
        <f t="shared" si="47"/>
        <v>1.1631045264168817E-3</v>
      </c>
      <c r="O110" s="6">
        <f>_xlfn.XLOOKUP(D110,'Instructor 360'!$B$6:$B$365,'Instructor 360'!$B$6:$B$365,,-1)</f>
        <v>2164.3454038997215</v>
      </c>
      <c r="P110" s="6">
        <f>_xlfn.XLOOKUP(D110,'Instructor 360'!$B$6:$B$365,'Instructor 360'!$B$6:$B$365,,1)</f>
        <v>2172.7019498607242</v>
      </c>
      <c r="Q110" s="6">
        <f>_xlfn.XLOOKUP(D110,'Instructor 360'!$B$6:$B$365,'Instructor 360'!$F$6:$F$365,,-1)</f>
        <v>29.548638997214482</v>
      </c>
      <c r="R110" s="6">
        <f>_xlfn.XLOOKUP(D110,'Instructor 360'!$B$6:$B$365,'Instructor 360'!$F$6:$F$365,,1)</f>
        <v>29.64759721448468</v>
      </c>
      <c r="S110" s="6">
        <f t="shared" si="48"/>
        <v>29.565871954847477</v>
      </c>
      <c r="T110" s="6">
        <f t="shared" si="49"/>
        <v>0.51602181183514073</v>
      </c>
      <c r="U110" s="6">
        <f t="shared" si="50"/>
        <v>3.3978188164859313E-2</v>
      </c>
      <c r="V110" s="6"/>
      <c r="W110" s="6">
        <f t="shared" si="51"/>
        <v>1.1545172709665854E-3</v>
      </c>
      <c r="AA110">
        <f t="shared" si="52"/>
        <v>2084</v>
      </c>
      <c r="AB110">
        <f t="shared" si="53"/>
        <v>0.55000000000000004</v>
      </c>
      <c r="AC110">
        <f t="shared" si="54"/>
        <v>0.51602181183514073</v>
      </c>
    </row>
    <row r="111" spans="1:29" ht="18.95" customHeight="1">
      <c r="A111" s="4">
        <f t="shared" si="55"/>
        <v>1482</v>
      </c>
      <c r="B111" s="6">
        <f>INDEX('Raw Data'!$B$6:$B$2882,MATCH(A111,'Raw Data'!$A$6:$A$2882,0))</f>
        <v>49884</v>
      </c>
      <c r="C111" s="6">
        <f t="shared" si="42"/>
        <v>2104</v>
      </c>
      <c r="D111" s="6">
        <f>MOD(C111+Summary!$B$20,Summary!$B$11)</f>
        <v>2185.8006443686454</v>
      </c>
      <c r="E111" s="6">
        <f>_xlfn.XLOOKUP(D111,'Native PMKS'!$C$6:$C$366,'Native PMKS'!$C$6:$C$366,,-1)</f>
        <v>2183.3333333333335</v>
      </c>
      <c r="F111" s="6">
        <f>_xlfn.XLOOKUP(D111,'Native PMKS'!$C$6:$C$366,'Native PMKS'!$C$6:$C$366,,1)</f>
        <v>2191.666666666667</v>
      </c>
      <c r="G111" s="6">
        <f>_xlfn.XLOOKUP(D111,'Native PMKS'!$C$6:$C$366,'Native PMKS'!$D$6:$D$366,,-1)</f>
        <v>29.736499999999999</v>
      </c>
      <c r="H111" s="6">
        <f>_xlfn.XLOOKUP(D111,'Native PMKS'!$C$6:$C$366,'Native PMKS'!$D$6:$D$366,,1)</f>
        <v>29.793800000000001</v>
      </c>
      <c r="I111" s="6">
        <f t="shared" si="43"/>
        <v>29.753465230678806</v>
      </c>
      <c r="J111" s="6">
        <f>INDEX('Raw Data'!$F$6:$F$2882,MATCH(A111,'Raw Data'!$A$6:$A$2882,0))</f>
        <v>0.56999999999999995</v>
      </c>
      <c r="K111" s="6">
        <f t="shared" si="44"/>
        <v>0.56999999999999995</v>
      </c>
      <c r="L111" s="6">
        <f t="shared" si="45"/>
        <v>0.5192959321529993</v>
      </c>
      <c r="M111" s="6">
        <f t="shared" si="46"/>
        <v>5.0704067847000656E-2</v>
      </c>
      <c r="N111" s="6">
        <f t="shared" si="47"/>
        <v>2.5709024962332458E-3</v>
      </c>
      <c r="O111" s="6">
        <f>_xlfn.XLOOKUP(D111,'Instructor 360'!$B$6:$B$365,'Instructor 360'!$B$6:$B$365,,-1)</f>
        <v>2181.0584958217269</v>
      </c>
      <c r="P111" s="6">
        <f>_xlfn.XLOOKUP(D111,'Instructor 360'!$B$6:$B$365,'Instructor 360'!$B$6:$B$365,,1)</f>
        <v>2189.41504178273</v>
      </c>
      <c r="Q111" s="6">
        <f>_xlfn.XLOOKUP(D111,'Instructor 360'!$B$6:$B$365,'Instructor 360'!$F$6:$F$365,,-1)</f>
        <v>29.720858217270195</v>
      </c>
      <c r="R111" s="6">
        <f>_xlfn.XLOOKUP(D111,'Instructor 360'!$B$6:$B$365,'Instructor 360'!$F$6:$F$365,,1)</f>
        <v>29.77831782729805</v>
      </c>
      <c r="S111" s="6">
        <f t="shared" si="48"/>
        <v>29.753465230678806</v>
      </c>
      <c r="T111" s="6">
        <f t="shared" si="49"/>
        <v>0.5192959321529993</v>
      </c>
      <c r="U111" s="6">
        <f t="shared" si="50"/>
        <v>5.0704067847000656E-2</v>
      </c>
      <c r="V111" s="6"/>
      <c r="W111" s="6">
        <f t="shared" si="51"/>
        <v>2.5709024962332458E-3</v>
      </c>
      <c r="AA111">
        <f t="shared" si="52"/>
        <v>2104</v>
      </c>
      <c r="AB111">
        <f t="shared" si="53"/>
        <v>0.56999999999999995</v>
      </c>
      <c r="AC111">
        <f t="shared" si="54"/>
        <v>0.5192959321529993</v>
      </c>
    </row>
    <row r="112" spans="1:29" ht="18.95" customHeight="1">
      <c r="A112" s="4">
        <f t="shared" si="55"/>
        <v>1483</v>
      </c>
      <c r="B112" s="6">
        <f>INDEX('Raw Data'!$B$6:$B$2882,MATCH(A112,'Raw Data'!$A$6:$A$2882,0))</f>
        <v>49904</v>
      </c>
      <c r="C112" s="6">
        <f t="shared" si="42"/>
        <v>2124</v>
      </c>
      <c r="D112" s="6">
        <f>MOD(C112+Summary!$B$20,Summary!$B$11)</f>
        <v>2205.8006443686454</v>
      </c>
      <c r="E112" s="6">
        <f>_xlfn.XLOOKUP(D112,'Native PMKS'!$C$6:$C$366,'Native PMKS'!$C$6:$C$366,,-1)</f>
        <v>2200</v>
      </c>
      <c r="F112" s="6">
        <f>_xlfn.XLOOKUP(D112,'Native PMKS'!$C$6:$C$366,'Native PMKS'!$C$6:$C$366,,1)</f>
        <v>2208.3333333333335</v>
      </c>
      <c r="G112" s="6">
        <f>_xlfn.XLOOKUP(D112,'Native PMKS'!$C$6:$C$366,'Native PMKS'!$D$6:$D$366,,-1)</f>
        <v>29.851099999999999</v>
      </c>
      <c r="H112" s="6">
        <f>_xlfn.XLOOKUP(D112,'Native PMKS'!$C$6:$C$366,'Native PMKS'!$D$6:$D$366,,1)</f>
        <v>29.9084</v>
      </c>
      <c r="I112" s="6">
        <f t="shared" si="43"/>
        <v>29.890985230678808</v>
      </c>
      <c r="J112" s="6">
        <f>INDEX('Raw Data'!$F$6:$F$2882,MATCH(A112,'Raw Data'!$A$6:$A$2882,0))</f>
        <v>0.56000000000000005</v>
      </c>
      <c r="K112" s="6">
        <f t="shared" si="44"/>
        <v>0.56000000000000005</v>
      </c>
      <c r="L112" s="6">
        <f t="shared" si="45"/>
        <v>0.52169610894034191</v>
      </c>
      <c r="M112" s="6">
        <f t="shared" si="46"/>
        <v>3.8303891059658146E-2</v>
      </c>
      <c r="N112" s="6">
        <f t="shared" si="47"/>
        <v>1.4671880703101593E-3</v>
      </c>
      <c r="O112" s="6">
        <f>_xlfn.XLOOKUP(D112,'Instructor 360'!$B$6:$B$365,'Instructor 360'!$B$6:$B$365,,-1)</f>
        <v>2197.7715877437327</v>
      </c>
      <c r="P112" s="6">
        <f>_xlfn.XLOOKUP(D112,'Instructor 360'!$B$6:$B$365,'Instructor 360'!$B$6:$B$365,,1)</f>
        <v>2206.1281337047353</v>
      </c>
      <c r="Q112" s="6">
        <f>_xlfn.XLOOKUP(D112,'Instructor 360'!$B$6:$B$365,'Instructor 360'!$F$6:$F$365,,-1)</f>
        <v>29.835777437325905</v>
      </c>
      <c r="R112" s="6">
        <f>_xlfn.XLOOKUP(D112,'Instructor 360'!$B$6:$B$365,'Instructor 360'!$F$6:$F$365,,1)</f>
        <v>29.893237047353761</v>
      </c>
      <c r="S112" s="6">
        <f t="shared" si="48"/>
        <v>29.890985230678808</v>
      </c>
      <c r="T112" s="6">
        <f t="shared" si="49"/>
        <v>0.52169610894034191</v>
      </c>
      <c r="U112" s="6">
        <f t="shared" si="50"/>
        <v>3.8303891059658146E-2</v>
      </c>
      <c r="V112" s="6"/>
      <c r="W112" s="6">
        <f t="shared" si="51"/>
        <v>1.4671880703101593E-3</v>
      </c>
      <c r="AA112">
        <f t="shared" si="52"/>
        <v>2124</v>
      </c>
      <c r="AB112">
        <f t="shared" si="53"/>
        <v>0.56000000000000005</v>
      </c>
      <c r="AC112">
        <f t="shared" si="54"/>
        <v>0.52169610894034191</v>
      </c>
    </row>
    <row r="113" spans="1:29" ht="18.95" customHeight="1">
      <c r="A113" s="4">
        <f t="shared" si="55"/>
        <v>1484</v>
      </c>
      <c r="B113" s="6">
        <f>INDEX('Raw Data'!$B$6:$B$2882,MATCH(A113,'Raw Data'!$A$6:$A$2882,0))</f>
        <v>49924</v>
      </c>
      <c r="C113" s="6">
        <f t="shared" si="42"/>
        <v>2144</v>
      </c>
      <c r="D113" s="6">
        <f>MOD(C113+Summary!$B$20,Summary!$B$11)</f>
        <v>2225.8006443686454</v>
      </c>
      <c r="E113" s="6">
        <f>_xlfn.XLOOKUP(D113,'Native PMKS'!$C$6:$C$366,'Native PMKS'!$C$6:$C$366,,-1)</f>
        <v>2225</v>
      </c>
      <c r="F113" s="6">
        <f>_xlfn.XLOOKUP(D113,'Native PMKS'!$C$6:$C$366,'Native PMKS'!$C$6:$C$366,,1)</f>
        <v>2233.3333333333335</v>
      </c>
      <c r="G113" s="6">
        <f>_xlfn.XLOOKUP(D113,'Native PMKS'!$C$6:$C$366,'Native PMKS'!$D$6:$D$366,,-1)</f>
        <v>29.965699999999998</v>
      </c>
      <c r="H113" s="6">
        <f>_xlfn.XLOOKUP(D113,'Native PMKS'!$C$6:$C$366,'Native PMKS'!$D$6:$D$366,,1)</f>
        <v>29.965699999999998</v>
      </c>
      <c r="I113" s="6">
        <f t="shared" si="43"/>
        <v>29.965699999999998</v>
      </c>
      <c r="J113" s="6">
        <f>INDEX('Raw Data'!$F$6:$F$2882,MATCH(A113,'Raw Data'!$A$6:$A$2882,0))</f>
        <v>0.59</v>
      </c>
      <c r="K113" s="6">
        <f t="shared" si="44"/>
        <v>0.59</v>
      </c>
      <c r="L113" s="6">
        <f t="shared" si="45"/>
        <v>0.52300012766486481</v>
      </c>
      <c r="M113" s="6">
        <f t="shared" si="46"/>
        <v>6.6999872335135158E-2</v>
      </c>
      <c r="N113" s="6">
        <f t="shared" si="47"/>
        <v>4.4889828929244096E-3</v>
      </c>
      <c r="O113" s="6">
        <f>_xlfn.XLOOKUP(D113,'Instructor 360'!$B$6:$B$365,'Instructor 360'!$B$6:$B$365,,-1)</f>
        <v>2222.8412256267411</v>
      </c>
      <c r="P113" s="6">
        <f>_xlfn.XLOOKUP(D113,'Instructor 360'!$B$6:$B$365,'Instructor 360'!$B$6:$B$365,,1)</f>
        <v>2231.1977715877438</v>
      </c>
      <c r="Q113" s="6">
        <f>_xlfn.XLOOKUP(D113,'Instructor 360'!$B$6:$B$365,'Instructor 360'!$F$6:$F$365,,-1)</f>
        <v>29.95085626740947</v>
      </c>
      <c r="R113" s="6">
        <f>_xlfn.XLOOKUP(D113,'Instructor 360'!$B$6:$B$365,'Instructor 360'!$F$6:$F$365,,1)</f>
        <v>29.965699999999998</v>
      </c>
      <c r="S113" s="6">
        <f t="shared" si="48"/>
        <v>29.956113082920716</v>
      </c>
      <c r="T113" s="6">
        <f t="shared" si="49"/>
        <v>0.52283280439671564</v>
      </c>
      <c r="U113" s="6">
        <f t="shared" si="50"/>
        <v>6.7167195603284324E-2</v>
      </c>
      <c r="V113" s="6"/>
      <c r="W113" s="6">
        <f t="shared" si="51"/>
        <v>4.5114321652098572E-3</v>
      </c>
      <c r="AA113">
        <f t="shared" si="52"/>
        <v>2144</v>
      </c>
      <c r="AB113">
        <f t="shared" si="53"/>
        <v>0.59</v>
      </c>
      <c r="AC113">
        <f t="shared" si="54"/>
        <v>0.52283280439671564</v>
      </c>
    </row>
    <row r="114" spans="1:29" ht="18.95" customHeight="1">
      <c r="A114" s="4">
        <f t="shared" si="55"/>
        <v>1485</v>
      </c>
      <c r="B114" s="6">
        <f>INDEX('Raw Data'!$B$6:$B$2882,MATCH(A114,'Raw Data'!$A$6:$A$2882,0))</f>
        <v>49944</v>
      </c>
      <c r="C114" s="6">
        <f t="shared" si="42"/>
        <v>2164</v>
      </c>
      <c r="D114" s="6">
        <f>MOD(C114+Summary!$B$20,Summary!$B$11)</f>
        <v>2245.8006443686454</v>
      </c>
      <c r="E114" s="6">
        <f>_xlfn.XLOOKUP(D114,'Native PMKS'!$C$6:$C$366,'Native PMKS'!$C$6:$C$366,,-1)</f>
        <v>2241.666666666667</v>
      </c>
      <c r="F114" s="6">
        <f>_xlfn.XLOOKUP(D114,'Native PMKS'!$C$6:$C$366,'Native PMKS'!$C$6:$C$366,,1)</f>
        <v>2250</v>
      </c>
      <c r="G114" s="6">
        <f>_xlfn.XLOOKUP(D114,'Native PMKS'!$C$6:$C$366,'Native PMKS'!$D$6:$D$366,,-1)</f>
        <v>30.023</v>
      </c>
      <c r="H114" s="6">
        <f>_xlfn.XLOOKUP(D114,'Native PMKS'!$C$6:$C$366,'Native PMKS'!$D$6:$D$366,,1)</f>
        <v>30.023</v>
      </c>
      <c r="I114" s="6">
        <f t="shared" si="43"/>
        <v>30.023</v>
      </c>
      <c r="J114" s="6">
        <f>INDEX('Raw Data'!$F$6:$F$2882,MATCH(A114,'Raw Data'!$A$6:$A$2882,0))</f>
        <v>0.62</v>
      </c>
      <c r="K114" s="6">
        <f t="shared" si="44"/>
        <v>0.62</v>
      </c>
      <c r="L114" s="6">
        <f t="shared" si="45"/>
        <v>0.52400020132625758</v>
      </c>
      <c r="M114" s="6">
        <f t="shared" si="46"/>
        <v>9.599979867374242E-2</v>
      </c>
      <c r="N114" s="6">
        <f t="shared" si="47"/>
        <v>9.2159613453990773E-3</v>
      </c>
      <c r="O114" s="6">
        <f>_xlfn.XLOOKUP(D114,'Instructor 360'!$B$6:$B$365,'Instructor 360'!$B$6:$B$365,,-1)</f>
        <v>2239.5543175487464</v>
      </c>
      <c r="P114" s="6">
        <f>_xlfn.XLOOKUP(D114,'Instructor 360'!$B$6:$B$365,'Instructor 360'!$B$6:$B$365,,1)</f>
        <v>2247.9108635097491</v>
      </c>
      <c r="Q114" s="6">
        <f>_xlfn.XLOOKUP(D114,'Instructor 360'!$B$6:$B$365,'Instructor 360'!$F$6:$F$365,,-1)</f>
        <v>30.008475487465176</v>
      </c>
      <c r="R114" s="6">
        <f>_xlfn.XLOOKUP(D114,'Instructor 360'!$B$6:$B$365,'Instructor 360'!$F$6:$F$365,,1)</f>
        <v>30.023</v>
      </c>
      <c r="S114" s="6">
        <f t="shared" si="48"/>
        <v>30.019332228110844</v>
      </c>
      <c r="T114" s="6">
        <f t="shared" si="49"/>
        <v>0.52393618663057973</v>
      </c>
      <c r="U114" s="6">
        <f t="shared" si="50"/>
        <v>9.606381336942027E-2</v>
      </c>
      <c r="V114" s="6"/>
      <c r="W114" s="6">
        <f t="shared" si="51"/>
        <v>9.2282562390748092E-3</v>
      </c>
      <c r="AA114">
        <f t="shared" si="52"/>
        <v>2164</v>
      </c>
      <c r="AB114">
        <f t="shared" si="53"/>
        <v>0.62</v>
      </c>
      <c r="AC114">
        <f t="shared" si="54"/>
        <v>0.52393618663057973</v>
      </c>
    </row>
    <row r="115" spans="1:29" ht="18.95" customHeight="1">
      <c r="A115" s="4">
        <f t="shared" si="55"/>
        <v>1486</v>
      </c>
      <c r="B115" s="6">
        <f>INDEX('Raw Data'!$B$6:$B$2882,MATCH(A115,'Raw Data'!$A$6:$A$2882,0))</f>
        <v>49964</v>
      </c>
      <c r="C115" s="6">
        <f t="shared" si="42"/>
        <v>2184</v>
      </c>
      <c r="D115" s="6">
        <f>MOD(C115+Summary!$B$20,Summary!$B$11)</f>
        <v>2265.8006443686454</v>
      </c>
      <c r="E115" s="6">
        <f>_xlfn.XLOOKUP(D115,'Native PMKS'!$C$6:$C$366,'Native PMKS'!$C$6:$C$366,,-1)</f>
        <v>2258.3333333333335</v>
      </c>
      <c r="F115" s="6">
        <f>_xlfn.XLOOKUP(D115,'Native PMKS'!$C$6:$C$366,'Native PMKS'!$C$6:$C$366,,1)</f>
        <v>2266.666666666667</v>
      </c>
      <c r="G115" s="6">
        <f>_xlfn.XLOOKUP(D115,'Native PMKS'!$C$6:$C$366,'Native PMKS'!$D$6:$D$366,,-1)</f>
        <v>30.023</v>
      </c>
      <c r="H115" s="6">
        <f>_xlfn.XLOOKUP(D115,'Native PMKS'!$C$6:$C$366,'Native PMKS'!$D$6:$D$366,,1)</f>
        <v>29.965699999999998</v>
      </c>
      <c r="I115" s="6">
        <f t="shared" si="43"/>
        <v>29.971654769321191</v>
      </c>
      <c r="J115" s="6">
        <f>INDEX('Raw Data'!$F$6:$F$2882,MATCH(A115,'Raw Data'!$A$6:$A$2882,0))</f>
        <v>0.57999999999999996</v>
      </c>
      <c r="K115" s="6">
        <f t="shared" si="44"/>
        <v>0.57999999999999996</v>
      </c>
      <c r="L115" s="6">
        <f t="shared" si="45"/>
        <v>0.52310405799571624</v>
      </c>
      <c r="M115" s="6">
        <f t="shared" si="46"/>
        <v>5.6895942004283717E-2</v>
      </c>
      <c r="N115" s="6">
        <f t="shared" si="47"/>
        <v>3.2371482165548162E-3</v>
      </c>
      <c r="O115" s="6">
        <f>_xlfn.XLOOKUP(D115,'Instructor 360'!$B$6:$B$365,'Instructor 360'!$B$6:$B$365,,-1)</f>
        <v>2264.6239554317549</v>
      </c>
      <c r="P115" s="6">
        <f>_xlfn.XLOOKUP(D115,'Instructor 360'!$B$6:$B$365,'Instructor 360'!$B$6:$B$365,,1)</f>
        <v>2272.9805013927576</v>
      </c>
      <c r="Q115" s="6">
        <f>_xlfn.XLOOKUP(D115,'Instructor 360'!$B$6:$B$365,'Instructor 360'!$F$6:$F$365,,-1)</f>
        <v>29.979745682451252</v>
      </c>
      <c r="R115" s="6">
        <f>_xlfn.XLOOKUP(D115,'Instructor 360'!$B$6:$B$365,'Instructor 360'!$F$6:$F$365,,1)</f>
        <v>29.965699999999998</v>
      </c>
      <c r="S115" s="6">
        <f t="shared" si="48"/>
        <v>29.977767903686129</v>
      </c>
      <c r="T115" s="6">
        <f t="shared" si="49"/>
        <v>0.52321075231800129</v>
      </c>
      <c r="U115" s="6">
        <f t="shared" si="50"/>
        <v>5.6789247681998667E-2</v>
      </c>
      <c r="V115" s="6"/>
      <c r="W115" s="6">
        <f t="shared" si="51"/>
        <v>3.2250186522873908E-3</v>
      </c>
      <c r="AA115">
        <f t="shared" si="52"/>
        <v>2184</v>
      </c>
      <c r="AB115">
        <f t="shared" si="53"/>
        <v>0.57999999999999996</v>
      </c>
      <c r="AC115">
        <f t="shared" si="54"/>
        <v>0.52321075231800129</v>
      </c>
    </row>
    <row r="116" spans="1:29" ht="18.95" customHeight="1">
      <c r="A116" s="4">
        <f t="shared" si="55"/>
        <v>1487</v>
      </c>
      <c r="B116" s="6">
        <f>INDEX('Raw Data'!$B$6:$B$2882,MATCH(A116,'Raw Data'!$A$6:$A$2882,0))</f>
        <v>49984</v>
      </c>
      <c r="C116" s="6">
        <f t="shared" si="42"/>
        <v>2204</v>
      </c>
      <c r="D116" s="6">
        <f>MOD(C116+Summary!$B$20,Summary!$B$11)</f>
        <v>2285.8006443686454</v>
      </c>
      <c r="E116" s="6">
        <f>_xlfn.XLOOKUP(D116,'Native PMKS'!$C$6:$C$366,'Native PMKS'!$C$6:$C$366,,-1)</f>
        <v>2283.3333333333335</v>
      </c>
      <c r="F116" s="6">
        <f>_xlfn.XLOOKUP(D116,'Native PMKS'!$C$6:$C$366,'Native PMKS'!$C$6:$C$366,,1)</f>
        <v>2291.666666666667</v>
      </c>
      <c r="G116" s="6">
        <f>_xlfn.XLOOKUP(D116,'Native PMKS'!$C$6:$C$366,'Native PMKS'!$D$6:$D$366,,-1)</f>
        <v>29.9084</v>
      </c>
      <c r="H116" s="6">
        <f>_xlfn.XLOOKUP(D116,'Native PMKS'!$C$6:$C$366,'Native PMKS'!$D$6:$D$366,,1)</f>
        <v>29.9084</v>
      </c>
      <c r="I116" s="6">
        <f t="shared" si="43"/>
        <v>29.9084</v>
      </c>
      <c r="J116" s="6">
        <f>INDEX('Raw Data'!$F$6:$F$2882,MATCH(A116,'Raw Data'!$A$6:$A$2882,0))</f>
        <v>0.56999999999999995</v>
      </c>
      <c r="K116" s="6">
        <f t="shared" si="44"/>
        <v>0.56999999999999995</v>
      </c>
      <c r="L116" s="6">
        <f t="shared" si="45"/>
        <v>0.52200005400347205</v>
      </c>
      <c r="M116" s="6">
        <f t="shared" si="46"/>
        <v>4.7999945996527904E-2</v>
      </c>
      <c r="N116" s="6">
        <f t="shared" si="47"/>
        <v>2.303994815669595E-3</v>
      </c>
      <c r="O116" s="6">
        <f>_xlfn.XLOOKUP(D116,'Instructor 360'!$B$6:$B$365,'Instructor 360'!$B$6:$B$365,,-1)</f>
        <v>2281.3370473537602</v>
      </c>
      <c r="P116" s="6">
        <f>_xlfn.XLOOKUP(D116,'Instructor 360'!$B$6:$B$365,'Instructor 360'!$B$6:$B$365,,1)</f>
        <v>2289.6935933147633</v>
      </c>
      <c r="Q116" s="6">
        <f>_xlfn.XLOOKUP(D116,'Instructor 360'!$B$6:$B$365,'Instructor 360'!$F$6:$F$365,,-1)</f>
        <v>29.922126462395546</v>
      </c>
      <c r="R116" s="6">
        <f>_xlfn.XLOOKUP(D116,'Instructor 360'!$B$6:$B$365,'Instructor 360'!$F$6:$F$365,,1)</f>
        <v>29.9084</v>
      </c>
      <c r="S116" s="6">
        <f t="shared" si="48"/>
        <v>29.914794557938897</v>
      </c>
      <c r="T116" s="6">
        <f t="shared" si="49"/>
        <v>0.52211166009371535</v>
      </c>
      <c r="U116" s="6">
        <f t="shared" si="50"/>
        <v>4.7888339906284605E-2</v>
      </c>
      <c r="V116" s="6"/>
      <c r="W116" s="6">
        <f t="shared" si="51"/>
        <v>2.2932930989798504E-3</v>
      </c>
      <c r="AA116">
        <f t="shared" si="52"/>
        <v>2204</v>
      </c>
      <c r="AB116">
        <f t="shared" si="53"/>
        <v>0.56999999999999995</v>
      </c>
      <c r="AC116">
        <f t="shared" si="54"/>
        <v>0.52211166009371535</v>
      </c>
    </row>
    <row r="117" spans="1:29" ht="18.95" customHeight="1">
      <c r="A117" s="4">
        <f t="shared" si="55"/>
        <v>1488</v>
      </c>
      <c r="B117" s="6">
        <f>INDEX('Raw Data'!$B$6:$B$2882,MATCH(A117,'Raw Data'!$A$6:$A$2882,0))</f>
        <v>50004</v>
      </c>
      <c r="C117" s="6">
        <f t="shared" si="42"/>
        <v>2224</v>
      </c>
      <c r="D117" s="6">
        <f>MOD(C117+Summary!$B$20,Summary!$B$11)</f>
        <v>2305.8006443686454</v>
      </c>
      <c r="E117" s="6">
        <f>_xlfn.XLOOKUP(D117,'Native PMKS'!$C$6:$C$366,'Native PMKS'!$C$6:$C$366,,-1)</f>
        <v>2300</v>
      </c>
      <c r="F117" s="6">
        <f>_xlfn.XLOOKUP(D117,'Native PMKS'!$C$6:$C$366,'Native PMKS'!$C$6:$C$366,,1)</f>
        <v>2308.3333333333335</v>
      </c>
      <c r="G117" s="6">
        <f>_xlfn.XLOOKUP(D117,'Native PMKS'!$C$6:$C$366,'Native PMKS'!$D$6:$D$366,,-1)</f>
        <v>29.851099999999999</v>
      </c>
      <c r="H117" s="6">
        <f>_xlfn.XLOOKUP(D117,'Native PMKS'!$C$6:$C$366,'Native PMKS'!$D$6:$D$366,,1)</f>
        <v>29.793800000000001</v>
      </c>
      <c r="I117" s="6">
        <f t="shared" si="43"/>
        <v>29.811214769321197</v>
      </c>
      <c r="J117" s="6">
        <f>INDEX('Raw Data'!$F$6:$F$2882,MATCH(A117,'Raw Data'!$A$6:$A$2882,0))</f>
        <v>0.54</v>
      </c>
      <c r="K117" s="6">
        <f t="shared" si="44"/>
        <v>0.54</v>
      </c>
      <c r="L117" s="6">
        <f t="shared" si="45"/>
        <v>0.52030385174381677</v>
      </c>
      <c r="M117" s="6">
        <f t="shared" si="46"/>
        <v>1.9696148256183266E-2</v>
      </c>
      <c r="N117" s="6">
        <f t="shared" si="47"/>
        <v>3.8793825612955111E-4</v>
      </c>
      <c r="O117" s="6">
        <f>_xlfn.XLOOKUP(D117,'Instructor 360'!$B$6:$B$365,'Instructor 360'!$B$6:$B$365,,-1)</f>
        <v>2298.050139275766</v>
      </c>
      <c r="P117" s="6">
        <f>_xlfn.XLOOKUP(D117,'Instructor 360'!$B$6:$B$365,'Instructor 360'!$B$6:$B$365,,1)</f>
        <v>2306.4066852367687</v>
      </c>
      <c r="Q117" s="6">
        <f>_xlfn.XLOOKUP(D117,'Instructor 360'!$B$6:$B$365,'Instructor 360'!$F$6:$F$365,,-1)</f>
        <v>29.864507242339833</v>
      </c>
      <c r="R117" s="6">
        <f>_xlfn.XLOOKUP(D117,'Instructor 360'!$B$6:$B$365,'Instructor 360'!$F$6:$F$365,,1)</f>
        <v>29.807047632311981</v>
      </c>
      <c r="S117" s="6">
        <f t="shared" si="48"/>
        <v>29.8112147693212</v>
      </c>
      <c r="T117" s="6">
        <f t="shared" si="49"/>
        <v>0.52030385174381677</v>
      </c>
      <c r="U117" s="6">
        <f t="shared" si="50"/>
        <v>1.9696148256183266E-2</v>
      </c>
      <c r="V117" s="6"/>
      <c r="W117" s="6">
        <f t="shared" si="51"/>
        <v>3.8793825612955111E-4</v>
      </c>
      <c r="AA117">
        <f t="shared" si="52"/>
        <v>2224</v>
      </c>
      <c r="AB117">
        <f t="shared" si="53"/>
        <v>0.54</v>
      </c>
      <c r="AC117">
        <f t="shared" si="54"/>
        <v>0.52030385174381677</v>
      </c>
    </row>
    <row r="118" spans="1:29" ht="18.95" customHeight="1">
      <c r="A118" s="4">
        <f t="shared" si="55"/>
        <v>1489</v>
      </c>
      <c r="B118" s="6">
        <f>INDEX('Raw Data'!$B$6:$B$2882,MATCH(A118,'Raw Data'!$A$6:$A$2882,0))</f>
        <v>50024</v>
      </c>
      <c r="C118" s="6">
        <f t="shared" si="42"/>
        <v>2244</v>
      </c>
      <c r="D118" s="6">
        <f>MOD(C118+Summary!$B$20,Summary!$B$11)</f>
        <v>2325.8006443686454</v>
      </c>
      <c r="E118" s="6">
        <f>_xlfn.XLOOKUP(D118,'Native PMKS'!$C$6:$C$366,'Native PMKS'!$C$6:$C$366,,-1)</f>
        <v>2325</v>
      </c>
      <c r="F118" s="6">
        <f>_xlfn.XLOOKUP(D118,'Native PMKS'!$C$6:$C$366,'Native PMKS'!$C$6:$C$366,,1)</f>
        <v>2333.3333333333335</v>
      </c>
      <c r="G118" s="6">
        <f>_xlfn.XLOOKUP(D118,'Native PMKS'!$C$6:$C$366,'Native PMKS'!$D$6:$D$366,,-1)</f>
        <v>29.6219</v>
      </c>
      <c r="H118" s="6">
        <f>_xlfn.XLOOKUP(D118,'Native PMKS'!$C$6:$C$366,'Native PMKS'!$D$6:$D$366,,1)</f>
        <v>29.564599999999999</v>
      </c>
      <c r="I118" s="6">
        <f t="shared" si="43"/>
        <v>29.616394769321197</v>
      </c>
      <c r="J118" s="6">
        <f>INDEX('Raw Data'!$F$6:$F$2882,MATCH(A118,'Raw Data'!$A$6:$A$2882,0))</f>
        <v>0.56999999999999995</v>
      </c>
      <c r="K118" s="6">
        <f t="shared" si="44"/>
        <v>0.56999999999999995</v>
      </c>
      <c r="L118" s="6">
        <f t="shared" si="45"/>
        <v>0.51690360129508139</v>
      </c>
      <c r="M118" s="6">
        <f t="shared" si="46"/>
        <v>5.3096398704918557E-2</v>
      </c>
      <c r="N118" s="6">
        <f t="shared" si="47"/>
        <v>2.8192275554316769E-3</v>
      </c>
      <c r="O118" s="6">
        <f>_xlfn.XLOOKUP(D118,'Instructor 360'!$B$6:$B$365,'Instructor 360'!$B$6:$B$365,,-1)</f>
        <v>2323.1197771587745</v>
      </c>
      <c r="P118" s="6">
        <f>_xlfn.XLOOKUP(D118,'Instructor 360'!$B$6:$B$365,'Instructor 360'!$B$6:$B$365,,1)</f>
        <v>2331.4763231197771</v>
      </c>
      <c r="Q118" s="6">
        <f>_xlfn.XLOOKUP(D118,'Instructor 360'!$B$6:$B$365,'Instructor 360'!$F$6:$F$365,,-1)</f>
        <v>29.647756824512534</v>
      </c>
      <c r="R118" s="6">
        <f>_xlfn.XLOOKUP(D118,'Instructor 360'!$B$6:$B$365,'Instructor 360'!$F$6:$F$365,,1)</f>
        <v>29.577368802228413</v>
      </c>
      <c r="S118" s="6">
        <f t="shared" si="48"/>
        <v>29.625175611917065</v>
      </c>
      <c r="T118" s="6">
        <f t="shared" si="49"/>
        <v>0.51705685590947859</v>
      </c>
      <c r="U118" s="6">
        <f t="shared" si="50"/>
        <v>5.2943144090521366E-2</v>
      </c>
      <c r="V118" s="6"/>
      <c r="W118" s="6">
        <f t="shared" si="51"/>
        <v>2.8029765061897073E-3</v>
      </c>
      <c r="AA118">
        <f t="shared" si="52"/>
        <v>2244</v>
      </c>
      <c r="AB118">
        <f t="shared" si="53"/>
        <v>0.56999999999999995</v>
      </c>
      <c r="AC118">
        <f t="shared" si="54"/>
        <v>0.51705685590947859</v>
      </c>
    </row>
    <row r="119" spans="1:29" ht="18.95" customHeight="1">
      <c r="A119" s="4">
        <f t="shared" si="55"/>
        <v>1490</v>
      </c>
      <c r="B119" s="6">
        <f>INDEX('Raw Data'!$B$6:$B$2882,MATCH(A119,'Raw Data'!$A$6:$A$2882,0))</f>
        <v>50044</v>
      </c>
      <c r="C119" s="6">
        <f t="shared" si="42"/>
        <v>2264</v>
      </c>
      <c r="D119" s="6">
        <f>MOD(C119+Summary!$B$20,Summary!$B$11)</f>
        <v>2345.8006443686454</v>
      </c>
      <c r="E119" s="6">
        <f>_xlfn.XLOOKUP(D119,'Native PMKS'!$C$6:$C$366,'Native PMKS'!$C$6:$C$366,,-1)</f>
        <v>2341.666666666667</v>
      </c>
      <c r="F119" s="6">
        <f>_xlfn.XLOOKUP(D119,'Native PMKS'!$C$6:$C$366,'Native PMKS'!$C$6:$C$366,,1)</f>
        <v>2350</v>
      </c>
      <c r="G119" s="6">
        <f>_xlfn.XLOOKUP(D119,'Native PMKS'!$C$6:$C$366,'Native PMKS'!$D$6:$D$366,,-1)</f>
        <v>29.45</v>
      </c>
      <c r="H119" s="6">
        <f>_xlfn.XLOOKUP(D119,'Native PMKS'!$C$6:$C$366,'Native PMKS'!$D$6:$D$366,,1)</f>
        <v>29.392700000000001</v>
      </c>
      <c r="I119" s="6">
        <f t="shared" si="43"/>
        <v>29.421574769321197</v>
      </c>
      <c r="J119" s="6">
        <f>INDEX('Raw Data'!$F$6:$F$2882,MATCH(A119,'Raw Data'!$A$6:$A$2882,0))</f>
        <v>0.54</v>
      </c>
      <c r="K119" s="6">
        <f t="shared" si="44"/>
        <v>0.54</v>
      </c>
      <c r="L119" s="6">
        <f t="shared" si="45"/>
        <v>0.51350335084634602</v>
      </c>
      <c r="M119" s="6">
        <f t="shared" si="46"/>
        <v>2.6496649153654017E-2</v>
      </c>
      <c r="N119" s="6">
        <f t="shared" si="47"/>
        <v>7.0207241637183413E-4</v>
      </c>
      <c r="O119" s="6">
        <f>_xlfn.XLOOKUP(D119,'Instructor 360'!$B$6:$B$365,'Instructor 360'!$B$6:$B$365,,-1)</f>
        <v>2339.8328690807798</v>
      </c>
      <c r="P119" s="6">
        <f>_xlfn.XLOOKUP(D119,'Instructor 360'!$B$6:$B$365,'Instructor 360'!$B$6:$B$365,,1)</f>
        <v>2348.1894150417829</v>
      </c>
      <c r="Q119" s="6">
        <f>_xlfn.XLOOKUP(D119,'Instructor 360'!$B$6:$B$365,'Instructor 360'!$F$6:$F$365,,-1)</f>
        <v>29.475218384401121</v>
      </c>
      <c r="R119" s="6">
        <f>_xlfn.XLOOKUP(D119,'Instructor 360'!$B$6:$B$365,'Instructor 360'!$F$6:$F$365,,1)</f>
        <v>29.405149582172701</v>
      </c>
      <c r="S119" s="6">
        <f t="shared" si="48"/>
        <v>29.42517918538989</v>
      </c>
      <c r="T119" s="6">
        <f t="shared" si="49"/>
        <v>0.51356625977435655</v>
      </c>
      <c r="U119" s="6">
        <f t="shared" si="50"/>
        <v>2.6433740225643487E-2</v>
      </c>
      <c r="V119" s="6"/>
      <c r="W119" s="6">
        <f t="shared" si="51"/>
        <v>6.9874262231680261E-4</v>
      </c>
      <c r="AA119">
        <f t="shared" si="52"/>
        <v>2264</v>
      </c>
      <c r="AB119">
        <f t="shared" si="53"/>
        <v>0.54</v>
      </c>
      <c r="AC119">
        <f t="shared" si="54"/>
        <v>0.51356625977435655</v>
      </c>
    </row>
    <row r="120" spans="1:29" ht="18.95" customHeight="1">
      <c r="A120" s="4">
        <f t="shared" si="55"/>
        <v>1491</v>
      </c>
      <c r="B120" s="6">
        <f>INDEX('Raw Data'!$B$6:$B$2882,MATCH(A120,'Raw Data'!$A$6:$A$2882,0))</f>
        <v>50064</v>
      </c>
      <c r="C120" s="6">
        <f t="shared" si="42"/>
        <v>2284</v>
      </c>
      <c r="D120" s="6">
        <f>MOD(C120+Summary!$B$20,Summary!$B$11)</f>
        <v>2365.8006443686454</v>
      </c>
      <c r="E120" s="6">
        <f>_xlfn.XLOOKUP(D120,'Native PMKS'!$C$6:$C$366,'Native PMKS'!$C$6:$C$366,,-1)</f>
        <v>2358.3333333333335</v>
      </c>
      <c r="F120" s="6">
        <f>_xlfn.XLOOKUP(D120,'Native PMKS'!$C$6:$C$366,'Native PMKS'!$C$6:$C$366,,1)</f>
        <v>2366.666666666667</v>
      </c>
      <c r="G120" s="6">
        <f>_xlfn.XLOOKUP(D120,'Native PMKS'!$C$6:$C$366,'Native PMKS'!$D$6:$D$366,,-1)</f>
        <v>29.278099999999998</v>
      </c>
      <c r="H120" s="6">
        <f>_xlfn.XLOOKUP(D120,'Native PMKS'!$C$6:$C$366,'Native PMKS'!$D$6:$D$366,,1)</f>
        <v>29.163599999999999</v>
      </c>
      <c r="I120" s="6">
        <f t="shared" si="43"/>
        <v>29.175499146374811</v>
      </c>
      <c r="J120" s="6">
        <f>INDEX('Raw Data'!$F$6:$F$2882,MATCH(A120,'Raw Data'!$A$6:$A$2882,0))</f>
        <v>0.52</v>
      </c>
      <c r="K120" s="6">
        <f t="shared" si="44"/>
        <v>0.52</v>
      </c>
      <c r="L120" s="6">
        <f t="shared" si="45"/>
        <v>0.50920852101703551</v>
      </c>
      <c r="M120" s="6">
        <f t="shared" si="46"/>
        <v>1.0791478982964509E-2</v>
      </c>
      <c r="N120" s="6">
        <f t="shared" si="47"/>
        <v>1.1645601863976471E-4</v>
      </c>
      <c r="O120" s="6">
        <f>_xlfn.XLOOKUP(D120,'Instructor 360'!$B$6:$B$365,'Instructor 360'!$B$6:$B$365,,-1)</f>
        <v>2364.9025069637883</v>
      </c>
      <c r="P120" s="6">
        <f>_xlfn.XLOOKUP(D120,'Instructor 360'!$B$6:$B$365,'Instructor 360'!$B$6:$B$365,,1)</f>
        <v>2373.2590529247909</v>
      </c>
      <c r="Q120" s="6">
        <f>_xlfn.XLOOKUP(D120,'Instructor 360'!$B$6:$B$365,'Instructor 360'!$F$6:$F$365,,-1)</f>
        <v>29.187839554317552</v>
      </c>
      <c r="R120" s="6">
        <f>_xlfn.XLOOKUP(D120,'Instructor 360'!$B$6:$B$365,'Instructor 360'!$F$6:$F$365,,1)</f>
        <v>29.072941504178274</v>
      </c>
      <c r="S120" s="6">
        <f t="shared" si="48"/>
        <v>29.175490644007375</v>
      </c>
      <c r="T120" s="6">
        <f t="shared" si="49"/>
        <v>0.50920837262272944</v>
      </c>
      <c r="U120" s="6">
        <f t="shared" si="50"/>
        <v>1.0791627377270574E-2</v>
      </c>
      <c r="V120" s="6"/>
      <c r="W120" s="6">
        <f t="shared" si="51"/>
        <v>1.1645922144985577E-4</v>
      </c>
      <c r="AA120">
        <f t="shared" si="52"/>
        <v>2284</v>
      </c>
      <c r="AB120">
        <f t="shared" si="53"/>
        <v>0.52</v>
      </c>
      <c r="AC120">
        <f t="shared" si="54"/>
        <v>0.50920837262272944</v>
      </c>
    </row>
    <row r="121" spans="1:29" ht="18.95" customHeight="1">
      <c r="A121" s="4">
        <f t="shared" si="55"/>
        <v>1492</v>
      </c>
      <c r="B121" s="6">
        <f>INDEX('Raw Data'!$B$6:$B$2882,MATCH(A121,'Raw Data'!$A$6:$A$2882,0))</f>
        <v>50084</v>
      </c>
      <c r="C121" s="6">
        <f t="shared" si="42"/>
        <v>2304</v>
      </c>
      <c r="D121" s="6">
        <f>MOD(C121+Summary!$B$20,Summary!$B$11)</f>
        <v>2385.8006443686454</v>
      </c>
      <c r="E121" s="6">
        <f>_xlfn.XLOOKUP(D121,'Native PMKS'!$C$6:$C$366,'Native PMKS'!$C$6:$C$366,,-1)</f>
        <v>2383.3333333333335</v>
      </c>
      <c r="F121" s="6">
        <f>_xlfn.XLOOKUP(D121,'Native PMKS'!$C$6:$C$366,'Native PMKS'!$C$6:$C$366,,1)</f>
        <v>2391.666666666667</v>
      </c>
      <c r="G121" s="6">
        <f>_xlfn.XLOOKUP(D121,'Native PMKS'!$C$6:$C$366,'Native PMKS'!$D$6:$D$366,,-1)</f>
        <v>28.877099999999999</v>
      </c>
      <c r="H121" s="6">
        <f>_xlfn.XLOOKUP(D121,'Native PMKS'!$C$6:$C$366,'Native PMKS'!$D$6:$D$366,,1)</f>
        <v>28.762499999999999</v>
      </c>
      <c r="I121" s="6">
        <f t="shared" si="43"/>
        <v>28.843169538642393</v>
      </c>
      <c r="J121" s="6">
        <f>INDEX('Raw Data'!$F$6:$F$2882,MATCH(A121,'Raw Data'!$A$6:$A$2882,0))</f>
        <v>0.51</v>
      </c>
      <c r="K121" s="6">
        <f t="shared" si="44"/>
        <v>0.51</v>
      </c>
      <c r="L121" s="6">
        <f t="shared" si="45"/>
        <v>0.50340827516024356</v>
      </c>
      <c r="M121" s="6">
        <f t="shared" si="46"/>
        <v>6.5917248397564521E-3</v>
      </c>
      <c r="N121" s="6">
        <f t="shared" si="47"/>
        <v>4.3450836363062227E-5</v>
      </c>
      <c r="O121" s="6">
        <f>_xlfn.XLOOKUP(D121,'Instructor 360'!$B$6:$B$365,'Instructor 360'!$B$6:$B$365,,-1)</f>
        <v>2381.615598885794</v>
      </c>
      <c r="P121" s="6">
        <f>_xlfn.XLOOKUP(D121,'Instructor 360'!$B$6:$B$365,'Instructor 360'!$B$6:$B$365,,1)</f>
        <v>2389.9721448467967</v>
      </c>
      <c r="Q121" s="6">
        <f>_xlfn.XLOOKUP(D121,'Instructor 360'!$B$6:$B$365,'Instructor 360'!$F$6:$F$365,,-1)</f>
        <v>28.912533426183842</v>
      </c>
      <c r="R121" s="6">
        <f>_xlfn.XLOOKUP(D121,'Instructor 360'!$B$6:$B$365,'Instructor 360'!$F$6:$F$365,,1)</f>
        <v>28.785803064066855</v>
      </c>
      <c r="S121" s="6">
        <f t="shared" si="48"/>
        <v>28.84906553741822</v>
      </c>
      <c r="T121" s="6">
        <f t="shared" si="49"/>
        <v>0.50351117975157522</v>
      </c>
      <c r="U121" s="6">
        <f t="shared" si="50"/>
        <v>6.488820248424787E-3</v>
      </c>
      <c r="V121" s="6"/>
      <c r="W121" s="6">
        <f t="shared" si="51"/>
        <v>4.2104788216367517E-5</v>
      </c>
      <c r="AA121">
        <f t="shared" si="52"/>
        <v>2304</v>
      </c>
      <c r="AB121">
        <f t="shared" si="53"/>
        <v>0.51</v>
      </c>
      <c r="AC121">
        <f t="shared" si="54"/>
        <v>0.50351117975157522</v>
      </c>
    </row>
    <row r="122" spans="1:29" ht="18.95" customHeight="1">
      <c r="A122" s="4">
        <f t="shared" si="55"/>
        <v>1493</v>
      </c>
      <c r="B122" s="6">
        <f>INDEX('Raw Data'!$B$6:$B$2882,MATCH(A122,'Raw Data'!$A$6:$A$2882,0))</f>
        <v>50104</v>
      </c>
      <c r="C122" s="6">
        <f t="shared" si="42"/>
        <v>2324</v>
      </c>
      <c r="D122" s="6">
        <f>MOD(C122+Summary!$B$20,Summary!$B$11)</f>
        <v>2405.8006443686454</v>
      </c>
      <c r="E122" s="6">
        <f>_xlfn.XLOOKUP(D122,'Native PMKS'!$C$6:$C$366,'Native PMKS'!$C$6:$C$366,,-1)</f>
        <v>2400</v>
      </c>
      <c r="F122" s="6">
        <f>_xlfn.XLOOKUP(D122,'Native PMKS'!$C$6:$C$366,'Native PMKS'!$C$6:$C$366,,1)</f>
        <v>2408.3333333333335</v>
      </c>
      <c r="G122" s="6">
        <f>_xlfn.XLOOKUP(D122,'Native PMKS'!$C$6:$C$366,'Native PMKS'!$D$6:$D$366,,-1)</f>
        <v>28.590599999999998</v>
      </c>
      <c r="H122" s="6">
        <f>_xlfn.XLOOKUP(D122,'Native PMKS'!$C$6:$C$366,'Native PMKS'!$D$6:$D$366,,1)</f>
        <v>28.475999999999999</v>
      </c>
      <c r="I122" s="6">
        <f t="shared" si="43"/>
        <v>28.51082953864239</v>
      </c>
      <c r="J122" s="6">
        <f>INDEX('Raw Data'!$F$6:$F$2882,MATCH(A122,'Raw Data'!$A$6:$A$2882,0))</f>
        <v>0.51</v>
      </c>
      <c r="K122" s="6">
        <f t="shared" si="44"/>
        <v>0.51</v>
      </c>
      <c r="L122" s="6">
        <f t="shared" si="45"/>
        <v>0.49760784792416557</v>
      </c>
      <c r="M122" s="6">
        <f t="shared" si="46"/>
        <v>1.2392152075834439E-2</v>
      </c>
      <c r="N122" s="6">
        <f t="shared" si="47"/>
        <v>1.5356543307060781E-4</v>
      </c>
      <c r="O122" s="6">
        <f>_xlfn.XLOOKUP(D122,'Instructor 360'!$B$6:$B$365,'Instructor 360'!$B$6:$B$365,,-1)</f>
        <v>2398.3286908077994</v>
      </c>
      <c r="P122" s="6">
        <f>_xlfn.XLOOKUP(D122,'Instructor 360'!$B$6:$B$365,'Instructor 360'!$B$6:$B$365,,1)</f>
        <v>2406.685236768802</v>
      </c>
      <c r="Q122" s="6">
        <f>_xlfn.XLOOKUP(D122,'Instructor 360'!$B$6:$B$365,'Instructor 360'!$F$6:$F$365,,-1)</f>
        <v>28.625075766016714</v>
      </c>
      <c r="R122" s="6">
        <f>_xlfn.XLOOKUP(D122,'Instructor 360'!$B$6:$B$365,'Instructor 360'!$F$6:$F$365,,1)</f>
        <v>28.498664623955435</v>
      </c>
      <c r="S122" s="6">
        <f t="shared" si="48"/>
        <v>28.51204603011108</v>
      </c>
      <c r="T122" s="6">
        <f t="shared" si="49"/>
        <v>0.49762907970561665</v>
      </c>
      <c r="U122" s="6">
        <f t="shared" si="50"/>
        <v>1.2370920294383358E-2</v>
      </c>
      <c r="V122" s="6"/>
      <c r="W122" s="6">
        <f t="shared" si="51"/>
        <v>1.5303966892998605E-4</v>
      </c>
      <c r="AA122">
        <f t="shared" si="52"/>
        <v>2324</v>
      </c>
      <c r="AB122">
        <f t="shared" si="53"/>
        <v>0.51</v>
      </c>
      <c r="AC122">
        <f t="shared" si="54"/>
        <v>0.49762907970561665</v>
      </c>
    </row>
    <row r="123" spans="1:29" ht="18.95" customHeight="1">
      <c r="A123" s="4">
        <f t="shared" si="55"/>
        <v>1494</v>
      </c>
      <c r="B123" s="6">
        <f>INDEX('Raw Data'!$B$6:$B$2882,MATCH(A123,'Raw Data'!$A$6:$A$2882,0))</f>
        <v>50124</v>
      </c>
      <c r="C123" s="6">
        <f t="shared" si="42"/>
        <v>2344</v>
      </c>
      <c r="D123" s="6">
        <f>MOD(C123+Summary!$B$20,Summary!$B$11)</f>
        <v>2425.8006443686454</v>
      </c>
      <c r="E123" s="6">
        <f>_xlfn.XLOOKUP(D123,'Native PMKS'!$C$6:$C$366,'Native PMKS'!$C$6:$C$366,,-1)</f>
        <v>2425</v>
      </c>
      <c r="F123" s="6">
        <f>_xlfn.XLOOKUP(D123,'Native PMKS'!$C$6:$C$366,'Native PMKS'!$C$6:$C$366,,1)</f>
        <v>2433.3333333333335</v>
      </c>
      <c r="G123" s="6">
        <f>_xlfn.XLOOKUP(D123,'Native PMKS'!$C$6:$C$366,'Native PMKS'!$D$6:$D$366,,-1)</f>
        <v>28.132200000000001</v>
      </c>
      <c r="H123" s="6">
        <f>_xlfn.XLOOKUP(D123,'Native PMKS'!$C$6:$C$366,'Native PMKS'!$D$6:$D$366,,1)</f>
        <v>27.902999999999999</v>
      </c>
      <c r="I123" s="6">
        <f t="shared" si="43"/>
        <v>28.110179077284783</v>
      </c>
      <c r="J123" s="6">
        <f>INDEX('Raw Data'!$F$6:$F$2882,MATCH(A123,'Raw Data'!$A$6:$A$2882,0))</f>
        <v>0.47</v>
      </c>
      <c r="K123" s="6">
        <f t="shared" si="44"/>
        <v>0.47</v>
      </c>
      <c r="L123" s="6">
        <f t="shared" si="45"/>
        <v>0.49061517822384104</v>
      </c>
      <c r="M123" s="6">
        <f t="shared" si="46"/>
        <v>-2.0615178223841069E-2</v>
      </c>
      <c r="N123" s="6">
        <f t="shared" si="47"/>
        <v>4.2498557320073098E-4</v>
      </c>
      <c r="O123" s="6">
        <f>_xlfn.XLOOKUP(D123,'Instructor 360'!$B$6:$B$365,'Instructor 360'!$B$6:$B$365,,-1)</f>
        <v>2423.3983286908078</v>
      </c>
      <c r="P123" s="6">
        <f>_xlfn.XLOOKUP(D123,'Instructor 360'!$B$6:$B$365,'Instructor 360'!$B$6:$B$365,,1)</f>
        <v>2431.7548746518105</v>
      </c>
      <c r="Q123" s="6">
        <f>_xlfn.XLOOKUP(D123,'Instructor 360'!$B$6:$B$365,'Instructor 360'!$F$6:$F$365,,-1)</f>
        <v>28.165239275766019</v>
      </c>
      <c r="R123" s="6">
        <f>_xlfn.XLOOKUP(D123,'Instructor 360'!$B$6:$B$365,'Instructor 360'!$F$6:$F$365,,1)</f>
        <v>27.946413927576607</v>
      </c>
      <c r="S123" s="6">
        <f t="shared" si="48"/>
        <v>28.102331997194604</v>
      </c>
      <c r="T123" s="6">
        <f t="shared" si="49"/>
        <v>0.49047822083959969</v>
      </c>
      <c r="U123" s="6">
        <f t="shared" si="50"/>
        <v>-2.0478220839599715E-2</v>
      </c>
      <c r="V123" s="6"/>
      <c r="W123" s="6">
        <f t="shared" si="51"/>
        <v>4.1935752875541606E-4</v>
      </c>
      <c r="AA123">
        <f t="shared" si="52"/>
        <v>2344</v>
      </c>
      <c r="AB123">
        <f t="shared" si="53"/>
        <v>0.47</v>
      </c>
      <c r="AC123">
        <f t="shared" si="54"/>
        <v>0.49047822083959969</v>
      </c>
    </row>
    <row r="124" spans="1:29" ht="18.95" customHeight="1">
      <c r="A124" s="4">
        <f t="shared" si="55"/>
        <v>1495</v>
      </c>
      <c r="B124" s="6">
        <f>INDEX('Raw Data'!$B$6:$B$2882,MATCH(A124,'Raw Data'!$A$6:$A$2882,0))</f>
        <v>50144</v>
      </c>
      <c r="C124" s="6">
        <f t="shared" si="42"/>
        <v>2364</v>
      </c>
      <c r="D124" s="6">
        <f>MOD(C124+Summary!$B$20,Summary!$B$11)</f>
        <v>2445.8006443686454</v>
      </c>
      <c r="E124" s="6">
        <f>_xlfn.XLOOKUP(D124,'Native PMKS'!$C$6:$C$366,'Native PMKS'!$C$6:$C$366,,-1)</f>
        <v>2441.666666666667</v>
      </c>
      <c r="F124" s="6">
        <f>_xlfn.XLOOKUP(D124,'Native PMKS'!$C$6:$C$366,'Native PMKS'!$C$6:$C$366,,1)</f>
        <v>2450</v>
      </c>
      <c r="G124" s="6">
        <f>_xlfn.XLOOKUP(D124,'Native PMKS'!$C$6:$C$366,'Native PMKS'!$D$6:$D$366,,-1)</f>
        <v>27.731200000000001</v>
      </c>
      <c r="H124" s="6">
        <f>_xlfn.XLOOKUP(D124,'Native PMKS'!$C$6:$C$366,'Native PMKS'!$D$6:$D$366,,1)</f>
        <v>27.5593</v>
      </c>
      <c r="I124" s="6">
        <f t="shared" si="43"/>
        <v>27.645924307963583</v>
      </c>
      <c r="J124" s="6">
        <f>INDEX('Raw Data'!$F$6:$F$2882,MATCH(A124,'Raw Data'!$A$6:$A$2882,0))</f>
        <v>0.46</v>
      </c>
      <c r="K124" s="6">
        <f t="shared" si="44"/>
        <v>0.46</v>
      </c>
      <c r="L124" s="6">
        <f t="shared" si="45"/>
        <v>0.48251240393109934</v>
      </c>
      <c r="M124" s="6">
        <f t="shared" si="46"/>
        <v>-2.2512403931099323E-2</v>
      </c>
      <c r="N124" s="6">
        <f t="shared" si="47"/>
        <v>5.0680833075697625E-4</v>
      </c>
      <c r="O124" s="6">
        <f>_xlfn.XLOOKUP(D124,'Instructor 360'!$B$6:$B$365,'Instructor 360'!$B$6:$B$365,,-1)</f>
        <v>2440.1114206128132</v>
      </c>
      <c r="P124" s="6">
        <f>_xlfn.XLOOKUP(D124,'Instructor 360'!$B$6:$B$365,'Instructor 360'!$B$6:$B$365,,1)</f>
        <v>2448.4679665738163</v>
      </c>
      <c r="Q124" s="6">
        <f>_xlfn.XLOOKUP(D124,'Instructor 360'!$B$6:$B$365,'Instructor 360'!$F$6:$F$365,,-1)</f>
        <v>27.763262952646251</v>
      </c>
      <c r="R124" s="6">
        <f>_xlfn.XLOOKUP(D124,'Instructor 360'!$B$6:$B$365,'Instructor 360'!$F$6:$F$365,,1)</f>
        <v>27.590902785515318</v>
      </c>
      <c r="S124" s="6">
        <f t="shared" si="48"/>
        <v>27.645918350943994</v>
      </c>
      <c r="T124" s="6">
        <f t="shared" si="49"/>
        <v>0.48251229996149392</v>
      </c>
      <c r="U124" s="6">
        <f t="shared" si="50"/>
        <v>-2.2512299961493898E-2</v>
      </c>
      <c r="V124" s="6"/>
      <c r="W124" s="6">
        <f t="shared" si="51"/>
        <v>5.0680364955627813E-4</v>
      </c>
      <c r="AA124">
        <f t="shared" si="52"/>
        <v>2364</v>
      </c>
      <c r="AB124">
        <f t="shared" si="53"/>
        <v>0.46</v>
      </c>
      <c r="AC124">
        <f t="shared" si="54"/>
        <v>0.48251229996149392</v>
      </c>
    </row>
    <row r="125" spans="1:29" ht="18.95" customHeight="1">
      <c r="A125" s="4">
        <f t="shared" si="55"/>
        <v>1496</v>
      </c>
      <c r="B125" s="6">
        <f>INDEX('Raw Data'!$B$6:$B$2882,MATCH(A125,'Raw Data'!$A$6:$A$2882,0))</f>
        <v>50164</v>
      </c>
      <c r="C125" s="6">
        <f t="shared" si="42"/>
        <v>2384</v>
      </c>
      <c r="D125" s="6">
        <f>MOD(C125+Summary!$B$20,Summary!$B$11)</f>
        <v>2465.8006443686454</v>
      </c>
      <c r="E125" s="6">
        <f>_xlfn.XLOOKUP(D125,'Native PMKS'!$C$6:$C$366,'Native PMKS'!$C$6:$C$366,,-1)</f>
        <v>2458.3333333333335</v>
      </c>
      <c r="F125" s="6">
        <f>_xlfn.XLOOKUP(D125,'Native PMKS'!$C$6:$C$366,'Native PMKS'!$C$6:$C$366,,1)</f>
        <v>2466.666666666667</v>
      </c>
      <c r="G125" s="6">
        <f>_xlfn.XLOOKUP(D125,'Native PMKS'!$C$6:$C$366,'Native PMKS'!$D$6:$D$366,,-1)</f>
        <v>27.330100000000002</v>
      </c>
      <c r="H125" s="6">
        <f>_xlfn.XLOOKUP(D125,'Native PMKS'!$C$6:$C$366,'Native PMKS'!$D$6:$D$366,,1)</f>
        <v>27.100899999999999</v>
      </c>
      <c r="I125" s="6">
        <f t="shared" si="43"/>
        <v>27.12471907728478</v>
      </c>
      <c r="J125" s="6">
        <f>INDEX('Raw Data'!$F$6:$F$2882,MATCH(A125,'Raw Data'!$A$6:$A$2882,0))</f>
        <v>0.46</v>
      </c>
      <c r="K125" s="6">
        <f t="shared" si="44"/>
        <v>0.46</v>
      </c>
      <c r="L125" s="6">
        <f t="shared" si="45"/>
        <v>0.47341565657713763</v>
      </c>
      <c r="M125" s="6">
        <f t="shared" si="46"/>
        <v>-1.3415656577137614E-2</v>
      </c>
      <c r="N125" s="6">
        <f t="shared" si="47"/>
        <v>1.7997984139569572E-4</v>
      </c>
      <c r="O125" s="6">
        <f>_xlfn.XLOOKUP(D125,'Instructor 360'!$B$6:$B$365,'Instructor 360'!$B$6:$B$365,,-1)</f>
        <v>2465.1810584958216</v>
      </c>
      <c r="P125" s="6">
        <f>_xlfn.XLOOKUP(D125,'Instructor 360'!$B$6:$B$365,'Instructor 360'!$B$6:$B$365,,1)</f>
        <v>2473.5376044568243</v>
      </c>
      <c r="Q125" s="6">
        <f>_xlfn.XLOOKUP(D125,'Instructor 360'!$B$6:$B$365,'Instructor 360'!$F$6:$F$365,,-1)</f>
        <v>27.141760167130929</v>
      </c>
      <c r="R125" s="6">
        <f>_xlfn.XLOOKUP(D125,'Instructor 360'!$B$6:$B$365,'Instructor 360'!$F$6:$F$365,,1)</f>
        <v>26.911921727019507</v>
      </c>
      <c r="S125" s="6">
        <f t="shared" si="48"/>
        <v>27.12471907728478</v>
      </c>
      <c r="T125" s="6">
        <f t="shared" si="49"/>
        <v>0.47341565657713763</v>
      </c>
      <c r="U125" s="6">
        <f t="shared" si="50"/>
        <v>-1.3415656577137614E-2</v>
      </c>
      <c r="V125" s="6"/>
      <c r="W125" s="6">
        <f t="shared" si="51"/>
        <v>1.7997984139569572E-4</v>
      </c>
      <c r="AA125">
        <f t="shared" si="52"/>
        <v>2384</v>
      </c>
      <c r="AB125">
        <f t="shared" si="53"/>
        <v>0.46</v>
      </c>
      <c r="AC125">
        <f t="shared" si="54"/>
        <v>0.47341565657713763</v>
      </c>
    </row>
    <row r="126" spans="1:29" ht="18.95" customHeight="1">
      <c r="A126" s="4">
        <f t="shared" si="55"/>
        <v>1497</v>
      </c>
      <c r="B126" s="6">
        <f>INDEX('Raw Data'!$B$6:$B$2882,MATCH(A126,'Raw Data'!$A$6:$A$2882,0))</f>
        <v>50184</v>
      </c>
      <c r="C126" s="6">
        <f t="shared" si="42"/>
        <v>2404</v>
      </c>
      <c r="D126" s="6">
        <f>MOD(C126+Summary!$B$20,Summary!$B$11)</f>
        <v>2485.8006443686454</v>
      </c>
      <c r="E126" s="6">
        <f>_xlfn.XLOOKUP(D126,'Native PMKS'!$C$6:$C$366,'Native PMKS'!$C$6:$C$366,,-1)</f>
        <v>2483.3333333333335</v>
      </c>
      <c r="F126" s="6">
        <f>_xlfn.XLOOKUP(D126,'Native PMKS'!$C$6:$C$366,'Native PMKS'!$C$6:$C$366,,1)</f>
        <v>2491.666666666667</v>
      </c>
      <c r="G126" s="6">
        <f>_xlfn.XLOOKUP(D126,'Native PMKS'!$C$6:$C$366,'Native PMKS'!$D$6:$D$366,,-1)</f>
        <v>26.642499999999998</v>
      </c>
      <c r="H126" s="6">
        <f>_xlfn.XLOOKUP(D126,'Native PMKS'!$C$6:$C$366,'Native PMKS'!$D$6:$D$366,,1)</f>
        <v>26.413399999999999</v>
      </c>
      <c r="I126" s="6">
        <f t="shared" si="43"/>
        <v>26.574668685017215</v>
      </c>
      <c r="J126" s="6">
        <f>INDEX('Raw Data'!$F$6:$F$2882,MATCH(A126,'Raw Data'!$A$6:$A$2882,0))</f>
        <v>0.46</v>
      </c>
      <c r="K126" s="6">
        <f t="shared" si="44"/>
        <v>0.46</v>
      </c>
      <c r="L126" s="6">
        <f t="shared" si="45"/>
        <v>0.46381546618018227</v>
      </c>
      <c r="M126" s="6">
        <f t="shared" si="46"/>
        <v>-3.8154661801822476E-3</v>
      </c>
      <c r="N126" s="6">
        <f t="shared" si="47"/>
        <v>1.4557782172114512E-5</v>
      </c>
      <c r="O126" s="6">
        <f>_xlfn.XLOOKUP(D126,'Instructor 360'!$B$6:$B$365,'Instructor 360'!$B$6:$B$365,,-1)</f>
        <v>2481.8941504178274</v>
      </c>
      <c r="P126" s="6">
        <f>_xlfn.XLOOKUP(D126,'Instructor 360'!$B$6:$B$365,'Instructor 360'!$B$6:$B$365,,1)</f>
        <v>2490.2506963788301</v>
      </c>
      <c r="Q126" s="6">
        <f>_xlfn.XLOOKUP(D126,'Instructor 360'!$B$6:$B$365,'Instructor 360'!$F$6:$F$365,,-1)</f>
        <v>26.682083286908078</v>
      </c>
      <c r="R126" s="6">
        <f>_xlfn.XLOOKUP(D126,'Instructor 360'!$B$6:$B$365,'Instructor 360'!$F$6:$F$365,,1)</f>
        <v>26.452327855153211</v>
      </c>
      <c r="S126" s="6">
        <f t="shared" si="48"/>
        <v>26.574677881791345</v>
      </c>
      <c r="T126" s="6">
        <f t="shared" si="49"/>
        <v>0.46381562669417142</v>
      </c>
      <c r="U126" s="6">
        <f t="shared" si="50"/>
        <v>-3.8156266941714034E-3</v>
      </c>
      <c r="V126" s="6"/>
      <c r="W126" s="6">
        <f t="shared" si="51"/>
        <v>1.4559007069273393E-5</v>
      </c>
      <c r="AA126">
        <f t="shared" si="52"/>
        <v>2404</v>
      </c>
      <c r="AB126">
        <f t="shared" si="53"/>
        <v>0.46</v>
      </c>
      <c r="AC126">
        <f t="shared" si="54"/>
        <v>0.46381562669417142</v>
      </c>
    </row>
    <row r="127" spans="1:29" ht="18.95" customHeight="1">
      <c r="A127" s="4">
        <f t="shared" si="55"/>
        <v>1498</v>
      </c>
      <c r="B127" s="6">
        <f>INDEX('Raw Data'!$B$6:$B$2882,MATCH(A127,'Raw Data'!$A$6:$A$2882,0))</f>
        <v>50204</v>
      </c>
      <c r="C127" s="6">
        <f t="shared" si="42"/>
        <v>2424</v>
      </c>
      <c r="D127" s="6">
        <f>MOD(C127+Summary!$B$20,Summary!$B$11)</f>
        <v>2505.8006443686454</v>
      </c>
      <c r="E127" s="6">
        <f>_xlfn.XLOOKUP(D127,'Native PMKS'!$C$6:$C$366,'Native PMKS'!$C$6:$C$366,,-1)</f>
        <v>2500</v>
      </c>
      <c r="F127" s="6">
        <f>_xlfn.XLOOKUP(D127,'Native PMKS'!$C$6:$C$366,'Native PMKS'!$C$6:$C$366,,1)</f>
        <v>2508.3333333333335</v>
      </c>
      <c r="G127" s="6">
        <f>_xlfn.XLOOKUP(D127,'Native PMKS'!$C$6:$C$366,'Native PMKS'!$D$6:$D$366,,-1)</f>
        <v>26.184200000000001</v>
      </c>
      <c r="H127" s="6">
        <f>_xlfn.XLOOKUP(D127,'Native PMKS'!$C$6:$C$366,'Native PMKS'!$D$6:$D$366,,1)</f>
        <v>25.8977</v>
      </c>
      <c r="I127" s="6">
        <f t="shared" si="43"/>
        <v>25.984773846605989</v>
      </c>
      <c r="J127" s="6">
        <f>INDEX('Raw Data'!$F$6:$F$2882,MATCH(A127,'Raw Data'!$A$6:$A$2882,0))</f>
        <v>0.46</v>
      </c>
      <c r="K127" s="6">
        <f t="shared" si="44"/>
        <v>0.46</v>
      </c>
      <c r="L127" s="6">
        <f t="shared" si="45"/>
        <v>0.45351985900938646</v>
      </c>
      <c r="M127" s="6">
        <f t="shared" si="46"/>
        <v>6.4801409906135587E-3</v>
      </c>
      <c r="N127" s="6">
        <f t="shared" si="47"/>
        <v>4.1992227258230077E-5</v>
      </c>
      <c r="O127" s="6">
        <f>_xlfn.XLOOKUP(D127,'Instructor 360'!$B$6:$B$365,'Instructor 360'!$B$6:$B$365,,-1)</f>
        <v>2498.6072423398327</v>
      </c>
      <c r="P127" s="6">
        <f>_xlfn.XLOOKUP(D127,'Instructor 360'!$B$6:$B$365,'Instructor 360'!$B$6:$B$365,,1)</f>
        <v>2506.9637883008359</v>
      </c>
      <c r="Q127" s="6">
        <f>_xlfn.XLOOKUP(D127,'Instructor 360'!$B$6:$B$365,'Instructor 360'!$F$6:$F$365,,-1)</f>
        <v>26.222506406685241</v>
      </c>
      <c r="R127" s="6">
        <f>_xlfn.XLOOKUP(D127,'Instructor 360'!$B$6:$B$365,'Instructor 360'!$F$6:$F$365,,1)</f>
        <v>25.944784958217269</v>
      </c>
      <c r="S127" s="6">
        <f t="shared" si="48"/>
        <v>25.983440883659696</v>
      </c>
      <c r="T127" s="6">
        <f t="shared" si="49"/>
        <v>0.45349659441716661</v>
      </c>
      <c r="U127" s="6">
        <f t="shared" si="50"/>
        <v>6.5034055828334103E-3</v>
      </c>
      <c r="V127" s="6"/>
      <c r="W127" s="6">
        <f t="shared" si="51"/>
        <v>4.2294284174828768E-5</v>
      </c>
      <c r="AA127">
        <f t="shared" si="52"/>
        <v>2424</v>
      </c>
      <c r="AB127">
        <f t="shared" si="53"/>
        <v>0.46</v>
      </c>
      <c r="AC127">
        <f t="shared" si="54"/>
        <v>0.45349659441716661</v>
      </c>
    </row>
    <row r="128" spans="1:29" ht="18.95" customHeight="1">
      <c r="A128" s="4">
        <f t="shared" si="55"/>
        <v>1499</v>
      </c>
      <c r="B128" s="6">
        <f>INDEX('Raw Data'!$B$6:$B$2882,MATCH(A128,'Raw Data'!$A$6:$A$2882,0))</f>
        <v>50224</v>
      </c>
      <c r="C128" s="6">
        <f t="shared" si="42"/>
        <v>2444</v>
      </c>
      <c r="D128" s="6">
        <f>MOD(C128+Summary!$B$20,Summary!$B$11)</f>
        <v>2525.8006443686454</v>
      </c>
      <c r="E128" s="6">
        <f>_xlfn.XLOOKUP(D128,'Native PMKS'!$C$6:$C$366,'Native PMKS'!$C$6:$C$366,,-1)</f>
        <v>2525</v>
      </c>
      <c r="F128" s="6">
        <f>_xlfn.XLOOKUP(D128,'Native PMKS'!$C$6:$C$366,'Native PMKS'!$C$6:$C$366,,1)</f>
        <v>2533.3333333333335</v>
      </c>
      <c r="G128" s="6">
        <f>_xlfn.XLOOKUP(D128,'Native PMKS'!$C$6:$C$366,'Native PMKS'!$D$6:$D$366,,-1)</f>
        <v>25.382000000000001</v>
      </c>
      <c r="H128" s="6">
        <f>_xlfn.XLOOKUP(D128,'Native PMKS'!$C$6:$C$366,'Native PMKS'!$D$6:$D$366,,1)</f>
        <v>25.095600000000001</v>
      </c>
      <c r="I128" s="6">
        <f t="shared" si="43"/>
        <v>25.354483454338407</v>
      </c>
      <c r="J128" s="6">
        <f>INDEX('Raw Data'!$F$6:$F$2882,MATCH(A128,'Raw Data'!$A$6:$A$2882,0))</f>
        <v>0.43</v>
      </c>
      <c r="K128" s="6">
        <f t="shared" si="44"/>
        <v>0.43</v>
      </c>
      <c r="L128" s="6">
        <f t="shared" si="45"/>
        <v>0.44251921642063058</v>
      </c>
      <c r="M128" s="6">
        <f t="shared" si="46"/>
        <v>-1.2519216420630586E-2</v>
      </c>
      <c r="N128" s="6">
        <f t="shared" si="47"/>
        <v>1.5673077978658648E-4</v>
      </c>
      <c r="O128" s="6">
        <f>_xlfn.XLOOKUP(D128,'Instructor 360'!$B$6:$B$365,'Instructor 360'!$B$6:$B$365,,-1)</f>
        <v>2523.6768802228412</v>
      </c>
      <c r="P128" s="6">
        <f>_xlfn.XLOOKUP(D128,'Instructor 360'!$B$6:$B$365,'Instructor 360'!$B$6:$B$365,,1)</f>
        <v>2532.0334261838439</v>
      </c>
      <c r="Q128" s="6">
        <f>_xlfn.XLOOKUP(D128,'Instructor 360'!$B$6:$B$365,'Instructor 360'!$F$6:$F$365,,-1)</f>
        <v>25.427488857938723</v>
      </c>
      <c r="R128" s="6">
        <f>_xlfn.XLOOKUP(D128,'Instructor 360'!$B$6:$B$365,'Instructor 360'!$F$6:$F$365,,1)</f>
        <v>25.140275208913661</v>
      </c>
      <c r="S128" s="6">
        <f t="shared" si="48"/>
        <v>25.354495296623853</v>
      </c>
      <c r="T128" s="6">
        <f t="shared" si="49"/>
        <v>0.44251942310750253</v>
      </c>
      <c r="U128" s="6">
        <f t="shared" si="50"/>
        <v>-1.2519423107502536E-2</v>
      </c>
      <c r="V128" s="6"/>
      <c r="W128" s="6">
        <f t="shared" si="51"/>
        <v>1.5673595494466848E-4</v>
      </c>
      <c r="AA128">
        <f t="shared" si="52"/>
        <v>2444</v>
      </c>
      <c r="AB128">
        <f t="shared" si="53"/>
        <v>0.43</v>
      </c>
      <c r="AC128">
        <f t="shared" si="54"/>
        <v>0.44251942310750253</v>
      </c>
    </row>
    <row r="129" spans="1:29" ht="18.95" customHeight="1">
      <c r="A129" s="4">
        <f t="shared" si="55"/>
        <v>1500</v>
      </c>
      <c r="B129" s="6">
        <f>INDEX('Raw Data'!$B$6:$B$2882,MATCH(A129,'Raw Data'!$A$6:$A$2882,0))</f>
        <v>50244</v>
      </c>
      <c r="C129" s="6">
        <f t="shared" si="42"/>
        <v>2464</v>
      </c>
      <c r="D129" s="6">
        <f>MOD(C129+Summary!$B$20,Summary!$B$11)</f>
        <v>2545.8006443686454</v>
      </c>
      <c r="E129" s="6">
        <f>_xlfn.XLOOKUP(D129,'Native PMKS'!$C$6:$C$366,'Native PMKS'!$C$6:$C$366,,-1)</f>
        <v>2541.666666666667</v>
      </c>
      <c r="F129" s="6">
        <f>_xlfn.XLOOKUP(D129,'Native PMKS'!$C$6:$C$366,'Native PMKS'!$C$6:$C$366,,1)</f>
        <v>2550</v>
      </c>
      <c r="G129" s="6">
        <f>_xlfn.XLOOKUP(D129,'Native PMKS'!$C$6:$C$366,'Native PMKS'!$D$6:$D$366,,-1)</f>
        <v>24.809100000000001</v>
      </c>
      <c r="H129" s="6">
        <f>_xlfn.XLOOKUP(D129,'Native PMKS'!$C$6:$C$366,'Native PMKS'!$D$6:$D$366,,1)</f>
        <v>24.522600000000001</v>
      </c>
      <c r="I129" s="6">
        <f t="shared" si="43"/>
        <v>24.66697384660597</v>
      </c>
      <c r="J129" s="6">
        <f>INDEX('Raw Data'!$F$6:$F$2882,MATCH(A129,'Raw Data'!$A$6:$A$2882,0))</f>
        <v>0.39</v>
      </c>
      <c r="K129" s="6">
        <f t="shared" si="44"/>
        <v>0.39</v>
      </c>
      <c r="L129" s="6">
        <f t="shared" si="45"/>
        <v>0.4305199101266049</v>
      </c>
      <c r="M129" s="6">
        <f t="shared" si="46"/>
        <v>-4.0519910126604886E-2</v>
      </c>
      <c r="N129" s="6">
        <f t="shared" si="47"/>
        <v>1.6418631166681371E-3</v>
      </c>
      <c r="O129" s="6">
        <f>_xlfn.XLOOKUP(D129,'Instructor 360'!$B$6:$B$365,'Instructor 360'!$B$6:$B$365,,-1)</f>
        <v>2540.389972144847</v>
      </c>
      <c r="P129" s="6">
        <f>_xlfn.XLOOKUP(D129,'Instructor 360'!$B$6:$B$365,'Instructor 360'!$B$6:$B$365,,1)</f>
        <v>2548.7465181058496</v>
      </c>
      <c r="Q129" s="6">
        <f>_xlfn.XLOOKUP(D129,'Instructor 360'!$B$6:$B$365,'Instructor 360'!$F$6:$F$365,,-1)</f>
        <v>24.852992757660171</v>
      </c>
      <c r="R129" s="6">
        <f>_xlfn.XLOOKUP(D129,'Instructor 360'!$B$6:$B$365,'Instructor 360'!$F$6:$F$365,,1)</f>
        <v>24.56569470752089</v>
      </c>
      <c r="S129" s="6">
        <f t="shared" si="48"/>
        <v>24.666973846605984</v>
      </c>
      <c r="T129" s="6">
        <f t="shared" si="49"/>
        <v>0.43051991012660512</v>
      </c>
      <c r="U129" s="6">
        <f t="shared" si="50"/>
        <v>-4.0519910126605108E-2</v>
      </c>
      <c r="V129" s="6"/>
      <c r="W129" s="6">
        <f t="shared" si="51"/>
        <v>1.6418631166681551E-3</v>
      </c>
      <c r="AA129">
        <f t="shared" si="52"/>
        <v>2464</v>
      </c>
      <c r="AB129">
        <f t="shared" si="53"/>
        <v>0.39</v>
      </c>
      <c r="AC129">
        <f t="shared" si="54"/>
        <v>0.43051991012660512</v>
      </c>
    </row>
    <row r="130" spans="1:29" ht="18.95" customHeight="1">
      <c r="A130" s="4">
        <f t="shared" si="55"/>
        <v>1501</v>
      </c>
      <c r="B130" s="6">
        <f>INDEX('Raw Data'!$B$6:$B$2882,MATCH(A130,'Raw Data'!$A$6:$A$2882,0))</f>
        <v>50264</v>
      </c>
      <c r="C130" s="6">
        <f t="shared" si="42"/>
        <v>2484</v>
      </c>
      <c r="D130" s="6">
        <f>MOD(C130+Summary!$B$20,Summary!$B$11)</f>
        <v>2565.8006443686454</v>
      </c>
      <c r="E130" s="6">
        <f>_xlfn.XLOOKUP(D130,'Native PMKS'!$C$6:$C$366,'Native PMKS'!$C$6:$C$366,,-1)</f>
        <v>2558.3333333333335</v>
      </c>
      <c r="F130" s="6">
        <f>_xlfn.XLOOKUP(D130,'Native PMKS'!$C$6:$C$366,'Native PMKS'!$C$6:$C$366,,1)</f>
        <v>2566.666666666667</v>
      </c>
      <c r="G130" s="6">
        <f>_xlfn.XLOOKUP(D130,'Native PMKS'!$C$6:$C$366,'Native PMKS'!$D$6:$D$366,,-1)</f>
        <v>24.2361</v>
      </c>
      <c r="H130" s="6">
        <f>_xlfn.XLOOKUP(D130,'Native PMKS'!$C$6:$C$366,'Native PMKS'!$D$6:$D$366,,1)</f>
        <v>23.892299999999999</v>
      </c>
      <c r="I130" s="6">
        <f t="shared" si="43"/>
        <v>23.928028615927175</v>
      </c>
      <c r="J130" s="6">
        <f>INDEX('Raw Data'!$F$6:$F$2882,MATCH(A130,'Raw Data'!$A$6:$A$2882,0))</f>
        <v>0.38</v>
      </c>
      <c r="K130" s="6">
        <f t="shared" si="44"/>
        <v>0.38</v>
      </c>
      <c r="L130" s="6">
        <f t="shared" si="45"/>
        <v>0.41762288285935084</v>
      </c>
      <c r="M130" s="6">
        <f t="shared" si="46"/>
        <v>-3.7622882859350837E-2</v>
      </c>
      <c r="N130" s="6">
        <f t="shared" si="47"/>
        <v>1.415481314648435E-3</v>
      </c>
      <c r="O130" s="6">
        <f>_xlfn.XLOOKUP(D130,'Instructor 360'!$B$6:$B$365,'Instructor 360'!$B$6:$B$365,,-1)</f>
        <v>2565.459610027855</v>
      </c>
      <c r="P130" s="6">
        <f>_xlfn.XLOOKUP(D130,'Instructor 360'!$B$6:$B$365,'Instructor 360'!$B$6:$B$365,,1)</f>
        <v>2573.8161559888581</v>
      </c>
      <c r="Q130" s="6">
        <f>_xlfn.XLOOKUP(D130,'Instructor 360'!$B$6:$B$365,'Instructor 360'!$F$6:$F$365,,-1)</f>
        <v>23.942098328690825</v>
      </c>
      <c r="R130" s="6">
        <f>_xlfn.XLOOKUP(D130,'Instructor 360'!$B$6:$B$365,'Instructor 360'!$F$6:$F$365,,1)</f>
        <v>23.646586350974925</v>
      </c>
      <c r="S130" s="6">
        <f t="shared" si="48"/>
        <v>23.930038354033087</v>
      </c>
      <c r="T130" s="6">
        <f t="shared" si="49"/>
        <v>0.41765795940640182</v>
      </c>
      <c r="U130" s="6">
        <f t="shared" si="50"/>
        <v>-3.765795940640182E-2</v>
      </c>
      <c r="V130" s="6"/>
      <c r="W130" s="6">
        <f t="shared" si="51"/>
        <v>1.4181219066542073E-3</v>
      </c>
      <c r="AA130">
        <f t="shared" si="52"/>
        <v>2484</v>
      </c>
      <c r="AB130">
        <f t="shared" si="53"/>
        <v>0.38</v>
      </c>
      <c r="AC130">
        <f t="shared" si="54"/>
        <v>0.41765795940640182</v>
      </c>
    </row>
    <row r="131" spans="1:29" ht="18.95" customHeight="1">
      <c r="A131" s="4">
        <f t="shared" si="55"/>
        <v>1502</v>
      </c>
      <c r="B131" s="6">
        <f>INDEX('Raw Data'!$B$6:$B$2882,MATCH(A131,'Raw Data'!$A$6:$A$2882,0))</f>
        <v>50284</v>
      </c>
      <c r="C131" s="6">
        <f t="shared" si="42"/>
        <v>2504</v>
      </c>
      <c r="D131" s="6">
        <f>MOD(C131+Summary!$B$20,Summary!$B$11)</f>
        <v>2585.8006443686454</v>
      </c>
      <c r="E131" s="6">
        <f>_xlfn.XLOOKUP(D131,'Native PMKS'!$C$6:$C$366,'Native PMKS'!$C$6:$C$366,,-1)</f>
        <v>2583.3333333333335</v>
      </c>
      <c r="F131" s="6">
        <f>_xlfn.XLOOKUP(D131,'Native PMKS'!$C$6:$C$366,'Native PMKS'!$C$6:$C$366,,1)</f>
        <v>2591.666666666667</v>
      </c>
      <c r="G131" s="6">
        <f>_xlfn.XLOOKUP(D131,'Native PMKS'!$C$6:$C$366,'Native PMKS'!$D$6:$D$366,,-1)</f>
        <v>23.2621</v>
      </c>
      <c r="H131" s="6">
        <f>_xlfn.XLOOKUP(D131,'Native PMKS'!$C$6:$C$366,'Native PMKS'!$D$6:$D$366,,1)</f>
        <v>22.918299999999999</v>
      </c>
      <c r="I131" s="6">
        <f t="shared" si="43"/>
        <v>23.16030861592715</v>
      </c>
      <c r="J131" s="6">
        <f>INDEX('Raw Data'!$F$6:$F$2882,MATCH(A131,'Raw Data'!$A$6:$A$2882,0))</f>
        <v>0.37</v>
      </c>
      <c r="K131" s="6">
        <f t="shared" si="44"/>
        <v>0.37</v>
      </c>
      <c r="L131" s="6">
        <f t="shared" si="45"/>
        <v>0.40422364112593956</v>
      </c>
      <c r="M131" s="6">
        <f t="shared" si="46"/>
        <v>-3.4223641125939563E-2</v>
      </c>
      <c r="N131" s="6">
        <f t="shared" si="47"/>
        <v>1.1712576119171018E-3</v>
      </c>
      <c r="O131" s="6">
        <f>_xlfn.XLOOKUP(D131,'Instructor 360'!$B$6:$B$365,'Instructor 360'!$B$6:$B$365,,-1)</f>
        <v>2582.1727019498608</v>
      </c>
      <c r="P131" s="6">
        <f>_xlfn.XLOOKUP(D131,'Instructor 360'!$B$6:$B$365,'Instructor 360'!$B$6:$B$365,,1)</f>
        <v>2590.5292479108634</v>
      </c>
      <c r="Q131" s="6">
        <f>_xlfn.XLOOKUP(D131,'Instructor 360'!$B$6:$B$365,'Instructor 360'!$F$6:$F$365,,-1)</f>
        <v>23.30998300835655</v>
      </c>
      <c r="R131" s="6">
        <f>_xlfn.XLOOKUP(D131,'Instructor 360'!$B$6:$B$365,'Instructor 360'!$F$6:$F$365,,1)</f>
        <v>22.965225348189428</v>
      </c>
      <c r="S131" s="6">
        <f t="shared" si="48"/>
        <v>23.160308615927178</v>
      </c>
      <c r="T131" s="6">
        <f t="shared" si="49"/>
        <v>0.40422364112594011</v>
      </c>
      <c r="U131" s="6">
        <f t="shared" si="50"/>
        <v>-3.4223641125940119E-2</v>
      </c>
      <c r="V131" s="6"/>
      <c r="W131" s="6">
        <f t="shared" si="51"/>
        <v>1.1712576119171398E-3</v>
      </c>
      <c r="AA131">
        <f t="shared" si="52"/>
        <v>2504</v>
      </c>
      <c r="AB131">
        <f t="shared" si="53"/>
        <v>0.37</v>
      </c>
      <c r="AC131">
        <f t="shared" si="54"/>
        <v>0.40422364112594011</v>
      </c>
    </row>
    <row r="132" spans="1:29" ht="18.95" customHeight="1">
      <c r="A132" s="4">
        <f t="shared" si="55"/>
        <v>1503</v>
      </c>
      <c r="B132" s="6">
        <f>INDEX('Raw Data'!$B$6:$B$2882,MATCH(A132,'Raw Data'!$A$6:$A$2882,0))</f>
        <v>50304</v>
      </c>
      <c r="C132" s="6">
        <f t="shared" si="42"/>
        <v>2524</v>
      </c>
      <c r="D132" s="6">
        <f>MOD(C132+Summary!$B$20,Summary!$B$11)</f>
        <v>2605.8006443686454</v>
      </c>
      <c r="E132" s="6">
        <f>_xlfn.XLOOKUP(D132,'Native PMKS'!$C$6:$C$366,'Native PMKS'!$C$6:$C$366,,-1)</f>
        <v>2600</v>
      </c>
      <c r="F132" s="6">
        <f>_xlfn.XLOOKUP(D132,'Native PMKS'!$C$6:$C$366,'Native PMKS'!$C$6:$C$366,,1)</f>
        <v>2608.3333333333335</v>
      </c>
      <c r="G132" s="6">
        <f>_xlfn.XLOOKUP(D132,'Native PMKS'!$C$6:$C$366,'Native PMKS'!$D$6:$D$366,,-1)</f>
        <v>22.5745</v>
      </c>
      <c r="H132" s="6">
        <f>_xlfn.XLOOKUP(D132,'Native PMKS'!$C$6:$C$366,'Native PMKS'!$D$6:$D$366,,1)</f>
        <v>22.230799999999999</v>
      </c>
      <c r="I132" s="6">
        <f t="shared" si="43"/>
        <v>22.335258223659608</v>
      </c>
      <c r="J132" s="6">
        <f>INDEX('Raw Data'!$F$6:$F$2882,MATCH(A132,'Raw Data'!$A$6:$A$2882,0))</f>
        <v>0.35</v>
      </c>
      <c r="K132" s="6">
        <f t="shared" si="44"/>
        <v>0.35</v>
      </c>
      <c r="L132" s="6">
        <f t="shared" si="45"/>
        <v>0.3898237952860002</v>
      </c>
      <c r="M132" s="6">
        <f t="shared" si="46"/>
        <v>-3.9823795286000219E-2</v>
      </c>
      <c r="N132" s="6">
        <f t="shared" si="47"/>
        <v>1.5859346709812532E-3</v>
      </c>
      <c r="O132" s="6">
        <f>_xlfn.XLOOKUP(D132,'Instructor 360'!$B$6:$B$365,'Instructor 360'!$B$6:$B$365,,-1)</f>
        <v>2598.8857938718661</v>
      </c>
      <c r="P132" s="6">
        <f>_xlfn.XLOOKUP(D132,'Instructor 360'!$B$6:$B$365,'Instructor 360'!$B$6:$B$365,,1)</f>
        <v>2607.2423398328692</v>
      </c>
      <c r="Q132" s="6">
        <f>_xlfn.XLOOKUP(D132,'Instructor 360'!$B$6:$B$365,'Instructor 360'!$F$6:$F$365,,-1)</f>
        <v>22.620467688022295</v>
      </c>
      <c r="R132" s="6">
        <f>_xlfn.XLOOKUP(D132,'Instructor 360'!$B$6:$B$365,'Instructor 360'!$F$6:$F$365,,1)</f>
        <v>22.275796935933148</v>
      </c>
      <c r="S132" s="6">
        <f t="shared" si="48"/>
        <v>22.33526053037231</v>
      </c>
      <c r="T132" s="6">
        <f t="shared" si="49"/>
        <v>0.38982383554573175</v>
      </c>
      <c r="U132" s="6">
        <f t="shared" si="50"/>
        <v>-3.9823835545731767E-2</v>
      </c>
      <c r="V132" s="6"/>
      <c r="W132" s="6">
        <f t="shared" si="51"/>
        <v>1.5859378775734891E-3</v>
      </c>
      <c r="AA132">
        <f t="shared" si="52"/>
        <v>2524</v>
      </c>
      <c r="AB132">
        <f t="shared" si="53"/>
        <v>0.35</v>
      </c>
      <c r="AC132">
        <f t="shared" si="54"/>
        <v>0.38982383554573175</v>
      </c>
    </row>
    <row r="133" spans="1:29" ht="18.95" customHeight="1">
      <c r="A133" s="4">
        <f t="shared" si="55"/>
        <v>1504</v>
      </c>
      <c r="B133" s="6">
        <f>INDEX('Raw Data'!$B$6:$B$2882,MATCH(A133,'Raw Data'!$A$6:$A$2882,0))</f>
        <v>50324</v>
      </c>
      <c r="C133" s="6">
        <f t="shared" si="42"/>
        <v>2544</v>
      </c>
      <c r="D133" s="6">
        <f>MOD(C133+Summary!$B$20,Summary!$B$11)</f>
        <v>2625.8006443686454</v>
      </c>
      <c r="E133" s="6">
        <f>_xlfn.XLOOKUP(D133,'Native PMKS'!$C$6:$C$366,'Native PMKS'!$C$6:$C$366,,-1)</f>
        <v>2625</v>
      </c>
      <c r="F133" s="6">
        <f>_xlfn.XLOOKUP(D133,'Native PMKS'!$C$6:$C$366,'Native PMKS'!$C$6:$C$366,,1)</f>
        <v>2633.3333333333335</v>
      </c>
      <c r="G133" s="6">
        <f>_xlfn.XLOOKUP(D133,'Native PMKS'!$C$6:$C$366,'Native PMKS'!$D$6:$D$366,,-1)</f>
        <v>21.543199999999999</v>
      </c>
      <c r="H133" s="6">
        <f>_xlfn.XLOOKUP(D133,'Native PMKS'!$C$6:$C$366,'Native PMKS'!$D$6:$D$366,,1)</f>
        <v>21.142099999999999</v>
      </c>
      <c r="I133" s="6">
        <f t="shared" si="43"/>
        <v>21.504663385248364</v>
      </c>
      <c r="J133" s="6">
        <f>INDEX('Raw Data'!$F$6:$F$2882,MATCH(A133,'Raw Data'!$A$6:$A$2882,0))</f>
        <v>0.33</v>
      </c>
      <c r="K133" s="6">
        <f t="shared" si="44"/>
        <v>0.33</v>
      </c>
      <c r="L133" s="6">
        <f t="shared" si="45"/>
        <v>0.37532718060565373</v>
      </c>
      <c r="M133" s="6">
        <f t="shared" si="46"/>
        <v>-4.5327180605653716E-2</v>
      </c>
      <c r="N133" s="6">
        <f t="shared" si="47"/>
        <v>2.0545533016575503E-3</v>
      </c>
      <c r="O133" s="6">
        <f>_xlfn.XLOOKUP(D133,'Instructor 360'!$B$6:$B$365,'Instructor 360'!$B$6:$B$365,,-1)</f>
        <v>2623.9554317548746</v>
      </c>
      <c r="P133" s="6">
        <f>_xlfn.XLOOKUP(D133,'Instructor 360'!$B$6:$B$365,'Instructor 360'!$B$6:$B$365,,1)</f>
        <v>2632.3119777158772</v>
      </c>
      <c r="Q133" s="6">
        <f>_xlfn.XLOOKUP(D133,'Instructor 360'!$B$6:$B$365,'Instructor 360'!$F$6:$F$365,,-1)</f>
        <v>21.586294707520896</v>
      </c>
      <c r="R133" s="6">
        <f>_xlfn.XLOOKUP(D133,'Instructor 360'!$B$6:$B$365,'Instructor 360'!$F$6:$F$365,,1)</f>
        <v>21.191259888579403</v>
      </c>
      <c r="S133" s="6">
        <f t="shared" si="48"/>
        <v>21.499066894236421</v>
      </c>
      <c r="T133" s="6">
        <f t="shared" si="49"/>
        <v>0.37522950341093708</v>
      </c>
      <c r="U133" s="6">
        <f t="shared" si="50"/>
        <v>-4.5229503410937066E-2</v>
      </c>
      <c r="V133" s="6"/>
      <c r="W133" s="6">
        <f t="shared" si="51"/>
        <v>2.0457079787999676E-3</v>
      </c>
      <c r="AA133">
        <f t="shared" si="52"/>
        <v>2544</v>
      </c>
      <c r="AB133">
        <f t="shared" si="53"/>
        <v>0.33</v>
      </c>
      <c r="AC133">
        <f t="shared" si="54"/>
        <v>0.37522950341093708</v>
      </c>
    </row>
    <row r="134" spans="1:29" ht="18.95" customHeight="1">
      <c r="A134" s="4">
        <f t="shared" si="55"/>
        <v>1505</v>
      </c>
      <c r="B134" s="6">
        <f>INDEX('Raw Data'!$B$6:$B$2882,MATCH(A134,'Raw Data'!$A$6:$A$2882,0))</f>
        <v>50344</v>
      </c>
      <c r="C134" s="6">
        <f t="shared" ref="C134:C152" si="56">B134-$B$6</f>
        <v>2564</v>
      </c>
      <c r="D134" s="6">
        <f>MOD(C134+Summary!$B$20,Summary!$B$11)</f>
        <v>2645.8006443686454</v>
      </c>
      <c r="E134" s="6">
        <f>_xlfn.XLOOKUP(D134,'Native PMKS'!$C$6:$C$366,'Native PMKS'!$C$6:$C$366,,-1)</f>
        <v>2641.666666666667</v>
      </c>
      <c r="F134" s="6">
        <f>_xlfn.XLOOKUP(D134,'Native PMKS'!$C$6:$C$366,'Native PMKS'!$C$6:$C$366,,1)</f>
        <v>2650</v>
      </c>
      <c r="G134" s="6">
        <f>_xlfn.XLOOKUP(D134,'Native PMKS'!$C$6:$C$366,'Native PMKS'!$D$6:$D$366,,-1)</f>
        <v>20.798400000000001</v>
      </c>
      <c r="H134" s="6">
        <f>_xlfn.XLOOKUP(D134,'Native PMKS'!$C$6:$C$366,'Native PMKS'!$D$6:$D$366,,1)</f>
        <v>20.397300000000001</v>
      </c>
      <c r="I134" s="6">
        <f t="shared" ref="I134:I152" si="57">IF(E134=F134,G134,_xlfn.FORECAST.LINEAR(D134,G134:H134,E134:F134))</f>
        <v>20.599423385248357</v>
      </c>
      <c r="J134" s="6">
        <f>INDEX('Raw Data'!$F$6:$F$2882,MATCH(A134,'Raw Data'!$A$6:$A$2882,0))</f>
        <v>0.3</v>
      </c>
      <c r="K134" s="6">
        <f t="shared" ref="K134:K152" si="58">J134</f>
        <v>0.3</v>
      </c>
      <c r="L134" s="6">
        <f t="shared" ref="L134:L152" si="59">I134*PI()/180</f>
        <v>0.35952776208490012</v>
      </c>
      <c r="M134" s="6">
        <f t="shared" ref="M134:M152" si="60">K134-L134</f>
        <v>-5.9527762084900127E-2</v>
      </c>
      <c r="N134" s="6">
        <f t="shared" ref="N134:N152" si="61">M134^2</f>
        <v>3.5435544588364731E-3</v>
      </c>
      <c r="O134" s="6">
        <f>_xlfn.XLOOKUP(D134,'Instructor 360'!$B$6:$B$365,'Instructor 360'!$B$6:$B$365,,-1)</f>
        <v>2640.6685236768803</v>
      </c>
      <c r="P134" s="6">
        <f>_xlfn.XLOOKUP(D134,'Instructor 360'!$B$6:$B$365,'Instructor 360'!$B$6:$B$365,,1)</f>
        <v>2649.025069637883</v>
      </c>
      <c r="Q134" s="6">
        <f>_xlfn.XLOOKUP(D134,'Instructor 360'!$B$6:$B$365,'Instructor 360'!$F$6:$F$365,,-1)</f>
        <v>20.83956740947076</v>
      </c>
      <c r="R134" s="6">
        <f>_xlfn.XLOOKUP(D134,'Instructor 360'!$B$6:$B$365,'Instructor 360'!$F$6:$F$365,,1)</f>
        <v>20.44422534818942</v>
      </c>
      <c r="S134" s="6">
        <f t="shared" ref="S134:S152" si="62">IF(O134=P134,Q134,_xlfn.FORECAST.LINEAR(D134,Q134:R134,O134:P134))</f>
        <v>20.596770543098529</v>
      </c>
      <c r="T134" s="6">
        <f t="shared" ref="T134:T152" si="63">S134*PI()/180</f>
        <v>0.35948146125484998</v>
      </c>
      <c r="U134" s="6">
        <f t="shared" ref="U134:U152" si="64">K134-T134</f>
        <v>-5.9481461254849988E-2</v>
      </c>
      <c r="V134" s="6"/>
      <c r="W134" s="6">
        <f t="shared" ref="W134:W152" si="65">U134^2</f>
        <v>3.5380442330122204E-3</v>
      </c>
      <c r="AA134">
        <f t="shared" ref="AA134:AA152" si="66">C134</f>
        <v>2564</v>
      </c>
      <c r="AB134">
        <f t="shared" ref="AB134:AB152" si="67">K134</f>
        <v>0.3</v>
      </c>
      <c r="AC134">
        <f t="shared" ref="AC134:AC152" si="68">T134</f>
        <v>0.35948146125484998</v>
      </c>
    </row>
    <row r="135" spans="1:29" ht="18.95" customHeight="1">
      <c r="A135" s="4">
        <f t="shared" ref="A135:A152" si="69">A134+1</f>
        <v>1506</v>
      </c>
      <c r="B135" s="6">
        <f>INDEX('Raw Data'!$B$6:$B$2882,MATCH(A135,'Raw Data'!$A$6:$A$2882,0))</f>
        <v>50364</v>
      </c>
      <c r="C135" s="6">
        <f t="shared" si="56"/>
        <v>2584</v>
      </c>
      <c r="D135" s="6">
        <f>MOD(C135+Summary!$B$20,Summary!$B$11)</f>
        <v>2665.8006443686454</v>
      </c>
      <c r="E135" s="6">
        <f>_xlfn.XLOOKUP(D135,'Native PMKS'!$C$6:$C$366,'Native PMKS'!$C$6:$C$366,,-1)</f>
        <v>2658.3333333333335</v>
      </c>
      <c r="F135" s="6">
        <f>_xlfn.XLOOKUP(D135,'Native PMKS'!$C$6:$C$366,'Native PMKS'!$C$6:$C$366,,1)</f>
        <v>2666.666666666667</v>
      </c>
      <c r="G135" s="6">
        <f>_xlfn.XLOOKUP(D135,'Native PMKS'!$C$6:$C$366,'Native PMKS'!$D$6:$D$366,,-1)</f>
        <v>19.996200000000002</v>
      </c>
      <c r="H135" s="6">
        <f>_xlfn.XLOOKUP(D135,'Native PMKS'!$C$6:$C$366,'Native PMKS'!$D$6:$D$366,,1)</f>
        <v>19.6525</v>
      </c>
      <c r="I135" s="6">
        <f t="shared" si="57"/>
        <v>19.688218223659604</v>
      </c>
      <c r="J135" s="6">
        <f>INDEX('Raw Data'!$F$6:$F$2882,MATCH(A135,'Raw Data'!$A$6:$A$2882,0))</f>
        <v>0.3</v>
      </c>
      <c r="K135" s="6">
        <f t="shared" si="58"/>
        <v>0.3</v>
      </c>
      <c r="L135" s="6">
        <f t="shared" si="59"/>
        <v>0.34362423185400942</v>
      </c>
      <c r="M135" s="6">
        <f t="shared" si="60"/>
        <v>-4.3624231854009432E-2</v>
      </c>
      <c r="N135" s="6">
        <f t="shared" si="61"/>
        <v>1.9030736048523712E-3</v>
      </c>
      <c r="O135" s="6">
        <f>_xlfn.XLOOKUP(D135,'Instructor 360'!$B$6:$B$365,'Instructor 360'!$B$6:$B$365,,-1)</f>
        <v>2665.7381615598883</v>
      </c>
      <c r="P135" s="6">
        <f>_xlfn.XLOOKUP(D135,'Instructor 360'!$B$6:$B$365,'Instructor 360'!$B$6:$B$365,,1)</f>
        <v>2674.0947075208915</v>
      </c>
      <c r="Q135" s="6">
        <f>_xlfn.XLOOKUP(D135,'Instructor 360'!$B$6:$B$365,'Instructor 360'!$F$6:$F$365,,-1)</f>
        <v>19.690795264623976</v>
      </c>
      <c r="R135" s="6">
        <f>_xlfn.XLOOKUP(D135,'Instructor 360'!$B$6:$B$365,'Instructor 360'!$F$6:$F$365,,1)</f>
        <v>19.294973537604456</v>
      </c>
      <c r="S135" s="6">
        <f t="shared" si="62"/>
        <v>19.687835662249171</v>
      </c>
      <c r="T135" s="6">
        <f t="shared" si="63"/>
        <v>0.34361755489780632</v>
      </c>
      <c r="U135" s="6">
        <f t="shared" si="64"/>
        <v>-4.3617554897806332E-2</v>
      </c>
      <c r="V135" s="6"/>
      <c r="W135" s="6">
        <f t="shared" si="65"/>
        <v>1.9024910952631492E-3</v>
      </c>
      <c r="AA135">
        <f t="shared" si="66"/>
        <v>2584</v>
      </c>
      <c r="AB135">
        <f t="shared" si="67"/>
        <v>0.3</v>
      </c>
      <c r="AC135">
        <f t="shared" si="68"/>
        <v>0.34361755489780632</v>
      </c>
    </row>
    <row r="136" spans="1:29" ht="18.95" customHeight="1">
      <c r="A136" s="4">
        <f t="shared" si="69"/>
        <v>1507</v>
      </c>
      <c r="B136" s="6">
        <f>INDEX('Raw Data'!$B$6:$B$2882,MATCH(A136,'Raw Data'!$A$6:$A$2882,0))</f>
        <v>50384</v>
      </c>
      <c r="C136" s="6">
        <f t="shared" si="56"/>
        <v>2604</v>
      </c>
      <c r="D136" s="6">
        <f>MOD(C136+Summary!$B$20,Summary!$B$11)</f>
        <v>2685.8006443686454</v>
      </c>
      <c r="E136" s="6">
        <f>_xlfn.XLOOKUP(D136,'Native PMKS'!$C$6:$C$366,'Native PMKS'!$C$6:$C$366,,-1)</f>
        <v>2683.3333333333335</v>
      </c>
      <c r="F136" s="6">
        <f>_xlfn.XLOOKUP(D136,'Native PMKS'!$C$6:$C$366,'Native PMKS'!$C$6:$C$366,,1)</f>
        <v>2691.666666666667</v>
      </c>
      <c r="G136" s="6">
        <f>_xlfn.XLOOKUP(D136,'Native PMKS'!$C$6:$C$366,'Native PMKS'!$D$6:$D$366,,-1)</f>
        <v>18.792999999999999</v>
      </c>
      <c r="H136" s="6">
        <f>_xlfn.XLOOKUP(D136,'Native PMKS'!$C$6:$C$366,'Native PMKS'!$D$6:$D$366,,1)</f>
        <v>18.3919</v>
      </c>
      <c r="I136" s="6">
        <f t="shared" si="57"/>
        <v>18.67424338524836</v>
      </c>
      <c r="J136" s="6">
        <f>INDEX('Raw Data'!$F$6:$F$2882,MATCH(A136,'Raw Data'!$A$6:$A$2882,0))</f>
        <v>0.28000000000000003</v>
      </c>
      <c r="K136" s="6">
        <f t="shared" si="58"/>
        <v>0.28000000000000003</v>
      </c>
      <c r="L136" s="6">
        <f t="shared" si="59"/>
        <v>0.32592703239135579</v>
      </c>
      <c r="M136" s="6">
        <f t="shared" si="60"/>
        <v>-4.592703239135576E-2</v>
      </c>
      <c r="N136" s="6">
        <f t="shared" si="61"/>
        <v>2.1092923042766412E-3</v>
      </c>
      <c r="O136" s="6">
        <f>_xlfn.XLOOKUP(D136,'Instructor 360'!$B$6:$B$365,'Instructor 360'!$B$6:$B$365,,-1)</f>
        <v>2682.4512534818941</v>
      </c>
      <c r="P136" s="6">
        <f>_xlfn.XLOOKUP(D136,'Instructor 360'!$B$6:$B$365,'Instructor 360'!$B$6:$B$365,,1)</f>
        <v>2690.8077994428968</v>
      </c>
      <c r="Q136" s="6">
        <f>_xlfn.XLOOKUP(D136,'Instructor 360'!$B$6:$B$365,'Instructor 360'!$F$6:$F$365,,-1)</f>
        <v>18.841521448467976</v>
      </c>
      <c r="R136" s="6">
        <f>_xlfn.XLOOKUP(D136,'Instructor 360'!$B$6:$B$365,'Instructor 360'!$F$6:$F$365,,1)</f>
        <v>18.433238997214506</v>
      </c>
      <c r="S136" s="6">
        <f t="shared" si="62"/>
        <v>18.677877578401279</v>
      </c>
      <c r="T136" s="6">
        <f t="shared" si="63"/>
        <v>0.32599046102752766</v>
      </c>
      <c r="U136" s="6">
        <f t="shared" si="64"/>
        <v>-4.5990461027527629E-2</v>
      </c>
      <c r="V136" s="6"/>
      <c r="W136" s="6">
        <f t="shared" si="65"/>
        <v>2.1151225055245377E-3</v>
      </c>
      <c r="AA136">
        <f t="shared" si="66"/>
        <v>2604</v>
      </c>
      <c r="AB136">
        <f t="shared" si="67"/>
        <v>0.28000000000000003</v>
      </c>
      <c r="AC136">
        <f t="shared" si="68"/>
        <v>0.32599046102752766</v>
      </c>
    </row>
    <row r="137" spans="1:29" ht="18.95" customHeight="1">
      <c r="A137" s="4">
        <f t="shared" si="69"/>
        <v>1508</v>
      </c>
      <c r="B137" s="6">
        <f>INDEX('Raw Data'!$B$6:$B$2882,MATCH(A137,'Raw Data'!$A$6:$A$2882,0))</f>
        <v>50404</v>
      </c>
      <c r="C137" s="6">
        <f t="shared" si="56"/>
        <v>2624</v>
      </c>
      <c r="D137" s="6">
        <f>MOD(C137+Summary!$B$20,Summary!$B$11)</f>
        <v>2705.8006443686454</v>
      </c>
      <c r="E137" s="6">
        <f>_xlfn.XLOOKUP(D137,'Native PMKS'!$C$6:$C$366,'Native PMKS'!$C$6:$C$366,,-1)</f>
        <v>2700</v>
      </c>
      <c r="F137" s="6">
        <f>_xlfn.XLOOKUP(D137,'Native PMKS'!$C$6:$C$366,'Native PMKS'!$C$6:$C$366,,1)</f>
        <v>2708.3333333333335</v>
      </c>
      <c r="G137" s="6">
        <f>_xlfn.XLOOKUP(D137,'Native PMKS'!$C$6:$C$366,'Native PMKS'!$D$6:$D$366,,-1)</f>
        <v>17.9909</v>
      </c>
      <c r="H137" s="6">
        <f>_xlfn.XLOOKUP(D137,'Native PMKS'!$C$6:$C$366,'Native PMKS'!$D$6:$D$366,,1)</f>
        <v>17.532499999999999</v>
      </c>
      <c r="I137" s="6">
        <f t="shared" si="57"/>
        <v>17.671818154569564</v>
      </c>
      <c r="J137" s="6">
        <f>INDEX('Raw Data'!$F$6:$F$2882,MATCH(A137,'Raw Data'!$A$6:$A$2882,0))</f>
        <v>0.27</v>
      </c>
      <c r="K137" s="6">
        <f t="shared" si="58"/>
        <v>0.27</v>
      </c>
      <c r="L137" s="6">
        <f t="shared" si="59"/>
        <v>0.30843141161094711</v>
      </c>
      <c r="M137" s="6">
        <f t="shared" si="60"/>
        <v>-3.8431411610947097E-2</v>
      </c>
      <c r="N137" s="6">
        <f t="shared" si="61"/>
        <v>1.4769733984100392E-3</v>
      </c>
      <c r="O137" s="6">
        <f>_xlfn.XLOOKUP(D137,'Instructor 360'!$B$6:$B$365,'Instructor 360'!$B$6:$B$365,,-1)</f>
        <v>2699.1643454038999</v>
      </c>
      <c r="P137" s="6">
        <f>_xlfn.XLOOKUP(D137,'Instructor 360'!$B$6:$B$365,'Instructor 360'!$B$6:$B$365,,1)</f>
        <v>2707.5208913649026</v>
      </c>
      <c r="Q137" s="6">
        <f>_xlfn.XLOOKUP(D137,'Instructor 360'!$B$6:$B$365,'Instructor 360'!$F$6:$F$365,,-1)</f>
        <v>18.031111699164338</v>
      </c>
      <c r="R137" s="6">
        <f>_xlfn.XLOOKUP(D137,'Instructor 360'!$B$6:$B$365,'Instructor 360'!$F$6:$F$365,,1)</f>
        <v>17.577190807799447</v>
      </c>
      <c r="S137" s="6">
        <f t="shared" si="62"/>
        <v>17.67063324843852</v>
      </c>
      <c r="T137" s="6">
        <f t="shared" si="63"/>
        <v>0.30841073109763328</v>
      </c>
      <c r="U137" s="6">
        <f t="shared" si="64"/>
        <v>-3.8410731097633266E-2</v>
      </c>
      <c r="V137" s="6"/>
      <c r="W137" s="6">
        <f t="shared" si="65"/>
        <v>1.4753842634546912E-3</v>
      </c>
      <c r="AA137">
        <f t="shared" si="66"/>
        <v>2624</v>
      </c>
      <c r="AB137">
        <f t="shared" si="67"/>
        <v>0.27</v>
      </c>
      <c r="AC137">
        <f t="shared" si="68"/>
        <v>0.30841073109763328</v>
      </c>
    </row>
    <row r="138" spans="1:29" ht="18.95" customHeight="1">
      <c r="A138" s="4">
        <f t="shared" si="69"/>
        <v>1509</v>
      </c>
      <c r="B138" s="6">
        <f>INDEX('Raw Data'!$B$6:$B$2882,MATCH(A138,'Raw Data'!$A$6:$A$2882,0))</f>
        <v>50424</v>
      </c>
      <c r="C138" s="6">
        <f t="shared" si="56"/>
        <v>2644</v>
      </c>
      <c r="D138" s="6">
        <f>MOD(C138+Summary!$B$20,Summary!$B$11)</f>
        <v>2725.8006443686454</v>
      </c>
      <c r="E138" s="6">
        <f>_xlfn.XLOOKUP(D138,'Native PMKS'!$C$6:$C$366,'Native PMKS'!$C$6:$C$366,,-1)</f>
        <v>2725</v>
      </c>
      <c r="F138" s="6">
        <f>_xlfn.XLOOKUP(D138,'Native PMKS'!$C$6:$C$366,'Native PMKS'!$C$6:$C$366,,1)</f>
        <v>2733.3333333333335</v>
      </c>
      <c r="G138" s="6">
        <f>_xlfn.XLOOKUP(D138,'Native PMKS'!$C$6:$C$366,'Native PMKS'!$D$6:$D$366,,-1)</f>
        <v>16.673100000000002</v>
      </c>
      <c r="H138" s="6">
        <f>_xlfn.XLOOKUP(D138,'Native PMKS'!$C$6:$C$366,'Native PMKS'!$D$6:$D$366,,1)</f>
        <v>16.214700000000001</v>
      </c>
      <c r="I138" s="6">
        <f t="shared" si="57"/>
        <v>16.629058154569577</v>
      </c>
      <c r="J138" s="6">
        <f>INDEX('Raw Data'!$F$6:$F$2882,MATCH(A138,'Raw Data'!$A$6:$A$2882,0))</f>
        <v>0.24</v>
      </c>
      <c r="K138" s="6">
        <f t="shared" si="58"/>
        <v>0.24</v>
      </c>
      <c r="L138" s="6">
        <f t="shared" si="59"/>
        <v>0.29023181630285122</v>
      </c>
      <c r="M138" s="6">
        <f t="shared" si="60"/>
        <v>-5.0231816302851229E-2</v>
      </c>
      <c r="N138" s="6">
        <f t="shared" si="61"/>
        <v>2.5232353690833906E-3</v>
      </c>
      <c r="O138" s="6">
        <f>_xlfn.XLOOKUP(D138,'Instructor 360'!$B$6:$B$365,'Instructor 360'!$B$6:$B$365,,-1)</f>
        <v>2724.2339832869079</v>
      </c>
      <c r="P138" s="6">
        <f>_xlfn.XLOOKUP(D138,'Instructor 360'!$B$6:$B$365,'Instructor 360'!$B$6:$B$365,,1)</f>
        <v>2732.590529247911</v>
      </c>
      <c r="Q138" s="6">
        <f>_xlfn.XLOOKUP(D138,'Instructor 360'!$B$6:$B$365,'Instructor 360'!$F$6:$F$365,,-1)</f>
        <v>16.715227855153216</v>
      </c>
      <c r="R138" s="6">
        <f>_xlfn.XLOOKUP(D138,'Instructor 360'!$B$6:$B$365,'Instructor 360'!$F$6:$F$365,,1)</f>
        <v>16.255560167130916</v>
      </c>
      <c r="S138" s="6">
        <f t="shared" si="62"/>
        <v>16.629050685696171</v>
      </c>
      <c r="T138" s="6">
        <f t="shared" si="63"/>
        <v>0.2902316859464189</v>
      </c>
      <c r="U138" s="6">
        <f t="shared" si="64"/>
        <v>-5.0231685946418914E-2</v>
      </c>
      <c r="V138" s="6"/>
      <c r="W138" s="6">
        <f t="shared" si="65"/>
        <v>2.5232222730196593E-3</v>
      </c>
      <c r="AA138">
        <f t="shared" si="66"/>
        <v>2644</v>
      </c>
      <c r="AB138">
        <f t="shared" si="67"/>
        <v>0.24</v>
      </c>
      <c r="AC138">
        <f t="shared" si="68"/>
        <v>0.2902316859464189</v>
      </c>
    </row>
    <row r="139" spans="1:29" ht="18.95" customHeight="1">
      <c r="A139" s="4">
        <f t="shared" si="69"/>
        <v>1510</v>
      </c>
      <c r="B139" s="6">
        <f>INDEX('Raw Data'!$B$6:$B$2882,MATCH(A139,'Raw Data'!$A$6:$A$2882,0))</f>
        <v>50444</v>
      </c>
      <c r="C139" s="6">
        <f t="shared" si="56"/>
        <v>2664</v>
      </c>
      <c r="D139" s="6">
        <f>MOD(C139+Summary!$B$20,Summary!$B$11)</f>
        <v>2745.8006443686454</v>
      </c>
      <c r="E139" s="6">
        <f>_xlfn.XLOOKUP(D139,'Native PMKS'!$C$6:$C$366,'Native PMKS'!$C$6:$C$366,,-1)</f>
        <v>2741.666666666667</v>
      </c>
      <c r="F139" s="6">
        <f>_xlfn.XLOOKUP(D139,'Native PMKS'!$C$6:$C$366,'Native PMKS'!$C$6:$C$366,,1)</f>
        <v>2750</v>
      </c>
      <c r="G139" s="6">
        <f>_xlfn.XLOOKUP(D139,'Native PMKS'!$C$6:$C$366,'Native PMKS'!$D$6:$D$366,,-1)</f>
        <v>15.813599999999999</v>
      </c>
      <c r="H139" s="6">
        <f>_xlfn.XLOOKUP(D139,'Native PMKS'!$C$6:$C$366,'Native PMKS'!$D$6:$D$366,,1)</f>
        <v>15.3553</v>
      </c>
      <c r="I139" s="6">
        <f t="shared" si="57"/>
        <v>15.58624776230198</v>
      </c>
      <c r="J139" s="6">
        <f>INDEX('Raw Data'!$F$6:$F$2882,MATCH(A139,'Raw Data'!$A$6:$A$2882,0))</f>
        <v>0.23</v>
      </c>
      <c r="K139" s="6">
        <f t="shared" si="58"/>
        <v>0.23</v>
      </c>
      <c r="L139" s="6">
        <f t="shared" si="59"/>
        <v>0.27203134148376806</v>
      </c>
      <c r="M139" s="6">
        <f t="shared" si="60"/>
        <v>-4.2031341483768053E-2</v>
      </c>
      <c r="N139" s="6">
        <f t="shared" si="61"/>
        <v>1.7666336669251213E-3</v>
      </c>
      <c r="O139" s="6">
        <f>_xlfn.XLOOKUP(D139,'Instructor 360'!$B$6:$B$365,'Instructor 360'!$B$6:$B$365,,-1)</f>
        <v>2740.9470752089137</v>
      </c>
      <c r="P139" s="6">
        <f>_xlfn.XLOOKUP(D139,'Instructor 360'!$B$6:$B$365,'Instructor 360'!$B$6:$B$365,,1)</f>
        <v>2749.3036211699164</v>
      </c>
      <c r="Q139" s="6">
        <f>_xlfn.XLOOKUP(D139,'Instructor 360'!$B$6:$B$365,'Instructor 360'!$F$6:$F$365,,-1)</f>
        <v>15.848235376044579</v>
      </c>
      <c r="R139" s="6">
        <f>_xlfn.XLOOKUP(D139,'Instructor 360'!$B$6:$B$365,'Instructor 360'!$F$6:$F$365,,1)</f>
        <v>15.39359805013928</v>
      </c>
      <c r="S139" s="6">
        <f t="shared" si="62"/>
        <v>15.584177269480648</v>
      </c>
      <c r="T139" s="6">
        <f t="shared" si="63"/>
        <v>0.27199520456689691</v>
      </c>
      <c r="U139" s="6">
        <f t="shared" si="64"/>
        <v>-4.1995204566896899E-2</v>
      </c>
      <c r="V139" s="6"/>
      <c r="W139" s="6">
        <f t="shared" si="65"/>
        <v>1.7635972066155181E-3</v>
      </c>
      <c r="AA139">
        <f t="shared" si="66"/>
        <v>2664</v>
      </c>
      <c r="AB139">
        <f t="shared" si="67"/>
        <v>0.23</v>
      </c>
      <c r="AC139">
        <f t="shared" si="68"/>
        <v>0.27199520456689691</v>
      </c>
    </row>
    <row r="140" spans="1:29" ht="18.95" customHeight="1">
      <c r="A140" s="4">
        <f t="shared" si="69"/>
        <v>1511</v>
      </c>
      <c r="B140" s="6">
        <f>INDEX('Raw Data'!$B$6:$B$2882,MATCH(A140,'Raw Data'!$A$6:$A$2882,0))</f>
        <v>50464</v>
      </c>
      <c r="C140" s="6">
        <f t="shared" si="56"/>
        <v>2684</v>
      </c>
      <c r="D140" s="6">
        <f>MOD(C140+Summary!$B$20,Summary!$B$11)</f>
        <v>2765.8006443686454</v>
      </c>
      <c r="E140" s="6">
        <f>_xlfn.XLOOKUP(D140,'Native PMKS'!$C$6:$C$366,'Native PMKS'!$C$6:$C$366,,-1)</f>
        <v>2758.3333333333335</v>
      </c>
      <c r="F140" s="6">
        <f>_xlfn.XLOOKUP(D140,'Native PMKS'!$C$6:$C$366,'Native PMKS'!$C$6:$C$366,,1)</f>
        <v>2766.666666666667</v>
      </c>
      <c r="G140" s="6">
        <f>_xlfn.XLOOKUP(D140,'Native PMKS'!$C$6:$C$366,'Native PMKS'!$D$6:$D$366,,-1)</f>
        <v>14.8969</v>
      </c>
      <c r="H140" s="6">
        <f>_xlfn.XLOOKUP(D140,'Native PMKS'!$C$6:$C$366,'Native PMKS'!$D$6:$D$366,,1)</f>
        <v>14.438499999999999</v>
      </c>
      <c r="I140" s="6">
        <f t="shared" si="57"/>
        <v>14.486138154569545</v>
      </c>
      <c r="J140" s="6">
        <f>INDEX('Raw Data'!$F$6:$F$2882,MATCH(A140,'Raw Data'!$A$6:$A$2882,0))</f>
        <v>0.21</v>
      </c>
      <c r="K140" s="6">
        <f t="shared" si="58"/>
        <v>0.21</v>
      </c>
      <c r="L140" s="6">
        <f t="shared" si="59"/>
        <v>0.25283080669601382</v>
      </c>
      <c r="M140" s="6">
        <f t="shared" si="60"/>
        <v>-4.2830806696013829E-2</v>
      </c>
      <c r="N140" s="6">
        <f t="shared" si="61"/>
        <v>1.8344780022313031E-3</v>
      </c>
      <c r="O140" s="6">
        <f>_xlfn.XLOOKUP(D140,'Instructor 360'!$B$6:$B$365,'Instructor 360'!$B$6:$B$365,,-1)</f>
        <v>2757.660167130919</v>
      </c>
      <c r="P140" s="6">
        <f>_xlfn.XLOOKUP(D140,'Instructor 360'!$B$6:$B$365,'Instructor 360'!$B$6:$B$365,,1)</f>
        <v>2766.0167130919222</v>
      </c>
      <c r="Q140" s="6">
        <f>_xlfn.XLOOKUP(D140,'Instructor 360'!$B$6:$B$365,'Instructor 360'!$F$6:$F$365,,-1)</f>
        <v>14.933929526462414</v>
      </c>
      <c r="R140" s="6">
        <f>_xlfn.XLOOKUP(D140,'Instructor 360'!$B$6:$B$365,'Instructor 360'!$F$6:$F$365,,1)</f>
        <v>14.474252646239561</v>
      </c>
      <c r="S140" s="6">
        <f t="shared" si="62"/>
        <v>14.486138154569574</v>
      </c>
      <c r="T140" s="6">
        <f t="shared" si="63"/>
        <v>0.25283080669601432</v>
      </c>
      <c r="U140" s="6">
        <f t="shared" si="64"/>
        <v>-4.2830806696014329E-2</v>
      </c>
      <c r="V140" s="6"/>
      <c r="W140" s="6">
        <f t="shared" si="65"/>
        <v>1.8344780022313458E-3</v>
      </c>
      <c r="AA140">
        <f t="shared" si="66"/>
        <v>2684</v>
      </c>
      <c r="AB140">
        <f t="shared" si="67"/>
        <v>0.21</v>
      </c>
      <c r="AC140">
        <f t="shared" si="68"/>
        <v>0.25283080669601432</v>
      </c>
    </row>
    <row r="141" spans="1:29" ht="18.95" customHeight="1">
      <c r="A141" s="4">
        <f t="shared" si="69"/>
        <v>1512</v>
      </c>
      <c r="B141" s="6">
        <f>INDEX('Raw Data'!$B$6:$B$2882,MATCH(A141,'Raw Data'!$A$6:$A$2882,0))</f>
        <v>50484</v>
      </c>
      <c r="C141" s="6">
        <f t="shared" si="56"/>
        <v>2704</v>
      </c>
      <c r="D141" s="6">
        <f>MOD(C141+Summary!$B$20,Summary!$B$11)</f>
        <v>2785.8006443686454</v>
      </c>
      <c r="E141" s="6">
        <f>_xlfn.XLOOKUP(D141,'Native PMKS'!$C$6:$C$366,'Native PMKS'!$C$6:$C$366,,-1)</f>
        <v>2783.3333333333335</v>
      </c>
      <c r="F141" s="6">
        <f>_xlfn.XLOOKUP(D141,'Native PMKS'!$C$6:$C$366,'Native PMKS'!$C$6:$C$366,,1)</f>
        <v>2791.666666666667</v>
      </c>
      <c r="G141" s="6">
        <f>_xlfn.XLOOKUP(D141,'Native PMKS'!$C$6:$C$366,'Native PMKS'!$D$6:$D$366,,-1)</f>
        <v>13.464499999999999</v>
      </c>
      <c r="H141" s="6">
        <f>_xlfn.XLOOKUP(D141,'Native PMKS'!$C$6:$C$366,'Native PMKS'!$D$6:$D$366,,1)</f>
        <v>13.0061</v>
      </c>
      <c r="I141" s="6">
        <f t="shared" si="57"/>
        <v>13.328778154569534</v>
      </c>
      <c r="J141" s="6">
        <f>INDEX('Raw Data'!$F$6:$F$2882,MATCH(A141,'Raw Data'!$A$6:$A$2882,0))</f>
        <v>0.19</v>
      </c>
      <c r="K141" s="6">
        <f t="shared" si="58"/>
        <v>0.19</v>
      </c>
      <c r="L141" s="6">
        <f t="shared" si="59"/>
        <v>0.23263106406513204</v>
      </c>
      <c r="M141" s="6">
        <f t="shared" si="60"/>
        <v>-4.2631064065132035E-2</v>
      </c>
      <c r="N141" s="6">
        <f t="shared" si="61"/>
        <v>1.817407623325392E-3</v>
      </c>
      <c r="O141" s="6">
        <f>_xlfn.XLOOKUP(D141,'Instructor 360'!$B$6:$B$365,'Instructor 360'!$B$6:$B$365,,-1)</f>
        <v>2782.7298050139275</v>
      </c>
      <c r="P141" s="6">
        <f>_xlfn.XLOOKUP(D141,'Instructor 360'!$B$6:$B$365,'Instructor 360'!$B$6:$B$365,,1)</f>
        <v>2791.0863509749302</v>
      </c>
      <c r="Q141" s="6">
        <f>_xlfn.XLOOKUP(D141,'Instructor 360'!$B$6:$B$365,'Instructor 360'!$F$6:$F$365,,-1)</f>
        <v>13.497698885793884</v>
      </c>
      <c r="R141" s="6">
        <f>_xlfn.XLOOKUP(D141,'Instructor 360'!$B$6:$B$365,'Instructor 360'!$F$6:$F$365,,1)</f>
        <v>13.038022005571058</v>
      </c>
      <c r="S141" s="6">
        <f t="shared" si="62"/>
        <v>13.328778154569534</v>
      </c>
      <c r="T141" s="6">
        <f t="shared" si="63"/>
        <v>0.23263106406513204</v>
      </c>
      <c r="U141" s="6">
        <f t="shared" si="64"/>
        <v>-4.2631064065132035E-2</v>
      </c>
      <c r="V141" s="6"/>
      <c r="W141" s="6">
        <f t="shared" si="65"/>
        <v>1.817407623325392E-3</v>
      </c>
      <c r="AA141">
        <f t="shared" si="66"/>
        <v>2704</v>
      </c>
      <c r="AB141">
        <f t="shared" si="67"/>
        <v>0.19</v>
      </c>
      <c r="AC141">
        <f t="shared" si="68"/>
        <v>0.23263106406513204</v>
      </c>
    </row>
    <row r="142" spans="1:29" ht="18.95" customHeight="1">
      <c r="A142" s="4">
        <f t="shared" si="69"/>
        <v>1513</v>
      </c>
      <c r="B142" s="6">
        <f>INDEX('Raw Data'!$B$6:$B$2882,MATCH(A142,'Raw Data'!$A$6:$A$2882,0))</f>
        <v>50504</v>
      </c>
      <c r="C142" s="6">
        <f t="shared" si="56"/>
        <v>2724</v>
      </c>
      <c r="D142" s="6">
        <f>MOD(C142+Summary!$B$20,Summary!$B$11)</f>
        <v>2805.8006443686454</v>
      </c>
      <c r="E142" s="6">
        <f>_xlfn.XLOOKUP(D142,'Native PMKS'!$C$6:$C$366,'Native PMKS'!$C$6:$C$366,,-1)</f>
        <v>2800</v>
      </c>
      <c r="F142" s="6">
        <f>_xlfn.XLOOKUP(D142,'Native PMKS'!$C$6:$C$366,'Native PMKS'!$C$6:$C$366,,1)</f>
        <v>2808.3333333333335</v>
      </c>
      <c r="G142" s="6">
        <f>_xlfn.XLOOKUP(D142,'Native PMKS'!$C$6:$C$366,'Native PMKS'!$D$6:$D$366,,-1)</f>
        <v>12.490500000000001</v>
      </c>
      <c r="H142" s="6">
        <f>_xlfn.XLOOKUP(D142,'Native PMKS'!$C$6:$C$366,'Native PMKS'!$D$6:$D$366,,1)</f>
        <v>12.0321</v>
      </c>
      <c r="I142" s="6">
        <f t="shared" si="57"/>
        <v>12.171418154569579</v>
      </c>
      <c r="J142" s="6">
        <f>INDEX('Raw Data'!$F$6:$F$2882,MATCH(A142,'Raw Data'!$A$6:$A$2882,0))</f>
        <v>0.17</v>
      </c>
      <c r="K142" s="6">
        <f t="shared" si="58"/>
        <v>0.17</v>
      </c>
      <c r="L142" s="6">
        <f t="shared" si="59"/>
        <v>0.21243132143425128</v>
      </c>
      <c r="M142" s="6">
        <f t="shared" si="60"/>
        <v>-4.2431321434251268E-2</v>
      </c>
      <c r="N142" s="6">
        <f t="shared" si="61"/>
        <v>1.8004170386567511E-3</v>
      </c>
      <c r="O142" s="6">
        <f>_xlfn.XLOOKUP(D142,'Instructor 360'!$B$6:$B$365,'Instructor 360'!$B$6:$B$365,,-1)</f>
        <v>2799.4428969359333</v>
      </c>
      <c r="P142" s="6">
        <f>_xlfn.XLOOKUP(D142,'Instructor 360'!$B$6:$B$365,'Instructor 360'!$B$6:$B$365,,1)</f>
        <v>2807.7994428969359</v>
      </c>
      <c r="Q142" s="6">
        <f>_xlfn.XLOOKUP(D142,'Instructor 360'!$B$6:$B$365,'Instructor 360'!$F$6:$F$365,,-1)</f>
        <v>12.524969080779938</v>
      </c>
      <c r="R142" s="6">
        <f>_xlfn.XLOOKUP(D142,'Instructor 360'!$B$6:$B$365,'Instructor 360'!$F$6:$F$365,,1)</f>
        <v>12.061468245125356</v>
      </c>
      <c r="S142" s="6">
        <f t="shared" si="62"/>
        <v>12.172332804776119</v>
      </c>
      <c r="T142" s="6">
        <f t="shared" si="63"/>
        <v>0.21244728509185939</v>
      </c>
      <c r="U142" s="6">
        <f t="shared" si="64"/>
        <v>-4.2447285091859382E-2</v>
      </c>
      <c r="V142" s="6"/>
      <c r="W142" s="6">
        <f t="shared" si="65"/>
        <v>1.8017720116695877E-3</v>
      </c>
      <c r="AA142">
        <f t="shared" si="66"/>
        <v>2724</v>
      </c>
      <c r="AB142">
        <f t="shared" si="67"/>
        <v>0.17</v>
      </c>
      <c r="AC142">
        <f t="shared" si="68"/>
        <v>0.21244728509185939</v>
      </c>
    </row>
    <row r="143" spans="1:29" ht="18.95" customHeight="1">
      <c r="A143" s="4">
        <f t="shared" si="69"/>
        <v>1514</v>
      </c>
      <c r="B143" s="6">
        <f>INDEX('Raw Data'!$B$6:$B$2882,MATCH(A143,'Raw Data'!$A$6:$A$2882,0))</f>
        <v>50524</v>
      </c>
      <c r="C143" s="6">
        <f t="shared" si="56"/>
        <v>2744</v>
      </c>
      <c r="D143" s="6">
        <f>MOD(C143+Summary!$B$20,Summary!$B$11)</f>
        <v>2825.8006443686454</v>
      </c>
      <c r="E143" s="6">
        <f>_xlfn.XLOOKUP(D143,'Native PMKS'!$C$6:$C$366,'Native PMKS'!$C$6:$C$366,,-1)</f>
        <v>2825</v>
      </c>
      <c r="F143" s="6">
        <f>_xlfn.XLOOKUP(D143,'Native PMKS'!$C$6:$C$366,'Native PMKS'!$C$6:$C$366,,1)</f>
        <v>2833.3333333333335</v>
      </c>
      <c r="G143" s="6">
        <f>_xlfn.XLOOKUP(D143,'Native PMKS'!$C$6:$C$366,'Native PMKS'!$D$6:$D$366,,-1)</f>
        <v>11.0008</v>
      </c>
      <c r="H143" s="6">
        <f>_xlfn.XLOOKUP(D143,'Native PMKS'!$C$6:$C$366,'Native PMKS'!$D$6:$D$366,,1)</f>
        <v>10.542400000000001</v>
      </c>
      <c r="I143" s="6">
        <f t="shared" si="57"/>
        <v>10.95675815456957</v>
      </c>
      <c r="J143" s="6">
        <f>INDEX('Raw Data'!$F$6:$F$2882,MATCH(A143,'Raw Data'!$A$6:$A$2882,0))</f>
        <v>0.15</v>
      </c>
      <c r="K143" s="6">
        <f t="shared" si="58"/>
        <v>0.15</v>
      </c>
      <c r="L143" s="6">
        <f t="shared" si="59"/>
        <v>0.19123150514197679</v>
      </c>
      <c r="M143" s="6">
        <f t="shared" si="60"/>
        <v>-4.1231505141976793E-2</v>
      </c>
      <c r="N143" s="6">
        <f t="shared" si="61"/>
        <v>1.7000370162728587E-3</v>
      </c>
      <c r="O143" s="6">
        <f>_xlfn.XLOOKUP(D143,'Instructor 360'!$B$6:$B$365,'Instructor 360'!$B$6:$B$365,,-1)</f>
        <v>2824.5125348189413</v>
      </c>
      <c r="P143" s="6">
        <f>_xlfn.XLOOKUP(D143,'Instructor 360'!$B$6:$B$365,'Instructor 360'!$B$6:$B$365,,1)</f>
        <v>2832.8690807799444</v>
      </c>
      <c r="Q143" s="6">
        <f>_xlfn.XLOOKUP(D143,'Instructor 360'!$B$6:$B$365,'Instructor 360'!$F$6:$F$365,,-1)</f>
        <v>11.030966295264639</v>
      </c>
      <c r="R143" s="6">
        <f>_xlfn.XLOOKUP(D143,'Instructor 360'!$B$6:$B$365,'Instructor 360'!$F$6:$F$365,,1)</f>
        <v>10.567937604456827</v>
      </c>
      <c r="S143" s="6">
        <f t="shared" si="62"/>
        <v>10.959593304414113</v>
      </c>
      <c r="T143" s="6">
        <f t="shared" si="63"/>
        <v>0.19128098784155148</v>
      </c>
      <c r="U143" s="6">
        <f t="shared" si="64"/>
        <v>-4.1280987841551486E-2</v>
      </c>
      <c r="V143" s="6"/>
      <c r="W143" s="6">
        <f t="shared" si="65"/>
        <v>1.7041199571743216E-3</v>
      </c>
      <c r="AA143">
        <f t="shared" si="66"/>
        <v>2744</v>
      </c>
      <c r="AB143">
        <f t="shared" si="67"/>
        <v>0.15</v>
      </c>
      <c r="AC143">
        <f t="shared" si="68"/>
        <v>0.19128098784155148</v>
      </c>
    </row>
    <row r="144" spans="1:29" ht="18.95" customHeight="1">
      <c r="A144" s="4">
        <f t="shared" si="69"/>
        <v>1515</v>
      </c>
      <c r="B144" s="6">
        <f>INDEX('Raw Data'!$B$6:$B$2882,MATCH(A144,'Raw Data'!$A$6:$A$2882,0))</f>
        <v>50544</v>
      </c>
      <c r="C144" s="6">
        <f t="shared" si="56"/>
        <v>2764</v>
      </c>
      <c r="D144" s="6">
        <f>MOD(C144+Summary!$B$20,Summary!$B$11)</f>
        <v>2845.8006443686454</v>
      </c>
      <c r="E144" s="6">
        <f>_xlfn.XLOOKUP(D144,'Native PMKS'!$C$6:$C$366,'Native PMKS'!$C$6:$C$366,,-1)</f>
        <v>2841.666666666667</v>
      </c>
      <c r="F144" s="6">
        <f>_xlfn.XLOOKUP(D144,'Native PMKS'!$C$6:$C$366,'Native PMKS'!$C$6:$C$366,,1)</f>
        <v>2850</v>
      </c>
      <c r="G144" s="6">
        <f>_xlfn.XLOOKUP(D144,'Native PMKS'!$C$6:$C$366,'Native PMKS'!$D$6:$D$366,,-1)</f>
        <v>10.0268</v>
      </c>
      <c r="H144" s="6">
        <f>_xlfn.XLOOKUP(D144,'Native PMKS'!$C$6:$C$366,'Native PMKS'!$D$6:$D$366,,1)</f>
        <v>9.5111000000000008</v>
      </c>
      <c r="I144" s="6">
        <f t="shared" si="57"/>
        <v>9.7709729238907244</v>
      </c>
      <c r="J144" s="6">
        <f>INDEX('Raw Data'!$F$6:$F$2882,MATCH(A144,'Raw Data'!$A$6:$A$2882,0))</f>
        <v>0.13</v>
      </c>
      <c r="K144" s="6">
        <f t="shared" si="58"/>
        <v>0.13</v>
      </c>
      <c r="L144" s="6">
        <f t="shared" si="59"/>
        <v>0.17053564864511045</v>
      </c>
      <c r="M144" s="6">
        <f t="shared" si="60"/>
        <v>-4.0535648645110445E-2</v>
      </c>
      <c r="N144" s="6">
        <f t="shared" si="61"/>
        <v>1.6431388110798443E-3</v>
      </c>
      <c r="O144" s="6">
        <f>_xlfn.XLOOKUP(D144,'Instructor 360'!$B$6:$B$365,'Instructor 360'!$B$6:$B$365,,-1)</f>
        <v>2841.2256267409471</v>
      </c>
      <c r="P144" s="6">
        <f>_xlfn.XLOOKUP(D144,'Instructor 360'!$B$6:$B$365,'Instructor 360'!$B$6:$B$365,,1)</f>
        <v>2849.5821727019497</v>
      </c>
      <c r="Q144" s="6">
        <f>_xlfn.XLOOKUP(D144,'Instructor 360'!$B$6:$B$365,'Instructor 360'!$F$6:$F$365,,-1)</f>
        <v>10.054088022284141</v>
      </c>
      <c r="R144" s="6">
        <f>_xlfn.XLOOKUP(D144,'Instructor 360'!$B$6:$B$365,'Instructor 360'!$F$6:$F$365,,1)</f>
        <v>9.5369568245125453</v>
      </c>
      <c r="S144" s="6">
        <f t="shared" si="62"/>
        <v>9.7709705289228168</v>
      </c>
      <c r="T144" s="6">
        <f t="shared" si="63"/>
        <v>0.17053560684503499</v>
      </c>
      <c r="U144" s="6">
        <f t="shared" si="64"/>
        <v>-4.0535606845034988E-2</v>
      </c>
      <c r="V144" s="6"/>
      <c r="W144" s="6">
        <f t="shared" si="65"/>
        <v>1.6431354222952474E-3</v>
      </c>
      <c r="AA144">
        <f t="shared" si="66"/>
        <v>2764</v>
      </c>
      <c r="AB144">
        <f t="shared" si="67"/>
        <v>0.13</v>
      </c>
      <c r="AC144">
        <f t="shared" si="68"/>
        <v>0.17053560684503499</v>
      </c>
    </row>
    <row r="145" spans="1:29" ht="18.95" customHeight="1">
      <c r="A145" s="4">
        <f t="shared" si="69"/>
        <v>1516</v>
      </c>
      <c r="B145" s="6">
        <f>INDEX('Raw Data'!$B$6:$B$2882,MATCH(A145,'Raw Data'!$A$6:$A$2882,0))</f>
        <v>50564</v>
      </c>
      <c r="C145" s="6">
        <f t="shared" si="56"/>
        <v>2784</v>
      </c>
      <c r="D145" s="6">
        <f>MOD(C145+Summary!$B$20,Summary!$B$11)</f>
        <v>2865.8006443686454</v>
      </c>
      <c r="E145" s="6">
        <f>_xlfn.XLOOKUP(D145,'Native PMKS'!$C$6:$C$366,'Native PMKS'!$C$6:$C$366,,-1)</f>
        <v>2858.3333333333335</v>
      </c>
      <c r="F145" s="6">
        <f>_xlfn.XLOOKUP(D145,'Native PMKS'!$C$6:$C$366,'Native PMKS'!$C$6:$C$366,,1)</f>
        <v>2866.666666666667</v>
      </c>
      <c r="G145" s="6">
        <f>_xlfn.XLOOKUP(D145,'Native PMKS'!$C$6:$C$366,'Native PMKS'!$D$6:$D$366,,-1)</f>
        <v>8.9954000000000001</v>
      </c>
      <c r="H145" s="6">
        <f>_xlfn.XLOOKUP(D145,'Native PMKS'!$C$6:$C$366,'Native PMKS'!$D$6:$D$366,,1)</f>
        <v>8.4797999999999991</v>
      </c>
      <c r="I145" s="6">
        <f t="shared" si="57"/>
        <v>8.5333825316231469</v>
      </c>
      <c r="J145" s="6">
        <f>INDEX('Raw Data'!$F$6:$F$2882,MATCH(A145,'Raw Data'!$A$6:$A$2882,0))</f>
        <v>0.12</v>
      </c>
      <c r="K145" s="6">
        <f t="shared" si="58"/>
        <v>0.12</v>
      </c>
      <c r="L145" s="6">
        <f t="shared" si="59"/>
        <v>0.14893562150899303</v>
      </c>
      <c r="M145" s="6">
        <f t="shared" si="60"/>
        <v>-2.8935621508993037E-2</v>
      </c>
      <c r="N145" s="6">
        <f t="shared" si="61"/>
        <v>8.3727019211170045E-4</v>
      </c>
      <c r="O145" s="6">
        <f>_xlfn.XLOOKUP(D145,'Instructor 360'!$B$6:$B$365,'Instructor 360'!$B$6:$B$365,,-1)</f>
        <v>2857.9387186629529</v>
      </c>
      <c r="P145" s="6">
        <f>_xlfn.XLOOKUP(D145,'Instructor 360'!$B$6:$B$365,'Instructor 360'!$B$6:$B$365,,1)</f>
        <v>2866.2952646239555</v>
      </c>
      <c r="Q145" s="6">
        <f>_xlfn.XLOOKUP(D145,'Instructor 360'!$B$6:$B$365,'Instructor 360'!$F$6:$F$365,,-1)</f>
        <v>9.0198203342618353</v>
      </c>
      <c r="R145" s="6">
        <f>_xlfn.XLOOKUP(D145,'Instructor 360'!$B$6:$B$365,'Instructor 360'!$F$6:$F$365,,1)</f>
        <v>8.5027793871866422</v>
      </c>
      <c r="S145" s="6">
        <f t="shared" si="62"/>
        <v>8.5333828119080124</v>
      </c>
      <c r="T145" s="6">
        <f t="shared" si="63"/>
        <v>0.14893562640088678</v>
      </c>
      <c r="U145" s="6">
        <f t="shared" si="64"/>
        <v>-2.8935626400886788E-2</v>
      </c>
      <c r="V145" s="6"/>
      <c r="W145" s="6">
        <f t="shared" si="65"/>
        <v>8.3727047521169648E-4</v>
      </c>
      <c r="AA145">
        <f t="shared" si="66"/>
        <v>2784</v>
      </c>
      <c r="AB145">
        <f t="shared" si="67"/>
        <v>0.12</v>
      </c>
      <c r="AC145">
        <f t="shared" si="68"/>
        <v>0.14893562640088678</v>
      </c>
    </row>
    <row r="146" spans="1:29" ht="18.95" customHeight="1">
      <c r="A146" s="4">
        <f t="shared" si="69"/>
        <v>1517</v>
      </c>
      <c r="B146" s="6">
        <f>INDEX('Raw Data'!$B$6:$B$2882,MATCH(A146,'Raw Data'!$A$6:$A$2882,0))</f>
        <v>50584</v>
      </c>
      <c r="C146" s="6">
        <f t="shared" si="56"/>
        <v>2804</v>
      </c>
      <c r="D146" s="6">
        <f>MOD(C146+Summary!$B$20,Summary!$B$11)</f>
        <v>2885.8006443686454</v>
      </c>
      <c r="E146" s="6">
        <f>_xlfn.XLOOKUP(D146,'Native PMKS'!$C$6:$C$366,'Native PMKS'!$C$6:$C$366,,-1)</f>
        <v>2883.3333333333335</v>
      </c>
      <c r="F146" s="6">
        <f>_xlfn.XLOOKUP(D146,'Native PMKS'!$C$6:$C$366,'Native PMKS'!$C$6:$C$366,,1)</f>
        <v>2891.666666666667</v>
      </c>
      <c r="G146" s="6">
        <f>_xlfn.XLOOKUP(D146,'Native PMKS'!$C$6:$C$366,'Native PMKS'!$D$6:$D$366,,-1)</f>
        <v>7.4485000000000001</v>
      </c>
      <c r="H146" s="6">
        <f>_xlfn.XLOOKUP(D146,'Native PMKS'!$C$6:$C$366,'Native PMKS'!$D$6:$D$366,,1)</f>
        <v>6.9328000000000003</v>
      </c>
      <c r="I146" s="6">
        <f t="shared" si="57"/>
        <v>7.2958129238907645</v>
      </c>
      <c r="J146" s="6">
        <f>INDEX('Raw Data'!$F$6:$F$2882,MATCH(A146,'Raw Data'!$A$6:$A$2882,0))</f>
        <v>0.09</v>
      </c>
      <c r="K146" s="6">
        <f t="shared" si="58"/>
        <v>0.09</v>
      </c>
      <c r="L146" s="6">
        <f t="shared" si="59"/>
        <v>0.1273359571314483</v>
      </c>
      <c r="M146" s="6">
        <f t="shared" si="60"/>
        <v>-3.73359571314483E-2</v>
      </c>
      <c r="N146" s="6">
        <f t="shared" si="61"/>
        <v>1.3939736949213453E-3</v>
      </c>
      <c r="O146" s="6">
        <f>_xlfn.XLOOKUP(D146,'Instructor 360'!$B$6:$B$365,'Instructor 360'!$B$6:$B$365,,-1)</f>
        <v>2883.0083565459609</v>
      </c>
      <c r="P146" s="6">
        <f>_xlfn.XLOOKUP(D146,'Instructor 360'!$B$6:$B$365,'Instructor 360'!$B$6:$B$365,,1)</f>
        <v>2891.364902506964</v>
      </c>
      <c r="Q146" s="6">
        <f>_xlfn.XLOOKUP(D146,'Instructor 360'!$B$6:$B$365,'Instructor 360'!$F$6:$F$365,,-1)</f>
        <v>7.4686069637883197</v>
      </c>
      <c r="R146" s="6">
        <f>_xlfn.XLOOKUP(D146,'Instructor 360'!$B$6:$B$365,'Instructor 360'!$F$6:$F$365,,1)</f>
        <v>6.9514743732590603</v>
      </c>
      <c r="S146" s="6">
        <f t="shared" si="62"/>
        <v>7.2958103272369783</v>
      </c>
      <c r="T146" s="6">
        <f t="shared" si="63"/>
        <v>0.1273359118112902</v>
      </c>
      <c r="U146" s="6">
        <f t="shared" si="64"/>
        <v>-3.7335911811290201E-2</v>
      </c>
      <c r="V146" s="6"/>
      <c r="W146" s="6">
        <f t="shared" si="65"/>
        <v>1.3939703107804392E-3</v>
      </c>
      <c r="AA146">
        <f t="shared" si="66"/>
        <v>2804</v>
      </c>
      <c r="AB146">
        <f t="shared" si="67"/>
        <v>0.09</v>
      </c>
      <c r="AC146">
        <f t="shared" si="68"/>
        <v>0.1273359118112902</v>
      </c>
    </row>
    <row r="147" spans="1:29" ht="18.95" customHeight="1">
      <c r="A147" s="4">
        <f t="shared" si="69"/>
        <v>1518</v>
      </c>
      <c r="B147" s="6">
        <f>INDEX('Raw Data'!$B$6:$B$2882,MATCH(A147,'Raw Data'!$A$6:$A$2882,0))</f>
        <v>50604</v>
      </c>
      <c r="C147" s="6">
        <f t="shared" si="56"/>
        <v>2824</v>
      </c>
      <c r="D147" s="6">
        <f>MOD(C147+Summary!$B$20,Summary!$B$11)</f>
        <v>2905.8006443686454</v>
      </c>
      <c r="E147" s="6">
        <f>_xlfn.XLOOKUP(D147,'Native PMKS'!$C$6:$C$366,'Native PMKS'!$C$6:$C$366,,-1)</f>
        <v>2900</v>
      </c>
      <c r="F147" s="6">
        <f>_xlfn.XLOOKUP(D147,'Native PMKS'!$C$6:$C$366,'Native PMKS'!$C$6:$C$366,,1)</f>
        <v>2908.3333333333335</v>
      </c>
      <c r="G147" s="6">
        <f>_xlfn.XLOOKUP(D147,'Native PMKS'!$C$6:$C$366,'Native PMKS'!$D$6:$D$366,,-1)</f>
        <v>6.4170999999999996</v>
      </c>
      <c r="H147" s="6">
        <f>_xlfn.XLOOKUP(D147,'Native PMKS'!$C$6:$C$366,'Native PMKS'!$D$6:$D$366,,1)</f>
        <v>5.9015000000000004</v>
      </c>
      <c r="I147" s="6">
        <f t="shared" si="57"/>
        <v>6.0582025316232091</v>
      </c>
      <c r="J147" s="6">
        <f>INDEX('Raw Data'!$F$6:$F$2882,MATCH(A147,'Raw Data'!$A$6:$A$2882,0))</f>
        <v>7.0000000000000007E-2</v>
      </c>
      <c r="K147" s="6">
        <f t="shared" si="58"/>
        <v>7.0000000000000007E-2</v>
      </c>
      <c r="L147" s="6">
        <f t="shared" si="59"/>
        <v>0.10573558092948089</v>
      </c>
      <c r="M147" s="6">
        <f t="shared" si="60"/>
        <v>-3.5735580929480884E-2</v>
      </c>
      <c r="N147" s="6">
        <f t="shared" si="61"/>
        <v>1.2770317443674779E-3</v>
      </c>
      <c r="O147" s="6">
        <f>_xlfn.XLOOKUP(D147,'Instructor 360'!$B$6:$B$365,'Instructor 360'!$B$6:$B$365,,-1)</f>
        <v>2899.7214484679666</v>
      </c>
      <c r="P147" s="6">
        <f>_xlfn.XLOOKUP(D147,'Instructor 360'!$B$6:$B$365,'Instructor 360'!$B$6:$B$365,,1)</f>
        <v>2908.0779944289693</v>
      </c>
      <c r="Q147" s="6">
        <f>_xlfn.XLOOKUP(D147,'Instructor 360'!$B$6:$B$365,'Instructor 360'!$F$6:$F$365,,-1)</f>
        <v>6.4343378830083529</v>
      </c>
      <c r="R147" s="6">
        <f>_xlfn.XLOOKUP(D147,'Instructor 360'!$B$6:$B$365,'Instructor 360'!$F$6:$F$365,,1)</f>
        <v>5.917298328690821</v>
      </c>
      <c r="S147" s="6">
        <f t="shared" si="62"/>
        <v>6.0582034425632116</v>
      </c>
      <c r="T147" s="6">
        <f t="shared" si="63"/>
        <v>0.10573559682838321</v>
      </c>
      <c r="U147" s="6">
        <f t="shared" si="64"/>
        <v>-3.5735596828383204E-2</v>
      </c>
      <c r="V147" s="6"/>
      <c r="W147" s="6">
        <f t="shared" si="65"/>
        <v>1.2770328806807516E-3</v>
      </c>
      <c r="AA147">
        <f t="shared" si="66"/>
        <v>2824</v>
      </c>
      <c r="AB147">
        <f t="shared" si="67"/>
        <v>7.0000000000000007E-2</v>
      </c>
      <c r="AC147">
        <f t="shared" si="68"/>
        <v>0.10573559682838321</v>
      </c>
    </row>
    <row r="148" spans="1:29" ht="18.95" customHeight="1">
      <c r="A148" s="4">
        <f t="shared" si="69"/>
        <v>1519</v>
      </c>
      <c r="B148" s="6">
        <f>INDEX('Raw Data'!$B$6:$B$2882,MATCH(A148,'Raw Data'!$A$6:$A$2882,0))</f>
        <v>50624</v>
      </c>
      <c r="C148" s="6">
        <f t="shared" si="56"/>
        <v>2844</v>
      </c>
      <c r="D148" s="6">
        <f>MOD(C148+Summary!$B$20,Summary!$B$11)</f>
        <v>2925.8006443686454</v>
      </c>
      <c r="E148" s="6">
        <f>_xlfn.XLOOKUP(D148,'Native PMKS'!$C$6:$C$366,'Native PMKS'!$C$6:$C$366,,-1)</f>
        <v>2925</v>
      </c>
      <c r="F148" s="6">
        <f>_xlfn.XLOOKUP(D148,'Native PMKS'!$C$6:$C$366,'Native PMKS'!$C$6:$C$366,,1)</f>
        <v>2933.3333333333335</v>
      </c>
      <c r="G148" s="6">
        <f>_xlfn.XLOOKUP(D148,'Native PMKS'!$C$6:$C$366,'Native PMKS'!$D$6:$D$366,,-1)</f>
        <v>4.8128000000000002</v>
      </c>
      <c r="H148" s="6">
        <f>_xlfn.XLOOKUP(D148,'Native PMKS'!$C$6:$C$366,'Native PMKS'!$D$6:$D$366,,1)</f>
        <v>4.2972000000000001</v>
      </c>
      <c r="I148" s="6">
        <f t="shared" si="57"/>
        <v>4.7632625316232122</v>
      </c>
      <c r="J148" s="6">
        <f>INDEX('Raw Data'!$F$6:$F$2882,MATCH(A148,'Raw Data'!$A$6:$A$2882,0))</f>
        <v>0.04</v>
      </c>
      <c r="K148" s="6">
        <f t="shared" si="58"/>
        <v>0.04</v>
      </c>
      <c r="L148" s="6">
        <f t="shared" si="59"/>
        <v>8.3134614313705571E-2</v>
      </c>
      <c r="M148" s="6">
        <f t="shared" si="60"/>
        <v>-4.313461431370557E-2</v>
      </c>
      <c r="N148" s="6">
        <f t="shared" si="61"/>
        <v>1.8605949519921335E-3</v>
      </c>
      <c r="O148" s="6">
        <f>_xlfn.XLOOKUP(D148,'Instructor 360'!$B$6:$B$365,'Instructor 360'!$B$6:$B$365,,-1)</f>
        <v>2924.7910863509751</v>
      </c>
      <c r="P148" s="6">
        <f>_xlfn.XLOOKUP(D148,'Instructor 360'!$B$6:$B$365,'Instructor 360'!$B$6:$B$365,,1)</f>
        <v>2933.1476323119778</v>
      </c>
      <c r="Q148" s="6">
        <f>_xlfn.XLOOKUP(D148,'Instructor 360'!$B$6:$B$365,'Instructor 360'!$F$6:$F$365,,-1)</f>
        <v>4.8257284122562583</v>
      </c>
      <c r="R148" s="6">
        <f>_xlfn.XLOOKUP(D148,'Instructor 360'!$B$6:$B$365,'Instructor 360'!$F$6:$F$365,,1)</f>
        <v>4.3086896935933217</v>
      </c>
      <c r="S148" s="6">
        <f t="shared" si="62"/>
        <v>4.7632647357195594</v>
      </c>
      <c r="T148" s="6">
        <f t="shared" si="63"/>
        <v>8.3134652782443863E-2</v>
      </c>
      <c r="U148" s="6">
        <f t="shared" si="64"/>
        <v>-4.3134652782443862E-2</v>
      </c>
      <c r="V148" s="6"/>
      <c r="W148" s="6">
        <f t="shared" si="65"/>
        <v>1.8605982706619919E-3</v>
      </c>
      <c r="AA148">
        <f t="shared" si="66"/>
        <v>2844</v>
      </c>
      <c r="AB148">
        <f t="shared" si="67"/>
        <v>0.04</v>
      </c>
      <c r="AC148">
        <f t="shared" si="68"/>
        <v>8.3134652782443863E-2</v>
      </c>
    </row>
    <row r="149" spans="1:29" ht="18.95" customHeight="1">
      <c r="A149" s="4">
        <f t="shared" si="69"/>
        <v>1520</v>
      </c>
      <c r="B149" s="6">
        <f>INDEX('Raw Data'!$B$6:$B$2882,MATCH(A149,'Raw Data'!$A$6:$A$2882,0))</f>
        <v>50644</v>
      </c>
      <c r="C149" s="6">
        <f t="shared" si="56"/>
        <v>2864</v>
      </c>
      <c r="D149" s="6">
        <f>MOD(C149+Summary!$B$20,Summary!$B$11)</f>
        <v>2945.8006443686454</v>
      </c>
      <c r="E149" s="6">
        <f>_xlfn.XLOOKUP(D149,'Native PMKS'!$C$6:$C$366,'Native PMKS'!$C$6:$C$366,,-1)</f>
        <v>2941.666666666667</v>
      </c>
      <c r="F149" s="6">
        <f>_xlfn.XLOOKUP(D149,'Native PMKS'!$C$6:$C$366,'Native PMKS'!$C$6:$C$366,,1)</f>
        <v>2950</v>
      </c>
      <c r="G149" s="6">
        <f>_xlfn.XLOOKUP(D149,'Native PMKS'!$C$6:$C$366,'Native PMKS'!$D$6:$D$366,,-1)</f>
        <v>3.7242000000000002</v>
      </c>
      <c r="H149" s="6">
        <f>_xlfn.XLOOKUP(D149,'Native PMKS'!$C$6:$C$366,'Native PMKS'!$D$6:$D$366,,1)</f>
        <v>3.2086000000000001</v>
      </c>
      <c r="I149" s="6">
        <f t="shared" si="57"/>
        <v>3.4684225316231618</v>
      </c>
      <c r="J149" s="6">
        <f>INDEX('Raw Data'!$F$6:$F$2882,MATCH(A149,'Raw Data'!$A$6:$A$2882,0))</f>
        <v>0.02</v>
      </c>
      <c r="K149" s="6">
        <f t="shared" si="58"/>
        <v>0.02</v>
      </c>
      <c r="L149" s="6">
        <f t="shared" si="59"/>
        <v>6.053539302718132E-2</v>
      </c>
      <c r="M149" s="6">
        <f t="shared" si="60"/>
        <v>-4.0535393027181316E-2</v>
      </c>
      <c r="N149" s="6">
        <f t="shared" si="61"/>
        <v>1.6431180878680597E-3</v>
      </c>
      <c r="O149" s="6">
        <f>_xlfn.XLOOKUP(D149,'Instructor 360'!$B$6:$B$365,'Instructor 360'!$B$6:$B$365,,-1)</f>
        <v>2941.5041782729804</v>
      </c>
      <c r="P149" s="6">
        <f>_xlfn.XLOOKUP(D149,'Instructor 360'!$B$6:$B$365,'Instructor 360'!$B$6:$B$365,,1)</f>
        <v>2949.8607242339831</v>
      </c>
      <c r="Q149" s="6">
        <f>_xlfn.XLOOKUP(D149,'Instructor 360'!$B$6:$B$365,'Instructor 360'!$F$6:$F$365,,-1)</f>
        <v>3.7353727019498866</v>
      </c>
      <c r="R149" s="6">
        <f>_xlfn.XLOOKUP(D149,'Instructor 360'!$B$6:$B$365,'Instructor 360'!$F$6:$F$365,,1)</f>
        <v>3.2172172701949986</v>
      </c>
      <c r="S149" s="6">
        <f t="shared" si="62"/>
        <v>3.4689663116531335</v>
      </c>
      <c r="T149" s="6">
        <f t="shared" si="63"/>
        <v>6.0544883779110915E-2</v>
      </c>
      <c r="U149" s="6">
        <f t="shared" si="64"/>
        <v>-4.0544883779110918E-2</v>
      </c>
      <c r="V149" s="6"/>
      <c r="W149" s="6">
        <f t="shared" si="65"/>
        <v>1.6438876006616117E-3</v>
      </c>
      <c r="AA149">
        <f t="shared" si="66"/>
        <v>2864</v>
      </c>
      <c r="AB149">
        <f t="shared" si="67"/>
        <v>0.02</v>
      </c>
      <c r="AC149">
        <f t="shared" si="68"/>
        <v>6.0544883779110915E-2</v>
      </c>
    </row>
    <row r="150" spans="1:29" ht="18.95" customHeight="1">
      <c r="A150" s="4">
        <f t="shared" si="69"/>
        <v>1521</v>
      </c>
      <c r="B150" s="6">
        <f>INDEX('Raw Data'!$B$6:$B$2882,MATCH(A150,'Raw Data'!$A$6:$A$2882,0))</f>
        <v>50664</v>
      </c>
      <c r="C150" s="6">
        <f t="shared" si="56"/>
        <v>2884</v>
      </c>
      <c r="D150" s="6">
        <f>MOD(C150+Summary!$B$20,Summary!$B$11)</f>
        <v>2965.8006443686454</v>
      </c>
      <c r="E150" s="6">
        <f>_xlfn.XLOOKUP(D150,'Native PMKS'!$C$6:$C$366,'Native PMKS'!$C$6:$C$366,,-1)</f>
        <v>2958.3333333333335</v>
      </c>
      <c r="F150" s="6">
        <f>_xlfn.XLOOKUP(D150,'Native PMKS'!$C$6:$C$366,'Native PMKS'!$C$6:$C$366,,1)</f>
        <v>2966.666666666667</v>
      </c>
      <c r="G150" s="6">
        <f>_xlfn.XLOOKUP(D150,'Native PMKS'!$C$6:$C$366,'Native PMKS'!$D$6:$D$366,,-1)</f>
        <v>2.6928999999999998</v>
      </c>
      <c r="H150" s="6">
        <f>_xlfn.XLOOKUP(D150,'Native PMKS'!$C$6:$C$366,'Native PMKS'!$D$6:$D$366,,1)</f>
        <v>2.1198999999999999</v>
      </c>
      <c r="I150" s="6">
        <f t="shared" si="57"/>
        <v>2.1794476932119267</v>
      </c>
      <c r="J150" s="6">
        <f>INDEX('Raw Data'!$F$6:$F$2882,MATCH(A150,'Raw Data'!$A$6:$A$2882,0))</f>
        <v>-0.01</v>
      </c>
      <c r="K150" s="6">
        <f t="shared" si="58"/>
        <v>-0.01</v>
      </c>
      <c r="L150" s="6">
        <f t="shared" si="59"/>
        <v>3.803853812154339E-2</v>
      </c>
      <c r="M150" s="6">
        <f t="shared" si="60"/>
        <v>-4.8038538121543392E-2</v>
      </c>
      <c r="N150" s="6">
        <f t="shared" si="61"/>
        <v>2.3077011448549779E-3</v>
      </c>
      <c r="O150" s="6">
        <f>_xlfn.XLOOKUP(D150,'Instructor 360'!$B$6:$B$365,'Instructor 360'!$B$6:$B$365,,-1)</f>
        <v>2958.2172701949862</v>
      </c>
      <c r="P150" s="6">
        <f>_xlfn.XLOOKUP(D150,'Instructor 360'!$B$6:$B$365,'Instructor 360'!$B$6:$B$365,,1)</f>
        <v>2966.5738161559889</v>
      </c>
      <c r="Q150" s="6">
        <f>_xlfn.XLOOKUP(D150,'Instructor 360'!$B$6:$B$365,'Instructor 360'!$F$6:$F$365,,-1)</f>
        <v>2.7000824512534822</v>
      </c>
      <c r="R150" s="6">
        <f>_xlfn.XLOOKUP(D150,'Instructor 360'!$B$6:$B$365,'Instructor 360'!$F$6:$F$365,,1)</f>
        <v>2.1262844011142255</v>
      </c>
      <c r="S150" s="6">
        <f t="shared" si="62"/>
        <v>2.1793738553062667</v>
      </c>
      <c r="T150" s="6">
        <f t="shared" si="63"/>
        <v>3.8037249406976843E-2</v>
      </c>
      <c r="U150" s="6">
        <f t="shared" si="64"/>
        <v>-4.8037249406976845E-2</v>
      </c>
      <c r="V150" s="6"/>
      <c r="W150" s="6">
        <f t="shared" si="65"/>
        <v>2.3075773305880972E-3</v>
      </c>
      <c r="AA150">
        <f t="shared" si="66"/>
        <v>2884</v>
      </c>
      <c r="AB150">
        <f t="shared" si="67"/>
        <v>-0.01</v>
      </c>
      <c r="AC150">
        <f t="shared" si="68"/>
        <v>3.8037249406976843E-2</v>
      </c>
    </row>
    <row r="151" spans="1:29" ht="18.95" customHeight="1">
      <c r="A151" s="4">
        <f t="shared" si="69"/>
        <v>1522</v>
      </c>
      <c r="B151" s="6">
        <f>INDEX('Raw Data'!$B$6:$B$2882,MATCH(A151,'Raw Data'!$A$6:$A$2882,0))</f>
        <v>50684</v>
      </c>
      <c r="C151" s="6">
        <f t="shared" si="56"/>
        <v>2904</v>
      </c>
      <c r="D151" s="6">
        <f>MOD(C151+Summary!$B$20,Summary!$B$11)</f>
        <v>2985.8006443686454</v>
      </c>
      <c r="E151" s="6">
        <f>_xlfn.XLOOKUP(D151,'Native PMKS'!$C$6:$C$366,'Native PMKS'!$C$6:$C$366,,-1)</f>
        <v>2983.3333333333335</v>
      </c>
      <c r="F151" s="6">
        <f>_xlfn.XLOOKUP(D151,'Native PMKS'!$C$6:$C$366,'Native PMKS'!$C$6:$C$366,,1)</f>
        <v>2991.666666666667</v>
      </c>
      <c r="G151" s="6">
        <f>_xlfn.XLOOKUP(D151,'Native PMKS'!$C$6:$C$366,'Native PMKS'!$D$6:$D$366,,-1)</f>
        <v>1.0313000000000001</v>
      </c>
      <c r="H151" s="6">
        <f>_xlfn.XLOOKUP(D151,'Native PMKS'!$C$6:$C$366,'Native PMKS'!$D$6:$D$366,,1)</f>
        <v>0.51570000000000005</v>
      </c>
      <c r="I151" s="6">
        <f t="shared" si="57"/>
        <v>0.87864253162317141</v>
      </c>
      <c r="J151" s="6">
        <f>INDEX('Raw Data'!$F$6:$F$2882,MATCH(A151,'Raw Data'!$A$6:$A$2882,0))</f>
        <v>-0.03</v>
      </c>
      <c r="K151" s="6">
        <f t="shared" si="58"/>
        <v>-0.03</v>
      </c>
      <c r="L151" s="6">
        <f t="shared" si="59"/>
        <v>1.5335205124882739E-2</v>
      </c>
      <c r="M151" s="6">
        <f t="shared" si="60"/>
        <v>-4.533520512488274E-2</v>
      </c>
      <c r="N151" s="6">
        <f t="shared" si="61"/>
        <v>2.0552808237151942E-3</v>
      </c>
      <c r="O151" s="6">
        <f>_xlfn.XLOOKUP(D151,'Instructor 360'!$B$6:$B$365,'Instructor 360'!$B$6:$B$365,,-1)</f>
        <v>2983.2869080779942</v>
      </c>
      <c r="P151" s="6">
        <f>_xlfn.XLOOKUP(D151,'Instructor 360'!$B$6:$B$365,'Instructor 360'!$B$6:$B$365,,1)</f>
        <v>2991.6434540389973</v>
      </c>
      <c r="Q151" s="6">
        <f>_xlfn.XLOOKUP(D151,'Instructor 360'!$B$6:$B$365,'Instructor 360'!$F$6:$F$365,,-1)</f>
        <v>1.0344922005571284</v>
      </c>
      <c r="R151" s="6">
        <f>_xlfn.XLOOKUP(D151,'Instructor 360'!$B$6:$B$365,'Instructor 360'!$F$6:$F$365,,1)</f>
        <v>0.51713621169917579</v>
      </c>
      <c r="S151" s="6">
        <f t="shared" si="62"/>
        <v>0.87886611647323321</v>
      </c>
      <c r="T151" s="6">
        <f t="shared" si="63"/>
        <v>1.5339107416673893E-2</v>
      </c>
      <c r="U151" s="6">
        <f t="shared" si="64"/>
        <v>-4.5339107416673893E-2</v>
      </c>
      <c r="V151" s="6"/>
      <c r="W151" s="6">
        <f t="shared" si="65"/>
        <v>2.0556346613406938E-3</v>
      </c>
      <c r="AA151">
        <f t="shared" si="66"/>
        <v>2904</v>
      </c>
      <c r="AB151">
        <f t="shared" si="67"/>
        <v>-0.03</v>
      </c>
      <c r="AC151">
        <f t="shared" si="68"/>
        <v>1.5339107416673893E-2</v>
      </c>
    </row>
    <row r="152" spans="1:29" ht="18.95" customHeight="1">
      <c r="A152" s="4">
        <f t="shared" si="69"/>
        <v>1523</v>
      </c>
      <c r="B152" s="6">
        <f>INDEX('Raw Data'!$B$6:$B$2882,MATCH(A152,'Raw Data'!$A$6:$A$2882,0))</f>
        <v>50704</v>
      </c>
      <c r="C152" s="6">
        <f t="shared" si="56"/>
        <v>2924</v>
      </c>
      <c r="D152" s="6">
        <f>MOD(C152+Summary!$B$20,Summary!$B$11)</f>
        <v>5.8006443686454077</v>
      </c>
      <c r="E152" s="6">
        <f>_xlfn.XLOOKUP(D152,'Native PMKS'!$C$6:$C$366,'Native PMKS'!$C$6:$C$366,,-1)</f>
        <v>0</v>
      </c>
      <c r="F152" s="6">
        <f>_xlfn.XLOOKUP(D152,'Native PMKS'!$C$6:$C$366,'Native PMKS'!$C$6:$C$366,,1)</f>
        <v>8.3333333333333339</v>
      </c>
      <c r="G152" s="6">
        <f>_xlfn.XLOOKUP(D152,'Native PMKS'!$C$6:$C$366,'Native PMKS'!$D$6:$D$366,,-1)</f>
        <v>0</v>
      </c>
      <c r="H152" s="6">
        <f>_xlfn.XLOOKUP(D152,'Native PMKS'!$C$6:$C$366,'Native PMKS'!$D$6:$D$366,,1)</f>
        <v>-0.57299999999999995</v>
      </c>
      <c r="I152" s="6">
        <f t="shared" si="57"/>
        <v>-0.39885230678805816</v>
      </c>
      <c r="J152" s="6">
        <f>INDEX('Raw Data'!$F$6:$F$2882,MATCH(A152,'Raw Data'!$A$6:$A$2882,0))</f>
        <v>-0.06</v>
      </c>
      <c r="K152" s="6">
        <f t="shared" si="58"/>
        <v>-0.06</v>
      </c>
      <c r="L152" s="6">
        <f t="shared" si="59"/>
        <v>-6.9612859826261447E-3</v>
      </c>
      <c r="M152" s="6">
        <f t="shared" si="60"/>
        <v>-5.3038714017373853E-2</v>
      </c>
      <c r="N152" s="6">
        <f t="shared" si="61"/>
        <v>2.8131051846167696E-3</v>
      </c>
      <c r="O152" s="6">
        <f>_xlfn.XLOOKUP(D152,'Instructor 360'!$B$6:$B$365,'Instructor 360'!$B$6:$B$365,,-1)</f>
        <v>0</v>
      </c>
      <c r="P152" s="6">
        <f>_xlfn.XLOOKUP(D152,'Instructor 360'!$B$6:$B$365,'Instructor 360'!$B$6:$B$365,,1)</f>
        <v>8.3565459610027855</v>
      </c>
      <c r="Q152" s="6">
        <f>_xlfn.XLOOKUP(D152,'Instructor 360'!$B$6:$B$365,'Instructor 360'!$F$6:$F$365,,-1)</f>
        <v>0</v>
      </c>
      <c r="R152" s="6">
        <f>_xlfn.XLOOKUP(D152,'Instructor 360'!$B$6:$B$365,'Instructor 360'!$F$6:$F$365,,1)</f>
        <v>-0.57443621169916426</v>
      </c>
      <c r="S152" s="6">
        <f t="shared" si="62"/>
        <v>-0.39874132112580474</v>
      </c>
      <c r="T152" s="6">
        <f t="shared" si="63"/>
        <v>-6.959348917397315E-3</v>
      </c>
      <c r="U152" s="6">
        <f t="shared" si="64"/>
        <v>-5.3040651082602683E-2</v>
      </c>
      <c r="V152" s="6"/>
      <c r="W152" s="6">
        <f t="shared" si="65"/>
        <v>2.8133106672664013E-3</v>
      </c>
      <c r="AA152">
        <f t="shared" si="66"/>
        <v>2924</v>
      </c>
      <c r="AB152">
        <f t="shared" si="67"/>
        <v>-0.06</v>
      </c>
      <c r="AC152">
        <f t="shared" si="68"/>
        <v>-6.959348917397315E-3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"/>
  <sheetViews>
    <sheetView showGridLines="0" tabSelected="1" workbookViewId="0"/>
  </sheetViews>
  <sheetFormatPr defaultRowHeight="14.25"/>
  <cols>
    <col min="1" max="12" width="16" customWidth="1"/>
  </cols>
  <sheetData>
    <row r="1" spans="1:12" ht="18.95" customHeight="1">
      <c r="A1" s="2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Paired Data</vt:lpstr>
      <vt:lpstr>Raw Data</vt:lpstr>
      <vt:lpstr>Native PMKS</vt:lpstr>
      <vt:lpstr>TimeStep</vt:lpstr>
      <vt:lpstr>Instructor 360</vt:lpstr>
      <vt:lpstr>CS Rate</vt:lpstr>
      <vt:lpstr>Comparison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2026-09-22T19:10:24Z</dcterms:modified>
</cp:coreProperties>
</file>